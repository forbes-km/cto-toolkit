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evinforbes/Downloads/cto-toolkit-main/tools/ai-governance-map/"/>
    </mc:Choice>
  </mc:AlternateContent>
  <xr:revisionPtr revIDLastSave="0" documentId="13_ncr:1_{A6AA1A07-F7E0-774C-82CA-D10D2313D7FD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Instructions" sheetId="1" r:id="rId1"/>
    <sheet name="Use Case Inventory" sheetId="2" r:id="rId2"/>
    <sheet name="Risk Tiering" sheetId="3" r:id="rId3"/>
    <sheet name="Model and System Inventory" sheetId="4" r:id="rId4"/>
    <sheet name="Controls by Tier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4" i="3" l="1"/>
  <c r="K104" i="3"/>
  <c r="B104" i="3"/>
  <c r="L103" i="3"/>
  <c r="K103" i="3"/>
  <c r="B103" i="3"/>
  <c r="L102" i="3"/>
  <c r="K102" i="3"/>
  <c r="B102" i="3"/>
  <c r="L101" i="3"/>
  <c r="K101" i="3"/>
  <c r="B101" i="3"/>
  <c r="L100" i="3"/>
  <c r="K100" i="3"/>
  <c r="B100" i="3"/>
  <c r="L99" i="3"/>
  <c r="K99" i="3"/>
  <c r="B99" i="3"/>
  <c r="L98" i="3"/>
  <c r="K98" i="3"/>
  <c r="B98" i="3"/>
  <c r="L97" i="3"/>
  <c r="K97" i="3"/>
  <c r="B97" i="3"/>
  <c r="L96" i="3"/>
  <c r="K96" i="3"/>
  <c r="B96" i="3"/>
  <c r="L95" i="3"/>
  <c r="K95" i="3"/>
  <c r="B95" i="3"/>
  <c r="L94" i="3"/>
  <c r="K94" i="3"/>
  <c r="B94" i="3"/>
  <c r="L93" i="3"/>
  <c r="K93" i="3"/>
  <c r="B93" i="3"/>
  <c r="L92" i="3"/>
  <c r="K92" i="3"/>
  <c r="B92" i="3"/>
  <c r="L91" i="3"/>
  <c r="K91" i="3"/>
  <c r="B91" i="3"/>
  <c r="L90" i="3"/>
  <c r="K90" i="3"/>
  <c r="B90" i="3"/>
  <c r="L89" i="3"/>
  <c r="K89" i="3"/>
  <c r="B89" i="3"/>
  <c r="L88" i="3"/>
  <c r="K88" i="3"/>
  <c r="B88" i="3"/>
  <c r="L87" i="3"/>
  <c r="K87" i="3"/>
  <c r="B87" i="3"/>
  <c r="L86" i="3"/>
  <c r="K86" i="3"/>
  <c r="B86" i="3"/>
  <c r="L85" i="3"/>
  <c r="K85" i="3"/>
  <c r="B85" i="3"/>
  <c r="L84" i="3"/>
  <c r="K84" i="3"/>
  <c r="B84" i="3"/>
  <c r="L83" i="3"/>
  <c r="K83" i="3"/>
  <c r="B83" i="3"/>
  <c r="L82" i="3"/>
  <c r="K82" i="3"/>
  <c r="B82" i="3"/>
  <c r="L81" i="3"/>
  <c r="K81" i="3"/>
  <c r="B81" i="3"/>
  <c r="L80" i="3"/>
  <c r="K80" i="3"/>
  <c r="B80" i="3"/>
  <c r="L79" i="3"/>
  <c r="K79" i="3"/>
  <c r="B79" i="3"/>
  <c r="L78" i="3"/>
  <c r="K78" i="3"/>
  <c r="B78" i="3"/>
  <c r="L77" i="3"/>
  <c r="K77" i="3"/>
  <c r="B77" i="3"/>
  <c r="L76" i="3"/>
  <c r="K76" i="3"/>
  <c r="B76" i="3"/>
  <c r="L75" i="3"/>
  <c r="K75" i="3"/>
  <c r="B75" i="3"/>
  <c r="L74" i="3"/>
  <c r="K74" i="3"/>
  <c r="B74" i="3"/>
  <c r="L73" i="3"/>
  <c r="K73" i="3"/>
  <c r="B73" i="3"/>
  <c r="L72" i="3"/>
  <c r="K72" i="3"/>
  <c r="B72" i="3"/>
  <c r="L71" i="3"/>
  <c r="K71" i="3"/>
  <c r="B71" i="3"/>
  <c r="L70" i="3"/>
  <c r="K70" i="3"/>
  <c r="B70" i="3"/>
  <c r="L69" i="3"/>
  <c r="K69" i="3"/>
  <c r="B69" i="3"/>
  <c r="L68" i="3"/>
  <c r="K68" i="3"/>
  <c r="B68" i="3"/>
  <c r="L67" i="3"/>
  <c r="K67" i="3"/>
  <c r="B67" i="3"/>
  <c r="L66" i="3"/>
  <c r="K66" i="3"/>
  <c r="B66" i="3"/>
  <c r="L65" i="3"/>
  <c r="K65" i="3"/>
  <c r="B65" i="3"/>
  <c r="L64" i="3"/>
  <c r="K64" i="3"/>
  <c r="B64" i="3"/>
  <c r="L63" i="3"/>
  <c r="K63" i="3"/>
  <c r="B63" i="3"/>
  <c r="L62" i="3"/>
  <c r="K62" i="3"/>
  <c r="B62" i="3"/>
  <c r="L61" i="3"/>
  <c r="K61" i="3"/>
  <c r="B61" i="3"/>
  <c r="L60" i="3"/>
  <c r="K60" i="3"/>
  <c r="B60" i="3"/>
  <c r="L59" i="3"/>
  <c r="K59" i="3"/>
  <c r="B59" i="3"/>
  <c r="L58" i="3"/>
  <c r="K58" i="3"/>
  <c r="B58" i="3"/>
  <c r="L57" i="3"/>
  <c r="K57" i="3"/>
  <c r="B57" i="3"/>
  <c r="L56" i="3"/>
  <c r="K56" i="3"/>
  <c r="B56" i="3"/>
  <c r="L55" i="3"/>
  <c r="K55" i="3"/>
  <c r="B55" i="3"/>
  <c r="L54" i="3"/>
  <c r="K54" i="3"/>
  <c r="B54" i="3"/>
  <c r="L53" i="3"/>
  <c r="K53" i="3"/>
  <c r="B53" i="3"/>
  <c r="L52" i="3"/>
  <c r="K52" i="3"/>
  <c r="B52" i="3"/>
  <c r="L51" i="3"/>
  <c r="K51" i="3"/>
  <c r="B51" i="3"/>
  <c r="L50" i="3"/>
  <c r="K50" i="3"/>
  <c r="B50" i="3"/>
  <c r="L49" i="3"/>
  <c r="K49" i="3"/>
  <c r="B49" i="3"/>
  <c r="L48" i="3"/>
  <c r="K48" i="3"/>
  <c r="B48" i="3"/>
  <c r="L47" i="3"/>
  <c r="K47" i="3"/>
  <c r="B47" i="3"/>
  <c r="L46" i="3"/>
  <c r="K46" i="3"/>
  <c r="B46" i="3"/>
  <c r="L45" i="3"/>
  <c r="K45" i="3"/>
  <c r="B45" i="3"/>
  <c r="L44" i="3"/>
  <c r="K44" i="3"/>
  <c r="B44" i="3"/>
  <c r="L43" i="3"/>
  <c r="K43" i="3"/>
  <c r="B43" i="3"/>
  <c r="L42" i="3"/>
  <c r="K42" i="3"/>
  <c r="B42" i="3"/>
  <c r="L41" i="3"/>
  <c r="K41" i="3"/>
  <c r="B41" i="3"/>
  <c r="L40" i="3"/>
  <c r="K40" i="3"/>
  <c r="B40" i="3"/>
  <c r="L39" i="3"/>
  <c r="K39" i="3"/>
  <c r="B39" i="3"/>
  <c r="L38" i="3"/>
  <c r="K38" i="3"/>
  <c r="B38" i="3"/>
  <c r="L37" i="3"/>
  <c r="K37" i="3"/>
  <c r="B37" i="3"/>
  <c r="L36" i="3"/>
  <c r="K36" i="3"/>
  <c r="B36" i="3"/>
  <c r="L35" i="3"/>
  <c r="K35" i="3"/>
  <c r="B35" i="3"/>
  <c r="L34" i="3"/>
  <c r="K34" i="3"/>
  <c r="B34" i="3"/>
  <c r="L33" i="3"/>
  <c r="K33" i="3"/>
  <c r="B33" i="3"/>
  <c r="L32" i="3"/>
  <c r="K32" i="3"/>
  <c r="B32" i="3"/>
  <c r="L31" i="3"/>
  <c r="K31" i="3"/>
  <c r="B31" i="3"/>
  <c r="L30" i="3"/>
  <c r="K30" i="3"/>
  <c r="B30" i="3"/>
  <c r="L29" i="3"/>
  <c r="K29" i="3"/>
  <c r="B29" i="3"/>
  <c r="L28" i="3"/>
  <c r="K28" i="3"/>
  <c r="B28" i="3"/>
  <c r="L27" i="3"/>
  <c r="K27" i="3"/>
  <c r="B27" i="3"/>
  <c r="L26" i="3"/>
  <c r="K26" i="3"/>
  <c r="B26" i="3"/>
  <c r="L25" i="3"/>
  <c r="K25" i="3"/>
  <c r="B25" i="3"/>
  <c r="L24" i="3"/>
  <c r="K24" i="3"/>
  <c r="B24" i="3"/>
  <c r="L23" i="3"/>
  <c r="K23" i="3"/>
  <c r="B23" i="3"/>
  <c r="L22" i="3"/>
  <c r="K22" i="3"/>
  <c r="B22" i="3"/>
  <c r="L21" i="3"/>
  <c r="K21" i="3"/>
  <c r="B21" i="3"/>
  <c r="L20" i="3"/>
  <c r="K20" i="3"/>
  <c r="B20" i="3"/>
  <c r="L19" i="3"/>
  <c r="K19" i="3"/>
  <c r="B19" i="3"/>
  <c r="L18" i="3"/>
  <c r="K18" i="3"/>
  <c r="B18" i="3"/>
  <c r="L17" i="3"/>
  <c r="K17" i="3"/>
  <c r="B17" i="3"/>
  <c r="L16" i="3"/>
  <c r="K16" i="3"/>
  <c r="B16" i="3"/>
  <c r="L15" i="3"/>
  <c r="K15" i="3"/>
  <c r="B15" i="3"/>
  <c r="L14" i="3"/>
  <c r="K14" i="3"/>
  <c r="B14" i="3"/>
  <c r="L13" i="3"/>
  <c r="K13" i="3"/>
  <c r="B13" i="3"/>
  <c r="L12" i="3"/>
  <c r="K12" i="3"/>
  <c r="B12" i="3"/>
  <c r="L11" i="3"/>
  <c r="K11" i="3"/>
  <c r="B11" i="3"/>
  <c r="L10" i="3"/>
  <c r="K10" i="3"/>
  <c r="B10" i="3"/>
  <c r="L9" i="3"/>
  <c r="K9" i="3"/>
  <c r="B9" i="3"/>
  <c r="L8" i="3"/>
  <c r="K8" i="3"/>
  <c r="B8" i="3"/>
  <c r="L7" i="3"/>
  <c r="K7" i="3"/>
  <c r="B7" i="3"/>
  <c r="L6" i="3"/>
  <c r="K6" i="3"/>
  <c r="B6" i="3"/>
  <c r="K5" i="3"/>
  <c r="L5" i="3" s="1"/>
  <c r="I5" i="2" s="1"/>
  <c r="B5" i="3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</calcChain>
</file>

<file path=xl/sharedStrings.xml><?xml version="1.0" encoding="utf-8"?>
<sst xmlns="http://schemas.openxmlformats.org/spreadsheetml/2006/main" count="195" uniqueCount="108">
  <si>
    <t>AI Use Case Inventory and Risk Register</t>
  </si>
  <si>
    <t>Companion to the AI Use Case Intake Form on the CTO Toolkit AI Governance Map (aligned to the IAPP AIGP Body of Knowledge v2.1).</t>
  </si>
  <si>
    <t>How to use it:</t>
  </si>
  <si>
    <t>1. Use Case Inventory: one row per AI use case, including AI features inside products you already license. Blue text = your inputs.</t>
  </si>
  <si>
    <t>2. Risk Tiering: answer the eight screening questions Y or N for each use case. The tier calculates automatically.</t>
  </si>
  <si>
    <t>3. Model and System Inventory: one row per deployed model, index, or AI system version, so you can always answer which exact version produced an output.</t>
  </si>
  <si>
    <t>4. Controls by Tier: the minimum controls each tier requires. Edit to match your own policy.</t>
  </si>
  <si>
    <t>Tier logic (edit on the Risk Tiering sheet if your policy differs):</t>
  </si>
  <si>
    <t>Tier 4 (high): any Yes to questions 1 or 2, or three or more Yes answers in total.  Tier 3: any Yes to questions 3 to 6.  Tier 2: any Yes to questions 7 or 8.  Tier 1 (low): all No.</t>
  </si>
  <si>
    <t>Row 5 on each sheet is an example; overwrite or delete it.</t>
  </si>
  <si>
    <t>Not legal advice. Confirm regulatory classification with counsel. MIT licensed.</t>
  </si>
  <si>
    <t>Use Case Inventory</t>
  </si>
  <si>
    <t>One row per AI use case. Tier pulls from the Risk Tiering sheet by ID.</t>
  </si>
  <si>
    <t>ID</t>
  </si>
  <si>
    <t>Use case</t>
  </si>
  <si>
    <t>Business owner</t>
  </si>
  <si>
    <t>Our role (developer / provider / deployer / user)</t>
  </si>
  <si>
    <t>Build / buy / embedded feature</t>
  </si>
  <si>
    <t>Vendor and model</t>
  </si>
  <si>
    <t>Personal data?</t>
  </si>
  <si>
    <t>Customer-facing?</t>
  </si>
  <si>
    <t>Risk tier (from Risk Tiering)</t>
  </si>
  <si>
    <t>Status</t>
  </si>
  <si>
    <t>Approved by</t>
  </si>
  <si>
    <t>Approval date</t>
  </si>
  <si>
    <t>Next re-assessment</t>
  </si>
  <si>
    <t>AI-001</t>
  </si>
  <si>
    <t>Drafting replies to customer support tickets for agent review</t>
  </si>
  <si>
    <t>VP Customer Support</t>
  </si>
  <si>
    <t>deployer</t>
  </si>
  <si>
    <t>buy</t>
  </si>
  <si>
    <t>Vendor X assistant, model Y</t>
  </si>
  <si>
    <t>Y</t>
  </si>
  <si>
    <t>N</t>
  </si>
  <si>
    <t>Pilot</t>
  </si>
  <si>
    <t>AI forum</t>
  </si>
  <si>
    <t>2026-09-15</t>
  </si>
  <si>
    <t>2027-03-15</t>
  </si>
  <si>
    <t>Risk Tiering</t>
  </si>
  <si>
    <t>Answer Y or N. Tier 4 = any Yes to Q1 or Q2, or 3+ Yes; Tier 3 = any Yes to Q3 to Q6; Tier 2 = any Yes to Q7 or Q8; Tier 1 = none.</t>
  </si>
  <si>
    <t>Use case (from inventory)</t>
  </si>
  <si>
    <t>Q1 Affects employment, credit, insurance, housing, education, healthcare, or essential services</t>
  </si>
  <si>
    <t>Q2 Makes or shapes a decision about a person without human review</t>
  </si>
  <si>
    <t>Q3 Biometric data or inferred sensitive traits</t>
  </si>
  <si>
    <t>Q4 Error could cause physical, financial, or legal harm</t>
  </si>
  <si>
    <t>Q5 Customer-facing, or acts without approval</t>
  </si>
  <si>
    <t>Q6 Regulated product or process</t>
  </si>
  <si>
    <t>Q7 Generates public-facing content</t>
  </si>
  <si>
    <t>Q8 Hard to reverse once it reaches a customer or record</t>
  </si>
  <si>
    <t>Yes count</t>
  </si>
  <si>
    <t>Risk tier</t>
  </si>
  <si>
    <t>Model and System Inventory</t>
  </si>
  <si>
    <t>One row per deployed version. Add a new row on every model, index, or prompt change; do not overwrite.</t>
  </si>
  <si>
    <t>Use case ID</t>
  </si>
  <si>
    <t>Component (model, index, prompt set, agent)</t>
  </si>
  <si>
    <t>Provider</t>
  </si>
  <si>
    <t>Exact version or ID</t>
  </si>
  <si>
    <t>Deployed date</t>
  </si>
  <si>
    <t>Evaluation rubric and score at release</t>
  </si>
  <si>
    <t>Monitoring in place (drift, groundedness)</t>
  </si>
  <si>
    <t>Rollback target version</t>
  </si>
  <si>
    <t>Owner</t>
  </si>
  <si>
    <t>Next review</t>
  </si>
  <si>
    <t>Generation model</t>
  </si>
  <si>
    <t>Vendor X</t>
  </si>
  <si>
    <t>model-y-2026-08-01</t>
  </si>
  <si>
    <t>2026-09-20</t>
  </si>
  <si>
    <t>Support rubric v2: 4.3 / 5</t>
  </si>
  <si>
    <t>Weekly groundedness sample; drift alert</t>
  </si>
  <si>
    <t>model-y-2026-05-10</t>
  </si>
  <si>
    <t>Support platform lead</t>
  </si>
  <si>
    <t>2026-12-20</t>
  </si>
  <si>
    <t>Controls by Tier</t>
  </si>
  <si>
    <t>Minimum controls by tier. R = required, O = optional. Edit to match your policy.</t>
  </si>
  <si>
    <t>Control</t>
  </si>
  <si>
    <t>Tier 1</t>
  </si>
  <si>
    <t>Tier 2</t>
  </si>
  <si>
    <t>Tier 3</t>
  </si>
  <si>
    <t>Tier 4</t>
  </si>
  <si>
    <t>AIGP competency</t>
  </si>
  <si>
    <t>Entry in the use case inventory with a named owner</t>
  </si>
  <si>
    <t>R</t>
  </si>
  <si>
    <t>I.B</t>
  </si>
  <si>
    <t>Acceptable use policy applies; approved tool only</t>
  </si>
  <si>
    <t>I.C</t>
  </si>
  <si>
    <t>Vendor terms reviewed (training on data, retention, change notice)</t>
  </si>
  <si>
    <t>O</t>
  </si>
  <si>
    <t>IV.B</t>
  </si>
  <si>
    <t>Privacy review / DPIA where personal data is involved</t>
  </si>
  <si>
    <t>II.A</t>
  </si>
  <si>
    <t>Evaluation against a written rubric before release</t>
  </si>
  <si>
    <t>III.C</t>
  </si>
  <si>
    <t>Disclosure that users are interacting with AI</t>
  </si>
  <si>
    <t>IV.C</t>
  </si>
  <si>
    <t>Output guardrails (schema, citations, content filters)</t>
  </si>
  <si>
    <t>Bias and fairness testing</t>
  </si>
  <si>
    <t>III.B</t>
  </si>
  <si>
    <t>Logging sufficient to reconstruct any output</t>
  </si>
  <si>
    <t>Human review before the output takes effect</t>
  </si>
  <si>
    <t>Impact assessment (ISO/IEC 42005 structure; FRIA where required)</t>
  </si>
  <si>
    <t>III.A</t>
  </si>
  <si>
    <t>Continuous monitoring with an owner and alert thresholds</t>
  </si>
  <si>
    <t>Tested kill switch and rollback</t>
  </si>
  <si>
    <t>Legal classification under EU AI Act and US state rules</t>
  </si>
  <si>
    <t>II.C</t>
  </si>
  <si>
    <t>Governance forum approval and re-assessment date</t>
  </si>
  <si>
    <t>Independent validation by someone outside the build team before release</t>
  </si>
  <si>
    <t>Executive risk acceptance recorded in the register, reviewed at least 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</si>
</sst>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C1E1B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52564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5E4E"/>
        <bgColor rgb="FF52564F"/>
      </patternFill>
    </fill>
  </fills>
  <borders count="2">
    <border>
      <left/>
      <right/>
      <top/>
      <bottom/>
      <diagonal/>
    </border>
    <border>
      <left style="thin">
        <color rgb="FFDCDAD2"/>
      </left>
      <right style="thin">
        <color rgb="FFDCDAD2"/>
      </right>
      <top style="thin">
        <color rgb="FFDCDAD2"/>
      </top>
      <bottom style="thin">
        <color rgb="FFDCDAD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E4EDE8"/>
        </patternFill>
      </fill>
    </dxf>
    <dxf>
      <fill>
        <patternFill>
          <bgColor rgb="FFF3E9DC"/>
        </patternFill>
      </fill>
    </dxf>
    <dxf>
      <fill>
        <patternFill>
          <bgColor rgb="FFF6E3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3E9DC"/>
      <rgbColor rgb="FFE4EDE8"/>
      <rgbColor rgb="FF660066"/>
      <rgbColor rgb="FFFF8080"/>
      <rgbColor rgb="FF0066CC"/>
      <rgbColor rgb="FFDCDA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3E3"/>
      <rgbColor rgb="FF3366FF"/>
      <rgbColor rgb="FF33CCCC"/>
      <rgbColor rgb="FF99CC00"/>
      <rgbColor rgb="FFFFCC00"/>
      <rgbColor rgb="FFFF9900"/>
      <rgbColor rgb="FFFF6600"/>
      <rgbColor rgb="FF52564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E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8" x14ac:dyDescent="0.2">
      <c r="A1" s="1" t="s">
        <v>0</v>
      </c>
    </row>
    <row r="3" spans="1:1" ht="29" x14ac:dyDescent="0.2">
      <c r="A3" s="2" t="s">
        <v>1</v>
      </c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ht="29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3" t="s">
        <v>7</v>
      </c>
    </row>
    <row r="10" spans="1:1" ht="29" x14ac:dyDescent="0.2">
      <c r="A10" s="2" t="s">
        <v>8</v>
      </c>
    </row>
    <row r="11" spans="1:1" x14ac:dyDescent="0.2">
      <c r="A11" s="2" t="s">
        <v>9</v>
      </c>
    </row>
    <row r="12" spans="1:1" x14ac:dyDescent="0.2">
      <c r="A12" s="2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34" customWidth="1"/>
    <col min="3" max="3" width="18" customWidth="1"/>
    <col min="4" max="4" width="20" customWidth="1"/>
    <col min="5" max="5" width="16" customWidth="1"/>
    <col min="6" max="6" width="22" customWidth="1"/>
    <col min="7" max="8" width="12" customWidth="1"/>
    <col min="9" max="10" width="14" customWidth="1"/>
    <col min="11" max="11" width="16" customWidth="1"/>
    <col min="12" max="12" width="13" customWidth="1"/>
    <col min="13" max="13" width="15" customWidth="1"/>
  </cols>
  <sheetData>
    <row r="1" spans="1:13" ht="18" x14ac:dyDescent="0.2">
      <c r="A1" s="1" t="s">
        <v>11</v>
      </c>
    </row>
    <row r="2" spans="1:13" x14ac:dyDescent="0.2">
      <c r="A2" s="4" t="s">
        <v>12</v>
      </c>
    </row>
    <row r="4" spans="1:13" ht="31.5" customHeight="1" x14ac:dyDescent="0.2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</row>
    <row r="5" spans="1:13" ht="28" x14ac:dyDescent="0.2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7" t="str">
        <f>IF(A5="","",IFERROR(INDEX('Risk Tiering'!$L:$L,MATCH(A5,'Risk Tiering'!$A:$A,0)),"Not tiered"))</f>
        <v>Tier 3</v>
      </c>
      <c r="J5" s="6" t="s">
        <v>34</v>
      </c>
      <c r="K5" s="6" t="s">
        <v>35</v>
      </c>
      <c r="L5" s="6" t="s">
        <v>36</v>
      </c>
      <c r="M5" s="6" t="s">
        <v>37</v>
      </c>
    </row>
    <row r="6" spans="1:13" x14ac:dyDescent="0.2">
      <c r="A6" s="6"/>
      <c r="B6" s="6"/>
      <c r="C6" s="6"/>
      <c r="D6" s="6"/>
      <c r="E6" s="6"/>
      <c r="F6" s="6"/>
      <c r="G6" s="6"/>
      <c r="H6" s="6"/>
      <c r="I6" s="7" t="str">
        <f>IF(A6="","",IFERROR(INDEX('Risk Tiering'!$L:$L,MATCH(A6,'Risk Tiering'!$A:$A,0)),"Not tiered"))</f>
        <v/>
      </c>
      <c r="J6" s="6"/>
      <c r="K6" s="6"/>
      <c r="L6" s="6"/>
      <c r="M6" s="6"/>
    </row>
    <row r="7" spans="1:13" x14ac:dyDescent="0.2">
      <c r="A7" s="6"/>
      <c r="B7" s="6"/>
      <c r="C7" s="6"/>
      <c r="D7" s="6"/>
      <c r="E7" s="6"/>
      <c r="F7" s="6"/>
      <c r="G7" s="6"/>
      <c r="H7" s="6"/>
      <c r="I7" s="7" t="str">
        <f>IF(A7="","",IFERROR(INDEX('Risk Tiering'!$L:$L,MATCH(A7,'Risk Tiering'!$A:$A,0)),"Not tiered"))</f>
        <v/>
      </c>
      <c r="J7" s="6"/>
      <c r="K7" s="6"/>
      <c r="L7" s="6"/>
      <c r="M7" s="6"/>
    </row>
    <row r="8" spans="1:13" x14ac:dyDescent="0.2">
      <c r="A8" s="6"/>
      <c r="B8" s="6"/>
      <c r="C8" s="6"/>
      <c r="D8" s="6"/>
      <c r="E8" s="6"/>
      <c r="F8" s="6"/>
      <c r="G8" s="6"/>
      <c r="H8" s="6"/>
      <c r="I8" s="7" t="str">
        <f>IF(A8="","",IFERROR(INDEX('Risk Tiering'!$L:$L,MATCH(A8,'Risk Tiering'!$A:$A,0)),"Not tiered"))</f>
        <v/>
      </c>
      <c r="J8" s="6"/>
      <c r="K8" s="6"/>
      <c r="L8" s="6"/>
      <c r="M8" s="6"/>
    </row>
    <row r="9" spans="1:13" x14ac:dyDescent="0.2">
      <c r="A9" s="6"/>
      <c r="B9" s="6"/>
      <c r="C9" s="6"/>
      <c r="D9" s="6"/>
      <c r="E9" s="6"/>
      <c r="F9" s="6"/>
      <c r="G9" s="6"/>
      <c r="H9" s="6"/>
      <c r="I9" s="7" t="str">
        <f>IF(A9="","",IFERROR(INDEX('Risk Tiering'!$L:$L,MATCH(A9,'Risk Tiering'!$A:$A,0)),"Not tiered"))</f>
        <v/>
      </c>
      <c r="J9" s="6"/>
      <c r="K9" s="6"/>
      <c r="L9" s="6"/>
      <c r="M9" s="6"/>
    </row>
    <row r="10" spans="1:13" x14ac:dyDescent="0.2">
      <c r="A10" s="6"/>
      <c r="B10" s="6"/>
      <c r="C10" s="6"/>
      <c r="D10" s="6"/>
      <c r="E10" s="6"/>
      <c r="F10" s="6"/>
      <c r="G10" s="6"/>
      <c r="H10" s="6"/>
      <c r="I10" s="7" t="str">
        <f>IF(A10="","",IFERROR(INDEX('Risk Tiering'!$L:$L,MATCH(A10,'Risk Tiering'!$A:$A,0)),"Not tiered"))</f>
        <v/>
      </c>
      <c r="J10" s="6"/>
      <c r="K10" s="6"/>
      <c r="L10" s="6"/>
      <c r="M10" s="6"/>
    </row>
    <row r="11" spans="1:13" x14ac:dyDescent="0.2">
      <c r="A11" s="6"/>
      <c r="B11" s="6"/>
      <c r="C11" s="6"/>
      <c r="D11" s="6"/>
      <c r="E11" s="6"/>
      <c r="F11" s="6"/>
      <c r="G11" s="6"/>
      <c r="H11" s="6"/>
      <c r="I11" s="7" t="str">
        <f>IF(A11="","",IFERROR(INDEX('Risk Tiering'!$L:$L,MATCH(A11,'Risk Tiering'!$A:$A,0)),"Not tiered"))</f>
        <v/>
      </c>
      <c r="J11" s="6"/>
      <c r="K11" s="6"/>
      <c r="L11" s="6"/>
      <c r="M11" s="6"/>
    </row>
    <row r="12" spans="1:13" x14ac:dyDescent="0.2">
      <c r="A12" s="6"/>
      <c r="B12" s="6"/>
      <c r="C12" s="6"/>
      <c r="D12" s="6"/>
      <c r="E12" s="6"/>
      <c r="F12" s="6"/>
      <c r="G12" s="6"/>
      <c r="H12" s="6"/>
      <c r="I12" s="7" t="str">
        <f>IF(A12="","",IFERROR(INDEX('Risk Tiering'!$L:$L,MATCH(A12,'Risk Tiering'!$A:$A,0)),"Not tiered"))</f>
        <v/>
      </c>
      <c r="J12" s="6"/>
      <c r="K12" s="6"/>
      <c r="L12" s="6"/>
      <c r="M12" s="6"/>
    </row>
    <row r="13" spans="1:13" x14ac:dyDescent="0.2">
      <c r="A13" s="6"/>
      <c r="B13" s="6"/>
      <c r="C13" s="6"/>
      <c r="D13" s="6"/>
      <c r="E13" s="6"/>
      <c r="F13" s="6"/>
      <c r="G13" s="6"/>
      <c r="H13" s="6"/>
      <c r="I13" s="7" t="str">
        <f>IF(A13="","",IFERROR(INDEX('Risk Tiering'!$L:$L,MATCH(A13,'Risk Tiering'!$A:$A,0)),"Not tiered"))</f>
        <v/>
      </c>
      <c r="J13" s="6"/>
      <c r="K13" s="6"/>
      <c r="L13" s="6"/>
      <c r="M13" s="6"/>
    </row>
    <row r="14" spans="1:13" x14ac:dyDescent="0.2">
      <c r="A14" s="6"/>
      <c r="B14" s="6"/>
      <c r="C14" s="6"/>
      <c r="D14" s="6"/>
      <c r="E14" s="6"/>
      <c r="F14" s="6"/>
      <c r="G14" s="6"/>
      <c r="H14" s="6"/>
      <c r="I14" s="7" t="str">
        <f>IF(A14="","",IFERROR(INDEX('Risk Tiering'!$L:$L,MATCH(A14,'Risk Tiering'!$A:$A,0)),"Not tiered"))</f>
        <v/>
      </c>
      <c r="J14" s="6"/>
      <c r="K14" s="6"/>
      <c r="L14" s="6"/>
      <c r="M14" s="6"/>
    </row>
    <row r="15" spans="1:13" x14ac:dyDescent="0.2">
      <c r="A15" s="6"/>
      <c r="B15" s="6"/>
      <c r="C15" s="6"/>
      <c r="D15" s="6"/>
      <c r="E15" s="6"/>
      <c r="F15" s="6"/>
      <c r="G15" s="6"/>
      <c r="H15" s="6"/>
      <c r="I15" s="7" t="str">
        <f>IF(A15="","",IFERROR(INDEX('Risk Tiering'!$L:$L,MATCH(A15,'Risk Tiering'!$A:$A,0)),"Not tiered"))</f>
        <v/>
      </c>
      <c r="J15" s="6"/>
      <c r="K15" s="6"/>
      <c r="L15" s="6"/>
      <c r="M15" s="6"/>
    </row>
    <row r="16" spans="1:13" x14ac:dyDescent="0.2">
      <c r="A16" s="6"/>
      <c r="B16" s="6"/>
      <c r="C16" s="6"/>
      <c r="D16" s="6"/>
      <c r="E16" s="6"/>
      <c r="F16" s="6"/>
      <c r="G16" s="6"/>
      <c r="H16" s="6"/>
      <c r="I16" s="7" t="str">
        <f>IF(A16="","",IFERROR(INDEX('Risk Tiering'!$L:$L,MATCH(A16,'Risk Tiering'!$A:$A,0)),"Not tiered"))</f>
        <v/>
      </c>
      <c r="J16" s="6"/>
      <c r="K16" s="6"/>
      <c r="L16" s="6"/>
      <c r="M16" s="6"/>
    </row>
    <row r="17" spans="1:13" x14ac:dyDescent="0.2">
      <c r="A17" s="6"/>
      <c r="B17" s="6"/>
      <c r="C17" s="6"/>
      <c r="D17" s="6"/>
      <c r="E17" s="6"/>
      <c r="F17" s="6"/>
      <c r="G17" s="6"/>
      <c r="H17" s="6"/>
      <c r="I17" s="7" t="str">
        <f>IF(A17="","",IFERROR(INDEX('Risk Tiering'!$L:$L,MATCH(A17,'Risk Tiering'!$A:$A,0)),"Not tiered"))</f>
        <v/>
      </c>
      <c r="J17" s="6"/>
      <c r="K17" s="6"/>
      <c r="L17" s="6"/>
      <c r="M17" s="6"/>
    </row>
    <row r="18" spans="1:13" x14ac:dyDescent="0.2">
      <c r="A18" s="6"/>
      <c r="B18" s="6"/>
      <c r="C18" s="6"/>
      <c r="D18" s="6"/>
      <c r="E18" s="6"/>
      <c r="F18" s="6"/>
      <c r="G18" s="6"/>
      <c r="H18" s="6"/>
      <c r="I18" s="7" t="str">
        <f>IF(A18="","",IFERROR(INDEX('Risk Tiering'!$L:$L,MATCH(A18,'Risk Tiering'!$A:$A,0)),"Not tiered"))</f>
        <v/>
      </c>
      <c r="J18" s="6"/>
      <c r="K18" s="6"/>
      <c r="L18" s="6"/>
      <c r="M18" s="6"/>
    </row>
    <row r="19" spans="1:13" x14ac:dyDescent="0.2">
      <c r="A19" s="6"/>
      <c r="B19" s="6"/>
      <c r="C19" s="6"/>
      <c r="D19" s="6"/>
      <c r="E19" s="6"/>
      <c r="F19" s="6"/>
      <c r="G19" s="6"/>
      <c r="H19" s="6"/>
      <c r="I19" s="7" t="str">
        <f>IF(A19="","",IFERROR(INDEX('Risk Tiering'!$L:$L,MATCH(A19,'Risk Tiering'!$A:$A,0)),"Not tiered"))</f>
        <v/>
      </c>
      <c r="J19" s="6"/>
      <c r="K19" s="6"/>
      <c r="L19" s="6"/>
      <c r="M19" s="6"/>
    </row>
    <row r="20" spans="1:13" x14ac:dyDescent="0.2">
      <c r="A20" s="6"/>
      <c r="B20" s="6"/>
      <c r="C20" s="6"/>
      <c r="D20" s="6"/>
      <c r="E20" s="6"/>
      <c r="F20" s="6"/>
      <c r="G20" s="6"/>
      <c r="H20" s="6"/>
      <c r="I20" s="7" t="str">
        <f>IF(A20="","",IFERROR(INDEX('Risk Tiering'!$L:$L,MATCH(A20,'Risk Tiering'!$A:$A,0)),"Not tiered"))</f>
        <v/>
      </c>
      <c r="J20" s="6"/>
      <c r="K20" s="6"/>
      <c r="L20" s="6"/>
      <c r="M20" s="6"/>
    </row>
    <row r="21" spans="1:13" x14ac:dyDescent="0.2">
      <c r="A21" s="6"/>
      <c r="B21" s="6"/>
      <c r="C21" s="6"/>
      <c r="D21" s="6"/>
      <c r="E21" s="6"/>
      <c r="F21" s="6"/>
      <c r="G21" s="6"/>
      <c r="H21" s="6"/>
      <c r="I21" s="7" t="str">
        <f>IF(A21="","",IFERROR(INDEX('Risk Tiering'!$L:$L,MATCH(A21,'Risk Tiering'!$A:$A,0)),"Not tiered"))</f>
        <v/>
      </c>
      <c r="J21" s="6"/>
      <c r="K21" s="6"/>
      <c r="L21" s="6"/>
      <c r="M21" s="6"/>
    </row>
    <row r="22" spans="1:13" x14ac:dyDescent="0.2">
      <c r="A22" s="6"/>
      <c r="B22" s="6"/>
      <c r="C22" s="6"/>
      <c r="D22" s="6"/>
      <c r="E22" s="6"/>
      <c r="F22" s="6"/>
      <c r="G22" s="6"/>
      <c r="H22" s="6"/>
      <c r="I22" s="7" t="str">
        <f>IF(A22="","",IFERROR(INDEX('Risk Tiering'!$L:$L,MATCH(A22,'Risk Tiering'!$A:$A,0)),"Not tiered"))</f>
        <v/>
      </c>
      <c r="J22" s="6"/>
      <c r="K22" s="6"/>
      <c r="L22" s="6"/>
      <c r="M22" s="6"/>
    </row>
    <row r="23" spans="1:13" x14ac:dyDescent="0.2">
      <c r="A23" s="6"/>
      <c r="B23" s="6"/>
      <c r="C23" s="6"/>
      <c r="D23" s="6"/>
      <c r="E23" s="6"/>
      <c r="F23" s="6"/>
      <c r="G23" s="6"/>
      <c r="H23" s="6"/>
      <c r="I23" s="7" t="str">
        <f>IF(A23="","",IFERROR(INDEX('Risk Tiering'!$L:$L,MATCH(A23,'Risk Tiering'!$A:$A,0)),"Not tiered"))</f>
        <v/>
      </c>
      <c r="J23" s="6"/>
      <c r="K23" s="6"/>
      <c r="L23" s="6"/>
      <c r="M23" s="6"/>
    </row>
    <row r="24" spans="1:13" x14ac:dyDescent="0.2">
      <c r="A24" s="6"/>
      <c r="B24" s="6"/>
      <c r="C24" s="6"/>
      <c r="D24" s="6"/>
      <c r="E24" s="6"/>
      <c r="F24" s="6"/>
      <c r="G24" s="6"/>
      <c r="H24" s="6"/>
      <c r="I24" s="7" t="str">
        <f>IF(A24="","",IFERROR(INDEX('Risk Tiering'!$L:$L,MATCH(A24,'Risk Tiering'!$A:$A,0)),"Not tiered"))</f>
        <v/>
      </c>
      <c r="J24" s="6"/>
      <c r="K24" s="6"/>
      <c r="L24" s="6"/>
      <c r="M24" s="6"/>
    </row>
    <row r="25" spans="1:13" x14ac:dyDescent="0.2">
      <c r="A25" s="6"/>
      <c r="B25" s="6"/>
      <c r="C25" s="6"/>
      <c r="D25" s="6"/>
      <c r="E25" s="6"/>
      <c r="F25" s="6"/>
      <c r="G25" s="6"/>
      <c r="H25" s="6"/>
      <c r="I25" s="7" t="str">
        <f>IF(A25="","",IFERROR(INDEX('Risk Tiering'!$L:$L,MATCH(A25,'Risk Tiering'!$A:$A,0)),"Not tiered"))</f>
        <v/>
      </c>
      <c r="J25" s="6"/>
      <c r="K25" s="6"/>
      <c r="L25" s="6"/>
      <c r="M25" s="6"/>
    </row>
    <row r="26" spans="1:13" x14ac:dyDescent="0.2">
      <c r="A26" s="6"/>
      <c r="B26" s="6"/>
      <c r="C26" s="6"/>
      <c r="D26" s="6"/>
      <c r="E26" s="6"/>
      <c r="F26" s="6"/>
      <c r="G26" s="6"/>
      <c r="H26" s="6"/>
      <c r="I26" s="7" t="str">
        <f>IF(A26="","",IFERROR(INDEX('Risk Tiering'!$L:$L,MATCH(A26,'Risk Tiering'!$A:$A,0)),"Not tiered"))</f>
        <v/>
      </c>
      <c r="J26" s="6"/>
      <c r="K26" s="6"/>
      <c r="L26" s="6"/>
      <c r="M26" s="6"/>
    </row>
    <row r="27" spans="1:13" x14ac:dyDescent="0.2">
      <c r="A27" s="6"/>
      <c r="B27" s="6"/>
      <c r="C27" s="6"/>
      <c r="D27" s="6"/>
      <c r="E27" s="6"/>
      <c r="F27" s="6"/>
      <c r="G27" s="6"/>
      <c r="H27" s="6"/>
      <c r="I27" s="7" t="str">
        <f>IF(A27="","",IFERROR(INDEX('Risk Tiering'!$L:$L,MATCH(A27,'Risk Tiering'!$A:$A,0)),"Not tiered"))</f>
        <v/>
      </c>
      <c r="J27" s="6"/>
      <c r="K27" s="6"/>
      <c r="L27" s="6"/>
      <c r="M27" s="6"/>
    </row>
    <row r="28" spans="1:13" x14ac:dyDescent="0.2">
      <c r="A28" s="6"/>
      <c r="B28" s="6"/>
      <c r="C28" s="6"/>
      <c r="D28" s="6"/>
      <c r="E28" s="6"/>
      <c r="F28" s="6"/>
      <c r="G28" s="6"/>
      <c r="H28" s="6"/>
      <c r="I28" s="7" t="str">
        <f>IF(A28="","",IFERROR(INDEX('Risk Tiering'!$L:$L,MATCH(A28,'Risk Tiering'!$A:$A,0)),"Not tiered"))</f>
        <v/>
      </c>
      <c r="J28" s="6"/>
      <c r="K28" s="6"/>
      <c r="L28" s="6"/>
      <c r="M28" s="6"/>
    </row>
    <row r="29" spans="1:13" x14ac:dyDescent="0.2">
      <c r="A29" s="6"/>
      <c r="B29" s="6"/>
      <c r="C29" s="6"/>
      <c r="D29" s="6"/>
      <c r="E29" s="6"/>
      <c r="F29" s="6"/>
      <c r="G29" s="6"/>
      <c r="H29" s="6"/>
      <c r="I29" s="7" t="str">
        <f>IF(A29="","",IFERROR(INDEX('Risk Tiering'!$L:$L,MATCH(A29,'Risk Tiering'!$A:$A,0)),"Not tiered"))</f>
        <v/>
      </c>
      <c r="J29" s="6"/>
      <c r="K29" s="6"/>
      <c r="L29" s="6"/>
      <c r="M29" s="6"/>
    </row>
    <row r="30" spans="1:13" x14ac:dyDescent="0.2">
      <c r="A30" s="6"/>
      <c r="B30" s="6"/>
      <c r="C30" s="6"/>
      <c r="D30" s="6"/>
      <c r="E30" s="6"/>
      <c r="F30" s="6"/>
      <c r="G30" s="6"/>
      <c r="H30" s="6"/>
      <c r="I30" s="7" t="str">
        <f>IF(A30="","",IFERROR(INDEX('Risk Tiering'!$L:$L,MATCH(A30,'Risk Tiering'!$A:$A,0)),"Not tiered"))</f>
        <v/>
      </c>
      <c r="J30" s="6"/>
      <c r="K30" s="6"/>
      <c r="L30" s="6"/>
      <c r="M30" s="6"/>
    </row>
    <row r="31" spans="1:13" x14ac:dyDescent="0.2">
      <c r="A31" s="6"/>
      <c r="B31" s="6"/>
      <c r="C31" s="6"/>
      <c r="D31" s="6"/>
      <c r="E31" s="6"/>
      <c r="F31" s="6"/>
      <c r="G31" s="6"/>
      <c r="H31" s="6"/>
      <c r="I31" s="7" t="str">
        <f>IF(A31="","",IFERROR(INDEX('Risk Tiering'!$L:$L,MATCH(A31,'Risk Tiering'!$A:$A,0)),"Not tiered"))</f>
        <v/>
      </c>
      <c r="J31" s="6"/>
      <c r="K31" s="6"/>
      <c r="L31" s="6"/>
      <c r="M31" s="6"/>
    </row>
    <row r="32" spans="1:13" x14ac:dyDescent="0.2">
      <c r="A32" s="6"/>
      <c r="B32" s="6"/>
      <c r="C32" s="6"/>
      <c r="D32" s="6"/>
      <c r="E32" s="6"/>
      <c r="F32" s="6"/>
      <c r="G32" s="6"/>
      <c r="H32" s="6"/>
      <c r="I32" s="7" t="str">
        <f>IF(A32="","",IFERROR(INDEX('Risk Tiering'!$L:$L,MATCH(A32,'Risk Tiering'!$A:$A,0)),"Not tiered"))</f>
        <v/>
      </c>
      <c r="J32" s="6"/>
      <c r="K32" s="6"/>
      <c r="L32" s="6"/>
      <c r="M32" s="6"/>
    </row>
    <row r="33" spans="1:13" x14ac:dyDescent="0.2">
      <c r="A33" s="6"/>
      <c r="B33" s="6"/>
      <c r="C33" s="6"/>
      <c r="D33" s="6"/>
      <c r="E33" s="6"/>
      <c r="F33" s="6"/>
      <c r="G33" s="6"/>
      <c r="H33" s="6"/>
      <c r="I33" s="7" t="str">
        <f>IF(A33="","",IFERROR(INDEX('Risk Tiering'!$L:$L,MATCH(A33,'Risk Tiering'!$A:$A,0)),"Not tiered"))</f>
        <v/>
      </c>
      <c r="J33" s="6"/>
      <c r="K33" s="6"/>
      <c r="L33" s="6"/>
      <c r="M33" s="6"/>
    </row>
    <row r="34" spans="1:13" x14ac:dyDescent="0.2">
      <c r="A34" s="6"/>
      <c r="B34" s="6"/>
      <c r="C34" s="6"/>
      <c r="D34" s="6"/>
      <c r="E34" s="6"/>
      <c r="F34" s="6"/>
      <c r="G34" s="6"/>
      <c r="H34" s="6"/>
      <c r="I34" s="7" t="str">
        <f>IF(A34="","",IFERROR(INDEX('Risk Tiering'!$L:$L,MATCH(A34,'Risk Tiering'!$A:$A,0)),"Not tiered"))</f>
        <v/>
      </c>
      <c r="J34" s="6"/>
      <c r="K34" s="6"/>
      <c r="L34" s="6"/>
      <c r="M34" s="6"/>
    </row>
    <row r="35" spans="1:13" x14ac:dyDescent="0.2">
      <c r="A35" s="6"/>
      <c r="B35" s="6"/>
      <c r="C35" s="6"/>
      <c r="D35" s="6"/>
      <c r="E35" s="6"/>
      <c r="F35" s="6"/>
      <c r="G35" s="6"/>
      <c r="H35" s="6"/>
      <c r="I35" s="7" t="str">
        <f>IF(A35="","",IFERROR(INDEX('Risk Tiering'!$L:$L,MATCH(A35,'Risk Tiering'!$A:$A,0)),"Not tiered"))</f>
        <v/>
      </c>
      <c r="J35" s="6"/>
      <c r="K35" s="6"/>
      <c r="L35" s="6"/>
      <c r="M35" s="6"/>
    </row>
    <row r="36" spans="1:13" x14ac:dyDescent="0.2">
      <c r="A36" s="6"/>
      <c r="B36" s="6"/>
      <c r="C36" s="6"/>
      <c r="D36" s="6"/>
      <c r="E36" s="6"/>
      <c r="F36" s="6"/>
      <c r="G36" s="6"/>
      <c r="H36" s="6"/>
      <c r="I36" s="7" t="str">
        <f>IF(A36="","",IFERROR(INDEX('Risk Tiering'!$L:$L,MATCH(A36,'Risk Tiering'!$A:$A,0)),"Not tiered"))</f>
        <v/>
      </c>
      <c r="J36" s="6"/>
      <c r="K36" s="6"/>
      <c r="L36" s="6"/>
      <c r="M36" s="6"/>
    </row>
    <row r="37" spans="1:13" x14ac:dyDescent="0.2">
      <c r="A37" s="6"/>
      <c r="B37" s="6"/>
      <c r="C37" s="6"/>
      <c r="D37" s="6"/>
      <c r="E37" s="6"/>
      <c r="F37" s="6"/>
      <c r="G37" s="6"/>
      <c r="H37" s="6"/>
      <c r="I37" s="7" t="str">
        <f>IF(A37="","",IFERROR(INDEX('Risk Tiering'!$L:$L,MATCH(A37,'Risk Tiering'!$A:$A,0)),"Not tiered"))</f>
        <v/>
      </c>
      <c r="J37" s="6"/>
      <c r="K37" s="6"/>
      <c r="L37" s="6"/>
      <c r="M37" s="6"/>
    </row>
    <row r="38" spans="1:13" x14ac:dyDescent="0.2">
      <c r="A38" s="6"/>
      <c r="B38" s="6"/>
      <c r="C38" s="6"/>
      <c r="D38" s="6"/>
      <c r="E38" s="6"/>
      <c r="F38" s="6"/>
      <c r="G38" s="6"/>
      <c r="H38" s="6"/>
      <c r="I38" s="7" t="str">
        <f>IF(A38="","",IFERROR(INDEX('Risk Tiering'!$L:$L,MATCH(A38,'Risk Tiering'!$A:$A,0)),"Not tiered"))</f>
        <v/>
      </c>
      <c r="J38" s="6"/>
      <c r="K38" s="6"/>
      <c r="L38" s="6"/>
      <c r="M38" s="6"/>
    </row>
    <row r="39" spans="1:13" x14ac:dyDescent="0.2">
      <c r="A39" s="6"/>
      <c r="B39" s="6"/>
      <c r="C39" s="6"/>
      <c r="D39" s="6"/>
      <c r="E39" s="6"/>
      <c r="F39" s="6"/>
      <c r="G39" s="6"/>
      <c r="H39" s="6"/>
      <c r="I39" s="7" t="str">
        <f>IF(A39="","",IFERROR(INDEX('Risk Tiering'!$L:$L,MATCH(A39,'Risk Tiering'!$A:$A,0)),"Not tiered"))</f>
        <v/>
      </c>
      <c r="J39" s="6"/>
      <c r="K39" s="6"/>
      <c r="L39" s="6"/>
      <c r="M39" s="6"/>
    </row>
    <row r="40" spans="1:13" x14ac:dyDescent="0.2">
      <c r="A40" s="6"/>
      <c r="B40" s="6"/>
      <c r="C40" s="6"/>
      <c r="D40" s="6"/>
      <c r="E40" s="6"/>
      <c r="F40" s="6"/>
      <c r="G40" s="6"/>
      <c r="H40" s="6"/>
      <c r="I40" s="7" t="str">
        <f>IF(A40="","",IFERROR(INDEX('Risk Tiering'!$L:$L,MATCH(A40,'Risk Tiering'!$A:$A,0)),"Not tiered"))</f>
        <v/>
      </c>
      <c r="J40" s="6"/>
      <c r="K40" s="6"/>
      <c r="L40" s="6"/>
      <c r="M40" s="6"/>
    </row>
    <row r="41" spans="1:13" x14ac:dyDescent="0.2">
      <c r="A41" s="6"/>
      <c r="B41" s="6"/>
      <c r="C41" s="6"/>
      <c r="D41" s="6"/>
      <c r="E41" s="6"/>
      <c r="F41" s="6"/>
      <c r="G41" s="6"/>
      <c r="H41" s="6"/>
      <c r="I41" s="7" t="str">
        <f>IF(A41="","",IFERROR(INDEX('Risk Tiering'!$L:$L,MATCH(A41,'Risk Tiering'!$A:$A,0)),"Not tiered"))</f>
        <v/>
      </c>
      <c r="J41" s="6"/>
      <c r="K41" s="6"/>
      <c r="L41" s="6"/>
      <c r="M41" s="6"/>
    </row>
    <row r="42" spans="1:13" x14ac:dyDescent="0.2">
      <c r="A42" s="6"/>
      <c r="B42" s="6"/>
      <c r="C42" s="6"/>
      <c r="D42" s="6"/>
      <c r="E42" s="6"/>
      <c r="F42" s="6"/>
      <c r="G42" s="6"/>
      <c r="H42" s="6"/>
      <c r="I42" s="7" t="str">
        <f>IF(A42="","",IFERROR(INDEX('Risk Tiering'!$L:$L,MATCH(A42,'Risk Tiering'!$A:$A,0)),"Not tiered"))</f>
        <v/>
      </c>
      <c r="J42" s="6"/>
      <c r="K42" s="6"/>
      <c r="L42" s="6"/>
      <c r="M42" s="6"/>
    </row>
    <row r="43" spans="1:13" x14ac:dyDescent="0.2">
      <c r="A43" s="6"/>
      <c r="B43" s="6"/>
      <c r="C43" s="6"/>
      <c r="D43" s="6"/>
      <c r="E43" s="6"/>
      <c r="F43" s="6"/>
      <c r="G43" s="6"/>
      <c r="H43" s="6"/>
      <c r="I43" s="7" t="str">
        <f>IF(A43="","",IFERROR(INDEX('Risk Tiering'!$L:$L,MATCH(A43,'Risk Tiering'!$A:$A,0)),"Not tiered"))</f>
        <v/>
      </c>
      <c r="J43" s="6"/>
      <c r="K43" s="6"/>
      <c r="L43" s="6"/>
      <c r="M43" s="6"/>
    </row>
    <row r="44" spans="1:13" x14ac:dyDescent="0.2">
      <c r="A44" s="6"/>
      <c r="B44" s="6"/>
      <c r="C44" s="6"/>
      <c r="D44" s="6"/>
      <c r="E44" s="6"/>
      <c r="F44" s="6"/>
      <c r="G44" s="6"/>
      <c r="H44" s="6"/>
      <c r="I44" s="7" t="str">
        <f>IF(A44="","",IFERROR(INDEX('Risk Tiering'!$L:$L,MATCH(A44,'Risk Tiering'!$A:$A,0)),"Not tiered"))</f>
        <v/>
      </c>
      <c r="J44" s="6"/>
      <c r="K44" s="6"/>
      <c r="L44" s="6"/>
      <c r="M44" s="6"/>
    </row>
    <row r="45" spans="1:13" x14ac:dyDescent="0.2">
      <c r="A45" s="6"/>
      <c r="B45" s="6"/>
      <c r="C45" s="6"/>
      <c r="D45" s="6"/>
      <c r="E45" s="6"/>
      <c r="F45" s="6"/>
      <c r="G45" s="6"/>
      <c r="H45" s="6"/>
      <c r="I45" s="7" t="str">
        <f>IF(A45="","",IFERROR(INDEX('Risk Tiering'!$L:$L,MATCH(A45,'Risk Tiering'!$A:$A,0)),"Not tiered"))</f>
        <v/>
      </c>
      <c r="J45" s="6"/>
      <c r="K45" s="6"/>
      <c r="L45" s="6"/>
      <c r="M45" s="6"/>
    </row>
    <row r="46" spans="1:13" x14ac:dyDescent="0.2">
      <c r="A46" s="6"/>
      <c r="B46" s="6"/>
      <c r="C46" s="6"/>
      <c r="D46" s="6"/>
      <c r="E46" s="6"/>
      <c r="F46" s="6"/>
      <c r="G46" s="6"/>
      <c r="H46" s="6"/>
      <c r="I46" s="7" t="str">
        <f>IF(A46="","",IFERROR(INDEX('Risk Tiering'!$L:$L,MATCH(A46,'Risk Tiering'!$A:$A,0)),"Not tiered"))</f>
        <v/>
      </c>
      <c r="J46" s="6"/>
      <c r="K46" s="6"/>
      <c r="L46" s="6"/>
      <c r="M46" s="6"/>
    </row>
    <row r="47" spans="1:13" x14ac:dyDescent="0.2">
      <c r="A47" s="6"/>
      <c r="B47" s="6"/>
      <c r="C47" s="6"/>
      <c r="D47" s="6"/>
      <c r="E47" s="6"/>
      <c r="F47" s="6"/>
      <c r="G47" s="6"/>
      <c r="H47" s="6"/>
      <c r="I47" s="7" t="str">
        <f>IF(A47="","",IFERROR(INDEX('Risk Tiering'!$L:$L,MATCH(A47,'Risk Tiering'!$A:$A,0)),"Not tiered"))</f>
        <v/>
      </c>
      <c r="J47" s="6"/>
      <c r="K47" s="6"/>
      <c r="L47" s="6"/>
      <c r="M47" s="6"/>
    </row>
    <row r="48" spans="1:13" x14ac:dyDescent="0.2">
      <c r="A48" s="6"/>
      <c r="B48" s="6"/>
      <c r="C48" s="6"/>
      <c r="D48" s="6"/>
      <c r="E48" s="6"/>
      <c r="F48" s="6"/>
      <c r="G48" s="6"/>
      <c r="H48" s="6"/>
      <c r="I48" s="7" t="str">
        <f>IF(A48="","",IFERROR(INDEX('Risk Tiering'!$L:$L,MATCH(A48,'Risk Tiering'!$A:$A,0)),"Not tiered"))</f>
        <v/>
      </c>
      <c r="J48" s="6"/>
      <c r="K48" s="6"/>
      <c r="L48" s="6"/>
      <c r="M48" s="6"/>
    </row>
    <row r="49" spans="1:13" x14ac:dyDescent="0.2">
      <c r="A49" s="6"/>
      <c r="B49" s="6"/>
      <c r="C49" s="6"/>
      <c r="D49" s="6"/>
      <c r="E49" s="6"/>
      <c r="F49" s="6"/>
      <c r="G49" s="6"/>
      <c r="H49" s="6"/>
      <c r="I49" s="7" t="str">
        <f>IF(A49="","",IFERROR(INDEX('Risk Tiering'!$L:$L,MATCH(A49,'Risk Tiering'!$A:$A,0)),"Not tiered"))</f>
        <v/>
      </c>
      <c r="J49" s="6"/>
      <c r="K49" s="6"/>
      <c r="L49" s="6"/>
      <c r="M49" s="6"/>
    </row>
    <row r="50" spans="1:13" x14ac:dyDescent="0.2">
      <c r="A50" s="6"/>
      <c r="B50" s="6"/>
      <c r="C50" s="6"/>
      <c r="D50" s="6"/>
      <c r="E50" s="6"/>
      <c r="F50" s="6"/>
      <c r="G50" s="6"/>
      <c r="H50" s="6"/>
      <c r="I50" s="7" t="str">
        <f>IF(A50="","",IFERROR(INDEX('Risk Tiering'!$L:$L,MATCH(A50,'Risk Tiering'!$A:$A,0)),"Not tiered"))</f>
        <v/>
      </c>
      <c r="J50" s="6"/>
      <c r="K50" s="6"/>
      <c r="L50" s="6"/>
      <c r="M50" s="6"/>
    </row>
    <row r="51" spans="1:13" x14ac:dyDescent="0.2">
      <c r="A51" s="6"/>
      <c r="B51" s="6"/>
      <c r="C51" s="6"/>
      <c r="D51" s="6"/>
      <c r="E51" s="6"/>
      <c r="F51" s="6"/>
      <c r="G51" s="6"/>
      <c r="H51" s="6"/>
      <c r="I51" s="7" t="str">
        <f>IF(A51="","",IFERROR(INDEX('Risk Tiering'!$L:$L,MATCH(A51,'Risk Tiering'!$A:$A,0)),"Not tiered"))</f>
        <v/>
      </c>
      <c r="J51" s="6"/>
      <c r="K51" s="6"/>
      <c r="L51" s="6"/>
      <c r="M51" s="6"/>
    </row>
    <row r="52" spans="1:13" x14ac:dyDescent="0.2">
      <c r="A52" s="6"/>
      <c r="B52" s="6"/>
      <c r="C52" s="6"/>
      <c r="D52" s="6"/>
      <c r="E52" s="6"/>
      <c r="F52" s="6"/>
      <c r="G52" s="6"/>
      <c r="H52" s="6"/>
      <c r="I52" s="7" t="str">
        <f>IF(A52="","",IFERROR(INDEX('Risk Tiering'!$L:$L,MATCH(A52,'Risk Tiering'!$A:$A,0)),"Not tiered"))</f>
        <v/>
      </c>
      <c r="J52" s="6"/>
      <c r="K52" s="6"/>
      <c r="L52" s="6"/>
      <c r="M52" s="6"/>
    </row>
    <row r="53" spans="1:13" x14ac:dyDescent="0.2">
      <c r="A53" s="6"/>
      <c r="B53" s="6"/>
      <c r="C53" s="6"/>
      <c r="D53" s="6"/>
      <c r="E53" s="6"/>
      <c r="F53" s="6"/>
      <c r="G53" s="6"/>
      <c r="H53" s="6"/>
      <c r="I53" s="7" t="str">
        <f>IF(A53="","",IFERROR(INDEX('Risk Tiering'!$L:$L,MATCH(A53,'Risk Tiering'!$A:$A,0)),"Not tiered"))</f>
        <v/>
      </c>
      <c r="J53" s="6"/>
      <c r="K53" s="6"/>
      <c r="L53" s="6"/>
      <c r="M53" s="6"/>
    </row>
    <row r="54" spans="1:13" x14ac:dyDescent="0.2">
      <c r="A54" s="6"/>
      <c r="B54" s="6"/>
      <c r="C54" s="6"/>
      <c r="D54" s="6"/>
      <c r="E54" s="6"/>
      <c r="F54" s="6"/>
      <c r="G54" s="6"/>
      <c r="H54" s="6"/>
      <c r="I54" s="7" t="str">
        <f>IF(A54="","",IFERROR(INDEX('Risk Tiering'!$L:$L,MATCH(A54,'Risk Tiering'!$A:$A,0)),"Not tiered"))</f>
        <v/>
      </c>
      <c r="J54" s="6"/>
      <c r="K54" s="6"/>
      <c r="L54" s="6"/>
      <c r="M54" s="6"/>
    </row>
    <row r="55" spans="1:13" x14ac:dyDescent="0.2">
      <c r="A55" s="6"/>
      <c r="B55" s="6"/>
      <c r="C55" s="6"/>
      <c r="D55" s="6"/>
      <c r="E55" s="6"/>
      <c r="F55" s="6"/>
      <c r="G55" s="6"/>
      <c r="H55" s="6"/>
      <c r="I55" s="7" t="str">
        <f>IF(A55="","",IFERROR(INDEX('Risk Tiering'!$L:$L,MATCH(A55,'Risk Tiering'!$A:$A,0)),"Not tiered"))</f>
        <v/>
      </c>
      <c r="J55" s="6"/>
      <c r="K55" s="6"/>
      <c r="L55" s="6"/>
      <c r="M55" s="6"/>
    </row>
    <row r="56" spans="1:13" x14ac:dyDescent="0.2">
      <c r="A56" s="6"/>
      <c r="B56" s="6"/>
      <c r="C56" s="6"/>
      <c r="D56" s="6"/>
      <c r="E56" s="6"/>
      <c r="F56" s="6"/>
      <c r="G56" s="6"/>
      <c r="H56" s="6"/>
      <c r="I56" s="7" t="str">
        <f>IF(A56="","",IFERROR(INDEX('Risk Tiering'!$L:$L,MATCH(A56,'Risk Tiering'!$A:$A,0)),"Not tiered"))</f>
        <v/>
      </c>
      <c r="J56" s="6"/>
      <c r="K56" s="6"/>
      <c r="L56" s="6"/>
      <c r="M56" s="6"/>
    </row>
    <row r="57" spans="1:13" x14ac:dyDescent="0.2">
      <c r="A57" s="6"/>
      <c r="B57" s="6"/>
      <c r="C57" s="6"/>
      <c r="D57" s="6"/>
      <c r="E57" s="6"/>
      <c r="F57" s="6"/>
      <c r="G57" s="6"/>
      <c r="H57" s="6"/>
      <c r="I57" s="7" t="str">
        <f>IF(A57="","",IFERROR(INDEX('Risk Tiering'!$L:$L,MATCH(A57,'Risk Tiering'!$A:$A,0)),"Not tiered"))</f>
        <v/>
      </c>
      <c r="J57" s="6"/>
      <c r="K57" s="6"/>
      <c r="L57" s="6"/>
      <c r="M57" s="6"/>
    </row>
    <row r="58" spans="1:13" x14ac:dyDescent="0.2">
      <c r="A58" s="6"/>
      <c r="B58" s="6"/>
      <c r="C58" s="6"/>
      <c r="D58" s="6"/>
      <c r="E58" s="6"/>
      <c r="F58" s="6"/>
      <c r="G58" s="6"/>
      <c r="H58" s="6"/>
      <c r="I58" s="7" t="str">
        <f>IF(A58="","",IFERROR(INDEX('Risk Tiering'!$L:$L,MATCH(A58,'Risk Tiering'!$A:$A,0)),"Not tiered"))</f>
        <v/>
      </c>
      <c r="J58" s="6"/>
      <c r="K58" s="6"/>
      <c r="L58" s="6"/>
      <c r="M58" s="6"/>
    </row>
    <row r="59" spans="1:13" x14ac:dyDescent="0.2">
      <c r="A59" s="6"/>
      <c r="B59" s="6"/>
      <c r="C59" s="6"/>
      <c r="D59" s="6"/>
      <c r="E59" s="6"/>
      <c r="F59" s="6"/>
      <c r="G59" s="6"/>
      <c r="H59" s="6"/>
      <c r="I59" s="7" t="str">
        <f>IF(A59="","",IFERROR(INDEX('Risk Tiering'!$L:$L,MATCH(A59,'Risk Tiering'!$A:$A,0)),"Not tiered"))</f>
        <v/>
      </c>
      <c r="J59" s="6"/>
      <c r="K59" s="6"/>
      <c r="L59" s="6"/>
      <c r="M59" s="6"/>
    </row>
    <row r="60" spans="1:13" x14ac:dyDescent="0.2">
      <c r="A60" s="6"/>
      <c r="B60" s="6"/>
      <c r="C60" s="6"/>
      <c r="D60" s="6"/>
      <c r="E60" s="6"/>
      <c r="F60" s="6"/>
      <c r="G60" s="6"/>
      <c r="H60" s="6"/>
      <c r="I60" s="7" t="str">
        <f>IF(A60="","",IFERROR(INDEX('Risk Tiering'!$L:$L,MATCH(A60,'Risk Tiering'!$A:$A,0)),"Not tiered"))</f>
        <v/>
      </c>
      <c r="J60" s="6"/>
      <c r="K60" s="6"/>
      <c r="L60" s="6"/>
      <c r="M60" s="6"/>
    </row>
    <row r="61" spans="1:13" x14ac:dyDescent="0.2">
      <c r="A61" s="6"/>
      <c r="B61" s="6"/>
      <c r="C61" s="6"/>
      <c r="D61" s="6"/>
      <c r="E61" s="6"/>
      <c r="F61" s="6"/>
      <c r="G61" s="6"/>
      <c r="H61" s="6"/>
      <c r="I61" s="7" t="str">
        <f>IF(A61="","",IFERROR(INDEX('Risk Tiering'!$L:$L,MATCH(A61,'Risk Tiering'!$A:$A,0)),"Not tiered"))</f>
        <v/>
      </c>
      <c r="J61" s="6"/>
      <c r="K61" s="6"/>
      <c r="L61" s="6"/>
      <c r="M61" s="6"/>
    </row>
    <row r="62" spans="1:13" x14ac:dyDescent="0.2">
      <c r="A62" s="6"/>
      <c r="B62" s="6"/>
      <c r="C62" s="6"/>
      <c r="D62" s="6"/>
      <c r="E62" s="6"/>
      <c r="F62" s="6"/>
      <c r="G62" s="6"/>
      <c r="H62" s="6"/>
      <c r="I62" s="7" t="str">
        <f>IF(A62="","",IFERROR(INDEX('Risk Tiering'!$L:$L,MATCH(A62,'Risk Tiering'!$A:$A,0)),"Not tiered"))</f>
        <v/>
      </c>
      <c r="J62" s="6"/>
      <c r="K62" s="6"/>
      <c r="L62" s="6"/>
      <c r="M62" s="6"/>
    </row>
    <row r="63" spans="1:13" x14ac:dyDescent="0.2">
      <c r="A63" s="6"/>
      <c r="B63" s="6"/>
      <c r="C63" s="6"/>
      <c r="D63" s="6"/>
      <c r="E63" s="6"/>
      <c r="F63" s="6"/>
      <c r="G63" s="6"/>
      <c r="H63" s="6"/>
      <c r="I63" s="7" t="str">
        <f>IF(A63="","",IFERROR(INDEX('Risk Tiering'!$L:$L,MATCH(A63,'Risk Tiering'!$A:$A,0)),"Not tiered"))</f>
        <v/>
      </c>
      <c r="J63" s="6"/>
      <c r="K63" s="6"/>
      <c r="L63" s="6"/>
      <c r="M63" s="6"/>
    </row>
    <row r="64" spans="1:13" x14ac:dyDescent="0.2">
      <c r="A64" s="6"/>
      <c r="B64" s="6"/>
      <c r="C64" s="6"/>
      <c r="D64" s="6"/>
      <c r="E64" s="6"/>
      <c r="F64" s="6"/>
      <c r="G64" s="6"/>
      <c r="H64" s="6"/>
      <c r="I64" s="7" t="str">
        <f>IF(A64="","",IFERROR(INDEX('Risk Tiering'!$L:$L,MATCH(A64,'Risk Tiering'!$A:$A,0)),"Not tiered"))</f>
        <v/>
      </c>
      <c r="J64" s="6"/>
      <c r="K64" s="6"/>
      <c r="L64" s="6"/>
      <c r="M64" s="6"/>
    </row>
    <row r="65" spans="1:13" x14ac:dyDescent="0.2">
      <c r="A65" s="6"/>
      <c r="B65" s="6"/>
      <c r="C65" s="6"/>
      <c r="D65" s="6"/>
      <c r="E65" s="6"/>
      <c r="F65" s="6"/>
      <c r="G65" s="6"/>
      <c r="H65" s="6"/>
      <c r="I65" s="7" t="str">
        <f>IF(A65="","",IFERROR(INDEX('Risk Tiering'!$L:$L,MATCH(A65,'Risk Tiering'!$A:$A,0)),"Not tiered"))</f>
        <v/>
      </c>
      <c r="J65" s="6"/>
      <c r="K65" s="6"/>
      <c r="L65" s="6"/>
      <c r="M65" s="6"/>
    </row>
    <row r="66" spans="1:13" x14ac:dyDescent="0.2">
      <c r="A66" s="6"/>
      <c r="B66" s="6"/>
      <c r="C66" s="6"/>
      <c r="D66" s="6"/>
      <c r="E66" s="6"/>
      <c r="F66" s="6"/>
      <c r="G66" s="6"/>
      <c r="H66" s="6"/>
      <c r="I66" s="7" t="str">
        <f>IF(A66="","",IFERROR(INDEX('Risk Tiering'!$L:$L,MATCH(A66,'Risk Tiering'!$A:$A,0)),"Not tiered"))</f>
        <v/>
      </c>
      <c r="J66" s="6"/>
      <c r="K66" s="6"/>
      <c r="L66" s="6"/>
      <c r="M66" s="6"/>
    </row>
    <row r="67" spans="1:13" x14ac:dyDescent="0.2">
      <c r="A67" s="6"/>
      <c r="B67" s="6"/>
      <c r="C67" s="6"/>
      <c r="D67" s="6"/>
      <c r="E67" s="6"/>
      <c r="F67" s="6"/>
      <c r="G67" s="6"/>
      <c r="H67" s="6"/>
      <c r="I67" s="7" t="str">
        <f>IF(A67="","",IFERROR(INDEX('Risk Tiering'!$L:$L,MATCH(A67,'Risk Tiering'!$A:$A,0)),"Not tiered"))</f>
        <v/>
      </c>
      <c r="J67" s="6"/>
      <c r="K67" s="6"/>
      <c r="L67" s="6"/>
      <c r="M67" s="6"/>
    </row>
    <row r="68" spans="1:13" x14ac:dyDescent="0.2">
      <c r="A68" s="6"/>
      <c r="B68" s="6"/>
      <c r="C68" s="6"/>
      <c r="D68" s="6"/>
      <c r="E68" s="6"/>
      <c r="F68" s="6"/>
      <c r="G68" s="6"/>
      <c r="H68" s="6"/>
      <c r="I68" s="7" t="str">
        <f>IF(A68="","",IFERROR(INDEX('Risk Tiering'!$L:$L,MATCH(A68,'Risk Tiering'!$A:$A,0)),"Not tiered"))</f>
        <v/>
      </c>
      <c r="J68" s="6"/>
      <c r="K68" s="6"/>
      <c r="L68" s="6"/>
      <c r="M68" s="6"/>
    </row>
    <row r="69" spans="1:13" x14ac:dyDescent="0.2">
      <c r="A69" s="6"/>
      <c r="B69" s="6"/>
      <c r="C69" s="6"/>
      <c r="D69" s="6"/>
      <c r="E69" s="6"/>
      <c r="F69" s="6"/>
      <c r="G69" s="6"/>
      <c r="H69" s="6"/>
      <c r="I69" s="7" t="str">
        <f>IF(A69="","",IFERROR(INDEX('Risk Tiering'!$L:$L,MATCH(A69,'Risk Tiering'!$A:$A,0)),"Not tiered"))</f>
        <v/>
      </c>
      <c r="J69" s="6"/>
      <c r="K69" s="6"/>
      <c r="L69" s="6"/>
      <c r="M69" s="6"/>
    </row>
    <row r="70" spans="1:13" x14ac:dyDescent="0.2">
      <c r="A70" s="6"/>
      <c r="B70" s="6"/>
      <c r="C70" s="6"/>
      <c r="D70" s="6"/>
      <c r="E70" s="6"/>
      <c r="F70" s="6"/>
      <c r="G70" s="6"/>
      <c r="H70" s="6"/>
      <c r="I70" s="7" t="str">
        <f>IF(A70="","",IFERROR(INDEX('Risk Tiering'!$L:$L,MATCH(A70,'Risk Tiering'!$A:$A,0)),"Not tiered"))</f>
        <v/>
      </c>
      <c r="J70" s="6"/>
      <c r="K70" s="6"/>
      <c r="L70" s="6"/>
      <c r="M70" s="6"/>
    </row>
    <row r="71" spans="1:13" x14ac:dyDescent="0.2">
      <c r="A71" s="6"/>
      <c r="B71" s="6"/>
      <c r="C71" s="6"/>
      <c r="D71" s="6"/>
      <c r="E71" s="6"/>
      <c r="F71" s="6"/>
      <c r="G71" s="6"/>
      <c r="H71" s="6"/>
      <c r="I71" s="7" t="str">
        <f>IF(A71="","",IFERROR(INDEX('Risk Tiering'!$L:$L,MATCH(A71,'Risk Tiering'!$A:$A,0)),"Not tiered"))</f>
        <v/>
      </c>
      <c r="J71" s="6"/>
      <c r="K71" s="6"/>
      <c r="L71" s="6"/>
      <c r="M71" s="6"/>
    </row>
    <row r="72" spans="1:13" x14ac:dyDescent="0.2">
      <c r="A72" s="6"/>
      <c r="B72" s="6"/>
      <c r="C72" s="6"/>
      <c r="D72" s="6"/>
      <c r="E72" s="6"/>
      <c r="F72" s="6"/>
      <c r="G72" s="6"/>
      <c r="H72" s="6"/>
      <c r="I72" s="7" t="str">
        <f>IF(A72="","",IFERROR(INDEX('Risk Tiering'!$L:$L,MATCH(A72,'Risk Tiering'!$A:$A,0)),"Not tiered"))</f>
        <v/>
      </c>
      <c r="J72" s="6"/>
      <c r="K72" s="6"/>
      <c r="L72" s="6"/>
      <c r="M72" s="6"/>
    </row>
    <row r="73" spans="1:13" x14ac:dyDescent="0.2">
      <c r="A73" s="6"/>
      <c r="B73" s="6"/>
      <c r="C73" s="6"/>
      <c r="D73" s="6"/>
      <c r="E73" s="6"/>
      <c r="F73" s="6"/>
      <c r="G73" s="6"/>
      <c r="H73" s="6"/>
      <c r="I73" s="7" t="str">
        <f>IF(A73="","",IFERROR(INDEX('Risk Tiering'!$L:$L,MATCH(A73,'Risk Tiering'!$A:$A,0)),"Not tiered"))</f>
        <v/>
      </c>
      <c r="J73" s="6"/>
      <c r="K73" s="6"/>
      <c r="L73" s="6"/>
      <c r="M73" s="6"/>
    </row>
    <row r="74" spans="1:13" x14ac:dyDescent="0.2">
      <c r="A74" s="6"/>
      <c r="B74" s="6"/>
      <c r="C74" s="6"/>
      <c r="D74" s="6"/>
      <c r="E74" s="6"/>
      <c r="F74" s="6"/>
      <c r="G74" s="6"/>
      <c r="H74" s="6"/>
      <c r="I74" s="7" t="str">
        <f>IF(A74="","",IFERROR(INDEX('Risk Tiering'!$L:$L,MATCH(A74,'Risk Tiering'!$A:$A,0)),"Not tiered"))</f>
        <v/>
      </c>
      <c r="J74" s="6"/>
      <c r="K74" s="6"/>
      <c r="L74" s="6"/>
      <c r="M74" s="6"/>
    </row>
    <row r="75" spans="1:13" x14ac:dyDescent="0.2">
      <c r="A75" s="6"/>
      <c r="B75" s="6"/>
      <c r="C75" s="6"/>
      <c r="D75" s="6"/>
      <c r="E75" s="6"/>
      <c r="F75" s="6"/>
      <c r="G75" s="6"/>
      <c r="H75" s="6"/>
      <c r="I75" s="7" t="str">
        <f>IF(A75="","",IFERROR(INDEX('Risk Tiering'!$L:$L,MATCH(A75,'Risk Tiering'!$A:$A,0)),"Not tiered"))</f>
        <v/>
      </c>
      <c r="J75" s="6"/>
      <c r="K75" s="6"/>
      <c r="L75" s="6"/>
      <c r="M75" s="6"/>
    </row>
    <row r="76" spans="1:13" x14ac:dyDescent="0.2">
      <c r="A76" s="6"/>
      <c r="B76" s="6"/>
      <c r="C76" s="6"/>
      <c r="D76" s="6"/>
      <c r="E76" s="6"/>
      <c r="F76" s="6"/>
      <c r="G76" s="6"/>
      <c r="H76" s="6"/>
      <c r="I76" s="7" t="str">
        <f>IF(A76="","",IFERROR(INDEX('Risk Tiering'!$L:$L,MATCH(A76,'Risk Tiering'!$A:$A,0)),"Not tiered"))</f>
        <v/>
      </c>
      <c r="J76" s="6"/>
      <c r="K76" s="6"/>
      <c r="L76" s="6"/>
      <c r="M76" s="6"/>
    </row>
    <row r="77" spans="1:13" x14ac:dyDescent="0.2">
      <c r="A77" s="6"/>
      <c r="B77" s="6"/>
      <c r="C77" s="6"/>
      <c r="D77" s="6"/>
      <c r="E77" s="6"/>
      <c r="F77" s="6"/>
      <c r="G77" s="6"/>
      <c r="H77" s="6"/>
      <c r="I77" s="7" t="str">
        <f>IF(A77="","",IFERROR(INDEX('Risk Tiering'!$L:$L,MATCH(A77,'Risk Tiering'!$A:$A,0)),"Not tiered"))</f>
        <v/>
      </c>
      <c r="J77" s="6"/>
      <c r="K77" s="6"/>
      <c r="L77" s="6"/>
      <c r="M77" s="6"/>
    </row>
    <row r="78" spans="1:13" x14ac:dyDescent="0.2">
      <c r="A78" s="6"/>
      <c r="B78" s="6"/>
      <c r="C78" s="6"/>
      <c r="D78" s="6"/>
      <c r="E78" s="6"/>
      <c r="F78" s="6"/>
      <c r="G78" s="6"/>
      <c r="H78" s="6"/>
      <c r="I78" s="7" t="str">
        <f>IF(A78="","",IFERROR(INDEX('Risk Tiering'!$L:$L,MATCH(A78,'Risk Tiering'!$A:$A,0)),"Not tiered"))</f>
        <v/>
      </c>
      <c r="J78" s="6"/>
      <c r="K78" s="6"/>
      <c r="L78" s="6"/>
      <c r="M78" s="6"/>
    </row>
    <row r="79" spans="1:13" x14ac:dyDescent="0.2">
      <c r="A79" s="6"/>
      <c r="B79" s="6"/>
      <c r="C79" s="6"/>
      <c r="D79" s="6"/>
      <c r="E79" s="6"/>
      <c r="F79" s="6"/>
      <c r="G79" s="6"/>
      <c r="H79" s="6"/>
      <c r="I79" s="7" t="str">
        <f>IF(A79="","",IFERROR(INDEX('Risk Tiering'!$L:$L,MATCH(A79,'Risk Tiering'!$A:$A,0)),"Not tiered"))</f>
        <v/>
      </c>
      <c r="J79" s="6"/>
      <c r="K79" s="6"/>
      <c r="L79" s="6"/>
      <c r="M79" s="6"/>
    </row>
    <row r="80" spans="1:13" x14ac:dyDescent="0.2">
      <c r="A80" s="6"/>
      <c r="B80" s="6"/>
      <c r="C80" s="6"/>
      <c r="D80" s="6"/>
      <c r="E80" s="6"/>
      <c r="F80" s="6"/>
      <c r="G80" s="6"/>
      <c r="H80" s="6"/>
      <c r="I80" s="7" t="str">
        <f>IF(A80="","",IFERROR(INDEX('Risk Tiering'!$L:$L,MATCH(A80,'Risk Tiering'!$A:$A,0)),"Not tiered"))</f>
        <v/>
      </c>
      <c r="J80" s="6"/>
      <c r="K80" s="6"/>
      <c r="L80" s="6"/>
      <c r="M80" s="6"/>
    </row>
    <row r="81" spans="1:13" x14ac:dyDescent="0.2">
      <c r="A81" s="6"/>
      <c r="B81" s="6"/>
      <c r="C81" s="6"/>
      <c r="D81" s="6"/>
      <c r="E81" s="6"/>
      <c r="F81" s="6"/>
      <c r="G81" s="6"/>
      <c r="H81" s="6"/>
      <c r="I81" s="7" t="str">
        <f>IF(A81="","",IFERROR(INDEX('Risk Tiering'!$L:$L,MATCH(A81,'Risk Tiering'!$A:$A,0)),"Not tiered"))</f>
        <v/>
      </c>
      <c r="J81" s="6"/>
      <c r="K81" s="6"/>
      <c r="L81" s="6"/>
      <c r="M81" s="6"/>
    </row>
    <row r="82" spans="1:13" x14ac:dyDescent="0.2">
      <c r="A82" s="6"/>
      <c r="B82" s="6"/>
      <c r="C82" s="6"/>
      <c r="D82" s="6"/>
      <c r="E82" s="6"/>
      <c r="F82" s="6"/>
      <c r="G82" s="6"/>
      <c r="H82" s="6"/>
      <c r="I82" s="7" t="str">
        <f>IF(A82="","",IFERROR(INDEX('Risk Tiering'!$L:$L,MATCH(A82,'Risk Tiering'!$A:$A,0)),"Not tiered"))</f>
        <v/>
      </c>
      <c r="J82" s="6"/>
      <c r="K82" s="6"/>
      <c r="L82" s="6"/>
      <c r="M82" s="6"/>
    </row>
    <row r="83" spans="1:13" x14ac:dyDescent="0.2">
      <c r="A83" s="6"/>
      <c r="B83" s="6"/>
      <c r="C83" s="6"/>
      <c r="D83" s="6"/>
      <c r="E83" s="6"/>
      <c r="F83" s="6"/>
      <c r="G83" s="6"/>
      <c r="H83" s="6"/>
      <c r="I83" s="7" t="str">
        <f>IF(A83="","",IFERROR(INDEX('Risk Tiering'!$L:$L,MATCH(A83,'Risk Tiering'!$A:$A,0)),"Not tiered"))</f>
        <v/>
      </c>
      <c r="J83" s="6"/>
      <c r="K83" s="6"/>
      <c r="L83" s="6"/>
      <c r="M83" s="6"/>
    </row>
    <row r="84" spans="1:13" x14ac:dyDescent="0.2">
      <c r="A84" s="6"/>
      <c r="B84" s="6"/>
      <c r="C84" s="6"/>
      <c r="D84" s="6"/>
      <c r="E84" s="6"/>
      <c r="F84" s="6"/>
      <c r="G84" s="6"/>
      <c r="H84" s="6"/>
      <c r="I84" s="7" t="str">
        <f>IF(A84="","",IFERROR(INDEX('Risk Tiering'!$L:$L,MATCH(A84,'Risk Tiering'!$A:$A,0)),"Not tiered"))</f>
        <v/>
      </c>
      <c r="J84" s="6"/>
      <c r="K84" s="6"/>
      <c r="L84" s="6"/>
      <c r="M84" s="6"/>
    </row>
    <row r="85" spans="1:13" x14ac:dyDescent="0.2">
      <c r="A85" s="6"/>
      <c r="B85" s="6"/>
      <c r="C85" s="6"/>
      <c r="D85" s="6"/>
      <c r="E85" s="6"/>
      <c r="F85" s="6"/>
      <c r="G85" s="6"/>
      <c r="H85" s="6"/>
      <c r="I85" s="7" t="str">
        <f>IF(A85="","",IFERROR(INDEX('Risk Tiering'!$L:$L,MATCH(A85,'Risk Tiering'!$A:$A,0)),"Not tiered"))</f>
        <v/>
      </c>
      <c r="J85" s="6"/>
      <c r="K85" s="6"/>
      <c r="L85" s="6"/>
      <c r="M85" s="6"/>
    </row>
    <row r="86" spans="1:13" x14ac:dyDescent="0.2">
      <c r="A86" s="6"/>
      <c r="B86" s="6"/>
      <c r="C86" s="6"/>
      <c r="D86" s="6"/>
      <c r="E86" s="6"/>
      <c r="F86" s="6"/>
      <c r="G86" s="6"/>
      <c r="H86" s="6"/>
      <c r="I86" s="7" t="str">
        <f>IF(A86="","",IFERROR(INDEX('Risk Tiering'!$L:$L,MATCH(A86,'Risk Tiering'!$A:$A,0)),"Not tiered"))</f>
        <v/>
      </c>
      <c r="J86" s="6"/>
      <c r="K86" s="6"/>
      <c r="L86" s="6"/>
      <c r="M86" s="6"/>
    </row>
    <row r="87" spans="1:13" x14ac:dyDescent="0.2">
      <c r="A87" s="6"/>
      <c r="B87" s="6"/>
      <c r="C87" s="6"/>
      <c r="D87" s="6"/>
      <c r="E87" s="6"/>
      <c r="F87" s="6"/>
      <c r="G87" s="6"/>
      <c r="H87" s="6"/>
      <c r="I87" s="7" t="str">
        <f>IF(A87="","",IFERROR(INDEX('Risk Tiering'!$L:$L,MATCH(A87,'Risk Tiering'!$A:$A,0)),"Not tiered"))</f>
        <v/>
      </c>
      <c r="J87" s="6"/>
      <c r="K87" s="6"/>
      <c r="L87" s="6"/>
      <c r="M87" s="6"/>
    </row>
    <row r="88" spans="1:13" x14ac:dyDescent="0.2">
      <c r="A88" s="6"/>
      <c r="B88" s="6"/>
      <c r="C88" s="6"/>
      <c r="D88" s="6"/>
      <c r="E88" s="6"/>
      <c r="F88" s="6"/>
      <c r="G88" s="6"/>
      <c r="H88" s="6"/>
      <c r="I88" s="7" t="str">
        <f>IF(A88="","",IFERROR(INDEX('Risk Tiering'!$L:$L,MATCH(A88,'Risk Tiering'!$A:$A,0)),"Not tiered"))</f>
        <v/>
      </c>
      <c r="J88" s="6"/>
      <c r="K88" s="6"/>
      <c r="L88" s="6"/>
      <c r="M88" s="6"/>
    </row>
    <row r="89" spans="1:13" x14ac:dyDescent="0.2">
      <c r="A89" s="6"/>
      <c r="B89" s="6"/>
      <c r="C89" s="6"/>
      <c r="D89" s="6"/>
      <c r="E89" s="6"/>
      <c r="F89" s="6"/>
      <c r="G89" s="6"/>
      <c r="H89" s="6"/>
      <c r="I89" s="7" t="str">
        <f>IF(A89="","",IFERROR(INDEX('Risk Tiering'!$L:$L,MATCH(A89,'Risk Tiering'!$A:$A,0)),"Not tiered"))</f>
        <v/>
      </c>
      <c r="J89" s="6"/>
      <c r="K89" s="6"/>
      <c r="L89" s="6"/>
      <c r="M89" s="6"/>
    </row>
    <row r="90" spans="1:13" x14ac:dyDescent="0.2">
      <c r="A90" s="6"/>
      <c r="B90" s="6"/>
      <c r="C90" s="6"/>
      <c r="D90" s="6"/>
      <c r="E90" s="6"/>
      <c r="F90" s="6"/>
      <c r="G90" s="6"/>
      <c r="H90" s="6"/>
      <c r="I90" s="7" t="str">
        <f>IF(A90="","",IFERROR(INDEX('Risk Tiering'!$L:$L,MATCH(A90,'Risk Tiering'!$A:$A,0)),"Not tiered"))</f>
        <v/>
      </c>
      <c r="J90" s="6"/>
      <c r="K90" s="6"/>
      <c r="L90" s="6"/>
      <c r="M90" s="6"/>
    </row>
    <row r="91" spans="1:13" x14ac:dyDescent="0.2">
      <c r="A91" s="6"/>
      <c r="B91" s="6"/>
      <c r="C91" s="6"/>
      <c r="D91" s="6"/>
      <c r="E91" s="6"/>
      <c r="F91" s="6"/>
      <c r="G91" s="6"/>
      <c r="H91" s="6"/>
      <c r="I91" s="7" t="str">
        <f>IF(A91="","",IFERROR(INDEX('Risk Tiering'!$L:$L,MATCH(A91,'Risk Tiering'!$A:$A,0)),"Not tiered"))</f>
        <v/>
      </c>
      <c r="J91" s="6"/>
      <c r="K91" s="6"/>
      <c r="L91" s="6"/>
      <c r="M91" s="6"/>
    </row>
    <row r="92" spans="1:13" x14ac:dyDescent="0.2">
      <c r="A92" s="6"/>
      <c r="B92" s="6"/>
      <c r="C92" s="6"/>
      <c r="D92" s="6"/>
      <c r="E92" s="6"/>
      <c r="F92" s="6"/>
      <c r="G92" s="6"/>
      <c r="H92" s="6"/>
      <c r="I92" s="7" t="str">
        <f>IF(A92="","",IFERROR(INDEX('Risk Tiering'!$L:$L,MATCH(A92,'Risk Tiering'!$A:$A,0)),"Not tiered"))</f>
        <v/>
      </c>
      <c r="J92" s="6"/>
      <c r="K92" s="6"/>
      <c r="L92" s="6"/>
      <c r="M92" s="6"/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7" t="str">
        <f>IF(A93="","",IFERROR(INDEX('Risk Tiering'!$L:$L,MATCH(A93,'Risk Tiering'!$A:$A,0)),"Not tiered"))</f>
        <v/>
      </c>
      <c r="J93" s="6"/>
      <c r="K93" s="6"/>
      <c r="L93" s="6"/>
      <c r="M93" s="6"/>
    </row>
    <row r="94" spans="1:13" x14ac:dyDescent="0.2">
      <c r="A94" s="6"/>
      <c r="B94" s="6"/>
      <c r="C94" s="6"/>
      <c r="D94" s="6"/>
      <c r="E94" s="6"/>
      <c r="F94" s="6"/>
      <c r="G94" s="6"/>
      <c r="H94" s="6"/>
      <c r="I94" s="7" t="str">
        <f>IF(A94="","",IFERROR(INDEX('Risk Tiering'!$L:$L,MATCH(A94,'Risk Tiering'!$A:$A,0)),"Not tiered"))</f>
        <v/>
      </c>
      <c r="J94" s="6"/>
      <c r="K94" s="6"/>
      <c r="L94" s="6"/>
      <c r="M94" s="6"/>
    </row>
    <row r="95" spans="1:13" x14ac:dyDescent="0.2">
      <c r="A95" s="6"/>
      <c r="B95" s="6"/>
      <c r="C95" s="6"/>
      <c r="D95" s="6"/>
      <c r="E95" s="6"/>
      <c r="F95" s="6"/>
      <c r="G95" s="6"/>
      <c r="H95" s="6"/>
      <c r="I95" s="7" t="str">
        <f>IF(A95="","",IFERROR(INDEX('Risk Tiering'!$L:$L,MATCH(A95,'Risk Tiering'!$A:$A,0)),"Not tiered"))</f>
        <v/>
      </c>
      <c r="J95" s="6"/>
      <c r="K95" s="6"/>
      <c r="L95" s="6"/>
      <c r="M95" s="6"/>
    </row>
    <row r="96" spans="1:13" x14ac:dyDescent="0.2">
      <c r="A96" s="6"/>
      <c r="B96" s="6"/>
      <c r="C96" s="6"/>
      <c r="D96" s="6"/>
      <c r="E96" s="6"/>
      <c r="F96" s="6"/>
      <c r="G96" s="6"/>
      <c r="H96" s="6"/>
      <c r="I96" s="7" t="str">
        <f>IF(A96="","",IFERROR(INDEX('Risk Tiering'!$L:$L,MATCH(A96,'Risk Tiering'!$A:$A,0)),"Not tiered"))</f>
        <v/>
      </c>
      <c r="J96" s="6"/>
      <c r="K96" s="6"/>
      <c r="L96" s="6"/>
      <c r="M96" s="6"/>
    </row>
    <row r="97" spans="1:13" x14ac:dyDescent="0.2">
      <c r="A97" s="6"/>
      <c r="B97" s="6"/>
      <c r="C97" s="6"/>
      <c r="D97" s="6"/>
      <c r="E97" s="6"/>
      <c r="F97" s="6"/>
      <c r="G97" s="6"/>
      <c r="H97" s="6"/>
      <c r="I97" s="7" t="str">
        <f>IF(A97="","",IFERROR(INDEX('Risk Tiering'!$L:$L,MATCH(A97,'Risk Tiering'!$A:$A,0)),"Not tiered"))</f>
        <v/>
      </c>
      <c r="J97" s="6"/>
      <c r="K97" s="6"/>
      <c r="L97" s="6"/>
      <c r="M97" s="6"/>
    </row>
    <row r="98" spans="1:13" x14ac:dyDescent="0.2">
      <c r="A98" s="6"/>
      <c r="B98" s="6"/>
      <c r="C98" s="6"/>
      <c r="D98" s="6"/>
      <c r="E98" s="6"/>
      <c r="F98" s="6"/>
      <c r="G98" s="6"/>
      <c r="H98" s="6"/>
      <c r="I98" s="7" t="str">
        <f>IF(A98="","",IFERROR(INDEX('Risk Tiering'!$L:$L,MATCH(A98,'Risk Tiering'!$A:$A,0)),"Not tiered"))</f>
        <v/>
      </c>
      <c r="J98" s="6"/>
      <c r="K98" s="6"/>
      <c r="L98" s="6"/>
      <c r="M98" s="6"/>
    </row>
    <row r="99" spans="1:13" x14ac:dyDescent="0.2">
      <c r="A99" s="6"/>
      <c r="B99" s="6"/>
      <c r="C99" s="6"/>
      <c r="D99" s="6"/>
      <c r="E99" s="6"/>
      <c r="F99" s="6"/>
      <c r="G99" s="6"/>
      <c r="H99" s="6"/>
      <c r="I99" s="7" t="str">
        <f>IF(A99="","",IFERROR(INDEX('Risk Tiering'!$L:$L,MATCH(A99,'Risk Tiering'!$A:$A,0)),"Not tiered"))</f>
        <v/>
      </c>
      <c r="J99" s="6"/>
      <c r="K99" s="6"/>
      <c r="L99" s="6"/>
      <c r="M99" s="6"/>
    </row>
    <row r="100" spans="1:13" x14ac:dyDescent="0.2">
      <c r="A100" s="6"/>
      <c r="B100" s="6"/>
      <c r="C100" s="6"/>
      <c r="D100" s="6"/>
      <c r="E100" s="6"/>
      <c r="F100" s="6"/>
      <c r="G100" s="6"/>
      <c r="H100" s="6"/>
      <c r="I100" s="7" t="str">
        <f>IF(A100="","",IFERROR(INDEX('Risk Tiering'!$L:$L,MATCH(A100,'Risk Tiering'!$A:$A,0)),"Not tiered"))</f>
        <v/>
      </c>
      <c r="J100" s="6"/>
      <c r="K100" s="6"/>
      <c r="L100" s="6"/>
      <c r="M100" s="6"/>
    </row>
    <row r="101" spans="1:13" x14ac:dyDescent="0.2">
      <c r="A101" s="6"/>
      <c r="B101" s="6"/>
      <c r="C101" s="6"/>
      <c r="D101" s="6"/>
      <c r="E101" s="6"/>
      <c r="F101" s="6"/>
      <c r="G101" s="6"/>
      <c r="H101" s="6"/>
      <c r="I101" s="7" t="str">
        <f>IF(A101="","",IFERROR(INDEX('Risk Tiering'!$L:$L,MATCH(A101,'Risk Tiering'!$A:$A,0)),"Not tiered"))</f>
        <v/>
      </c>
      <c r="J101" s="6"/>
      <c r="K101" s="6"/>
      <c r="L101" s="6"/>
      <c r="M101" s="6"/>
    </row>
    <row r="102" spans="1:13" x14ac:dyDescent="0.2">
      <c r="A102" s="6"/>
      <c r="B102" s="6"/>
      <c r="C102" s="6"/>
      <c r="D102" s="6"/>
      <c r="E102" s="6"/>
      <c r="F102" s="6"/>
      <c r="G102" s="6"/>
      <c r="H102" s="6"/>
      <c r="I102" s="7" t="str">
        <f>IF(A102="","",IFERROR(INDEX('Risk Tiering'!$L:$L,MATCH(A102,'Risk Tiering'!$A:$A,0)),"Not tiered"))</f>
        <v/>
      </c>
      <c r="J102" s="6"/>
      <c r="K102" s="6"/>
      <c r="L102" s="6"/>
      <c r="M102" s="6"/>
    </row>
    <row r="103" spans="1:13" x14ac:dyDescent="0.2">
      <c r="A103" s="6"/>
      <c r="B103" s="6"/>
      <c r="C103" s="6"/>
      <c r="D103" s="6"/>
      <c r="E103" s="6"/>
      <c r="F103" s="6"/>
      <c r="G103" s="6"/>
      <c r="H103" s="6"/>
      <c r="I103" s="7" t="str">
        <f>IF(A103="","",IFERROR(INDEX('Risk Tiering'!$L:$L,MATCH(A103,'Risk Tiering'!$A:$A,0)),"Not tiered"))</f>
        <v/>
      </c>
      <c r="J103" s="6"/>
      <c r="K103" s="6"/>
      <c r="L103" s="6"/>
      <c r="M103" s="6"/>
    </row>
    <row r="104" spans="1:13" x14ac:dyDescent="0.2">
      <c r="A104" s="6"/>
      <c r="B104" s="6"/>
      <c r="C104" s="6"/>
      <c r="D104" s="6"/>
      <c r="E104" s="6"/>
      <c r="F104" s="6"/>
      <c r="G104" s="6"/>
      <c r="H104" s="6"/>
      <c r="I104" s="7" t="str">
        <f>IF(A104="","",IFERROR(INDEX('Risk Tiering'!$L:$L,MATCH(A104,'Risk Tiering'!$A:$A,0)),"Not tiered"))</f>
        <v/>
      </c>
      <c r="J104" s="6"/>
      <c r="K104" s="6"/>
      <c r="L104" s="6"/>
      <c r="M104" s="6"/>
    </row>
  </sheetData>
  <dataValidations count="4">
    <dataValidation type="list" allowBlank="1" sqref="D5:D104" xr:uid="{00000000-0002-0000-0100-000000000000}">
      <formula1>"developer,provider,deployer,user"</formula1>
      <formula2>0</formula2>
    </dataValidation>
    <dataValidation type="list" allowBlank="1" sqref="E5:E104" xr:uid="{00000000-0002-0000-0100-000001000000}">
      <formula1>"build,buy,embedded feature"</formula1>
      <formula2>0</formula2>
    </dataValidation>
    <dataValidation type="list" allowBlank="1" sqref="G5:H104" xr:uid="{00000000-0002-0000-0100-000002000000}">
      <formula1>"Y,N"</formula1>
      <formula2>0</formula2>
    </dataValidation>
    <dataValidation type="list" allowBlank="1" sqref="J5:J104" xr:uid="{00000000-0002-0000-0100-000003000000}">
      <formula1>"Proposed,Pilot,Approved,Approved with conditions,Declined,Retired"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10" width="16" customWidth="1"/>
    <col min="11" max="11" width="10" customWidth="1"/>
    <col min="12" max="12" width="12" customWidth="1"/>
  </cols>
  <sheetData>
    <row r="1" spans="1:12" ht="18" x14ac:dyDescent="0.2">
      <c r="A1" s="1" t="s">
        <v>38</v>
      </c>
    </row>
    <row r="2" spans="1:12" x14ac:dyDescent="0.2">
      <c r="A2" s="4" t="s">
        <v>39</v>
      </c>
    </row>
    <row r="4" spans="1:12" ht="31.5" customHeight="1" x14ac:dyDescent="0.2">
      <c r="A4" s="5" t="s">
        <v>13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48</v>
      </c>
      <c r="K4" s="5" t="s">
        <v>49</v>
      </c>
      <c r="L4" s="5" t="s">
        <v>50</v>
      </c>
    </row>
    <row r="5" spans="1:12" ht="28" x14ac:dyDescent="0.2">
      <c r="A5" s="6" t="s">
        <v>26</v>
      </c>
      <c r="B5" s="7" t="str">
        <f>IF(A5="","",IFERROR(INDEX('Use Case Inventory'!$B:$B,MATCH(A5,'Use Case Inventory'!$A:$A,0)),""))</f>
        <v>Drafting replies to customer support tickets for agent review</v>
      </c>
      <c r="C5" s="6" t="s">
        <v>33</v>
      </c>
      <c r="D5" s="6" t="s">
        <v>33</v>
      </c>
      <c r="E5" s="6" t="s">
        <v>33</v>
      </c>
      <c r="F5" s="6" t="s">
        <v>32</v>
      </c>
      <c r="G5" s="6" t="s">
        <v>33</v>
      </c>
      <c r="H5" s="6" t="s">
        <v>33</v>
      </c>
      <c r="I5" s="6" t="s">
        <v>33</v>
      </c>
      <c r="J5" s="6" t="s">
        <v>33</v>
      </c>
      <c r="K5" s="7">
        <f t="shared" ref="K5:K36" si="0">IF(A5="","",COUNTIF(C5:J5,"Y"))</f>
        <v>1</v>
      </c>
      <c r="L5" s="7" t="str">
        <f t="shared" ref="L5:L36" si="1">IF(A5="","",IF(OR(C5="Y",D5="Y",K5&gt;=3),"Tier 4",IF(COUNTIF(E5:H5,"Y")&gt;0,"Tier 3",IF(COUNTIF(I5:J5,"Y")&gt;0,"Tier 2","Tier 1"))))</f>
        <v>Tier 3</v>
      </c>
    </row>
    <row r="6" spans="1:12" x14ac:dyDescent="0.2">
      <c r="A6" s="6"/>
      <c r="B6" s="7" t="str">
        <f>IF(A6="","",IFERROR(INDEX('Use Case Inventory'!$B:$B,MATCH(A6,'Use Case Inventory'!$A:$A,0)),""))</f>
        <v/>
      </c>
      <c r="C6" s="6"/>
      <c r="D6" s="6"/>
      <c r="E6" s="6"/>
      <c r="F6" s="6"/>
      <c r="G6" s="6"/>
      <c r="H6" s="6"/>
      <c r="I6" s="6"/>
      <c r="J6" s="6"/>
      <c r="K6" s="7" t="str">
        <f t="shared" si="0"/>
        <v/>
      </c>
      <c r="L6" s="7" t="str">
        <f t="shared" si="1"/>
        <v/>
      </c>
    </row>
    <row r="7" spans="1:12" x14ac:dyDescent="0.2">
      <c r="A7" s="6"/>
      <c r="B7" s="7" t="str">
        <f>IF(A7="","",IFERROR(INDEX('Use Case Inventory'!$B:$B,MATCH(A7,'Use Case Inventory'!$A:$A,0)),""))</f>
        <v/>
      </c>
      <c r="C7" s="6"/>
      <c r="D7" s="6"/>
      <c r="E7" s="6"/>
      <c r="F7" s="6"/>
      <c r="G7" s="6"/>
      <c r="H7" s="6"/>
      <c r="I7" s="6"/>
      <c r="J7" s="6"/>
      <c r="K7" s="7" t="str">
        <f t="shared" si="0"/>
        <v/>
      </c>
      <c r="L7" s="7" t="str">
        <f t="shared" si="1"/>
        <v/>
      </c>
    </row>
    <row r="8" spans="1:12" x14ac:dyDescent="0.2">
      <c r="A8" s="6"/>
      <c r="B8" s="7" t="str">
        <f>IF(A8="","",IFERROR(INDEX('Use Case Inventory'!$B:$B,MATCH(A8,'Use Case Inventory'!$A:$A,0)),""))</f>
        <v/>
      </c>
      <c r="C8" s="6"/>
      <c r="D8" s="6"/>
      <c r="E8" s="6"/>
      <c r="F8" s="6"/>
      <c r="G8" s="6"/>
      <c r="H8" s="6"/>
      <c r="I8" s="6"/>
      <c r="J8" s="6"/>
      <c r="K8" s="7" t="str">
        <f t="shared" si="0"/>
        <v/>
      </c>
      <c r="L8" s="7" t="str">
        <f t="shared" si="1"/>
        <v/>
      </c>
    </row>
    <row r="9" spans="1:12" x14ac:dyDescent="0.2">
      <c r="A9" s="6"/>
      <c r="B9" s="7" t="str">
        <f>IF(A9="","",IFERROR(INDEX('Use Case Inventory'!$B:$B,MATCH(A9,'Use Case Inventory'!$A:$A,0)),""))</f>
        <v/>
      </c>
      <c r="C9" s="6"/>
      <c r="D9" s="6"/>
      <c r="E9" s="6"/>
      <c r="F9" s="6"/>
      <c r="G9" s="6"/>
      <c r="H9" s="6"/>
      <c r="I9" s="6"/>
      <c r="J9" s="6"/>
      <c r="K9" s="7" t="str">
        <f t="shared" si="0"/>
        <v/>
      </c>
      <c r="L9" s="7" t="str">
        <f t="shared" si="1"/>
        <v/>
      </c>
    </row>
    <row r="10" spans="1:12" x14ac:dyDescent="0.2">
      <c r="A10" s="6"/>
      <c r="B10" s="7" t="str">
        <f>IF(A10="","",IFERROR(INDEX('Use Case Inventory'!$B:$B,MATCH(A10,'Use Case Inventory'!$A:$A,0)),""))</f>
        <v/>
      </c>
      <c r="C10" s="6"/>
      <c r="D10" s="6"/>
      <c r="E10" s="6"/>
      <c r="F10" s="6"/>
      <c r="G10" s="6"/>
      <c r="H10" s="6"/>
      <c r="I10" s="6"/>
      <c r="J10" s="6"/>
      <c r="K10" s="7" t="str">
        <f t="shared" si="0"/>
        <v/>
      </c>
      <c r="L10" s="7" t="str">
        <f t="shared" si="1"/>
        <v/>
      </c>
    </row>
    <row r="11" spans="1:12" x14ac:dyDescent="0.2">
      <c r="A11" s="6"/>
      <c r="B11" s="7" t="str">
        <f>IF(A11="","",IFERROR(INDEX('Use Case Inventory'!$B:$B,MATCH(A11,'Use Case Inventory'!$A:$A,0)),""))</f>
        <v/>
      </c>
      <c r="C11" s="6"/>
      <c r="D11" s="6"/>
      <c r="E11" s="6"/>
      <c r="F11" s="6"/>
      <c r="G11" s="6"/>
      <c r="H11" s="6"/>
      <c r="I11" s="6"/>
      <c r="J11" s="6"/>
      <c r="K11" s="7" t="str">
        <f t="shared" si="0"/>
        <v/>
      </c>
      <c r="L11" s="7" t="str">
        <f t="shared" si="1"/>
        <v/>
      </c>
    </row>
    <row r="12" spans="1:12" x14ac:dyDescent="0.2">
      <c r="A12" s="6"/>
      <c r="B12" s="7" t="str">
        <f>IF(A12="","",IFERROR(INDEX('Use Case Inventory'!$B:$B,MATCH(A12,'Use Case Inventory'!$A:$A,0)),""))</f>
        <v/>
      </c>
      <c r="C12" s="6"/>
      <c r="D12" s="6"/>
      <c r="E12" s="6"/>
      <c r="F12" s="6"/>
      <c r="G12" s="6"/>
      <c r="H12" s="6"/>
      <c r="I12" s="6"/>
      <c r="J12" s="6"/>
      <c r="K12" s="7" t="str">
        <f t="shared" si="0"/>
        <v/>
      </c>
      <c r="L12" s="7" t="str">
        <f t="shared" si="1"/>
        <v/>
      </c>
    </row>
    <row r="13" spans="1:12" x14ac:dyDescent="0.2">
      <c r="A13" s="6"/>
      <c r="B13" s="7" t="str">
        <f>IF(A13="","",IFERROR(INDEX('Use Case Inventory'!$B:$B,MATCH(A13,'Use Case Inventory'!$A:$A,0)),""))</f>
        <v/>
      </c>
      <c r="C13" s="6"/>
      <c r="D13" s="6"/>
      <c r="E13" s="6"/>
      <c r="F13" s="6"/>
      <c r="G13" s="6"/>
      <c r="H13" s="6"/>
      <c r="I13" s="6"/>
      <c r="J13" s="6"/>
      <c r="K13" s="7" t="str">
        <f t="shared" si="0"/>
        <v/>
      </c>
      <c r="L13" s="7" t="str">
        <f t="shared" si="1"/>
        <v/>
      </c>
    </row>
    <row r="14" spans="1:12" x14ac:dyDescent="0.2">
      <c r="A14" s="6"/>
      <c r="B14" s="7" t="str">
        <f>IF(A14="","",IFERROR(INDEX('Use Case Inventory'!$B:$B,MATCH(A14,'Use Case Inventory'!$A:$A,0)),""))</f>
        <v/>
      </c>
      <c r="C14" s="6"/>
      <c r="D14" s="6"/>
      <c r="E14" s="6"/>
      <c r="F14" s="6"/>
      <c r="G14" s="6"/>
      <c r="H14" s="6"/>
      <c r="I14" s="6"/>
      <c r="J14" s="6"/>
      <c r="K14" s="7" t="str">
        <f t="shared" si="0"/>
        <v/>
      </c>
      <c r="L14" s="7" t="str">
        <f t="shared" si="1"/>
        <v/>
      </c>
    </row>
    <row r="15" spans="1:12" x14ac:dyDescent="0.2">
      <c r="A15" s="6"/>
      <c r="B15" s="7" t="str">
        <f>IF(A15="","",IFERROR(INDEX('Use Case Inventory'!$B:$B,MATCH(A15,'Use Case Inventory'!$A:$A,0)),""))</f>
        <v/>
      </c>
      <c r="C15" s="6"/>
      <c r="D15" s="6"/>
      <c r="E15" s="6"/>
      <c r="F15" s="6"/>
      <c r="G15" s="6"/>
      <c r="H15" s="6"/>
      <c r="I15" s="6"/>
      <c r="J15" s="6"/>
      <c r="K15" s="7" t="str">
        <f t="shared" si="0"/>
        <v/>
      </c>
      <c r="L15" s="7" t="str">
        <f t="shared" si="1"/>
        <v/>
      </c>
    </row>
    <row r="16" spans="1:12" x14ac:dyDescent="0.2">
      <c r="A16" s="6"/>
      <c r="B16" s="7" t="str">
        <f>IF(A16="","",IFERROR(INDEX('Use Case Inventory'!$B:$B,MATCH(A16,'Use Case Inventory'!$A:$A,0)),""))</f>
        <v/>
      </c>
      <c r="C16" s="6"/>
      <c r="D16" s="6"/>
      <c r="E16" s="6"/>
      <c r="F16" s="6"/>
      <c r="G16" s="6"/>
      <c r="H16" s="6"/>
      <c r="I16" s="6"/>
      <c r="J16" s="6"/>
      <c r="K16" s="7" t="str">
        <f t="shared" si="0"/>
        <v/>
      </c>
      <c r="L16" s="7" t="str">
        <f t="shared" si="1"/>
        <v/>
      </c>
    </row>
    <row r="17" spans="1:12" x14ac:dyDescent="0.2">
      <c r="A17" s="6"/>
      <c r="B17" s="7" t="str">
        <f>IF(A17="","",IFERROR(INDEX('Use Case Inventory'!$B:$B,MATCH(A17,'Use Case Inventory'!$A:$A,0)),""))</f>
        <v/>
      </c>
      <c r="C17" s="6"/>
      <c r="D17" s="6"/>
      <c r="E17" s="6"/>
      <c r="F17" s="6"/>
      <c r="G17" s="6"/>
      <c r="H17" s="6"/>
      <c r="I17" s="6"/>
      <c r="J17" s="6"/>
      <c r="K17" s="7" t="str">
        <f t="shared" si="0"/>
        <v/>
      </c>
      <c r="L17" s="7" t="str">
        <f t="shared" si="1"/>
        <v/>
      </c>
    </row>
    <row r="18" spans="1:12" x14ac:dyDescent="0.2">
      <c r="A18" s="6"/>
      <c r="B18" s="7" t="str">
        <f>IF(A18="","",IFERROR(INDEX('Use Case Inventory'!$B:$B,MATCH(A18,'Use Case Inventory'!$A:$A,0)),""))</f>
        <v/>
      </c>
      <c r="C18" s="6"/>
      <c r="D18" s="6"/>
      <c r="E18" s="6"/>
      <c r="F18" s="6"/>
      <c r="G18" s="6"/>
      <c r="H18" s="6"/>
      <c r="I18" s="6"/>
      <c r="J18" s="6"/>
      <c r="K18" s="7" t="str">
        <f t="shared" si="0"/>
        <v/>
      </c>
      <c r="L18" s="7" t="str">
        <f t="shared" si="1"/>
        <v/>
      </c>
    </row>
    <row r="19" spans="1:12" x14ac:dyDescent="0.2">
      <c r="A19" s="6"/>
      <c r="B19" s="7" t="str">
        <f>IF(A19="","",IFERROR(INDEX('Use Case Inventory'!$B:$B,MATCH(A19,'Use Case Inventory'!$A:$A,0)),""))</f>
        <v/>
      </c>
      <c r="C19" s="6"/>
      <c r="D19" s="6"/>
      <c r="E19" s="6"/>
      <c r="F19" s="6"/>
      <c r="G19" s="6"/>
      <c r="H19" s="6"/>
      <c r="I19" s="6"/>
      <c r="J19" s="6"/>
      <c r="K19" s="7" t="str">
        <f t="shared" si="0"/>
        <v/>
      </c>
      <c r="L19" s="7" t="str">
        <f t="shared" si="1"/>
        <v/>
      </c>
    </row>
    <row r="20" spans="1:12" x14ac:dyDescent="0.2">
      <c r="A20" s="6"/>
      <c r="B20" s="7" t="str">
        <f>IF(A20="","",IFERROR(INDEX('Use Case Inventory'!$B:$B,MATCH(A20,'Use Case Inventory'!$A:$A,0)),""))</f>
        <v/>
      </c>
      <c r="C20" s="6"/>
      <c r="D20" s="6"/>
      <c r="E20" s="6"/>
      <c r="F20" s="6"/>
      <c r="G20" s="6"/>
      <c r="H20" s="6"/>
      <c r="I20" s="6"/>
      <c r="J20" s="6"/>
      <c r="K20" s="7" t="str">
        <f t="shared" si="0"/>
        <v/>
      </c>
      <c r="L20" s="7" t="str">
        <f t="shared" si="1"/>
        <v/>
      </c>
    </row>
    <row r="21" spans="1:12" x14ac:dyDescent="0.2">
      <c r="A21" s="6"/>
      <c r="B21" s="7" t="str">
        <f>IF(A21="","",IFERROR(INDEX('Use Case Inventory'!$B:$B,MATCH(A21,'Use Case Inventory'!$A:$A,0)),""))</f>
        <v/>
      </c>
      <c r="C21" s="6"/>
      <c r="D21" s="6"/>
      <c r="E21" s="6"/>
      <c r="F21" s="6"/>
      <c r="G21" s="6"/>
      <c r="H21" s="6"/>
      <c r="I21" s="6"/>
      <c r="J21" s="6"/>
      <c r="K21" s="7" t="str">
        <f t="shared" si="0"/>
        <v/>
      </c>
      <c r="L21" s="7" t="str">
        <f t="shared" si="1"/>
        <v/>
      </c>
    </row>
    <row r="22" spans="1:12" x14ac:dyDescent="0.2">
      <c r="A22" s="6"/>
      <c r="B22" s="7" t="str">
        <f>IF(A22="","",IFERROR(INDEX('Use Case Inventory'!$B:$B,MATCH(A22,'Use Case Inventory'!$A:$A,0)),""))</f>
        <v/>
      </c>
      <c r="C22" s="6"/>
      <c r="D22" s="6"/>
      <c r="E22" s="6"/>
      <c r="F22" s="6"/>
      <c r="G22" s="6"/>
      <c r="H22" s="6"/>
      <c r="I22" s="6"/>
      <c r="J22" s="6"/>
      <c r="K22" s="7" t="str">
        <f t="shared" si="0"/>
        <v/>
      </c>
      <c r="L22" s="7" t="str">
        <f t="shared" si="1"/>
        <v/>
      </c>
    </row>
    <row r="23" spans="1:12" x14ac:dyDescent="0.2">
      <c r="A23" s="6"/>
      <c r="B23" s="7" t="str">
        <f>IF(A23="","",IFERROR(INDEX('Use Case Inventory'!$B:$B,MATCH(A23,'Use Case Inventory'!$A:$A,0)),""))</f>
        <v/>
      </c>
      <c r="C23" s="6"/>
      <c r="D23" s="6"/>
      <c r="E23" s="6"/>
      <c r="F23" s="6"/>
      <c r="G23" s="6"/>
      <c r="H23" s="6"/>
      <c r="I23" s="6"/>
      <c r="J23" s="6"/>
      <c r="K23" s="7" t="str">
        <f t="shared" si="0"/>
        <v/>
      </c>
      <c r="L23" s="7" t="str">
        <f t="shared" si="1"/>
        <v/>
      </c>
    </row>
    <row r="24" spans="1:12" x14ac:dyDescent="0.2">
      <c r="A24" s="6"/>
      <c r="B24" s="7" t="str">
        <f>IF(A24="","",IFERROR(INDEX('Use Case Inventory'!$B:$B,MATCH(A24,'Use Case Inventory'!$A:$A,0)),""))</f>
        <v/>
      </c>
      <c r="C24" s="6"/>
      <c r="D24" s="6"/>
      <c r="E24" s="6"/>
      <c r="F24" s="6"/>
      <c r="G24" s="6"/>
      <c r="H24" s="6"/>
      <c r="I24" s="6"/>
      <c r="J24" s="6"/>
      <c r="K24" s="7" t="str">
        <f t="shared" si="0"/>
        <v/>
      </c>
      <c r="L24" s="7" t="str">
        <f t="shared" si="1"/>
        <v/>
      </c>
    </row>
    <row r="25" spans="1:12" x14ac:dyDescent="0.2">
      <c r="A25" s="6"/>
      <c r="B25" s="7" t="str">
        <f>IF(A25="","",IFERROR(INDEX('Use Case Inventory'!$B:$B,MATCH(A25,'Use Case Inventory'!$A:$A,0)),""))</f>
        <v/>
      </c>
      <c r="C25" s="6"/>
      <c r="D25" s="6"/>
      <c r="E25" s="6"/>
      <c r="F25" s="6"/>
      <c r="G25" s="6"/>
      <c r="H25" s="6"/>
      <c r="I25" s="6"/>
      <c r="J25" s="6"/>
      <c r="K25" s="7" t="str">
        <f t="shared" si="0"/>
        <v/>
      </c>
      <c r="L25" s="7" t="str">
        <f t="shared" si="1"/>
        <v/>
      </c>
    </row>
    <row r="26" spans="1:12" x14ac:dyDescent="0.2">
      <c r="A26" s="6"/>
      <c r="B26" s="7" t="str">
        <f>IF(A26="","",IFERROR(INDEX('Use Case Inventory'!$B:$B,MATCH(A26,'Use Case Inventory'!$A:$A,0)),""))</f>
        <v/>
      </c>
      <c r="C26" s="6"/>
      <c r="D26" s="6"/>
      <c r="E26" s="6"/>
      <c r="F26" s="6"/>
      <c r="G26" s="6"/>
      <c r="H26" s="6"/>
      <c r="I26" s="6"/>
      <c r="J26" s="6"/>
      <c r="K26" s="7" t="str">
        <f t="shared" si="0"/>
        <v/>
      </c>
      <c r="L26" s="7" t="str">
        <f t="shared" si="1"/>
        <v/>
      </c>
    </row>
    <row r="27" spans="1:12" x14ac:dyDescent="0.2">
      <c r="A27" s="6"/>
      <c r="B27" s="7" t="str">
        <f>IF(A27="","",IFERROR(INDEX('Use Case Inventory'!$B:$B,MATCH(A27,'Use Case Inventory'!$A:$A,0)),""))</f>
        <v/>
      </c>
      <c r="C27" s="6"/>
      <c r="D27" s="6"/>
      <c r="E27" s="6"/>
      <c r="F27" s="6"/>
      <c r="G27" s="6"/>
      <c r="H27" s="6"/>
      <c r="I27" s="6"/>
      <c r="J27" s="6"/>
      <c r="K27" s="7" t="str">
        <f t="shared" si="0"/>
        <v/>
      </c>
      <c r="L27" s="7" t="str">
        <f t="shared" si="1"/>
        <v/>
      </c>
    </row>
    <row r="28" spans="1:12" x14ac:dyDescent="0.2">
      <c r="A28" s="6"/>
      <c r="B28" s="7" t="str">
        <f>IF(A28="","",IFERROR(INDEX('Use Case Inventory'!$B:$B,MATCH(A28,'Use Case Inventory'!$A:$A,0)),""))</f>
        <v/>
      </c>
      <c r="C28" s="6"/>
      <c r="D28" s="6"/>
      <c r="E28" s="6"/>
      <c r="F28" s="6"/>
      <c r="G28" s="6"/>
      <c r="H28" s="6"/>
      <c r="I28" s="6"/>
      <c r="J28" s="6"/>
      <c r="K28" s="7" t="str">
        <f t="shared" si="0"/>
        <v/>
      </c>
      <c r="L28" s="7" t="str">
        <f t="shared" si="1"/>
        <v/>
      </c>
    </row>
    <row r="29" spans="1:12" x14ac:dyDescent="0.2">
      <c r="A29" s="6"/>
      <c r="B29" s="7" t="str">
        <f>IF(A29="","",IFERROR(INDEX('Use Case Inventory'!$B:$B,MATCH(A29,'Use Case Inventory'!$A:$A,0)),""))</f>
        <v/>
      </c>
      <c r="C29" s="6"/>
      <c r="D29" s="6"/>
      <c r="E29" s="6"/>
      <c r="F29" s="6"/>
      <c r="G29" s="6"/>
      <c r="H29" s="6"/>
      <c r="I29" s="6"/>
      <c r="J29" s="6"/>
      <c r="K29" s="7" t="str">
        <f t="shared" si="0"/>
        <v/>
      </c>
      <c r="L29" s="7" t="str">
        <f t="shared" si="1"/>
        <v/>
      </c>
    </row>
    <row r="30" spans="1:12" x14ac:dyDescent="0.2">
      <c r="A30" s="6"/>
      <c r="B30" s="7" t="str">
        <f>IF(A30="","",IFERROR(INDEX('Use Case Inventory'!$B:$B,MATCH(A30,'Use Case Inventory'!$A:$A,0)),""))</f>
        <v/>
      </c>
      <c r="C30" s="6"/>
      <c r="D30" s="6"/>
      <c r="E30" s="6"/>
      <c r="F30" s="6"/>
      <c r="G30" s="6"/>
      <c r="H30" s="6"/>
      <c r="I30" s="6"/>
      <c r="J30" s="6"/>
      <c r="K30" s="7" t="str">
        <f t="shared" si="0"/>
        <v/>
      </c>
      <c r="L30" s="7" t="str">
        <f t="shared" si="1"/>
        <v/>
      </c>
    </row>
    <row r="31" spans="1:12" x14ac:dyDescent="0.2">
      <c r="A31" s="6"/>
      <c r="B31" s="7" t="str">
        <f>IF(A31="","",IFERROR(INDEX('Use Case Inventory'!$B:$B,MATCH(A31,'Use Case Inventory'!$A:$A,0)),""))</f>
        <v/>
      </c>
      <c r="C31" s="6"/>
      <c r="D31" s="6"/>
      <c r="E31" s="6"/>
      <c r="F31" s="6"/>
      <c r="G31" s="6"/>
      <c r="H31" s="6"/>
      <c r="I31" s="6"/>
      <c r="J31" s="6"/>
      <c r="K31" s="7" t="str">
        <f t="shared" si="0"/>
        <v/>
      </c>
      <c r="L31" s="7" t="str">
        <f t="shared" si="1"/>
        <v/>
      </c>
    </row>
    <row r="32" spans="1:12" x14ac:dyDescent="0.2">
      <c r="A32" s="6"/>
      <c r="B32" s="7" t="str">
        <f>IF(A32="","",IFERROR(INDEX('Use Case Inventory'!$B:$B,MATCH(A32,'Use Case Inventory'!$A:$A,0)),""))</f>
        <v/>
      </c>
      <c r="C32" s="6"/>
      <c r="D32" s="6"/>
      <c r="E32" s="6"/>
      <c r="F32" s="6"/>
      <c r="G32" s="6"/>
      <c r="H32" s="6"/>
      <c r="I32" s="6"/>
      <c r="J32" s="6"/>
      <c r="K32" s="7" t="str">
        <f t="shared" si="0"/>
        <v/>
      </c>
      <c r="L32" s="7" t="str">
        <f t="shared" si="1"/>
        <v/>
      </c>
    </row>
    <row r="33" spans="1:12" x14ac:dyDescent="0.2">
      <c r="A33" s="6"/>
      <c r="B33" s="7" t="str">
        <f>IF(A33="","",IFERROR(INDEX('Use Case Inventory'!$B:$B,MATCH(A33,'Use Case Inventory'!$A:$A,0)),""))</f>
        <v/>
      </c>
      <c r="C33" s="6"/>
      <c r="D33" s="6"/>
      <c r="E33" s="6"/>
      <c r="F33" s="6"/>
      <c r="G33" s="6"/>
      <c r="H33" s="6"/>
      <c r="I33" s="6"/>
      <c r="J33" s="6"/>
      <c r="K33" s="7" t="str">
        <f t="shared" si="0"/>
        <v/>
      </c>
      <c r="L33" s="7" t="str">
        <f t="shared" si="1"/>
        <v/>
      </c>
    </row>
    <row r="34" spans="1:12" x14ac:dyDescent="0.2">
      <c r="A34" s="6"/>
      <c r="B34" s="7" t="str">
        <f>IF(A34="","",IFERROR(INDEX('Use Case Inventory'!$B:$B,MATCH(A34,'Use Case Inventory'!$A:$A,0)),""))</f>
        <v/>
      </c>
      <c r="C34" s="6"/>
      <c r="D34" s="6"/>
      <c r="E34" s="6"/>
      <c r="F34" s="6"/>
      <c r="G34" s="6"/>
      <c r="H34" s="6"/>
      <c r="I34" s="6"/>
      <c r="J34" s="6"/>
      <c r="K34" s="7" t="str">
        <f t="shared" si="0"/>
        <v/>
      </c>
      <c r="L34" s="7" t="str">
        <f t="shared" si="1"/>
        <v/>
      </c>
    </row>
    <row r="35" spans="1:12" x14ac:dyDescent="0.2">
      <c r="A35" s="6"/>
      <c r="B35" s="7" t="str">
        <f>IF(A35="","",IFERROR(INDEX('Use Case Inventory'!$B:$B,MATCH(A35,'Use Case Inventory'!$A:$A,0)),""))</f>
        <v/>
      </c>
      <c r="C35" s="6"/>
      <c r="D35" s="6"/>
      <c r="E35" s="6"/>
      <c r="F35" s="6"/>
      <c r="G35" s="6"/>
      <c r="H35" s="6"/>
      <c r="I35" s="6"/>
      <c r="J35" s="6"/>
      <c r="K35" s="7" t="str">
        <f t="shared" si="0"/>
        <v/>
      </c>
      <c r="L35" s="7" t="str">
        <f t="shared" si="1"/>
        <v/>
      </c>
    </row>
    <row r="36" spans="1:12" x14ac:dyDescent="0.2">
      <c r="A36" s="6"/>
      <c r="B36" s="7" t="str">
        <f>IF(A36="","",IFERROR(INDEX('Use Case Inventory'!$B:$B,MATCH(A36,'Use Case Inventory'!$A:$A,0)),""))</f>
        <v/>
      </c>
      <c r="C36" s="6"/>
      <c r="D36" s="6"/>
      <c r="E36" s="6"/>
      <c r="F36" s="6"/>
      <c r="G36" s="6"/>
      <c r="H36" s="6"/>
      <c r="I36" s="6"/>
      <c r="J36" s="6"/>
      <c r="K36" s="7" t="str">
        <f t="shared" si="0"/>
        <v/>
      </c>
      <c r="L36" s="7" t="str">
        <f t="shared" si="1"/>
        <v/>
      </c>
    </row>
    <row r="37" spans="1:12" x14ac:dyDescent="0.2">
      <c r="A37" s="6"/>
      <c r="B37" s="7" t="str">
        <f>IF(A37="","",IFERROR(INDEX('Use Case Inventory'!$B:$B,MATCH(A37,'Use Case Inventory'!$A:$A,0)),""))</f>
        <v/>
      </c>
      <c r="C37" s="6"/>
      <c r="D37" s="6"/>
      <c r="E37" s="6"/>
      <c r="F37" s="6"/>
      <c r="G37" s="6"/>
      <c r="H37" s="6"/>
      <c r="I37" s="6"/>
      <c r="J37" s="6"/>
      <c r="K37" s="7" t="str">
        <f t="shared" ref="K37:K68" si="2">IF(A37="","",COUNTIF(C37:J37,"Y"))</f>
        <v/>
      </c>
      <c r="L37" s="7" t="str">
        <f t="shared" ref="L37:L68" si="3">IF(A37="","",IF(OR(C37="Y",D37="Y",K37&gt;=3),"Tier 4",IF(COUNTIF(E37:H37,"Y")&gt;0,"Tier 3",IF(COUNTIF(I37:J37,"Y")&gt;0,"Tier 2","Tier 1"))))</f>
        <v/>
      </c>
    </row>
    <row r="38" spans="1:12" x14ac:dyDescent="0.2">
      <c r="A38" s="6"/>
      <c r="B38" s="7" t="str">
        <f>IF(A38="","",IFERROR(INDEX('Use Case Inventory'!$B:$B,MATCH(A38,'Use Case Inventory'!$A:$A,0)),""))</f>
        <v/>
      </c>
      <c r="C38" s="6"/>
      <c r="D38" s="6"/>
      <c r="E38" s="6"/>
      <c r="F38" s="6"/>
      <c r="G38" s="6"/>
      <c r="H38" s="6"/>
      <c r="I38" s="6"/>
      <c r="J38" s="6"/>
      <c r="K38" s="7" t="str">
        <f t="shared" si="2"/>
        <v/>
      </c>
      <c r="L38" s="7" t="str">
        <f t="shared" si="3"/>
        <v/>
      </c>
    </row>
    <row r="39" spans="1:12" x14ac:dyDescent="0.2">
      <c r="A39" s="6"/>
      <c r="B39" s="7" t="str">
        <f>IF(A39="","",IFERROR(INDEX('Use Case Inventory'!$B:$B,MATCH(A39,'Use Case Inventory'!$A:$A,0)),""))</f>
        <v/>
      </c>
      <c r="C39" s="6"/>
      <c r="D39" s="6"/>
      <c r="E39" s="6"/>
      <c r="F39" s="6"/>
      <c r="G39" s="6"/>
      <c r="H39" s="6"/>
      <c r="I39" s="6"/>
      <c r="J39" s="6"/>
      <c r="K39" s="7" t="str">
        <f t="shared" si="2"/>
        <v/>
      </c>
      <c r="L39" s="7" t="str">
        <f t="shared" si="3"/>
        <v/>
      </c>
    </row>
    <row r="40" spans="1:12" x14ac:dyDescent="0.2">
      <c r="A40" s="6"/>
      <c r="B40" s="7" t="str">
        <f>IF(A40="","",IFERROR(INDEX('Use Case Inventory'!$B:$B,MATCH(A40,'Use Case Inventory'!$A:$A,0)),""))</f>
        <v/>
      </c>
      <c r="C40" s="6"/>
      <c r="D40" s="6"/>
      <c r="E40" s="6"/>
      <c r="F40" s="6"/>
      <c r="G40" s="6"/>
      <c r="H40" s="6"/>
      <c r="I40" s="6"/>
      <c r="J40" s="6"/>
      <c r="K40" s="7" t="str">
        <f t="shared" si="2"/>
        <v/>
      </c>
      <c r="L40" s="7" t="str">
        <f t="shared" si="3"/>
        <v/>
      </c>
    </row>
    <row r="41" spans="1:12" x14ac:dyDescent="0.2">
      <c r="A41" s="6"/>
      <c r="B41" s="7" t="str">
        <f>IF(A41="","",IFERROR(INDEX('Use Case Inventory'!$B:$B,MATCH(A41,'Use Case Inventory'!$A:$A,0)),""))</f>
        <v/>
      </c>
      <c r="C41" s="6"/>
      <c r="D41" s="6"/>
      <c r="E41" s="6"/>
      <c r="F41" s="6"/>
      <c r="G41" s="6"/>
      <c r="H41" s="6"/>
      <c r="I41" s="6"/>
      <c r="J41" s="6"/>
      <c r="K41" s="7" t="str">
        <f t="shared" si="2"/>
        <v/>
      </c>
      <c r="L41" s="7" t="str">
        <f t="shared" si="3"/>
        <v/>
      </c>
    </row>
    <row r="42" spans="1:12" x14ac:dyDescent="0.2">
      <c r="A42" s="6"/>
      <c r="B42" s="7" t="str">
        <f>IF(A42="","",IFERROR(INDEX('Use Case Inventory'!$B:$B,MATCH(A42,'Use Case Inventory'!$A:$A,0)),""))</f>
        <v/>
      </c>
      <c r="C42" s="6"/>
      <c r="D42" s="6"/>
      <c r="E42" s="6"/>
      <c r="F42" s="6"/>
      <c r="G42" s="6"/>
      <c r="H42" s="6"/>
      <c r="I42" s="6"/>
      <c r="J42" s="6"/>
      <c r="K42" s="7" t="str">
        <f t="shared" si="2"/>
        <v/>
      </c>
      <c r="L42" s="7" t="str">
        <f t="shared" si="3"/>
        <v/>
      </c>
    </row>
    <row r="43" spans="1:12" x14ac:dyDescent="0.2">
      <c r="A43" s="6"/>
      <c r="B43" s="7" t="str">
        <f>IF(A43="","",IFERROR(INDEX('Use Case Inventory'!$B:$B,MATCH(A43,'Use Case Inventory'!$A:$A,0)),""))</f>
        <v/>
      </c>
      <c r="C43" s="6"/>
      <c r="D43" s="6"/>
      <c r="E43" s="6"/>
      <c r="F43" s="6"/>
      <c r="G43" s="6"/>
      <c r="H43" s="6"/>
      <c r="I43" s="6"/>
      <c r="J43" s="6"/>
      <c r="K43" s="7" t="str">
        <f t="shared" si="2"/>
        <v/>
      </c>
      <c r="L43" s="7" t="str">
        <f t="shared" si="3"/>
        <v/>
      </c>
    </row>
    <row r="44" spans="1:12" x14ac:dyDescent="0.2">
      <c r="A44" s="6"/>
      <c r="B44" s="7" t="str">
        <f>IF(A44="","",IFERROR(INDEX('Use Case Inventory'!$B:$B,MATCH(A44,'Use Case Inventory'!$A:$A,0)),""))</f>
        <v/>
      </c>
      <c r="C44" s="6"/>
      <c r="D44" s="6"/>
      <c r="E44" s="6"/>
      <c r="F44" s="6"/>
      <c r="G44" s="6"/>
      <c r="H44" s="6"/>
      <c r="I44" s="6"/>
      <c r="J44" s="6"/>
      <c r="K44" s="7" t="str">
        <f t="shared" si="2"/>
        <v/>
      </c>
      <c r="L44" s="7" t="str">
        <f t="shared" si="3"/>
        <v/>
      </c>
    </row>
    <row r="45" spans="1:12" x14ac:dyDescent="0.2">
      <c r="A45" s="6"/>
      <c r="B45" s="7" t="str">
        <f>IF(A45="","",IFERROR(INDEX('Use Case Inventory'!$B:$B,MATCH(A45,'Use Case Inventory'!$A:$A,0)),""))</f>
        <v/>
      </c>
      <c r="C45" s="6"/>
      <c r="D45" s="6"/>
      <c r="E45" s="6"/>
      <c r="F45" s="6"/>
      <c r="G45" s="6"/>
      <c r="H45" s="6"/>
      <c r="I45" s="6"/>
      <c r="J45" s="6"/>
      <c r="K45" s="7" t="str">
        <f t="shared" si="2"/>
        <v/>
      </c>
      <c r="L45" s="7" t="str">
        <f t="shared" si="3"/>
        <v/>
      </c>
    </row>
    <row r="46" spans="1:12" x14ac:dyDescent="0.2">
      <c r="A46" s="6"/>
      <c r="B46" s="7" t="str">
        <f>IF(A46="","",IFERROR(INDEX('Use Case Inventory'!$B:$B,MATCH(A46,'Use Case Inventory'!$A:$A,0)),""))</f>
        <v/>
      </c>
      <c r="C46" s="6"/>
      <c r="D46" s="6"/>
      <c r="E46" s="6"/>
      <c r="F46" s="6"/>
      <c r="G46" s="6"/>
      <c r="H46" s="6"/>
      <c r="I46" s="6"/>
      <c r="J46" s="6"/>
      <c r="K46" s="7" t="str">
        <f t="shared" si="2"/>
        <v/>
      </c>
      <c r="L46" s="7" t="str">
        <f t="shared" si="3"/>
        <v/>
      </c>
    </row>
    <row r="47" spans="1:12" x14ac:dyDescent="0.2">
      <c r="A47" s="6"/>
      <c r="B47" s="7" t="str">
        <f>IF(A47="","",IFERROR(INDEX('Use Case Inventory'!$B:$B,MATCH(A47,'Use Case Inventory'!$A:$A,0)),""))</f>
        <v/>
      </c>
      <c r="C47" s="6"/>
      <c r="D47" s="6"/>
      <c r="E47" s="6"/>
      <c r="F47" s="6"/>
      <c r="G47" s="6"/>
      <c r="H47" s="6"/>
      <c r="I47" s="6"/>
      <c r="J47" s="6"/>
      <c r="K47" s="7" t="str">
        <f t="shared" si="2"/>
        <v/>
      </c>
      <c r="L47" s="7" t="str">
        <f t="shared" si="3"/>
        <v/>
      </c>
    </row>
    <row r="48" spans="1:12" x14ac:dyDescent="0.2">
      <c r="A48" s="6"/>
      <c r="B48" s="7" t="str">
        <f>IF(A48="","",IFERROR(INDEX('Use Case Inventory'!$B:$B,MATCH(A48,'Use Case Inventory'!$A:$A,0)),""))</f>
        <v/>
      </c>
      <c r="C48" s="6"/>
      <c r="D48" s="6"/>
      <c r="E48" s="6"/>
      <c r="F48" s="6"/>
      <c r="G48" s="6"/>
      <c r="H48" s="6"/>
      <c r="I48" s="6"/>
      <c r="J48" s="6"/>
      <c r="K48" s="7" t="str">
        <f t="shared" si="2"/>
        <v/>
      </c>
      <c r="L48" s="7" t="str">
        <f t="shared" si="3"/>
        <v/>
      </c>
    </row>
    <row r="49" spans="1:12" x14ac:dyDescent="0.2">
      <c r="A49" s="6"/>
      <c r="B49" s="7" t="str">
        <f>IF(A49="","",IFERROR(INDEX('Use Case Inventory'!$B:$B,MATCH(A49,'Use Case Inventory'!$A:$A,0)),""))</f>
        <v/>
      </c>
      <c r="C49" s="6"/>
      <c r="D49" s="6"/>
      <c r="E49" s="6"/>
      <c r="F49" s="6"/>
      <c r="G49" s="6"/>
      <c r="H49" s="6"/>
      <c r="I49" s="6"/>
      <c r="J49" s="6"/>
      <c r="K49" s="7" t="str">
        <f t="shared" si="2"/>
        <v/>
      </c>
      <c r="L49" s="7" t="str">
        <f t="shared" si="3"/>
        <v/>
      </c>
    </row>
    <row r="50" spans="1:12" x14ac:dyDescent="0.2">
      <c r="A50" s="6"/>
      <c r="B50" s="7" t="str">
        <f>IF(A50="","",IFERROR(INDEX('Use Case Inventory'!$B:$B,MATCH(A50,'Use Case Inventory'!$A:$A,0)),""))</f>
        <v/>
      </c>
      <c r="C50" s="6"/>
      <c r="D50" s="6"/>
      <c r="E50" s="6"/>
      <c r="F50" s="6"/>
      <c r="G50" s="6"/>
      <c r="H50" s="6"/>
      <c r="I50" s="6"/>
      <c r="J50" s="6"/>
      <c r="K50" s="7" t="str">
        <f t="shared" si="2"/>
        <v/>
      </c>
      <c r="L50" s="7" t="str">
        <f t="shared" si="3"/>
        <v/>
      </c>
    </row>
    <row r="51" spans="1:12" x14ac:dyDescent="0.2">
      <c r="A51" s="6"/>
      <c r="B51" s="7" t="str">
        <f>IF(A51="","",IFERROR(INDEX('Use Case Inventory'!$B:$B,MATCH(A51,'Use Case Inventory'!$A:$A,0)),""))</f>
        <v/>
      </c>
      <c r="C51" s="6"/>
      <c r="D51" s="6"/>
      <c r="E51" s="6"/>
      <c r="F51" s="6"/>
      <c r="G51" s="6"/>
      <c r="H51" s="6"/>
      <c r="I51" s="6"/>
      <c r="J51" s="6"/>
      <c r="K51" s="7" t="str">
        <f t="shared" si="2"/>
        <v/>
      </c>
      <c r="L51" s="7" t="str">
        <f t="shared" si="3"/>
        <v/>
      </c>
    </row>
    <row r="52" spans="1:12" x14ac:dyDescent="0.2">
      <c r="A52" s="6"/>
      <c r="B52" s="7" t="str">
        <f>IF(A52="","",IFERROR(INDEX('Use Case Inventory'!$B:$B,MATCH(A52,'Use Case Inventory'!$A:$A,0)),""))</f>
        <v/>
      </c>
      <c r="C52" s="6"/>
      <c r="D52" s="6"/>
      <c r="E52" s="6"/>
      <c r="F52" s="6"/>
      <c r="G52" s="6"/>
      <c r="H52" s="6"/>
      <c r="I52" s="6"/>
      <c r="J52" s="6"/>
      <c r="K52" s="7" t="str">
        <f t="shared" si="2"/>
        <v/>
      </c>
      <c r="L52" s="7" t="str">
        <f t="shared" si="3"/>
        <v/>
      </c>
    </row>
    <row r="53" spans="1:12" x14ac:dyDescent="0.2">
      <c r="A53" s="6"/>
      <c r="B53" s="7" t="str">
        <f>IF(A53="","",IFERROR(INDEX('Use Case Inventory'!$B:$B,MATCH(A53,'Use Case Inventory'!$A:$A,0)),""))</f>
        <v/>
      </c>
      <c r="C53" s="6"/>
      <c r="D53" s="6"/>
      <c r="E53" s="6"/>
      <c r="F53" s="6"/>
      <c r="G53" s="6"/>
      <c r="H53" s="6"/>
      <c r="I53" s="6"/>
      <c r="J53" s="6"/>
      <c r="K53" s="7" t="str">
        <f t="shared" si="2"/>
        <v/>
      </c>
      <c r="L53" s="7" t="str">
        <f t="shared" si="3"/>
        <v/>
      </c>
    </row>
    <row r="54" spans="1:12" x14ac:dyDescent="0.2">
      <c r="A54" s="6"/>
      <c r="B54" s="7" t="str">
        <f>IF(A54="","",IFERROR(INDEX('Use Case Inventory'!$B:$B,MATCH(A54,'Use Case Inventory'!$A:$A,0)),""))</f>
        <v/>
      </c>
      <c r="C54" s="6"/>
      <c r="D54" s="6"/>
      <c r="E54" s="6"/>
      <c r="F54" s="6"/>
      <c r="G54" s="6"/>
      <c r="H54" s="6"/>
      <c r="I54" s="6"/>
      <c r="J54" s="6"/>
      <c r="K54" s="7" t="str">
        <f t="shared" si="2"/>
        <v/>
      </c>
      <c r="L54" s="7" t="str">
        <f t="shared" si="3"/>
        <v/>
      </c>
    </row>
    <row r="55" spans="1:12" x14ac:dyDescent="0.2">
      <c r="A55" s="6"/>
      <c r="B55" s="7" t="str">
        <f>IF(A55="","",IFERROR(INDEX('Use Case Inventory'!$B:$B,MATCH(A55,'Use Case Inventory'!$A:$A,0)),""))</f>
        <v/>
      </c>
      <c r="C55" s="6"/>
      <c r="D55" s="6"/>
      <c r="E55" s="6"/>
      <c r="F55" s="6"/>
      <c r="G55" s="6"/>
      <c r="H55" s="6"/>
      <c r="I55" s="6"/>
      <c r="J55" s="6"/>
      <c r="K55" s="7" t="str">
        <f t="shared" si="2"/>
        <v/>
      </c>
      <c r="L55" s="7" t="str">
        <f t="shared" si="3"/>
        <v/>
      </c>
    </row>
    <row r="56" spans="1:12" x14ac:dyDescent="0.2">
      <c r="A56" s="6"/>
      <c r="B56" s="7" t="str">
        <f>IF(A56="","",IFERROR(INDEX('Use Case Inventory'!$B:$B,MATCH(A56,'Use Case Inventory'!$A:$A,0)),""))</f>
        <v/>
      </c>
      <c r="C56" s="6"/>
      <c r="D56" s="6"/>
      <c r="E56" s="6"/>
      <c r="F56" s="6"/>
      <c r="G56" s="6"/>
      <c r="H56" s="6"/>
      <c r="I56" s="6"/>
      <c r="J56" s="6"/>
      <c r="K56" s="7" t="str">
        <f t="shared" si="2"/>
        <v/>
      </c>
      <c r="L56" s="7" t="str">
        <f t="shared" si="3"/>
        <v/>
      </c>
    </row>
    <row r="57" spans="1:12" x14ac:dyDescent="0.2">
      <c r="A57" s="6"/>
      <c r="B57" s="7" t="str">
        <f>IF(A57="","",IFERROR(INDEX('Use Case Inventory'!$B:$B,MATCH(A57,'Use Case Inventory'!$A:$A,0)),""))</f>
        <v/>
      </c>
      <c r="C57" s="6"/>
      <c r="D57" s="6"/>
      <c r="E57" s="6"/>
      <c r="F57" s="6"/>
      <c r="G57" s="6"/>
      <c r="H57" s="6"/>
      <c r="I57" s="6"/>
      <c r="J57" s="6"/>
      <c r="K57" s="7" t="str">
        <f t="shared" si="2"/>
        <v/>
      </c>
      <c r="L57" s="7" t="str">
        <f t="shared" si="3"/>
        <v/>
      </c>
    </row>
    <row r="58" spans="1:12" x14ac:dyDescent="0.2">
      <c r="A58" s="6"/>
      <c r="B58" s="7" t="str">
        <f>IF(A58="","",IFERROR(INDEX('Use Case Inventory'!$B:$B,MATCH(A58,'Use Case Inventory'!$A:$A,0)),""))</f>
        <v/>
      </c>
      <c r="C58" s="6"/>
      <c r="D58" s="6"/>
      <c r="E58" s="6"/>
      <c r="F58" s="6"/>
      <c r="G58" s="6"/>
      <c r="H58" s="6"/>
      <c r="I58" s="6"/>
      <c r="J58" s="6"/>
      <c r="K58" s="7" t="str">
        <f t="shared" si="2"/>
        <v/>
      </c>
      <c r="L58" s="7" t="str">
        <f t="shared" si="3"/>
        <v/>
      </c>
    </row>
    <row r="59" spans="1:12" x14ac:dyDescent="0.2">
      <c r="A59" s="6"/>
      <c r="B59" s="7" t="str">
        <f>IF(A59="","",IFERROR(INDEX('Use Case Inventory'!$B:$B,MATCH(A59,'Use Case Inventory'!$A:$A,0)),""))</f>
        <v/>
      </c>
      <c r="C59" s="6"/>
      <c r="D59" s="6"/>
      <c r="E59" s="6"/>
      <c r="F59" s="6"/>
      <c r="G59" s="6"/>
      <c r="H59" s="6"/>
      <c r="I59" s="6"/>
      <c r="J59" s="6"/>
      <c r="K59" s="7" t="str">
        <f t="shared" si="2"/>
        <v/>
      </c>
      <c r="L59" s="7" t="str">
        <f t="shared" si="3"/>
        <v/>
      </c>
    </row>
    <row r="60" spans="1:12" x14ac:dyDescent="0.2">
      <c r="A60" s="6"/>
      <c r="B60" s="7" t="str">
        <f>IF(A60="","",IFERROR(INDEX('Use Case Inventory'!$B:$B,MATCH(A60,'Use Case Inventory'!$A:$A,0)),""))</f>
        <v/>
      </c>
      <c r="C60" s="6"/>
      <c r="D60" s="6"/>
      <c r="E60" s="6"/>
      <c r="F60" s="6"/>
      <c r="G60" s="6"/>
      <c r="H60" s="6"/>
      <c r="I60" s="6"/>
      <c r="J60" s="6"/>
      <c r="K60" s="7" t="str">
        <f t="shared" si="2"/>
        <v/>
      </c>
      <c r="L60" s="7" t="str">
        <f t="shared" si="3"/>
        <v/>
      </c>
    </row>
    <row r="61" spans="1:12" x14ac:dyDescent="0.2">
      <c r="A61" s="6"/>
      <c r="B61" s="7" t="str">
        <f>IF(A61="","",IFERROR(INDEX('Use Case Inventory'!$B:$B,MATCH(A61,'Use Case Inventory'!$A:$A,0)),""))</f>
        <v/>
      </c>
      <c r="C61" s="6"/>
      <c r="D61" s="6"/>
      <c r="E61" s="6"/>
      <c r="F61" s="6"/>
      <c r="G61" s="6"/>
      <c r="H61" s="6"/>
      <c r="I61" s="6"/>
      <c r="J61" s="6"/>
      <c r="K61" s="7" t="str">
        <f t="shared" si="2"/>
        <v/>
      </c>
      <c r="L61" s="7" t="str">
        <f t="shared" si="3"/>
        <v/>
      </c>
    </row>
    <row r="62" spans="1:12" x14ac:dyDescent="0.2">
      <c r="A62" s="6"/>
      <c r="B62" s="7" t="str">
        <f>IF(A62="","",IFERROR(INDEX('Use Case Inventory'!$B:$B,MATCH(A62,'Use Case Inventory'!$A:$A,0)),""))</f>
        <v/>
      </c>
      <c r="C62" s="6"/>
      <c r="D62" s="6"/>
      <c r="E62" s="6"/>
      <c r="F62" s="6"/>
      <c r="G62" s="6"/>
      <c r="H62" s="6"/>
      <c r="I62" s="6"/>
      <c r="J62" s="6"/>
      <c r="K62" s="7" t="str">
        <f t="shared" si="2"/>
        <v/>
      </c>
      <c r="L62" s="7" t="str">
        <f t="shared" si="3"/>
        <v/>
      </c>
    </row>
    <row r="63" spans="1:12" x14ac:dyDescent="0.2">
      <c r="A63" s="6"/>
      <c r="B63" s="7" t="str">
        <f>IF(A63="","",IFERROR(INDEX('Use Case Inventory'!$B:$B,MATCH(A63,'Use Case Inventory'!$A:$A,0)),""))</f>
        <v/>
      </c>
      <c r="C63" s="6"/>
      <c r="D63" s="6"/>
      <c r="E63" s="6"/>
      <c r="F63" s="6"/>
      <c r="G63" s="6"/>
      <c r="H63" s="6"/>
      <c r="I63" s="6"/>
      <c r="J63" s="6"/>
      <c r="K63" s="7" t="str">
        <f t="shared" si="2"/>
        <v/>
      </c>
      <c r="L63" s="7" t="str">
        <f t="shared" si="3"/>
        <v/>
      </c>
    </row>
    <row r="64" spans="1:12" x14ac:dyDescent="0.2">
      <c r="A64" s="6"/>
      <c r="B64" s="7" t="str">
        <f>IF(A64="","",IFERROR(INDEX('Use Case Inventory'!$B:$B,MATCH(A64,'Use Case Inventory'!$A:$A,0)),""))</f>
        <v/>
      </c>
      <c r="C64" s="6"/>
      <c r="D64" s="6"/>
      <c r="E64" s="6"/>
      <c r="F64" s="6"/>
      <c r="G64" s="6"/>
      <c r="H64" s="6"/>
      <c r="I64" s="6"/>
      <c r="J64" s="6"/>
      <c r="K64" s="7" t="str">
        <f t="shared" si="2"/>
        <v/>
      </c>
      <c r="L64" s="7" t="str">
        <f t="shared" si="3"/>
        <v/>
      </c>
    </row>
    <row r="65" spans="1:12" x14ac:dyDescent="0.2">
      <c r="A65" s="6"/>
      <c r="B65" s="7" t="str">
        <f>IF(A65="","",IFERROR(INDEX('Use Case Inventory'!$B:$B,MATCH(A65,'Use Case Inventory'!$A:$A,0)),""))</f>
        <v/>
      </c>
      <c r="C65" s="6"/>
      <c r="D65" s="6"/>
      <c r="E65" s="6"/>
      <c r="F65" s="6"/>
      <c r="G65" s="6"/>
      <c r="H65" s="6"/>
      <c r="I65" s="6"/>
      <c r="J65" s="6"/>
      <c r="K65" s="7" t="str">
        <f t="shared" si="2"/>
        <v/>
      </c>
      <c r="L65" s="7" t="str">
        <f t="shared" si="3"/>
        <v/>
      </c>
    </row>
    <row r="66" spans="1:12" x14ac:dyDescent="0.2">
      <c r="A66" s="6"/>
      <c r="B66" s="7" t="str">
        <f>IF(A66="","",IFERROR(INDEX('Use Case Inventory'!$B:$B,MATCH(A66,'Use Case Inventory'!$A:$A,0)),""))</f>
        <v/>
      </c>
      <c r="C66" s="6"/>
      <c r="D66" s="6"/>
      <c r="E66" s="6"/>
      <c r="F66" s="6"/>
      <c r="G66" s="6"/>
      <c r="H66" s="6"/>
      <c r="I66" s="6"/>
      <c r="J66" s="6"/>
      <c r="K66" s="7" t="str">
        <f t="shared" si="2"/>
        <v/>
      </c>
      <c r="L66" s="7" t="str">
        <f t="shared" si="3"/>
        <v/>
      </c>
    </row>
    <row r="67" spans="1:12" x14ac:dyDescent="0.2">
      <c r="A67" s="6"/>
      <c r="B67" s="7" t="str">
        <f>IF(A67="","",IFERROR(INDEX('Use Case Inventory'!$B:$B,MATCH(A67,'Use Case Inventory'!$A:$A,0)),""))</f>
        <v/>
      </c>
      <c r="C67" s="6"/>
      <c r="D67" s="6"/>
      <c r="E67" s="6"/>
      <c r="F67" s="6"/>
      <c r="G67" s="6"/>
      <c r="H67" s="6"/>
      <c r="I67" s="6"/>
      <c r="J67" s="6"/>
      <c r="K67" s="7" t="str">
        <f t="shared" si="2"/>
        <v/>
      </c>
      <c r="L67" s="7" t="str">
        <f t="shared" si="3"/>
        <v/>
      </c>
    </row>
    <row r="68" spans="1:12" x14ac:dyDescent="0.2">
      <c r="A68" s="6"/>
      <c r="B68" s="7" t="str">
        <f>IF(A68="","",IFERROR(INDEX('Use Case Inventory'!$B:$B,MATCH(A68,'Use Case Inventory'!$A:$A,0)),""))</f>
        <v/>
      </c>
      <c r="C68" s="6"/>
      <c r="D68" s="6"/>
      <c r="E68" s="6"/>
      <c r="F68" s="6"/>
      <c r="G68" s="6"/>
      <c r="H68" s="6"/>
      <c r="I68" s="6"/>
      <c r="J68" s="6"/>
      <c r="K68" s="7" t="str">
        <f t="shared" si="2"/>
        <v/>
      </c>
      <c r="L68" s="7" t="str">
        <f t="shared" si="3"/>
        <v/>
      </c>
    </row>
    <row r="69" spans="1:12" x14ac:dyDescent="0.2">
      <c r="A69" s="6"/>
      <c r="B69" s="7" t="str">
        <f>IF(A69="","",IFERROR(INDEX('Use Case Inventory'!$B:$B,MATCH(A69,'Use Case Inventory'!$A:$A,0)),""))</f>
        <v/>
      </c>
      <c r="C69" s="6"/>
      <c r="D69" s="6"/>
      <c r="E69" s="6"/>
      <c r="F69" s="6"/>
      <c r="G69" s="6"/>
      <c r="H69" s="6"/>
      <c r="I69" s="6"/>
      <c r="J69" s="6"/>
      <c r="K69" s="7" t="str">
        <f t="shared" ref="K69:K100" si="4">IF(A69="","",COUNTIF(C69:J69,"Y"))</f>
        <v/>
      </c>
      <c r="L69" s="7" t="str">
        <f t="shared" ref="L69:L100" si="5">IF(A69="","",IF(OR(C69="Y",D69="Y",K69&gt;=3),"Tier 4",IF(COUNTIF(E69:H69,"Y")&gt;0,"Tier 3",IF(COUNTIF(I69:J69,"Y")&gt;0,"Tier 2","Tier 1"))))</f>
        <v/>
      </c>
    </row>
    <row r="70" spans="1:12" x14ac:dyDescent="0.2">
      <c r="A70" s="6"/>
      <c r="B70" s="7" t="str">
        <f>IF(A70="","",IFERROR(INDEX('Use Case Inventory'!$B:$B,MATCH(A70,'Use Case Inventory'!$A:$A,0)),""))</f>
        <v/>
      </c>
      <c r="C70" s="6"/>
      <c r="D70" s="6"/>
      <c r="E70" s="6"/>
      <c r="F70" s="6"/>
      <c r="G70" s="6"/>
      <c r="H70" s="6"/>
      <c r="I70" s="6"/>
      <c r="J70" s="6"/>
      <c r="K70" s="7" t="str">
        <f t="shared" si="4"/>
        <v/>
      </c>
      <c r="L70" s="7" t="str">
        <f t="shared" si="5"/>
        <v/>
      </c>
    </row>
    <row r="71" spans="1:12" x14ac:dyDescent="0.2">
      <c r="A71" s="6"/>
      <c r="B71" s="7" t="str">
        <f>IF(A71="","",IFERROR(INDEX('Use Case Inventory'!$B:$B,MATCH(A71,'Use Case Inventory'!$A:$A,0)),""))</f>
        <v/>
      </c>
      <c r="C71" s="6"/>
      <c r="D71" s="6"/>
      <c r="E71" s="6"/>
      <c r="F71" s="6"/>
      <c r="G71" s="6"/>
      <c r="H71" s="6"/>
      <c r="I71" s="6"/>
      <c r="J71" s="6"/>
      <c r="K71" s="7" t="str">
        <f t="shared" si="4"/>
        <v/>
      </c>
      <c r="L71" s="7" t="str">
        <f t="shared" si="5"/>
        <v/>
      </c>
    </row>
    <row r="72" spans="1:12" x14ac:dyDescent="0.2">
      <c r="A72" s="6"/>
      <c r="B72" s="7" t="str">
        <f>IF(A72="","",IFERROR(INDEX('Use Case Inventory'!$B:$B,MATCH(A72,'Use Case Inventory'!$A:$A,0)),""))</f>
        <v/>
      </c>
      <c r="C72" s="6"/>
      <c r="D72" s="6"/>
      <c r="E72" s="6"/>
      <c r="F72" s="6"/>
      <c r="G72" s="6"/>
      <c r="H72" s="6"/>
      <c r="I72" s="6"/>
      <c r="J72" s="6"/>
      <c r="K72" s="7" t="str">
        <f t="shared" si="4"/>
        <v/>
      </c>
      <c r="L72" s="7" t="str">
        <f t="shared" si="5"/>
        <v/>
      </c>
    </row>
    <row r="73" spans="1:12" x14ac:dyDescent="0.2">
      <c r="A73" s="6"/>
      <c r="B73" s="7" t="str">
        <f>IF(A73="","",IFERROR(INDEX('Use Case Inventory'!$B:$B,MATCH(A73,'Use Case Inventory'!$A:$A,0)),""))</f>
        <v/>
      </c>
      <c r="C73" s="6"/>
      <c r="D73" s="6"/>
      <c r="E73" s="6"/>
      <c r="F73" s="6"/>
      <c r="G73" s="6"/>
      <c r="H73" s="6"/>
      <c r="I73" s="6"/>
      <c r="J73" s="6"/>
      <c r="K73" s="7" t="str">
        <f t="shared" si="4"/>
        <v/>
      </c>
      <c r="L73" s="7" t="str">
        <f t="shared" si="5"/>
        <v/>
      </c>
    </row>
    <row r="74" spans="1:12" x14ac:dyDescent="0.2">
      <c r="A74" s="6"/>
      <c r="B74" s="7" t="str">
        <f>IF(A74="","",IFERROR(INDEX('Use Case Inventory'!$B:$B,MATCH(A74,'Use Case Inventory'!$A:$A,0)),""))</f>
        <v/>
      </c>
      <c r="C74" s="6"/>
      <c r="D74" s="6"/>
      <c r="E74" s="6"/>
      <c r="F74" s="6"/>
      <c r="G74" s="6"/>
      <c r="H74" s="6"/>
      <c r="I74" s="6"/>
      <c r="J74" s="6"/>
      <c r="K74" s="7" t="str">
        <f t="shared" si="4"/>
        <v/>
      </c>
      <c r="L74" s="7" t="str">
        <f t="shared" si="5"/>
        <v/>
      </c>
    </row>
    <row r="75" spans="1:12" x14ac:dyDescent="0.2">
      <c r="A75" s="6"/>
      <c r="B75" s="7" t="str">
        <f>IF(A75="","",IFERROR(INDEX('Use Case Inventory'!$B:$B,MATCH(A75,'Use Case Inventory'!$A:$A,0)),""))</f>
        <v/>
      </c>
      <c r="C75" s="6"/>
      <c r="D75" s="6"/>
      <c r="E75" s="6"/>
      <c r="F75" s="6"/>
      <c r="G75" s="6"/>
      <c r="H75" s="6"/>
      <c r="I75" s="6"/>
      <c r="J75" s="6"/>
      <c r="K75" s="7" t="str">
        <f t="shared" si="4"/>
        <v/>
      </c>
      <c r="L75" s="7" t="str">
        <f t="shared" si="5"/>
        <v/>
      </c>
    </row>
    <row r="76" spans="1:12" x14ac:dyDescent="0.2">
      <c r="A76" s="6"/>
      <c r="B76" s="7" t="str">
        <f>IF(A76="","",IFERROR(INDEX('Use Case Inventory'!$B:$B,MATCH(A76,'Use Case Inventory'!$A:$A,0)),""))</f>
        <v/>
      </c>
      <c r="C76" s="6"/>
      <c r="D76" s="6"/>
      <c r="E76" s="6"/>
      <c r="F76" s="6"/>
      <c r="G76" s="6"/>
      <c r="H76" s="6"/>
      <c r="I76" s="6"/>
      <c r="J76" s="6"/>
      <c r="K76" s="7" t="str">
        <f t="shared" si="4"/>
        <v/>
      </c>
      <c r="L76" s="7" t="str">
        <f t="shared" si="5"/>
        <v/>
      </c>
    </row>
    <row r="77" spans="1:12" x14ac:dyDescent="0.2">
      <c r="A77" s="6"/>
      <c r="B77" s="7" t="str">
        <f>IF(A77="","",IFERROR(INDEX('Use Case Inventory'!$B:$B,MATCH(A77,'Use Case Inventory'!$A:$A,0)),""))</f>
        <v/>
      </c>
      <c r="C77" s="6"/>
      <c r="D77" s="6"/>
      <c r="E77" s="6"/>
      <c r="F77" s="6"/>
      <c r="G77" s="6"/>
      <c r="H77" s="6"/>
      <c r="I77" s="6"/>
      <c r="J77" s="6"/>
      <c r="K77" s="7" t="str">
        <f t="shared" si="4"/>
        <v/>
      </c>
      <c r="L77" s="7" t="str">
        <f t="shared" si="5"/>
        <v/>
      </c>
    </row>
    <row r="78" spans="1:12" x14ac:dyDescent="0.2">
      <c r="A78" s="6"/>
      <c r="B78" s="7" t="str">
        <f>IF(A78="","",IFERROR(INDEX('Use Case Inventory'!$B:$B,MATCH(A78,'Use Case Inventory'!$A:$A,0)),""))</f>
        <v/>
      </c>
      <c r="C78" s="6"/>
      <c r="D78" s="6"/>
      <c r="E78" s="6"/>
      <c r="F78" s="6"/>
      <c r="G78" s="6"/>
      <c r="H78" s="6"/>
      <c r="I78" s="6"/>
      <c r="J78" s="6"/>
      <c r="K78" s="7" t="str">
        <f t="shared" si="4"/>
        <v/>
      </c>
      <c r="L78" s="7" t="str">
        <f t="shared" si="5"/>
        <v/>
      </c>
    </row>
    <row r="79" spans="1:12" x14ac:dyDescent="0.2">
      <c r="A79" s="6"/>
      <c r="B79" s="7" t="str">
        <f>IF(A79="","",IFERROR(INDEX('Use Case Inventory'!$B:$B,MATCH(A79,'Use Case Inventory'!$A:$A,0)),""))</f>
        <v/>
      </c>
      <c r="C79" s="6"/>
      <c r="D79" s="6"/>
      <c r="E79" s="6"/>
      <c r="F79" s="6"/>
      <c r="G79" s="6"/>
      <c r="H79" s="6"/>
      <c r="I79" s="6"/>
      <c r="J79" s="6"/>
      <c r="K79" s="7" t="str">
        <f t="shared" si="4"/>
        <v/>
      </c>
      <c r="L79" s="7" t="str">
        <f t="shared" si="5"/>
        <v/>
      </c>
    </row>
    <row r="80" spans="1:12" x14ac:dyDescent="0.2">
      <c r="A80" s="6"/>
      <c r="B80" s="7" t="str">
        <f>IF(A80="","",IFERROR(INDEX('Use Case Inventory'!$B:$B,MATCH(A80,'Use Case Inventory'!$A:$A,0)),""))</f>
        <v/>
      </c>
      <c r="C80" s="6"/>
      <c r="D80" s="6"/>
      <c r="E80" s="6"/>
      <c r="F80" s="6"/>
      <c r="G80" s="6"/>
      <c r="H80" s="6"/>
      <c r="I80" s="6"/>
      <c r="J80" s="6"/>
      <c r="K80" s="7" t="str">
        <f t="shared" si="4"/>
        <v/>
      </c>
      <c r="L80" s="7" t="str">
        <f t="shared" si="5"/>
        <v/>
      </c>
    </row>
    <row r="81" spans="1:12" x14ac:dyDescent="0.2">
      <c r="A81" s="6"/>
      <c r="B81" s="7" t="str">
        <f>IF(A81="","",IFERROR(INDEX('Use Case Inventory'!$B:$B,MATCH(A81,'Use Case Inventory'!$A:$A,0)),""))</f>
        <v/>
      </c>
      <c r="C81" s="6"/>
      <c r="D81" s="6"/>
      <c r="E81" s="6"/>
      <c r="F81" s="6"/>
      <c r="G81" s="6"/>
      <c r="H81" s="6"/>
      <c r="I81" s="6"/>
      <c r="J81" s="6"/>
      <c r="K81" s="7" t="str">
        <f t="shared" si="4"/>
        <v/>
      </c>
      <c r="L81" s="7" t="str">
        <f t="shared" si="5"/>
        <v/>
      </c>
    </row>
    <row r="82" spans="1:12" x14ac:dyDescent="0.2">
      <c r="A82" s="6"/>
      <c r="B82" s="7" t="str">
        <f>IF(A82="","",IFERROR(INDEX('Use Case Inventory'!$B:$B,MATCH(A82,'Use Case Inventory'!$A:$A,0)),""))</f>
        <v/>
      </c>
      <c r="C82" s="6"/>
      <c r="D82" s="6"/>
      <c r="E82" s="6"/>
      <c r="F82" s="6"/>
      <c r="G82" s="6"/>
      <c r="H82" s="6"/>
      <c r="I82" s="6"/>
      <c r="J82" s="6"/>
      <c r="K82" s="7" t="str">
        <f t="shared" si="4"/>
        <v/>
      </c>
      <c r="L82" s="7" t="str">
        <f t="shared" si="5"/>
        <v/>
      </c>
    </row>
    <row r="83" spans="1:12" x14ac:dyDescent="0.2">
      <c r="A83" s="6"/>
      <c r="B83" s="7" t="str">
        <f>IF(A83="","",IFERROR(INDEX('Use Case Inventory'!$B:$B,MATCH(A83,'Use Case Inventory'!$A:$A,0)),""))</f>
        <v/>
      </c>
      <c r="C83" s="6"/>
      <c r="D83" s="6"/>
      <c r="E83" s="6"/>
      <c r="F83" s="6"/>
      <c r="G83" s="6"/>
      <c r="H83" s="6"/>
      <c r="I83" s="6"/>
      <c r="J83" s="6"/>
      <c r="K83" s="7" t="str">
        <f t="shared" si="4"/>
        <v/>
      </c>
      <c r="L83" s="7" t="str">
        <f t="shared" si="5"/>
        <v/>
      </c>
    </row>
    <row r="84" spans="1:12" x14ac:dyDescent="0.2">
      <c r="A84" s="6"/>
      <c r="B84" s="7" t="str">
        <f>IF(A84="","",IFERROR(INDEX('Use Case Inventory'!$B:$B,MATCH(A84,'Use Case Inventory'!$A:$A,0)),""))</f>
        <v/>
      </c>
      <c r="C84" s="6"/>
      <c r="D84" s="6"/>
      <c r="E84" s="6"/>
      <c r="F84" s="6"/>
      <c r="G84" s="6"/>
      <c r="H84" s="6"/>
      <c r="I84" s="6"/>
      <c r="J84" s="6"/>
      <c r="K84" s="7" t="str">
        <f t="shared" si="4"/>
        <v/>
      </c>
      <c r="L84" s="7" t="str">
        <f t="shared" si="5"/>
        <v/>
      </c>
    </row>
    <row r="85" spans="1:12" x14ac:dyDescent="0.2">
      <c r="A85" s="6"/>
      <c r="B85" s="7" t="str">
        <f>IF(A85="","",IFERROR(INDEX('Use Case Inventory'!$B:$B,MATCH(A85,'Use Case Inventory'!$A:$A,0)),""))</f>
        <v/>
      </c>
      <c r="C85" s="6"/>
      <c r="D85" s="6"/>
      <c r="E85" s="6"/>
      <c r="F85" s="6"/>
      <c r="G85" s="6"/>
      <c r="H85" s="6"/>
      <c r="I85" s="6"/>
      <c r="J85" s="6"/>
      <c r="K85" s="7" t="str">
        <f t="shared" si="4"/>
        <v/>
      </c>
      <c r="L85" s="7" t="str">
        <f t="shared" si="5"/>
        <v/>
      </c>
    </row>
    <row r="86" spans="1:12" x14ac:dyDescent="0.2">
      <c r="A86" s="6"/>
      <c r="B86" s="7" t="str">
        <f>IF(A86="","",IFERROR(INDEX('Use Case Inventory'!$B:$B,MATCH(A86,'Use Case Inventory'!$A:$A,0)),""))</f>
        <v/>
      </c>
      <c r="C86" s="6"/>
      <c r="D86" s="6"/>
      <c r="E86" s="6"/>
      <c r="F86" s="6"/>
      <c r="G86" s="6"/>
      <c r="H86" s="6"/>
      <c r="I86" s="6"/>
      <c r="J86" s="6"/>
      <c r="K86" s="7" t="str">
        <f t="shared" si="4"/>
        <v/>
      </c>
      <c r="L86" s="7" t="str">
        <f t="shared" si="5"/>
        <v/>
      </c>
    </row>
    <row r="87" spans="1:12" x14ac:dyDescent="0.2">
      <c r="A87" s="6"/>
      <c r="B87" s="7" t="str">
        <f>IF(A87="","",IFERROR(INDEX('Use Case Inventory'!$B:$B,MATCH(A87,'Use Case Inventory'!$A:$A,0)),""))</f>
        <v/>
      </c>
      <c r="C87" s="6"/>
      <c r="D87" s="6"/>
      <c r="E87" s="6"/>
      <c r="F87" s="6"/>
      <c r="G87" s="6"/>
      <c r="H87" s="6"/>
      <c r="I87" s="6"/>
      <c r="J87" s="6"/>
      <c r="K87" s="7" t="str">
        <f t="shared" si="4"/>
        <v/>
      </c>
      <c r="L87" s="7" t="str">
        <f t="shared" si="5"/>
        <v/>
      </c>
    </row>
    <row r="88" spans="1:12" x14ac:dyDescent="0.2">
      <c r="A88" s="6"/>
      <c r="B88" s="7" t="str">
        <f>IF(A88="","",IFERROR(INDEX('Use Case Inventory'!$B:$B,MATCH(A88,'Use Case Inventory'!$A:$A,0)),""))</f>
        <v/>
      </c>
      <c r="C88" s="6"/>
      <c r="D88" s="6"/>
      <c r="E88" s="6"/>
      <c r="F88" s="6"/>
      <c r="G88" s="6"/>
      <c r="H88" s="6"/>
      <c r="I88" s="6"/>
      <c r="J88" s="6"/>
      <c r="K88" s="7" t="str">
        <f t="shared" si="4"/>
        <v/>
      </c>
      <c r="L88" s="7" t="str">
        <f t="shared" si="5"/>
        <v/>
      </c>
    </row>
    <row r="89" spans="1:12" x14ac:dyDescent="0.2">
      <c r="A89" s="6"/>
      <c r="B89" s="7" t="str">
        <f>IF(A89="","",IFERROR(INDEX('Use Case Inventory'!$B:$B,MATCH(A89,'Use Case Inventory'!$A:$A,0)),""))</f>
        <v/>
      </c>
      <c r="C89" s="6"/>
      <c r="D89" s="6"/>
      <c r="E89" s="6"/>
      <c r="F89" s="6"/>
      <c r="G89" s="6"/>
      <c r="H89" s="6"/>
      <c r="I89" s="6"/>
      <c r="J89" s="6"/>
      <c r="K89" s="7" t="str">
        <f t="shared" si="4"/>
        <v/>
      </c>
      <c r="L89" s="7" t="str">
        <f t="shared" si="5"/>
        <v/>
      </c>
    </row>
    <row r="90" spans="1:12" x14ac:dyDescent="0.2">
      <c r="A90" s="6"/>
      <c r="B90" s="7" t="str">
        <f>IF(A90="","",IFERROR(INDEX('Use Case Inventory'!$B:$B,MATCH(A90,'Use Case Inventory'!$A:$A,0)),""))</f>
        <v/>
      </c>
      <c r="C90" s="6"/>
      <c r="D90" s="6"/>
      <c r="E90" s="6"/>
      <c r="F90" s="6"/>
      <c r="G90" s="6"/>
      <c r="H90" s="6"/>
      <c r="I90" s="6"/>
      <c r="J90" s="6"/>
      <c r="K90" s="7" t="str">
        <f t="shared" si="4"/>
        <v/>
      </c>
      <c r="L90" s="7" t="str">
        <f t="shared" si="5"/>
        <v/>
      </c>
    </row>
    <row r="91" spans="1:12" x14ac:dyDescent="0.2">
      <c r="A91" s="6"/>
      <c r="B91" s="7" t="str">
        <f>IF(A91="","",IFERROR(INDEX('Use Case Inventory'!$B:$B,MATCH(A91,'Use Case Inventory'!$A:$A,0)),""))</f>
        <v/>
      </c>
      <c r="C91" s="6"/>
      <c r="D91" s="6"/>
      <c r="E91" s="6"/>
      <c r="F91" s="6"/>
      <c r="G91" s="6"/>
      <c r="H91" s="6"/>
      <c r="I91" s="6"/>
      <c r="J91" s="6"/>
      <c r="K91" s="7" t="str">
        <f t="shared" si="4"/>
        <v/>
      </c>
      <c r="L91" s="7" t="str">
        <f t="shared" si="5"/>
        <v/>
      </c>
    </row>
    <row r="92" spans="1:12" x14ac:dyDescent="0.2">
      <c r="A92" s="6"/>
      <c r="B92" s="7" t="str">
        <f>IF(A92="","",IFERROR(INDEX('Use Case Inventory'!$B:$B,MATCH(A92,'Use Case Inventory'!$A:$A,0)),""))</f>
        <v/>
      </c>
      <c r="C92" s="6"/>
      <c r="D92" s="6"/>
      <c r="E92" s="6"/>
      <c r="F92" s="6"/>
      <c r="G92" s="6"/>
      <c r="H92" s="6"/>
      <c r="I92" s="6"/>
      <c r="J92" s="6"/>
      <c r="K92" s="7" t="str">
        <f t="shared" si="4"/>
        <v/>
      </c>
      <c r="L92" s="7" t="str">
        <f t="shared" si="5"/>
        <v/>
      </c>
    </row>
    <row r="93" spans="1:12" x14ac:dyDescent="0.2">
      <c r="A93" s="6"/>
      <c r="B93" s="7" t="str">
        <f>IF(A93="","",IFERROR(INDEX('Use Case Inventory'!$B:$B,MATCH(A93,'Use Case Inventory'!$A:$A,0)),""))</f>
        <v/>
      </c>
      <c r="C93" s="6"/>
      <c r="D93" s="6"/>
      <c r="E93" s="6"/>
      <c r="F93" s="6"/>
      <c r="G93" s="6"/>
      <c r="H93" s="6"/>
      <c r="I93" s="6"/>
      <c r="J93" s="6"/>
      <c r="K93" s="7" t="str">
        <f t="shared" si="4"/>
        <v/>
      </c>
      <c r="L93" s="7" t="str">
        <f t="shared" si="5"/>
        <v/>
      </c>
    </row>
    <row r="94" spans="1:12" x14ac:dyDescent="0.2">
      <c r="A94" s="6"/>
      <c r="B94" s="7" t="str">
        <f>IF(A94="","",IFERROR(INDEX('Use Case Inventory'!$B:$B,MATCH(A94,'Use Case Inventory'!$A:$A,0)),""))</f>
        <v/>
      </c>
      <c r="C94" s="6"/>
      <c r="D94" s="6"/>
      <c r="E94" s="6"/>
      <c r="F94" s="6"/>
      <c r="G94" s="6"/>
      <c r="H94" s="6"/>
      <c r="I94" s="6"/>
      <c r="J94" s="6"/>
      <c r="K94" s="7" t="str">
        <f t="shared" si="4"/>
        <v/>
      </c>
      <c r="L94" s="7" t="str">
        <f t="shared" si="5"/>
        <v/>
      </c>
    </row>
    <row r="95" spans="1:12" x14ac:dyDescent="0.2">
      <c r="A95" s="6"/>
      <c r="B95" s="7" t="str">
        <f>IF(A95="","",IFERROR(INDEX('Use Case Inventory'!$B:$B,MATCH(A95,'Use Case Inventory'!$A:$A,0)),""))</f>
        <v/>
      </c>
      <c r="C95" s="6"/>
      <c r="D95" s="6"/>
      <c r="E95" s="6"/>
      <c r="F95" s="6"/>
      <c r="G95" s="6"/>
      <c r="H95" s="6"/>
      <c r="I95" s="6"/>
      <c r="J95" s="6"/>
      <c r="K95" s="7" t="str">
        <f t="shared" si="4"/>
        <v/>
      </c>
      <c r="L95" s="7" t="str">
        <f t="shared" si="5"/>
        <v/>
      </c>
    </row>
    <row r="96" spans="1:12" x14ac:dyDescent="0.2">
      <c r="A96" s="6"/>
      <c r="B96" s="7" t="str">
        <f>IF(A96="","",IFERROR(INDEX('Use Case Inventory'!$B:$B,MATCH(A96,'Use Case Inventory'!$A:$A,0)),""))</f>
        <v/>
      </c>
      <c r="C96" s="6"/>
      <c r="D96" s="6"/>
      <c r="E96" s="6"/>
      <c r="F96" s="6"/>
      <c r="G96" s="6"/>
      <c r="H96" s="6"/>
      <c r="I96" s="6"/>
      <c r="J96" s="6"/>
      <c r="K96" s="7" t="str">
        <f t="shared" si="4"/>
        <v/>
      </c>
      <c r="L96" s="7" t="str">
        <f t="shared" si="5"/>
        <v/>
      </c>
    </row>
    <row r="97" spans="1:12" x14ac:dyDescent="0.2">
      <c r="A97" s="6"/>
      <c r="B97" s="7" t="str">
        <f>IF(A97="","",IFERROR(INDEX('Use Case Inventory'!$B:$B,MATCH(A97,'Use Case Inventory'!$A:$A,0)),""))</f>
        <v/>
      </c>
      <c r="C97" s="6"/>
      <c r="D97" s="6"/>
      <c r="E97" s="6"/>
      <c r="F97" s="6"/>
      <c r="G97" s="6"/>
      <c r="H97" s="6"/>
      <c r="I97" s="6"/>
      <c r="J97" s="6"/>
      <c r="K97" s="7" t="str">
        <f t="shared" si="4"/>
        <v/>
      </c>
      <c r="L97" s="7" t="str">
        <f t="shared" si="5"/>
        <v/>
      </c>
    </row>
    <row r="98" spans="1:12" x14ac:dyDescent="0.2">
      <c r="A98" s="6"/>
      <c r="B98" s="7" t="str">
        <f>IF(A98="","",IFERROR(INDEX('Use Case Inventory'!$B:$B,MATCH(A98,'Use Case Inventory'!$A:$A,0)),""))</f>
        <v/>
      </c>
      <c r="C98" s="6"/>
      <c r="D98" s="6"/>
      <c r="E98" s="6"/>
      <c r="F98" s="6"/>
      <c r="G98" s="6"/>
      <c r="H98" s="6"/>
      <c r="I98" s="6"/>
      <c r="J98" s="6"/>
      <c r="K98" s="7" t="str">
        <f t="shared" si="4"/>
        <v/>
      </c>
      <c r="L98" s="7" t="str">
        <f t="shared" si="5"/>
        <v/>
      </c>
    </row>
    <row r="99" spans="1:12" x14ac:dyDescent="0.2">
      <c r="A99" s="6"/>
      <c r="B99" s="7" t="str">
        <f>IF(A99="","",IFERROR(INDEX('Use Case Inventory'!$B:$B,MATCH(A99,'Use Case Inventory'!$A:$A,0)),""))</f>
        <v/>
      </c>
      <c r="C99" s="6"/>
      <c r="D99" s="6"/>
      <c r="E99" s="6"/>
      <c r="F99" s="6"/>
      <c r="G99" s="6"/>
      <c r="H99" s="6"/>
      <c r="I99" s="6"/>
      <c r="J99" s="6"/>
      <c r="K99" s="7" t="str">
        <f t="shared" si="4"/>
        <v/>
      </c>
      <c r="L99" s="7" t="str">
        <f t="shared" si="5"/>
        <v/>
      </c>
    </row>
    <row r="100" spans="1:12" x14ac:dyDescent="0.2">
      <c r="A100" s="6"/>
      <c r="B100" s="7" t="str">
        <f>IF(A100="","",IFERROR(INDEX('Use Case Inventory'!$B:$B,MATCH(A100,'Use Case Inventory'!$A:$A,0)),""))</f>
        <v/>
      </c>
      <c r="C100" s="6"/>
      <c r="D100" s="6"/>
      <c r="E100" s="6"/>
      <c r="F100" s="6"/>
      <c r="G100" s="6"/>
      <c r="H100" s="6"/>
      <c r="I100" s="6"/>
      <c r="J100" s="6"/>
      <c r="K100" s="7" t="str">
        <f t="shared" si="4"/>
        <v/>
      </c>
      <c r="L100" s="7" t="str">
        <f t="shared" si="5"/>
        <v/>
      </c>
    </row>
    <row r="101" spans="1:12" x14ac:dyDescent="0.2">
      <c r="A101" s="6"/>
      <c r="B101" s="7" t="str">
        <f>IF(A101="","",IFERROR(INDEX('Use Case Inventory'!$B:$B,MATCH(A101,'Use Case Inventory'!$A:$A,0)),""))</f>
        <v/>
      </c>
      <c r="C101" s="6"/>
      <c r="D101" s="6"/>
      <c r="E101" s="6"/>
      <c r="F101" s="6"/>
      <c r="G101" s="6"/>
      <c r="H101" s="6"/>
      <c r="I101" s="6"/>
      <c r="J101" s="6"/>
      <c r="K101" s="7" t="str">
        <f t="shared" ref="K101:K132" si="6">IF(A101="","",COUNTIF(C101:J101,"Y"))</f>
        <v/>
      </c>
      <c r="L101" s="7" t="str">
        <f t="shared" ref="L101:L132" si="7">IF(A101="","",IF(OR(C101="Y",D101="Y",K101&gt;=3),"Tier 4",IF(COUNTIF(E101:H101,"Y")&gt;0,"Tier 3",IF(COUNTIF(I101:J101,"Y")&gt;0,"Tier 2","Tier 1"))))</f>
        <v/>
      </c>
    </row>
    <row r="102" spans="1:12" x14ac:dyDescent="0.2">
      <c r="A102" s="6"/>
      <c r="B102" s="7" t="str">
        <f>IF(A102="","",IFERROR(INDEX('Use Case Inventory'!$B:$B,MATCH(A102,'Use Case Inventory'!$A:$A,0)),""))</f>
        <v/>
      </c>
      <c r="C102" s="6"/>
      <c r="D102" s="6"/>
      <c r="E102" s="6"/>
      <c r="F102" s="6"/>
      <c r="G102" s="6"/>
      <c r="H102" s="6"/>
      <c r="I102" s="6"/>
      <c r="J102" s="6"/>
      <c r="K102" s="7" t="str">
        <f t="shared" si="6"/>
        <v/>
      </c>
      <c r="L102" s="7" t="str">
        <f t="shared" si="7"/>
        <v/>
      </c>
    </row>
    <row r="103" spans="1:12" x14ac:dyDescent="0.2">
      <c r="A103" s="6"/>
      <c r="B103" s="7" t="str">
        <f>IF(A103="","",IFERROR(INDEX('Use Case Inventory'!$B:$B,MATCH(A103,'Use Case Inventory'!$A:$A,0)),""))</f>
        <v/>
      </c>
      <c r="C103" s="6"/>
      <c r="D103" s="6"/>
      <c r="E103" s="6"/>
      <c r="F103" s="6"/>
      <c r="G103" s="6"/>
      <c r="H103" s="6"/>
      <c r="I103" s="6"/>
      <c r="J103" s="6"/>
      <c r="K103" s="7" t="str">
        <f t="shared" si="6"/>
        <v/>
      </c>
      <c r="L103" s="7" t="str">
        <f t="shared" si="7"/>
        <v/>
      </c>
    </row>
    <row r="104" spans="1:12" x14ac:dyDescent="0.2">
      <c r="A104" s="6"/>
      <c r="B104" s="7" t="str">
        <f>IF(A104="","",IFERROR(INDEX('Use Case Inventory'!$B:$B,MATCH(A104,'Use Case Inventory'!$A:$A,0)),""))</f>
        <v/>
      </c>
      <c r="C104" s="6"/>
      <c r="D104" s="6"/>
      <c r="E104" s="6"/>
      <c r="F104" s="6"/>
      <c r="G104" s="6"/>
      <c r="H104" s="6"/>
      <c r="I104" s="6"/>
      <c r="J104" s="6"/>
      <c r="K104" s="7" t="str">
        <f t="shared" si="6"/>
        <v/>
      </c>
      <c r="L104" s="7" t="str">
        <f t="shared" si="7"/>
        <v/>
      </c>
    </row>
  </sheetData>
  <conditionalFormatting sqref="L5:L104">
    <cfRule type="cellIs" dxfId="2" priority="2" operator="equal">
      <formula>"Tier 4"</formula>
    </cfRule>
    <cfRule type="cellIs" dxfId="1" priority="3" operator="equal">
      <formula>"Tier 3"</formula>
    </cfRule>
    <cfRule type="cellIs" dxfId="0" priority="4" operator="equal">
      <formula>"Tier 1"</formula>
    </cfRule>
  </conditionalFormatting>
  <dataValidations count="1">
    <dataValidation type="list" allowBlank="1" sqref="C5:J104" xr:uid="{00000000-0002-0000-02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26" customWidth="1"/>
    <col min="3" max="3" width="16" customWidth="1"/>
    <col min="4" max="4" width="22" customWidth="1"/>
    <col min="5" max="5" width="13" customWidth="1"/>
    <col min="6" max="6" width="26" customWidth="1"/>
    <col min="7" max="7" width="16" customWidth="1"/>
    <col min="8" max="8" width="22" customWidth="1"/>
    <col min="9" max="9" width="18" customWidth="1"/>
    <col min="10" max="10" width="16" customWidth="1"/>
    <col min="11" max="11" width="13" customWidth="1"/>
  </cols>
  <sheetData>
    <row r="1" spans="1:11" ht="18" x14ac:dyDescent="0.2">
      <c r="A1" s="1" t="s">
        <v>51</v>
      </c>
    </row>
    <row r="2" spans="1:11" x14ac:dyDescent="0.2">
      <c r="A2" s="4" t="s">
        <v>52</v>
      </c>
    </row>
    <row r="4" spans="1:11" ht="31.5" customHeight="1" x14ac:dyDescent="0.2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23</v>
      </c>
      <c r="H4" s="5" t="s">
        <v>59</v>
      </c>
      <c r="I4" s="5" t="s">
        <v>60</v>
      </c>
      <c r="J4" s="5" t="s">
        <v>61</v>
      </c>
      <c r="K4" s="5" t="s">
        <v>62</v>
      </c>
    </row>
    <row r="5" spans="1:11" ht="28" x14ac:dyDescent="0.2">
      <c r="A5" s="6" t="s">
        <v>26</v>
      </c>
      <c r="B5" s="6" t="s">
        <v>63</v>
      </c>
      <c r="C5" s="6" t="s">
        <v>64</v>
      </c>
      <c r="D5" s="6" t="s">
        <v>65</v>
      </c>
      <c r="E5" s="6" t="s">
        <v>66</v>
      </c>
      <c r="F5" s="6" t="s">
        <v>67</v>
      </c>
      <c r="G5" s="6" t="s">
        <v>35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52" customWidth="1"/>
    <col min="2" max="5" width="9" customWidth="1"/>
    <col min="6" max="6" width="16" customWidth="1"/>
  </cols>
  <sheetData>
    <row r="1" spans="1:6" ht="18" x14ac:dyDescent="0.2">
      <c r="A1" s="1" t="s">
        <v>72</v>
      </c>
    </row>
    <row r="2" spans="1:6" x14ac:dyDescent="0.2">
      <c r="A2" s="4" t="s">
        <v>73</v>
      </c>
    </row>
    <row r="4" spans="1:6" ht="31.5" customHeight="1" x14ac:dyDescent="0.2">
      <c r="A4" s="5" t="s">
        <v>74</v>
      </c>
      <c r="B4" s="5" t="s">
        <v>75</v>
      </c>
      <c r="C4" s="5" t="s">
        <v>76</v>
      </c>
      <c r="D4" s="5" t="s">
        <v>77</v>
      </c>
      <c r="E4" s="5" t="s">
        <v>78</v>
      </c>
      <c r="F4" s="5" t="s">
        <v>79</v>
      </c>
    </row>
    <row r="5" spans="1:6" x14ac:dyDescent="0.2">
      <c r="A5" s="7" t="s">
        <v>80</v>
      </c>
      <c r="B5" s="6" t="s">
        <v>81</v>
      </c>
      <c r="C5" s="6" t="s">
        <v>81</v>
      </c>
      <c r="D5" s="6" t="s">
        <v>81</v>
      </c>
      <c r="E5" s="6" t="s">
        <v>81</v>
      </c>
      <c r="F5" s="7" t="s">
        <v>82</v>
      </c>
    </row>
    <row r="6" spans="1:6" x14ac:dyDescent="0.2">
      <c r="A6" s="7" t="s">
        <v>83</v>
      </c>
      <c r="B6" s="6" t="s">
        <v>81</v>
      </c>
      <c r="C6" s="6" t="s">
        <v>81</v>
      </c>
      <c r="D6" s="6" t="s">
        <v>81</v>
      </c>
      <c r="E6" s="6" t="s">
        <v>81</v>
      </c>
      <c r="F6" s="7" t="s">
        <v>84</v>
      </c>
    </row>
    <row r="7" spans="1:6" ht="28" x14ac:dyDescent="0.2">
      <c r="A7" s="7" t="s">
        <v>85</v>
      </c>
      <c r="B7" s="6" t="s">
        <v>86</v>
      </c>
      <c r="C7" s="6" t="s">
        <v>81</v>
      </c>
      <c r="D7" s="6" t="s">
        <v>81</v>
      </c>
      <c r="E7" s="6" t="s">
        <v>81</v>
      </c>
      <c r="F7" s="7" t="s">
        <v>87</v>
      </c>
    </row>
    <row r="8" spans="1:6" x14ac:dyDescent="0.2">
      <c r="A8" s="7" t="s">
        <v>88</v>
      </c>
      <c r="B8" s="6" t="s">
        <v>86</v>
      </c>
      <c r="C8" s="6" t="s">
        <v>81</v>
      </c>
      <c r="D8" s="6" t="s">
        <v>81</v>
      </c>
      <c r="E8" s="6" t="s">
        <v>81</v>
      </c>
      <c r="F8" s="7" t="s">
        <v>89</v>
      </c>
    </row>
    <row r="9" spans="1:6" x14ac:dyDescent="0.2">
      <c r="A9" s="7" t="s">
        <v>90</v>
      </c>
      <c r="B9" s="6" t="s">
        <v>86</v>
      </c>
      <c r="C9" s="6" t="s">
        <v>81</v>
      </c>
      <c r="D9" s="6" t="s">
        <v>81</v>
      </c>
      <c r="E9" s="6" t="s">
        <v>81</v>
      </c>
      <c r="F9" s="7" t="s">
        <v>91</v>
      </c>
    </row>
    <row r="10" spans="1:6" x14ac:dyDescent="0.2">
      <c r="A10" s="7" t="s">
        <v>92</v>
      </c>
      <c r="B10" s="6" t="s">
        <v>86</v>
      </c>
      <c r="C10" s="6" t="s">
        <v>81</v>
      </c>
      <c r="D10" s="6" t="s">
        <v>81</v>
      </c>
      <c r="E10" s="6" t="s">
        <v>81</v>
      </c>
      <c r="F10" s="7" t="s">
        <v>93</v>
      </c>
    </row>
    <row r="11" spans="1:6" x14ac:dyDescent="0.2">
      <c r="A11" s="7" t="s">
        <v>94</v>
      </c>
      <c r="B11" s="6" t="s">
        <v>86</v>
      </c>
      <c r="C11" s="6" t="s">
        <v>86</v>
      </c>
      <c r="D11" s="6" t="s">
        <v>81</v>
      </c>
      <c r="E11" s="6" t="s">
        <v>81</v>
      </c>
      <c r="F11" s="7" t="s">
        <v>91</v>
      </c>
    </row>
    <row r="12" spans="1:6" x14ac:dyDescent="0.2">
      <c r="A12" s="7" t="s">
        <v>95</v>
      </c>
      <c r="B12" s="6" t="s">
        <v>86</v>
      </c>
      <c r="C12" s="6" t="s">
        <v>86</v>
      </c>
      <c r="D12" s="6" t="s">
        <v>81</v>
      </c>
      <c r="E12" s="6" t="s">
        <v>81</v>
      </c>
      <c r="F12" s="7" t="s">
        <v>96</v>
      </c>
    </row>
    <row r="13" spans="1:6" x14ac:dyDescent="0.2">
      <c r="A13" s="7" t="s">
        <v>97</v>
      </c>
      <c r="B13" s="6" t="s">
        <v>86</v>
      </c>
      <c r="C13" s="6" t="s">
        <v>81</v>
      </c>
      <c r="D13" s="6" t="s">
        <v>81</v>
      </c>
      <c r="E13" s="6" t="s">
        <v>81</v>
      </c>
      <c r="F13" s="7" t="s">
        <v>91</v>
      </c>
    </row>
    <row r="14" spans="1:6" x14ac:dyDescent="0.2">
      <c r="A14" s="7" t="s">
        <v>98</v>
      </c>
      <c r="B14" s="6" t="s">
        <v>86</v>
      </c>
      <c r="C14" s="6" t="s">
        <v>86</v>
      </c>
      <c r="D14" s="6" t="s">
        <v>81</v>
      </c>
      <c r="E14" s="6" t="s">
        <v>81</v>
      </c>
      <c r="F14" s="7" t="s">
        <v>93</v>
      </c>
    </row>
    <row r="15" spans="1:6" ht="28" x14ac:dyDescent="0.2">
      <c r="A15" s="7" t="s">
        <v>99</v>
      </c>
      <c r="B15" s="6" t="s">
        <v>86</v>
      </c>
      <c r="C15" s="6" t="s">
        <v>86</v>
      </c>
      <c r="D15" s="6" t="s">
        <v>81</v>
      </c>
      <c r="E15" s="6" t="s">
        <v>81</v>
      </c>
      <c r="F15" s="7" t="s">
        <v>100</v>
      </c>
    </row>
    <row r="16" spans="1:6" x14ac:dyDescent="0.2">
      <c r="A16" s="7" t="s">
        <v>101</v>
      </c>
      <c r="B16" s="6" t="s">
        <v>86</v>
      </c>
      <c r="C16" s="6" t="s">
        <v>86</v>
      </c>
      <c r="D16" s="6" t="s">
        <v>81</v>
      </c>
      <c r="E16" s="6" t="s">
        <v>81</v>
      </c>
      <c r="F16" s="7" t="s">
        <v>93</v>
      </c>
    </row>
    <row r="17" spans="1:6" x14ac:dyDescent="0.2">
      <c r="A17" s="7" t="s">
        <v>102</v>
      </c>
      <c r="B17" s="6" t="s">
        <v>86</v>
      </c>
      <c r="C17" s="6" t="s">
        <v>86</v>
      </c>
      <c r="D17" s="6" t="s">
        <v>81</v>
      </c>
      <c r="E17" s="6" t="s">
        <v>81</v>
      </c>
      <c r="F17" s="7" t="s">
        <v>93</v>
      </c>
    </row>
    <row r="18" spans="1:6" x14ac:dyDescent="0.2">
      <c r="A18" s="7" t="s">
        <v>103</v>
      </c>
      <c r="B18" s="6" t="s">
        <v>86</v>
      </c>
      <c r="C18" s="6" t="s">
        <v>86</v>
      </c>
      <c r="D18" s="6" t="s">
        <v>81</v>
      </c>
      <c r="E18" s="6" t="s">
        <v>81</v>
      </c>
      <c r="F18" s="7" t="s">
        <v>104</v>
      </c>
    </row>
    <row r="19" spans="1:6" x14ac:dyDescent="0.2">
      <c r="A19" s="7" t="s">
        <v>105</v>
      </c>
      <c r="B19" s="6" t="s">
        <v>86</v>
      </c>
      <c r="C19" s="6" t="s">
        <v>86</v>
      </c>
      <c r="D19" s="6" t="s">
        <v>81</v>
      </c>
      <c r="E19" s="6" t="s">
        <v>81</v>
      </c>
      <c r="F19" s="7" t="s">
        <v>84</v>
      </c>
    </row>
    <row r="20" spans="1:6" ht="28" x14ac:dyDescent="0.2">
      <c r="A20" s="7" t="s">
        <v>106</v>
      </c>
      <c r="B20" s="6" t="s">
        <v>86</v>
      </c>
      <c r="C20" s="6" t="s">
        <v>86</v>
      </c>
      <c r="D20" s="6" t="s">
        <v>86</v>
      </c>
      <c r="E20" s="6" t="s">
        <v>81</v>
      </c>
      <c r="F20" s="7" t="s">
        <v>91</v>
      </c>
    </row>
    <row r="21" spans="1:6" ht="28" x14ac:dyDescent="0.2">
      <c r="A21" s="7" t="s">
        <v>107</v>
      </c>
      <c r="B21" s="6" t="s">
        <v>86</v>
      </c>
      <c r="C21" s="6" t="s">
        <v>86</v>
      </c>
      <c r="D21" s="6" t="s">
        <v>86</v>
      </c>
      <c r="E21" s="6" t="s">
        <v>81</v>
      </c>
      <c r="F21" s="7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Use Case Inventory</vt:lpstr>
      <vt:lpstr>Risk Tiering</vt:lpstr>
      <vt:lpstr>Model and System Inventory</vt:lpstr>
      <vt:lpstr>Controls by Tier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KF</dc:creator>
  <cp:keywords/>
  <dc:description/>
  <cp:lastModifiedBy>Kevin Forbes</cp:lastModifiedBy>
  <cp:revision>0</cp:revision>
  <dcterms:created xsi:type="dcterms:W3CDTF">2026-10-06T19:42:54Z</dcterms:created>
  <dcterms:modified xsi:type="dcterms:W3CDTF">2026-10-06T20:02:13Z</dcterms:modified>
  <cp:category/>
  <dc:language>en-US</dc:language>
</cp:coreProperties>
</file>