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llocation Summary" sheetId="2" state="visible" r:id="rId4"/>
    <sheet name="$10M Less" sheetId="3" state="visible" r:id="rId5"/>
    <sheet name="$10M More" sheetId="4" state="visible" r:id="rId6"/>
    <sheet name="Zero-Based Review" sheetId="5" state="visible" r:id="rId7"/>
    <sheet name="Real Options Tracker" sheetId="6" state="visible" r:id="rId8"/>
    <sheet name="3-Year Projec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<sst xmlns="http://schemas.openxmlformats.org/spreadsheetml/2006/main" count="186" uniqueCount="142">
  <si>
    <t xml:space="preserve">Technology Capital Allocation Workbook</t>
  </si>
  <si>
    <t xml:space="preserve">Companion workbook to the Technology Capital Allocation page. Fill in blue cells; everything else calculates.</t>
  </si>
  <si>
    <t xml:space="preserve">How to use this workbook</t>
  </si>
  <si>
    <t xml:space="preserve">Allocation Summary</t>
  </si>
  <si>
    <t xml:space="preserve">Enter your current spend by category and your target percentage split. The sheet computes variance automatically. Start here.</t>
  </si>
  <si>
    <t xml:space="preserve">$10M Less</t>
  </si>
  <si>
    <t xml:space="preserve">Your pre-ranked cut list, built before you need it, per the page's core argument. Rank items in the order you'd cut them, with the real consequence stated plainly.</t>
  </si>
  <si>
    <t xml:space="preserve">$10M More</t>
  </si>
  <si>
    <t xml:space="preserve">The mirror image: your pre-ranked list of what gets funded next if a windfall arrives, tied to the three-horizon split.</t>
  </si>
  <si>
    <t xml:space="preserve">Zero-Based Review</t>
  </si>
  <si>
    <t xml:space="preserve">Once a year, walk every active investment and ask: would we start this today? A 'No' needs a wind-down date rather than silence.</t>
  </si>
  <si>
    <t xml:space="preserve">Real Options Tracker</t>
  </si>
  <si>
    <t xml:space="preserve">Horizon 3 bets staged as options rather than full commitments. Fund the next decision point rather than the whole initiative, until uncertainty resolves.</t>
  </si>
  <si>
    <t xml:space="preserve">3-Year Projection</t>
  </si>
  <si>
    <t xml:space="preserve">How the allocation mix is meant to shift over three years, beyond this year's number.</t>
  </si>
  <si>
    <t xml:space="preserve">Legend</t>
  </si>
  <si>
    <t xml:space="preserve">Blue text</t>
  </si>
  <si>
    <t xml:space="preserve">A cell you fill in</t>
  </si>
  <si>
    <t xml:space="preserve">Black text</t>
  </si>
  <si>
    <t xml:space="preserve">A formula; don't overwrite</t>
  </si>
  <si>
    <t xml:space="preserve">Yellow fill</t>
  </si>
  <si>
    <t xml:space="preserve">Key assumption or example row, replace with your own numbers</t>
  </si>
  <si>
    <t xml:space="preserve">Source</t>
  </si>
  <si>
    <t xml:space="preserve">Categories, tests, and the worked allocation shape are drawn from the CTO Toolkit's Technology Capital Allocation page. All figures below are illustrative examples for you to overwrite.</t>
  </si>
  <si>
    <t xml:space="preserve">Every category has a number and a reason. Fill in current spend and target percentages; variance calculates.</t>
  </si>
  <si>
    <t xml:space="preserve">Total Annual Technology Budget</t>
  </si>
  <si>
    <t xml:space="preserve">Category</t>
  </si>
  <si>
    <t xml:space="preserve">Current $</t>
  </si>
  <si>
    <t xml:space="preserve">Current %</t>
  </si>
  <si>
    <t xml:space="preserve">Target %</t>
  </si>
  <si>
    <t xml:space="preserve">Target $</t>
  </si>
  <si>
    <t xml:space="preserve">Variance $</t>
  </si>
  <si>
    <t xml:space="preserve">Variance %</t>
  </si>
  <si>
    <t xml:space="preserve">Run</t>
  </si>
  <si>
    <t xml:space="preserve">Grow</t>
  </si>
  <si>
    <t xml:space="preserve">Transform</t>
  </si>
  <si>
    <t xml:space="preserve">Security</t>
  </si>
  <si>
    <t xml:space="preserve">Technical debt</t>
  </si>
  <si>
    <t xml:space="preserve">Headcount</t>
  </si>
  <si>
    <t xml:space="preserve">Vendors</t>
  </si>
  <si>
    <t xml:space="preserve">Reserve</t>
  </si>
  <si>
    <t xml:space="preserve">Total</t>
  </si>
  <si>
    <t xml:space="preserve">Target % should sum to 100%. If it doesn't, the allocation is still aspirational rather than decided.</t>
  </si>
  <si>
    <t xml:space="preserve">Headcount and Vendors hold only people and vendor cost not already attributed to a band above (shared management, enterprise agreements), so nothing is counted twice.</t>
  </si>
  <si>
    <t xml:space="preserve">$10M Less: Pre-Ranked Cut List</t>
  </si>
  <si>
    <t xml:space="preserve">Built before you need it, per the page's core argument. Rank in the order you would cut, first to last.</t>
  </si>
  <si>
    <t xml:space="preserve">Rank</t>
  </si>
  <si>
    <t xml:space="preserve">Item</t>
  </si>
  <si>
    <t xml:space="preserve">Annual Savings</t>
  </si>
  <si>
    <t xml:space="preserve">Real Consequence</t>
  </si>
  <si>
    <t xml:space="preserve">Prerequisite / Dependency</t>
  </si>
  <si>
    <t xml:space="preserve">Cumulative Savings</t>
  </si>
  <si>
    <t xml:space="preserve">Cloud rightsizing sweep</t>
  </si>
  <si>
    <t xml:space="preserve">Near-zero; idle capacity reclaimed</t>
  </si>
  <si>
    <t xml:space="preserve">None, execute immediately</t>
  </si>
  <si>
    <t xml:space="preserve">Duplicate SaaS tooling consolidation</t>
  </si>
  <si>
    <t xml:space="preserve">Minor workflow friction during migration</t>
  </si>
  <si>
    <t xml:space="preserve">6-week transition window</t>
  </si>
  <si>
    <t xml:space="preserve">Pause Horizon 3 exploratory spike</t>
  </si>
  <si>
    <t xml:space="preserve">Loses the one active real-options bet this year</t>
  </si>
  <si>
    <t xml:space="preserve">None</t>
  </si>
  <si>
    <t xml:space="preserve">Reduce contractor headcount on Grow initiative</t>
  </si>
  <si>
    <t xml:space="preserve">Grow initiative timeline slips one quarter</t>
  </si>
  <si>
    <t xml:space="preserve">Deprioritize which Grow bet first</t>
  </si>
  <si>
    <t xml:space="preserve">Defer non-critical technical debt remediation</t>
  </si>
  <si>
    <t xml:space="preserve">Carry cost compounds; revisit in 2 quarters</t>
  </si>
  <si>
    <t xml:space="preserve">Must not touch security-adjacent debt</t>
  </si>
  <si>
    <t xml:space="preserve">Reduce reserve buffer</t>
  </si>
  <si>
    <t xml:space="preserve">Less room to absorb the next unplanned cost</t>
  </si>
  <si>
    <t xml:space="preserve">Only after items 1-5 are exhausted</t>
  </si>
  <si>
    <t xml:space="preserve">Cut target ($)</t>
  </si>
  <si>
    <t xml:space="preserve">The page asks the $10M question of a large enterprise; set the cut you need to be ready for. The example is 10% of a $10M budget.</t>
  </si>
  <si>
    <t xml:space="preserve">A cut list with no stated consequence is a guess. Fill the consequence column candidly, including “near-zero” where that's true.</t>
  </si>
  <si>
    <t xml:space="preserve">$10M More: Pre-Ranked Funding List</t>
  </si>
  <si>
    <t xml:space="preserve">The mirror image of the cut list. A windfall gets deployed deliberately instead of absorbed by whoever asks loudest.</t>
  </si>
  <si>
    <t xml:space="preserve">Horizon</t>
  </si>
  <si>
    <t xml:space="preserve">Annual Cost</t>
  </si>
  <si>
    <t xml:space="preserve">“So That” Outcome</t>
  </si>
  <si>
    <t xml:space="preserve">Cumulative Cost</t>
  </si>
  <si>
    <t xml:space="preserve">Second Grow-horizon integration platform</t>
  </si>
  <si>
    <t xml:space="preserve">H2</t>
  </si>
  <si>
    <t xml:space="preserve">So that the next 5 integrations ship in weeks rather than quarters, measured by integration lead time</t>
  </si>
  <si>
    <t xml:space="preserve">Dedicated security headcount</t>
  </si>
  <si>
    <t xml:space="preserve">H1</t>
  </si>
  <si>
    <t xml:space="preserve">So that vendor risk reviews stop being a part-time responsibility, measured by review turnaround time</t>
  </si>
  <si>
    <t xml:space="preserve">Full-scale build of the validated Horizon 3 pricing spike</t>
  </si>
  <si>
    <t xml:space="preserve">H3</t>
  </si>
  <si>
    <t xml:space="preserve">So that usage-based pricing ships to the first cohort, measured by adoption in the pilot segment</t>
  </si>
  <si>
    <t xml:space="preserve">Platform team, second engineer</t>
  </si>
  <si>
    <t xml:space="preserve">So that golden-path adoption reaches 80% of new services, measured by self-service provisioning rate</t>
  </si>
  <si>
    <t xml:space="preserve">Accelerated technical debt remediation</t>
  </si>
  <si>
    <t xml:space="preserve">So that change failure rate on the affected systems drops below the elite band within two quarters</t>
  </si>
  <si>
    <t xml:space="preserve">Windfall to deploy ($)</t>
  </si>
  <si>
    <t xml:space="preserve">If an item can't complete the “so that” sentence with a specific outcome and how it's measured, it doesn't belong on this list, whatever its technical merit.</t>
  </si>
  <si>
    <t xml:space="preserve">Once a year, walk every active investment. Knowing what we know now, would we start this today?</t>
  </si>
  <si>
    <t xml:space="preserve">Investment</t>
  </si>
  <si>
    <t xml:space="preserve">Start Today? (Y/N)</t>
  </si>
  <si>
    <t xml:space="preserve">Wind-Down Target Date (if No)</t>
  </si>
  <si>
    <t xml:space="preserve">Rationale</t>
  </si>
  <si>
    <t xml:space="preserve">Legacy reporting platform</t>
  </si>
  <si>
    <t xml:space="preserve">N</t>
  </si>
  <si>
    <t xml:space="preserve">Q3 next year</t>
  </si>
  <si>
    <t xml:space="preserve">Superseded by the new BI layer; kept alive only by one team's dashboards not yet migrated</t>
  </si>
  <si>
    <t xml:space="preserve">Regional data center lease</t>
  </si>
  <si>
    <t xml:space="preserve">Y</t>
  </si>
  <si>
    <t xml:space="preserve">Still the right call given current latency requirements for the affected customer segment</t>
  </si>
  <si>
    <t xml:space="preserve">Innovation lab headcount (2 FTE)</t>
  </si>
  <si>
    <t xml:space="preserve">Q1 next year</t>
  </si>
  <si>
    <t xml:space="preserve">No shipped output in 18 months; convert to the tournament-sourced model instead</t>
  </si>
  <si>
    <t xml:space="preserve">Customer data platform</t>
  </si>
  <si>
    <t xml:space="preserve">Core to three of the four Grow-horizon initiatives currently funded</t>
  </si>
  <si>
    <t xml:space="preserve">An “N” with no wind-down date is worse than not running this exercise at all; it documents the problem without committing to fix it.</t>
  </si>
  <si>
    <t xml:space="preserve">Horizon 3 bets staged as options. Fund the next decision point rather than the whole initiative, until uncertainty resolves.</t>
  </si>
  <si>
    <t xml:space="preserve">Bet</t>
  </si>
  <si>
    <t xml:space="preserve">Option Cost</t>
  </si>
  <si>
    <t xml:space="preserve">Decision Gate Date</t>
  </si>
  <si>
    <t xml:space="preserve">Full-Scale Cost if Proceeding</t>
  </si>
  <si>
    <t xml:space="preserve">Status</t>
  </si>
  <si>
    <t xml:space="preserve">Usage-based pricing feasibility spike</t>
  </si>
  <si>
    <t xml:space="preserve">Q2 this year</t>
  </si>
  <si>
    <t xml:space="preserve">Testing</t>
  </si>
  <si>
    <t xml:space="preserve">Alternate vendor for core auth, technical trial</t>
  </si>
  <si>
    <t xml:space="preserve">Q1 this year</t>
  </si>
  <si>
    <t xml:space="preserve">Proceed</t>
  </si>
  <si>
    <t xml:space="preserve">AI-assisted support triage pilot</t>
  </si>
  <si>
    <t xml:space="preserve">Q3 this year</t>
  </si>
  <si>
    <t xml:space="preserve">Edge deployment feasibility for latency-sensitive segment</t>
  </si>
  <si>
    <t xml:space="preserve">Q4 this year</t>
  </si>
  <si>
    <t xml:space="preserve">Not started</t>
  </si>
  <si>
    <t xml:space="preserve">Status options: Testing, Proceed, Kill, Not started. A bet stuck in Testing past its gate date with no decision made is the trap the whole tracker exists to prevent.</t>
  </si>
  <si>
    <t xml:space="preserve">3-Year Allocation Projection</t>
  </si>
  <si>
    <t xml:space="preserve">How the mix is meant to shift over three years, beyond this year's number.</t>
  </si>
  <si>
    <t xml:space="preserve">Total Budget, Year 1</t>
  </si>
  <si>
    <t xml:space="preserve">Total Budget, Year 2</t>
  </si>
  <si>
    <t xml:space="preserve">Total Budget, Year 3</t>
  </si>
  <si>
    <t xml:space="preserve">Year 1 %</t>
  </si>
  <si>
    <t xml:space="preserve">Year 1 $</t>
  </si>
  <si>
    <t xml:space="preserve">Year 2 %</t>
  </si>
  <si>
    <t xml:space="preserve">Year 2 $</t>
  </si>
  <si>
    <t xml:space="preserve">Year 3 %</t>
  </si>
  <si>
    <t xml:space="preserve">Year 3 $</t>
  </si>
  <si>
    <t xml:space="preserve">Illustrative shift: Run share declining as Transform grows, a common pattern once foundational modernization work matures into steady-state and frees capacity for real bets. Overwrite with your own trajectory.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</si>
</sst>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E1B"/>
      <name val="Arial"/>
      <family val="0"/>
      <charset val="1"/>
    </font>
    <font>
      <i val="true"/>
      <sz val="10"/>
      <color rgb="FF52564F"/>
      <name val="Arial"/>
      <family val="0"/>
      <charset val="1"/>
    </font>
    <font>
      <b val="true"/>
      <sz val="12"/>
      <color rgb="FF2E5E4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2E5E4E"/>
        <bgColor rgb="FF52564F"/>
      </patternFill>
    </fill>
    <fill>
      <patternFill patternType="solid">
        <fgColor rgb="FFE4EDE8"/>
        <bgColor rgb="FFDCDA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FFFCC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9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.75" hidden="false" customHeight="true" outlineLevel="0" collapsed="false">
      <c r="A4" s="3" t="s">
        <v>2</v>
      </c>
      <c r="B4" s="3"/>
    </row>
    <row r="6" customFormat="false" ht="31.5" hidden="false" customHeight="true" outlineLevel="0" collapsed="false">
      <c r="A6" s="4" t="s">
        <v>3</v>
      </c>
      <c r="B6" s="5" t="s">
        <v>4</v>
      </c>
    </row>
    <row r="7" customFormat="false" ht="31.5" hidden="false" customHeight="true" outlineLevel="0" collapsed="false">
      <c r="A7" s="4" t="s">
        <v>5</v>
      </c>
      <c r="B7" s="5" t="s">
        <v>6</v>
      </c>
    </row>
    <row r="8" customFormat="false" ht="31.5" hidden="false" customHeight="true" outlineLevel="0" collapsed="false">
      <c r="A8" s="4" t="s">
        <v>7</v>
      </c>
      <c r="B8" s="5" t="s">
        <v>8</v>
      </c>
    </row>
    <row r="9" customFormat="false" ht="31.5" hidden="false" customHeight="true" outlineLevel="0" collapsed="false">
      <c r="A9" s="4" t="s">
        <v>9</v>
      </c>
      <c r="B9" s="5" t="s">
        <v>10</v>
      </c>
    </row>
    <row r="10" customFormat="false" ht="31.5" hidden="false" customHeight="true" outlineLevel="0" collapsed="false">
      <c r="A10" s="4" t="s">
        <v>11</v>
      </c>
      <c r="B10" s="5" t="s">
        <v>12</v>
      </c>
    </row>
    <row r="11" customFormat="false" ht="31.5" hidden="false" customHeight="true" outlineLevel="0" collapsed="false">
      <c r="A11" s="4" t="s">
        <v>13</v>
      </c>
      <c r="B11" s="5" t="s">
        <v>14</v>
      </c>
    </row>
    <row r="13" customFormat="false" ht="15.75" hidden="false" customHeight="true" outlineLevel="0" collapsed="false">
      <c r="A13" s="3" t="s">
        <v>15</v>
      </c>
      <c r="B13" s="3"/>
    </row>
    <row r="15" customFormat="false" ht="15" hidden="false" customHeight="false" outlineLevel="0" collapsed="false">
      <c r="A15" s="6" t="s">
        <v>16</v>
      </c>
      <c r="B15" s="7" t="s">
        <v>17</v>
      </c>
    </row>
    <row r="16" customFormat="false" ht="15" hidden="false" customHeight="false" outlineLevel="0" collapsed="false">
      <c r="A16" s="4" t="s">
        <v>18</v>
      </c>
      <c r="B16" s="7" t="s">
        <v>19</v>
      </c>
    </row>
    <row r="17" customFormat="false" ht="15" hidden="false" customHeight="false" outlineLevel="0" collapsed="false">
      <c r="A17" s="8" t="s">
        <v>20</v>
      </c>
      <c r="B17" s="7" t="s">
        <v>21</v>
      </c>
    </row>
    <row r="20" customFormat="false" ht="15.75" hidden="false" customHeight="true" outlineLevel="0" collapsed="false">
      <c r="A20" s="9" t="s">
        <v>22</v>
      </c>
    </row>
    <row r="21" customFormat="false" ht="23.25" hidden="false" customHeight="true" outlineLevel="0" collapsed="false">
      <c r="A21" s="10" t="s">
        <v>23</v>
      </c>
      <c r="B21" s="10"/>
    </row>
  </sheetData>
  <mergeCells count="5">
    <mergeCell ref="A1:B1"/>
    <mergeCell ref="A2:B2"/>
    <mergeCell ref="A4:B4"/>
    <mergeCell ref="A13:B13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25</v>
      </c>
      <c r="B4" s="11" t="n">
        <v>10000000</v>
      </c>
    </row>
    <row r="6" customFormat="false" ht="15" hidden="false" customHeight="false" outlineLevel="0" collapsed="false">
      <c r="A6" s="12" t="s">
        <v>26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</row>
    <row r="7" customFormat="false" ht="15" hidden="false" customHeight="false" outlineLevel="0" collapsed="false">
      <c r="A7" s="13" t="s">
        <v>33</v>
      </c>
      <c r="B7" s="14" t="n">
        <v>3970000</v>
      </c>
      <c r="C7" s="15" t="n">
        <f aca="false">IFERROR(B7/$B$4,0)</f>
        <v>0.397</v>
      </c>
      <c r="D7" s="16" t="n">
        <v>0.4</v>
      </c>
      <c r="E7" s="17" t="n">
        <f aca="false">D7*$B$4</f>
        <v>4000000</v>
      </c>
      <c r="F7" s="17" t="n">
        <f aca="false">B7-E7</f>
        <v>-30000</v>
      </c>
      <c r="G7" s="15" t="n">
        <f aca="false">IFERROR(F7/E7,0)</f>
        <v>-0.0075</v>
      </c>
    </row>
    <row r="8" customFormat="false" ht="15" hidden="false" customHeight="false" outlineLevel="0" collapsed="false">
      <c r="A8" s="13" t="s">
        <v>34</v>
      </c>
      <c r="B8" s="14" t="n">
        <v>1600000</v>
      </c>
      <c r="C8" s="15" t="n">
        <f aca="false">IFERROR(B8/$B$4,0)</f>
        <v>0.16</v>
      </c>
      <c r="D8" s="16" t="n">
        <v>0.15</v>
      </c>
      <c r="E8" s="17" t="n">
        <f aca="false">D8*$B$4</f>
        <v>1500000</v>
      </c>
      <c r="F8" s="17" t="n">
        <f aca="false">B8-E8</f>
        <v>100000</v>
      </c>
      <c r="G8" s="15" t="n">
        <f aca="false">IFERROR(F8/E8,0)</f>
        <v>0.0666666666666667</v>
      </c>
    </row>
    <row r="9" customFormat="false" ht="15" hidden="false" customHeight="false" outlineLevel="0" collapsed="false">
      <c r="A9" s="13" t="s">
        <v>35</v>
      </c>
      <c r="B9" s="14" t="n">
        <v>700000</v>
      </c>
      <c r="C9" s="15" t="n">
        <f aca="false">IFERROR(B9/$B$4,0)</f>
        <v>0.07</v>
      </c>
      <c r="D9" s="16" t="n">
        <v>0.07</v>
      </c>
      <c r="E9" s="17" t="n">
        <f aca="false">D9*$B$4</f>
        <v>700000</v>
      </c>
      <c r="F9" s="17" t="n">
        <f aca="false">B9-E9</f>
        <v>0</v>
      </c>
      <c r="G9" s="15" t="n">
        <f aca="false">IFERROR(F9/E9,0)</f>
        <v>0</v>
      </c>
    </row>
    <row r="10" customFormat="false" ht="15" hidden="false" customHeight="false" outlineLevel="0" collapsed="false">
      <c r="A10" s="13" t="s">
        <v>36</v>
      </c>
      <c r="B10" s="14" t="n">
        <v>950000</v>
      </c>
      <c r="C10" s="15" t="n">
        <f aca="false">IFERROR(B10/$B$4,0)</f>
        <v>0.095</v>
      </c>
      <c r="D10" s="16" t="n">
        <v>0.1</v>
      </c>
      <c r="E10" s="17" t="n">
        <f aca="false">D10*$B$4</f>
        <v>1000000</v>
      </c>
      <c r="F10" s="17" t="n">
        <f aca="false">B10-E10</f>
        <v>-50000</v>
      </c>
      <c r="G10" s="15" t="n">
        <f aca="false">IFERROR(F10/E10,0)</f>
        <v>-0.05</v>
      </c>
    </row>
    <row r="11" customFormat="false" ht="15" hidden="false" customHeight="false" outlineLevel="0" collapsed="false">
      <c r="A11" s="13" t="s">
        <v>37</v>
      </c>
      <c r="B11" s="14" t="n">
        <v>750000</v>
      </c>
      <c r="C11" s="15" t="n">
        <f aca="false">IFERROR(B11/$B$4,0)</f>
        <v>0.075</v>
      </c>
      <c r="D11" s="16" t="n">
        <v>0.08</v>
      </c>
      <c r="E11" s="17" t="n">
        <f aca="false">D11*$B$4</f>
        <v>800000</v>
      </c>
      <c r="F11" s="17" t="n">
        <f aca="false">B11-E11</f>
        <v>-50000</v>
      </c>
      <c r="G11" s="15" t="n">
        <f aca="false">IFERROR(F11/E11,0)</f>
        <v>-0.0625</v>
      </c>
    </row>
    <row r="12" customFormat="false" ht="15" hidden="false" customHeight="false" outlineLevel="0" collapsed="false">
      <c r="A12" s="13" t="s">
        <v>38</v>
      </c>
      <c r="B12" s="14" t="n">
        <v>1250000</v>
      </c>
      <c r="C12" s="15" t="n">
        <f aca="false">IFERROR(B12/$B$4,0)</f>
        <v>0.125</v>
      </c>
      <c r="D12" s="16" t="n">
        <v>0.12</v>
      </c>
      <c r="E12" s="17" t="n">
        <f aca="false">D12*$B$4</f>
        <v>1200000</v>
      </c>
      <c r="F12" s="17" t="n">
        <f aca="false">B12-E12</f>
        <v>50000</v>
      </c>
      <c r="G12" s="15" t="n">
        <f aca="false">IFERROR(F12/E12,0)</f>
        <v>0.0416666666666667</v>
      </c>
    </row>
    <row r="13" customFormat="false" ht="15" hidden="false" customHeight="false" outlineLevel="0" collapsed="false">
      <c r="A13" s="13" t="s">
        <v>39</v>
      </c>
      <c r="B13" s="14" t="n">
        <v>380000</v>
      </c>
      <c r="C13" s="15" t="n">
        <f aca="false">IFERROR(B13/$B$4,0)</f>
        <v>0.038</v>
      </c>
      <c r="D13" s="16" t="n">
        <v>0.04</v>
      </c>
      <c r="E13" s="17" t="n">
        <f aca="false">D13*$B$4</f>
        <v>400000</v>
      </c>
      <c r="F13" s="17" t="n">
        <f aca="false">B13-E13</f>
        <v>-20000</v>
      </c>
      <c r="G13" s="15" t="n">
        <f aca="false">IFERROR(F13/E13,0)</f>
        <v>-0.05</v>
      </c>
    </row>
    <row r="14" customFormat="false" ht="15" hidden="false" customHeight="false" outlineLevel="0" collapsed="false">
      <c r="A14" s="13" t="s">
        <v>40</v>
      </c>
      <c r="B14" s="14" t="n">
        <v>400000</v>
      </c>
      <c r="C14" s="15" t="n">
        <f aca="false">IFERROR(B14/$B$4,0)</f>
        <v>0.04</v>
      </c>
      <c r="D14" s="16" t="n">
        <v>0.04</v>
      </c>
      <c r="E14" s="17" t="n">
        <f aca="false">D14*$B$4</f>
        <v>400000</v>
      </c>
      <c r="F14" s="17" t="n">
        <f aca="false">B14-E14</f>
        <v>0</v>
      </c>
      <c r="G14" s="15" t="n">
        <f aca="false">IFERROR(F14/E14,0)</f>
        <v>0</v>
      </c>
    </row>
    <row r="15" customFormat="false" ht="15" hidden="false" customHeight="false" outlineLevel="0" collapsed="false">
      <c r="A15" s="18" t="s">
        <v>41</v>
      </c>
      <c r="B15" s="19" t="n">
        <f aca="false">SUM(B7:B14)</f>
        <v>10000000</v>
      </c>
      <c r="C15" s="20" t="n">
        <f aca="false">SUM(C7:C14)</f>
        <v>1</v>
      </c>
      <c r="D15" s="20" t="n">
        <f aca="false">SUM(D7:D14)</f>
        <v>1</v>
      </c>
      <c r="E15" s="19" t="n">
        <f aca="false">SUM(E7:E14)</f>
        <v>10000000</v>
      </c>
      <c r="F15" s="19" t="n">
        <f aca="false">SUM(F7:F14)</f>
        <v>0</v>
      </c>
      <c r="G15" s="20" t="n">
        <f aca="false">IFERROR(F15/E15,0)</f>
        <v>0</v>
      </c>
    </row>
    <row r="17" customFormat="false" ht="15" hidden="false" customHeight="false" outlineLevel="0" collapsed="false">
      <c r="A17" s="2" t="s">
        <v>42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1" t="s">
        <v>43</v>
      </c>
    </row>
    <row r="19" customFormat="false" ht="15" hidden="false" customHeight="false" outlineLevel="0" collapsed="false">
      <c r="A19" s="21" t="str">
        <f aca="false">IF(ABS(D15-1)&gt;0.0005,"Check: target % sums to "&amp;TEXT(D15,"0.0%")&amp;", not 100%","Target % sums to 100%")</f>
        <v>Target % sums to 100%</v>
      </c>
    </row>
    <row r="20" customFormat="false" ht="15" hidden="false" customHeight="false" outlineLevel="0" collapsed="false">
      <c r="A20" s="21" t="str">
        <f aca="false">IF(ABS(B15-B4)&gt;1,"Check: current spend sums to "&amp;TEXT(B15,"$#,##0")&amp;" against a budget of "&amp;TEXT(B4,"$#,##0"),"Current spend matches the budget")</f>
        <v>Current spend matches the budget</v>
      </c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2" t="s">
        <v>46</v>
      </c>
      <c r="B4" s="12" t="s">
        <v>47</v>
      </c>
      <c r="C4" s="12" t="s">
        <v>26</v>
      </c>
      <c r="D4" s="12" t="s">
        <v>48</v>
      </c>
      <c r="E4" s="12" t="s">
        <v>49</v>
      </c>
      <c r="F4" s="12" t="s">
        <v>50</v>
      </c>
      <c r="G4" s="12" t="s">
        <v>51</v>
      </c>
    </row>
    <row r="5" customFormat="false" ht="30" hidden="false" customHeight="true" outlineLevel="0" collapsed="false">
      <c r="A5" s="22" t="n">
        <v>1</v>
      </c>
      <c r="B5" s="22" t="s">
        <v>52</v>
      </c>
      <c r="C5" s="22" t="s">
        <v>33</v>
      </c>
      <c r="D5" s="14" t="n">
        <v>380000</v>
      </c>
      <c r="E5" s="23" t="s">
        <v>53</v>
      </c>
      <c r="F5" s="23" t="s">
        <v>54</v>
      </c>
      <c r="G5" s="17" t="n">
        <f aca="false">SUM($D$5:D5)</f>
        <v>380000</v>
      </c>
    </row>
    <row r="6" customFormat="false" ht="30" hidden="false" customHeight="true" outlineLevel="0" collapsed="false">
      <c r="A6" s="22" t="n">
        <v>2</v>
      </c>
      <c r="B6" s="22" t="s">
        <v>55</v>
      </c>
      <c r="C6" s="22" t="s">
        <v>39</v>
      </c>
      <c r="D6" s="14" t="n">
        <v>210000</v>
      </c>
      <c r="E6" s="23" t="s">
        <v>56</v>
      </c>
      <c r="F6" s="23" t="s">
        <v>57</v>
      </c>
      <c r="G6" s="17" t="n">
        <f aca="false">SUM($D$5:D6)</f>
        <v>590000</v>
      </c>
    </row>
    <row r="7" customFormat="false" ht="30" hidden="false" customHeight="true" outlineLevel="0" collapsed="false">
      <c r="A7" s="22" t="n">
        <v>3</v>
      </c>
      <c r="B7" s="22" t="s">
        <v>58</v>
      </c>
      <c r="C7" s="22" t="s">
        <v>35</v>
      </c>
      <c r="D7" s="14" t="n">
        <v>400000</v>
      </c>
      <c r="E7" s="23" t="s">
        <v>59</v>
      </c>
      <c r="F7" s="23" t="s">
        <v>60</v>
      </c>
      <c r="G7" s="17" t="n">
        <f aca="false">SUM($D$5:D7)</f>
        <v>990000</v>
      </c>
    </row>
    <row r="8" customFormat="false" ht="30" hidden="false" customHeight="true" outlineLevel="0" collapsed="false">
      <c r="A8" s="22" t="n">
        <v>4</v>
      </c>
      <c r="B8" s="22" t="s">
        <v>61</v>
      </c>
      <c r="C8" s="22" t="s">
        <v>38</v>
      </c>
      <c r="D8" s="14" t="n">
        <v>650000</v>
      </c>
      <c r="E8" s="23" t="s">
        <v>62</v>
      </c>
      <c r="F8" s="23" t="s">
        <v>63</v>
      </c>
      <c r="G8" s="17" t="n">
        <f aca="false">SUM($D$5:D8)</f>
        <v>1640000</v>
      </c>
    </row>
    <row r="9" customFormat="false" ht="30" hidden="false" customHeight="true" outlineLevel="0" collapsed="false">
      <c r="A9" s="22" t="n">
        <v>5</v>
      </c>
      <c r="B9" s="22" t="s">
        <v>64</v>
      </c>
      <c r="C9" s="22" t="s">
        <v>37</v>
      </c>
      <c r="D9" s="14" t="n">
        <v>500000</v>
      </c>
      <c r="E9" s="23" t="s">
        <v>65</v>
      </c>
      <c r="F9" s="23" t="s">
        <v>66</v>
      </c>
      <c r="G9" s="17" t="n">
        <f aca="false">SUM($D$5:D9)</f>
        <v>2140000</v>
      </c>
    </row>
    <row r="10" customFormat="false" ht="30" hidden="false" customHeight="true" outlineLevel="0" collapsed="false">
      <c r="A10" s="22" t="n">
        <v>6</v>
      </c>
      <c r="B10" s="22" t="s">
        <v>67</v>
      </c>
      <c r="C10" s="22" t="s">
        <v>40</v>
      </c>
      <c r="D10" s="14" t="n">
        <v>200000</v>
      </c>
      <c r="E10" s="23" t="s">
        <v>68</v>
      </c>
      <c r="F10" s="23" t="s">
        <v>69</v>
      </c>
      <c r="G10" s="17" t="n">
        <f aca="false">SUM($D$5:D10)</f>
        <v>2340000</v>
      </c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17" t="n">
        <f aca="false">SUM($D$5:D11)</f>
        <v>2340000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17" t="n">
        <f aca="false">SUM($D$5:D12)</f>
        <v>2340000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17" t="n">
        <f aca="false">SUM($D$5:D13)</f>
        <v>2340000</v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17" t="n">
        <f aca="false">SUM($D$5:D14)</f>
        <v>2340000</v>
      </c>
    </row>
    <row r="15" customFormat="false" ht="57.45" hidden="false" customHeight="false" outlineLevel="0" collapsed="false">
      <c r="A15" s="22" t="s">
        <v>70</v>
      </c>
      <c r="D15" s="14" t="n">
        <v>1000000</v>
      </c>
      <c r="E15" s="23" t="str">
        <f aca="false">IF(MAX(G5:G14)&gt;=D15,"The list covers the target","The list is short of the target by "&amp;TEXT(D15-MAX(G5:G14),"$#,##0"))</f>
        <v>The list covers the target</v>
      </c>
      <c r="F15" s="23" t="s">
        <v>71</v>
      </c>
    </row>
    <row r="16" customFormat="false" ht="15" hidden="false" customHeight="false" outlineLevel="0" collapsed="false">
      <c r="A16" s="2" t="s">
        <v>72</v>
      </c>
      <c r="B16" s="2"/>
      <c r="C16" s="2"/>
      <c r="D16" s="2"/>
      <c r="E16" s="2"/>
      <c r="F16" s="2"/>
      <c r="G16" s="2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46</v>
      </c>
      <c r="B4" s="12" t="s">
        <v>47</v>
      </c>
      <c r="C4" s="12" t="s">
        <v>26</v>
      </c>
      <c r="D4" s="12" t="s">
        <v>75</v>
      </c>
      <c r="E4" s="12" t="s">
        <v>76</v>
      </c>
      <c r="F4" s="12" t="s">
        <v>77</v>
      </c>
      <c r="G4" s="12" t="s">
        <v>78</v>
      </c>
    </row>
    <row r="5" customFormat="false" ht="33.75" hidden="false" customHeight="true" outlineLevel="0" collapsed="false">
      <c r="A5" s="22" t="n">
        <v>1</v>
      </c>
      <c r="B5" s="22" t="s">
        <v>79</v>
      </c>
      <c r="C5" s="22" t="s">
        <v>34</v>
      </c>
      <c r="D5" s="22" t="s">
        <v>80</v>
      </c>
      <c r="E5" s="14" t="n">
        <v>550000</v>
      </c>
      <c r="F5" s="23" t="s">
        <v>81</v>
      </c>
      <c r="G5" s="17" t="n">
        <f aca="false">SUM($E$5:E5)</f>
        <v>550000</v>
      </c>
    </row>
    <row r="6" customFormat="false" ht="33.75" hidden="false" customHeight="true" outlineLevel="0" collapsed="false">
      <c r="A6" s="22" t="n">
        <v>2</v>
      </c>
      <c r="B6" s="22" t="s">
        <v>82</v>
      </c>
      <c r="C6" s="22" t="s">
        <v>36</v>
      </c>
      <c r="D6" s="22" t="s">
        <v>83</v>
      </c>
      <c r="E6" s="14" t="n">
        <v>180000</v>
      </c>
      <c r="F6" s="23" t="s">
        <v>84</v>
      </c>
      <c r="G6" s="17" t="n">
        <f aca="false">SUM($E$5:E6)</f>
        <v>730000</v>
      </c>
    </row>
    <row r="7" customFormat="false" ht="33.75" hidden="false" customHeight="true" outlineLevel="0" collapsed="false">
      <c r="A7" s="22" t="n">
        <v>3</v>
      </c>
      <c r="B7" s="22" t="s">
        <v>85</v>
      </c>
      <c r="C7" s="22" t="s">
        <v>35</v>
      </c>
      <c r="D7" s="22" t="s">
        <v>86</v>
      </c>
      <c r="E7" s="14" t="n">
        <v>900000</v>
      </c>
      <c r="F7" s="23" t="s">
        <v>87</v>
      </c>
      <c r="G7" s="17" t="n">
        <f aca="false">SUM($E$5:E7)</f>
        <v>1630000</v>
      </c>
    </row>
    <row r="8" customFormat="false" ht="33.75" hidden="false" customHeight="true" outlineLevel="0" collapsed="false">
      <c r="A8" s="22" t="n">
        <v>4</v>
      </c>
      <c r="B8" s="22" t="s">
        <v>88</v>
      </c>
      <c r="C8" s="22" t="s">
        <v>33</v>
      </c>
      <c r="D8" s="22" t="s">
        <v>83</v>
      </c>
      <c r="E8" s="14" t="n">
        <v>210000</v>
      </c>
      <c r="F8" s="23" t="s">
        <v>89</v>
      </c>
      <c r="G8" s="17" t="n">
        <f aca="false">SUM($E$5:E8)</f>
        <v>1840000</v>
      </c>
    </row>
    <row r="9" customFormat="false" ht="33.75" hidden="false" customHeight="true" outlineLevel="0" collapsed="false">
      <c r="A9" s="22" t="n">
        <v>5</v>
      </c>
      <c r="B9" s="22" t="s">
        <v>90</v>
      </c>
      <c r="C9" s="22" t="s">
        <v>37</v>
      </c>
      <c r="D9" s="22" t="s">
        <v>83</v>
      </c>
      <c r="E9" s="14" t="n">
        <v>400000</v>
      </c>
      <c r="F9" s="23" t="s">
        <v>91</v>
      </c>
      <c r="G9" s="17" t="n">
        <f aca="false">SUM($E$5:E9)</f>
        <v>2240000</v>
      </c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17" t="n">
        <f aca="false">SUM($E$5:E10)</f>
        <v>2240000</v>
      </c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17" t="n">
        <f aca="false">SUM($E$5:E11)</f>
        <v>2240000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17" t="n">
        <f aca="false">SUM($E$5:E12)</f>
        <v>2240000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17" t="n">
        <f aca="false">SUM($E$5:E13)</f>
        <v>2240000</v>
      </c>
    </row>
    <row r="14" customFormat="false" ht="15" hidden="false" customHeight="false" outlineLevel="0" collapsed="false">
      <c r="A14" s="22" t="s">
        <v>92</v>
      </c>
      <c r="E14" s="14" t="n">
        <v>2000000</v>
      </c>
      <c r="F14" s="23" t="str">
        <f aca="false">IF(MAX(G5:G13)&gt;=E14,"The list can absorb the windfall","Only "&amp;TEXT(MAX(G5:G13),"$#,##0")&amp;" is ranked; add items before the money arrives")</f>
        <v>The list can absorb the windfall</v>
      </c>
    </row>
    <row r="15" customFormat="false" ht="15" hidden="false" customHeight="false" outlineLevel="0" collapsed="false">
      <c r="A15" s="2" t="s">
        <v>93</v>
      </c>
      <c r="B15" s="2"/>
      <c r="C15" s="2"/>
      <c r="D15" s="2"/>
      <c r="E15" s="2"/>
      <c r="F15" s="2"/>
      <c r="G15" s="2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34"/>
  </cols>
  <sheetData>
    <row r="1" customFormat="false" ht="19.5" hidden="false" customHeight="true" outlineLevel="0" collapsed="false">
      <c r="A1" s="1" t="s">
        <v>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94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2" t="s">
        <v>95</v>
      </c>
      <c r="B4" s="12" t="s">
        <v>26</v>
      </c>
      <c r="C4" s="12" t="s">
        <v>76</v>
      </c>
      <c r="D4" s="12" t="s">
        <v>96</v>
      </c>
      <c r="E4" s="12" t="s">
        <v>97</v>
      </c>
      <c r="F4" s="12" t="s">
        <v>98</v>
      </c>
    </row>
    <row r="5" customFormat="false" ht="30" hidden="false" customHeight="true" outlineLevel="0" collapsed="false">
      <c r="A5" s="22" t="s">
        <v>99</v>
      </c>
      <c r="B5" s="22" t="s">
        <v>33</v>
      </c>
      <c r="C5" s="14" t="n">
        <v>220000</v>
      </c>
      <c r="D5" s="22" t="s">
        <v>100</v>
      </c>
      <c r="E5" s="22" t="s">
        <v>101</v>
      </c>
      <c r="F5" s="23" t="s">
        <v>102</v>
      </c>
    </row>
    <row r="6" customFormat="false" ht="30" hidden="false" customHeight="true" outlineLevel="0" collapsed="false">
      <c r="A6" s="22" t="s">
        <v>103</v>
      </c>
      <c r="B6" s="22" t="s">
        <v>33</v>
      </c>
      <c r="C6" s="14" t="n">
        <v>480000</v>
      </c>
      <c r="D6" s="22" t="s">
        <v>104</v>
      </c>
      <c r="E6" s="22"/>
      <c r="F6" s="23" t="s">
        <v>105</v>
      </c>
    </row>
    <row r="7" customFormat="false" ht="30" hidden="false" customHeight="true" outlineLevel="0" collapsed="false">
      <c r="A7" s="22" t="s">
        <v>106</v>
      </c>
      <c r="B7" s="22" t="s">
        <v>35</v>
      </c>
      <c r="C7" s="14" t="n">
        <v>340000</v>
      </c>
      <c r="D7" s="22" t="s">
        <v>100</v>
      </c>
      <c r="E7" s="22" t="s">
        <v>107</v>
      </c>
      <c r="F7" s="23" t="s">
        <v>108</v>
      </c>
    </row>
    <row r="8" customFormat="false" ht="30" hidden="false" customHeight="true" outlineLevel="0" collapsed="false">
      <c r="A8" s="22" t="s">
        <v>109</v>
      </c>
      <c r="B8" s="22" t="s">
        <v>34</v>
      </c>
      <c r="C8" s="14" t="n">
        <v>610000</v>
      </c>
      <c r="D8" s="22" t="s">
        <v>104</v>
      </c>
      <c r="E8" s="22"/>
      <c r="F8" s="23" t="s">
        <v>110</v>
      </c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</row>
    <row r="14" customFormat="false" ht="15" hidden="false" customHeight="false" outlineLevel="0" collapsed="false">
      <c r="A14" s="2" t="s">
        <v>111</v>
      </c>
      <c r="B14" s="2"/>
      <c r="C14" s="2"/>
      <c r="D14" s="2"/>
      <c r="E14" s="2"/>
      <c r="F14" s="2"/>
    </row>
  </sheetData>
  <mergeCells count="3">
    <mergeCell ref="A1:F1"/>
    <mergeCell ref="A2:F2"/>
    <mergeCell ref="A14:F14"/>
  </mergeCells>
  <dataValidations count="1">
    <dataValidation allowBlank="true" errorStyle="stop" operator="between" showDropDown="false" showErrorMessage="true" showInputMessage="false" sqref="D5:D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1" t="s">
        <v>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2" t="s">
        <v>113</v>
      </c>
      <c r="B4" s="12" t="s">
        <v>75</v>
      </c>
      <c r="C4" s="12" t="s">
        <v>114</v>
      </c>
      <c r="D4" s="12" t="s">
        <v>115</v>
      </c>
      <c r="E4" s="12" t="s">
        <v>116</v>
      </c>
      <c r="F4" s="12" t="s">
        <v>117</v>
      </c>
    </row>
    <row r="5" customFormat="false" ht="15" hidden="false" customHeight="false" outlineLevel="0" collapsed="false">
      <c r="A5" s="22" t="s">
        <v>118</v>
      </c>
      <c r="B5" s="22" t="s">
        <v>86</v>
      </c>
      <c r="C5" s="14" t="n">
        <v>60000</v>
      </c>
      <c r="D5" s="22" t="s">
        <v>119</v>
      </c>
      <c r="E5" s="14" t="n">
        <v>900000</v>
      </c>
      <c r="F5" s="22" t="s">
        <v>120</v>
      </c>
    </row>
    <row r="6" customFormat="false" ht="15" hidden="false" customHeight="false" outlineLevel="0" collapsed="false">
      <c r="A6" s="22" t="s">
        <v>121</v>
      </c>
      <c r="B6" s="22" t="s">
        <v>80</v>
      </c>
      <c r="C6" s="14" t="n">
        <v>25000</v>
      </c>
      <c r="D6" s="22" t="s">
        <v>122</v>
      </c>
      <c r="E6" s="14" t="n">
        <v>340000</v>
      </c>
      <c r="F6" s="22" t="s">
        <v>123</v>
      </c>
    </row>
    <row r="7" customFormat="false" ht="15" hidden="false" customHeight="false" outlineLevel="0" collapsed="false">
      <c r="A7" s="22" t="s">
        <v>124</v>
      </c>
      <c r="B7" s="22" t="s">
        <v>86</v>
      </c>
      <c r="C7" s="14" t="n">
        <v>45000</v>
      </c>
      <c r="D7" s="22" t="s">
        <v>125</v>
      </c>
      <c r="E7" s="14" t="n">
        <v>500000</v>
      </c>
      <c r="F7" s="22" t="s">
        <v>120</v>
      </c>
    </row>
    <row r="8" customFormat="false" ht="15" hidden="false" customHeight="false" outlineLevel="0" collapsed="false">
      <c r="A8" s="22" t="s">
        <v>126</v>
      </c>
      <c r="B8" s="22" t="s">
        <v>86</v>
      </c>
      <c r="C8" s="14" t="n">
        <v>35000</v>
      </c>
      <c r="D8" s="22" t="s">
        <v>127</v>
      </c>
      <c r="E8" s="14" t="n">
        <v>620000</v>
      </c>
      <c r="F8" s="22" t="s">
        <v>128</v>
      </c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</row>
    <row r="14" customFormat="false" ht="15" hidden="false" customHeight="false" outlineLevel="0" collapsed="false">
      <c r="A14" s="2" t="s">
        <v>129</v>
      </c>
      <c r="B14" s="2"/>
      <c r="C14" s="2"/>
      <c r="D14" s="2"/>
      <c r="E14" s="2"/>
      <c r="F14" s="2"/>
    </row>
  </sheetData>
  <mergeCells count="3">
    <mergeCell ref="A1:F1"/>
    <mergeCell ref="A2:F2"/>
    <mergeCell ref="A14:F14"/>
  </mergeCells>
  <dataValidations count="1">
    <dataValidation allowBlank="true" errorStyle="stop" operator="between" showDropDown="false" showErrorMessage="true" showInputMessage="false" sqref="F5:F13" type="list">
      <formula1>"Testing,Proceed,Kill,Not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9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132</v>
      </c>
      <c r="B4" s="11" t="n">
        <v>10000000</v>
      </c>
      <c r="D4" s="4" t="s">
        <v>133</v>
      </c>
      <c r="E4" s="11" t="n">
        <v>11000000</v>
      </c>
    </row>
    <row r="5" customFormat="false" ht="15" hidden="false" customHeight="false" outlineLevel="0" collapsed="false">
      <c r="A5" s="4" t="s">
        <v>134</v>
      </c>
      <c r="B5" s="11" t="n">
        <v>12000000</v>
      </c>
    </row>
    <row r="7" customFormat="false" ht="15" hidden="false" customHeight="false" outlineLevel="0" collapsed="false">
      <c r="A7" s="12" t="s">
        <v>26</v>
      </c>
      <c r="B7" s="12" t="s">
        <v>135</v>
      </c>
      <c r="C7" s="12" t="s">
        <v>136</v>
      </c>
      <c r="D7" s="12" t="s">
        <v>137</v>
      </c>
      <c r="E7" s="12" t="s">
        <v>138</v>
      </c>
      <c r="F7" s="12" t="s">
        <v>139</v>
      </c>
      <c r="G7" s="12" t="s">
        <v>140</v>
      </c>
    </row>
    <row r="8" customFormat="false" ht="15" hidden="false" customHeight="false" outlineLevel="0" collapsed="false">
      <c r="A8" s="13" t="s">
        <v>33</v>
      </c>
      <c r="B8" s="16" t="n">
        <v>0.4</v>
      </c>
      <c r="C8" s="17" t="n">
        <f aca="false">B8*$B$4</f>
        <v>4000000</v>
      </c>
      <c r="D8" s="16" t="n">
        <v>0.36</v>
      </c>
      <c r="E8" s="17" t="n">
        <f aca="false">D8*$E$4</f>
        <v>3960000</v>
      </c>
      <c r="F8" s="16" t="n">
        <v>0.32</v>
      </c>
      <c r="G8" s="17" t="n">
        <f aca="false">F8*$B$5</f>
        <v>3840000</v>
      </c>
    </row>
    <row r="9" customFormat="false" ht="15" hidden="false" customHeight="false" outlineLevel="0" collapsed="false">
      <c r="A9" s="13" t="s">
        <v>34</v>
      </c>
      <c r="B9" s="16" t="n">
        <v>0.15</v>
      </c>
      <c r="C9" s="17" t="n">
        <f aca="false">B9*$B$4</f>
        <v>1500000</v>
      </c>
      <c r="D9" s="16" t="n">
        <v>0.17</v>
      </c>
      <c r="E9" s="17" t="n">
        <f aca="false">D9*$E$4</f>
        <v>1870000</v>
      </c>
      <c r="F9" s="16" t="n">
        <v>0.18</v>
      </c>
      <c r="G9" s="17" t="n">
        <f aca="false">F9*$B$5</f>
        <v>2160000</v>
      </c>
    </row>
    <row r="10" customFormat="false" ht="15" hidden="false" customHeight="false" outlineLevel="0" collapsed="false">
      <c r="A10" s="13" t="s">
        <v>35</v>
      </c>
      <c r="B10" s="16" t="n">
        <v>0.07</v>
      </c>
      <c r="C10" s="17" t="n">
        <f aca="false">B10*$B$4</f>
        <v>700000</v>
      </c>
      <c r="D10" s="16" t="n">
        <v>0.1</v>
      </c>
      <c r="E10" s="17" t="n">
        <f aca="false">D10*$E$4</f>
        <v>1100000</v>
      </c>
      <c r="F10" s="16" t="n">
        <v>0.13</v>
      </c>
      <c r="G10" s="17" t="n">
        <f aca="false">F10*$B$5</f>
        <v>1560000</v>
      </c>
    </row>
    <row r="11" customFormat="false" ht="15" hidden="false" customHeight="false" outlineLevel="0" collapsed="false">
      <c r="A11" s="13" t="s">
        <v>36</v>
      </c>
      <c r="B11" s="16" t="n">
        <v>0.1</v>
      </c>
      <c r="C11" s="17" t="n">
        <f aca="false">B11*$B$4</f>
        <v>1000000</v>
      </c>
      <c r="D11" s="16" t="n">
        <v>0.1</v>
      </c>
      <c r="E11" s="17" t="n">
        <f aca="false">D11*$E$4</f>
        <v>1100000</v>
      </c>
      <c r="F11" s="16" t="n">
        <v>0.1</v>
      </c>
      <c r="G11" s="17" t="n">
        <f aca="false">F11*$B$5</f>
        <v>1200000</v>
      </c>
    </row>
    <row r="12" customFormat="false" ht="15" hidden="false" customHeight="false" outlineLevel="0" collapsed="false">
      <c r="A12" s="13" t="s">
        <v>37</v>
      </c>
      <c r="B12" s="16" t="n">
        <v>0.08</v>
      </c>
      <c r="C12" s="17" t="n">
        <f aca="false">B12*$B$4</f>
        <v>800000</v>
      </c>
      <c r="D12" s="16" t="n">
        <v>0.08</v>
      </c>
      <c r="E12" s="17" t="n">
        <f aca="false">D12*$E$4</f>
        <v>880000</v>
      </c>
      <c r="F12" s="16" t="n">
        <v>0.08</v>
      </c>
      <c r="G12" s="17" t="n">
        <f aca="false">F12*$B$5</f>
        <v>960000</v>
      </c>
    </row>
    <row r="13" customFormat="false" ht="15" hidden="false" customHeight="false" outlineLevel="0" collapsed="false">
      <c r="A13" s="13" t="s">
        <v>38</v>
      </c>
      <c r="B13" s="16" t="n">
        <v>0.12</v>
      </c>
      <c r="C13" s="17" t="n">
        <f aca="false">B13*$B$4</f>
        <v>1200000</v>
      </c>
      <c r="D13" s="16" t="n">
        <v>0.11</v>
      </c>
      <c r="E13" s="17" t="n">
        <f aca="false">D13*$E$4</f>
        <v>1210000</v>
      </c>
      <c r="F13" s="16" t="n">
        <v>0.11</v>
      </c>
      <c r="G13" s="17" t="n">
        <f aca="false">F13*$B$5</f>
        <v>1320000</v>
      </c>
    </row>
    <row r="14" customFormat="false" ht="15" hidden="false" customHeight="false" outlineLevel="0" collapsed="false">
      <c r="A14" s="13" t="s">
        <v>39</v>
      </c>
      <c r="B14" s="16" t="n">
        <v>0.04</v>
      </c>
      <c r="C14" s="17" t="n">
        <f aca="false">B14*$B$4</f>
        <v>400000</v>
      </c>
      <c r="D14" s="16" t="n">
        <v>0.04</v>
      </c>
      <c r="E14" s="17" t="n">
        <f aca="false">D14*$E$4</f>
        <v>440000</v>
      </c>
      <c r="F14" s="16" t="n">
        <v>0.04</v>
      </c>
      <c r="G14" s="17" t="n">
        <f aca="false">F14*$B$5</f>
        <v>480000</v>
      </c>
    </row>
    <row r="15" customFormat="false" ht="15" hidden="false" customHeight="false" outlineLevel="0" collapsed="false">
      <c r="A15" s="13" t="s">
        <v>40</v>
      </c>
      <c r="B15" s="16" t="n">
        <v>0.04</v>
      </c>
      <c r="C15" s="17" t="n">
        <f aca="false">B15*$B$4</f>
        <v>400000</v>
      </c>
      <c r="D15" s="16" t="n">
        <v>0.04</v>
      </c>
      <c r="E15" s="17" t="n">
        <f aca="false">D15*$E$4</f>
        <v>440000</v>
      </c>
      <c r="F15" s="16" t="n">
        <v>0.04</v>
      </c>
      <c r="G15" s="17" t="n">
        <f aca="false">F15*$B$5</f>
        <v>480000</v>
      </c>
    </row>
    <row r="16" customFormat="false" ht="15" hidden="false" customHeight="false" outlineLevel="0" collapsed="false">
      <c r="A16" s="18" t="s">
        <v>41</v>
      </c>
      <c r="B16" s="20" t="n">
        <f aca="false">SUM(B8:B15)</f>
        <v>1</v>
      </c>
      <c r="C16" s="19" t="n">
        <f aca="false">SUM(C8:C15)</f>
        <v>10000000</v>
      </c>
      <c r="D16" s="20" t="n">
        <f aca="false">SUM(D8:D15)</f>
        <v>1</v>
      </c>
      <c r="E16" s="19" t="n">
        <f aca="false">SUM(E8:E15)</f>
        <v>11000000</v>
      </c>
      <c r="F16" s="20" t="n">
        <f aca="false">SUM(F8:F15)</f>
        <v>1</v>
      </c>
      <c r="G16" s="19" t="n">
        <f aca="false">SUM(G8:G15)</f>
        <v>12000000</v>
      </c>
    </row>
    <row r="18" customFormat="false" ht="23.25" hidden="false" customHeight="true" outlineLevel="0" collapsed="false">
      <c r="A18" s="25" t="s">
        <v>141</v>
      </c>
      <c r="B18" s="25"/>
      <c r="C18" s="25"/>
      <c r="D18" s="25"/>
      <c r="E18" s="25"/>
      <c r="F18" s="25"/>
      <c r="G18" s="25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2026-08-30T13:56:27Z</dcterms:created>
  <dc:creator>KF</dc:creator>
  <dc:description/>
  <dc:language>en-US</dc:language>
  <cp:lastModifiedBy>Kevin Forbes</cp:lastModifiedBy>
  <dcterms:modified xsi:type="dcterms:W3CDTF">2026-09-24T18:23:06Z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