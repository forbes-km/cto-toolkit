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omments6.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nstructions" sheetId="2" state="visible" r:id="rId4"/>
    <sheet name="Debt Backlog" sheetId="3" state="visible" r:id="rId5"/>
    <sheet name="Risk Register" sheetId="4" state="visible" r:id="rId6"/>
    <sheet name="Application Portfolio" sheetId="5" state="visible" r:id="rId7"/>
    <sheet name="Lists" sheetId="6" state="visible" r:id="rId8"/>
  </sheets>
  <definedNames>
    <definedName function="false" hidden="false" localSheetId="1" name="_xlnm.Print_Area" vbProcedure="false">Instructions!$B$1:$C$86</definedName>
    <definedName function="false" hidden="false" name="lstAppID" vbProcedure="false">'Application Portfolio'!$A$2:$A$1000</definedName>
    <definedName function="false" hidden="false" name="lstAppName" vbProcedure="false">'Application Portfolio'!$B$2:$B$1000</definedName>
    <definedName function="false" hidden="false" name="lstConfidence" vbProcedure="false">Lists!$K$2:$K$4</definedName>
    <definedName function="false" hidden="false" name="lstDebtType" vbProcedure="false">Lists!$A$2:$A$13</definedName>
    <definedName function="false" hidden="false" name="lstEffort" vbProcedure="false">Lists!$N$2:$N$6</definedName>
    <definedName function="false" hidden="false" name="lstImpact" vbProcedure="false">Lists!$H$2:$H$4</definedName>
    <definedName function="false" hidden="false" name="lstImpactArea" vbProcedure="false">Lists!$C$2:$C$11</definedName>
    <definedName function="false" hidden="false" name="lstLifecycle" vbProcedure="false">Lists!$AA$2:$AA$5</definedName>
    <definedName function="false" hidden="false" name="lstPriority" vbProcedure="false">Lists!$Q$2:$Q$5</definedName>
    <definedName function="false" hidden="false" name="lstScore1to5" vbProcedure="false">Lists!$Y$2:$Y$6</definedName>
    <definedName function="false" hidden="false" name="lstSeverity" vbProcedure="false">Lists!$E$2:$E$5</definedName>
    <definedName function="false" hidden="false" name="lstStatus" vbProcedure="false">Lists!$S$2:$S$9</definedName>
    <definedName function="false" hidden="false" name="lstTargetWindow" vbProcedure="false">Lists!$W$2:$W$7</definedName>
    <definedName function="false" hidden="false" name="lstTeam" vbProcedure="false">Lists!$U$2:$U$10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M1" authorId="0">
      <text>
        <r>
          <rPr>
            <sz val="10"/>
            <rFont val="Arial"/>
            <family val="2"/>
          </rPr>
          <t xml:space="preserve">Calculated: Priority Override if entered; else P0 when Severity is Critical; else Debt Score against the cutoffs on Lists AL:AM.</t>
        </r>
      </text>
    </comment>
    <comment ref="AD1" authorId="0">
      <text>
        <r>
          <rPr>
            <sz val="10"/>
            <rFont val="Arial"/>
            <family val="2"/>
          </rPr>
          <t xml:space="preserve">Due Date if entered, else Date Identified plus the Target Window days on Lists AI:AJ. Backlog and TBD have no implied due date.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G1" authorId="0">
      <text>
        <r>
          <rPr>
            <sz val="10"/>
            <rFont val="Arial"/>
            <family val="2"/>
          </rPr>
          <t xml:space="preserve">Single source of truth for TIME, the Value vs Risk quadrant, and every Dashboard indicator.</t>
        </r>
      </text>
    </comment>
    <comment ref="AM1" authorId="0">
      <text>
        <r>
          <rPr>
            <sz val="10"/>
            <rFont val="Arial"/>
            <family val="2"/>
          </rPr>
          <t xml:space="preserve">Severity Critical always gives P0; otherwise the first cutoff the Debt Score meets; below P2 is P3.</t>
        </r>
      </text>
    </comment>
  </commentList>
</comments>
</file>

<file path=xl/sharedStrings.xml><?xml version="1.0" encoding="utf-8"?>
<sst xmlns="http://schemas.openxmlformats.org/spreadsheetml/2006/main" count="662" uniqueCount="494">
  <si>
    <t xml:space="preserve">Technical Debt, Risk &amp; Application Portfolio Simulator</t>
  </si>
  <si>
    <t xml:space="preserve">Manage technical debt, application risk, and portfolio disposition using the Gartner TIME model.</t>
  </si>
  <si>
    <t xml:space="preserve">Edit dropdown options and scoring weights on the Lists sheet. Weights ship at even defaults; calibrated weights are part of the full simulator. See the Instructions tab for how everything works.</t>
  </si>
  <si>
    <t xml:space="preserve">ACTIVE DEBT ITEMS</t>
  </si>
  <si>
    <t xml:space="preserve">OVERDUE ITEMS</t>
  </si>
  <si>
    <t xml:space="preserve">CRITICAL ACTIVE</t>
  </si>
  <si>
    <t xml:space="preserve">ACTIVE DIRECT COST</t>
  </si>
  <si>
    <t xml:space="preserve">APPLICATIONS</t>
  </si>
  <si>
    <t xml:space="preserve">HIGH-RISK APPS</t>
  </si>
  <si>
    <t xml:space="preserve">ELIMINATE CANDIDATES</t>
  </si>
  <si>
    <t xml:space="preserve">TOTAL ANNUAL RUN COST</t>
  </si>
  <si>
    <t xml:space="preserve">  Application TIME Matrix   (Business Value vs Technical Health)</t>
  </si>
  <si>
    <t xml:space="preserve">High business value, low technical health. Modernize or replatform.</t>
  </si>
  <si>
    <t xml:space="preserve">High business value, high technical health. Keep investing.</t>
  </si>
  <si>
    <t xml:space="preserve">Low business value, low technical health. Retire or consolidate.</t>
  </si>
  <si>
    <t xml:space="preserve">Low business value, high technical health. Keep running, minimal spend.</t>
  </si>
  <si>
    <t xml:space="preserve">  Debt Backlog - At a Glance</t>
  </si>
  <si>
    <t xml:space="preserve">  Debt - Active by Severity</t>
  </si>
  <si>
    <t xml:space="preserve">Total Items</t>
  </si>
  <si>
    <t xml:space="preserve">Critical Active</t>
  </si>
  <si>
    <t xml:space="preserve">Active Items</t>
  </si>
  <si>
    <t xml:space="preserve">High Active</t>
  </si>
  <si>
    <t xml:space="preserve">Overdue Items</t>
  </si>
  <si>
    <t xml:space="preserve">Medium Active</t>
  </si>
  <si>
    <t xml:space="preserve">Done Items</t>
  </si>
  <si>
    <t xml:space="preserve">Low Active</t>
  </si>
  <si>
    <t xml:space="preserve">  Debt Status Breakdown</t>
  </si>
  <si>
    <t xml:space="preserve">  Severity Breakdown (legend)</t>
  </si>
  <si>
    <t xml:space="preserve">Status</t>
  </si>
  <si>
    <t xml:space="preserve">Count</t>
  </si>
  <si>
    <t xml:space="preserve">Severity</t>
  </si>
  <si>
    <t xml:space="preserve">New</t>
  </si>
  <si>
    <t xml:space="preserve">Critical</t>
  </si>
  <si>
    <t xml:space="preserve">Triaged</t>
  </si>
  <si>
    <t xml:space="preserve">High</t>
  </si>
  <si>
    <t xml:space="preserve">Planned</t>
  </si>
  <si>
    <t xml:space="preserve">Medium</t>
  </si>
  <si>
    <t xml:space="preserve">In Progress</t>
  </si>
  <si>
    <t xml:space="preserve">Low</t>
  </si>
  <si>
    <t xml:space="preserve">Blocked</t>
  </si>
  <si>
    <t xml:space="preserve">Done</t>
  </si>
  <si>
    <t xml:space="preserve">Won't Fix</t>
  </si>
  <si>
    <t xml:space="preserve">Duplicate</t>
  </si>
  <si>
    <t xml:space="preserve">  Debt Cost Summary</t>
  </si>
  <si>
    <t xml:space="preserve">  Cost by Confidence</t>
  </si>
  <si>
    <t xml:space="preserve">Total Direct ($)</t>
  </si>
  <si>
    <t xml:space="preserve">High Confidence ($)</t>
  </si>
  <si>
    <t xml:space="preserve">Total Annual Carry ($)</t>
  </si>
  <si>
    <t xml:space="preserve">Medium Confidence ($)</t>
  </si>
  <si>
    <t xml:space="preserve">Total Contingent ($)</t>
  </si>
  <si>
    <t xml:space="preserve">Low Confidence ($)</t>
  </si>
  <si>
    <t xml:space="preserve">  Application Portfolio (APM) - TIME Classification</t>
  </si>
  <si>
    <t xml:space="preserve">  Portfolio Health Indicators</t>
  </si>
  <si>
    <t xml:space="preserve">Total Applications</t>
  </si>
  <si>
    <t xml:space="preserve">Average CPS</t>
  </si>
  <si>
    <t xml:space="preserve">INVEST</t>
  </si>
  <si>
    <t xml:space="preserve">High Risk Apps</t>
  </si>
  <si>
    <t xml:space="preserve">TOLERATE</t>
  </si>
  <si>
    <t xml:space="preserve">High Business Value</t>
  </si>
  <si>
    <t xml:space="preserve">MIGRATE</t>
  </si>
  <si>
    <t xml:space="preserve">Low Technical Health</t>
  </si>
  <si>
    <t xml:space="preserve">ELIMINATE</t>
  </si>
  <si>
    <t xml:space="preserve">High Cost Apps</t>
  </si>
  <si>
    <t xml:space="preserve">  TIME Breakdown</t>
  </si>
  <si>
    <t xml:space="preserve">  Risk Distribution</t>
  </si>
  <si>
    <t xml:space="preserve">TIME Quadrant</t>
  </si>
  <si>
    <t xml:space="preserve">Risk Score Range</t>
  </si>
  <si>
    <t xml:space="preserve">Invest</t>
  </si>
  <si>
    <t xml:space="preserve">Tolerate</t>
  </si>
  <si>
    <t xml:space="preserve">Migrate</t>
  </si>
  <si>
    <t xml:space="preserve">Eliminate</t>
  </si>
  <si>
    <t xml:space="preserve">Not scored</t>
  </si>
  <si>
    <t xml:space="preserve">  Gartner TIME Model</t>
  </si>
  <si>
    <t xml:space="preserve">TIME classifies apps on two axes: Business Value (BV) and Technical Health (TH).</t>
  </si>
  <si>
    <t xml:space="preserve">Invest: High BV + High TH   |   Migrate: High BV + Low TH   |   Tolerate: Low BV + High TH   |   Eliminate: Low BV + Low TH</t>
  </si>
  <si>
    <t xml:space="preserve">  Run Cost (Total Annual Cost $)</t>
  </si>
  <si>
    <t xml:space="preserve">  Thresholds in Use</t>
  </si>
  <si>
    <t xml:space="preserve">Total annual run cost ($)</t>
  </si>
  <si>
    <t xml:space="preserve">High Business Value &gt;=</t>
  </si>
  <si>
    <t xml:space="preserve">Run cost in Migrate + Eliminate ($)</t>
  </si>
  <si>
    <t xml:space="preserve">High Technical Health &gt;=</t>
  </si>
  <si>
    <t xml:space="preserve">Share of run cost in Migrate + Eliminate</t>
  </si>
  <si>
    <t xml:space="preserve">High Risk &gt;=</t>
  </si>
  <si>
    <t xml:space="preserve">Apps missing cost</t>
  </si>
  <si>
    <t xml:space="preserve">Moderate Risk &gt;=</t>
  </si>
  <si>
    <t xml:space="preserve">High Cost &gt;=</t>
  </si>
  <si>
    <t xml:space="preserve">Enter annual cost per application in Application Portfolio column AG. Apps without a number there are counted as missing cost.</t>
  </si>
  <si>
    <t xml:space="preserve">  IDs</t>
  </si>
  <si>
    <t xml:space="preserve">  Cross-checks</t>
  </si>
  <si>
    <t xml:space="preserve">Next App ID to assign</t>
  </si>
  <si>
    <t xml:space="preserve">Active debt on apps marked Eliminate</t>
  </si>
  <si>
    <t xml:space="preserve">Next Debt ID to assign</t>
  </si>
  <si>
    <t xml:space="preserve">Active debt on apps marked Migrate</t>
  </si>
  <si>
    <t xml:space="preserve">Next Risk ID to assign</t>
  </si>
  <si>
    <t xml:space="preserve">Active debt not linked to an app</t>
  </si>
  <si>
    <t xml:space="preserve">Apps with ID problems</t>
  </si>
  <si>
    <t xml:space="preserve">Apps with more than one risk row</t>
  </si>
  <si>
    <t xml:space="preserve">Debt items with ID problems</t>
  </si>
  <si>
    <t xml:space="preserve">Risks with ID problems</t>
  </si>
  <si>
    <t xml:space="preserve">All IDs are fixed values, the same for typed and imported rows. For a new row enter the Next ID in column A; for a batch, enter it in the first new row and drag the fill handle down. Never renumber or reuse an ID.</t>
  </si>
  <si>
    <t xml:space="preserve">How to Use This Workbook</t>
  </si>
  <si>
    <t xml:space="preserve">What each tab does, how the scores are calculated, and how to change lists, weights and thresholds.</t>
  </si>
  <si>
    <t xml:space="preserve">  What this workbook does</t>
  </si>
  <si>
    <t xml:space="preserve">It keeps three registers in one place: a technical debt backlog, an application risk register, and an application portfolio. It scores every item, classifies each application with the Gartner TIME model (Invest, Tolerate, Migrate, Eliminate), links debt to the applications it sits on, and rolls everything up to the Dashboard. Everything recalculates as you type; there are no macros and nothing to refresh.</t>
  </si>
  <si>
    <t xml:space="preserve">  The tabs</t>
  </si>
  <si>
    <t xml:space="preserve">Dashboard</t>
  </si>
  <si>
    <t xml:space="preserve">Read-only. Top: headline tiles (numbers that need attention turn red when above zero), the TIME matrix listing every application in its quadrant, and two charts (portfolio mix and active debt by severity). Below: the detail tables, with in-cell bars, for debt status, severity, cost, TIME, risk, run cost, thresholds, the next ID to assign on each sheet, and data-quality cross-checks. Everything updates on its own.</t>
  </si>
  <si>
    <t xml:space="preserve">Instructions</t>
  </si>
  <si>
    <t xml:space="preserve">This page.</t>
  </si>
  <si>
    <t xml:space="preserve">Debt Backlog</t>
  </si>
  <si>
    <t xml:space="preserve">One row per technical debt item. You enter the item; the sheet scores it, sets its priority and due date, flags it overdue, and links it to an application.</t>
  </si>
  <si>
    <t xml:space="preserve">Risk Register</t>
  </si>
  <si>
    <t xml:space="preserve">One row per application, scored on five risk factors. The Risk Score feeds the Application Portfolio.</t>
  </si>
  <si>
    <t xml:space="preserve">Application Portfolio</t>
  </si>
  <si>
    <t xml:space="preserve">One row per application, scored on value, cost and technical health. The sheet works out the TIME classification, a composite score, a value vs risk quadrant, and the open debt on each app.</t>
  </si>
  <si>
    <t xml:space="preserve">Lists</t>
  </si>
  <si>
    <t xml:space="preserve">Every dropdown list, scoring weight, threshold, due-date window and priority cutoff. Change the model here, not in the formulas.</t>
  </si>
  <si>
    <t xml:space="preserve">  Cell colors</t>
  </si>
  <si>
    <t xml:space="preserve">Light blue</t>
  </si>
  <si>
    <t xml:space="preserve">Calculated. Do not type in these cells; doing so overwrites the formula for that row.</t>
  </si>
  <si>
    <t xml:space="preserve">Pale yellow</t>
  </si>
  <si>
    <t xml:space="preserve">Score input, 1 to 5 (Application Portfolio scoring columns).</t>
  </si>
  <si>
    <t xml:space="preserve">Light gray / white</t>
  </si>
  <si>
    <t xml:space="preserve">Regular input: text, dates, dropdowns and dollar amounts.</t>
  </si>
  <si>
    <t xml:space="preserve">Red ID cell</t>
  </si>
  <si>
    <t xml:space="preserve">The ID in column A is blank, duplicated or malformed. Fix it before relying on the numbers.</t>
  </si>
  <si>
    <t xml:space="preserve">  Quick start</t>
  </si>
  <si>
    <t xml:space="preserve">1. Add applications</t>
  </si>
  <si>
    <t xml:space="preserve">On Application Portfolio, put the Next App ID from the Dashboard in column A, the name in B, and score the pale-yellow columns 1 to 5. Add Total Annual Cost ($) in column AG if you have it.</t>
  </si>
  <si>
    <t xml:space="preserve">2. Score their risk</t>
  </si>
  <si>
    <t xml:space="preserve">On Risk Register, add one row per application: Next Risk ID, pick the App ID, and score the five risk factors 1 to 5. The Risk Score flows back to the portfolio.</t>
  </si>
  <si>
    <t xml:space="preserve">3. Log debt</t>
  </si>
  <si>
    <t xml:space="preserve">On Debt Backlog, use the Next Debt ID, enter a Title, then pick Severity, Impact, Confidence and Effort. Those four drive the score. Pick the App ID so the debt rolls up to that application.</t>
  </si>
  <si>
    <t xml:space="preserve">4. Keep it current</t>
  </si>
  <si>
    <t xml:space="preserve">Update Status as work moves. Set Date Identified and a Target Window (or a Due Date) so overdue items are flagged. Check the Dashboard cross-checks now and then.</t>
  </si>
  <si>
    <t xml:space="preserve">  Debt Backlog: how it calculates</t>
  </si>
  <si>
    <t xml:space="preserve">Debt Score (L)</t>
  </si>
  <si>
    <t xml:space="preserve">Severity points x Impact points x Confidence weight / Effort points, using the tables on Lists. Defaults: Severity Critical 4, High 3, Medium 2, Low 1. Impact High 3, Medium 2, Low 1. Confidence High 1.0, Medium 0.8, Low 0.6. Effort XS 1, S 2, M 3, L 5, XL 8. Bigger, surer, cheaper fixes score higher. Blank until Title, Severity, Impact, Confidence and Effort are all filled.</t>
  </si>
  <si>
    <t xml:space="preserve">Priority (M)</t>
  </si>
  <si>
    <t xml:space="preserve">Priority Override (AC) wins if you enter one. Otherwise Critical severity is always P0. Otherwise the Debt Score is compared with the cutoffs on Lists AL:AM (defaults P0 at 3.5 or more, P1 at 2.5, P2 at 1.5, anything lower is P3).</t>
  </si>
  <si>
    <t xml:space="preserve">Age (R)</t>
  </si>
  <si>
    <t xml:space="preserve">Days since Date Identified.</t>
  </si>
  <si>
    <t xml:space="preserve">Effective Due Date (AD)</t>
  </si>
  <si>
    <t xml:space="preserve">Due Date (T) if you enter one. Otherwise Date Identified plus the days for the Target Window on Lists AI:AJ (Next Sprint 14, Next 2 Sprints 28, This Quarter 90, Next Quarter 180). Backlog and TBD have no implied date.</t>
  </si>
  <si>
    <t xml:space="preserve">Overdue (AE)</t>
  </si>
  <si>
    <t xml:space="preserve">Yes when the Effective Due Date has passed and the item is still active.</t>
  </si>
  <si>
    <t xml:space="preserve">Active</t>
  </si>
  <si>
    <t xml:space="preserve">Any status except Done, Won't Fix and Duplicate. Active items drive the Dashboard counts, cost totals and the open debt rollups on the portfolio.</t>
  </si>
  <si>
    <t xml:space="preserve">App link (AF:AH)</t>
  </si>
  <si>
    <t xml:space="preserve">Pick an App ID and the application name and its TIME classification are pulled in. "Unknown App ID" means the ID is not on Application Portfolio.</t>
  </si>
  <si>
    <t xml:space="preserve">Costs (Y:AB)</t>
  </si>
  <si>
    <t xml:space="preserve">Direct remediation, annual carry and contingent risk cost, plus how sure you are of the numbers. Active items feed the Debt Cost Summary and Cost by Confidence on the Dashboard.</t>
  </si>
  <si>
    <t xml:space="preserve">  Risk Register: how it calculates</t>
  </si>
  <si>
    <t xml:space="preserve">Risk Score (I)</t>
  </si>
  <si>
    <t xml:space="preserve">Weighted average of the five factors (Cybersecurity, Compliance, Operational Resilience, Vendor, Knowledge Concentration) using the Risk weights on Lists. 5 is the riskiest. Blank until all five are scored.</t>
  </si>
  <si>
    <t xml:space="preserve">One row per app</t>
  </si>
  <si>
    <t xml:space="preserve">The portfolio reads the first row it finds for each App ID. A second row for the same app is ignored and counted under "Apps with more than one risk row" on the Dashboard.</t>
  </si>
  <si>
    <t xml:space="preserve">  Application Portfolio: how it calculates</t>
  </si>
  <si>
    <t xml:space="preserve">Scoring direction</t>
  </si>
  <si>
    <t xml:space="preserve">Business Value and Technical Health factors: 5 is best. That includes Integration Complexity and Technical Debt, so score them 5 when complexity or debt is low. Cost factors: 5 is the most expensive. Risk comes from the Risk Register, where 5 is the riskiest.</t>
  </si>
  <si>
    <t xml:space="preserve">BV, C, TH (N, T, Z)</t>
  </si>
  <si>
    <t xml:space="preserve">Business Value, Cost Score and Technical Health are weighted averages of their 1-5 inputs, using the weights on Lists. Each is blank until every factor in its group is scored.</t>
  </si>
  <si>
    <t xml:space="preserve">Risk Score (O)</t>
  </si>
  <si>
    <t xml:space="preserve">Pulled from the Risk Register by App ID.</t>
  </si>
  <si>
    <t xml:space="preserve">CPS (AA)</t>
  </si>
  <si>
    <t xml:space="preserve">Composite Portfolio Score = BV x weight - Risk x weight - Cost x weight + TH x weight. It rewards value and technical health and penalizes risk and cost, in one number. Blank until BV, Risk, Cost and TH all have a score.</t>
  </si>
  <si>
    <t xml:space="preserve">CPS range</t>
  </si>
  <si>
    <t xml:space="preserve">With the default even weights (0.25 each) CPS runs from -2.00 to +2.00. +2.00 means BV and TH scored 5 with Risk and Cost scored 1. -2.00 is the reverse. 0.00 means value and health exactly offset risk and cost, for example every factor scored 3.</t>
  </si>
  <si>
    <t xml:space="preserve">What is a good CPS</t>
  </si>
  <si>
    <t xml:space="preserve">Rule of thumb, not a built-in threshold (nothing in the workbook classifies by CPS; the Dashboard only shows the average): +1.0 or higher is strong. 0 to +1.0 is sound, with value and health ahead of risk and cost. -1.0 to 0 is a watch item, where risk and cost outweigh what the app delivers. Below -1.0 is weak and a candidate for remediation or retirement.</t>
  </si>
  <si>
    <t xml:space="preserve">How to use CPS</t>
  </si>
  <si>
    <t xml:space="preserve">Use it to rank, not to decide strategy. TIME says what to do with an app and uses only BV and TH; CPS says how strong the app is overall once risk and cost count. Sort Application Portfolio by CPS, or compare apps in the same TIME class: of two Migrate apps, the lower CPS usually goes first. In the sample data Customer Portal is Migrate with high value, but its risk and cost pull its CPS to -0.14; Legacy CRM is the weakest at -1.53 and Order Management System the strongest at +0.65.</t>
  </si>
  <si>
    <t xml:space="preserve">If you change CPS weights</t>
  </si>
  <si>
    <t xml:space="preserve">The range moves with them. Top = 5 x (BV weight + TH weight) - (Risk weight + Cost weight). Bottom = (BV weight + TH weight) - 5 x (Risk weight + Cost weight). Keep the four weights adding to 1.00 so scores stay comparable over time, and adjust the rule-of-thumb bands above if the range changes.</t>
  </si>
  <si>
    <t xml:space="preserve">TIME (AB)</t>
  </si>
  <si>
    <t xml:space="preserve">High BV and high TH = Invest. High BV, low TH = Migrate. Low BV, high TH = Tolerate. Low BV, low TH = Eliminate. "High" means at or above the thresholds on Lists AF:AG (default 3.0 for both). Risk and Cost do not change the TIME call.</t>
  </si>
  <si>
    <t xml:space="preserve">Quadrant (AE)</t>
  </si>
  <si>
    <t xml:space="preserve">Business Value against Risk, using the High BV and High Risk thresholds.</t>
  </si>
  <si>
    <t xml:space="preserve">Flags (AC, AD)</t>
  </si>
  <si>
    <t xml:space="preserve">Clinical Criticality = Yes when Clinical / Business Criticality is 4 or 5. Compliance Exposure = Yes when the Compliance risk factor is 4 or 5.</t>
  </si>
  <si>
    <t xml:space="preserve">Total Annual Cost (AG)</t>
  </si>
  <si>
    <t xml:space="preserve">Dollar run cost per app, entered by you. Drives the Run Cost section of the Dashboard. Apps without a number are counted as missing cost.</t>
  </si>
  <si>
    <t xml:space="preserve">Open debt (AH, AI)</t>
  </si>
  <si>
    <t xml:space="preserve">Count and summed Debt Score of the active debt items linked to the app.</t>
  </si>
  <si>
    <t xml:space="preserve">  Changing dropdown lists</t>
  </si>
  <si>
    <t xml:space="preserve">Each dropdown reads a named range on the Lists tab (Formulas &gt; Name Manager shows them all, for example lstDebtType = Lists!A2:A13). The dropdowns show whatever is in that range.</t>
  </si>
  <si>
    <t xml:space="preserve">Add an item</t>
  </si>
  <si>
    <t xml:space="preserve">Click a cell inside the list (below the header, above the last item), choose Insert &gt; Insert Cells &gt; Shift cells down, and type the new value. Inserting inside the list makes the named range grow by itself. If you type below the last item instead, extend the range in Name Manager or the new value will not appear in the dropdown.</t>
  </si>
  <si>
    <t xml:space="preserve">Lists with a points column</t>
  </si>
  <si>
    <t xml:space="preserve">Severity, Impact, Confidence and Effort each have a points column beside them (E:F, H:I, K:L, N:O). Select both cells of a row before inserting so the value and its points stay paired, and give the new value a points number.</t>
  </si>
  <si>
    <t xml:space="preserve">Rename an item</t>
  </si>
  <si>
    <t xml:space="preserve">Change the text on Lists, then fix the rows that already used the old value. Dropdowns do not rewrite existing data: those rows keep the old text, stop matching the list, and drop out of any count that looks for the new name. Data &gt; Data Validation &gt; Circle Invalid Data shows them.</t>
  </si>
  <si>
    <t xml:space="preserve">Remove an item</t>
  </si>
  <si>
    <t xml:space="preserve">Select the cell, Delete &gt; Shift cells up, then fix any rows that used it.</t>
  </si>
  <si>
    <t xml:space="preserve">Target Window</t>
  </si>
  <si>
    <t xml:space="preserve">This one lives in two places: the dropdown list (Lists W) and the days table (Lists AI:AJ). Add or rename a window in both, with matching spelling, or its due dates will not calculate.</t>
  </si>
  <si>
    <t xml:space="preserve">Do not rename</t>
  </si>
  <si>
    <t xml:space="preserve">These exact words are written into formulas: Status Done, Won't Fix and Duplicate; Severity Critical, High, Medium and Low; Confidence High, Medium and Low; Priority P0 to P3; and the TIME names Invest, Tolerate, Migrate and Eliminate. Renaming them breaks the counts. Adding new values is fine.</t>
  </si>
  <si>
    <t xml:space="preserve">New Status values</t>
  </si>
  <si>
    <t xml:space="preserve">They work everywhere, but the Debt Status Breakdown table and chart on the Dashboard list fixed statuses. To show a new one, add a row to that table (copy the row above, change the label).</t>
  </si>
  <si>
    <t xml:space="preserve">  Changing weights, thresholds and cutoffs</t>
  </si>
  <si>
    <t xml:space="preserve">Scoring weights (Lists AC:AD)</t>
  </si>
  <si>
    <t xml:space="preserve">Five groups: Business Value (rows 2-6), Cost (7-10), Technical Health (11-15), CPS (16-19) and Risk (20-24). Raise a factor's weight to make it count more. Each group must add up to 1.00.</t>
  </si>
  <si>
    <t xml:space="preserve">Weight Check (Lists AO:AQ)</t>
  </si>
  <si>
    <t xml:space="preserve">Shows Yes or No for the Business Value, Cost, Technical Health and Risk groups and turns red on No. It does not check the CPS group, so keep those four adding to 1.00 yourself. Enter CPS weights as positive numbers; the formula already subtracts Risk and Cost.</t>
  </si>
  <si>
    <t xml:space="preserve">Thresholds (Lists AF:AG)</t>
  </si>
  <si>
    <t xml:space="preserve">High Business Value and High Technical Health set the TIME lines. High Risk and Moderate Risk set the risk bands and the quadrant. High Cost sets the Dashboard high-cost count.</t>
  </si>
  <si>
    <t xml:space="preserve">Due-date windows (Lists AI:AJ)</t>
  </si>
  <si>
    <t xml:space="preserve">Days added to Date Identified for each Target Window.</t>
  </si>
  <si>
    <t xml:space="preserve">Priority cutoffs (Lists AL:AM)</t>
  </si>
  <si>
    <t xml:space="preserve">Minimum Debt Score for P0, P1 and P2. Anything below the P2 cutoff is P3.</t>
  </si>
  <si>
    <t xml:space="preserve">Debt scoring points (Lists E:O)</t>
  </si>
  <si>
    <t xml:space="preserve">The Severity, Impact, Confidence and Effort numbers used in the Debt Score.</t>
  </si>
  <si>
    <t xml:space="preserve">Every change takes effect immediately across all sheets and the Dashboard. Weights ship at even defaults; note what you changed and why, since a changed weight can move applications between TIME classes.</t>
  </si>
  <si>
    <t xml:space="preserve">  IDs and data quality</t>
  </si>
  <si>
    <t xml:space="preserve">Assigning IDs</t>
  </si>
  <si>
    <t xml:space="preserve">Use the Next ID on the Dashboard (APM-0000, TD-0000, R-0000 style). For a batch, enter the next ID in the first new row and drag the fill handle down. Never renumber or reuse an ID; other sheets link by it.</t>
  </si>
  <si>
    <t xml:space="preserve">Validation</t>
  </si>
  <si>
    <t xml:space="preserve">Typing a badly formed or duplicate ID is blocked. A pasted or imported bad ID turns red and is counted under the ID problem checks on the Dashboard, and the Next ID cell shows "Fix malformed IDs first".</t>
  </si>
  <si>
    <t xml:space="preserve">Cross-checks</t>
  </si>
  <si>
    <t xml:space="preserve">The Dashboard also counts active debt on apps marked Eliminate or Migrate, active debt not linked to any app, and apps with more than one risk row. Any non-zero count is worth a look.</t>
  </si>
  <si>
    <t xml:space="preserve">  Good habits</t>
  </si>
  <si>
    <t xml:space="preserve">Capacity</t>
  </si>
  <si>
    <t xml:space="preserve">Rows 2 to 1000 on each data sheet are pre-built, so each holds up to 999 records.</t>
  </si>
  <si>
    <t xml:space="preserve">Sorting and filtering</t>
  </si>
  <si>
    <t xml:space="preserve">Safe on every data sheet. Formulas follow their rows.</t>
  </si>
  <si>
    <t xml:space="preserve">Removing a record</t>
  </si>
  <si>
    <t xml:space="preserve">Delete its row (right-click &gt; Delete &gt; Table Rows) rather than clearing a few cells.</t>
  </si>
  <si>
    <t xml:space="preserve">Columns</t>
  </si>
  <si>
    <t xml:space="preserve">Do not insert, delete or move columns on the data sheets. The Dashboard and the links between sheets use fixed column positions.</t>
  </si>
  <si>
    <t xml:space="preserve">Calculated cells</t>
  </si>
  <si>
    <t xml:space="preserve">If you overwrite a light-blue cell by accident, copy the same cell from the row above or below to restore the formula.</t>
  </si>
  <si>
    <t xml:space="preserve">Debt ID</t>
  </si>
  <si>
    <t xml:space="preserve">Title</t>
  </si>
  <si>
    <t xml:space="preserve">Description</t>
  </si>
  <si>
    <t xml:space="preserve">Product/Service</t>
  </si>
  <si>
    <t xml:space="preserve">Component/Module</t>
  </si>
  <si>
    <t xml:space="preserve">Debt Type</t>
  </si>
  <si>
    <t xml:space="preserve">Impact Area</t>
  </si>
  <si>
    <t xml:space="preserve">Impact</t>
  </si>
  <si>
    <t xml:space="preserve">Confidence</t>
  </si>
  <si>
    <t xml:space="preserve">Effort</t>
  </si>
  <si>
    <t xml:space="preserve">Debt Score</t>
  </si>
  <si>
    <t xml:space="preserve">Priority</t>
  </si>
  <si>
    <t xml:space="preserve">Owner</t>
  </si>
  <si>
    <t xml:space="preserve">Team</t>
  </si>
  <si>
    <t xml:space="preserve">Date Identified</t>
  </si>
  <si>
    <t xml:space="preserve">Age (days)</t>
  </si>
  <si>
    <t xml:space="preserve">Due Date</t>
  </si>
  <si>
    <t xml:space="preserve">Last Updated</t>
  </si>
  <si>
    <t xml:space="preserve">Dependencies/Related Work</t>
  </si>
  <si>
    <t xml:space="preserve">Link (Jira/Confluence/LeanIX)</t>
  </si>
  <si>
    <t xml:space="preserve">Notes</t>
  </si>
  <si>
    <t xml:space="preserve">Direct Remediation Cost ($)</t>
  </si>
  <si>
    <t xml:space="preserve">Annual Carry Cost ($)</t>
  </si>
  <si>
    <t xml:space="preserve">Contingent Risk Cost ($)</t>
  </si>
  <si>
    <t xml:space="preserve">Cost Confidence</t>
  </si>
  <si>
    <t xml:space="preserve">Priority Override</t>
  </si>
  <si>
    <t xml:space="preserve">Effective Due Date</t>
  </si>
  <si>
    <t xml:space="preserve">Overdue</t>
  </si>
  <si>
    <t xml:space="preserve">App ID</t>
  </si>
  <si>
    <t xml:space="preserve">Application Name</t>
  </si>
  <si>
    <t xml:space="preserve">App TIME Classification</t>
  </si>
  <si>
    <t xml:space="preserve">TD-0001</t>
  </si>
  <si>
    <t xml:space="preserve">Legacy auth library past EOL</t>
  </si>
  <si>
    <t xml:space="preserve">Spring Security 4.x, end of life 2022, multiple CVEs unpatched.</t>
  </si>
  <si>
    <t xml:space="preserve">Customer Portal</t>
  </si>
  <si>
    <t xml:space="preserve">auth-service</t>
  </si>
  <si>
    <t xml:space="preserve">Security</t>
  </si>
  <si>
    <t xml:space="preserve">L</t>
  </si>
  <si>
    <t xml:space="preserve">J. Park</t>
  </si>
  <si>
    <t xml:space="preserve">Platform</t>
  </si>
  <si>
    <t xml:space="preserve">This Quarter</t>
  </si>
  <si>
    <t xml:space="preserve">Coordination with Identity team</t>
  </si>
  <si>
    <t xml:space="preserve">JIRA-TD-1041</t>
  </si>
  <si>
    <t xml:space="preserve">Blocks HITRUST certification</t>
  </si>
  <si>
    <t xml:space="preserve">APM-0001</t>
  </si>
  <si>
    <t xml:space="preserve">TD-0002</t>
  </si>
  <si>
    <t xml:space="preserve">Orders table missing indexes</t>
  </si>
  <si>
    <t xml:space="preserve">Supply order queries degrading as volume grows, p95 over 2s.</t>
  </si>
  <si>
    <t xml:space="preserve">Order Management</t>
  </si>
  <si>
    <t xml:space="preserve">order-db</t>
  </si>
  <si>
    <t xml:space="preserve">Infrastructure</t>
  </si>
  <si>
    <t xml:space="preserve">Performance</t>
  </si>
  <si>
    <t xml:space="preserve">M</t>
  </si>
  <si>
    <t xml:space="preserve">M. Chen</t>
  </si>
  <si>
    <t xml:space="preserve">Data</t>
  </si>
  <si>
    <t xml:space="preserve">Next Sprint</t>
  </si>
  <si>
    <t xml:space="preserve">None</t>
  </si>
  <si>
    <t xml:space="preserve">JIRA-TD-1073</t>
  </si>
  <si>
    <t xml:space="preserve">APM-0002</t>
  </si>
  <si>
    <t xml:space="preserve">TD-0003</t>
  </si>
  <si>
    <t xml:space="preserve">Hardcoded config in payments</t>
  </si>
  <si>
    <t xml:space="preserve">Env values embedded in code, requires redeploy to change.</t>
  </si>
  <si>
    <t xml:space="preserve">Payments</t>
  </si>
  <si>
    <t xml:space="preserve">payment-processor</t>
  </si>
  <si>
    <t xml:space="preserve">Code Quality</t>
  </si>
  <si>
    <t xml:space="preserve">Maintainability</t>
  </si>
  <si>
    <t xml:space="preserve">S</t>
  </si>
  <si>
    <t xml:space="preserve">R. Singh</t>
  </si>
  <si>
    <t xml:space="preserve">Backend</t>
  </si>
  <si>
    <t xml:space="preserve">Next 2 Sprints</t>
  </si>
  <si>
    <t xml:space="preserve">JIRA-TD-1102</t>
  </si>
  <si>
    <t xml:space="preserve">APM-0003</t>
  </si>
  <si>
    <t xml:space="preserve">TD-0004</t>
  </si>
  <si>
    <t xml:space="preserve">No integration tests on billing</t>
  </si>
  <si>
    <t xml:space="preserve">Only unit tests, prod-only bugs found monthly.</t>
  </si>
  <si>
    <t xml:space="preserve">Billing</t>
  </si>
  <si>
    <t xml:space="preserve">billing-svc</t>
  </si>
  <si>
    <t xml:space="preserve">Test Coverage</t>
  </si>
  <si>
    <t xml:space="preserve">Reliability</t>
  </si>
  <si>
    <t xml:space="preserve">QA</t>
  </si>
  <si>
    <t xml:space="preserve">Next Quarter</t>
  </si>
  <si>
    <t xml:space="preserve">Test data framework</t>
  </si>
  <si>
    <t xml:space="preserve">Owner TBD</t>
  </si>
  <si>
    <t xml:space="preserve">TD-0005</t>
  </si>
  <si>
    <t xml:space="preserve">React version 3 majors behind</t>
  </si>
  <si>
    <t xml:space="preserve">v16 in use, ecosystem moving to v19.</t>
  </si>
  <si>
    <t xml:space="preserve">web-ui</t>
  </si>
  <si>
    <t xml:space="preserve">Dependencies/Upgrades</t>
  </si>
  <si>
    <t xml:space="preserve">Developer Productivity</t>
  </si>
  <si>
    <t xml:space="preserve">L. Ramirez</t>
  </si>
  <si>
    <t xml:space="preserve">Frontend</t>
  </si>
  <si>
    <t xml:space="preserve">Design system rework</t>
  </si>
  <si>
    <t xml:space="preserve">JIRA-TD-0994</t>
  </si>
  <si>
    <t xml:space="preserve">TD-0006</t>
  </si>
  <si>
    <t xml:space="preserve">Observability gaps on batch jobs</t>
  </si>
  <si>
    <t xml:space="preserve">Nightly reconciliation has no alerting, failures found by users.</t>
  </si>
  <si>
    <t xml:space="preserve">Finance Ops</t>
  </si>
  <si>
    <t xml:space="preserve">recon-batch</t>
  </si>
  <si>
    <t xml:space="preserve">Observability</t>
  </si>
  <si>
    <t xml:space="preserve">K. Osei</t>
  </si>
  <si>
    <t xml:space="preserve">DevOps</t>
  </si>
  <si>
    <t xml:space="preserve">Grafana dashboards</t>
  </si>
  <si>
    <t xml:space="preserve">JIRA-TD-1128</t>
  </si>
  <si>
    <t xml:space="preserve">APM-0006</t>
  </si>
  <si>
    <t xml:space="preserve">TD-0007</t>
  </si>
  <si>
    <t xml:space="preserve">Outdated API docs</t>
  </si>
  <si>
    <t xml:space="preserve">Swagger and FHIR capability statement not regenerated in 18 months; payer and lab integrations slowed.</t>
  </si>
  <si>
    <t xml:space="preserve">Partner API</t>
  </si>
  <si>
    <t xml:space="preserve">api-gateway</t>
  </si>
  <si>
    <t xml:space="preserve">Documentation</t>
  </si>
  <si>
    <t xml:space="preserve">XS</t>
  </si>
  <si>
    <t xml:space="preserve">T. Morgan</t>
  </si>
  <si>
    <t xml:space="preserve">Backlog</t>
  </si>
  <si>
    <t xml:space="preserve">APM-0007</t>
  </si>
  <si>
    <t xml:space="preserve">Risk ID</t>
  </si>
  <si>
    <t xml:space="preserve">Cybersecurity Risk (1-5)</t>
  </si>
  <si>
    <t xml:space="preserve">Compliance Risk (1-5)</t>
  </si>
  <si>
    <t xml:space="preserve">Operational Resilience (1-5)</t>
  </si>
  <si>
    <t xml:space="preserve">Vendor Risk (1-5)</t>
  </si>
  <si>
    <t xml:space="preserve">Knowledge Concentration (1-5)</t>
  </si>
  <si>
    <t xml:space="preserve">Risk Score (R)</t>
  </si>
  <si>
    <t xml:space="preserve">R-0001</t>
  </si>
  <si>
    <t xml:space="preserve">Security Office</t>
  </si>
  <si>
    <t xml:space="preserve">High cyber risk due to exposed auth paths</t>
  </si>
  <si>
    <t xml:space="preserve">R-0002</t>
  </si>
  <si>
    <t xml:space="preserve">Stable, well-managed</t>
  </si>
  <si>
    <t xml:space="preserve">R-0003</t>
  </si>
  <si>
    <t xml:space="preserve">Compliance scope high, single-threaded ownership</t>
  </si>
  <si>
    <t xml:space="preserve">R-0004</t>
  </si>
  <si>
    <t xml:space="preserve">APM-0004</t>
  </si>
  <si>
    <t xml:space="preserve">Vendor EOL announced; no internal expertise left</t>
  </si>
  <si>
    <t xml:space="preserve">R-0005</t>
  </si>
  <si>
    <t xml:space="preserve">APM-0005</t>
  </si>
  <si>
    <t xml:space="preserve">Low risk overall</t>
  </si>
  <si>
    <t xml:space="preserve">R-0006</t>
  </si>
  <si>
    <t xml:space="preserve">Ops resilience concerns - no DR tested</t>
  </si>
  <si>
    <t xml:space="preserve">R-0007</t>
  </si>
  <si>
    <t xml:space="preserve">Moderate - compliance attention needed</t>
  </si>
  <si>
    <t xml:space="preserve">Product/Service (Capability)</t>
  </si>
  <si>
    <t xml:space="preserve">Business Owner</t>
  </si>
  <si>
    <t xml:space="preserve">IT Owner</t>
  </si>
  <si>
    <t xml:space="preserve">Vendor</t>
  </si>
  <si>
    <t xml:space="preserve">Hosting Model</t>
  </si>
  <si>
    <t xml:space="preserve">Strategic Alignment (1-5)</t>
  </si>
  <si>
    <t xml:space="preserve">Clinical / Business Criticality (1-5)</t>
  </si>
  <si>
    <t xml:space="preserve">User Reach &amp; Dependency (1-5)</t>
  </si>
  <si>
    <t xml:space="preserve">Differentiation (1-5)</t>
  </si>
  <si>
    <t xml:space="preserve">Regulatory Necessity (1-5)</t>
  </si>
  <si>
    <t xml:space="preserve">Business Value (BV)</t>
  </si>
  <si>
    <t xml:space="preserve">Annual Run Cost (1-5)</t>
  </si>
  <si>
    <t xml:space="preserve">Cost Trend (1-5)</t>
  </si>
  <si>
    <t xml:space="preserve">Cost Transparency (1-5)</t>
  </si>
  <si>
    <t xml:space="preserve">Modernization Cost (1-5)</t>
  </si>
  <si>
    <t xml:space="preserve">Cost Score (C)</t>
  </si>
  <si>
    <t xml:space="preserve">Technology Currency (1-5)</t>
  </si>
  <si>
    <t xml:space="preserve">Architecture Quality (1-5)</t>
  </si>
  <si>
    <t xml:space="preserve">Integration Complexity (1-5)</t>
  </si>
  <si>
    <t xml:space="preserve">Data Architecture Fit (1-5)</t>
  </si>
  <si>
    <t xml:space="preserve">Technical Debt (1-5)</t>
  </si>
  <si>
    <t xml:space="preserve">Technical Health (TH)</t>
  </si>
  <si>
    <t xml:space="preserve">Composite Portfolio Score (CPS)</t>
  </si>
  <si>
    <t xml:space="preserve">TIME Classification</t>
  </si>
  <si>
    <t xml:space="preserve">Clinical Criticality Flag</t>
  </si>
  <si>
    <t xml:space="preserve">Compliance Exposure Flag</t>
  </si>
  <si>
    <t xml:space="preserve">Quadrant (Value vs Risk)</t>
  </si>
  <si>
    <t xml:space="preserve">Total Annual Cost ($)</t>
  </si>
  <si>
    <t xml:space="preserve">Open Debt Items</t>
  </si>
  <si>
    <t xml:space="preserve">Open Debt Score</t>
  </si>
  <si>
    <t xml:space="preserve">Patient and member self-service portal: appointments, bills, statements, and secure messaging.</t>
  </si>
  <si>
    <t xml:space="preserve">Patient Engagement</t>
  </si>
  <si>
    <t xml:space="preserve">VP Digital Health</t>
  </si>
  <si>
    <t xml:space="preserve">In-house</t>
  </si>
  <si>
    <t xml:space="preserve">Public Cloud</t>
  </si>
  <si>
    <t xml:space="preserve">Order Management System</t>
  </si>
  <si>
    <t xml:space="preserve">Supply and pharmacy order orchestration across hospitals, clinics, and distribution centers.</t>
  </si>
  <si>
    <t xml:space="preserve">Supply Chain</t>
  </si>
  <si>
    <t xml:space="preserve">COO</t>
  </si>
  <si>
    <t xml:space="preserve">Oracle</t>
  </si>
  <si>
    <t xml:space="preserve">Private Cloud</t>
  </si>
  <si>
    <t xml:space="preserve">Payment Processor</t>
  </si>
  <si>
    <t xml:space="preserve">Patient payment gateway: card and HSA payments, payment plans, and fraud screening.</t>
  </si>
  <si>
    <t xml:space="preserve">Revenue Cycle</t>
  </si>
  <si>
    <t xml:space="preserve">VP Revenue Cycle</t>
  </si>
  <si>
    <t xml:space="preserve">Legacy CRM</t>
  </si>
  <si>
    <t xml:space="preserve">Referral and provider-relations CRM in sunset. Superseded by the new cloud CRM; only 3 users remain.</t>
  </si>
  <si>
    <t xml:space="preserve">Provider Relations</t>
  </si>
  <si>
    <t xml:space="preserve">VP Network Development</t>
  </si>
  <si>
    <t xml:space="preserve">Siebel</t>
  </si>
  <si>
    <t xml:space="preserve">On-Premise</t>
  </si>
  <si>
    <t xml:space="preserve">Marketing Analytics</t>
  </si>
  <si>
    <t xml:space="preserve">Analytics for patient outreach campaigns and service-line marketing on de-identified data.</t>
  </si>
  <si>
    <t xml:space="preserve">Marketing</t>
  </si>
  <si>
    <t xml:space="preserve">VP Marketing</t>
  </si>
  <si>
    <t xml:space="preserve">Financial Reconciliation</t>
  </si>
  <si>
    <t xml:space="preserve">Nightly reconciliation between patient billing, payments, and the general ledger.</t>
  </si>
  <si>
    <t xml:space="preserve">Controller</t>
  </si>
  <si>
    <t xml:space="preserve">Partner API Gateway</t>
  </si>
  <si>
    <t xml:space="preserve">Integration layer exposing FHIR and REST APIs to payers, labs, and partner health systems.</t>
  </si>
  <si>
    <t xml:space="preserve">Interoperability</t>
  </si>
  <si>
    <t xml:space="preserve">VP Partnerships</t>
  </si>
  <si>
    <t xml:space="preserve">Kong</t>
  </si>
  <si>
    <t xml:space="preserve">SeverityPts</t>
  </si>
  <si>
    <t xml:space="preserve">ImpactPts</t>
  </si>
  <si>
    <t xml:space="preserve">ConfidenceWt</t>
  </si>
  <si>
    <t xml:space="preserve">EffortPts</t>
  </si>
  <si>
    <t xml:space="preserve">Score (1-5)</t>
  </si>
  <si>
    <t xml:space="preserve">Scoring Weights</t>
  </si>
  <si>
    <t xml:space="preserve">Weight</t>
  </si>
  <si>
    <t xml:space="preserve">APM Threshold</t>
  </si>
  <si>
    <t xml:space="preserve">Value (&gt;=)</t>
  </si>
  <si>
    <t xml:space="preserve">Target Days</t>
  </si>
  <si>
    <t xml:space="preserve">Debt Priority</t>
  </si>
  <si>
    <t xml:space="preserve">Debt Score (&gt;=)</t>
  </si>
  <si>
    <t xml:space="preserve">Weight Check</t>
  </si>
  <si>
    <t xml:space="preserve">Sum</t>
  </si>
  <si>
    <t xml:space="preserve">OK</t>
  </si>
  <si>
    <t xml:space="preserve">P0</t>
  </si>
  <si>
    <t xml:space="preserve">BV: Strategic Alignment</t>
  </si>
  <si>
    <t xml:space="preserve">Business Value</t>
  </si>
  <si>
    <t xml:space="preserve">Architecture</t>
  </si>
  <si>
    <t xml:space="preserve">Scalability</t>
  </si>
  <si>
    <t xml:space="preserve">P1</t>
  </si>
  <si>
    <t xml:space="preserve">BV: Clinical / Business Criticality</t>
  </si>
  <si>
    <t xml:space="preserve">High Technical Health</t>
  </si>
  <si>
    <t xml:space="preserve">Cost</t>
  </si>
  <si>
    <t xml:space="preserve">P2</t>
  </si>
  <si>
    <t xml:space="preserve">BV: User Reach &amp; Dependency</t>
  </si>
  <si>
    <t xml:space="preserve">High Risk</t>
  </si>
  <si>
    <t xml:space="preserve">Technical Health</t>
  </si>
  <si>
    <t xml:space="preserve">P3</t>
  </si>
  <si>
    <t xml:space="preserve">Mobile</t>
  </si>
  <si>
    <t xml:space="preserve">BV: Differentiation</t>
  </si>
  <si>
    <t xml:space="preserve">Moderate Risk</t>
  </si>
  <si>
    <t xml:space="preserve">Risk</t>
  </si>
  <si>
    <t xml:space="preserve">XL</t>
  </si>
  <si>
    <t xml:space="preserve">BV: Regulatory Necessity</t>
  </si>
  <si>
    <t xml:space="preserve">High Cost</t>
  </si>
  <si>
    <t xml:space="preserve">TBD</t>
  </si>
  <si>
    <t xml:space="preserve">Cost: Annual Run Cost</t>
  </si>
  <si>
    <t xml:space="preserve">Compliance</t>
  </si>
  <si>
    <t xml:space="preserve">Cost: Cost Trend</t>
  </si>
  <si>
    <t xml:space="preserve">Cost: Cost Transparency</t>
  </si>
  <si>
    <t xml:space="preserve">User Experience</t>
  </si>
  <si>
    <t xml:space="preserve">Other</t>
  </si>
  <si>
    <t xml:space="preserve">Cost: Modernization Cost</t>
  </si>
  <si>
    <t xml:space="preserve">UX</t>
  </si>
  <si>
    <t xml:space="preserve">TH: Technology Currency</t>
  </si>
  <si>
    <t xml:space="preserve">Process</t>
  </si>
  <si>
    <t xml:space="preserve">TH: Architecture Quality</t>
  </si>
  <si>
    <t xml:space="preserve">TH: Integration Complexity</t>
  </si>
  <si>
    <t xml:space="preserve">TH: Data Architecture Fit</t>
  </si>
  <si>
    <t xml:space="preserve">TH: Technical Debt</t>
  </si>
  <si>
    <t xml:space="preserve">CPS: Business Value (+)</t>
  </si>
  <si>
    <t xml:space="preserve">CPS: Risk (-)</t>
  </si>
  <si>
    <t xml:space="preserve">CPS: Cost (-)</t>
  </si>
  <si>
    <t xml:space="preserve">CPS: Technical Health (+)</t>
  </si>
  <si>
    <t xml:space="preserve">Risk: Cybersecurity</t>
  </si>
  <si>
    <t xml:space="preserve">Risk: Compliance</t>
  </si>
  <si>
    <t xml:space="preserve">Risk: Operational Resilience</t>
  </si>
  <si>
    <t xml:space="preserve">Risk: Vendor</t>
  </si>
  <si>
    <t xml:space="preserve">Risk: Knowledge Concentration</t>
  </si>
  <si>
    <t xml:space="preserve">Even defaults. Each group should sum to 1.00 (CPS weights are applied with the signs shown). Calibrated weights are part of the full simulator.</t>
  </si>
</sst>
</file>

<file path=xl/styles.xml><?xml version="1.0" encoding="utf-8"?>
<styleSheet xmlns="http://schemas.openxmlformats.org/spreadsheetml/2006/main">
  <numFmts count="10">
    <numFmt numFmtId="164" formatCode="General"/>
    <numFmt numFmtId="165" formatCode="0"/>
    <numFmt numFmtId="166" formatCode="\$#,##0"/>
    <numFmt numFmtId="167" formatCode="General"/>
    <numFmt numFmtId="168" formatCode="\$#,##0;[RED]&quot;$-&quot;#,##0;\$0"/>
    <numFmt numFmtId="169" formatCode="0.00"/>
    <numFmt numFmtId="170" formatCode="0.0"/>
    <numFmt numFmtId="171" formatCode="0.0%"/>
    <numFmt numFmtId="172" formatCode="@"/>
    <numFmt numFmtId="173" formatCode="yyyy\-mm\-dd"/>
  </numFmts>
  <fonts count="51">
    <font>
      <sz val="11"/>
      <color theme="1"/>
      <name val="Calibri"/>
      <family val="2"/>
      <charset val="1"/>
    </font>
    <font>
      <sz val="10"/>
      <name val="Arial"/>
      <family val="0"/>
    </font>
    <font>
      <sz val="10"/>
      <name val="Arial"/>
      <family val="0"/>
    </font>
    <font>
      <sz val="10"/>
      <name val="Arial"/>
      <family val="0"/>
    </font>
    <font>
      <b val="true"/>
      <sz val="20"/>
      <color rgb="FF1A1A2E"/>
      <name val="Arial"/>
      <family val="2"/>
      <charset val="1"/>
    </font>
    <font>
      <i val="true"/>
      <sz val="11"/>
      <color rgb="FF6B7280"/>
      <name val="Arial"/>
      <family val="2"/>
      <charset val="1"/>
    </font>
    <font>
      <i val="true"/>
      <sz val="10"/>
      <color rgb="FF6B7280"/>
      <name val="Arial"/>
      <family val="2"/>
      <charset val="1"/>
    </font>
    <font>
      <sz val="10"/>
      <name val="Arial"/>
      <family val="2"/>
      <charset val="1"/>
    </font>
    <font>
      <b val="true"/>
      <sz val="8"/>
      <color rgb="FF6B7280"/>
      <name val="Arial"/>
      <family val="0"/>
      <charset val="1"/>
    </font>
    <font>
      <b val="true"/>
      <sz val="20"/>
      <color rgb="FF1A1A2E"/>
      <name val="Arial"/>
      <family val="0"/>
      <charset val="1"/>
    </font>
    <font>
      <b val="true"/>
      <sz val="12"/>
      <color rgb="FFFFFFFF"/>
      <name val="Arial"/>
      <family val="0"/>
      <charset val="1"/>
    </font>
    <font>
      <b val="true"/>
      <sz val="12"/>
      <color rgb="FF9A3412"/>
      <name val="Arial"/>
      <family val="0"/>
      <charset val="1"/>
    </font>
    <font>
      <b val="true"/>
      <sz val="12"/>
      <color rgb="FF166534"/>
      <name val="Arial"/>
      <family val="0"/>
      <charset val="1"/>
    </font>
    <font>
      <i val="true"/>
      <sz val="9"/>
      <color rgb="FF6B7280"/>
      <name val="Arial"/>
      <family val="0"/>
      <charset val="1"/>
    </font>
    <font>
      <sz val="10"/>
      <color rgb="FF1F2937"/>
      <name val="Arial"/>
      <family val="0"/>
      <charset val="1"/>
    </font>
    <font>
      <b val="true"/>
      <sz val="12"/>
      <color rgb="FF991B1B"/>
      <name val="Arial"/>
      <family val="0"/>
      <charset val="1"/>
    </font>
    <font>
      <b val="true"/>
      <sz val="12"/>
      <color rgb="FF1E40AF"/>
      <name val="Arial"/>
      <family val="0"/>
      <charset val="1"/>
    </font>
    <font>
      <b val="true"/>
      <sz val="12"/>
      <color rgb="FFFFFFFF"/>
      <name val="Arial"/>
      <family val="2"/>
      <charset val="1"/>
    </font>
    <font>
      <b val="true"/>
      <sz val="10"/>
      <color rgb="FF000000"/>
      <name val="Arial"/>
      <family val="2"/>
      <charset val="1"/>
    </font>
    <font>
      <b val="true"/>
      <sz val="12"/>
      <color rgb="FF1A1A2E"/>
      <name val="Arial"/>
      <family val="2"/>
      <charset val="1"/>
    </font>
    <font>
      <b val="true"/>
      <sz val="12"/>
      <color rgb="FF991B1B"/>
      <name val="Arial"/>
      <family val="2"/>
      <charset val="1"/>
    </font>
    <font>
      <b val="true"/>
      <sz val="12"/>
      <color rgb="FF9A3412"/>
      <name val="Arial"/>
      <family val="2"/>
      <charset val="1"/>
    </font>
    <font>
      <b val="true"/>
      <sz val="12"/>
      <color rgb="FF713F12"/>
      <name val="Arial"/>
      <family val="2"/>
      <charset val="1"/>
    </font>
    <font>
      <b val="true"/>
      <sz val="12"/>
      <color rgb="FF166534"/>
      <name val="Arial"/>
      <family val="2"/>
      <charset val="1"/>
    </font>
    <font>
      <b val="true"/>
      <sz val="11"/>
      <color rgb="FFFFFFFF"/>
      <name val="Arial"/>
      <family val="2"/>
      <charset val="1"/>
    </font>
    <font>
      <b val="true"/>
      <sz val="10"/>
      <color rgb="FFFFFFFF"/>
      <name val="Arial"/>
      <family val="2"/>
      <charset val="1"/>
    </font>
    <font>
      <sz val="10"/>
      <color rgb="FF000000"/>
      <name val="Arial"/>
      <family val="2"/>
      <charset val="1"/>
    </font>
    <font>
      <b val="true"/>
      <sz val="11"/>
      <color rgb="FF1A1A2E"/>
      <name val="Arial"/>
      <family val="2"/>
      <charset val="1"/>
    </font>
    <font>
      <b val="true"/>
      <sz val="10"/>
      <color rgb="FF991B1B"/>
      <name val="Arial"/>
      <family val="2"/>
      <charset val="1"/>
    </font>
    <font>
      <b val="true"/>
      <sz val="10"/>
      <color rgb="FF9A3412"/>
      <name val="Arial"/>
      <family val="2"/>
      <charset val="1"/>
    </font>
    <font>
      <b val="true"/>
      <sz val="10"/>
      <color rgb="FF713F12"/>
      <name val="Arial"/>
      <family val="2"/>
      <charset val="1"/>
    </font>
    <font>
      <b val="true"/>
      <sz val="10"/>
      <color rgb="FF166534"/>
      <name val="Arial"/>
      <family val="2"/>
      <charset val="1"/>
    </font>
    <font>
      <b val="true"/>
      <sz val="10"/>
      <color rgb="FF1E40AF"/>
      <name val="Arial"/>
      <family val="2"/>
      <charset val="1"/>
    </font>
    <font>
      <b val="true"/>
      <sz val="10"/>
      <color rgb="FF92400E"/>
      <name val="Arial"/>
      <family val="2"/>
      <charset val="1"/>
    </font>
    <font>
      <b val="true"/>
      <sz val="11"/>
      <color rgb="FF92400E"/>
      <name val="Arial"/>
      <family val="2"/>
      <charset val="1"/>
    </font>
    <font>
      <b val="true"/>
      <sz val="11"/>
      <color rgb="FF166534"/>
      <name val="Arial"/>
      <family val="2"/>
      <charset val="1"/>
    </font>
    <font>
      <b val="true"/>
      <sz val="10"/>
      <color rgb="FF374151"/>
      <name val="Arial"/>
      <family val="2"/>
      <charset val="1"/>
    </font>
    <font>
      <b val="true"/>
      <sz val="11"/>
      <color rgb="FF374151"/>
      <name val="Arial"/>
      <family val="2"/>
      <charset val="1"/>
    </font>
    <font>
      <b val="true"/>
      <sz val="10"/>
      <color rgb="FF1A1A2E"/>
      <name val="Arial"/>
      <family val="2"/>
      <charset val="1"/>
    </font>
    <font>
      <b val="true"/>
      <sz val="11"/>
      <color rgb="FF1A1A2E"/>
      <name val="Arial"/>
      <family val="2"/>
    </font>
    <font>
      <b val="true"/>
      <sz val="11"/>
      <color rgb="FF1F2937"/>
      <name val="Arial"/>
      <family val="2"/>
    </font>
    <font>
      <sz val="10"/>
      <color rgb="FF1F2937"/>
      <name val="Arial"/>
      <family val="2"/>
    </font>
    <font>
      <b val="true"/>
      <sz val="10"/>
      <color rgb="FF1F2937"/>
      <name val="Arial"/>
      <family val="2"/>
    </font>
    <font>
      <sz val="10"/>
      <color rgb="FF000000"/>
      <name val="Calibri"/>
      <family val="2"/>
    </font>
    <font>
      <sz val="11"/>
      <color rgb="FF6B7280"/>
      <name val="Arial"/>
      <family val="0"/>
      <charset val="1"/>
    </font>
    <font>
      <b val="true"/>
      <sz val="10"/>
      <color rgb="FF1A1A2E"/>
      <name val="Arial"/>
      <family val="0"/>
      <charset val="1"/>
    </font>
    <font>
      <i val="true"/>
      <sz val="10"/>
      <color rgb="FF6B7280"/>
      <name val="Arial"/>
      <family val="0"/>
      <charset val="1"/>
    </font>
    <font>
      <sz val="10"/>
      <name val="Arial"/>
      <family val="2"/>
    </font>
    <font>
      <sz val="9"/>
      <name val="Arial"/>
      <family val="2"/>
      <charset val="1"/>
    </font>
    <font>
      <sz val="10"/>
      <color rgb="FF1A1A2E"/>
      <name val="Arial"/>
      <family val="2"/>
      <charset val="1"/>
    </font>
    <font>
      <sz val="10"/>
      <color rgb="FF6B7280"/>
      <name val="Arial"/>
      <family val="2"/>
      <charset val="1"/>
    </font>
  </fonts>
  <fills count="19">
    <fill>
      <patternFill patternType="none"/>
    </fill>
    <fill>
      <patternFill patternType="gray125"/>
    </fill>
    <fill>
      <patternFill patternType="solid">
        <fgColor rgb="FFF8F9FA"/>
        <bgColor rgb="FFF3F4F6"/>
      </patternFill>
    </fill>
    <fill>
      <patternFill patternType="solid">
        <fgColor rgb="FF1A1A2E"/>
        <bgColor rgb="FF1F2937"/>
      </patternFill>
    </fill>
    <fill>
      <patternFill patternType="solid">
        <fgColor rgb="FFFFF7ED"/>
        <bgColor rgb="FFFFFBEB"/>
      </patternFill>
    </fill>
    <fill>
      <patternFill patternType="solid">
        <fgColor rgb="FFF0FDF4"/>
        <bgColor rgb="FFF8F9FA"/>
      </patternFill>
    </fill>
    <fill>
      <patternFill patternType="solid">
        <fgColor rgb="FFFEF2F2"/>
        <bgColor rgb="FFFFF7ED"/>
      </patternFill>
    </fill>
    <fill>
      <patternFill patternType="solid">
        <fgColor rgb="FFEFF6FF"/>
        <bgColor rgb="FFF3F4F6"/>
      </patternFill>
    </fill>
    <fill>
      <patternFill patternType="solid">
        <fgColor rgb="FFFEE2E2"/>
        <bgColor rgb="FFFFE5D0"/>
      </patternFill>
    </fill>
    <fill>
      <patternFill patternType="solid">
        <fgColor rgb="FFFED7AA"/>
        <bgColor rgb="FFF8D7DA"/>
      </patternFill>
    </fill>
    <fill>
      <patternFill patternType="solid">
        <fgColor rgb="FFFEF3C7"/>
        <bgColor rgb="FFFFF3CD"/>
      </patternFill>
    </fill>
    <fill>
      <patternFill patternType="solid">
        <fgColor rgb="FFDCFCE7"/>
        <bgColor rgb="FFF0FDF4"/>
      </patternFill>
    </fill>
    <fill>
      <patternFill patternType="solid">
        <fgColor rgb="FF1E40AF"/>
        <bgColor rgb="FF2563EB"/>
      </patternFill>
    </fill>
    <fill>
      <patternFill patternType="solid">
        <fgColor rgb="FFF3F4F6"/>
        <bgColor rgb="FFEFF6FF"/>
      </patternFill>
    </fill>
    <fill>
      <patternFill patternType="solid">
        <fgColor rgb="FFFFFBEB"/>
        <bgColor rgb="FFFFF7ED"/>
      </patternFill>
    </fill>
    <fill>
      <patternFill patternType="solid">
        <fgColor rgb="FF166534"/>
        <bgColor rgb="FF374151"/>
      </patternFill>
    </fill>
    <fill>
      <patternFill patternType="solid">
        <fgColor rgb="FF991B1B"/>
        <bgColor rgb="FFB91C1C"/>
      </patternFill>
    </fill>
    <fill>
      <patternFill patternType="solid">
        <fgColor rgb="FF713F12"/>
        <bgColor rgb="FF92400E"/>
      </patternFill>
    </fill>
    <fill>
      <patternFill patternType="solid">
        <fgColor rgb="FF9A3412"/>
        <bgColor rgb="FF92400E"/>
      </patternFill>
    </fill>
  </fills>
  <borders count="18">
    <border diagonalUp="false" diagonalDown="false">
      <left/>
      <right/>
      <top/>
      <bottom/>
      <diagonal/>
    </border>
    <border diagonalUp="false" diagonalDown="false">
      <left style="thick">
        <color rgb="FF1A1A2E"/>
      </left>
      <right style="thin">
        <color rgb="FFE5E7EB"/>
      </right>
      <top style="thin">
        <color rgb="FFE5E7EB"/>
      </top>
      <bottom/>
      <diagonal/>
    </border>
    <border diagonalUp="false" diagonalDown="false">
      <left style="thick">
        <color rgb="FF1A1A2E"/>
      </left>
      <right style="thin">
        <color rgb="FFE5E7EB"/>
      </right>
      <top/>
      <bottom style="thin">
        <color rgb="FFE5E7EB"/>
      </bottom>
      <diagonal/>
    </border>
    <border diagonalUp="false" diagonalDown="false">
      <left style="thick">
        <color rgb="FF2563EB"/>
      </left>
      <right style="thin">
        <color rgb="FFE5E7EB"/>
      </right>
      <top style="thin">
        <color rgb="FFE5E7EB"/>
      </top>
      <bottom/>
      <diagonal/>
    </border>
    <border diagonalUp="false" diagonalDown="false">
      <left style="thick">
        <color rgb="FF2563EB"/>
      </left>
      <right style="thin">
        <color rgb="FFE5E7EB"/>
      </right>
      <top/>
      <bottom style="thin">
        <color rgb="FFE5E7EB"/>
      </bottom>
      <diagonal/>
    </border>
    <border diagonalUp="false" diagonalDown="false">
      <left style="thick">
        <color rgb="FFEA580C"/>
      </left>
      <right style="thin">
        <color rgb="FFE5E7EB"/>
      </right>
      <top style="thin">
        <color rgb="FFE5E7EB"/>
      </top>
      <bottom/>
      <diagonal/>
    </border>
    <border diagonalUp="false" diagonalDown="false">
      <left style="thick">
        <color rgb="FF16A34A"/>
      </left>
      <right style="thin">
        <color rgb="FFE5E7EB"/>
      </right>
      <top style="thin">
        <color rgb="FFE5E7EB"/>
      </top>
      <bottom/>
      <diagonal/>
    </border>
    <border diagonalUp="false" diagonalDown="false">
      <left style="thick">
        <color rgb="FFEA580C"/>
      </left>
      <right style="thin">
        <color rgb="FFE5E7EB"/>
      </right>
      <top/>
      <bottom/>
      <diagonal/>
    </border>
    <border diagonalUp="false" diagonalDown="false">
      <left style="thick">
        <color rgb="FF16A34A"/>
      </left>
      <right style="thin">
        <color rgb="FFE5E7EB"/>
      </right>
      <top/>
      <bottom/>
      <diagonal/>
    </border>
    <border diagonalUp="false" diagonalDown="false">
      <left style="thick">
        <color rgb="FFEA580C"/>
      </left>
      <right style="thin">
        <color rgb="FFE5E7EB"/>
      </right>
      <top/>
      <bottom style="thin">
        <color rgb="FFE5E7EB"/>
      </bottom>
      <diagonal/>
    </border>
    <border diagonalUp="false" diagonalDown="false">
      <left style="thick">
        <color rgb="FF16A34A"/>
      </left>
      <right style="thin">
        <color rgb="FFE5E7EB"/>
      </right>
      <top/>
      <bottom style="thin">
        <color rgb="FFE5E7EB"/>
      </bottom>
      <diagonal/>
    </border>
    <border diagonalUp="false" diagonalDown="false">
      <left style="thick">
        <color rgb="FFDC2626"/>
      </left>
      <right style="thin">
        <color rgb="FFE5E7EB"/>
      </right>
      <top style="thin">
        <color rgb="FFE5E7EB"/>
      </top>
      <bottom/>
      <diagonal/>
    </border>
    <border diagonalUp="false" diagonalDown="false">
      <left style="thick">
        <color rgb="FFDC2626"/>
      </left>
      <right style="thin">
        <color rgb="FFE5E7EB"/>
      </right>
      <top/>
      <bottom/>
      <diagonal/>
    </border>
    <border diagonalUp="false" diagonalDown="false">
      <left style="thick">
        <color rgb="FF2563EB"/>
      </left>
      <right style="thin">
        <color rgb="FFE5E7EB"/>
      </right>
      <top/>
      <bottom/>
      <diagonal/>
    </border>
    <border diagonalUp="false" diagonalDown="false">
      <left style="thick">
        <color rgb="FFDC2626"/>
      </left>
      <right style="thin">
        <color rgb="FFE5E7EB"/>
      </right>
      <top/>
      <bottom style="thin">
        <color rgb="FFE5E7EB"/>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CBD5E1"/>
      </left>
      <right/>
      <top style="thin">
        <color rgb="FFCBD5E1"/>
      </top>
      <bottom style="thin">
        <color rgb="FFCBD5E1"/>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bottom" textRotation="0" wrapText="false" indent="1" shrinkToFit="false"/>
      <protection locked="true" hidden="false"/>
    </xf>
    <xf numFmtId="165" fontId="9" fillId="2" borderId="2" xfId="0" applyFont="true" applyBorder="true" applyAlignment="true" applyProtection="false">
      <alignment horizontal="left" vertical="center" textRotation="0" wrapText="false" indent="1" shrinkToFit="false"/>
      <protection locked="true" hidden="false"/>
    </xf>
    <xf numFmtId="166" fontId="9" fillId="2" borderId="2" xfId="0" applyFont="true" applyBorder="true" applyAlignment="true" applyProtection="false">
      <alignment horizontal="left" vertical="center" textRotation="0" wrapText="false" indent="1" shrinkToFit="false"/>
      <protection locked="true" hidden="false"/>
    </xf>
    <xf numFmtId="164" fontId="8" fillId="2" borderId="3" xfId="0" applyFont="true" applyBorder="true" applyAlignment="true" applyProtection="false">
      <alignment horizontal="left" vertical="bottom" textRotation="0" wrapText="false" indent="1" shrinkToFit="false"/>
      <protection locked="true" hidden="false"/>
    </xf>
    <xf numFmtId="165" fontId="9" fillId="2" borderId="4" xfId="0" applyFont="true" applyBorder="true" applyAlignment="true" applyProtection="false">
      <alignment horizontal="left" vertical="center" textRotation="0" wrapText="false" indent="1" shrinkToFit="false"/>
      <protection locked="true" hidden="false"/>
    </xf>
    <xf numFmtId="166" fontId="9" fillId="2" borderId="4" xfId="0" applyFont="true" applyBorder="true" applyAlignment="true" applyProtection="false">
      <alignment horizontal="left" vertical="center" textRotation="0" wrapText="false" indent="1" shrinkToFit="false"/>
      <protection locked="true" hidden="false"/>
    </xf>
    <xf numFmtId="164" fontId="10" fillId="3" borderId="0" xfId="0" applyFont="true" applyBorder="true" applyAlignment="true" applyProtection="false">
      <alignment horizontal="general" vertical="center" textRotation="0" wrapText="false" indent="0" shrinkToFit="false"/>
      <protection locked="true" hidden="false"/>
    </xf>
    <xf numFmtId="164" fontId="11" fillId="4" borderId="5" xfId="0" applyFont="true" applyBorder="true" applyAlignment="true" applyProtection="false">
      <alignment horizontal="left" vertical="top" textRotation="0" wrapText="true" indent="1" shrinkToFit="false"/>
      <protection locked="true" hidden="false"/>
    </xf>
    <xf numFmtId="164" fontId="12" fillId="5" borderId="6" xfId="0" applyFont="true" applyBorder="true" applyAlignment="true" applyProtection="false">
      <alignment horizontal="left" vertical="top" textRotation="0" wrapText="true" indent="1" shrinkToFit="false"/>
      <protection locked="true" hidden="false"/>
    </xf>
    <xf numFmtId="164" fontId="13" fillId="4" borderId="7" xfId="0" applyFont="true" applyBorder="true" applyAlignment="true" applyProtection="false">
      <alignment horizontal="left" vertical="top" textRotation="0" wrapText="true" indent="1" shrinkToFit="false"/>
      <protection locked="true" hidden="false"/>
    </xf>
    <xf numFmtId="164" fontId="13" fillId="5" borderId="8" xfId="0" applyFont="true" applyBorder="true" applyAlignment="true" applyProtection="false">
      <alignment horizontal="left" vertical="top" textRotation="0" wrapText="true" indent="1" shrinkToFit="false"/>
      <protection locked="true" hidden="false"/>
    </xf>
    <xf numFmtId="167" fontId="14" fillId="4" borderId="9" xfId="0" applyFont="true" applyBorder="true" applyAlignment="true" applyProtection="false">
      <alignment horizontal="left" vertical="top" textRotation="0" wrapText="true" indent="1" shrinkToFit="false"/>
      <protection locked="true" hidden="false"/>
    </xf>
    <xf numFmtId="167" fontId="14" fillId="5" borderId="10" xfId="0" applyFont="true" applyBorder="true" applyAlignment="true" applyProtection="false">
      <alignment horizontal="left" vertical="top" textRotation="0" wrapText="true" indent="1" shrinkToFit="false"/>
      <protection locked="true" hidden="false"/>
    </xf>
    <xf numFmtId="164" fontId="15" fillId="6" borderId="11" xfId="0" applyFont="true" applyBorder="true" applyAlignment="true" applyProtection="false">
      <alignment horizontal="left" vertical="top" textRotation="0" wrapText="true" indent="1" shrinkToFit="false"/>
      <protection locked="true" hidden="false"/>
    </xf>
    <xf numFmtId="164" fontId="16" fillId="7" borderId="3" xfId="0" applyFont="true" applyBorder="true" applyAlignment="true" applyProtection="false">
      <alignment horizontal="left" vertical="top" textRotation="0" wrapText="true" indent="1" shrinkToFit="false"/>
      <protection locked="true" hidden="false"/>
    </xf>
    <xf numFmtId="164" fontId="13" fillId="6" borderId="12" xfId="0" applyFont="true" applyBorder="true" applyAlignment="true" applyProtection="false">
      <alignment horizontal="left" vertical="top" textRotation="0" wrapText="true" indent="1" shrinkToFit="false"/>
      <protection locked="true" hidden="false"/>
    </xf>
    <xf numFmtId="164" fontId="13" fillId="7" borderId="13" xfId="0" applyFont="true" applyBorder="true" applyAlignment="true" applyProtection="false">
      <alignment horizontal="left" vertical="top" textRotation="0" wrapText="true" indent="1" shrinkToFit="false"/>
      <protection locked="true" hidden="false"/>
    </xf>
    <xf numFmtId="167" fontId="14" fillId="6" borderId="14" xfId="0" applyFont="true" applyBorder="true" applyAlignment="true" applyProtection="false">
      <alignment horizontal="left" vertical="top" textRotation="0" wrapText="true" indent="1" shrinkToFit="false"/>
      <protection locked="true" hidden="false"/>
    </xf>
    <xf numFmtId="167" fontId="14" fillId="7" borderId="4" xfId="0" applyFont="true" applyBorder="true" applyAlignment="true" applyProtection="false">
      <alignment horizontal="left" vertical="top" textRotation="0" wrapText="true" indent="1" shrinkToFit="false"/>
      <protection locked="true" hidden="false"/>
    </xf>
    <xf numFmtId="164" fontId="17" fillId="3" borderId="0" xfId="0" applyFont="true" applyBorder="true" applyAlignment="true" applyProtection="false">
      <alignment horizontal="left" vertical="center" textRotation="0" wrapText="false" indent="0" shrinkToFit="false"/>
      <protection locked="true" hidden="false"/>
    </xf>
    <xf numFmtId="164" fontId="18" fillId="2" borderId="15" xfId="0" applyFont="true" applyBorder="true" applyAlignment="true" applyProtection="false">
      <alignment horizontal="left" vertical="center" textRotation="0" wrapText="true" indent="0" shrinkToFit="false"/>
      <protection locked="true" hidden="false"/>
    </xf>
    <xf numFmtId="167" fontId="19" fillId="7" borderId="15" xfId="0" applyFont="true" applyBorder="true" applyAlignment="true" applyProtection="false">
      <alignment horizontal="center" vertical="center" textRotation="0" wrapText="true" indent="0" shrinkToFit="false"/>
      <protection locked="true" hidden="false"/>
    </xf>
    <xf numFmtId="167" fontId="20" fillId="8" borderId="15" xfId="0" applyFont="true" applyBorder="true" applyAlignment="true" applyProtection="false">
      <alignment horizontal="center" vertical="center" textRotation="0" wrapText="true" indent="0" shrinkToFit="false"/>
      <protection locked="true" hidden="false"/>
    </xf>
    <xf numFmtId="167" fontId="21" fillId="9" borderId="15" xfId="0" applyFont="true" applyBorder="true" applyAlignment="true" applyProtection="false">
      <alignment horizontal="center" vertical="center" textRotation="0" wrapText="true" indent="0" shrinkToFit="false"/>
      <protection locked="true" hidden="false"/>
    </xf>
    <xf numFmtId="167" fontId="22" fillId="10" borderId="15" xfId="0" applyFont="true" applyBorder="true" applyAlignment="true" applyProtection="false">
      <alignment horizontal="center" vertical="center" textRotation="0" wrapText="true" indent="0" shrinkToFit="false"/>
      <protection locked="true" hidden="false"/>
    </xf>
    <xf numFmtId="167" fontId="23" fillId="11" borderId="15" xfId="0" applyFont="true" applyBorder="true" applyAlignment="true" applyProtection="false">
      <alignment horizontal="center" vertical="center" textRotation="0" wrapText="true" indent="0" shrinkToFit="false"/>
      <protection locked="true" hidden="false"/>
    </xf>
    <xf numFmtId="164" fontId="24" fillId="12" borderId="0" xfId="0" applyFont="true" applyBorder="true" applyAlignment="true" applyProtection="false">
      <alignment horizontal="left" vertical="center" textRotation="0" wrapText="false" indent="0" shrinkToFit="false"/>
      <protection locked="true" hidden="false"/>
    </xf>
    <xf numFmtId="164" fontId="25" fillId="3" borderId="15" xfId="0" applyFont="true" applyBorder="true" applyAlignment="true" applyProtection="false">
      <alignment horizontal="left" vertical="center" textRotation="0" wrapText="true" indent="0" shrinkToFit="false"/>
      <protection locked="true" hidden="false"/>
    </xf>
    <xf numFmtId="164" fontId="26" fillId="2" borderId="15" xfId="0" applyFont="true" applyBorder="true" applyAlignment="true" applyProtection="false">
      <alignment horizontal="left" vertical="center" textRotation="0" wrapText="true" indent="0" shrinkToFit="false"/>
      <protection locked="true" hidden="false"/>
    </xf>
    <xf numFmtId="167" fontId="27" fillId="2" borderId="15" xfId="0" applyFont="true" applyBorder="true" applyAlignment="true" applyProtection="false">
      <alignment horizontal="center" vertical="center" textRotation="0" wrapText="true" indent="0" shrinkToFit="false"/>
      <protection locked="true" hidden="false"/>
    </xf>
    <xf numFmtId="164" fontId="28" fillId="8" borderId="15" xfId="0" applyFont="true" applyBorder="true" applyAlignment="true" applyProtection="false">
      <alignment horizontal="center" vertical="center" textRotation="0" wrapText="false" indent="0" shrinkToFit="false"/>
      <protection locked="true" hidden="false"/>
    </xf>
    <xf numFmtId="167" fontId="27" fillId="8" borderId="15" xfId="0" applyFont="true" applyBorder="true" applyAlignment="true" applyProtection="false">
      <alignment horizontal="center" vertical="center" textRotation="0" wrapText="true" indent="0" shrinkToFit="false"/>
      <protection locked="true" hidden="false"/>
    </xf>
    <xf numFmtId="164" fontId="26" fillId="0" borderId="15" xfId="0" applyFont="true" applyBorder="true" applyAlignment="true" applyProtection="false">
      <alignment horizontal="left" vertical="center" textRotation="0" wrapText="true" indent="0" shrinkToFit="false"/>
      <protection locked="true" hidden="false"/>
    </xf>
    <xf numFmtId="167" fontId="27" fillId="0" borderId="15" xfId="0" applyFont="true" applyBorder="true" applyAlignment="true" applyProtection="false">
      <alignment horizontal="center" vertical="center" textRotation="0" wrapText="true" indent="0" shrinkToFit="false"/>
      <protection locked="true" hidden="false"/>
    </xf>
    <xf numFmtId="164" fontId="29" fillId="9" borderId="15" xfId="0" applyFont="true" applyBorder="true" applyAlignment="true" applyProtection="false">
      <alignment horizontal="center" vertical="center" textRotation="0" wrapText="false" indent="0" shrinkToFit="false"/>
      <protection locked="true" hidden="false"/>
    </xf>
    <xf numFmtId="167" fontId="27" fillId="9" borderId="15" xfId="0" applyFont="true" applyBorder="true" applyAlignment="true" applyProtection="false">
      <alignment horizontal="center" vertical="center" textRotation="0" wrapText="true" indent="0" shrinkToFit="false"/>
      <protection locked="true" hidden="false"/>
    </xf>
    <xf numFmtId="164" fontId="30" fillId="10" borderId="15" xfId="0" applyFont="true" applyBorder="true" applyAlignment="true" applyProtection="false">
      <alignment horizontal="center" vertical="center" textRotation="0" wrapText="false" indent="0" shrinkToFit="false"/>
      <protection locked="true" hidden="false"/>
    </xf>
    <xf numFmtId="167" fontId="27" fillId="10" borderId="15" xfId="0" applyFont="true" applyBorder="true" applyAlignment="true" applyProtection="false">
      <alignment horizontal="center" vertical="center" textRotation="0" wrapText="true" indent="0" shrinkToFit="false"/>
      <protection locked="true" hidden="false"/>
    </xf>
    <xf numFmtId="164" fontId="31" fillId="11" borderId="15" xfId="0" applyFont="true" applyBorder="true" applyAlignment="true" applyProtection="false">
      <alignment horizontal="center" vertical="center" textRotation="0" wrapText="false" indent="0" shrinkToFit="false"/>
      <protection locked="true" hidden="false"/>
    </xf>
    <xf numFmtId="167" fontId="27" fillId="11" borderId="15" xfId="0" applyFont="true" applyBorder="true" applyAlignment="true" applyProtection="false">
      <alignment horizontal="center" vertical="center" textRotation="0" wrapText="true" indent="0" shrinkToFit="false"/>
      <protection locked="true" hidden="false"/>
    </xf>
    <xf numFmtId="164" fontId="18" fillId="2" borderId="16" xfId="0" applyFont="true" applyBorder="true" applyAlignment="true" applyProtection="false">
      <alignment horizontal="left" vertical="center" textRotation="0" wrapText="true" indent="0" shrinkToFit="false"/>
      <protection locked="true" hidden="false"/>
    </xf>
    <xf numFmtId="168" fontId="19" fillId="7" borderId="0" xfId="0" applyFont="true" applyBorder="false" applyAlignment="true" applyProtection="false">
      <alignment horizontal="center" vertical="center" textRotation="0" wrapText="true" indent="0" shrinkToFit="false"/>
      <protection locked="true" hidden="false"/>
    </xf>
    <xf numFmtId="164" fontId="18" fillId="2" borderId="0" xfId="0" applyFont="true" applyBorder="false" applyAlignment="true" applyProtection="false">
      <alignment horizontal="left" vertical="center" textRotation="0" wrapText="true" indent="0" shrinkToFit="false"/>
      <protection locked="true" hidden="false"/>
    </xf>
    <xf numFmtId="164" fontId="18" fillId="2" borderId="15" xfId="0" applyFont="true" applyBorder="true" applyAlignment="true" applyProtection="false">
      <alignment horizontal="left" vertical="center" textRotation="0" wrapText="false" indent="1" shrinkToFit="false"/>
      <protection locked="true" hidden="false"/>
    </xf>
    <xf numFmtId="169" fontId="19" fillId="7" borderId="15" xfId="0" applyFont="true" applyBorder="true" applyAlignment="true" applyProtection="false">
      <alignment horizontal="center" vertical="center" textRotation="0" wrapText="true" indent="0" shrinkToFit="false"/>
      <protection locked="true" hidden="false"/>
    </xf>
    <xf numFmtId="164" fontId="31" fillId="5" borderId="15" xfId="0" applyFont="true" applyBorder="true" applyAlignment="true" applyProtection="false">
      <alignment horizontal="left" vertical="center" textRotation="0" wrapText="false" indent="1" shrinkToFit="false"/>
      <protection locked="true" hidden="false"/>
    </xf>
    <xf numFmtId="167" fontId="19" fillId="5" borderId="15" xfId="0" applyFont="true" applyBorder="true" applyAlignment="true" applyProtection="false">
      <alignment horizontal="center" vertical="center" textRotation="0" wrapText="true" indent="0" shrinkToFit="false"/>
      <protection locked="true" hidden="false"/>
    </xf>
    <xf numFmtId="164" fontId="32" fillId="7" borderId="15" xfId="0" applyFont="true" applyBorder="true" applyAlignment="true" applyProtection="false">
      <alignment horizontal="left" vertical="center" textRotation="0" wrapText="false" indent="1" shrinkToFit="false"/>
      <protection locked="true" hidden="false"/>
    </xf>
    <xf numFmtId="164" fontId="29" fillId="4" borderId="15" xfId="0" applyFont="true" applyBorder="true" applyAlignment="true" applyProtection="false">
      <alignment horizontal="left" vertical="center" textRotation="0" wrapText="false" indent="1" shrinkToFit="false"/>
      <protection locked="true" hidden="false"/>
    </xf>
    <xf numFmtId="167" fontId="19" fillId="4" borderId="15" xfId="0" applyFont="true" applyBorder="true" applyAlignment="true" applyProtection="false">
      <alignment horizontal="center" vertical="center" textRotation="0" wrapText="true" indent="0" shrinkToFit="false"/>
      <protection locked="true" hidden="false"/>
    </xf>
    <xf numFmtId="164" fontId="28" fillId="6" borderId="15" xfId="0" applyFont="true" applyBorder="true" applyAlignment="true" applyProtection="false">
      <alignment horizontal="left" vertical="center" textRotation="0" wrapText="false" indent="1" shrinkToFit="false"/>
      <protection locked="true" hidden="false"/>
    </xf>
    <xf numFmtId="167" fontId="19" fillId="6" borderId="15" xfId="0" applyFont="true" applyBorder="true" applyAlignment="true" applyProtection="false">
      <alignment horizontal="center" vertical="center" textRotation="0" wrapText="true" indent="0" shrinkToFit="false"/>
      <protection locked="true" hidden="false"/>
    </xf>
    <xf numFmtId="164" fontId="31" fillId="5" borderId="15" xfId="0" applyFont="true" applyBorder="true" applyAlignment="true" applyProtection="false">
      <alignment horizontal="center" vertical="center" textRotation="0" wrapText="false" indent="0" shrinkToFit="false"/>
      <protection locked="true" hidden="false"/>
    </xf>
    <xf numFmtId="165" fontId="27" fillId="5" borderId="15" xfId="0" applyFont="true" applyBorder="true" applyAlignment="true" applyProtection="false">
      <alignment horizontal="center" vertical="center" textRotation="0" wrapText="true" indent="0" shrinkToFit="false"/>
      <protection locked="true" hidden="false"/>
    </xf>
    <xf numFmtId="165" fontId="27" fillId="8" borderId="15" xfId="0" applyFont="true" applyBorder="true" applyAlignment="true" applyProtection="false">
      <alignment horizontal="center" vertical="center" textRotation="0" wrapText="true" indent="0" shrinkToFit="false"/>
      <protection locked="true" hidden="false"/>
    </xf>
    <xf numFmtId="164" fontId="32" fillId="7" borderId="15" xfId="0" applyFont="true" applyBorder="true" applyAlignment="true" applyProtection="false">
      <alignment horizontal="center" vertical="center" textRotation="0" wrapText="false" indent="0" shrinkToFit="false"/>
      <protection locked="true" hidden="false"/>
    </xf>
    <xf numFmtId="165" fontId="27" fillId="7" borderId="15" xfId="0" applyFont="true" applyBorder="true" applyAlignment="true" applyProtection="false">
      <alignment horizontal="center" vertical="center" textRotation="0" wrapText="true" indent="0" shrinkToFit="false"/>
      <protection locked="true" hidden="false"/>
    </xf>
    <xf numFmtId="164" fontId="33" fillId="10" borderId="15" xfId="0" applyFont="true" applyBorder="true" applyAlignment="true" applyProtection="false">
      <alignment horizontal="center" vertical="center" textRotation="0" wrapText="false" indent="0" shrinkToFit="false"/>
      <protection locked="true" hidden="false"/>
    </xf>
    <xf numFmtId="165" fontId="34" fillId="10" borderId="15" xfId="0" applyFont="true" applyBorder="true" applyAlignment="true" applyProtection="false">
      <alignment horizontal="center" vertical="center" textRotation="0" wrapText="true" indent="0" shrinkToFit="false"/>
      <protection locked="true" hidden="false"/>
    </xf>
    <xf numFmtId="164" fontId="29" fillId="4" borderId="15" xfId="0" applyFont="true" applyBorder="true" applyAlignment="true" applyProtection="false">
      <alignment horizontal="center" vertical="center" textRotation="0" wrapText="false" indent="0" shrinkToFit="false"/>
      <protection locked="true" hidden="false"/>
    </xf>
    <xf numFmtId="165" fontId="27" fillId="4" borderId="15" xfId="0" applyFont="true" applyBorder="true" applyAlignment="true" applyProtection="false">
      <alignment horizontal="center" vertical="center" textRotation="0" wrapText="true" indent="0" shrinkToFit="false"/>
      <protection locked="true" hidden="false"/>
    </xf>
    <xf numFmtId="165" fontId="35" fillId="11" borderId="15" xfId="0" applyFont="true" applyBorder="true" applyAlignment="true" applyProtection="false">
      <alignment horizontal="center" vertical="center" textRotation="0" wrapText="true" indent="0" shrinkToFit="false"/>
      <protection locked="true" hidden="false"/>
    </xf>
    <xf numFmtId="164" fontId="28" fillId="6" borderId="15" xfId="0" applyFont="true" applyBorder="true" applyAlignment="true" applyProtection="false">
      <alignment horizontal="center" vertical="center" textRotation="0" wrapText="false" indent="0" shrinkToFit="false"/>
      <protection locked="true" hidden="false"/>
    </xf>
    <xf numFmtId="165" fontId="27" fillId="6" borderId="15" xfId="0" applyFont="true" applyBorder="true" applyAlignment="true" applyProtection="false">
      <alignment horizontal="center" vertical="center" textRotation="0" wrapText="true" indent="0" shrinkToFit="false"/>
      <protection locked="true" hidden="false"/>
    </xf>
    <xf numFmtId="164" fontId="36" fillId="13" borderId="15" xfId="0" applyFont="true" applyBorder="true" applyAlignment="true" applyProtection="false">
      <alignment horizontal="center" vertical="center" textRotation="0" wrapText="false" indent="0" shrinkToFit="false"/>
      <protection locked="true" hidden="false"/>
    </xf>
    <xf numFmtId="165" fontId="37" fillId="13" borderId="15" xfId="0" applyFont="true" applyBorder="true" applyAlignment="true" applyProtection="false">
      <alignment horizontal="center" vertical="center" textRotation="0" wrapText="true" indent="0" shrinkToFit="false"/>
      <protection locked="true" hidden="false"/>
    </xf>
    <xf numFmtId="164" fontId="7" fillId="7" borderId="0" xfId="0" applyFont="true" applyBorder="true" applyAlignment="true" applyProtection="false">
      <alignment horizontal="left" vertical="center" textRotation="0" wrapText="false" indent="1" shrinkToFit="false"/>
      <protection locked="true" hidden="false"/>
    </xf>
    <xf numFmtId="164" fontId="38" fillId="7"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6" fontId="19" fillId="7" borderId="15" xfId="0" applyFont="true" applyBorder="true" applyAlignment="true" applyProtection="false">
      <alignment horizontal="center" vertical="center" textRotation="0" wrapText="true" indent="0" shrinkToFit="false"/>
      <protection locked="true" hidden="false"/>
    </xf>
    <xf numFmtId="170" fontId="19" fillId="7" borderId="15" xfId="0" applyFont="true" applyBorder="true" applyAlignment="true" applyProtection="false">
      <alignment horizontal="center" vertical="center" textRotation="0" wrapText="true" indent="0" shrinkToFit="false"/>
      <protection locked="true" hidden="false"/>
    </xf>
    <xf numFmtId="171" fontId="19" fillId="7" borderId="15" xfId="0" applyFont="true" applyBorder="true" applyAlignment="true" applyProtection="false">
      <alignment horizontal="center" vertical="center" textRotation="0" wrapText="true" indent="0" shrinkToFit="false"/>
      <protection locked="true" hidden="false"/>
    </xf>
    <xf numFmtId="165" fontId="19" fillId="7" borderId="15"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45" fillId="0" borderId="17" xfId="0" applyFont="true" applyBorder="true" applyAlignment="true" applyProtection="false">
      <alignment horizontal="general" vertical="top" textRotation="0" wrapText="true" indent="0" shrinkToFit="false"/>
      <protection locked="true" hidden="false"/>
    </xf>
    <xf numFmtId="164" fontId="14" fillId="0" borderId="17" xfId="0" applyFont="true" applyBorder="true" applyAlignment="true" applyProtection="false">
      <alignment horizontal="general" vertical="top" textRotation="0" wrapText="true" indent="0" shrinkToFit="false"/>
      <protection locked="true" hidden="false"/>
    </xf>
    <xf numFmtId="164" fontId="45" fillId="7" borderId="17" xfId="0" applyFont="true" applyBorder="true" applyAlignment="true" applyProtection="false">
      <alignment horizontal="general" vertical="top" textRotation="0" wrapText="true" indent="0" shrinkToFit="false"/>
      <protection locked="true" hidden="false"/>
    </xf>
    <xf numFmtId="164" fontId="45" fillId="14" borderId="17" xfId="0" applyFont="true" applyBorder="true" applyAlignment="true" applyProtection="false">
      <alignment horizontal="general" vertical="top" textRotation="0" wrapText="true" indent="0" shrinkToFit="false"/>
      <protection locked="true" hidden="false"/>
    </xf>
    <xf numFmtId="164" fontId="45" fillId="2" borderId="17" xfId="0" applyFont="true" applyBorder="true" applyAlignment="true" applyProtection="false">
      <alignment horizontal="general" vertical="top" textRotation="0" wrapText="true" indent="0" shrinkToFit="false"/>
      <protection locked="true" hidden="false"/>
    </xf>
    <xf numFmtId="164" fontId="45" fillId="8" borderId="17" xfId="0" applyFont="true" applyBorder="true" applyAlignment="true" applyProtection="false">
      <alignment horizontal="general" vertical="top" textRotation="0" wrapText="true" indent="0" shrinkToFit="false"/>
      <protection locked="true" hidden="false"/>
    </xf>
    <xf numFmtId="164" fontId="10" fillId="12" borderId="0" xfId="0" applyFont="true" applyBorder="true" applyAlignment="true" applyProtection="false">
      <alignment horizontal="general" vertical="center" textRotation="0" wrapText="false" indent="0" shrinkToFit="false"/>
      <protection locked="true" hidden="false"/>
    </xf>
    <xf numFmtId="164" fontId="46" fillId="0" borderId="0" xfId="0" applyFont="true" applyBorder="true" applyAlignment="true" applyProtection="false">
      <alignment horizontal="general" vertical="top" textRotation="0" wrapText="true" indent="0" shrinkToFit="false"/>
      <protection locked="true" hidden="false"/>
    </xf>
    <xf numFmtId="172" fontId="7" fillId="2" borderId="15" xfId="0" applyFont="true" applyBorder="true" applyAlignment="true" applyProtection="false">
      <alignment horizontal="center" vertical="center" textRotation="0" wrapText="false" indent="0" shrinkToFit="false"/>
      <protection locked="true" hidden="false"/>
    </xf>
    <xf numFmtId="164" fontId="7" fillId="2" borderId="15" xfId="0" applyFont="true" applyBorder="true" applyAlignment="true" applyProtection="false">
      <alignment horizontal="left" vertical="center" textRotation="0" wrapText="true" indent="0" shrinkToFit="false"/>
      <protection locked="true" hidden="false"/>
    </xf>
    <xf numFmtId="169" fontId="38" fillId="7" borderId="15" xfId="0" applyFont="true" applyBorder="true" applyAlignment="true" applyProtection="false">
      <alignment horizontal="center" vertical="center" textRotation="0" wrapText="false" indent="0" shrinkToFit="false"/>
      <protection locked="true" hidden="false"/>
    </xf>
    <xf numFmtId="164" fontId="38" fillId="7" borderId="15" xfId="0" applyFont="true" applyBorder="true" applyAlignment="true" applyProtection="false">
      <alignment horizontal="left" vertical="center" textRotation="0" wrapText="true" indent="0" shrinkToFit="false"/>
      <protection locked="true" hidden="false"/>
    </xf>
    <xf numFmtId="173" fontId="7" fillId="2" borderId="15" xfId="0" applyFont="true" applyBorder="true" applyAlignment="true" applyProtection="false">
      <alignment horizontal="left" vertical="center" textRotation="0" wrapText="true" indent="0" shrinkToFit="false"/>
      <protection locked="true" hidden="false"/>
    </xf>
    <xf numFmtId="165" fontId="38" fillId="7" borderId="15"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3" fontId="38" fillId="7" borderId="15" xfId="0" applyFont="true" applyBorder="true" applyAlignment="true" applyProtection="false">
      <alignment horizontal="left" vertical="center" textRotation="0" wrapText="true" indent="0" shrinkToFit="false"/>
      <protection locked="true" hidden="false"/>
    </xf>
    <xf numFmtId="164" fontId="7" fillId="0" borderId="15" xfId="0" applyFont="true" applyBorder="true" applyAlignment="true" applyProtection="false">
      <alignment horizontal="left" vertical="center" textRotation="0" wrapText="true" indent="0" shrinkToFit="false"/>
      <protection locked="true" hidden="false"/>
    </xf>
    <xf numFmtId="173" fontId="7" fillId="0" borderId="15" xfId="0" applyFont="true" applyBorder="true" applyAlignment="true" applyProtection="false">
      <alignment horizontal="left" vertical="center" textRotation="0" wrapText="true" indent="0" shrinkToFit="false"/>
      <protection locked="true" hidden="false"/>
    </xf>
    <xf numFmtId="172" fontId="7" fillId="2" borderId="0" xfId="0" applyFont="true" applyBorder="fals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9" fontId="0" fillId="0" borderId="0" xfId="0" applyFont="false" applyBorder="false" applyAlignment="true" applyProtection="false">
      <alignment horizontal="center" vertical="top" textRotation="0" wrapText="true" indent="0" shrinkToFit="false"/>
      <protection locked="true" hidden="false"/>
    </xf>
    <xf numFmtId="164" fontId="38" fillId="7" borderId="0" xfId="0" applyFont="true" applyBorder="false" applyAlignment="true" applyProtection="false">
      <alignment horizontal="center" vertical="top" textRotation="0" wrapText="tru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top" textRotation="0" wrapText="true" indent="0" shrinkToFit="false"/>
      <protection locked="true" hidden="false"/>
    </xf>
    <xf numFmtId="173" fontId="38" fillId="7"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top" textRotation="0" wrapText="true" indent="0" shrinkToFit="false"/>
      <protection locked="true" hidden="false"/>
    </xf>
    <xf numFmtId="164" fontId="7" fillId="2" borderId="15" xfId="0" applyFont="true" applyBorder="true" applyAlignment="true" applyProtection="false">
      <alignment horizontal="center" vertical="center" textRotation="0" wrapText="false" indent="0" shrinkToFit="false"/>
      <protection locked="true" hidden="false"/>
    </xf>
    <xf numFmtId="164" fontId="38" fillId="7" borderId="15" xfId="0" applyFont="true" applyBorder="true" applyAlignment="true" applyProtection="false">
      <alignment horizontal="center" vertical="center" textRotation="0" wrapText="false" indent="0" shrinkToFit="false"/>
      <protection locked="true" hidden="false"/>
    </xf>
    <xf numFmtId="165" fontId="7" fillId="2" borderId="15" xfId="0" applyFont="true" applyBorder="true" applyAlignment="true" applyProtection="false">
      <alignment horizontal="center" vertical="center" textRotation="0" wrapText="false" indent="0" shrinkToFit="false"/>
      <protection locked="true" hidden="false"/>
    </xf>
    <xf numFmtId="165" fontId="7" fillId="0" borderId="15"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25" fillId="12" borderId="15" xfId="0" applyFont="true" applyBorder="true" applyAlignment="true" applyProtection="false">
      <alignment horizontal="left" vertical="center" textRotation="0" wrapText="true" indent="0" shrinkToFit="false"/>
      <protection locked="true" hidden="false"/>
    </xf>
    <xf numFmtId="164" fontId="25" fillId="15" borderId="15" xfId="0" applyFont="true" applyBorder="true" applyAlignment="true" applyProtection="false">
      <alignment horizontal="left" vertical="center" textRotation="0" wrapText="true" indent="0" shrinkToFit="false"/>
      <protection locked="true" hidden="false"/>
    </xf>
    <xf numFmtId="164" fontId="25" fillId="16" borderId="15" xfId="0" applyFont="true" applyBorder="true" applyAlignment="true" applyProtection="false">
      <alignment horizontal="left" vertical="center" textRotation="0" wrapText="true" indent="0" shrinkToFit="false"/>
      <protection locked="true" hidden="false"/>
    </xf>
    <xf numFmtId="164" fontId="25" fillId="17" borderId="15" xfId="0" applyFont="true" applyBorder="true" applyAlignment="true" applyProtection="false">
      <alignment horizontal="left" vertical="center" textRotation="0" wrapText="true" indent="0" shrinkToFit="false"/>
      <protection locked="true" hidden="false"/>
    </xf>
    <xf numFmtId="164" fontId="25" fillId="18" borderId="15" xfId="0" applyFont="true" applyBorder="true" applyAlignment="true" applyProtection="false">
      <alignment horizontal="left" vertical="center" textRotation="0" wrapText="true" indent="0" shrinkToFit="false"/>
      <protection locked="true" hidden="false"/>
    </xf>
    <xf numFmtId="164" fontId="48" fillId="2" borderId="15" xfId="0" applyFont="true" applyBorder="true" applyAlignment="true" applyProtection="false">
      <alignment horizontal="center" vertical="center" textRotation="0" wrapText="false" indent="0" shrinkToFit="false"/>
      <protection locked="true" hidden="false"/>
    </xf>
    <xf numFmtId="164" fontId="48" fillId="2" borderId="15" xfId="0" applyFont="true" applyBorder="true" applyAlignment="true" applyProtection="false">
      <alignment horizontal="left" vertical="center" textRotation="0" wrapText="true" indent="0" shrinkToFit="false"/>
      <protection locked="true" hidden="false"/>
    </xf>
    <xf numFmtId="165" fontId="38" fillId="14" borderId="15" xfId="0" applyFont="true" applyBorder="true" applyAlignment="true" applyProtection="false">
      <alignment horizontal="center" vertical="center" textRotation="0" wrapText="false" indent="0" shrinkToFit="false"/>
      <protection locked="true" hidden="false"/>
    </xf>
    <xf numFmtId="166" fontId="48" fillId="2" borderId="15" xfId="0" applyFont="true" applyBorder="true" applyAlignment="true" applyProtection="false">
      <alignment horizontal="left" vertical="center" textRotation="0" wrapText="true" indent="0" shrinkToFit="false"/>
      <protection locked="true" hidden="false"/>
    </xf>
    <xf numFmtId="164" fontId="48" fillId="0" borderId="15" xfId="0" applyFont="true" applyBorder="true" applyAlignment="true" applyProtection="false">
      <alignment horizontal="left" vertical="center" textRotation="0" wrapText="true" indent="0" shrinkToFit="false"/>
      <protection locked="true" hidden="false"/>
    </xf>
    <xf numFmtId="166" fontId="48" fillId="0" borderId="15" xfId="0" applyFont="true" applyBorder="true" applyAlignment="true" applyProtection="false">
      <alignment horizontal="left" vertical="center" textRotation="0" wrapText="true" indent="0" shrinkToFit="false"/>
      <protection locked="true" hidden="false"/>
    </xf>
    <xf numFmtId="164" fontId="48" fillId="2" borderId="0" xfId="0" applyFont="true" applyBorder="false" applyAlignment="true" applyProtection="false">
      <alignment horizontal="center" vertical="top"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7" fillId="2" borderId="15" xfId="0" applyFont="true" applyBorder="true" applyAlignment="true" applyProtection="false">
      <alignment horizontal="left" vertical="center" textRotation="0" wrapText="false" indent="0" shrinkToFit="false"/>
      <protection locked="true" hidden="false"/>
    </xf>
    <xf numFmtId="165" fontId="7" fillId="2" borderId="15"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49" fillId="2" borderId="0" xfId="0" applyFont="true" applyBorder="false" applyAlignment="true" applyProtection="false">
      <alignment horizontal="general" vertical="bottom" textRotation="0" wrapText="false" indent="0" shrinkToFit="false"/>
      <protection locked="true" hidden="false"/>
    </xf>
    <xf numFmtId="170" fontId="38" fillId="7" borderId="15" xfId="0" applyFont="true" applyBorder="true" applyAlignment="true" applyProtection="false">
      <alignment horizontal="center" vertical="center" textRotation="0" wrapText="false" indent="0" shrinkToFit="false"/>
      <protection locked="true" hidden="false"/>
    </xf>
    <xf numFmtId="164" fontId="7" fillId="0" borderId="15" xfId="0" applyFont="true" applyBorder="true" applyAlignment="true" applyProtection="false">
      <alignment horizontal="left" vertical="center" textRotation="0" wrapText="false" indent="0" shrinkToFit="false"/>
      <protection locked="true" hidden="false"/>
    </xf>
    <xf numFmtId="165" fontId="7" fillId="0" borderId="15" xfId="0" applyFont="true" applyBorder="true" applyAlignment="true" applyProtection="false">
      <alignment horizontal="left" vertical="center"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6">
    <dxf>
      <font>
        <name val="Arial"/>
        <charset val="1"/>
        <family val="0"/>
        <b val="1"/>
        <color rgb="FFB91C1C"/>
        <sz val="20"/>
      </font>
    </dxf>
    <dxf>
      <fill>
        <patternFill patternType="solid">
          <fgColor rgb="FF1A1A2E"/>
          <bgColor rgb="FF000000"/>
        </patternFill>
      </fill>
    </dxf>
    <dxf>
      <fill>
        <patternFill patternType="solid">
          <fgColor rgb="FFF8F9FA"/>
          <bgColor rgb="FF000000"/>
        </patternFill>
      </fill>
    </dxf>
    <dxf>
      <fill>
        <patternFill patternType="solid">
          <fgColor rgb="FFFFFFFF"/>
          <bgColor rgb="FF000000"/>
        </patternFill>
      </fill>
    </dxf>
    <dxf>
      <fill>
        <patternFill patternType="solid">
          <bgColor rgb="FF000000"/>
        </patternFill>
      </fill>
    </dxf>
    <dxf>
      <fill>
        <patternFill patternType="solid">
          <fgColor rgb="FFD1E7DD"/>
          <bgColor rgb="FF000000"/>
        </patternFill>
      </fill>
    </dxf>
    <dxf>
      <fill>
        <patternFill patternType="solid">
          <fgColor rgb="FFF8D7DA"/>
          <bgColor rgb="FF000000"/>
        </patternFill>
      </fill>
    </dxf>
    <dxf>
      <fill>
        <patternFill patternType="solid">
          <fgColor rgb="FFFFE5D0"/>
          <bgColor rgb="FF000000"/>
        </patternFill>
      </fill>
    </dxf>
    <dxf>
      <fill>
        <patternFill patternType="solid">
          <fgColor rgb="FFFFF3CD"/>
          <bgColor rgb="FF000000"/>
        </patternFill>
      </fill>
    </dxf>
    <dxf>
      <fill>
        <patternFill patternType="solid">
          <fgColor rgb="FFEFF6FF"/>
          <bgColor rgb="FF000000"/>
        </patternFill>
      </fill>
    </dxf>
    <dxf>
      <fill>
        <patternFill patternType="solid">
          <fgColor rgb="FF000000"/>
          <bgColor rgb="FF000000"/>
        </patternFill>
      </fill>
    </dxf>
    <dxf>
      <fill>
        <patternFill patternType="solid">
          <fgColor rgb="FFDBEAFE"/>
          <bgColor rgb="FF000000"/>
        </patternFill>
      </fill>
    </dxf>
    <dxf>
      <fill>
        <patternFill patternType="solid">
          <fgColor rgb="FFF3F4F6"/>
          <bgColor rgb="FF000000"/>
        </patternFill>
      </fill>
    </dxf>
    <dxf>
      <fill>
        <patternFill patternType="solid">
          <fgColor rgb="FF1E40AF"/>
          <bgColor rgb="FF000000"/>
        </patternFill>
      </fill>
    </dxf>
    <dxf>
      <fill>
        <patternFill patternType="solid">
          <fgColor rgb="FF4B5563"/>
          <bgColor rgb="FF000000"/>
        </patternFill>
      </fill>
    </dxf>
    <dxf>
      <fill>
        <patternFill>
          <bgColor rgb="FFF8D7DA"/>
        </patternFill>
      </fill>
    </dxf>
    <dxf>
      <fill>
        <patternFill>
          <bgColor rgb="FFE9ECEF"/>
        </patternFill>
      </fill>
    </dxf>
    <dxf>
      <fill>
        <patternFill>
          <bgColor rgb="FFFFE5D0"/>
        </patternFill>
      </fill>
    </dxf>
    <dxf>
      <fill>
        <patternFill>
          <bgColor rgb="FFFFF3CD"/>
        </patternFill>
      </fill>
    </dxf>
    <dxf>
      <fill>
        <patternFill>
          <bgColor rgb="FFD1E7DD"/>
        </patternFill>
      </fill>
    </dxf>
    <dxf>
      <font>
        <name val="Arial"/>
        <charset val="1"/>
        <family val="0"/>
        <b val="1"/>
        <color rgb="FF991B1B"/>
        <sz val="10"/>
      </font>
      <fill>
        <patternFill>
          <bgColor rgb="FFFEE2E2"/>
        </patternFill>
      </fill>
    </dxf>
    <dxf>
      <font>
        <name val="Arial"/>
        <charset val="1"/>
        <family val="0"/>
        <b val="1"/>
        <color rgb="FF9A3412"/>
        <sz val="10"/>
      </font>
      <fill>
        <patternFill>
          <bgColor rgb="FFFED7AA"/>
        </patternFill>
      </fill>
    </dxf>
    <dxf>
      <font>
        <name val="Arial"/>
        <charset val="1"/>
        <family val="0"/>
        <b val="1"/>
        <color rgb="FF713F12"/>
        <sz val="10"/>
      </font>
      <fill>
        <patternFill>
          <bgColor rgb="FFFEF3C7"/>
        </patternFill>
      </fill>
    </dxf>
    <dxf>
      <font>
        <name val="Arial"/>
        <charset val="1"/>
        <family val="0"/>
        <b val="1"/>
        <color rgb="FF166534"/>
        <sz val="10"/>
      </font>
      <fill>
        <patternFill>
          <bgColor rgb="FFDCFCE7"/>
        </patternFill>
      </fill>
    </dxf>
    <dxf>
      <font>
        <name val="Arial"/>
        <charset val="1"/>
        <family val="0"/>
        <b val="1"/>
        <color rgb="FF1E40AF"/>
        <sz val="10"/>
      </font>
      <fill>
        <patternFill>
          <bgColor rgb="FFDBEAFE"/>
        </patternFill>
      </fill>
    </dxf>
    <dxf>
      <font>
        <name val="Arial"/>
        <charset val="1"/>
        <family val="0"/>
        <b val="1"/>
        <color rgb="FF4B5563"/>
        <sz val="10"/>
      </font>
      <fill>
        <patternFill>
          <bgColor rgb="FFF3F4F6"/>
        </patternFill>
      </fill>
    </dxf>
    <dxf>
      <font>
        <name val="Arial"/>
        <charset val="1"/>
        <family val="0"/>
        <b val="1"/>
        <color rgb="FF6B7280"/>
        <sz val="10"/>
      </font>
      <fill>
        <patternFill>
          <bgColor rgb="FFE5E7EB"/>
        </patternFill>
      </fill>
    </dxf>
    <dxf>
      <font>
        <b val="1"/>
        <color rgb="FF991B1B"/>
      </font>
      <fill>
        <patternFill>
          <bgColor rgb="FFFEE2E2"/>
        </patternFill>
      </fill>
    </dxf>
    <dxf>
      <fill>
        <patternFill patternType="solid">
          <fgColor rgb="FFC1EB9B"/>
          <bgColor rgb="FF000000"/>
        </patternFill>
      </fill>
    </dxf>
    <dxf>
      <fill>
        <patternFill patternType="solid">
          <fgColor rgb="FFFCA5A5"/>
          <bgColor rgb="FF000000"/>
        </patternFill>
      </fill>
    </dxf>
    <dxf>
      <fill>
        <patternFill patternType="solid">
          <fgColor rgb="FFFDC697"/>
          <bgColor rgb="FF000000"/>
        </patternFill>
      </fill>
    </dxf>
    <dxf>
      <fill>
        <patternFill patternType="solid">
          <fgColor rgb="FFFDE68A"/>
          <bgColor rgb="FF000000"/>
        </patternFill>
      </fill>
    </dxf>
    <dxf>
      <fill>
        <patternFill patternType="solid">
          <fgColor rgb="FFCDEA98"/>
          <bgColor rgb="FF000000"/>
        </patternFill>
      </fill>
    </dxf>
    <dxf>
      <fill>
        <patternFill patternType="solid">
          <fgColor rgb="FFFDDA8F"/>
          <bgColor rgb="FF000000"/>
        </patternFill>
      </fill>
    </dxf>
    <dxf>
      <fill>
        <patternFill patternType="solid">
          <fgColor rgb="FFFDE08C"/>
          <bgColor rgb="FF000000"/>
        </patternFill>
      </fill>
    </dxf>
    <dxf>
      <fill>
        <patternFill patternType="solid">
          <fgColor rgb="FFFFFBEB"/>
          <bgColor rgb="FF000000"/>
        </patternFill>
      </fill>
    </dxf>
    <dxf>
      <fill>
        <patternFill patternType="solid">
          <fgColor rgb="FF166534"/>
          <bgColor rgb="FF000000"/>
        </patternFill>
      </fill>
    </dxf>
    <dxf>
      <fill>
        <patternFill patternType="solid">
          <fgColor rgb="FF86EFAC"/>
          <bgColor rgb="FF000000"/>
        </patternFill>
      </fill>
    </dxf>
    <dxf>
      <fill>
        <patternFill patternType="solid">
          <fgColor rgb="FFAAECA1"/>
          <bgColor rgb="FF000000"/>
        </patternFill>
      </fill>
    </dxf>
    <dxf>
      <fill>
        <patternFill patternType="solid">
          <fgColor rgb="FFC2EA9B"/>
          <bgColor rgb="FF000000"/>
        </patternFill>
      </fill>
    </dxf>
    <dxf>
      <fill>
        <patternFill patternType="solid">
          <fgColor rgb="FFCEE997"/>
          <bgColor rgb="FF000000"/>
        </patternFill>
      </fill>
    </dxf>
    <dxf>
      <fill>
        <patternFill patternType="solid">
          <fgColor rgb="FFE6E790"/>
          <bgColor rgb="FF000000"/>
        </patternFill>
      </fill>
    </dxf>
    <dxf>
      <fill>
        <patternFill patternType="solid">
          <fgColor rgb="FFFCABA3"/>
          <bgColor rgb="FF000000"/>
        </patternFill>
      </fill>
    </dxf>
    <dxf>
      <fill>
        <patternFill patternType="solid">
          <fgColor rgb="FFFCCC95"/>
          <bgColor rgb="FF000000"/>
        </patternFill>
      </fill>
    </dxf>
    <dxf>
      <fill>
        <patternFill patternType="solid">
          <fgColor rgb="FF991B1B"/>
          <bgColor rgb="FF000000"/>
        </patternFill>
      </fill>
    </dxf>
    <dxf>
      <fill>
        <patternFill patternType="solid">
          <fgColor rgb="FF713F12"/>
          <bgColor rgb="FF000000"/>
        </patternFill>
      </fill>
    </dxf>
    <dxf>
      <fill>
        <patternFill patternType="solid">
          <fgColor rgb="FF9A3412"/>
          <bgColor rgb="FF000000"/>
        </patternFill>
      </fill>
    </dxf>
    <dxf>
      <fill>
        <patternFill patternType="solid">
          <fgColor rgb="FFD0EA97"/>
          <bgColor rgb="FF000000"/>
        </patternFill>
      </fill>
    </dxf>
    <dxf>
      <fill>
        <patternFill patternType="solid">
          <fgColor rgb="FFEEE88F"/>
          <bgColor rgb="FF000000"/>
        </patternFill>
      </fill>
    </dxf>
    <dxf>
      <fill>
        <patternFill patternType="solid">
          <fgColor rgb="FFFDB69E"/>
          <bgColor rgb="FF000000"/>
        </patternFill>
      </fill>
    </dxf>
    <dxf>
      <fill>
        <patternFill patternType="solid">
          <fgColor rgb="FFFDCE94"/>
          <bgColor rgb="FF000000"/>
        </patternFill>
      </fill>
    </dxf>
    <dxf>
      <fill>
        <patternFill patternType="solid">
          <fgColor rgb="FFFDD690"/>
          <bgColor rgb="FF000000"/>
        </patternFill>
      </fill>
    </dxf>
    <dxf>
      <fill>
        <patternFill patternType="solid">
          <fgColor rgb="FFFCD293"/>
          <bgColor rgb="FF000000"/>
        </patternFill>
      </fill>
    </dxf>
    <dxf>
      <fill>
        <patternFill patternType="solid">
          <fgColor rgb="FFFCD990"/>
          <bgColor rgb="FF000000"/>
        </patternFill>
      </fill>
    </dxf>
    <dxf>
      <fill>
        <patternFill patternType="solid">
          <fgColor rgb="FFFCBB9C"/>
          <bgColor rgb="FF000000"/>
        </patternFill>
      </fill>
    </dxf>
    <dxf>
      <fill>
        <patternFill patternType="solid">
          <fgColor rgb="FFFCBE9B"/>
          <bgColor rgb="FF000000"/>
        </patternFill>
      </fill>
    </dxf>
    <dxf>
      <fill>
        <patternFill patternType="solid">
          <fgColor rgb="FFFCC19A"/>
          <bgColor rgb="FF000000"/>
        </patternFill>
      </fill>
    </dxf>
    <dxf>
      <fill>
        <patternFill patternType="solid">
          <fgColor rgb="FFFCC697"/>
          <bgColor rgb="FF000000"/>
        </patternFill>
      </fill>
    </dxf>
    <dxf>
      <fill>
        <patternFill patternType="solid">
          <fgColor rgb="FFFCCA96"/>
          <bgColor rgb="FF000000"/>
        </patternFill>
      </fill>
    </dxf>
    <dxf>
      <fill>
        <patternFill patternType="solid">
          <fgColor rgb="FFFCCF94"/>
          <bgColor rgb="FF000000"/>
        </patternFill>
      </fill>
    </dxf>
    <dxf>
      <fill>
        <patternFill patternType="solid">
          <fgColor rgb="FFFEF2F2"/>
          <bgColor rgb="FF000000"/>
        </patternFill>
      </fill>
    </dxf>
    <dxf>
      <fill>
        <patternFill patternType="solid">
          <fgColor rgb="FFFFF7ED"/>
          <bgColor rgb="FF000000"/>
        </patternFill>
      </fill>
    </dxf>
    <dxf>
      <font>
        <name val="Arial"/>
        <charset val="1"/>
        <family val="0"/>
        <b val="1"/>
        <color rgb="FF166534"/>
        <sz val="10"/>
      </font>
      <fill>
        <patternFill>
          <bgColor rgb="FFF0FDF4"/>
        </patternFill>
      </fill>
    </dxf>
    <dxf>
      <font>
        <name val="Arial"/>
        <charset val="1"/>
        <family val="0"/>
        <b val="1"/>
        <color rgb="FF9A3412"/>
        <sz val="10"/>
      </font>
      <fill>
        <patternFill>
          <bgColor rgb="FFFFF7ED"/>
        </patternFill>
      </fill>
    </dxf>
    <dxf>
      <font>
        <name val="Arial"/>
        <charset val="1"/>
        <family val="0"/>
        <b val="1"/>
        <color rgb="FF1E40AF"/>
        <sz val="10"/>
      </font>
      <fill>
        <patternFill>
          <bgColor rgb="FFEFF6FF"/>
        </patternFill>
      </fill>
    </dxf>
    <dxf>
      <font>
        <name val="Arial"/>
        <charset val="1"/>
        <family val="0"/>
        <b val="1"/>
        <color rgb="FF991B1B"/>
        <sz val="10"/>
      </font>
      <fill>
        <patternFill>
          <bgColor rgb="FFFEF2F2"/>
        </patternFill>
      </fill>
    </dxf>
  </dxfs>
  <colors>
    <indexedColors>
      <rgbColor rgb="FF000000"/>
      <rgbColor rgb="FFFFFFFF"/>
      <rgbColor rgb="FFDC2626"/>
      <rgbColor rgb="FF00FF00"/>
      <rgbColor rgb="FF0000FF"/>
      <rgbColor rgb="FFFFFBEB"/>
      <rgbColor rgb="FFFF00FF"/>
      <rgbColor rgb="FFF8F9FA"/>
      <rgbColor rgb="FF991B1B"/>
      <rgbColor rgb="FF166534"/>
      <rgbColor rgb="FF000080"/>
      <rgbColor rgb="FFFFF7ED"/>
      <rgbColor rgb="FF800080"/>
      <rgbColor rgb="FF4B5563"/>
      <rgbColor rgb="FFB3B3B3"/>
      <rgbColor rgb="FF4F81BD"/>
      <rgbColor rgb="FFE9ECEF"/>
      <rgbColor rgb="FF92400E"/>
      <rgbColor rgb="FFFFF3CD"/>
      <rgbColor rgb="FFDCFCE7"/>
      <rgbColor rgb="FF660066"/>
      <rgbColor rgb="FFFEF2F2"/>
      <rgbColor rgb="FF0066CC"/>
      <rgbColor rgb="FFCBD5E1"/>
      <rgbColor rgb="FF000080"/>
      <rgbColor rgb="FFFF00FF"/>
      <rgbColor rgb="FFFEE2E2"/>
      <rgbColor rgb="FF00FFFF"/>
      <rgbColor rgb="FF800080"/>
      <rgbColor rgb="FF713F12"/>
      <rgbColor rgb="FF008080"/>
      <rgbColor rgb="FF0000FF"/>
      <rgbColor rgb="FF00CCFF"/>
      <rgbColor rgb="FFDBEAFE"/>
      <rgbColor rgb="FFD1E7DD"/>
      <rgbColor rgb="FFFEF3C7"/>
      <rgbColor rgb="FFD1D5DB"/>
      <rgbColor rgb="FFF8D7DA"/>
      <rgbColor rgb="FFE5E7EB"/>
      <rgbColor rgb="FFFED7AA"/>
      <rgbColor rgb="FF2563EB"/>
      <rgbColor rgb="FFEFF6FF"/>
      <rgbColor rgb="FFF0FDF4"/>
      <rgbColor rgb="FFFFE5D0"/>
      <rgbColor rgb="FFD97706"/>
      <rgbColor rgb="FFEA580C"/>
      <rgbColor rgb="FF6B7280"/>
      <rgbColor rgb="FFF3F4F6"/>
      <rgbColor rgb="FF374151"/>
      <rgbColor rgb="FF16A34A"/>
      <rgbColor rgb="FF003300"/>
      <rgbColor rgb="FF1A1A2E"/>
      <rgbColor rgb="FF9A3412"/>
      <rgbColor rgb="FFB91C1C"/>
      <rgbColor rgb="FF1E40AF"/>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a1a2e"/>
                </a:solidFill>
                <a:latin typeface="Arial"/>
                <a:ea typeface="Calibri"/>
              </a:defRPr>
            </a:pPr>
            <a:r>
              <a:rPr b="1" sz="1100" spc="-1" strike="noStrike">
                <a:solidFill>
                  <a:srgbClr val="1a1a2e"/>
                </a:solidFill>
                <a:latin typeface="Arial"/>
                <a:ea typeface="Calibri"/>
              </a:rPr>
              <a:t>Portfolio mix by TIME classification</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16a34a"/>
              </a:solidFill>
              <a:ln w="19080">
                <a:solidFill>
                  <a:srgbClr val="ffffff"/>
                </a:solidFill>
                <a:round/>
              </a:ln>
            </c:spPr>
          </c:dPt>
          <c:dPt>
            <c:idx val="1"/>
            <c:spPr>
              <a:solidFill>
                <a:srgbClr val="2563eb"/>
              </a:solidFill>
              <a:ln w="19080">
                <a:solidFill>
                  <a:srgbClr val="ffffff"/>
                </a:solidFill>
                <a:round/>
              </a:ln>
            </c:spPr>
          </c:dPt>
          <c:dPt>
            <c:idx val="2"/>
            <c:spPr>
              <a:solidFill>
                <a:srgbClr val="ea580c"/>
              </a:solidFill>
              <a:ln w="19080">
                <a:solidFill>
                  <a:srgbClr val="ffffff"/>
                </a:solidFill>
                <a:round/>
              </a:ln>
            </c:spPr>
          </c:dPt>
          <c:dPt>
            <c:idx val="3"/>
            <c:spPr>
              <a:solidFill>
                <a:srgbClr val="dc2626"/>
              </a:solidFill>
              <a:ln w="19080">
                <a:solidFill>
                  <a:srgbClr val="ffffff"/>
                </a:solidFill>
                <a:round/>
              </a:ln>
            </c:spPr>
          </c:dPt>
          <c:dLbls>
            <c:dLbl>
              <c:idx val="0"/>
              <c:txPr>
                <a:bodyPr wrap="square"/>
                <a:lstStyle/>
                <a:p>
                  <a:pPr>
                    <a:defRPr b="1" sz="1100" spc="-1" strike="noStrike">
                      <a:solidFill>
                        <a:srgbClr val="1f2937"/>
                      </a:solidFill>
                      <a:latin typeface="Arial"/>
                    </a:defRPr>
                  </a:pPr>
                </a:p>
              </c:txPr>
              <c:showLegendKey val="0"/>
              <c:showVal val="1"/>
              <c:showCatName val="0"/>
              <c:showSerName val="0"/>
              <c:showPercent val="0"/>
              <c:separator>; </c:separator>
            </c:dLbl>
            <c:dLbl>
              <c:idx val="1"/>
              <c:txPr>
                <a:bodyPr wrap="square"/>
                <a:lstStyle/>
                <a:p>
                  <a:pPr>
                    <a:defRPr b="1" sz="1100" spc="-1" strike="noStrike">
                      <a:solidFill>
                        <a:srgbClr val="1f2937"/>
                      </a:solidFill>
                      <a:latin typeface="Arial"/>
                    </a:defRPr>
                  </a:pPr>
                </a:p>
              </c:txPr>
              <c:showLegendKey val="0"/>
              <c:showVal val="1"/>
              <c:showCatName val="0"/>
              <c:showSerName val="0"/>
              <c:showPercent val="0"/>
              <c:separator>; </c:separator>
            </c:dLbl>
            <c:dLbl>
              <c:idx val="2"/>
              <c:txPr>
                <a:bodyPr wrap="square"/>
                <a:lstStyle/>
                <a:p>
                  <a:pPr>
                    <a:defRPr b="1" sz="1100" spc="-1" strike="noStrike">
                      <a:solidFill>
                        <a:srgbClr val="1f2937"/>
                      </a:solidFill>
                      <a:latin typeface="Arial"/>
                    </a:defRPr>
                  </a:pPr>
                </a:p>
              </c:txPr>
              <c:showLegendKey val="0"/>
              <c:showVal val="1"/>
              <c:showCatName val="0"/>
              <c:showSerName val="0"/>
              <c:showPercent val="0"/>
              <c:separator>; </c:separator>
            </c:dLbl>
            <c:dLbl>
              <c:idx val="3"/>
              <c:txPr>
                <a:bodyPr wrap="square"/>
                <a:lstStyle/>
                <a:p>
                  <a:pPr>
                    <a:defRPr b="1" sz="1100" spc="-1" strike="noStrike">
                      <a:solidFill>
                        <a:srgbClr val="1f2937"/>
                      </a:solidFill>
                      <a:latin typeface="Arial"/>
                    </a:defRPr>
                  </a:pPr>
                </a:p>
              </c:txPr>
              <c:showLegendKey val="0"/>
              <c:showVal val="1"/>
              <c:showCatName val="0"/>
              <c:showSerName val="0"/>
              <c:showPercent val="0"/>
              <c:separator>; </c:separator>
            </c:dLbl>
            <c:txPr>
              <a:bodyPr wrap="square"/>
              <a:lstStyle/>
              <a:p>
                <a:pPr>
                  <a:defRPr b="1" sz="1100" spc="-1" strike="noStrike">
                    <a:solidFill>
                      <a:srgbClr val="1f2937"/>
                    </a:solidFill>
                    <a:latin typeface="Arial"/>
                    <a:ea typeface="Calibri"/>
                  </a:defRPr>
                </a:pPr>
              </a:p>
            </c:txPr>
            <c:showLegendKey val="0"/>
            <c:showVal val="1"/>
            <c:showCatName val="0"/>
            <c:showSerName val="0"/>
            <c:showPercent val="0"/>
            <c:separator>; </c:separator>
            <c:showLeaderLines val="1"/>
          </c:dLbls>
          <c:cat>
            <c:strRef>
              <c:f>Dashboard!$A$65:$A$68</c:f>
              <c:strCache>
                <c:ptCount val="4"/>
                <c:pt idx="0">
                  <c:v>Invest</c:v>
                </c:pt>
                <c:pt idx="1">
                  <c:v>Tolerate</c:v>
                </c:pt>
                <c:pt idx="2">
                  <c:v>Migrate</c:v>
                </c:pt>
                <c:pt idx="3">
                  <c:v>Eliminate</c:v>
                </c:pt>
              </c:strCache>
            </c:strRef>
          </c:cat>
          <c:val>
            <c:numRef>
              <c:f>Dashboard!$B$65:$B$68</c:f>
              <c:numCache>
                <c:formatCode>0</c:formatCode>
                <c:ptCount val="4"/>
                <c:pt idx="0">
                  <c:v>2</c:v>
                </c:pt>
                <c:pt idx="1">
                  <c:v>1</c:v>
                </c:pt>
                <c:pt idx="2">
                  <c:v>3</c:v>
                </c:pt>
                <c:pt idx="3">
                  <c:v>1</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1f2937"/>
              </a:solidFill>
              <a:latin typeface="Arial"/>
              <a:ea typeface="Calibri"/>
            </a:defRPr>
          </a:pPr>
        </a:p>
      </c:txPr>
    </c:legend>
    <c:plotVisOnly val="1"/>
    <c:dispBlanksAs val="gap"/>
  </c:chart>
  <c:spPr>
    <a:solidFill>
      <a:srgbClr val="ffffff"/>
    </a:solidFill>
    <a:ln w="9360">
      <a:solidFill>
        <a:srgbClr val="e5e7eb"/>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a1a2e"/>
                </a:solidFill>
                <a:latin typeface="Arial"/>
                <a:ea typeface="Calibri"/>
              </a:defRPr>
            </a:pPr>
            <a:r>
              <a:rPr b="1" sz="1100" spc="-1" strike="noStrike">
                <a:solidFill>
                  <a:srgbClr val="1a1a2e"/>
                </a:solidFill>
                <a:latin typeface="Arial"/>
                <a:ea typeface="Calibri"/>
              </a:rPr>
              <a:t>Active debt by severity</a:t>
            </a:r>
          </a:p>
        </c:rich>
      </c:tx>
      <c:overlay val="0"/>
      <c:spPr>
        <a:noFill/>
        <a:ln w="0">
          <a:noFill/>
        </a:ln>
      </c:spPr>
    </c:title>
    <c:autoTitleDeleted val="0"/>
    <c:plotArea>
      <c:barChart>
        <c:barDir val="bar"/>
        <c:grouping val="clustered"/>
        <c:varyColors val="0"/>
        <c:ser>
          <c:idx val="0"/>
          <c:order val="0"/>
          <c:spPr>
            <a:solidFill>
              <a:srgbClr val="dc2626"/>
            </a:solidFill>
            <a:ln w="0">
              <a:noFill/>
            </a:ln>
          </c:spPr>
          <c:invertIfNegative val="0"/>
          <c:dPt>
            <c:idx val="0"/>
            <c:invertIfNegative val="0"/>
            <c:spPr>
              <a:solidFill>
                <a:srgbClr val="dc2626"/>
              </a:solidFill>
              <a:ln w="0">
                <a:noFill/>
              </a:ln>
            </c:spPr>
          </c:dPt>
          <c:dPt>
            <c:idx val="1"/>
            <c:invertIfNegative val="0"/>
            <c:spPr>
              <a:solidFill>
                <a:srgbClr val="ea580c"/>
              </a:solidFill>
              <a:ln w="0">
                <a:noFill/>
              </a:ln>
            </c:spPr>
          </c:dPt>
          <c:dPt>
            <c:idx val="2"/>
            <c:invertIfNegative val="0"/>
            <c:spPr>
              <a:solidFill>
                <a:srgbClr val="d97706"/>
              </a:solidFill>
              <a:ln w="0">
                <a:noFill/>
              </a:ln>
            </c:spPr>
          </c:dPt>
          <c:dPt>
            <c:idx val="3"/>
            <c:invertIfNegative val="0"/>
            <c:spPr>
              <a:solidFill>
                <a:srgbClr val="16a34a"/>
              </a:solidFill>
              <a:ln w="0">
                <a:noFill/>
              </a:ln>
            </c:spPr>
          </c:dPt>
          <c:dLbls>
            <c:dLbl>
              <c:idx val="0"/>
              <c:txPr>
                <a:bodyPr wrap="square"/>
                <a:lstStyle/>
                <a:p>
                  <a:pPr>
                    <a:defRPr b="1" sz="1000" spc="-1" strike="noStrike">
                      <a:solidFill>
                        <a:srgbClr val="1f2937"/>
                      </a:solidFill>
                      <a:latin typeface="Arial"/>
                    </a:defRPr>
                  </a:pPr>
                </a:p>
              </c:txPr>
              <c:dLblPos val="outEnd"/>
              <c:showLegendKey val="0"/>
              <c:showVal val="1"/>
              <c:showCatName val="0"/>
              <c:showSerName val="0"/>
              <c:showPercent val="0"/>
              <c:separator>; </c:separator>
            </c:dLbl>
            <c:dLbl>
              <c:idx val="1"/>
              <c:txPr>
                <a:bodyPr wrap="square"/>
                <a:lstStyle/>
                <a:p>
                  <a:pPr>
                    <a:defRPr b="1" sz="1000" spc="-1" strike="noStrike">
                      <a:solidFill>
                        <a:srgbClr val="1f2937"/>
                      </a:solidFill>
                      <a:latin typeface="Arial"/>
                    </a:defRPr>
                  </a:pPr>
                </a:p>
              </c:txPr>
              <c:dLblPos val="outEnd"/>
              <c:showLegendKey val="0"/>
              <c:showVal val="1"/>
              <c:showCatName val="0"/>
              <c:showSerName val="0"/>
              <c:showPercent val="0"/>
              <c:separator>; </c:separator>
            </c:dLbl>
            <c:dLbl>
              <c:idx val="2"/>
              <c:txPr>
                <a:bodyPr wrap="square"/>
                <a:lstStyle/>
                <a:p>
                  <a:pPr>
                    <a:defRPr b="1" sz="1000" spc="-1" strike="noStrike">
                      <a:solidFill>
                        <a:srgbClr val="1f2937"/>
                      </a:solidFill>
                      <a:latin typeface="Arial"/>
                    </a:defRPr>
                  </a:pPr>
                </a:p>
              </c:txPr>
              <c:dLblPos val="outEnd"/>
              <c:showLegendKey val="0"/>
              <c:showVal val="1"/>
              <c:showCatName val="0"/>
              <c:showSerName val="0"/>
              <c:showPercent val="0"/>
              <c:separator>; </c:separator>
            </c:dLbl>
            <c:dLbl>
              <c:idx val="3"/>
              <c:txPr>
                <a:bodyPr wrap="square"/>
                <a:lstStyle/>
                <a:p>
                  <a:pPr>
                    <a:defRPr b="1" sz="1000" spc="-1" strike="noStrike">
                      <a:solidFill>
                        <a:srgbClr val="1f2937"/>
                      </a:solidFill>
                      <a:latin typeface="Arial"/>
                    </a:defRPr>
                  </a:pPr>
                </a:p>
              </c:txPr>
              <c:dLblPos val="outEnd"/>
              <c:showLegendKey val="0"/>
              <c:showVal val="1"/>
              <c:showCatName val="0"/>
              <c:showSerName val="0"/>
              <c:showPercent val="0"/>
              <c:separator>; </c:separator>
            </c:dLbl>
            <c:txPr>
              <a:bodyPr wrap="square"/>
              <a:lstStyle/>
              <a:p>
                <a:pPr>
                  <a:defRPr b="1" sz="1000" spc="-1" strike="noStrike">
                    <a:solidFill>
                      <a:srgbClr val="1f2937"/>
                    </a:solidFill>
                    <a:latin typeface="Arial"/>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Dashboard!$E$43:$E$46</c:f>
              <c:strCache>
                <c:ptCount val="4"/>
                <c:pt idx="0">
                  <c:v>Critical</c:v>
                </c:pt>
                <c:pt idx="1">
                  <c:v>High</c:v>
                </c:pt>
                <c:pt idx="2">
                  <c:v>Medium</c:v>
                </c:pt>
                <c:pt idx="3">
                  <c:v>Low</c:v>
                </c:pt>
              </c:strCache>
            </c:strRef>
          </c:cat>
          <c:val>
            <c:numRef>
              <c:f>Dashboard!$F$43:$F$46</c:f>
              <c:numCache>
                <c:formatCode>General</c:formatCode>
                <c:ptCount val="4"/>
                <c:pt idx="0">
                  <c:v>1</c:v>
                </c:pt>
                <c:pt idx="1">
                  <c:v>3</c:v>
                </c:pt>
                <c:pt idx="2">
                  <c:v>2</c:v>
                </c:pt>
                <c:pt idx="3">
                  <c:v>1</c:v>
                </c:pt>
              </c:numCache>
            </c:numRef>
          </c:val>
        </c:ser>
        <c:gapWidth val="55"/>
        <c:overlap val="0"/>
        <c:axId val="27219761"/>
        <c:axId val="90933629"/>
      </c:barChart>
      <c:catAx>
        <c:axId val="27219761"/>
        <c:scaling>
          <c:orientation val="maxMin"/>
        </c:scaling>
        <c:delete val="0"/>
        <c:axPos val="b"/>
        <c:numFmt formatCode="General" sourceLinked="1"/>
        <c:majorTickMark val="none"/>
        <c:minorTickMark val="none"/>
        <c:tickLblPos val="nextTo"/>
        <c:spPr>
          <a:ln w="9360">
            <a:solidFill>
              <a:srgbClr val="d1d5db"/>
            </a:solidFill>
            <a:round/>
          </a:ln>
        </c:spPr>
        <c:txPr>
          <a:bodyPr/>
          <a:lstStyle/>
          <a:p>
            <a:pPr>
              <a:defRPr b="0" sz="1000" spc="-1" strike="noStrike">
                <a:solidFill>
                  <a:srgbClr val="1f2937"/>
                </a:solidFill>
                <a:latin typeface="Arial"/>
                <a:ea typeface="Calibri"/>
              </a:defRPr>
            </a:pPr>
          </a:p>
        </c:txPr>
        <c:crossAx val="90933629"/>
        <c:crosses val="autoZero"/>
        <c:auto val="1"/>
        <c:lblAlgn val="ctr"/>
        <c:lblOffset val="100"/>
        <c:noMultiLvlLbl val="0"/>
      </c:catAx>
      <c:valAx>
        <c:axId val="90933629"/>
        <c:scaling>
          <c:orientation val="minMax"/>
          <c:min val="0"/>
        </c:scaling>
        <c:delete val="1"/>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27219761"/>
        <c:crossBetween val="between"/>
      </c:valAx>
      <c:spPr>
        <a:noFill/>
        <a:ln w="0">
          <a:noFill/>
        </a:ln>
      </c:spPr>
    </c:plotArea>
    <c:plotVisOnly val="1"/>
    <c:dispBlanksAs val="gap"/>
  </c:chart>
  <c:spPr>
    <a:solidFill>
      <a:srgbClr val="ffffff"/>
    </a:solidFill>
    <a:ln w="9360">
      <a:solidFill>
        <a:srgbClr val="e5e7eb"/>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0</xdr:rowOff>
    </xdr:from>
    <xdr:to>
      <xdr:col>1</xdr:col>
      <xdr:colOff>1500120</xdr:colOff>
      <xdr:row>32</xdr:row>
      <xdr:rowOff>190080</xdr:rowOff>
    </xdr:to>
    <xdr:graphicFrame>
      <xdr:nvGraphicFramePr>
        <xdr:cNvPr id="0" name="Chart 1"/>
        <xdr:cNvGraphicFramePr/>
      </xdr:nvGraphicFramePr>
      <xdr:xfrm>
        <a:off x="0" y="5438880"/>
        <a:ext cx="4319640" cy="2666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19</xdr:row>
      <xdr:rowOff>0</xdr:rowOff>
    </xdr:from>
    <xdr:to>
      <xdr:col>7</xdr:col>
      <xdr:colOff>174600</xdr:colOff>
      <xdr:row>32</xdr:row>
      <xdr:rowOff>190080</xdr:rowOff>
    </xdr:to>
    <xdr:graphicFrame>
      <xdr:nvGraphicFramePr>
        <xdr:cNvPr id="1" name="Chart 2"/>
        <xdr:cNvGraphicFramePr/>
      </xdr:nvGraphicFramePr>
      <xdr:xfrm>
        <a:off x="5074920" y="5438880"/>
        <a:ext cx="4967640" cy="2666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APMTable" displayName="APMTable" ref="A1:AI1000" headerRowCount="1" totalsRowCount="0" totalsRowShown="0">
  <autoFilter ref="A1:AI1000"/>
  <tableColumns count="35">
    <tableColumn id="1" name="App ID"/>
    <tableColumn id="2" name="Application Name"/>
    <tableColumn id="3" name="Description"/>
    <tableColumn id="4" name="Product/Service (Capability)"/>
    <tableColumn id="5" name="Business Owner"/>
    <tableColumn id="6" name="IT Owner"/>
    <tableColumn id="7" name="Vendor"/>
    <tableColumn id="8" name="Hosting Model"/>
    <tableColumn id="9" name="Strategic Alignment (1-5)"/>
    <tableColumn id="10" name="Clinical / Business Criticality (1-5)"/>
    <tableColumn id="11" name="User Reach &amp; Dependency (1-5)"/>
    <tableColumn id="12" name="Differentiation (1-5)"/>
    <tableColumn id="13" name="Regulatory Necessity (1-5)"/>
    <tableColumn id="14" name="Business Value (BV)"/>
    <tableColumn id="15" name="Risk Score (R)"/>
    <tableColumn id="16" name="Annual Run Cost (1-5)"/>
    <tableColumn id="17" name="Cost Trend (1-5)"/>
    <tableColumn id="18" name="Cost Transparency (1-5)"/>
    <tableColumn id="19" name="Modernization Cost (1-5)"/>
    <tableColumn id="20" name="Cost Score (C)"/>
    <tableColumn id="21" name="Technology Currency (1-5)"/>
    <tableColumn id="22" name="Architecture Quality (1-5)"/>
    <tableColumn id="23" name="Integration Complexity (1-5)"/>
    <tableColumn id="24" name="Data Architecture Fit (1-5)"/>
    <tableColumn id="25" name="Technical Debt (1-5)"/>
    <tableColumn id="26" name="Technical Health (TH)"/>
    <tableColumn id="27" name="Composite Portfolio Score (CPS)"/>
    <tableColumn id="28" name="TIME Classification"/>
    <tableColumn id="29" name="Clinical Criticality Flag"/>
    <tableColumn id="30" name="Compliance Exposure Flag"/>
    <tableColumn id="31" name="Quadrant (Value vs Risk)"/>
    <tableColumn id="32" name="Notes"/>
    <tableColumn id="33" name="Total Annual Cost ($)"/>
    <tableColumn id="34" name="Open Debt Items"/>
    <tableColumn id="35" name="Open Debt Score"/>
  </tableColumns>
</table>
</file>

<file path=xl/tables/table2.xml><?xml version="1.0" encoding="utf-8"?>
<table xmlns="http://schemas.openxmlformats.org/spreadsheetml/2006/main" id="2" name="DebtTable" displayName="DebtTable" ref="A1:AH1000" headerRowCount="1" totalsRowCount="0" totalsRowShown="0">
  <autoFilter ref="A1:AH1000"/>
  <tableColumns count="34">
    <tableColumn id="1" name="Debt ID"/>
    <tableColumn id="2" name="Title"/>
    <tableColumn id="3" name="Description"/>
    <tableColumn id="4" name="Product/Service"/>
    <tableColumn id="5" name="Component/Module"/>
    <tableColumn id="6" name="Debt Type"/>
    <tableColumn id="7" name="Impact Area"/>
    <tableColumn id="8" name="Severity"/>
    <tableColumn id="9" name="Impact"/>
    <tableColumn id="10" name="Confidence"/>
    <tableColumn id="11" name="Effort"/>
    <tableColumn id="12" name="Debt Score"/>
    <tableColumn id="13" name="Priority"/>
    <tableColumn id="14" name="Status"/>
    <tableColumn id="15" name="Owner"/>
    <tableColumn id="16" name="Team"/>
    <tableColumn id="17" name="Date Identified"/>
    <tableColumn id="18" name="Age (days)"/>
    <tableColumn id="19" name="Target Window"/>
    <tableColumn id="20" name="Due Date"/>
    <tableColumn id="21" name="Last Updated"/>
    <tableColumn id="22" name="Dependencies/Related Work"/>
    <tableColumn id="23" name="Link (Jira/Confluence/LeanIX)"/>
    <tableColumn id="24" name="Notes"/>
    <tableColumn id="25" name="Direct Remediation Cost ($)"/>
    <tableColumn id="26" name="Annual Carry Cost ($)"/>
    <tableColumn id="27" name="Contingent Risk Cost ($)"/>
    <tableColumn id="28" name="Cost Confidence"/>
    <tableColumn id="29" name="Priority Override"/>
    <tableColumn id="30" name="Effective Due Date"/>
    <tableColumn id="31" name="Overdue"/>
    <tableColumn id="32" name="App ID"/>
    <tableColumn id="33" name="Application Name"/>
    <tableColumn id="34" name="App TIME Classification"/>
  </tableColumns>
</table>
</file>

<file path=xl/tables/table3.xml><?xml version="1.0" encoding="utf-8"?>
<table xmlns="http://schemas.openxmlformats.org/spreadsheetml/2006/main" id="3" name="RiskTable" displayName="RiskTable" ref="A1:L1000" headerRowCount="1" totalsRowCount="0" totalsRowShown="0">
  <autoFilter ref="A1:L1000"/>
  <tableColumns count="12">
    <tableColumn id="1" name="Risk ID"/>
    <tableColumn id="2" name="App ID"/>
    <tableColumn id="3" name="Application Name"/>
    <tableColumn id="4" name="Cybersecurity Risk (1-5)"/>
    <tableColumn id="5" name="Compliance Risk (1-5)"/>
    <tableColumn id="6" name="Operational Resilience (1-5)"/>
    <tableColumn id="7" name="Vendor Risk (1-5)"/>
    <tableColumn id="8" name="Knowledge Concentration (1-5)"/>
    <tableColumn id="9" name="Risk Score (R)"/>
    <tableColumn id="10" name="Owner"/>
    <tableColumn id="11" name="Last Updated"/>
    <tableColumn id="12" name="Notes"/>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Relationship Id="rId3"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1A2E"/>
    <pageSetUpPr fitToPage="false"/>
  </sheetPr>
  <dimension ref="A1:H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4" min="3" style="1" width="4"/>
    <col collapsed="false" customWidth="true" hidden="false" outlineLevel="0" max="5" min="5" style="1" width="40"/>
    <col collapsed="false" customWidth="true" hidden="false" outlineLevel="0" max="6" min="6" style="1" width="24"/>
    <col collapsed="false" customWidth="true" hidden="false" outlineLevel="0" max="8" min="7" style="1" width="4"/>
  </cols>
  <sheetData>
    <row r="1" customFormat="false" ht="31.5" hidden="false" customHeight="true" outlineLevel="0" collapsed="false">
      <c r="A1" s="2" t="s">
        <v>0</v>
      </c>
      <c r="B1" s="2"/>
      <c r="C1" s="2"/>
      <c r="D1" s="2"/>
      <c r="E1" s="2"/>
      <c r="F1" s="2"/>
      <c r="G1" s="2"/>
      <c r="H1" s="2"/>
    </row>
    <row r="2" customFormat="false" ht="19.5" hidden="false" customHeight="true" outlineLevel="0" collapsed="false">
      <c r="A2" s="3" t="s">
        <v>1</v>
      </c>
      <c r="B2" s="3"/>
      <c r="C2" s="3"/>
      <c r="D2" s="3"/>
      <c r="E2" s="3"/>
      <c r="F2" s="3"/>
      <c r="G2" s="3"/>
      <c r="H2" s="3"/>
    </row>
    <row r="3" customFormat="false" ht="27.75" hidden="false" customHeight="true" outlineLevel="0" collapsed="false">
      <c r="A3" s="4" t="s">
        <v>2</v>
      </c>
      <c r="B3" s="4"/>
      <c r="C3" s="4"/>
      <c r="D3" s="4"/>
      <c r="E3" s="4"/>
      <c r="F3" s="4"/>
      <c r="G3" s="4"/>
      <c r="H3" s="4"/>
    </row>
    <row r="4" customFormat="false" ht="15" hidden="false" customHeight="true" outlineLevel="0" collapsed="false">
      <c r="A4" s="5"/>
      <c r="B4" s="5"/>
      <c r="C4" s="5"/>
      <c r="D4" s="5"/>
      <c r="E4" s="5"/>
      <c r="F4" s="5"/>
      <c r="G4" s="5"/>
      <c r="H4" s="5"/>
    </row>
    <row r="5" customFormat="false" ht="18" hidden="false" customHeight="true" outlineLevel="0" collapsed="false">
      <c r="A5" s="6" t="s">
        <v>3</v>
      </c>
      <c r="B5" s="6" t="s">
        <v>4</v>
      </c>
      <c r="C5" s="6"/>
      <c r="D5" s="6"/>
      <c r="E5" s="6" t="s">
        <v>5</v>
      </c>
      <c r="F5" s="6" t="s">
        <v>6</v>
      </c>
      <c r="G5" s="6"/>
      <c r="H5" s="6"/>
    </row>
    <row r="6" customFormat="false" ht="36" hidden="false" customHeight="true" outlineLevel="0" collapsed="false">
      <c r="A6" s="7" t="n">
        <f aca="false">B37</f>
        <v>7</v>
      </c>
      <c r="B6" s="7" t="n">
        <f aca="false">B38</f>
        <v>6</v>
      </c>
      <c r="C6" s="7"/>
      <c r="D6" s="7"/>
      <c r="E6" s="7" t="n">
        <f aca="false">F36</f>
        <v>1</v>
      </c>
      <c r="F6" s="8" t="n">
        <f aca="false">B53</f>
        <v>0</v>
      </c>
      <c r="G6" s="8"/>
      <c r="H6" s="8"/>
    </row>
    <row r="7" customFormat="false" ht="7.5" hidden="false" customHeight="true" outlineLevel="0" collapsed="false"/>
    <row r="8" customFormat="false" ht="18" hidden="false" customHeight="true" outlineLevel="0" collapsed="false">
      <c r="A8" s="9" t="s">
        <v>7</v>
      </c>
      <c r="B8" s="9" t="s">
        <v>8</v>
      </c>
      <c r="C8" s="9"/>
      <c r="D8" s="9"/>
      <c r="E8" s="9" t="s">
        <v>9</v>
      </c>
      <c r="F8" s="9" t="s">
        <v>10</v>
      </c>
      <c r="G8" s="9"/>
      <c r="H8" s="9"/>
    </row>
    <row r="9" customFormat="false" ht="36" hidden="false" customHeight="true" outlineLevel="0" collapsed="false">
      <c r="A9" s="10" t="n">
        <f aca="false">B57</f>
        <v>7</v>
      </c>
      <c r="B9" s="10" t="n">
        <f aca="false">F58</f>
        <v>2</v>
      </c>
      <c r="C9" s="10"/>
      <c r="D9" s="10"/>
      <c r="E9" s="10" t="n">
        <f aca="false">B61</f>
        <v>1</v>
      </c>
      <c r="F9" s="11" t="n">
        <f aca="false">B76</f>
        <v>0</v>
      </c>
      <c r="G9" s="11"/>
      <c r="H9" s="11"/>
    </row>
    <row r="10" customFormat="false" ht="13.5" hidden="false" customHeight="true" outlineLevel="0" collapsed="false"/>
    <row r="11" customFormat="false" ht="24" hidden="false" customHeight="true" outlineLevel="0" collapsed="false">
      <c r="A11" s="12" t="s">
        <v>11</v>
      </c>
      <c r="B11" s="12"/>
      <c r="C11" s="12"/>
      <c r="D11" s="12"/>
      <c r="E11" s="12"/>
      <c r="F11" s="12"/>
      <c r="G11" s="12"/>
      <c r="H11" s="12"/>
    </row>
    <row r="12" customFormat="false" ht="21.75" hidden="false" customHeight="true" outlineLevel="0" collapsed="false">
      <c r="A12" s="13" t="str">
        <f aca="false">"MIGRATE   "&amp;COUNTIFS('Application Portfolio'!$B$2:$B$1000,"&lt;&gt;",'Application Portfolio'!$AB$2:$AB$1000,"Migrate")&amp;IF(COUNTIFS('Application Portfolio'!$B$2:$B$1000,"&lt;&gt;",'Application Portfolio'!$AB$2:$AB$1000,"Migrate")=1," app"," apps")</f>
        <v>MIGRATE   3 apps</v>
      </c>
      <c r="B12" s="13"/>
      <c r="E12" s="14" t="str">
        <f aca="false">"INVEST   "&amp;COUNTIFS('Application Portfolio'!$B$2:$B$1000,"&lt;&gt;",'Application Portfolio'!$AB$2:$AB$1000,"Invest")&amp;IF(COUNTIFS('Application Portfolio'!$B$2:$B$1000,"&lt;&gt;",'Application Portfolio'!$AB$2:$AB$1000,"Invest")=1," app"," apps")</f>
        <v>INVEST   2 apps</v>
      </c>
      <c r="F12" s="14"/>
      <c r="G12" s="14"/>
      <c r="H12" s="14"/>
    </row>
    <row r="13" customFormat="false" ht="15.75" hidden="false" customHeight="true" outlineLevel="0" collapsed="false">
      <c r="A13" s="15" t="s">
        <v>12</v>
      </c>
      <c r="B13" s="15"/>
      <c r="E13" s="16" t="s">
        <v>13</v>
      </c>
      <c r="F13" s="16"/>
      <c r="G13" s="16"/>
      <c r="H13" s="16"/>
    </row>
    <row r="14" customFormat="false" ht="43.5" hidden="false" customHeight="true" outlineLevel="0" collapsed="false">
      <c r="A14" s="17" t="str">
        <f aca="false" t="array" ref="A14:A14">IF(COUNTIFS('Application Portfolio'!$B$2:$B$1000,"&lt;&gt;",'Application Portfolio'!$AB$2:$AB$1000,"Migrate")=0,"None",_xlfn.TEXTJOIN(",  ",TRUE(),IF(('Application Portfolio'!$AB$2:$AB$1000="Migrate")*('Application Portfolio'!$B$2:$B$1000&lt;&gt;""),'Application Portfolio'!$B$2:$B$1000,"")))</f>
        <v>Customer Portal,  Payment Processor,  Financial Reconciliation</v>
      </c>
      <c r="B14" s="17"/>
      <c r="E14" s="18" t="str">
        <f aca="false" t="array" ref="E14:E14">IF(COUNTIFS('Application Portfolio'!$B$2:$B$1000,"&lt;&gt;",'Application Portfolio'!$AB$2:$AB$1000,"Invest")=0,"None",_xlfn.TEXTJOIN(",  ",TRUE(),IF(('Application Portfolio'!$AB$2:$AB$1000="Invest")*('Application Portfolio'!$B$2:$B$1000&lt;&gt;""),'Application Portfolio'!$B$2:$B$1000,"")))</f>
        <v>Order Management System,  Partner API Gateway</v>
      </c>
      <c r="F14" s="18"/>
      <c r="G14" s="18"/>
      <c r="H14" s="18"/>
    </row>
    <row r="15" customFormat="false" ht="6" hidden="false" customHeight="true" outlineLevel="0" collapsed="false"/>
    <row r="16" customFormat="false" ht="21.75" hidden="false" customHeight="true" outlineLevel="0" collapsed="false">
      <c r="A16" s="19" t="str">
        <f aca="false">"ELIMINATE   "&amp;COUNTIFS('Application Portfolio'!$B$2:$B$1000,"&lt;&gt;",'Application Portfolio'!$AB$2:$AB$1000,"Eliminate")&amp;IF(COUNTIFS('Application Portfolio'!$B$2:$B$1000,"&lt;&gt;",'Application Portfolio'!$AB$2:$AB$1000,"Eliminate")=1," app"," apps")</f>
        <v>ELIMINATE   1 app</v>
      </c>
      <c r="B16" s="19"/>
      <c r="E16" s="20" t="str">
        <f aca="false">"TOLERATE   "&amp;COUNTIFS('Application Portfolio'!$B$2:$B$1000,"&lt;&gt;",'Application Portfolio'!$AB$2:$AB$1000,"Tolerate")&amp;IF(COUNTIFS('Application Portfolio'!$B$2:$B$1000,"&lt;&gt;",'Application Portfolio'!$AB$2:$AB$1000,"Tolerate")=1," app"," apps")</f>
        <v>TOLERATE   1 app</v>
      </c>
      <c r="F16" s="20"/>
      <c r="G16" s="20"/>
      <c r="H16" s="20"/>
    </row>
    <row r="17" customFormat="false" ht="15.75" hidden="false" customHeight="true" outlineLevel="0" collapsed="false">
      <c r="A17" s="21" t="s">
        <v>14</v>
      </c>
      <c r="B17" s="21"/>
      <c r="E17" s="22" t="s">
        <v>15</v>
      </c>
      <c r="F17" s="22"/>
      <c r="G17" s="22"/>
      <c r="H17" s="22"/>
    </row>
    <row r="18" customFormat="false" ht="43.5" hidden="false" customHeight="true" outlineLevel="0" collapsed="false">
      <c r="A18" s="23" t="str">
        <f aca="false" t="array" ref="A18:A18">IF(COUNTIFS('Application Portfolio'!$B$2:$B$1000,"&lt;&gt;",'Application Portfolio'!$AB$2:$AB$1000,"Eliminate")=0,"None",_xlfn.TEXTJOIN(",  ",TRUE(),IF(('Application Portfolio'!$AB$2:$AB$1000="Eliminate")*('Application Portfolio'!$B$2:$B$1000&lt;&gt;""),'Application Portfolio'!$B$2:$B$1000,"")))</f>
        <v>Legacy CRM</v>
      </c>
      <c r="B18" s="23"/>
      <c r="E18" s="24" t="str">
        <f aca="false" t="array" ref="E18:E18">IF(COUNTIFS('Application Portfolio'!$B$2:$B$1000,"&lt;&gt;",'Application Portfolio'!$AB$2:$AB$1000,"Tolerate")=0,"None",_xlfn.TEXTJOIN(",  ",TRUE(),IF(('Application Portfolio'!$AB$2:$AB$1000="Tolerate")*('Application Portfolio'!$B$2:$B$1000&lt;&gt;""),'Application Portfolio'!$B$2:$B$1000,"")))</f>
        <v>Marketing Analytics</v>
      </c>
      <c r="F18" s="24"/>
      <c r="G18" s="24"/>
      <c r="H18" s="24"/>
    </row>
    <row r="19" customFormat="false" ht="13.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3.5" hidden="false" customHeight="true" outlineLevel="0" collapsed="false"/>
    <row r="35" customFormat="false" ht="24" hidden="false" customHeight="true" outlineLevel="0" collapsed="false">
      <c r="A35" s="25" t="s">
        <v>16</v>
      </c>
      <c r="B35" s="25"/>
      <c r="C35" s="5"/>
      <c r="D35" s="5"/>
      <c r="E35" s="25" t="s">
        <v>17</v>
      </c>
      <c r="F35" s="25"/>
      <c r="G35" s="5"/>
      <c r="H35" s="5"/>
    </row>
    <row r="36" customFormat="false" ht="21.75" hidden="false" customHeight="true" outlineLevel="0" collapsed="false">
      <c r="A36" s="26" t="s">
        <v>18</v>
      </c>
      <c r="B36" s="27" t="n">
        <f aca="false">COUNTA('Debt Backlog'!B2:B1000)</f>
        <v>7</v>
      </c>
      <c r="C36" s="5"/>
      <c r="D36" s="5"/>
      <c r="E36" s="26" t="s">
        <v>19</v>
      </c>
      <c r="F36" s="28" t="n">
        <f aca="false">COUNTIFS('Debt Backlog'!B2:B1000,"&lt;&gt;",'Debt Backlog'!H2:H1000,"Critical",'Debt Backlog'!N2:N1000,"&lt;&gt;Done",'Debt Backlog'!N2:N1000,"&lt;&gt;Won't Fix",'Debt Backlog'!N2:N1000,"&lt;&gt;Duplicate")</f>
        <v>1</v>
      </c>
      <c r="G36" s="5"/>
      <c r="H36" s="5"/>
    </row>
    <row r="37" customFormat="false" ht="21.75" hidden="false" customHeight="true" outlineLevel="0" collapsed="false">
      <c r="A37" s="26" t="s">
        <v>20</v>
      </c>
      <c r="B37" s="27" t="n">
        <f aca="false">COUNTIFS('Debt Backlog'!B2:B1000,"&lt;&gt;",'Debt Backlog'!N2:N1000,"&lt;&gt;Done",'Debt Backlog'!N2:N1000,"&lt;&gt;Won't Fix",'Debt Backlog'!N2:N1000,"&lt;&gt;Duplicate")</f>
        <v>7</v>
      </c>
      <c r="C37" s="5"/>
      <c r="D37" s="5"/>
      <c r="E37" s="26" t="s">
        <v>21</v>
      </c>
      <c r="F37" s="29" t="n">
        <f aca="false">COUNTIFS('Debt Backlog'!B2:B1000,"&lt;&gt;",'Debt Backlog'!H2:H1000,"High",'Debt Backlog'!N2:N1000,"&lt;&gt;Done",'Debt Backlog'!N2:N1000,"&lt;&gt;Won't Fix",'Debt Backlog'!N2:N1000,"&lt;&gt;Duplicate")</f>
        <v>3</v>
      </c>
      <c r="G37" s="5"/>
      <c r="H37" s="5"/>
    </row>
    <row r="38" customFormat="false" ht="21.75" hidden="false" customHeight="true" outlineLevel="0" collapsed="false">
      <c r="A38" s="26" t="s">
        <v>22</v>
      </c>
      <c r="B38" s="27" t="n">
        <f aca="false">COUNTIF('Debt Backlog'!AE2:AE1000,"Yes")</f>
        <v>6</v>
      </c>
      <c r="C38" s="5"/>
      <c r="D38" s="5"/>
      <c r="E38" s="26" t="s">
        <v>23</v>
      </c>
      <c r="F38" s="30" t="n">
        <f aca="false">COUNTIFS('Debt Backlog'!B2:B1000,"&lt;&gt;",'Debt Backlog'!H2:H1000,"Medium",'Debt Backlog'!N2:N1000,"&lt;&gt;Done",'Debt Backlog'!N2:N1000,"&lt;&gt;Won't Fix",'Debt Backlog'!N2:N1000,"&lt;&gt;Duplicate")</f>
        <v>2</v>
      </c>
      <c r="G38" s="5"/>
      <c r="H38" s="5"/>
    </row>
    <row r="39" customFormat="false" ht="21.75" hidden="false" customHeight="true" outlineLevel="0" collapsed="false">
      <c r="A39" s="26" t="s">
        <v>24</v>
      </c>
      <c r="B39" s="27" t="n">
        <f aca="false">COUNTIFS('Debt Backlog'!B2:B1000,"&lt;&gt;",'Debt Backlog'!N2:N1000,"Done")</f>
        <v>0</v>
      </c>
      <c r="C39" s="5"/>
      <c r="D39" s="5"/>
      <c r="E39" s="26" t="s">
        <v>25</v>
      </c>
      <c r="F39" s="31" t="n">
        <f aca="false">COUNTIFS('Debt Backlog'!B2:B1000,"&lt;&gt;",'Debt Backlog'!H2:H1000,"Low",'Debt Backlog'!N2:N1000,"&lt;&gt;Done",'Debt Backlog'!N2:N1000,"&lt;&gt;Won't Fix",'Debt Backlog'!N2:N1000,"&lt;&gt;Duplicate")</f>
        <v>1</v>
      </c>
      <c r="G39" s="5"/>
      <c r="H39" s="5"/>
    </row>
    <row r="40" customFormat="false" ht="15" hidden="false" customHeight="true" outlineLevel="0" collapsed="false">
      <c r="A40" s="5"/>
      <c r="B40" s="5"/>
      <c r="C40" s="5"/>
      <c r="D40" s="5"/>
      <c r="E40" s="5"/>
      <c r="F40" s="5"/>
      <c r="G40" s="5"/>
      <c r="H40" s="5"/>
    </row>
    <row r="41" customFormat="false" ht="21.75" hidden="false" customHeight="true" outlineLevel="0" collapsed="false">
      <c r="A41" s="32" t="s">
        <v>26</v>
      </c>
      <c r="B41" s="32"/>
      <c r="C41" s="5"/>
      <c r="D41" s="5"/>
      <c r="E41" s="32" t="s">
        <v>27</v>
      </c>
      <c r="F41" s="32"/>
      <c r="G41" s="5"/>
      <c r="H41" s="5"/>
    </row>
    <row r="42" customFormat="false" ht="15" hidden="false" customHeight="true" outlineLevel="0" collapsed="false">
      <c r="A42" s="33" t="s">
        <v>28</v>
      </c>
      <c r="B42" s="33" t="s">
        <v>29</v>
      </c>
      <c r="C42" s="5"/>
      <c r="D42" s="5"/>
      <c r="E42" s="33" t="s">
        <v>30</v>
      </c>
      <c r="F42" s="33" t="s">
        <v>29</v>
      </c>
      <c r="G42" s="5"/>
      <c r="H42" s="5"/>
    </row>
    <row r="43" customFormat="false" ht="19.5" hidden="false" customHeight="true" outlineLevel="0" collapsed="false">
      <c r="A43" s="34" t="s">
        <v>31</v>
      </c>
      <c r="B43" s="35" t="n">
        <f aca="false">COUNTIFS('Debt Backlog'!B$2:B$1000,"&lt;&gt;",'Debt Backlog'!N$2:N$1000,A43)</f>
        <v>2</v>
      </c>
      <c r="C43" s="5"/>
      <c r="D43" s="5"/>
      <c r="E43" s="36" t="s">
        <v>32</v>
      </c>
      <c r="F43" s="37" t="n">
        <f aca="false">COUNTIFS('Debt Backlog'!B$2:B$1000,"&lt;&gt;",'Debt Backlog'!H$2:H$1000,E43,'Debt Backlog'!N$2:N$1000,"&lt;&gt;Done",'Debt Backlog'!N$2:N$1000,"&lt;&gt;Won't Fix",'Debt Backlog'!N$2:N$1000,"&lt;&gt;Duplicate")</f>
        <v>1</v>
      </c>
      <c r="G43" s="5"/>
      <c r="H43" s="5"/>
    </row>
    <row r="44" customFormat="false" ht="19.5" hidden="false" customHeight="true" outlineLevel="0" collapsed="false">
      <c r="A44" s="38" t="s">
        <v>33</v>
      </c>
      <c r="B44" s="39" t="n">
        <f aca="false">COUNTIFS('Debt Backlog'!B$2:B$1000,"&lt;&gt;",'Debt Backlog'!N$2:N$1000,A44)</f>
        <v>1</v>
      </c>
      <c r="C44" s="5"/>
      <c r="D44" s="5"/>
      <c r="E44" s="40" t="s">
        <v>34</v>
      </c>
      <c r="F44" s="41" t="n">
        <f aca="false">COUNTIFS('Debt Backlog'!B$2:B$1000,"&lt;&gt;",'Debt Backlog'!H$2:H$1000,E44,'Debt Backlog'!N$2:N$1000,"&lt;&gt;Done",'Debt Backlog'!N$2:N$1000,"&lt;&gt;Won't Fix",'Debt Backlog'!N$2:N$1000,"&lt;&gt;Duplicate")</f>
        <v>3</v>
      </c>
      <c r="G44" s="5"/>
      <c r="H44" s="5"/>
    </row>
    <row r="45" customFormat="false" ht="19.5" hidden="false" customHeight="true" outlineLevel="0" collapsed="false">
      <c r="A45" s="34" t="s">
        <v>35</v>
      </c>
      <c r="B45" s="35" t="n">
        <f aca="false">COUNTIFS('Debt Backlog'!B$2:B$1000,"&lt;&gt;",'Debt Backlog'!N$2:N$1000,A45)</f>
        <v>2</v>
      </c>
      <c r="C45" s="5"/>
      <c r="D45" s="5"/>
      <c r="E45" s="42" t="s">
        <v>36</v>
      </c>
      <c r="F45" s="43" t="n">
        <f aca="false">COUNTIFS('Debt Backlog'!B$2:B$1000,"&lt;&gt;",'Debt Backlog'!H$2:H$1000,E45,'Debt Backlog'!N$2:N$1000,"&lt;&gt;Done",'Debt Backlog'!N$2:N$1000,"&lt;&gt;Won't Fix",'Debt Backlog'!N$2:N$1000,"&lt;&gt;Duplicate")</f>
        <v>2</v>
      </c>
      <c r="G45" s="5"/>
      <c r="H45" s="5"/>
    </row>
    <row r="46" customFormat="false" ht="19.5" hidden="false" customHeight="true" outlineLevel="0" collapsed="false">
      <c r="A46" s="38" t="s">
        <v>37</v>
      </c>
      <c r="B46" s="39" t="n">
        <f aca="false">COUNTIFS('Debt Backlog'!B$2:B$1000,"&lt;&gt;",'Debt Backlog'!N$2:N$1000,A46)</f>
        <v>2</v>
      </c>
      <c r="C46" s="5"/>
      <c r="D46" s="5"/>
      <c r="E46" s="44" t="s">
        <v>38</v>
      </c>
      <c r="F46" s="45" t="n">
        <f aca="false">COUNTIFS('Debt Backlog'!B$2:B$1000,"&lt;&gt;",'Debt Backlog'!H$2:H$1000,E46,'Debt Backlog'!N$2:N$1000,"&lt;&gt;Done",'Debt Backlog'!N$2:N$1000,"&lt;&gt;Won't Fix",'Debt Backlog'!N$2:N$1000,"&lt;&gt;Duplicate")</f>
        <v>1</v>
      </c>
      <c r="G46" s="5"/>
      <c r="H46" s="5"/>
    </row>
    <row r="47" customFormat="false" ht="19.5" hidden="false" customHeight="true" outlineLevel="0" collapsed="false">
      <c r="A47" s="34" t="s">
        <v>39</v>
      </c>
      <c r="B47" s="35" t="n">
        <f aca="false">COUNTIFS('Debt Backlog'!B$2:B$1000,"&lt;&gt;",'Debt Backlog'!N$2:N$1000,A47)</f>
        <v>0</v>
      </c>
      <c r="C47" s="5"/>
      <c r="D47" s="5"/>
      <c r="E47" s="5"/>
      <c r="F47" s="5"/>
      <c r="G47" s="5"/>
      <c r="H47" s="5"/>
    </row>
    <row r="48" customFormat="false" ht="19.5" hidden="false" customHeight="true" outlineLevel="0" collapsed="false">
      <c r="A48" s="38" t="s">
        <v>40</v>
      </c>
      <c r="B48" s="39" t="n">
        <f aca="false">COUNTIFS('Debt Backlog'!B$2:B$1000,"&lt;&gt;",'Debt Backlog'!N$2:N$1000,A48)</f>
        <v>0</v>
      </c>
      <c r="C48" s="5"/>
      <c r="D48" s="5"/>
      <c r="E48" s="5"/>
      <c r="F48" s="5"/>
      <c r="G48" s="5"/>
      <c r="H48" s="5"/>
    </row>
    <row r="49" customFormat="false" ht="19.5" hidden="false" customHeight="true" outlineLevel="0" collapsed="false">
      <c r="A49" s="34" t="s">
        <v>41</v>
      </c>
      <c r="B49" s="35" t="n">
        <f aca="false">COUNTIFS('Debt Backlog'!B$2:B$1000,"&lt;&gt;",'Debt Backlog'!N$2:N$1000,A49)</f>
        <v>0</v>
      </c>
      <c r="C49" s="5"/>
      <c r="D49" s="5"/>
      <c r="E49" s="5"/>
      <c r="F49" s="5"/>
      <c r="G49" s="5"/>
      <c r="H49" s="5"/>
    </row>
    <row r="50" customFormat="false" ht="19.5" hidden="false" customHeight="true" outlineLevel="0" collapsed="false">
      <c r="A50" s="38" t="s">
        <v>42</v>
      </c>
      <c r="B50" s="39" t="n">
        <f aca="false">COUNTIFS('Debt Backlog'!B$2:B$1000,"&lt;&gt;",'Debt Backlog'!N$2:N$1000,A50)</f>
        <v>0</v>
      </c>
      <c r="C50" s="5"/>
      <c r="D50" s="5"/>
      <c r="E50" s="5"/>
      <c r="F50" s="5"/>
      <c r="G50" s="5"/>
      <c r="H50" s="5"/>
    </row>
    <row r="51" customFormat="false" ht="15" hidden="false" customHeight="true" outlineLevel="0" collapsed="false">
      <c r="A51" s="5"/>
      <c r="B51" s="5"/>
      <c r="C51" s="5"/>
      <c r="D51" s="5"/>
      <c r="E51" s="5"/>
      <c r="F51" s="5"/>
      <c r="G51" s="5"/>
      <c r="H51" s="5"/>
    </row>
    <row r="52" customFormat="false" ht="21.75" hidden="false" customHeight="true" outlineLevel="0" collapsed="false">
      <c r="A52" s="25" t="s">
        <v>43</v>
      </c>
      <c r="B52" s="25"/>
      <c r="E52" s="25" t="s">
        <v>44</v>
      </c>
      <c r="F52" s="25"/>
    </row>
    <row r="53" customFormat="false" ht="21.75" hidden="false" customHeight="true" outlineLevel="0" collapsed="false">
      <c r="A53" s="46" t="s">
        <v>45</v>
      </c>
      <c r="B53" s="47" t="n">
        <f aca="false">SUMIFS('Debt Backlog'!Y2:Y1000,'Debt Backlog'!B2:B1000,"&lt;&gt;",'Debt Backlog'!N2:N1000,"&lt;&gt;Done",'Debt Backlog'!N2:N1000,"&lt;&gt;Won't Fix",'Debt Backlog'!N2:N1000,"&lt;&gt;Duplicate")</f>
        <v>0</v>
      </c>
      <c r="E53" s="48" t="s">
        <v>46</v>
      </c>
      <c r="F53" s="47" t="n">
        <f aca="false">SUMIFS('Debt Backlog'!Y2:Y1000,'Debt Backlog'!B2:B1000,"&lt;&gt;",'Debt Backlog'!AB2:AB1000,"High",'Debt Backlog'!N2:N1000,"&lt;&gt;Done",'Debt Backlog'!N2:N1000,"&lt;&gt;Won't Fix",'Debt Backlog'!N2:N1000,"&lt;&gt;Duplicate")</f>
        <v>0</v>
      </c>
    </row>
    <row r="54" customFormat="false" ht="21.75" hidden="false" customHeight="true" outlineLevel="0" collapsed="false">
      <c r="A54" s="48" t="s">
        <v>47</v>
      </c>
      <c r="B54" s="47" t="n">
        <f aca="false">SUMIFS('Debt Backlog'!Z2:Z1000,'Debt Backlog'!B2:B1000,"&lt;&gt;",'Debt Backlog'!N2:N1000,"&lt;&gt;Done",'Debt Backlog'!N2:N1000,"&lt;&gt;Won't Fix",'Debt Backlog'!N2:N1000,"&lt;&gt;Duplicate")</f>
        <v>0</v>
      </c>
      <c r="E54" s="48" t="s">
        <v>48</v>
      </c>
      <c r="F54" s="47" t="n">
        <f aca="false">SUMIFS('Debt Backlog'!Y2:Y1000,'Debt Backlog'!B2:B1000,"&lt;&gt;",'Debt Backlog'!AB2:AB1000,"Medium",'Debt Backlog'!N2:N1000,"&lt;&gt;Done",'Debt Backlog'!N2:N1000,"&lt;&gt;Won't Fix",'Debt Backlog'!N2:N1000,"&lt;&gt;Duplicate")</f>
        <v>0</v>
      </c>
    </row>
    <row r="55" customFormat="false" ht="21.75" hidden="false" customHeight="true" outlineLevel="0" collapsed="false">
      <c r="A55" s="48" t="s">
        <v>49</v>
      </c>
      <c r="B55" s="47" t="n">
        <f aca="false">SUMIFS('Debt Backlog'!AA2:AA1000,'Debt Backlog'!B2:B1000,"&lt;&gt;",'Debt Backlog'!N2:N1000,"&lt;&gt;Done",'Debt Backlog'!N2:N1000,"&lt;&gt;Won't Fix",'Debt Backlog'!N2:N1000,"&lt;&gt;Duplicate")</f>
        <v>0</v>
      </c>
      <c r="C55" s="5"/>
      <c r="D55" s="5"/>
      <c r="E55" s="48" t="s">
        <v>50</v>
      </c>
      <c r="F55" s="47" t="n">
        <f aca="false">SUMIFS('Debt Backlog'!Y2:Y1000,'Debt Backlog'!B2:B1000,"&lt;&gt;",'Debt Backlog'!AB2:AB1000,"Low",'Debt Backlog'!N2:N1000,"&lt;&gt;Done",'Debt Backlog'!N2:N1000,"&lt;&gt;Won't Fix",'Debt Backlog'!N2:N1000,"&lt;&gt;Duplicate")</f>
        <v>0</v>
      </c>
      <c r="G55" s="5"/>
      <c r="H55" s="5"/>
    </row>
    <row r="56" customFormat="false" ht="24" hidden="false" customHeight="true" outlineLevel="0" collapsed="false">
      <c r="A56" s="25" t="s">
        <v>51</v>
      </c>
      <c r="B56" s="25"/>
      <c r="C56" s="5"/>
      <c r="D56" s="5"/>
      <c r="E56" s="25" t="s">
        <v>52</v>
      </c>
      <c r="F56" s="25"/>
      <c r="G56" s="5"/>
      <c r="H56" s="5"/>
    </row>
    <row r="57" customFormat="false" ht="21.75" hidden="false" customHeight="true" outlineLevel="0" collapsed="false">
      <c r="A57" s="49" t="s">
        <v>53</v>
      </c>
      <c r="B57" s="27" t="n">
        <f aca="false">COUNTA('Application Portfolio'!B2:B1000)</f>
        <v>7</v>
      </c>
      <c r="C57" s="5"/>
      <c r="D57" s="5"/>
      <c r="E57" s="26" t="s">
        <v>54</v>
      </c>
      <c r="F57" s="50" t="n">
        <f aca="false">IFERROR(AVERAGE('Application Portfolio'!AA2:AA1000),"")</f>
        <v>-0.0285714285714286</v>
      </c>
      <c r="G57" s="5"/>
      <c r="H57" s="5"/>
    </row>
    <row r="58" customFormat="false" ht="21.75" hidden="false" customHeight="true" outlineLevel="0" collapsed="false">
      <c r="A58" s="51" t="s">
        <v>55</v>
      </c>
      <c r="B58" s="52" t="n">
        <f aca="false">COUNTIFS('Application Portfolio'!B2:B1000,"&lt;&gt;",'Application Portfolio'!AB2:AB1000,"Invest")</f>
        <v>2</v>
      </c>
      <c r="C58" s="5"/>
      <c r="D58" s="5"/>
      <c r="E58" s="26" t="s">
        <v>56</v>
      </c>
      <c r="F58" s="27" t="n">
        <f aca="false">COUNTIFS('Application Portfolio'!B2:B1000,"&lt;&gt;",'Application Portfolio'!O2:O1000,"&gt;="&amp;Lists!$AG$4)</f>
        <v>2</v>
      </c>
      <c r="G58" s="5"/>
      <c r="H58" s="5"/>
    </row>
    <row r="59" customFormat="false" ht="21.75" hidden="false" customHeight="true" outlineLevel="0" collapsed="false">
      <c r="A59" s="53" t="s">
        <v>57</v>
      </c>
      <c r="B59" s="27" t="n">
        <f aca="false">COUNTIFS('Application Portfolio'!B2:B1000,"&lt;&gt;",'Application Portfolio'!AB2:AB1000,"Tolerate")</f>
        <v>1</v>
      </c>
      <c r="C59" s="5"/>
      <c r="D59" s="5"/>
      <c r="E59" s="26" t="s">
        <v>58</v>
      </c>
      <c r="F59" s="27" t="n">
        <f aca="false">COUNTIFS('Application Portfolio'!B2:B1000,"&lt;&gt;",'Application Portfolio'!N2:N1000,"&gt;="&amp;Lists!$AG$2)</f>
        <v>5</v>
      </c>
      <c r="G59" s="5"/>
      <c r="H59" s="5"/>
    </row>
    <row r="60" customFormat="false" ht="21.75" hidden="false" customHeight="true" outlineLevel="0" collapsed="false">
      <c r="A60" s="54" t="s">
        <v>59</v>
      </c>
      <c r="B60" s="55" t="n">
        <f aca="false">COUNTIFS('Application Portfolio'!B2:B1000,"&lt;&gt;",'Application Portfolio'!AB2:AB1000,"Migrate")</f>
        <v>3</v>
      </c>
      <c r="C60" s="5"/>
      <c r="D60" s="5"/>
      <c r="E60" s="26" t="s">
        <v>60</v>
      </c>
      <c r="F60" s="27" t="n">
        <f aca="false">COUNTIFS('Application Portfolio'!B2:B1000,"&lt;&gt;",'Application Portfolio'!Z2:Z1000,"&lt;"&amp;Lists!$AG$3)</f>
        <v>4</v>
      </c>
      <c r="G60" s="5"/>
      <c r="H60" s="5"/>
    </row>
    <row r="61" customFormat="false" ht="21.75" hidden="false" customHeight="true" outlineLevel="0" collapsed="false">
      <c r="A61" s="56" t="s">
        <v>61</v>
      </c>
      <c r="B61" s="57" t="n">
        <f aca="false">COUNTIFS('Application Portfolio'!B2:B1000,"&lt;&gt;",'Application Portfolio'!AB2:AB1000,"Eliminate")</f>
        <v>1</v>
      </c>
      <c r="C61" s="5"/>
      <c r="D61" s="5"/>
      <c r="E61" s="26" t="s">
        <v>62</v>
      </c>
      <c r="F61" s="27" t="n">
        <f aca="false">COUNTIFS('Application Portfolio'!B2:B1000,"&lt;&gt;",'Application Portfolio'!T2:T1000,"&gt;="&amp;Lists!$AG$6)</f>
        <v>3</v>
      </c>
      <c r="G61" s="5"/>
      <c r="H61" s="5"/>
    </row>
    <row r="62" customFormat="false" ht="15" hidden="false" customHeight="true" outlineLevel="0" collapsed="false">
      <c r="A62" s="5"/>
      <c r="B62" s="5"/>
      <c r="C62" s="5"/>
      <c r="D62" s="5"/>
      <c r="E62" s="5"/>
      <c r="F62" s="5"/>
      <c r="G62" s="5"/>
      <c r="H62" s="5"/>
    </row>
    <row r="63" customFormat="false" ht="21.75" hidden="false" customHeight="true" outlineLevel="0" collapsed="false">
      <c r="A63" s="32" t="s">
        <v>63</v>
      </c>
      <c r="B63" s="32"/>
      <c r="C63" s="5"/>
      <c r="D63" s="5"/>
      <c r="E63" s="32" t="s">
        <v>64</v>
      </c>
      <c r="F63" s="32"/>
      <c r="G63" s="5"/>
      <c r="H63" s="5"/>
    </row>
    <row r="64" customFormat="false" ht="15" hidden="false" customHeight="true" outlineLevel="0" collapsed="false">
      <c r="A64" s="33" t="s">
        <v>65</v>
      </c>
      <c r="B64" s="33" t="s">
        <v>29</v>
      </c>
      <c r="C64" s="5"/>
      <c r="D64" s="5"/>
      <c r="E64" s="33" t="s">
        <v>66</v>
      </c>
      <c r="F64" s="33" t="s">
        <v>29</v>
      </c>
      <c r="G64" s="5"/>
      <c r="H64" s="5"/>
    </row>
    <row r="65" customFormat="false" ht="19.5" hidden="false" customHeight="true" outlineLevel="0" collapsed="false">
      <c r="A65" s="58" t="s">
        <v>67</v>
      </c>
      <c r="B65" s="59" t="n">
        <f aca="false">COUNTIFS('Application Portfolio'!B$2:B$1000,"&lt;&gt;",'Application Portfolio'!AB$2:AB$1000,A65)</f>
        <v>2</v>
      </c>
      <c r="C65" s="5"/>
      <c r="D65" s="5"/>
      <c r="E65" s="36" t="str">
        <f aca="false">"High (&gt;= "&amp;TEXT(Lists!$AG$4,"0.0")&amp;")"</f>
        <v>High (&gt;= 3.5)</v>
      </c>
      <c r="F65" s="60" t="n">
        <f aca="false">COUNTIFS('Application Portfolio'!B$2:B$1000,"&lt;&gt;",'Application Portfolio'!O$2:O$1000,"&gt;="&amp;Lists!$AG$4)</f>
        <v>2</v>
      </c>
      <c r="G65" s="5"/>
      <c r="H65" s="5"/>
    </row>
    <row r="66" customFormat="false" ht="19.5" hidden="false" customHeight="true" outlineLevel="0" collapsed="false">
      <c r="A66" s="61" t="s">
        <v>68</v>
      </c>
      <c r="B66" s="62" t="n">
        <f aca="false">COUNTIFS('Application Portfolio'!B$2:B$1000,"&lt;&gt;",'Application Portfolio'!AB$2:AB$1000,A66)</f>
        <v>1</v>
      </c>
      <c r="C66" s="5"/>
      <c r="D66" s="5"/>
      <c r="E66" s="63" t="str">
        <f aca="false">"Moderate ("&amp;TEXT(Lists!$AG$5,"0.0")&amp;" to &lt;"&amp;TEXT(Lists!$AG$4,"0.0")&amp;")"</f>
        <v>Moderate (2.5 to &lt;3.5)</v>
      </c>
      <c r="F66" s="64" t="n">
        <f aca="false">COUNTIFS('Application Portfolio'!B$2:B$1000,"&lt;&gt;",'Application Portfolio'!O$2:O$1000,"&gt;="&amp;Lists!$AG$5,'Application Portfolio'!O$2:O$1000,"&lt;"&amp;Lists!$AG$4)</f>
        <v>3</v>
      </c>
      <c r="G66" s="5"/>
      <c r="H66" s="5"/>
    </row>
    <row r="67" customFormat="false" ht="19.5" hidden="false" customHeight="true" outlineLevel="0" collapsed="false">
      <c r="A67" s="65" t="s">
        <v>69</v>
      </c>
      <c r="B67" s="66" t="n">
        <f aca="false">COUNTIFS('Application Portfolio'!B$2:B$1000,"&lt;&gt;",'Application Portfolio'!AB$2:AB$1000,A67)</f>
        <v>3</v>
      </c>
      <c r="C67" s="5"/>
      <c r="D67" s="5"/>
      <c r="E67" s="44" t="str">
        <f aca="false">"Low (&lt; "&amp;TEXT(Lists!$AG$5,"0.0")&amp;")"</f>
        <v>Low (&lt; 2.5)</v>
      </c>
      <c r="F67" s="67" t="n">
        <f aca="false">COUNTIFS('Application Portfolio'!B$2:B$1000,"&lt;&gt;",'Application Portfolio'!O$2:O$1000,"&lt;"&amp;Lists!$AG$5)</f>
        <v>2</v>
      </c>
      <c r="G67" s="5"/>
      <c r="H67" s="5"/>
    </row>
    <row r="68" customFormat="false" ht="19.5" hidden="false" customHeight="true" outlineLevel="0" collapsed="false">
      <c r="A68" s="68" t="s">
        <v>70</v>
      </c>
      <c r="B68" s="69" t="n">
        <f aca="false">COUNTIFS('Application Portfolio'!B$2:B$1000,"&lt;&gt;",'Application Portfolio'!AB$2:AB$1000,A68)</f>
        <v>1</v>
      </c>
      <c r="C68" s="5"/>
      <c r="D68" s="5"/>
      <c r="E68" s="70" t="s">
        <v>71</v>
      </c>
      <c r="F68" s="71" t="n">
        <f aca="false">COUNTIFS('Application Portfolio'!B$2:B$1000,"&lt;&gt;",'Application Portfolio'!O$2:O$1000,"")</f>
        <v>0</v>
      </c>
      <c r="G68" s="5"/>
      <c r="H68" s="5"/>
    </row>
    <row r="69" customFormat="false" ht="15" hidden="false" customHeight="true" outlineLevel="0" collapsed="false">
      <c r="A69" s="5"/>
      <c r="B69" s="5"/>
      <c r="C69" s="5"/>
      <c r="D69" s="5"/>
      <c r="E69" s="5"/>
      <c r="F69" s="5"/>
      <c r="G69" s="5"/>
      <c r="H69" s="5"/>
    </row>
    <row r="70" customFormat="false" ht="21.75" hidden="false" customHeight="true" outlineLevel="0" collapsed="false">
      <c r="A70" s="32" t="s">
        <v>72</v>
      </c>
      <c r="B70" s="32"/>
      <c r="C70" s="32"/>
      <c r="D70" s="32"/>
      <c r="E70" s="32"/>
      <c r="F70" s="32"/>
      <c r="G70" s="32"/>
      <c r="H70" s="32"/>
    </row>
    <row r="71" customFormat="false" ht="15" hidden="false" customHeight="true" outlineLevel="0" collapsed="false">
      <c r="A71" s="72" t="s">
        <v>73</v>
      </c>
      <c r="B71" s="72"/>
      <c r="C71" s="72"/>
      <c r="D71" s="72"/>
      <c r="E71" s="72"/>
      <c r="F71" s="72"/>
      <c r="G71" s="72"/>
      <c r="H71" s="72"/>
    </row>
    <row r="72" customFormat="false" ht="19.5" hidden="false" customHeight="true" outlineLevel="0" collapsed="false">
      <c r="A72" s="73" t="s">
        <v>74</v>
      </c>
      <c r="B72" s="73"/>
      <c r="C72" s="73"/>
      <c r="D72" s="73"/>
      <c r="E72" s="73"/>
      <c r="F72" s="73"/>
      <c r="G72" s="73"/>
      <c r="H72" s="73"/>
    </row>
    <row r="73" customFormat="false" ht="30" hidden="false" customHeight="true" outlineLevel="0" collapsed="false">
      <c r="A73" s="74" t="str">
        <f aca="false">"Thresholds (edit on Lists AF:AG): High BV &gt;= "&amp;TEXT(Lists!$AG$2,"0.0")&amp;", High TH &gt;= "&amp;TEXT(Lists!$AG$3,"0.0")&amp;", High Risk &gt;= "&amp;TEXT(Lists!$AG$4,"0.0")&amp;", Moderate Risk &gt;= "&amp;TEXT(Lists!$AG$5,"0.0")&amp;", High Cost &gt;= "&amp;TEXT(Lists!$AG$6,"0.0")&amp;". TIME uses BV and TH only; Risk and Cost are informational."</f>
        <v>Thresholds (edit on Lists AF:AG): High BV &gt;= 3.0, High TH &gt;= 3.0, High Risk &gt;= 3.5, Moderate Risk &gt;= 2.5, High Cost &gt;= 3.5. TIME uses BV and TH only; Risk and Cost are informational.</v>
      </c>
      <c r="B73" s="74"/>
      <c r="C73" s="74"/>
      <c r="D73" s="74"/>
      <c r="E73" s="74"/>
      <c r="F73" s="74"/>
      <c r="G73" s="74"/>
      <c r="H73" s="74"/>
    </row>
    <row r="74" customFormat="false" ht="15" hidden="false" customHeight="true" outlineLevel="0" collapsed="false">
      <c r="A74" s="5"/>
      <c r="B74" s="5"/>
      <c r="C74" s="5"/>
      <c r="D74" s="5"/>
      <c r="E74" s="5"/>
      <c r="F74" s="5"/>
      <c r="G74" s="5"/>
      <c r="H74" s="5"/>
    </row>
    <row r="75" customFormat="false" ht="15.75" hidden="false" customHeight="true" outlineLevel="0" collapsed="false">
      <c r="A75" s="25" t="s">
        <v>75</v>
      </c>
      <c r="B75" s="25"/>
      <c r="C75" s="5"/>
      <c r="D75" s="5"/>
      <c r="E75" s="25" t="s">
        <v>76</v>
      </c>
      <c r="F75" s="25"/>
      <c r="G75" s="5"/>
      <c r="H75" s="5"/>
    </row>
    <row r="76" customFormat="false" ht="15.75" hidden="false" customHeight="true" outlineLevel="0" collapsed="false">
      <c r="A76" s="49" t="s">
        <v>77</v>
      </c>
      <c r="B76" s="75" t="n">
        <f aca="false">SUM('Application Portfolio'!AG2:AG1000)</f>
        <v>0</v>
      </c>
      <c r="E76" s="49" t="s">
        <v>78</v>
      </c>
      <c r="F76" s="76" t="n">
        <f aca="false">Lists!$AG$2</f>
        <v>3</v>
      </c>
    </row>
    <row r="77" customFormat="false" ht="15.75" hidden="false" customHeight="true" outlineLevel="0" collapsed="false">
      <c r="A77" s="49" t="s">
        <v>79</v>
      </c>
      <c r="B77" s="75" t="n">
        <f aca="false">SUMIFS('Application Portfolio'!AG2:AG1000,'Application Portfolio'!AB2:AB1000,"Migrate")+SUMIFS('Application Portfolio'!AG2:AG1000,'Application Portfolio'!AB2:AB1000,"Eliminate")</f>
        <v>0</v>
      </c>
      <c r="E77" s="49" t="s">
        <v>80</v>
      </c>
      <c r="F77" s="76" t="n">
        <f aca="false">Lists!$AG$3</f>
        <v>3</v>
      </c>
    </row>
    <row r="78" customFormat="false" ht="16.5" hidden="false" customHeight="true" outlineLevel="0" collapsed="false">
      <c r="A78" s="49" t="s">
        <v>81</v>
      </c>
      <c r="B78" s="77" t="str">
        <f aca="false">IF(B76&gt;0,B77/B76,"")</f>
        <v/>
      </c>
      <c r="E78" s="49" t="s">
        <v>82</v>
      </c>
      <c r="F78" s="76" t="n">
        <f aca="false">Lists!$AG$4</f>
        <v>3.5</v>
      </c>
    </row>
    <row r="79" customFormat="false" ht="15.75" hidden="false" customHeight="true" outlineLevel="0" collapsed="false">
      <c r="A79" s="49" t="s">
        <v>83</v>
      </c>
      <c r="B79" s="78" t="n">
        <f aca="false">SUMPRODUCT(('Application Portfolio'!B2:B1000&lt;&gt;"")*NOT(ISNUMBER('Application Portfolio'!AG2:AG1000)))</f>
        <v>7</v>
      </c>
      <c r="E79" s="49" t="s">
        <v>84</v>
      </c>
      <c r="F79" s="76" t="n">
        <f aca="false">Lists!$AG$5</f>
        <v>2.5</v>
      </c>
    </row>
    <row r="80" customFormat="false" ht="15.75" hidden="false" customHeight="true" outlineLevel="0" collapsed="false">
      <c r="E80" s="49" t="s">
        <v>85</v>
      </c>
      <c r="F80" s="76" t="n">
        <f aca="false">Lists!$AG$6</f>
        <v>3.5</v>
      </c>
    </row>
    <row r="81" customFormat="false" ht="30" hidden="false" customHeight="true" outlineLevel="0" collapsed="false">
      <c r="A81" s="74" t="s">
        <v>86</v>
      </c>
      <c r="B81" s="74"/>
      <c r="C81" s="74"/>
      <c r="D81" s="74"/>
      <c r="E81" s="74"/>
      <c r="F81" s="74"/>
      <c r="G81" s="74"/>
      <c r="H81" s="74"/>
    </row>
    <row r="83" customFormat="false" ht="15.75" hidden="false" customHeight="true" outlineLevel="0" collapsed="false">
      <c r="A83" s="25" t="s">
        <v>87</v>
      </c>
      <c r="B83" s="25"/>
      <c r="E83" s="25" t="s">
        <v>88</v>
      </c>
      <c r="F83" s="25"/>
    </row>
    <row r="84" customFormat="false" ht="16.5" hidden="false" customHeight="true" outlineLevel="0" collapsed="false">
      <c r="A84" s="49" t="s">
        <v>89</v>
      </c>
      <c r="B84" s="27" t="str">
        <f aca="false" t="array" ref="B84:B84">IFERROR("APM-"&amp;TEXT(MAX(--("0"&amp;SUBSTITUTE('Application Portfolio'!$A$2:$A$1000,"APM-","")))+1,"0000"),"Fix malformed IDs first")</f>
        <v>APM-0008</v>
      </c>
      <c r="E84" s="49" t="s">
        <v>90</v>
      </c>
      <c r="F84" s="78" t="n">
        <f aca="false">COUNTIFS('Debt Backlog'!$AH$2:$AH$1000,"Eliminate",'Debt Backlog'!$B$2:$B$1000,"&lt;&gt;",'Debt Backlog'!$N$2:$N$1000,"&lt;&gt;Done",'Debt Backlog'!$N$2:$N$1000,"&lt;&gt;Won't Fix",'Debt Backlog'!$N$2:$N$1000,"&lt;&gt;Duplicate")</f>
        <v>0</v>
      </c>
    </row>
    <row r="85" customFormat="false" ht="16.5" hidden="false" customHeight="true" outlineLevel="0" collapsed="false">
      <c r="A85" s="49" t="s">
        <v>91</v>
      </c>
      <c r="B85" s="27" t="str">
        <f aca="false" t="array" ref="B85:B85">IFERROR("TD-"&amp;TEXT(MAX(--("0"&amp;SUBSTITUTE('Debt Backlog'!$A$2:$A$1000,"TD-","")))+1,"0000"),"Fix malformed IDs first")</f>
        <v>TD-0008</v>
      </c>
      <c r="E85" s="49" t="s">
        <v>92</v>
      </c>
      <c r="F85" s="78" t="n">
        <f aca="false">COUNTIFS('Debt Backlog'!$AH$2:$AH$1000,"Migrate",'Debt Backlog'!$B$2:$B$1000,"&lt;&gt;",'Debt Backlog'!$N$2:$N$1000,"&lt;&gt;Done",'Debt Backlog'!$N$2:$N$1000,"&lt;&gt;Won't Fix",'Debt Backlog'!$N$2:$N$1000,"&lt;&gt;Duplicate")</f>
        <v>4</v>
      </c>
    </row>
    <row r="86" customFormat="false" ht="16.5" hidden="false" customHeight="true" outlineLevel="0" collapsed="false">
      <c r="A86" s="49" t="s">
        <v>93</v>
      </c>
      <c r="B86" s="27" t="str">
        <f aca="false" t="array" ref="B86:B86">IFERROR("R-"&amp;TEXT(MAX(--("0"&amp;SUBSTITUTE('Risk Register'!$A$2:$A$1000,"R-","")))+1,"0000"),"Fix malformed IDs first")</f>
        <v>R-0008</v>
      </c>
      <c r="E86" s="49" t="s">
        <v>94</v>
      </c>
      <c r="F86" s="78" t="n">
        <f aca="false">COUNTIFS('Debt Backlog'!$AF$2:$AF$1000,"",'Debt Backlog'!$B$2:$B$1000,"&lt;&gt;",'Debt Backlog'!$N$2:$N$1000,"&lt;&gt;Done",'Debt Backlog'!$N$2:$N$1000,"&lt;&gt;Won't Fix",'Debt Backlog'!$N$2:$N$1000,"&lt;&gt;Duplicate")</f>
        <v>1</v>
      </c>
    </row>
    <row r="87" customFormat="false" ht="15.75" hidden="false" customHeight="true" outlineLevel="0" collapsed="false">
      <c r="A87" s="49" t="s">
        <v>95</v>
      </c>
      <c r="B87" s="78" t="n">
        <f aca="false" t="array" ref="B87:B87">SUMPRODUCT(('Application Portfolio'!$B$2:$B$1000&lt;&gt;"")*((('Application Portfolio'!$A$2:$A$1000="")+(COUNTIF('Application Portfolio'!$A$2:$A$1000,'Application Portfolio'!$A$2:$A$1000)&gt;1)+(LEFT('Application Portfolio'!$A$2:$A$1000,4)&lt;&gt;"APM-")+(LEN('Application Portfolio'!$A$2:$A$1000)&lt;&gt;8)+NOT(ISNUMBER(--RIGHT('Application Portfolio'!$A$2:$A$1000,4))))&gt;0))</f>
        <v>0</v>
      </c>
      <c r="E87" s="49" t="s">
        <v>96</v>
      </c>
      <c r="F87" s="78" t="n">
        <f aca="false">SUMPRODUCT(('Application Portfolio'!$A$2:$A$1000&lt;&gt;"")*(COUNTIF('Risk Register'!$B$2:$B$1000,'Application Portfolio'!$A$2:$A$1000)&gt;1))</f>
        <v>0</v>
      </c>
    </row>
    <row r="88" customFormat="false" ht="15.75" hidden="false" customHeight="true" outlineLevel="0" collapsed="false">
      <c r="A88" s="49" t="s">
        <v>97</v>
      </c>
      <c r="B88" s="78" t="n">
        <f aca="false" t="array" ref="B88:B88">SUMPRODUCT(('Debt Backlog'!$B$2:$B$1000&lt;&gt;"")*((('Debt Backlog'!$A$2:$A$1000="")+(COUNTIF('Debt Backlog'!$A$2:$A$1000,'Debt Backlog'!$A$2:$A$1000)&gt;1)+(LEFT('Debt Backlog'!$A$2:$A$1000,3)&lt;&gt;"TD-")+(LEN('Debt Backlog'!$A$2:$A$1000)&lt;&gt;7)+NOT(ISNUMBER(--RIGHT('Debt Backlog'!$A$2:$A$1000,4))))&gt;0))</f>
        <v>0</v>
      </c>
    </row>
    <row r="89" customFormat="false" ht="15.75" hidden="false" customHeight="true" outlineLevel="0" collapsed="false">
      <c r="A89" s="49" t="s">
        <v>98</v>
      </c>
      <c r="B89" s="78" t="n">
        <f aca="false" t="array" ref="B89:B89">SUMPRODUCT(('Risk Register'!$B$2:$B$1000&lt;&gt;"")*((('Risk Register'!$A$2:$A$1000="")+(COUNTIF('Risk Register'!$A$2:$A$1000,'Risk Register'!$A$2:$A$1000)&gt;1)+(LEFT('Risk Register'!$A$2:$A$1000,2)&lt;&gt;"R-")+(LEN('Risk Register'!$A$2:$A$1000)&lt;&gt;6)+NOT(ISNUMBER(--RIGHT('Risk Register'!$A$2:$A$1000,4))))&gt;0))</f>
        <v>0</v>
      </c>
    </row>
    <row r="90" customFormat="false" ht="30" hidden="false" customHeight="true" outlineLevel="0" collapsed="false">
      <c r="A90" s="74" t="s">
        <v>99</v>
      </c>
      <c r="B90" s="74"/>
      <c r="C90" s="74"/>
      <c r="D90" s="74"/>
      <c r="E90" s="74"/>
      <c r="F90" s="74"/>
      <c r="G90" s="74"/>
      <c r="H90" s="74"/>
    </row>
  </sheetData>
  <mergeCells count="44">
    <mergeCell ref="A1:H1"/>
    <mergeCell ref="A2:H2"/>
    <mergeCell ref="A3:H3"/>
    <mergeCell ref="B5:D5"/>
    <mergeCell ref="F5:H5"/>
    <mergeCell ref="B6:D6"/>
    <mergeCell ref="F6:H6"/>
    <mergeCell ref="B8:D8"/>
    <mergeCell ref="F8:H8"/>
    <mergeCell ref="B9:D9"/>
    <mergeCell ref="F9:H9"/>
    <mergeCell ref="A11:H11"/>
    <mergeCell ref="A12:B12"/>
    <mergeCell ref="E12:H12"/>
    <mergeCell ref="A13:B13"/>
    <mergeCell ref="E13:H13"/>
    <mergeCell ref="A14:B14"/>
    <mergeCell ref="E14:H14"/>
    <mergeCell ref="A16:B16"/>
    <mergeCell ref="E16:H16"/>
    <mergeCell ref="A17:B17"/>
    <mergeCell ref="E17:H17"/>
    <mergeCell ref="A18:B18"/>
    <mergeCell ref="E18:H18"/>
    <mergeCell ref="A35:B35"/>
    <mergeCell ref="E35:F35"/>
    <mergeCell ref="A41:B41"/>
    <mergeCell ref="E41:F41"/>
    <mergeCell ref="A52:B52"/>
    <mergeCell ref="E52:F52"/>
    <mergeCell ref="A56:B56"/>
    <mergeCell ref="E56:F56"/>
    <mergeCell ref="A63:B63"/>
    <mergeCell ref="E63:F63"/>
    <mergeCell ref="A70:H70"/>
    <mergeCell ref="A71:H71"/>
    <mergeCell ref="A72:H72"/>
    <mergeCell ref="A73:H73"/>
    <mergeCell ref="A75:B75"/>
    <mergeCell ref="E75:F75"/>
    <mergeCell ref="A81:H81"/>
    <mergeCell ref="A83:B83"/>
    <mergeCell ref="E83:F83"/>
    <mergeCell ref="A90:H90"/>
  </mergeCells>
  <conditionalFormatting sqref="B6">
    <cfRule type="cellIs" priority="2" operator="greaterThan" aboveAverage="0" equalAverage="0" bottom="0" percent="0" rank="0" text="" dxfId="0">
      <formula>0</formula>
    </cfRule>
  </conditionalFormatting>
  <conditionalFormatting sqref="E6">
    <cfRule type="cellIs" priority="3" operator="greaterThan" aboveAverage="0" equalAverage="0" bottom="0" percent="0" rank="0" text="" dxfId="0">
      <formula>0</formula>
    </cfRule>
  </conditionalFormatting>
  <conditionalFormatting sqref="B9">
    <cfRule type="cellIs" priority="4" operator="greaterThan" aboveAverage="0" equalAverage="0" bottom="0" percent="0" rank="0" text="" dxfId="0">
      <formula>0</formula>
    </cfRule>
  </conditionalFormatting>
  <conditionalFormatting sqref="E9">
    <cfRule type="cellIs" priority="5" operator="greaterThan" aboveAverage="0" equalAverage="0" bottom="0" percent="0" rank="0" text="" dxfId="0">
      <formula>0</formula>
    </cfRule>
  </conditionalFormatting>
  <conditionalFormatting sqref="B43:B50">
    <cfRule type="dataBar" priority="6">
      <dataBar showValue="1" minLength="10" maxLength="90">
        <cfvo type="num" val="0"/>
        <cfvo type="formula" val="MAX($B$43:$B$50)"/>
        <color rgb="FF93C5FD"/>
      </dataBar>
      <extLst>
        <ext xmlns:x14="http://schemas.microsoft.com/office/spreadsheetml/2009/9/main" uri="{B025F937-C7B1-47D3-B67F-A62EFF666E3E}">
          <x14:id>{C4681AD6-A1CB-4F3A-8D6F-A9205DD0E3C3}</x14:id>
        </ext>
      </extLst>
    </cfRule>
  </conditionalFormatting>
  <conditionalFormatting sqref="F43">
    <cfRule type="dataBar" priority="7">
      <dataBar showValue="1" minLength="10" maxLength="90">
        <cfvo type="num" val="0"/>
        <cfvo type="formula" val="MAX($F$43:$F$46)"/>
        <color rgb="FFFCA5A5"/>
      </dataBar>
      <extLst>
        <ext xmlns:x14="http://schemas.microsoft.com/office/spreadsheetml/2009/9/main" uri="{B025F937-C7B1-47D3-B67F-A62EFF666E3E}">
          <x14:id>{3629F06E-63B0-4BA0-B775-87924AFA3CC7}</x14:id>
        </ext>
      </extLst>
    </cfRule>
  </conditionalFormatting>
  <conditionalFormatting sqref="F44">
    <cfRule type="dataBar" priority="8">
      <dataBar showValue="1" minLength="10" maxLength="90">
        <cfvo type="num" val="0"/>
        <cfvo type="formula" val="MAX($F$43:$F$46)"/>
        <color rgb="FFFDBA74"/>
      </dataBar>
      <extLst>
        <ext xmlns:x14="http://schemas.microsoft.com/office/spreadsheetml/2009/9/main" uri="{B025F937-C7B1-47D3-B67F-A62EFF666E3E}">
          <x14:id>{29ECB2D1-1BA2-45E0-A2BD-E165F0E43DDA}</x14:id>
        </ext>
      </extLst>
    </cfRule>
  </conditionalFormatting>
  <conditionalFormatting sqref="F45">
    <cfRule type="dataBar" priority="9">
      <dataBar showValue="1" minLength="10" maxLength="90">
        <cfvo type="num" val="0"/>
        <cfvo type="formula" val="MAX($F$43:$F$46)"/>
        <color rgb="FFFCD34D"/>
      </dataBar>
      <extLst>
        <ext xmlns:x14="http://schemas.microsoft.com/office/spreadsheetml/2009/9/main" uri="{B025F937-C7B1-47D3-B67F-A62EFF666E3E}">
          <x14:id>{D57F59D0-1080-478E-82A2-B02A57BDD223}</x14:id>
        </ext>
      </extLst>
    </cfRule>
  </conditionalFormatting>
  <conditionalFormatting sqref="F46">
    <cfRule type="dataBar" priority="10">
      <dataBar showValue="1" minLength="10" maxLength="90">
        <cfvo type="num" val="0"/>
        <cfvo type="formula" val="MAX($F$43:$F$46)"/>
        <color rgb="FF86EFAC"/>
      </dataBar>
      <extLst>
        <ext xmlns:x14="http://schemas.microsoft.com/office/spreadsheetml/2009/9/main" uri="{B025F937-C7B1-47D3-B67F-A62EFF666E3E}">
          <x14:id>{B41EA6BF-10FA-4952-97EE-BE18FB5D5648}</x14:id>
        </ext>
      </extLst>
    </cfRule>
  </conditionalFormatting>
  <conditionalFormatting sqref="B65">
    <cfRule type="dataBar" priority="11">
      <dataBar showValue="1" minLength="10" maxLength="90">
        <cfvo type="num" val="0"/>
        <cfvo type="formula" val="MAX($B$65:$B$68)"/>
        <color rgb="FF86EFAC"/>
      </dataBar>
      <extLst>
        <ext xmlns:x14="http://schemas.microsoft.com/office/spreadsheetml/2009/9/main" uri="{B025F937-C7B1-47D3-B67F-A62EFF666E3E}">
          <x14:id>{31E14DD9-2144-44F2-9E8C-4C3F9596B7D8}</x14:id>
        </ext>
      </extLst>
    </cfRule>
  </conditionalFormatting>
  <conditionalFormatting sqref="B66">
    <cfRule type="dataBar" priority="12">
      <dataBar showValue="1" minLength="10" maxLength="90">
        <cfvo type="num" val="0"/>
        <cfvo type="formula" val="MAX($B$65:$B$68)"/>
        <color rgb="FF93C5FD"/>
      </dataBar>
      <extLst>
        <ext xmlns:x14="http://schemas.microsoft.com/office/spreadsheetml/2009/9/main" uri="{B025F937-C7B1-47D3-B67F-A62EFF666E3E}">
          <x14:id>{30456A7D-CCBC-4839-A320-AB8EBA1E3EC3}</x14:id>
        </ext>
      </extLst>
    </cfRule>
  </conditionalFormatting>
  <conditionalFormatting sqref="B67">
    <cfRule type="dataBar" priority="13">
      <dataBar showValue="1" minLength="10" maxLength="90">
        <cfvo type="num" val="0"/>
        <cfvo type="formula" val="MAX($B$65:$B$68)"/>
        <color rgb="FFFDBA74"/>
      </dataBar>
      <extLst>
        <ext xmlns:x14="http://schemas.microsoft.com/office/spreadsheetml/2009/9/main" uri="{B025F937-C7B1-47D3-B67F-A62EFF666E3E}">
          <x14:id>{AB862500-CD8C-4D1E-9AAF-C1BB824541E9}</x14:id>
        </ext>
      </extLst>
    </cfRule>
  </conditionalFormatting>
  <conditionalFormatting sqref="B68">
    <cfRule type="dataBar" priority="14">
      <dataBar showValue="1" minLength="10" maxLength="90">
        <cfvo type="num" val="0"/>
        <cfvo type="formula" val="MAX($B$65:$B$68)"/>
        <color rgb="FFFCA5A5"/>
      </dataBar>
      <extLst>
        <ext xmlns:x14="http://schemas.microsoft.com/office/spreadsheetml/2009/9/main" uri="{B025F937-C7B1-47D3-B67F-A62EFF666E3E}">
          <x14:id>{7FD6B748-7DDA-48FA-96F1-4671BD1B794C}</x14:id>
        </ext>
      </extLst>
    </cfRule>
  </conditionalFormatting>
  <conditionalFormatting sqref="F65">
    <cfRule type="dataBar" priority="15">
      <dataBar showValue="1" minLength="10" maxLength="90">
        <cfvo type="num" val="0"/>
        <cfvo type="formula" val="MAX($F$65:$F$68)"/>
        <color rgb="FFFCA5A5"/>
      </dataBar>
      <extLst>
        <ext xmlns:x14="http://schemas.microsoft.com/office/spreadsheetml/2009/9/main" uri="{B025F937-C7B1-47D3-B67F-A62EFF666E3E}">
          <x14:id>{66BF2C60-F4A7-41B0-BEB4-904FA8D7E762}</x14:id>
        </ext>
      </extLst>
    </cfRule>
  </conditionalFormatting>
  <conditionalFormatting sqref="F66">
    <cfRule type="dataBar" priority="16">
      <dataBar showValue="1" minLength="10" maxLength="90">
        <cfvo type="num" val="0"/>
        <cfvo type="formula" val="MAX($F$65:$F$68)"/>
        <color rgb="FFFCD34D"/>
      </dataBar>
      <extLst>
        <ext xmlns:x14="http://schemas.microsoft.com/office/spreadsheetml/2009/9/main" uri="{B025F937-C7B1-47D3-B67F-A62EFF666E3E}">
          <x14:id>{54A8ED4E-FE7D-4EEC-B6F6-BE5F9646D14F}</x14:id>
        </ext>
      </extLst>
    </cfRule>
  </conditionalFormatting>
  <conditionalFormatting sqref="F67">
    <cfRule type="dataBar" priority="17">
      <dataBar showValue="1" minLength="10" maxLength="90">
        <cfvo type="num" val="0"/>
        <cfvo type="formula" val="MAX($F$65:$F$68)"/>
        <color rgb="FF86EFAC"/>
      </dataBar>
      <extLst>
        <ext xmlns:x14="http://schemas.microsoft.com/office/spreadsheetml/2009/9/main" uri="{B025F937-C7B1-47D3-B67F-A62EFF666E3E}">
          <x14:id>{ADE05440-D34B-4E6C-8A39-14D3879D4CE5}</x14:id>
        </ext>
      </extLst>
    </cfRule>
  </conditionalFormatting>
  <conditionalFormatting sqref="F68">
    <cfRule type="dataBar" priority="18">
      <dataBar showValue="1" minLength="10" maxLength="90">
        <cfvo type="num" val="0"/>
        <cfvo type="formula" val="MAX($F$65:$F$68)"/>
        <color rgb="FFD1D5DB"/>
      </dataBar>
      <extLst>
        <ext xmlns:x14="http://schemas.microsoft.com/office/spreadsheetml/2009/9/main" uri="{B025F937-C7B1-47D3-B67F-A62EFF666E3E}">
          <x14:id>{43C0F5AB-1F62-4358-8C33-7FFDF47964F4}</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4681AD6-A1CB-4F3A-8D6F-A9205DD0E3C3}">
            <x14:dataBar minLength="10" maxLength="90" axisPosition="none" gradient="true">
              <x14:cfvo type="num">
                <xm:f>0</xm:f>
              </x14:cfvo>
              <x14:cfvo type="formula">
                <xm:f>MAX($B$43:$B$50)</xm:f>
              </x14:cfvo>
              <x14:negativeFillColor rgb="FF93C5FD"/>
              <x14:axisColor rgb="FF000000"/>
            </x14:dataBar>
          </x14:cfRule>
          <xm:sqref>B43:B50</xm:sqref>
        </x14:conditionalFormatting>
        <x14:conditionalFormatting xmlns:xm="http://schemas.microsoft.com/office/excel/2006/main">
          <x14:cfRule type="dataBar" id="{3629F06E-63B0-4BA0-B775-87924AFA3CC7}">
            <x14:dataBar minLength="10" maxLength="90" axisPosition="none" gradient="true">
              <x14:cfvo type="num">
                <xm:f>0</xm:f>
              </x14:cfvo>
              <x14:cfvo type="formula">
                <xm:f>MAX($F$43:$F$46)</xm:f>
              </x14:cfvo>
              <x14:negativeFillColor rgb="FFFCA5A5"/>
              <x14:axisColor rgb="FF000000"/>
            </x14:dataBar>
          </x14:cfRule>
          <xm:sqref>F43</xm:sqref>
        </x14:conditionalFormatting>
        <x14:conditionalFormatting xmlns:xm="http://schemas.microsoft.com/office/excel/2006/main">
          <x14:cfRule type="dataBar" id="{29ECB2D1-1BA2-45E0-A2BD-E165F0E43DDA}">
            <x14:dataBar minLength="10" maxLength="90" axisPosition="none" gradient="true">
              <x14:cfvo type="num">
                <xm:f>0</xm:f>
              </x14:cfvo>
              <x14:cfvo type="formula">
                <xm:f>MAX($F$43:$F$46)</xm:f>
              </x14:cfvo>
              <x14:negativeFillColor rgb="FFFDBA74"/>
              <x14:axisColor rgb="FF000000"/>
            </x14:dataBar>
          </x14:cfRule>
          <xm:sqref>F44</xm:sqref>
        </x14:conditionalFormatting>
        <x14:conditionalFormatting xmlns:xm="http://schemas.microsoft.com/office/excel/2006/main">
          <x14:cfRule type="dataBar" id="{D57F59D0-1080-478E-82A2-B02A57BDD223}">
            <x14:dataBar minLength="10" maxLength="90" axisPosition="none" gradient="true">
              <x14:cfvo type="num">
                <xm:f>0</xm:f>
              </x14:cfvo>
              <x14:cfvo type="formula">
                <xm:f>MAX($F$43:$F$46)</xm:f>
              </x14:cfvo>
              <x14:negativeFillColor rgb="FFFCD34D"/>
              <x14:axisColor rgb="FF000000"/>
            </x14:dataBar>
          </x14:cfRule>
          <xm:sqref>F45</xm:sqref>
        </x14:conditionalFormatting>
        <x14:conditionalFormatting xmlns:xm="http://schemas.microsoft.com/office/excel/2006/main">
          <x14:cfRule type="dataBar" id="{B41EA6BF-10FA-4952-97EE-BE18FB5D5648}">
            <x14:dataBar minLength="10" maxLength="90" axisPosition="none" gradient="true">
              <x14:cfvo type="num">
                <xm:f>0</xm:f>
              </x14:cfvo>
              <x14:cfvo type="formula">
                <xm:f>MAX($F$43:$F$46)</xm:f>
              </x14:cfvo>
              <x14:negativeFillColor rgb="FF86EFAC"/>
              <x14:axisColor rgb="FF000000"/>
            </x14:dataBar>
          </x14:cfRule>
          <xm:sqref>F46</xm:sqref>
        </x14:conditionalFormatting>
        <x14:conditionalFormatting xmlns:xm="http://schemas.microsoft.com/office/excel/2006/main">
          <x14:cfRule type="dataBar" id="{31E14DD9-2144-44F2-9E8C-4C3F9596B7D8}">
            <x14:dataBar minLength="10" maxLength="90" axisPosition="none" gradient="true">
              <x14:cfvo type="num">
                <xm:f>0</xm:f>
              </x14:cfvo>
              <x14:cfvo type="formula">
                <xm:f>MAX($B$65:$B$68)</xm:f>
              </x14:cfvo>
              <x14:negativeFillColor rgb="FF86EFAC"/>
              <x14:axisColor rgb="FF000000"/>
            </x14:dataBar>
          </x14:cfRule>
          <xm:sqref>B65</xm:sqref>
        </x14:conditionalFormatting>
        <x14:conditionalFormatting xmlns:xm="http://schemas.microsoft.com/office/excel/2006/main">
          <x14:cfRule type="dataBar" id="{30456A7D-CCBC-4839-A320-AB8EBA1E3EC3}">
            <x14:dataBar minLength="10" maxLength="90" axisPosition="none" gradient="true">
              <x14:cfvo type="num">
                <xm:f>0</xm:f>
              </x14:cfvo>
              <x14:cfvo type="formula">
                <xm:f>MAX($B$65:$B$68)</xm:f>
              </x14:cfvo>
              <x14:negativeFillColor rgb="FF93C5FD"/>
              <x14:axisColor rgb="FF000000"/>
            </x14:dataBar>
          </x14:cfRule>
          <xm:sqref>B66</xm:sqref>
        </x14:conditionalFormatting>
        <x14:conditionalFormatting xmlns:xm="http://schemas.microsoft.com/office/excel/2006/main">
          <x14:cfRule type="dataBar" id="{AB862500-CD8C-4D1E-9AAF-C1BB824541E9}">
            <x14:dataBar minLength="10" maxLength="90" axisPosition="none" gradient="true">
              <x14:cfvo type="num">
                <xm:f>0</xm:f>
              </x14:cfvo>
              <x14:cfvo type="formula">
                <xm:f>MAX($B$65:$B$68)</xm:f>
              </x14:cfvo>
              <x14:negativeFillColor rgb="FFFDBA74"/>
              <x14:axisColor rgb="FF000000"/>
            </x14:dataBar>
          </x14:cfRule>
          <xm:sqref>B67</xm:sqref>
        </x14:conditionalFormatting>
        <x14:conditionalFormatting xmlns:xm="http://schemas.microsoft.com/office/excel/2006/main">
          <x14:cfRule type="dataBar" id="{7FD6B748-7DDA-48FA-96F1-4671BD1B794C}">
            <x14:dataBar minLength="10" maxLength="90" axisPosition="none" gradient="true">
              <x14:cfvo type="num">
                <xm:f>0</xm:f>
              </x14:cfvo>
              <x14:cfvo type="formula">
                <xm:f>MAX($B$65:$B$68)</xm:f>
              </x14:cfvo>
              <x14:negativeFillColor rgb="FFFCA5A5"/>
              <x14:axisColor rgb="FF000000"/>
            </x14:dataBar>
          </x14:cfRule>
          <xm:sqref>B68</xm:sqref>
        </x14:conditionalFormatting>
        <x14:conditionalFormatting xmlns:xm="http://schemas.microsoft.com/office/excel/2006/main">
          <x14:cfRule type="dataBar" id="{66BF2C60-F4A7-41B0-BEB4-904FA8D7E762}">
            <x14:dataBar minLength="10" maxLength="90" axisPosition="none" gradient="true">
              <x14:cfvo type="num">
                <xm:f>0</xm:f>
              </x14:cfvo>
              <x14:cfvo type="formula">
                <xm:f>MAX($F$65:$F$68)</xm:f>
              </x14:cfvo>
              <x14:negativeFillColor rgb="FFFCA5A5"/>
              <x14:axisColor rgb="FF000000"/>
            </x14:dataBar>
          </x14:cfRule>
          <xm:sqref>F65</xm:sqref>
        </x14:conditionalFormatting>
        <x14:conditionalFormatting xmlns:xm="http://schemas.microsoft.com/office/excel/2006/main">
          <x14:cfRule type="dataBar" id="{54A8ED4E-FE7D-4EEC-B6F6-BE5F9646D14F}">
            <x14:dataBar minLength="10" maxLength="90" axisPosition="none" gradient="true">
              <x14:cfvo type="num">
                <xm:f>0</xm:f>
              </x14:cfvo>
              <x14:cfvo type="formula">
                <xm:f>MAX($F$65:$F$68)</xm:f>
              </x14:cfvo>
              <x14:negativeFillColor rgb="FFFCD34D"/>
              <x14:axisColor rgb="FF000000"/>
            </x14:dataBar>
          </x14:cfRule>
          <xm:sqref>F66</xm:sqref>
        </x14:conditionalFormatting>
        <x14:conditionalFormatting xmlns:xm="http://schemas.microsoft.com/office/excel/2006/main">
          <x14:cfRule type="dataBar" id="{ADE05440-D34B-4E6C-8A39-14D3879D4CE5}">
            <x14:dataBar minLength="10" maxLength="90" axisPosition="none" gradient="true">
              <x14:cfvo type="num">
                <xm:f>0</xm:f>
              </x14:cfvo>
              <x14:cfvo type="formula">
                <xm:f>MAX($F$65:$F$68)</xm:f>
              </x14:cfvo>
              <x14:negativeFillColor rgb="FF86EFAC"/>
              <x14:axisColor rgb="FF000000"/>
            </x14:dataBar>
          </x14:cfRule>
          <xm:sqref>F67</xm:sqref>
        </x14:conditionalFormatting>
        <x14:conditionalFormatting xmlns:xm="http://schemas.microsoft.com/office/excel/2006/main">
          <x14:cfRule type="dataBar" id="{43C0F5AB-1F62-4358-8C33-7FFDF47964F4}">
            <x14:dataBar minLength="10" maxLength="90" axisPosition="none" gradient="true">
              <x14:cfvo type="num">
                <xm:f>0</xm:f>
              </x14:cfvo>
              <x14:cfvo type="formula">
                <xm:f>MAX($F$65:$F$68)</xm:f>
              </x14:cfvo>
              <x14:negativeFillColor rgb="FFD1D5DB"/>
              <x14:axisColor rgb="FF000000"/>
            </x14:dataBar>
          </x14:cfRule>
          <xm:sqref>F68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40AF"/>
    <pageSetUpPr fitToPage="true"/>
  </sheetPr>
  <dimension ref="B1:C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s>
  <sheetData>
    <row r="1" customFormat="false" ht="31.5" hidden="false" customHeight="true" outlineLevel="0" collapsed="false">
      <c r="B1" s="79" t="s">
        <v>100</v>
      </c>
    </row>
    <row r="2" customFormat="false" ht="19.5" hidden="false" customHeight="true" outlineLevel="0" collapsed="false">
      <c r="B2" s="80" t="s">
        <v>101</v>
      </c>
      <c r="C2" s="80"/>
    </row>
    <row r="4" customFormat="false" ht="24" hidden="false" customHeight="true" outlineLevel="0" collapsed="false">
      <c r="B4" s="12" t="s">
        <v>102</v>
      </c>
      <c r="C4" s="12"/>
    </row>
    <row r="5" customFormat="false" ht="45" hidden="false" customHeight="true" outlineLevel="0" collapsed="false">
      <c r="B5" s="81" t="s">
        <v>103</v>
      </c>
      <c r="C5" s="81"/>
    </row>
    <row r="6" customFormat="false" ht="9.75" hidden="false" customHeight="true" outlineLevel="0" collapsed="false"/>
    <row r="7" customFormat="false" ht="24" hidden="false" customHeight="true" outlineLevel="0" collapsed="false">
      <c r="B7" s="12" t="s">
        <v>104</v>
      </c>
      <c r="C7" s="12"/>
    </row>
    <row r="8" customFormat="false" ht="58.5" hidden="false" customHeight="true" outlineLevel="0" collapsed="false">
      <c r="B8" s="82" t="s">
        <v>105</v>
      </c>
      <c r="C8" s="83" t="s">
        <v>106</v>
      </c>
    </row>
    <row r="9" customFormat="false" ht="18" hidden="false" customHeight="true" outlineLevel="0" collapsed="false">
      <c r="B9" s="82" t="s">
        <v>107</v>
      </c>
      <c r="C9" s="83" t="s">
        <v>108</v>
      </c>
    </row>
    <row r="10" customFormat="false" ht="31.5" hidden="false" customHeight="true" outlineLevel="0" collapsed="false">
      <c r="B10" s="82" t="s">
        <v>109</v>
      </c>
      <c r="C10" s="83" t="s">
        <v>110</v>
      </c>
    </row>
    <row r="11" customFormat="false" ht="18" hidden="false" customHeight="true" outlineLevel="0" collapsed="false">
      <c r="B11" s="82" t="s">
        <v>111</v>
      </c>
      <c r="C11" s="83" t="s">
        <v>112</v>
      </c>
    </row>
    <row r="12" customFormat="false" ht="31.5" hidden="false" customHeight="true" outlineLevel="0" collapsed="false">
      <c r="B12" s="82" t="s">
        <v>113</v>
      </c>
      <c r="C12" s="83" t="s">
        <v>114</v>
      </c>
    </row>
    <row r="13" customFormat="false" ht="31.5" hidden="false" customHeight="true" outlineLevel="0" collapsed="false">
      <c r="B13" s="82" t="s">
        <v>115</v>
      </c>
      <c r="C13" s="83" t="s">
        <v>116</v>
      </c>
    </row>
    <row r="14" customFormat="false" ht="9.75" hidden="false" customHeight="true" outlineLevel="0" collapsed="false"/>
    <row r="15" customFormat="false" ht="24" hidden="false" customHeight="true" outlineLevel="0" collapsed="false">
      <c r="B15" s="12" t="s">
        <v>117</v>
      </c>
      <c r="C15" s="12"/>
    </row>
    <row r="16" customFormat="false" ht="18" hidden="false" customHeight="true" outlineLevel="0" collapsed="false">
      <c r="B16" s="84" t="s">
        <v>118</v>
      </c>
      <c r="C16" s="83" t="s">
        <v>119</v>
      </c>
    </row>
    <row r="17" customFormat="false" ht="18" hidden="false" customHeight="true" outlineLevel="0" collapsed="false">
      <c r="B17" s="85" t="s">
        <v>120</v>
      </c>
      <c r="C17" s="83" t="s">
        <v>121</v>
      </c>
    </row>
    <row r="18" customFormat="false" ht="18" hidden="false" customHeight="true" outlineLevel="0" collapsed="false">
      <c r="B18" s="86" t="s">
        <v>122</v>
      </c>
      <c r="C18" s="83" t="s">
        <v>123</v>
      </c>
    </row>
    <row r="19" customFormat="false" ht="18" hidden="false" customHeight="true" outlineLevel="0" collapsed="false">
      <c r="B19" s="87" t="s">
        <v>124</v>
      </c>
      <c r="C19" s="83" t="s">
        <v>125</v>
      </c>
    </row>
    <row r="20" customFormat="false" ht="9.75" hidden="false" customHeight="true" outlineLevel="0" collapsed="false"/>
    <row r="21" customFormat="false" ht="24" hidden="false" customHeight="true" outlineLevel="0" collapsed="false">
      <c r="B21" s="12" t="s">
        <v>126</v>
      </c>
      <c r="C21" s="12"/>
    </row>
    <row r="22" customFormat="false" ht="31.5" hidden="false" customHeight="true" outlineLevel="0" collapsed="false">
      <c r="B22" s="82" t="s">
        <v>127</v>
      </c>
      <c r="C22" s="83" t="s">
        <v>128</v>
      </c>
    </row>
    <row r="23" customFormat="false" ht="31.5" hidden="false" customHeight="true" outlineLevel="0" collapsed="false">
      <c r="B23" s="82" t="s">
        <v>129</v>
      </c>
      <c r="C23" s="83" t="s">
        <v>130</v>
      </c>
    </row>
    <row r="24" customFormat="false" ht="31.5" hidden="false" customHeight="true" outlineLevel="0" collapsed="false">
      <c r="B24" s="82" t="s">
        <v>131</v>
      </c>
      <c r="C24" s="83" t="s">
        <v>132</v>
      </c>
    </row>
    <row r="25" customFormat="false" ht="31.5" hidden="false" customHeight="true" outlineLevel="0" collapsed="false">
      <c r="B25" s="82" t="s">
        <v>133</v>
      </c>
      <c r="C25" s="83" t="s">
        <v>134</v>
      </c>
    </row>
    <row r="26" customFormat="false" ht="9.75" hidden="false" customHeight="true" outlineLevel="0" collapsed="false"/>
    <row r="27" customFormat="false" ht="24" hidden="false" customHeight="true" outlineLevel="0" collapsed="false">
      <c r="B27" s="88" t="s">
        <v>135</v>
      </c>
      <c r="C27" s="88"/>
    </row>
    <row r="28" customFormat="false" ht="58.5" hidden="false" customHeight="true" outlineLevel="0" collapsed="false">
      <c r="B28" s="82" t="s">
        <v>136</v>
      </c>
      <c r="C28" s="83" t="s">
        <v>137</v>
      </c>
    </row>
    <row r="29" customFormat="false" ht="31.5" hidden="false" customHeight="true" outlineLevel="0" collapsed="false">
      <c r="B29" s="82" t="s">
        <v>138</v>
      </c>
      <c r="C29" s="83" t="s">
        <v>139</v>
      </c>
    </row>
    <row r="30" customFormat="false" ht="18" hidden="false" customHeight="true" outlineLevel="0" collapsed="false">
      <c r="B30" s="82" t="s">
        <v>140</v>
      </c>
      <c r="C30" s="83" t="s">
        <v>141</v>
      </c>
    </row>
    <row r="31" customFormat="false" ht="31.5" hidden="false" customHeight="true" outlineLevel="0" collapsed="false">
      <c r="B31" s="82" t="s">
        <v>142</v>
      </c>
      <c r="C31" s="83" t="s">
        <v>143</v>
      </c>
    </row>
    <row r="32" customFormat="false" ht="18" hidden="false" customHeight="true" outlineLevel="0" collapsed="false">
      <c r="B32" s="82" t="s">
        <v>144</v>
      </c>
      <c r="C32" s="83" t="s">
        <v>145</v>
      </c>
    </row>
    <row r="33" customFormat="false" ht="31.5" hidden="false" customHeight="true" outlineLevel="0" collapsed="false">
      <c r="B33" s="82" t="s">
        <v>146</v>
      </c>
      <c r="C33" s="83" t="s">
        <v>147</v>
      </c>
    </row>
    <row r="34" customFormat="false" ht="31.5" hidden="false" customHeight="true" outlineLevel="0" collapsed="false">
      <c r="B34" s="82" t="s">
        <v>148</v>
      </c>
      <c r="C34" s="83" t="s">
        <v>149</v>
      </c>
    </row>
    <row r="35" customFormat="false" ht="31.5" hidden="false" customHeight="true" outlineLevel="0" collapsed="false">
      <c r="B35" s="82" t="s">
        <v>150</v>
      </c>
      <c r="C35" s="83" t="s">
        <v>151</v>
      </c>
    </row>
    <row r="36" customFormat="false" ht="9.75" hidden="false" customHeight="true" outlineLevel="0" collapsed="false"/>
    <row r="37" customFormat="false" ht="24" hidden="false" customHeight="true" outlineLevel="0" collapsed="false">
      <c r="B37" s="88" t="s">
        <v>152</v>
      </c>
      <c r="C37" s="88"/>
    </row>
    <row r="38" customFormat="false" ht="31.5" hidden="false" customHeight="true" outlineLevel="0" collapsed="false">
      <c r="B38" s="82" t="s">
        <v>153</v>
      </c>
      <c r="C38" s="83" t="s">
        <v>154</v>
      </c>
    </row>
    <row r="39" customFormat="false" ht="31.5" hidden="false" customHeight="true" outlineLevel="0" collapsed="false">
      <c r="B39" s="82" t="s">
        <v>155</v>
      </c>
      <c r="C39" s="83" t="s">
        <v>156</v>
      </c>
    </row>
    <row r="40" customFormat="false" ht="9.75" hidden="false" customHeight="true" outlineLevel="0" collapsed="false"/>
    <row r="41" customFormat="false" ht="24" hidden="false" customHeight="true" outlineLevel="0" collapsed="false">
      <c r="B41" s="88" t="s">
        <v>157</v>
      </c>
      <c r="C41" s="88"/>
    </row>
    <row r="42" customFormat="false" ht="45" hidden="false" customHeight="true" outlineLevel="0" collapsed="false">
      <c r="B42" s="82" t="s">
        <v>158</v>
      </c>
      <c r="C42" s="83" t="s">
        <v>159</v>
      </c>
    </row>
    <row r="43" customFormat="false" ht="31.5" hidden="false" customHeight="true" outlineLevel="0" collapsed="false">
      <c r="B43" s="82" t="s">
        <v>160</v>
      </c>
      <c r="C43" s="83" t="s">
        <v>161</v>
      </c>
    </row>
    <row r="44" customFormat="false" ht="18" hidden="false" customHeight="true" outlineLevel="0" collapsed="false">
      <c r="B44" s="82" t="s">
        <v>162</v>
      </c>
      <c r="C44" s="83" t="s">
        <v>163</v>
      </c>
    </row>
    <row r="45" customFormat="false" ht="31.5" hidden="false" customHeight="true" outlineLevel="0" collapsed="false">
      <c r="B45" s="82" t="s">
        <v>164</v>
      </c>
      <c r="C45" s="83" t="s">
        <v>165</v>
      </c>
    </row>
    <row r="46" customFormat="false" ht="45" hidden="false" customHeight="true" outlineLevel="0" collapsed="false">
      <c r="B46" s="82" t="s">
        <v>166</v>
      </c>
      <c r="C46" s="83" t="s">
        <v>167</v>
      </c>
    </row>
    <row r="47" customFormat="false" ht="58.5" hidden="false" customHeight="true" outlineLevel="0" collapsed="false">
      <c r="B47" s="82" t="s">
        <v>168</v>
      </c>
      <c r="C47" s="83" t="s">
        <v>169</v>
      </c>
    </row>
    <row r="48" customFormat="false" ht="72" hidden="false" customHeight="true" outlineLevel="0" collapsed="false">
      <c r="B48" s="82" t="s">
        <v>170</v>
      </c>
      <c r="C48" s="83" t="s">
        <v>171</v>
      </c>
    </row>
    <row r="49" customFormat="false" ht="45" hidden="false" customHeight="true" outlineLevel="0" collapsed="false">
      <c r="B49" s="82" t="s">
        <v>172</v>
      </c>
      <c r="C49" s="83" t="s">
        <v>173</v>
      </c>
    </row>
    <row r="50" customFormat="false" ht="31.5" hidden="false" customHeight="true" outlineLevel="0" collapsed="false">
      <c r="B50" s="82" t="s">
        <v>174</v>
      </c>
      <c r="C50" s="83" t="s">
        <v>175</v>
      </c>
    </row>
    <row r="51" customFormat="false" ht="18" hidden="false" customHeight="true" outlineLevel="0" collapsed="false">
      <c r="B51" s="82" t="s">
        <v>176</v>
      </c>
      <c r="C51" s="83" t="s">
        <v>177</v>
      </c>
    </row>
    <row r="52" customFormat="false" ht="31.5" hidden="false" customHeight="true" outlineLevel="0" collapsed="false">
      <c r="B52" s="82" t="s">
        <v>178</v>
      </c>
      <c r="C52" s="83" t="s">
        <v>179</v>
      </c>
    </row>
    <row r="53" customFormat="false" ht="31.5" hidden="false" customHeight="true" outlineLevel="0" collapsed="false">
      <c r="B53" s="82" t="s">
        <v>180</v>
      </c>
      <c r="C53" s="83" t="s">
        <v>181</v>
      </c>
    </row>
    <row r="54" customFormat="false" ht="18" hidden="false" customHeight="true" outlineLevel="0" collapsed="false">
      <c r="B54" s="82" t="s">
        <v>182</v>
      </c>
      <c r="C54" s="83" t="s">
        <v>183</v>
      </c>
    </row>
    <row r="55" customFormat="false" ht="9.75" hidden="false" customHeight="true" outlineLevel="0" collapsed="false"/>
    <row r="56" customFormat="false" ht="24" hidden="false" customHeight="true" outlineLevel="0" collapsed="false">
      <c r="B56" s="12" t="s">
        <v>184</v>
      </c>
      <c r="C56" s="12"/>
    </row>
    <row r="57" customFormat="false" ht="31.5" hidden="false" customHeight="true" outlineLevel="0" collapsed="false">
      <c r="B57" s="81" t="s">
        <v>185</v>
      </c>
      <c r="C57" s="81"/>
    </row>
    <row r="58" customFormat="false" ht="45" hidden="false" customHeight="true" outlineLevel="0" collapsed="false">
      <c r="B58" s="82" t="s">
        <v>186</v>
      </c>
      <c r="C58" s="83" t="s">
        <v>187</v>
      </c>
    </row>
    <row r="59" customFormat="false" ht="31.5" hidden="false" customHeight="true" outlineLevel="0" collapsed="false">
      <c r="B59" s="82" t="s">
        <v>188</v>
      </c>
      <c r="C59" s="83" t="s">
        <v>189</v>
      </c>
    </row>
    <row r="60" customFormat="false" ht="45" hidden="false" customHeight="true" outlineLevel="0" collapsed="false">
      <c r="B60" s="82" t="s">
        <v>190</v>
      </c>
      <c r="C60" s="83" t="s">
        <v>191</v>
      </c>
    </row>
    <row r="61" customFormat="false" ht="18" hidden="false" customHeight="true" outlineLevel="0" collapsed="false">
      <c r="B61" s="82" t="s">
        <v>192</v>
      </c>
      <c r="C61" s="83" t="s">
        <v>193</v>
      </c>
    </row>
    <row r="62" customFormat="false" ht="31.5" hidden="false" customHeight="true" outlineLevel="0" collapsed="false">
      <c r="B62" s="82" t="s">
        <v>194</v>
      </c>
      <c r="C62" s="83" t="s">
        <v>195</v>
      </c>
    </row>
    <row r="63" customFormat="false" ht="45" hidden="false" customHeight="true" outlineLevel="0" collapsed="false">
      <c r="B63" s="82" t="s">
        <v>196</v>
      </c>
      <c r="C63" s="83" t="s">
        <v>197</v>
      </c>
    </row>
    <row r="64" customFormat="false" ht="31.5" hidden="false" customHeight="true" outlineLevel="0" collapsed="false">
      <c r="B64" s="82" t="s">
        <v>198</v>
      </c>
      <c r="C64" s="83" t="s">
        <v>199</v>
      </c>
    </row>
    <row r="65" customFormat="false" ht="9.75" hidden="false" customHeight="true" outlineLevel="0" collapsed="false"/>
    <row r="66" customFormat="false" ht="24" hidden="false" customHeight="true" outlineLevel="0" collapsed="false">
      <c r="B66" s="12" t="s">
        <v>200</v>
      </c>
      <c r="C66" s="12"/>
    </row>
    <row r="67" customFormat="false" ht="31.5" hidden="false" customHeight="true" outlineLevel="0" collapsed="false">
      <c r="B67" s="82" t="s">
        <v>201</v>
      </c>
      <c r="C67" s="83" t="s">
        <v>202</v>
      </c>
    </row>
    <row r="68" customFormat="false" ht="45" hidden="false" customHeight="true" outlineLevel="0" collapsed="false">
      <c r="B68" s="82" t="s">
        <v>203</v>
      </c>
      <c r="C68" s="83" t="s">
        <v>204</v>
      </c>
    </row>
    <row r="69" customFormat="false" ht="31.5" hidden="false" customHeight="true" outlineLevel="0" collapsed="false">
      <c r="B69" s="82" t="s">
        <v>205</v>
      </c>
      <c r="C69" s="83" t="s">
        <v>206</v>
      </c>
    </row>
    <row r="70" customFormat="false" ht="18" hidden="false" customHeight="true" outlineLevel="0" collapsed="false">
      <c r="B70" s="82" t="s">
        <v>207</v>
      </c>
      <c r="C70" s="83" t="s">
        <v>208</v>
      </c>
    </row>
    <row r="71" customFormat="false" ht="18" hidden="false" customHeight="true" outlineLevel="0" collapsed="false">
      <c r="B71" s="82" t="s">
        <v>209</v>
      </c>
      <c r="C71" s="83" t="s">
        <v>210</v>
      </c>
    </row>
    <row r="72" customFormat="false" ht="18" hidden="false" customHeight="true" outlineLevel="0" collapsed="false">
      <c r="B72" s="82" t="s">
        <v>211</v>
      </c>
      <c r="C72" s="83" t="s">
        <v>212</v>
      </c>
    </row>
    <row r="73" customFormat="false" ht="31.5" hidden="false" customHeight="true" outlineLevel="0" collapsed="false">
      <c r="B73" s="89" t="s">
        <v>213</v>
      </c>
      <c r="C73" s="89"/>
    </row>
    <row r="74" customFormat="false" ht="9.75" hidden="false" customHeight="true" outlineLevel="0" collapsed="false"/>
    <row r="75" customFormat="false" ht="24" hidden="false" customHeight="true" outlineLevel="0" collapsed="false">
      <c r="B75" s="12" t="s">
        <v>214</v>
      </c>
      <c r="C75" s="12"/>
    </row>
    <row r="76" customFormat="false" ht="31.5" hidden="false" customHeight="true" outlineLevel="0" collapsed="false">
      <c r="B76" s="82" t="s">
        <v>215</v>
      </c>
      <c r="C76" s="83" t="s">
        <v>216</v>
      </c>
    </row>
    <row r="77" customFormat="false" ht="31.5" hidden="false" customHeight="true" outlineLevel="0" collapsed="false">
      <c r="B77" s="82" t="s">
        <v>217</v>
      </c>
      <c r="C77" s="83" t="s">
        <v>218</v>
      </c>
    </row>
    <row r="78" customFormat="false" ht="31.5" hidden="false" customHeight="true" outlineLevel="0" collapsed="false">
      <c r="B78" s="82" t="s">
        <v>219</v>
      </c>
      <c r="C78" s="83" t="s">
        <v>220</v>
      </c>
    </row>
    <row r="79" customFormat="false" ht="9.75" hidden="false" customHeight="true" outlineLevel="0" collapsed="false"/>
    <row r="80" customFormat="false" ht="24" hidden="false" customHeight="true" outlineLevel="0" collapsed="false">
      <c r="B80" s="12" t="s">
        <v>221</v>
      </c>
      <c r="C80" s="12"/>
    </row>
    <row r="81" customFormat="false" ht="18" hidden="false" customHeight="true" outlineLevel="0" collapsed="false">
      <c r="B81" s="82" t="s">
        <v>222</v>
      </c>
      <c r="C81" s="83" t="s">
        <v>223</v>
      </c>
    </row>
    <row r="82" customFormat="false" ht="18" hidden="false" customHeight="true" outlineLevel="0" collapsed="false">
      <c r="B82" s="82" t="s">
        <v>224</v>
      </c>
      <c r="C82" s="83" t="s">
        <v>225</v>
      </c>
    </row>
    <row r="83" customFormat="false" ht="18" hidden="false" customHeight="true" outlineLevel="0" collapsed="false">
      <c r="B83" s="82" t="s">
        <v>226</v>
      </c>
      <c r="C83" s="83" t="s">
        <v>227</v>
      </c>
    </row>
    <row r="84" customFormat="false" ht="31.5" hidden="false" customHeight="true" outlineLevel="0" collapsed="false">
      <c r="B84" s="82" t="s">
        <v>228</v>
      </c>
      <c r="C84" s="83" t="s">
        <v>229</v>
      </c>
    </row>
    <row r="85" customFormat="false" ht="18" hidden="false" customHeight="true" outlineLevel="0" collapsed="false">
      <c r="B85" s="82" t="s">
        <v>230</v>
      </c>
      <c r="C85" s="83" t="s">
        <v>231</v>
      </c>
    </row>
  </sheetData>
  <mergeCells count="15">
    <mergeCell ref="B2:C2"/>
    <mergeCell ref="B4:C4"/>
    <mergeCell ref="B5:C5"/>
    <mergeCell ref="B7:C7"/>
    <mergeCell ref="B15:C15"/>
    <mergeCell ref="B21:C21"/>
    <mergeCell ref="B27:C27"/>
    <mergeCell ref="B37:C37"/>
    <mergeCell ref="B41:C41"/>
    <mergeCell ref="B56:C56"/>
    <mergeCell ref="B57:C57"/>
    <mergeCell ref="B66:C66"/>
    <mergeCell ref="B73:C73"/>
    <mergeCell ref="B75:C75"/>
    <mergeCell ref="B80:C8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2" activeCellId="0" sqref="A2"/>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40"/>
    <col collapsed="false" customWidth="true" hidden="false" outlineLevel="0" max="5" min="4" style="1" width="18"/>
    <col collapsed="false" customWidth="true" hidden="false" outlineLevel="0" max="6" min="6" style="1" width="16"/>
    <col collapsed="false" customWidth="true" hidden="false" outlineLevel="0" max="7" min="7" style="1" width="14"/>
    <col collapsed="false" customWidth="true" hidden="false" outlineLevel="0" max="10" min="8" style="1" width="10"/>
    <col collapsed="false" customWidth="true" hidden="false" outlineLevel="0" max="11" min="11" style="1" width="8"/>
    <col collapsed="false" customWidth="true" hidden="false" outlineLevel="0" max="12" min="12" style="1" width="10"/>
    <col collapsed="false" customWidth="true" hidden="false" outlineLevel="0" max="13" min="13" style="1" width="8"/>
    <col collapsed="false" customWidth="true" hidden="false" outlineLevel="0" max="14" min="14" style="1" width="12"/>
    <col collapsed="false" customWidth="true" hidden="false" outlineLevel="0" max="15" min="15" style="1" width="16"/>
    <col collapsed="false" customWidth="true" hidden="false" outlineLevel="0" max="16" min="16" style="1" width="14"/>
    <col collapsed="false" customWidth="true" hidden="false" outlineLevel="0" max="17" min="17" style="1" width="12"/>
    <col collapsed="false" customWidth="true" hidden="false" outlineLevel="0" max="18" min="18" style="1" width="10"/>
    <col collapsed="false" customWidth="true" hidden="false" outlineLevel="0" max="19" min="19" style="1" width="14"/>
    <col collapsed="false" customWidth="true" hidden="false" outlineLevel="0" max="21" min="20" style="1" width="12"/>
    <col collapsed="false" customWidth="true" hidden="false" outlineLevel="0" max="22" min="22" style="1" width="22"/>
    <col collapsed="false" customWidth="true" hidden="false" outlineLevel="0" max="23" min="23" style="1" width="24"/>
    <col collapsed="false" customWidth="true" hidden="false" outlineLevel="0" max="24" min="24" style="1" width="30"/>
    <col collapsed="false" customWidth="true" hidden="false" outlineLevel="0" max="27" min="25" style="1" width="22"/>
    <col collapsed="false" customWidth="true" hidden="false" outlineLevel="0" max="28" min="28" style="1" width="18"/>
    <col collapsed="false" customWidth="true" hidden="false" outlineLevel="0" max="29" min="29" style="1" width="12"/>
    <col collapsed="false" customWidth="true" hidden="false" outlineLevel="0" max="30" min="30" style="1" width="14"/>
    <col collapsed="false" customWidth="true" hidden="false" outlineLevel="0" max="31" min="31" style="1" width="10"/>
    <col collapsed="false" customWidth="true" hidden="false" outlineLevel="0" max="32" min="32" style="1" width="12"/>
    <col collapsed="false" customWidth="true" hidden="false" outlineLevel="0" max="33" min="33" style="1" width="26"/>
    <col collapsed="false" customWidth="true" hidden="false" outlineLevel="0" max="34" min="34" style="1" width="16"/>
  </cols>
  <sheetData>
    <row r="1" customFormat="false" ht="30" hidden="false" customHeight="true" outlineLevel="0" collapsed="false">
      <c r="A1" s="33" t="s">
        <v>232</v>
      </c>
      <c r="B1" s="33" t="s">
        <v>233</v>
      </c>
      <c r="C1" s="33" t="s">
        <v>234</v>
      </c>
      <c r="D1" s="33" t="s">
        <v>235</v>
      </c>
      <c r="E1" s="33" t="s">
        <v>236</v>
      </c>
      <c r="F1" s="33" t="s">
        <v>237</v>
      </c>
      <c r="G1" s="33" t="s">
        <v>238</v>
      </c>
      <c r="H1" s="33" t="s">
        <v>30</v>
      </c>
      <c r="I1" s="33" t="s">
        <v>239</v>
      </c>
      <c r="J1" s="33" t="s">
        <v>240</v>
      </c>
      <c r="K1" s="33" t="s">
        <v>241</v>
      </c>
      <c r="L1" s="33" t="s">
        <v>242</v>
      </c>
      <c r="M1" s="33" t="s">
        <v>243</v>
      </c>
      <c r="N1" s="33" t="s">
        <v>28</v>
      </c>
      <c r="O1" s="33" t="s">
        <v>244</v>
      </c>
      <c r="P1" s="33" t="s">
        <v>245</v>
      </c>
      <c r="Q1" s="33" t="s">
        <v>246</v>
      </c>
      <c r="R1" s="33" t="s">
        <v>247</v>
      </c>
      <c r="S1" s="33" t="s">
        <v>194</v>
      </c>
      <c r="T1" s="33" t="s">
        <v>248</v>
      </c>
      <c r="U1" s="33" t="s">
        <v>249</v>
      </c>
      <c r="V1" s="33" t="s">
        <v>250</v>
      </c>
      <c r="W1" s="33" t="s">
        <v>251</v>
      </c>
      <c r="X1" s="33" t="s">
        <v>252</v>
      </c>
      <c r="Y1" s="33" t="s">
        <v>253</v>
      </c>
      <c r="Z1" s="33" t="s">
        <v>254</v>
      </c>
      <c r="AA1" s="33" t="s">
        <v>255</v>
      </c>
      <c r="AB1" s="33" t="s">
        <v>256</v>
      </c>
      <c r="AC1" s="33" t="s">
        <v>257</v>
      </c>
      <c r="AD1" s="33" t="s">
        <v>258</v>
      </c>
      <c r="AE1" s="33" t="s">
        <v>259</v>
      </c>
      <c r="AF1" s="33" t="s">
        <v>260</v>
      </c>
      <c r="AG1" s="33" t="s">
        <v>261</v>
      </c>
      <c r="AH1" s="33" t="s">
        <v>262</v>
      </c>
    </row>
    <row r="2" customFormat="false" ht="27.75" hidden="false" customHeight="true" outlineLevel="0" collapsed="false">
      <c r="A2" s="90" t="s">
        <v>263</v>
      </c>
      <c r="B2" s="91" t="s">
        <v>264</v>
      </c>
      <c r="C2" s="91" t="s">
        <v>265</v>
      </c>
      <c r="D2" s="91" t="s">
        <v>266</v>
      </c>
      <c r="E2" s="91" t="s">
        <v>267</v>
      </c>
      <c r="F2" s="91" t="s">
        <v>268</v>
      </c>
      <c r="G2" s="91" t="s">
        <v>268</v>
      </c>
      <c r="H2" s="91" t="s">
        <v>32</v>
      </c>
      <c r="I2" s="91" t="s">
        <v>34</v>
      </c>
      <c r="J2" s="91" t="s">
        <v>34</v>
      </c>
      <c r="K2" s="91" t="s">
        <v>269</v>
      </c>
      <c r="L2" s="92" t="n">
        <f aca="false">IF(OR($B2="", $H2="", $I2="", $J2="", $K2=""),"",ROUND((VLOOKUP($H2,Lists!$E$2:$F$5,2,FALSE())*VLOOKUP($I2,Lists!$H$2:$I$4,2,FALSE())*VLOOKUP($J2,Lists!$K$2:$L$4,2,FALSE()))/VLOOKUP($K2,Lists!$N$2:$O$6,2,FALSE()),2))</f>
        <v>2.4</v>
      </c>
      <c r="M2" s="93" t="str">
        <f aca="false">IF($B2="","",IF($AC2&lt;&gt;"",$AC2,IF($H2="Critical","P0",IF(NOT(ISNUMBER($L2)),"",IF($L2&gt;=Lists!$AM$2,"P0",IF($L2&gt;=Lists!$AM$3,"P1",IF($L2&gt;=Lists!$AM$4,"P2","P3")))))))</f>
        <v>P0</v>
      </c>
      <c r="N2" s="91" t="s">
        <v>37</v>
      </c>
      <c r="O2" s="91" t="s">
        <v>270</v>
      </c>
      <c r="P2" s="91" t="s">
        <v>271</v>
      </c>
      <c r="Q2" s="94" t="n">
        <v>45976</v>
      </c>
      <c r="R2" s="95" t="n">
        <f aca="true">IF($Q2="","", TODAY()-$Q2)</f>
        <v>344</v>
      </c>
      <c r="S2" s="91" t="s">
        <v>272</v>
      </c>
      <c r="T2" s="94"/>
      <c r="U2" s="94"/>
      <c r="V2" s="91" t="s">
        <v>273</v>
      </c>
      <c r="W2" s="91" t="s">
        <v>274</v>
      </c>
      <c r="X2" s="91" t="s">
        <v>275</v>
      </c>
      <c r="Y2" s="96"/>
      <c r="Z2" s="96"/>
      <c r="AA2" s="96"/>
      <c r="AC2" s="91"/>
      <c r="AD2" s="97" t="n">
        <f aca="false">IF($B2="","",IF(ISNUMBER($T2),$T2,IF(OR(NOT(ISNUMBER($Q2)),$S2=""),"",IFERROR(IF(ISNUMBER(INDEX(Lists!$AJ$2:$AJ$7,MATCH($S2,Lists!$AI$2:$AI$7,0))),$Q2+INDEX(Lists!$AJ$2:$AJ$7,MATCH($S2,Lists!$AI$2:$AI$7,0)),""),""))))</f>
        <v>46066</v>
      </c>
      <c r="AE2" s="93" t="str">
        <f aca="true">IF($B2="","",IF(AND(ISNUMBER($AD2),N($AD2)&lt;TODAY(),$N2&lt;&gt;"Done",$N2&lt;&gt;"Won't Fix",$N2&lt;&gt;"Duplicate"),"Yes","No"))</f>
        <v>Yes</v>
      </c>
      <c r="AF2" s="91" t="s">
        <v>276</v>
      </c>
      <c r="AG2" s="93" t="str">
        <f aca="false">IF($AF2="","",IFERROR(VLOOKUP($AF2,'Application Portfolio'!$A$2:$B$1000,2,FALSE()),"Unknown App ID"))</f>
        <v>Customer Portal</v>
      </c>
      <c r="AH2" s="93" t="str">
        <f aca="false">IF(OR($B2="",$AF2=""),"",IFERROR(VLOOKUP($AF2,'Application Portfolio'!$A$2:$AB$1000,28,FALSE()),""))</f>
        <v>Migrate</v>
      </c>
    </row>
    <row r="3" customFormat="false" ht="27.75" hidden="false" customHeight="true" outlineLevel="0" collapsed="false">
      <c r="A3" s="90" t="s">
        <v>277</v>
      </c>
      <c r="B3" s="98" t="s">
        <v>278</v>
      </c>
      <c r="C3" s="98" t="s">
        <v>279</v>
      </c>
      <c r="D3" s="98" t="s">
        <v>280</v>
      </c>
      <c r="E3" s="98" t="s">
        <v>281</v>
      </c>
      <c r="F3" s="98" t="s">
        <v>282</v>
      </c>
      <c r="G3" s="98" t="s">
        <v>283</v>
      </c>
      <c r="H3" s="98" t="s">
        <v>34</v>
      </c>
      <c r="I3" s="98" t="s">
        <v>34</v>
      </c>
      <c r="J3" s="98" t="s">
        <v>34</v>
      </c>
      <c r="K3" s="98" t="s">
        <v>284</v>
      </c>
      <c r="L3" s="92" t="n">
        <f aca="false">IF(OR($B3="", $H3="", $I3="", $J3="", $K3=""),"",ROUND((VLOOKUP($H3,Lists!$E$2:$F$5,2,FALSE())*VLOOKUP($I3,Lists!$H$2:$I$4,2,FALSE())*VLOOKUP($J3,Lists!$K$2:$L$4,2,FALSE()))/VLOOKUP($K3,Lists!$N$2:$O$6,2,FALSE()),2))</f>
        <v>3</v>
      </c>
      <c r="M3" s="93" t="str">
        <f aca="false">IF($B3="","",IF($AC3&lt;&gt;"",$AC3,IF($H3="Critical","P0",IF(NOT(ISNUMBER($L3)),"",IF($L3&gt;=Lists!$AM$2,"P0",IF($L3&gt;=Lists!$AM$3,"P1",IF($L3&gt;=Lists!$AM$4,"P2","P3")))))))</f>
        <v>P1</v>
      </c>
      <c r="N3" s="98" t="s">
        <v>35</v>
      </c>
      <c r="O3" s="98" t="s">
        <v>285</v>
      </c>
      <c r="P3" s="98" t="s">
        <v>286</v>
      </c>
      <c r="Q3" s="99" t="n">
        <v>45994</v>
      </c>
      <c r="R3" s="95" t="n">
        <f aca="true">IF($Q3="","", TODAY()-$Q3)</f>
        <v>326</v>
      </c>
      <c r="S3" s="98" t="s">
        <v>287</v>
      </c>
      <c r="T3" s="99"/>
      <c r="U3" s="99"/>
      <c r="V3" s="98" t="s">
        <v>288</v>
      </c>
      <c r="W3" s="98" t="s">
        <v>289</v>
      </c>
      <c r="X3" s="98"/>
      <c r="Y3" s="96"/>
      <c r="Z3" s="96"/>
      <c r="AA3" s="96"/>
      <c r="AC3" s="98"/>
      <c r="AD3" s="97" t="n">
        <f aca="false">IF($B3="","",IF(ISNUMBER($T3),$T3,IF(OR(NOT(ISNUMBER($Q3)),$S3=""),"",IFERROR(IF(ISNUMBER(INDEX(Lists!$AJ$2:$AJ$7,MATCH($S3,Lists!$AI$2:$AI$7,0))),$Q3+INDEX(Lists!$AJ$2:$AJ$7,MATCH($S3,Lists!$AI$2:$AI$7,0)),""),""))))</f>
        <v>46008</v>
      </c>
      <c r="AE3" s="93" t="str">
        <f aca="true">IF($B3="","",IF(AND(ISNUMBER($AD3),N($AD3)&lt;TODAY(),$N3&lt;&gt;"Done",$N3&lt;&gt;"Won't Fix",$N3&lt;&gt;"Duplicate"),"Yes","No"))</f>
        <v>Yes</v>
      </c>
      <c r="AF3" s="98" t="s">
        <v>290</v>
      </c>
      <c r="AG3" s="93" t="str">
        <f aca="false">IF($AF3="","",IFERROR(VLOOKUP($AF3,'Application Portfolio'!$A$2:$B$1000,2,FALSE()),"Unknown App ID"))</f>
        <v>Order Management System</v>
      </c>
      <c r="AH3" s="93" t="str">
        <f aca="false">IF(OR($B3="",$AF3=""),"",IFERROR(VLOOKUP($AF3,'Application Portfolio'!$A$2:$AB$1000,28,FALSE()),""))</f>
        <v>Invest</v>
      </c>
    </row>
    <row r="4" customFormat="false" ht="27.75" hidden="false" customHeight="true" outlineLevel="0" collapsed="false">
      <c r="A4" s="90" t="s">
        <v>291</v>
      </c>
      <c r="B4" s="91" t="s">
        <v>292</v>
      </c>
      <c r="C4" s="91" t="s">
        <v>293</v>
      </c>
      <c r="D4" s="91" t="s">
        <v>294</v>
      </c>
      <c r="E4" s="91" t="s">
        <v>295</v>
      </c>
      <c r="F4" s="91" t="s">
        <v>296</v>
      </c>
      <c r="G4" s="91" t="s">
        <v>297</v>
      </c>
      <c r="H4" s="91" t="s">
        <v>34</v>
      </c>
      <c r="I4" s="91" t="s">
        <v>36</v>
      </c>
      <c r="J4" s="91" t="s">
        <v>34</v>
      </c>
      <c r="K4" s="91" t="s">
        <v>298</v>
      </c>
      <c r="L4" s="92" t="n">
        <f aca="false">IF(OR($B4="", $H4="", $I4="", $J4="", $K4=""),"",ROUND((VLOOKUP($H4,Lists!$E$2:$F$5,2,FALSE())*VLOOKUP($I4,Lists!$H$2:$I$4,2,FALSE())*VLOOKUP($J4,Lists!$K$2:$L$4,2,FALSE()))/VLOOKUP($K4,Lists!$N$2:$O$6,2,FALSE()),2))</f>
        <v>3</v>
      </c>
      <c r="M4" s="93" t="str">
        <f aca="false">IF($B4="","",IF($AC4&lt;&gt;"",$AC4,IF($H4="Critical","P0",IF(NOT(ISNUMBER($L4)),"",IF($L4&gt;=Lists!$AM$2,"P0",IF($L4&gt;=Lists!$AM$3,"P1",IF($L4&gt;=Lists!$AM$4,"P2","P3")))))))</f>
        <v>P1</v>
      </c>
      <c r="N4" s="91" t="s">
        <v>33</v>
      </c>
      <c r="O4" s="91" t="s">
        <v>299</v>
      </c>
      <c r="P4" s="91" t="s">
        <v>300</v>
      </c>
      <c r="Q4" s="94" t="n">
        <v>46030</v>
      </c>
      <c r="R4" s="95" t="n">
        <f aca="true">IF($Q4="","", TODAY()-$Q4)</f>
        <v>290</v>
      </c>
      <c r="S4" s="91" t="s">
        <v>301</v>
      </c>
      <c r="T4" s="94"/>
      <c r="U4" s="94"/>
      <c r="V4" s="91" t="s">
        <v>288</v>
      </c>
      <c r="W4" s="91" t="s">
        <v>302</v>
      </c>
      <c r="X4" s="91"/>
      <c r="Y4" s="96"/>
      <c r="Z4" s="96"/>
      <c r="AA4" s="96"/>
      <c r="AC4" s="91"/>
      <c r="AD4" s="97" t="n">
        <f aca="false">IF($B4="","",IF(ISNUMBER($T4),$T4,IF(OR(NOT(ISNUMBER($Q4)),$S4=""),"",IFERROR(IF(ISNUMBER(INDEX(Lists!$AJ$2:$AJ$7,MATCH($S4,Lists!$AI$2:$AI$7,0))),$Q4+INDEX(Lists!$AJ$2:$AJ$7,MATCH($S4,Lists!$AI$2:$AI$7,0)),""),""))))</f>
        <v>46058</v>
      </c>
      <c r="AE4" s="93" t="str">
        <f aca="true">IF($B4="","",IF(AND(ISNUMBER($AD4),N($AD4)&lt;TODAY(),$N4&lt;&gt;"Done",$N4&lt;&gt;"Won't Fix",$N4&lt;&gt;"Duplicate"),"Yes","No"))</f>
        <v>Yes</v>
      </c>
      <c r="AF4" s="91" t="s">
        <v>303</v>
      </c>
      <c r="AG4" s="93" t="str">
        <f aca="false">IF($AF4="","",IFERROR(VLOOKUP($AF4,'Application Portfolio'!$A$2:$B$1000,2,FALSE()),"Unknown App ID"))</f>
        <v>Payment Processor</v>
      </c>
      <c r="AH4" s="93" t="str">
        <f aca="false">IF(OR($B4="",$AF4=""),"",IFERROR(VLOOKUP($AF4,'Application Portfolio'!$A$2:$AB$1000,28,FALSE()),""))</f>
        <v>Migrate</v>
      </c>
    </row>
    <row r="5" customFormat="false" ht="15.75" hidden="false" customHeight="true" outlineLevel="0" collapsed="false">
      <c r="A5" s="90" t="s">
        <v>304</v>
      </c>
      <c r="B5" s="98" t="s">
        <v>305</v>
      </c>
      <c r="C5" s="98" t="s">
        <v>306</v>
      </c>
      <c r="D5" s="98" t="s">
        <v>307</v>
      </c>
      <c r="E5" s="98" t="s">
        <v>308</v>
      </c>
      <c r="F5" s="98" t="s">
        <v>309</v>
      </c>
      <c r="G5" s="98" t="s">
        <v>310</v>
      </c>
      <c r="H5" s="98" t="s">
        <v>36</v>
      </c>
      <c r="I5" s="98" t="s">
        <v>34</v>
      </c>
      <c r="J5" s="98" t="s">
        <v>36</v>
      </c>
      <c r="K5" s="98" t="s">
        <v>269</v>
      </c>
      <c r="L5" s="92" t="n">
        <f aca="false">IF(OR($B5="", $H5="", $I5="", $J5="", $K5=""),"",ROUND((VLOOKUP($H5,Lists!$E$2:$F$5,2,FALSE())*VLOOKUP($I5,Lists!$H$2:$I$4,2,FALSE())*VLOOKUP($J5,Lists!$K$2:$L$4,2,FALSE()))/VLOOKUP($K5,Lists!$N$2:$O$6,2,FALSE()),2))</f>
        <v>0.96</v>
      </c>
      <c r="M5" s="93" t="str">
        <f aca="false">IF($B5="","",IF($AC5&lt;&gt;"",$AC5,IF($H5="Critical","P0",IF(NOT(ISNUMBER($L5)),"",IF($L5&gt;=Lists!$AM$2,"P0",IF($L5&gt;=Lists!$AM$3,"P1",IF($L5&gt;=Lists!$AM$4,"P2","P3")))))))</f>
        <v>P3</v>
      </c>
      <c r="N5" s="98" t="s">
        <v>31</v>
      </c>
      <c r="O5" s="98"/>
      <c r="P5" s="98" t="s">
        <v>311</v>
      </c>
      <c r="Q5" s="99" t="n">
        <v>46065</v>
      </c>
      <c r="R5" s="95" t="n">
        <f aca="true">IF($Q5="","", TODAY()-$Q5)</f>
        <v>255</v>
      </c>
      <c r="S5" s="98" t="s">
        <v>312</v>
      </c>
      <c r="T5" s="99"/>
      <c r="U5" s="99"/>
      <c r="V5" s="98" t="s">
        <v>313</v>
      </c>
      <c r="W5" s="98"/>
      <c r="X5" s="98" t="s">
        <v>314</v>
      </c>
      <c r="Y5" s="96"/>
      <c r="Z5" s="96"/>
      <c r="AA5" s="96"/>
      <c r="AC5" s="98"/>
      <c r="AD5" s="97" t="n">
        <f aca="false">IF($B5="","",IF(ISNUMBER($T5),$T5,IF(OR(NOT(ISNUMBER($Q5)),$S5=""),"",IFERROR(IF(ISNUMBER(INDEX(Lists!$AJ$2:$AJ$7,MATCH($S5,Lists!$AI$2:$AI$7,0))),$Q5+INDEX(Lists!$AJ$2:$AJ$7,MATCH($S5,Lists!$AI$2:$AI$7,0)),""),""))))</f>
        <v>46245</v>
      </c>
      <c r="AE5" s="93" t="str">
        <f aca="true">IF($B5="","",IF(AND(ISNUMBER($AD5),N($AD5)&lt;TODAY(),$N5&lt;&gt;"Done",$N5&lt;&gt;"Won't Fix",$N5&lt;&gt;"Duplicate"),"Yes","No"))</f>
        <v>Yes</v>
      </c>
      <c r="AF5" s="98"/>
      <c r="AG5" s="93" t="str">
        <f aca="false">IF($AF5="","",IFERROR(VLOOKUP($AF5,'Application Portfolio'!$A$2:$B$1000,2,FALSE()),"Unknown App ID"))</f>
        <v/>
      </c>
      <c r="AH5" s="93" t="str">
        <f aca="false">IF(OR($B5="",$AF5=""),"",IFERROR(VLOOKUP($AF5,'Application Portfolio'!$A$2:$AB$1000,28,FALSE()),""))</f>
        <v/>
      </c>
    </row>
    <row r="6" customFormat="false" ht="15.75" hidden="false" customHeight="true" outlineLevel="0" collapsed="false">
      <c r="A6" s="90" t="s">
        <v>315</v>
      </c>
      <c r="B6" s="91" t="s">
        <v>316</v>
      </c>
      <c r="C6" s="91" t="s">
        <v>317</v>
      </c>
      <c r="D6" s="91" t="s">
        <v>266</v>
      </c>
      <c r="E6" s="91" t="s">
        <v>318</v>
      </c>
      <c r="F6" s="91" t="s">
        <v>319</v>
      </c>
      <c r="G6" s="91" t="s">
        <v>320</v>
      </c>
      <c r="H6" s="91" t="s">
        <v>36</v>
      </c>
      <c r="I6" s="91" t="s">
        <v>36</v>
      </c>
      <c r="J6" s="91" t="s">
        <v>34</v>
      </c>
      <c r="K6" s="91" t="s">
        <v>284</v>
      </c>
      <c r="L6" s="92" t="n">
        <f aca="false">IF(OR($B6="", $H6="", $I6="", $J6="", $K6=""),"",ROUND((VLOOKUP($H6,Lists!$E$2:$F$5,2,FALSE())*VLOOKUP($I6,Lists!$H$2:$I$4,2,FALSE())*VLOOKUP($J6,Lists!$K$2:$L$4,2,FALSE()))/VLOOKUP($K6,Lists!$N$2:$O$6,2,FALSE()),2))</f>
        <v>1.33</v>
      </c>
      <c r="M6" s="93" t="str">
        <f aca="false">IF($B6="","",IF($AC6&lt;&gt;"",$AC6,IF($H6="Critical","P0",IF(NOT(ISNUMBER($L6)),"",IF($L6&gt;=Lists!$AM$2,"P0",IF($L6&gt;=Lists!$AM$3,"P1",IF($L6&gt;=Lists!$AM$4,"P2","P3")))))))</f>
        <v>P3</v>
      </c>
      <c r="N6" s="91" t="s">
        <v>35</v>
      </c>
      <c r="O6" s="91" t="s">
        <v>321</v>
      </c>
      <c r="P6" s="91" t="s">
        <v>322</v>
      </c>
      <c r="Q6" s="94" t="n">
        <v>45952</v>
      </c>
      <c r="R6" s="95" t="n">
        <f aca="true">IF($Q6="","", TODAY()-$Q6)</f>
        <v>368</v>
      </c>
      <c r="S6" s="91" t="s">
        <v>312</v>
      </c>
      <c r="T6" s="94"/>
      <c r="U6" s="94"/>
      <c r="V6" s="91" t="s">
        <v>323</v>
      </c>
      <c r="W6" s="91" t="s">
        <v>324</v>
      </c>
      <c r="X6" s="91"/>
      <c r="Y6" s="96"/>
      <c r="Z6" s="96"/>
      <c r="AA6" s="96"/>
      <c r="AC6" s="91"/>
      <c r="AD6" s="97" t="n">
        <f aca="false">IF($B6="","",IF(ISNUMBER($T6),$T6,IF(OR(NOT(ISNUMBER($Q6)),$S6=""),"",IFERROR(IF(ISNUMBER(INDEX(Lists!$AJ$2:$AJ$7,MATCH($S6,Lists!$AI$2:$AI$7,0))),$Q6+INDEX(Lists!$AJ$2:$AJ$7,MATCH($S6,Lists!$AI$2:$AI$7,0)),""),""))))</f>
        <v>46132</v>
      </c>
      <c r="AE6" s="93" t="str">
        <f aca="true">IF($B6="","",IF(AND(ISNUMBER($AD6),N($AD6)&lt;TODAY(),$N6&lt;&gt;"Done",$N6&lt;&gt;"Won't Fix",$N6&lt;&gt;"Duplicate"),"Yes","No"))</f>
        <v>Yes</v>
      </c>
      <c r="AF6" s="91" t="s">
        <v>276</v>
      </c>
      <c r="AG6" s="93" t="str">
        <f aca="false">IF($AF6="","",IFERROR(VLOOKUP($AF6,'Application Portfolio'!$A$2:$B$1000,2,FALSE()),"Unknown App ID"))</f>
        <v>Customer Portal</v>
      </c>
      <c r="AH6" s="93" t="str">
        <f aca="false">IF(OR($B6="",$AF6=""),"",IFERROR(VLOOKUP($AF6,'Application Portfolio'!$A$2:$AB$1000,28,FALSE()),""))</f>
        <v>Migrate</v>
      </c>
    </row>
    <row r="7" customFormat="false" ht="15.75" hidden="false" customHeight="true" outlineLevel="0" collapsed="false">
      <c r="A7" s="90" t="s">
        <v>325</v>
      </c>
      <c r="B7" s="98" t="s">
        <v>326</v>
      </c>
      <c r="C7" s="98" t="s">
        <v>327</v>
      </c>
      <c r="D7" s="98" t="s">
        <v>328</v>
      </c>
      <c r="E7" s="98" t="s">
        <v>329</v>
      </c>
      <c r="F7" s="98" t="s">
        <v>330</v>
      </c>
      <c r="G7" s="98" t="s">
        <v>310</v>
      </c>
      <c r="H7" s="98" t="s">
        <v>34</v>
      </c>
      <c r="I7" s="98" t="s">
        <v>34</v>
      </c>
      <c r="J7" s="98" t="s">
        <v>36</v>
      </c>
      <c r="K7" s="98" t="s">
        <v>298</v>
      </c>
      <c r="L7" s="92" t="n">
        <f aca="false">IF(OR($B7="", $H7="", $I7="", $J7="", $K7=""),"",ROUND((VLOOKUP($H7,Lists!$E$2:$F$5,2,FALSE())*VLOOKUP($I7,Lists!$H$2:$I$4,2,FALSE())*VLOOKUP($J7,Lists!$K$2:$L$4,2,FALSE()))/VLOOKUP($K7,Lists!$N$2:$O$6,2,FALSE()),2))</f>
        <v>3.6</v>
      </c>
      <c r="M7" s="93" t="str">
        <f aca="false">IF($B7="","",IF($AC7&lt;&gt;"",$AC7,IF($H7="Critical","P0",IF(NOT(ISNUMBER($L7)),"",IF($L7&gt;=Lists!$AM$2,"P0",IF($L7&gt;=Lists!$AM$3,"P1",IF($L7&gt;=Lists!$AM$4,"P2","P3")))))))</f>
        <v>P0</v>
      </c>
      <c r="N7" s="98" t="s">
        <v>37</v>
      </c>
      <c r="O7" s="98" t="s">
        <v>331</v>
      </c>
      <c r="P7" s="98" t="s">
        <v>332</v>
      </c>
      <c r="Q7" s="99" t="n">
        <v>46009</v>
      </c>
      <c r="R7" s="95" t="n">
        <f aca="true">IF($Q7="","", TODAY()-$Q7)</f>
        <v>311</v>
      </c>
      <c r="S7" s="98" t="s">
        <v>287</v>
      </c>
      <c r="T7" s="99"/>
      <c r="U7" s="99"/>
      <c r="V7" s="98" t="s">
        <v>333</v>
      </c>
      <c r="W7" s="98" t="s">
        <v>334</v>
      </c>
      <c r="X7" s="98"/>
      <c r="Y7" s="96"/>
      <c r="Z7" s="96"/>
      <c r="AA7" s="96"/>
      <c r="AC7" s="98"/>
      <c r="AD7" s="97" t="n">
        <f aca="false">IF($B7="","",IF(ISNUMBER($T7),$T7,IF(OR(NOT(ISNUMBER($Q7)),$S7=""),"",IFERROR(IF(ISNUMBER(INDEX(Lists!$AJ$2:$AJ$7,MATCH($S7,Lists!$AI$2:$AI$7,0))),$Q7+INDEX(Lists!$AJ$2:$AJ$7,MATCH($S7,Lists!$AI$2:$AI$7,0)),""),""))))</f>
        <v>46023</v>
      </c>
      <c r="AE7" s="93" t="str">
        <f aca="true">IF($B7="","",IF(AND(ISNUMBER($AD7),N($AD7)&lt;TODAY(),$N7&lt;&gt;"Done",$N7&lt;&gt;"Won't Fix",$N7&lt;&gt;"Duplicate"),"Yes","No"))</f>
        <v>Yes</v>
      </c>
      <c r="AF7" s="98" t="s">
        <v>335</v>
      </c>
      <c r="AG7" s="93" t="str">
        <f aca="false">IF($AF7="","",IFERROR(VLOOKUP($AF7,'Application Portfolio'!$A$2:$B$1000,2,FALSE()),"Unknown App ID"))</f>
        <v>Financial Reconciliation</v>
      </c>
      <c r="AH7" s="93" t="str">
        <f aca="false">IF(OR($B7="",$AF7=""),"",IFERROR(VLOOKUP($AF7,'Application Portfolio'!$A$2:$AB$1000,28,FALSE()),""))</f>
        <v>Migrate</v>
      </c>
    </row>
    <row r="8" customFormat="false" ht="15.75" hidden="false" customHeight="true" outlineLevel="0" collapsed="false">
      <c r="A8" s="90" t="s">
        <v>336</v>
      </c>
      <c r="B8" s="91" t="s">
        <v>337</v>
      </c>
      <c r="C8" s="91" t="s">
        <v>338</v>
      </c>
      <c r="D8" s="91" t="s">
        <v>339</v>
      </c>
      <c r="E8" s="91" t="s">
        <v>340</v>
      </c>
      <c r="F8" s="91" t="s">
        <v>341</v>
      </c>
      <c r="G8" s="91" t="s">
        <v>320</v>
      </c>
      <c r="H8" s="91" t="s">
        <v>38</v>
      </c>
      <c r="I8" s="91" t="s">
        <v>36</v>
      </c>
      <c r="J8" s="91" t="s">
        <v>34</v>
      </c>
      <c r="K8" s="91" t="s">
        <v>342</v>
      </c>
      <c r="L8" s="92" t="n">
        <f aca="false">IF(OR($B8="", $H8="", $I8="", $J8="", $K8=""),"",ROUND((VLOOKUP($H8,Lists!$E$2:$F$5,2,FALSE())*VLOOKUP($I8,Lists!$H$2:$I$4,2,FALSE())*VLOOKUP($J8,Lists!$K$2:$L$4,2,FALSE()))/VLOOKUP($K8,Lists!$N$2:$O$6,2,FALSE()),2))</f>
        <v>2</v>
      </c>
      <c r="M8" s="93" t="str">
        <f aca="false">IF($B8="","",IF($AC8&lt;&gt;"",$AC8,IF($H8="Critical","P0",IF(NOT(ISNUMBER($L8)),"",IF($L8&gt;=Lists!$AM$2,"P0",IF($L8&gt;=Lists!$AM$3,"P1",IF($L8&gt;=Lists!$AM$4,"P2","P3")))))))</f>
        <v>P2</v>
      </c>
      <c r="N8" s="91" t="s">
        <v>31</v>
      </c>
      <c r="O8" s="91" t="s">
        <v>343</v>
      </c>
      <c r="P8" s="91" t="s">
        <v>300</v>
      </c>
      <c r="Q8" s="94" t="n">
        <v>46086</v>
      </c>
      <c r="R8" s="95" t="n">
        <f aca="true">IF($Q8="","", TODAY()-$Q8)</f>
        <v>234</v>
      </c>
      <c r="S8" s="91" t="s">
        <v>344</v>
      </c>
      <c r="T8" s="94"/>
      <c r="U8" s="94"/>
      <c r="V8" s="91" t="s">
        <v>288</v>
      </c>
      <c r="W8" s="91"/>
      <c r="X8" s="91"/>
      <c r="Y8" s="96"/>
      <c r="Z8" s="96"/>
      <c r="AA8" s="96"/>
      <c r="AC8" s="91"/>
      <c r="AD8" s="97" t="str">
        <f aca="false">IF($B8="","",IF(ISNUMBER($T8),$T8,IF(OR(NOT(ISNUMBER($Q8)),$S8=""),"",IFERROR(IF(ISNUMBER(INDEX(Lists!$AJ$2:$AJ$7,MATCH($S8,Lists!$AI$2:$AI$7,0))),$Q8+INDEX(Lists!$AJ$2:$AJ$7,MATCH($S8,Lists!$AI$2:$AI$7,0)),""),""))))</f>
        <v/>
      </c>
      <c r="AE8" s="93" t="str">
        <f aca="true">IF($B8="","",IF(AND(ISNUMBER($AD8),N($AD8)&lt;TODAY(),$N8&lt;&gt;"Done",$N8&lt;&gt;"Won't Fix",$N8&lt;&gt;"Duplicate"),"Yes","No"))</f>
        <v>No</v>
      </c>
      <c r="AF8" s="91" t="s">
        <v>345</v>
      </c>
      <c r="AG8" s="93" t="str">
        <f aca="false">IF($AF8="","",IFERROR(VLOOKUP($AF8,'Application Portfolio'!$A$2:$B$1000,2,FALSE()),"Unknown App ID"))</f>
        <v>Partner API Gateway</v>
      </c>
      <c r="AH8" s="93" t="str">
        <f aca="false">IF(OR($B8="",$AF8=""),"",IFERROR(VLOOKUP($AF8,'Application Portfolio'!$A$2:$AB$1000,28,FALSE()),""))</f>
        <v>Invest</v>
      </c>
    </row>
    <row r="9" customFormat="false" ht="15.75" hidden="false" customHeight="true" outlineLevel="0" collapsed="false">
      <c r="A9" s="90"/>
      <c r="B9" s="98"/>
      <c r="C9" s="98"/>
      <c r="D9" s="98"/>
      <c r="E9" s="98"/>
      <c r="F9" s="98"/>
      <c r="G9" s="98"/>
      <c r="H9" s="98"/>
      <c r="I9" s="98"/>
      <c r="J9" s="98"/>
      <c r="K9" s="98"/>
      <c r="L9" s="92" t="str">
        <f aca="false">IF(OR($B9="", $H9="", $I9="", $J9="", $K9=""),"",ROUND((VLOOKUP($H9,Lists!$E$2:$F$5,2,FALSE())*VLOOKUP($I9,Lists!$H$2:$I$4,2,FALSE())*VLOOKUP($J9,Lists!$K$2:$L$4,2,FALSE()))/VLOOKUP($K9,Lists!$N$2:$O$6,2,FALSE()),2))</f>
        <v/>
      </c>
      <c r="M9" s="93" t="str">
        <f aca="false">IF($B9="","",IF($AC9&lt;&gt;"",$AC9,IF($H9="Critical","P0",IF(NOT(ISNUMBER($L9)),"",IF($L9&gt;=Lists!$AM$2,"P0",IF($L9&gt;=Lists!$AM$3,"P1",IF($L9&gt;=Lists!$AM$4,"P2","P3")))))))</f>
        <v/>
      </c>
      <c r="N9" s="98"/>
      <c r="O9" s="98"/>
      <c r="P9" s="98"/>
      <c r="Q9" s="99"/>
      <c r="R9" s="95" t="str">
        <f aca="true">IF($Q9="","", TODAY()-$Q9)</f>
        <v/>
      </c>
      <c r="S9" s="98"/>
      <c r="T9" s="99"/>
      <c r="U9" s="99"/>
      <c r="V9" s="98"/>
      <c r="W9" s="98"/>
      <c r="X9" s="98"/>
      <c r="Y9" s="96"/>
      <c r="Z9" s="96"/>
      <c r="AA9" s="96"/>
      <c r="AC9" s="98"/>
      <c r="AD9" s="97" t="str">
        <f aca="false">IF($B9="","",IF(ISNUMBER($T9),$T9,IF(OR(NOT(ISNUMBER($Q9)),$S9=""),"",IFERROR(IF(ISNUMBER(INDEX(Lists!$AJ$2:$AJ$7,MATCH($S9,Lists!$AI$2:$AI$7,0))),$Q9+INDEX(Lists!$AJ$2:$AJ$7,MATCH($S9,Lists!$AI$2:$AI$7,0)),""),""))))</f>
        <v/>
      </c>
      <c r="AE9" s="93" t="str">
        <f aca="true">IF($B9="","",IF(AND(ISNUMBER($AD9),N($AD9)&lt;TODAY(),$N9&lt;&gt;"Done",$N9&lt;&gt;"Won't Fix",$N9&lt;&gt;"Duplicate"),"Yes","No"))</f>
        <v/>
      </c>
      <c r="AF9" s="98"/>
      <c r="AG9" s="93" t="str">
        <f aca="false">IF($AF9="","",IFERROR(VLOOKUP($AF9,'Application Portfolio'!$A$2:$B$1000,2,FALSE()),"Unknown App ID"))</f>
        <v/>
      </c>
      <c r="AH9" s="93" t="str">
        <f aca="false">IF(OR($B9="",$AF9=""),"",IFERROR(VLOOKUP($AF9,'Application Portfolio'!$A$2:$AB$1000,28,FALSE()),""))</f>
        <v/>
      </c>
    </row>
    <row r="10" customFormat="false" ht="15.75" hidden="false" customHeight="true" outlineLevel="0" collapsed="false">
      <c r="A10" s="90"/>
      <c r="B10" s="91"/>
      <c r="C10" s="91"/>
      <c r="D10" s="91"/>
      <c r="E10" s="91"/>
      <c r="F10" s="91"/>
      <c r="G10" s="91"/>
      <c r="H10" s="91"/>
      <c r="I10" s="91"/>
      <c r="J10" s="91"/>
      <c r="K10" s="91"/>
      <c r="L10" s="92" t="str">
        <f aca="false">IF(OR($B10="", $H10="", $I10="", $J10="", $K10=""),"",ROUND((VLOOKUP($H10,Lists!$E$2:$F$5,2,FALSE())*VLOOKUP($I10,Lists!$H$2:$I$4,2,FALSE())*VLOOKUP($J10,Lists!$K$2:$L$4,2,FALSE()))/VLOOKUP($K10,Lists!$N$2:$O$6,2,FALSE()),2))</f>
        <v/>
      </c>
      <c r="M10" s="93" t="str">
        <f aca="false">IF($B10="","",IF($AC10&lt;&gt;"",$AC10,IF($H10="Critical","P0",IF(NOT(ISNUMBER($L10)),"",IF($L10&gt;=Lists!$AM$2,"P0",IF($L10&gt;=Lists!$AM$3,"P1",IF($L10&gt;=Lists!$AM$4,"P2","P3")))))))</f>
        <v/>
      </c>
      <c r="N10" s="91"/>
      <c r="O10" s="91"/>
      <c r="P10" s="91"/>
      <c r="Q10" s="94"/>
      <c r="R10" s="95" t="str">
        <f aca="true">IF($Q10="","", TODAY()-$Q10)</f>
        <v/>
      </c>
      <c r="S10" s="91"/>
      <c r="T10" s="94"/>
      <c r="U10" s="94"/>
      <c r="V10" s="91"/>
      <c r="W10" s="91"/>
      <c r="X10" s="91"/>
      <c r="Y10" s="96"/>
      <c r="Z10" s="96"/>
      <c r="AA10" s="96"/>
      <c r="AC10" s="91"/>
      <c r="AD10" s="97" t="str">
        <f aca="false">IF($B10="","",IF(ISNUMBER($T10),$T10,IF(OR(NOT(ISNUMBER($Q10)),$S10=""),"",IFERROR(IF(ISNUMBER(INDEX(Lists!$AJ$2:$AJ$7,MATCH($S10,Lists!$AI$2:$AI$7,0))),$Q10+INDEX(Lists!$AJ$2:$AJ$7,MATCH($S10,Lists!$AI$2:$AI$7,0)),""),""))))</f>
        <v/>
      </c>
      <c r="AE10" s="93" t="str">
        <f aca="true">IF($B10="","",IF(AND(ISNUMBER($AD10),N($AD10)&lt;TODAY(),$N10&lt;&gt;"Done",$N10&lt;&gt;"Won't Fix",$N10&lt;&gt;"Duplicate"),"Yes","No"))</f>
        <v/>
      </c>
      <c r="AF10" s="91"/>
      <c r="AG10" s="93" t="str">
        <f aca="false">IF($AF10="","",IFERROR(VLOOKUP($AF10,'Application Portfolio'!$A$2:$B$1000,2,FALSE()),"Unknown App ID"))</f>
        <v/>
      </c>
      <c r="AH10" s="93" t="str">
        <f aca="false">IF(OR($B10="",$AF10=""),"",IFERROR(VLOOKUP($AF10,'Application Portfolio'!$A$2:$AB$1000,28,FALSE()),""))</f>
        <v/>
      </c>
    </row>
    <row r="11" customFormat="false" ht="15.75" hidden="false" customHeight="true" outlineLevel="0" collapsed="false">
      <c r="A11" s="90"/>
      <c r="B11" s="98"/>
      <c r="C11" s="98"/>
      <c r="D11" s="98"/>
      <c r="E11" s="98"/>
      <c r="F11" s="98"/>
      <c r="G11" s="98"/>
      <c r="H11" s="98"/>
      <c r="I11" s="98"/>
      <c r="J11" s="98"/>
      <c r="K11" s="98"/>
      <c r="L11" s="92" t="str">
        <f aca="false">IF(OR($B11="", $H11="", $I11="", $J11="", $K11=""),"",ROUND((VLOOKUP($H11,Lists!$E$2:$F$5,2,FALSE())*VLOOKUP($I11,Lists!$H$2:$I$4,2,FALSE())*VLOOKUP($J11,Lists!$K$2:$L$4,2,FALSE()))/VLOOKUP($K11,Lists!$N$2:$O$6,2,FALSE()),2))</f>
        <v/>
      </c>
      <c r="M11" s="93" t="str">
        <f aca="false">IF($B11="","",IF($AC11&lt;&gt;"",$AC11,IF($H11="Critical","P0",IF(NOT(ISNUMBER($L11)),"",IF($L11&gt;=Lists!$AM$2,"P0",IF($L11&gt;=Lists!$AM$3,"P1",IF($L11&gt;=Lists!$AM$4,"P2","P3")))))))</f>
        <v/>
      </c>
      <c r="N11" s="98"/>
      <c r="O11" s="98"/>
      <c r="P11" s="98"/>
      <c r="Q11" s="99"/>
      <c r="R11" s="95" t="str">
        <f aca="true">IF($Q11="","", TODAY()-$Q11)</f>
        <v/>
      </c>
      <c r="S11" s="98"/>
      <c r="T11" s="99"/>
      <c r="U11" s="99"/>
      <c r="V11" s="98"/>
      <c r="W11" s="98"/>
      <c r="X11" s="98"/>
      <c r="Y11" s="96"/>
      <c r="Z11" s="96"/>
      <c r="AA11" s="96"/>
      <c r="AC11" s="98"/>
      <c r="AD11" s="97" t="str">
        <f aca="false">IF($B11="","",IF(ISNUMBER($T11),$T11,IF(OR(NOT(ISNUMBER($Q11)),$S11=""),"",IFERROR(IF(ISNUMBER(INDEX(Lists!$AJ$2:$AJ$7,MATCH($S11,Lists!$AI$2:$AI$7,0))),$Q11+INDEX(Lists!$AJ$2:$AJ$7,MATCH($S11,Lists!$AI$2:$AI$7,0)),""),""))))</f>
        <v/>
      </c>
      <c r="AE11" s="93" t="str">
        <f aca="true">IF($B11="","",IF(AND(ISNUMBER($AD11),N($AD11)&lt;TODAY(),$N11&lt;&gt;"Done",$N11&lt;&gt;"Won't Fix",$N11&lt;&gt;"Duplicate"),"Yes","No"))</f>
        <v/>
      </c>
      <c r="AF11" s="98"/>
      <c r="AG11" s="93" t="str">
        <f aca="false">IF($AF11="","",IFERROR(VLOOKUP($AF11,'Application Portfolio'!$A$2:$B$1000,2,FALSE()),"Unknown App ID"))</f>
        <v/>
      </c>
      <c r="AH11" s="93" t="str">
        <f aca="false">IF(OR($B11="",$AF11=""),"",IFERROR(VLOOKUP($AF11,'Application Portfolio'!$A$2:$AB$1000,28,FALSE()),""))</f>
        <v/>
      </c>
    </row>
    <row r="12" customFormat="false" ht="15.75" hidden="false" customHeight="true" outlineLevel="0" collapsed="false">
      <c r="A12" s="90"/>
      <c r="B12" s="91"/>
      <c r="C12" s="91"/>
      <c r="D12" s="91"/>
      <c r="E12" s="91"/>
      <c r="F12" s="91"/>
      <c r="G12" s="91"/>
      <c r="H12" s="91"/>
      <c r="I12" s="91"/>
      <c r="J12" s="91"/>
      <c r="K12" s="91"/>
      <c r="L12" s="92" t="str">
        <f aca="false">IF(OR($B12="", $H12="", $I12="", $J12="", $K12=""),"",ROUND((VLOOKUP($H12,Lists!$E$2:$F$5,2,FALSE())*VLOOKUP($I12,Lists!$H$2:$I$4,2,FALSE())*VLOOKUP($J12,Lists!$K$2:$L$4,2,FALSE()))/VLOOKUP($K12,Lists!$N$2:$O$6,2,FALSE()),2))</f>
        <v/>
      </c>
      <c r="M12" s="93" t="str">
        <f aca="false">IF($B12="","",IF($AC12&lt;&gt;"",$AC12,IF($H12="Critical","P0",IF(NOT(ISNUMBER($L12)),"",IF($L12&gt;=Lists!$AM$2,"P0",IF($L12&gt;=Lists!$AM$3,"P1",IF($L12&gt;=Lists!$AM$4,"P2","P3")))))))</f>
        <v/>
      </c>
      <c r="N12" s="91"/>
      <c r="O12" s="91"/>
      <c r="P12" s="91"/>
      <c r="Q12" s="94"/>
      <c r="R12" s="95" t="str">
        <f aca="true">IF($Q12="","", TODAY()-$Q12)</f>
        <v/>
      </c>
      <c r="S12" s="91"/>
      <c r="T12" s="94"/>
      <c r="U12" s="94"/>
      <c r="V12" s="91"/>
      <c r="W12" s="91"/>
      <c r="X12" s="91"/>
      <c r="Y12" s="96"/>
      <c r="Z12" s="96"/>
      <c r="AA12" s="96"/>
      <c r="AC12" s="91"/>
      <c r="AD12" s="97" t="str">
        <f aca="false">IF($B12="","",IF(ISNUMBER($T12),$T12,IF(OR(NOT(ISNUMBER($Q12)),$S12=""),"",IFERROR(IF(ISNUMBER(INDEX(Lists!$AJ$2:$AJ$7,MATCH($S12,Lists!$AI$2:$AI$7,0))),$Q12+INDEX(Lists!$AJ$2:$AJ$7,MATCH($S12,Lists!$AI$2:$AI$7,0)),""),""))))</f>
        <v/>
      </c>
      <c r="AE12" s="93" t="str">
        <f aca="true">IF($B12="","",IF(AND(ISNUMBER($AD12),N($AD12)&lt;TODAY(),$N12&lt;&gt;"Done",$N12&lt;&gt;"Won't Fix",$N12&lt;&gt;"Duplicate"),"Yes","No"))</f>
        <v/>
      </c>
      <c r="AF12" s="91"/>
      <c r="AG12" s="93" t="str">
        <f aca="false">IF($AF12="","",IFERROR(VLOOKUP($AF12,'Application Portfolio'!$A$2:$B$1000,2,FALSE()),"Unknown App ID"))</f>
        <v/>
      </c>
      <c r="AH12" s="93" t="str">
        <f aca="false">IF(OR($B12="",$AF12=""),"",IFERROR(VLOOKUP($AF12,'Application Portfolio'!$A$2:$AB$1000,28,FALSE()),""))</f>
        <v/>
      </c>
    </row>
    <row r="13" customFormat="false" ht="15.75" hidden="false" customHeight="true" outlineLevel="0" collapsed="false">
      <c r="A13" s="90"/>
      <c r="B13" s="98"/>
      <c r="C13" s="98"/>
      <c r="D13" s="98"/>
      <c r="E13" s="98"/>
      <c r="F13" s="98"/>
      <c r="G13" s="98"/>
      <c r="H13" s="98"/>
      <c r="I13" s="98"/>
      <c r="J13" s="98"/>
      <c r="K13" s="98"/>
      <c r="L13" s="92" t="str">
        <f aca="false">IF(OR($B13="", $H13="", $I13="", $J13="", $K13=""),"",ROUND((VLOOKUP($H13,Lists!$E$2:$F$5,2,FALSE())*VLOOKUP($I13,Lists!$H$2:$I$4,2,FALSE())*VLOOKUP($J13,Lists!$K$2:$L$4,2,FALSE()))/VLOOKUP($K13,Lists!$N$2:$O$6,2,FALSE()),2))</f>
        <v/>
      </c>
      <c r="M13" s="93" t="str">
        <f aca="false">IF($B13="","",IF($AC13&lt;&gt;"",$AC13,IF($H13="Critical","P0",IF(NOT(ISNUMBER($L13)),"",IF($L13&gt;=Lists!$AM$2,"P0",IF($L13&gt;=Lists!$AM$3,"P1",IF($L13&gt;=Lists!$AM$4,"P2","P3")))))))</f>
        <v/>
      </c>
      <c r="N13" s="98"/>
      <c r="O13" s="98"/>
      <c r="P13" s="98"/>
      <c r="Q13" s="99"/>
      <c r="R13" s="95" t="str">
        <f aca="true">IF($Q13="","", TODAY()-$Q13)</f>
        <v/>
      </c>
      <c r="S13" s="98"/>
      <c r="T13" s="99"/>
      <c r="U13" s="99"/>
      <c r="V13" s="98"/>
      <c r="W13" s="98"/>
      <c r="X13" s="98"/>
      <c r="Y13" s="96"/>
      <c r="Z13" s="96"/>
      <c r="AA13" s="96"/>
      <c r="AC13" s="98"/>
      <c r="AD13" s="97" t="str">
        <f aca="false">IF($B13="","",IF(ISNUMBER($T13),$T13,IF(OR(NOT(ISNUMBER($Q13)),$S13=""),"",IFERROR(IF(ISNUMBER(INDEX(Lists!$AJ$2:$AJ$7,MATCH($S13,Lists!$AI$2:$AI$7,0))),$Q13+INDEX(Lists!$AJ$2:$AJ$7,MATCH($S13,Lists!$AI$2:$AI$7,0)),""),""))))</f>
        <v/>
      </c>
      <c r="AE13" s="93" t="str">
        <f aca="true">IF($B13="","",IF(AND(ISNUMBER($AD13),N($AD13)&lt;TODAY(),$N13&lt;&gt;"Done",$N13&lt;&gt;"Won't Fix",$N13&lt;&gt;"Duplicate"),"Yes","No"))</f>
        <v/>
      </c>
      <c r="AF13" s="98"/>
      <c r="AG13" s="93" t="str">
        <f aca="false">IF($AF13="","",IFERROR(VLOOKUP($AF13,'Application Portfolio'!$A$2:$B$1000,2,FALSE()),"Unknown App ID"))</f>
        <v/>
      </c>
      <c r="AH13" s="93" t="str">
        <f aca="false">IF(OR($B13="",$AF13=""),"",IFERROR(VLOOKUP($AF13,'Application Portfolio'!$A$2:$AB$1000,28,FALSE()),""))</f>
        <v/>
      </c>
    </row>
    <row r="14" customFormat="false" ht="15.75" hidden="false" customHeight="true" outlineLevel="0" collapsed="false">
      <c r="A14" s="90"/>
      <c r="B14" s="91"/>
      <c r="C14" s="91"/>
      <c r="D14" s="91"/>
      <c r="E14" s="91"/>
      <c r="F14" s="91"/>
      <c r="G14" s="91"/>
      <c r="H14" s="91"/>
      <c r="I14" s="91"/>
      <c r="J14" s="91"/>
      <c r="K14" s="91"/>
      <c r="L14" s="92" t="str">
        <f aca="false">IF(OR($B14="", $H14="", $I14="", $J14="", $K14=""),"",ROUND((VLOOKUP($H14,Lists!$E$2:$F$5,2,FALSE())*VLOOKUP($I14,Lists!$H$2:$I$4,2,FALSE())*VLOOKUP($J14,Lists!$K$2:$L$4,2,FALSE()))/VLOOKUP($K14,Lists!$N$2:$O$6,2,FALSE()),2))</f>
        <v/>
      </c>
      <c r="M14" s="93" t="str">
        <f aca="false">IF($B14="","",IF($AC14&lt;&gt;"",$AC14,IF($H14="Critical","P0",IF(NOT(ISNUMBER($L14)),"",IF($L14&gt;=Lists!$AM$2,"P0",IF($L14&gt;=Lists!$AM$3,"P1",IF($L14&gt;=Lists!$AM$4,"P2","P3")))))))</f>
        <v/>
      </c>
      <c r="N14" s="91"/>
      <c r="O14" s="91"/>
      <c r="P14" s="91"/>
      <c r="Q14" s="94"/>
      <c r="R14" s="95" t="str">
        <f aca="true">IF($Q14="","", TODAY()-$Q14)</f>
        <v/>
      </c>
      <c r="S14" s="91"/>
      <c r="T14" s="94"/>
      <c r="U14" s="94"/>
      <c r="V14" s="91"/>
      <c r="W14" s="91"/>
      <c r="X14" s="91"/>
      <c r="Y14" s="96"/>
      <c r="Z14" s="96"/>
      <c r="AA14" s="96"/>
      <c r="AC14" s="91"/>
      <c r="AD14" s="97" t="str">
        <f aca="false">IF($B14="","",IF(ISNUMBER($T14),$T14,IF(OR(NOT(ISNUMBER($Q14)),$S14=""),"",IFERROR(IF(ISNUMBER(INDEX(Lists!$AJ$2:$AJ$7,MATCH($S14,Lists!$AI$2:$AI$7,0))),$Q14+INDEX(Lists!$AJ$2:$AJ$7,MATCH($S14,Lists!$AI$2:$AI$7,0)),""),""))))</f>
        <v/>
      </c>
      <c r="AE14" s="93" t="str">
        <f aca="true">IF($B14="","",IF(AND(ISNUMBER($AD14),N($AD14)&lt;TODAY(),$N14&lt;&gt;"Done",$N14&lt;&gt;"Won't Fix",$N14&lt;&gt;"Duplicate"),"Yes","No"))</f>
        <v/>
      </c>
      <c r="AF14" s="91"/>
      <c r="AG14" s="93" t="str">
        <f aca="false">IF($AF14="","",IFERROR(VLOOKUP($AF14,'Application Portfolio'!$A$2:$B$1000,2,FALSE()),"Unknown App ID"))</f>
        <v/>
      </c>
      <c r="AH14" s="93" t="str">
        <f aca="false">IF(OR($B14="",$AF14=""),"",IFERROR(VLOOKUP($AF14,'Application Portfolio'!$A$2:$AB$1000,28,FALSE()),""))</f>
        <v/>
      </c>
    </row>
    <row r="15" customFormat="false" ht="15.75" hidden="false" customHeight="true" outlineLevel="0" collapsed="false">
      <c r="A15" s="90"/>
      <c r="B15" s="98"/>
      <c r="C15" s="98"/>
      <c r="D15" s="98"/>
      <c r="E15" s="98"/>
      <c r="F15" s="98"/>
      <c r="G15" s="98"/>
      <c r="H15" s="98"/>
      <c r="I15" s="98"/>
      <c r="J15" s="98"/>
      <c r="K15" s="98"/>
      <c r="L15" s="92" t="str">
        <f aca="false">IF(OR($B15="", $H15="", $I15="", $J15="", $K15=""),"",ROUND((VLOOKUP($H15,Lists!$E$2:$F$5,2,FALSE())*VLOOKUP($I15,Lists!$H$2:$I$4,2,FALSE())*VLOOKUP($J15,Lists!$K$2:$L$4,2,FALSE()))/VLOOKUP($K15,Lists!$N$2:$O$6,2,FALSE()),2))</f>
        <v/>
      </c>
      <c r="M15" s="93" t="str">
        <f aca="false">IF($B15="","",IF($AC15&lt;&gt;"",$AC15,IF($H15="Critical","P0",IF(NOT(ISNUMBER($L15)),"",IF($L15&gt;=Lists!$AM$2,"P0",IF($L15&gt;=Lists!$AM$3,"P1",IF($L15&gt;=Lists!$AM$4,"P2","P3")))))))</f>
        <v/>
      </c>
      <c r="N15" s="98"/>
      <c r="O15" s="98"/>
      <c r="P15" s="98"/>
      <c r="Q15" s="99"/>
      <c r="R15" s="95" t="str">
        <f aca="true">IF($Q15="","", TODAY()-$Q15)</f>
        <v/>
      </c>
      <c r="S15" s="98"/>
      <c r="T15" s="99"/>
      <c r="U15" s="99"/>
      <c r="V15" s="98"/>
      <c r="W15" s="98"/>
      <c r="X15" s="98"/>
      <c r="Y15" s="96"/>
      <c r="Z15" s="96"/>
      <c r="AA15" s="96"/>
      <c r="AC15" s="98"/>
      <c r="AD15" s="97" t="str">
        <f aca="false">IF($B15="","",IF(ISNUMBER($T15),$T15,IF(OR(NOT(ISNUMBER($Q15)),$S15=""),"",IFERROR(IF(ISNUMBER(INDEX(Lists!$AJ$2:$AJ$7,MATCH($S15,Lists!$AI$2:$AI$7,0))),$Q15+INDEX(Lists!$AJ$2:$AJ$7,MATCH($S15,Lists!$AI$2:$AI$7,0)),""),""))))</f>
        <v/>
      </c>
      <c r="AE15" s="93" t="str">
        <f aca="true">IF($B15="","",IF(AND(ISNUMBER($AD15),N($AD15)&lt;TODAY(),$N15&lt;&gt;"Done",$N15&lt;&gt;"Won't Fix",$N15&lt;&gt;"Duplicate"),"Yes","No"))</f>
        <v/>
      </c>
      <c r="AF15" s="98"/>
      <c r="AG15" s="93" t="str">
        <f aca="false">IF($AF15="","",IFERROR(VLOOKUP($AF15,'Application Portfolio'!$A$2:$B$1000,2,FALSE()),"Unknown App ID"))</f>
        <v/>
      </c>
      <c r="AH15" s="93" t="str">
        <f aca="false">IF(OR($B15="",$AF15=""),"",IFERROR(VLOOKUP($AF15,'Application Portfolio'!$A$2:$AB$1000,28,FALSE()),""))</f>
        <v/>
      </c>
    </row>
    <row r="16" customFormat="false" ht="15.75" hidden="false" customHeight="true" outlineLevel="0" collapsed="false">
      <c r="A16" s="90"/>
      <c r="B16" s="91"/>
      <c r="C16" s="91"/>
      <c r="D16" s="91"/>
      <c r="E16" s="91"/>
      <c r="F16" s="91"/>
      <c r="G16" s="91"/>
      <c r="H16" s="91"/>
      <c r="I16" s="91"/>
      <c r="J16" s="91"/>
      <c r="K16" s="91"/>
      <c r="L16" s="92" t="str">
        <f aca="false">IF(OR($B16="", $H16="", $I16="", $J16="", $K16=""),"",ROUND((VLOOKUP($H16,Lists!$E$2:$F$5,2,FALSE())*VLOOKUP($I16,Lists!$H$2:$I$4,2,FALSE())*VLOOKUP($J16,Lists!$K$2:$L$4,2,FALSE()))/VLOOKUP($K16,Lists!$N$2:$O$6,2,FALSE()),2))</f>
        <v/>
      </c>
      <c r="M16" s="93" t="str">
        <f aca="false">IF($B16="","",IF($AC16&lt;&gt;"",$AC16,IF($H16="Critical","P0",IF(NOT(ISNUMBER($L16)),"",IF($L16&gt;=Lists!$AM$2,"P0",IF($L16&gt;=Lists!$AM$3,"P1",IF($L16&gt;=Lists!$AM$4,"P2","P3")))))))</f>
        <v/>
      </c>
      <c r="N16" s="91"/>
      <c r="O16" s="91"/>
      <c r="P16" s="91"/>
      <c r="Q16" s="94"/>
      <c r="R16" s="95" t="str">
        <f aca="true">IF($Q16="","", TODAY()-$Q16)</f>
        <v/>
      </c>
      <c r="S16" s="91"/>
      <c r="T16" s="94"/>
      <c r="U16" s="94"/>
      <c r="V16" s="91"/>
      <c r="W16" s="91"/>
      <c r="X16" s="91"/>
      <c r="Y16" s="96"/>
      <c r="Z16" s="96"/>
      <c r="AA16" s="96"/>
      <c r="AC16" s="91"/>
      <c r="AD16" s="97" t="str">
        <f aca="false">IF($B16="","",IF(ISNUMBER($T16),$T16,IF(OR(NOT(ISNUMBER($Q16)),$S16=""),"",IFERROR(IF(ISNUMBER(INDEX(Lists!$AJ$2:$AJ$7,MATCH($S16,Lists!$AI$2:$AI$7,0))),$Q16+INDEX(Lists!$AJ$2:$AJ$7,MATCH($S16,Lists!$AI$2:$AI$7,0)),""),""))))</f>
        <v/>
      </c>
      <c r="AE16" s="93" t="str">
        <f aca="true">IF($B16="","",IF(AND(ISNUMBER($AD16),N($AD16)&lt;TODAY(),$N16&lt;&gt;"Done",$N16&lt;&gt;"Won't Fix",$N16&lt;&gt;"Duplicate"),"Yes","No"))</f>
        <v/>
      </c>
      <c r="AF16" s="91"/>
      <c r="AG16" s="93" t="str">
        <f aca="false">IF($AF16="","",IFERROR(VLOOKUP($AF16,'Application Portfolio'!$A$2:$B$1000,2,FALSE()),"Unknown App ID"))</f>
        <v/>
      </c>
      <c r="AH16" s="93" t="str">
        <f aca="false">IF(OR($B16="",$AF16=""),"",IFERROR(VLOOKUP($AF16,'Application Portfolio'!$A$2:$AB$1000,28,FALSE()),""))</f>
        <v/>
      </c>
    </row>
    <row r="17" customFormat="false" ht="15.75" hidden="false" customHeight="true" outlineLevel="0" collapsed="false">
      <c r="A17" s="90"/>
      <c r="B17" s="98"/>
      <c r="C17" s="98"/>
      <c r="D17" s="98"/>
      <c r="E17" s="98"/>
      <c r="F17" s="98"/>
      <c r="G17" s="98"/>
      <c r="H17" s="98"/>
      <c r="I17" s="98"/>
      <c r="J17" s="98"/>
      <c r="K17" s="98"/>
      <c r="L17" s="92" t="str">
        <f aca="false">IF(OR($B17="", $H17="", $I17="", $J17="", $K17=""),"",ROUND((VLOOKUP($H17,Lists!$E$2:$F$5,2,FALSE())*VLOOKUP($I17,Lists!$H$2:$I$4,2,FALSE())*VLOOKUP($J17,Lists!$K$2:$L$4,2,FALSE()))/VLOOKUP($K17,Lists!$N$2:$O$6,2,FALSE()),2))</f>
        <v/>
      </c>
      <c r="M17" s="93" t="str">
        <f aca="false">IF($B17="","",IF($AC17&lt;&gt;"",$AC17,IF($H17="Critical","P0",IF(NOT(ISNUMBER($L17)),"",IF($L17&gt;=Lists!$AM$2,"P0",IF($L17&gt;=Lists!$AM$3,"P1",IF($L17&gt;=Lists!$AM$4,"P2","P3")))))))</f>
        <v/>
      </c>
      <c r="N17" s="98"/>
      <c r="O17" s="98"/>
      <c r="P17" s="98"/>
      <c r="Q17" s="99"/>
      <c r="R17" s="95" t="str">
        <f aca="true">IF($Q17="","", TODAY()-$Q17)</f>
        <v/>
      </c>
      <c r="S17" s="98"/>
      <c r="T17" s="99"/>
      <c r="U17" s="99"/>
      <c r="V17" s="98"/>
      <c r="W17" s="98"/>
      <c r="X17" s="98"/>
      <c r="Y17" s="96"/>
      <c r="Z17" s="96"/>
      <c r="AA17" s="96"/>
      <c r="AC17" s="98"/>
      <c r="AD17" s="97" t="str">
        <f aca="false">IF($B17="","",IF(ISNUMBER($T17),$T17,IF(OR(NOT(ISNUMBER($Q17)),$S17=""),"",IFERROR(IF(ISNUMBER(INDEX(Lists!$AJ$2:$AJ$7,MATCH($S17,Lists!$AI$2:$AI$7,0))),$Q17+INDEX(Lists!$AJ$2:$AJ$7,MATCH($S17,Lists!$AI$2:$AI$7,0)),""),""))))</f>
        <v/>
      </c>
      <c r="AE17" s="93" t="str">
        <f aca="true">IF($B17="","",IF(AND(ISNUMBER($AD17),N($AD17)&lt;TODAY(),$N17&lt;&gt;"Done",$N17&lt;&gt;"Won't Fix",$N17&lt;&gt;"Duplicate"),"Yes","No"))</f>
        <v/>
      </c>
      <c r="AF17" s="98"/>
      <c r="AG17" s="93" t="str">
        <f aca="false">IF($AF17="","",IFERROR(VLOOKUP($AF17,'Application Portfolio'!$A$2:$B$1000,2,FALSE()),"Unknown App ID"))</f>
        <v/>
      </c>
      <c r="AH17" s="93" t="str">
        <f aca="false">IF(OR($B17="",$AF17=""),"",IFERROR(VLOOKUP($AF17,'Application Portfolio'!$A$2:$AB$1000,28,FALSE()),""))</f>
        <v/>
      </c>
    </row>
    <row r="18" customFormat="false" ht="15.75" hidden="false" customHeight="true" outlineLevel="0" collapsed="false">
      <c r="A18" s="90"/>
      <c r="B18" s="91"/>
      <c r="C18" s="91"/>
      <c r="D18" s="91"/>
      <c r="E18" s="91"/>
      <c r="F18" s="91"/>
      <c r="G18" s="91"/>
      <c r="H18" s="91"/>
      <c r="I18" s="91"/>
      <c r="J18" s="91"/>
      <c r="K18" s="91"/>
      <c r="L18" s="92" t="str">
        <f aca="false">IF(OR($B18="", $H18="", $I18="", $J18="", $K18=""),"",ROUND((VLOOKUP($H18,Lists!$E$2:$F$5,2,FALSE())*VLOOKUP($I18,Lists!$H$2:$I$4,2,FALSE())*VLOOKUP($J18,Lists!$K$2:$L$4,2,FALSE()))/VLOOKUP($K18,Lists!$N$2:$O$6,2,FALSE()),2))</f>
        <v/>
      </c>
      <c r="M18" s="93" t="str">
        <f aca="false">IF($B18="","",IF($AC18&lt;&gt;"",$AC18,IF($H18="Critical","P0",IF(NOT(ISNUMBER($L18)),"",IF($L18&gt;=Lists!$AM$2,"P0",IF($L18&gt;=Lists!$AM$3,"P1",IF($L18&gt;=Lists!$AM$4,"P2","P3")))))))</f>
        <v/>
      </c>
      <c r="N18" s="91"/>
      <c r="O18" s="91"/>
      <c r="P18" s="91"/>
      <c r="Q18" s="94"/>
      <c r="R18" s="95" t="str">
        <f aca="true">IF($Q18="","", TODAY()-$Q18)</f>
        <v/>
      </c>
      <c r="S18" s="91"/>
      <c r="T18" s="94"/>
      <c r="U18" s="94"/>
      <c r="V18" s="91"/>
      <c r="W18" s="91"/>
      <c r="X18" s="91"/>
      <c r="Y18" s="96"/>
      <c r="Z18" s="96"/>
      <c r="AA18" s="96"/>
      <c r="AC18" s="91"/>
      <c r="AD18" s="97" t="str">
        <f aca="false">IF($B18="","",IF(ISNUMBER($T18),$T18,IF(OR(NOT(ISNUMBER($Q18)),$S18=""),"",IFERROR(IF(ISNUMBER(INDEX(Lists!$AJ$2:$AJ$7,MATCH($S18,Lists!$AI$2:$AI$7,0))),$Q18+INDEX(Lists!$AJ$2:$AJ$7,MATCH($S18,Lists!$AI$2:$AI$7,0)),""),""))))</f>
        <v/>
      </c>
      <c r="AE18" s="93" t="str">
        <f aca="true">IF($B18="","",IF(AND(ISNUMBER($AD18),N($AD18)&lt;TODAY(),$N18&lt;&gt;"Done",$N18&lt;&gt;"Won't Fix",$N18&lt;&gt;"Duplicate"),"Yes","No"))</f>
        <v/>
      </c>
      <c r="AF18" s="91"/>
      <c r="AG18" s="93" t="str">
        <f aca="false">IF($AF18="","",IFERROR(VLOOKUP($AF18,'Application Portfolio'!$A$2:$B$1000,2,FALSE()),"Unknown App ID"))</f>
        <v/>
      </c>
      <c r="AH18" s="93" t="str">
        <f aca="false">IF(OR($B18="",$AF18=""),"",IFERROR(VLOOKUP($AF18,'Application Portfolio'!$A$2:$AB$1000,28,FALSE()),""))</f>
        <v/>
      </c>
    </row>
    <row r="19" customFormat="false" ht="15.75" hidden="false" customHeight="true" outlineLevel="0" collapsed="false">
      <c r="A19" s="90"/>
      <c r="B19" s="98"/>
      <c r="C19" s="98"/>
      <c r="D19" s="98"/>
      <c r="E19" s="98"/>
      <c r="F19" s="98"/>
      <c r="G19" s="98"/>
      <c r="H19" s="98"/>
      <c r="I19" s="98"/>
      <c r="J19" s="98"/>
      <c r="K19" s="98"/>
      <c r="L19" s="92" t="str">
        <f aca="false">IF(OR($B19="", $H19="", $I19="", $J19="", $K19=""),"",ROUND((VLOOKUP($H19,Lists!$E$2:$F$5,2,FALSE())*VLOOKUP($I19,Lists!$H$2:$I$4,2,FALSE())*VLOOKUP($J19,Lists!$K$2:$L$4,2,FALSE()))/VLOOKUP($K19,Lists!$N$2:$O$6,2,FALSE()),2))</f>
        <v/>
      </c>
      <c r="M19" s="93" t="str">
        <f aca="false">IF($B19="","",IF($AC19&lt;&gt;"",$AC19,IF($H19="Critical","P0",IF(NOT(ISNUMBER($L19)),"",IF($L19&gt;=Lists!$AM$2,"P0",IF($L19&gt;=Lists!$AM$3,"P1",IF($L19&gt;=Lists!$AM$4,"P2","P3")))))))</f>
        <v/>
      </c>
      <c r="N19" s="98"/>
      <c r="O19" s="98"/>
      <c r="P19" s="98"/>
      <c r="Q19" s="99"/>
      <c r="R19" s="95" t="str">
        <f aca="true">IF($Q19="","", TODAY()-$Q19)</f>
        <v/>
      </c>
      <c r="S19" s="98"/>
      <c r="T19" s="99"/>
      <c r="U19" s="99"/>
      <c r="V19" s="98"/>
      <c r="W19" s="98"/>
      <c r="X19" s="98"/>
      <c r="Y19" s="96"/>
      <c r="Z19" s="96"/>
      <c r="AA19" s="96"/>
      <c r="AC19" s="98"/>
      <c r="AD19" s="97" t="str">
        <f aca="false">IF($B19="","",IF(ISNUMBER($T19),$T19,IF(OR(NOT(ISNUMBER($Q19)),$S19=""),"",IFERROR(IF(ISNUMBER(INDEX(Lists!$AJ$2:$AJ$7,MATCH($S19,Lists!$AI$2:$AI$7,0))),$Q19+INDEX(Lists!$AJ$2:$AJ$7,MATCH($S19,Lists!$AI$2:$AI$7,0)),""),""))))</f>
        <v/>
      </c>
      <c r="AE19" s="93" t="str">
        <f aca="true">IF($B19="","",IF(AND(ISNUMBER($AD19),N($AD19)&lt;TODAY(),$N19&lt;&gt;"Done",$N19&lt;&gt;"Won't Fix",$N19&lt;&gt;"Duplicate"),"Yes","No"))</f>
        <v/>
      </c>
      <c r="AF19" s="98"/>
      <c r="AG19" s="93" t="str">
        <f aca="false">IF($AF19="","",IFERROR(VLOOKUP($AF19,'Application Portfolio'!$A$2:$B$1000,2,FALSE()),"Unknown App ID"))</f>
        <v/>
      </c>
      <c r="AH19" s="93" t="str">
        <f aca="false">IF(OR($B19="",$AF19=""),"",IFERROR(VLOOKUP($AF19,'Application Portfolio'!$A$2:$AB$1000,28,FALSE()),""))</f>
        <v/>
      </c>
    </row>
    <row r="20" customFormat="false" ht="15.75" hidden="false" customHeight="true" outlineLevel="0" collapsed="false">
      <c r="A20" s="90"/>
      <c r="B20" s="91"/>
      <c r="C20" s="91"/>
      <c r="D20" s="91"/>
      <c r="E20" s="91"/>
      <c r="F20" s="91"/>
      <c r="G20" s="91"/>
      <c r="H20" s="91"/>
      <c r="I20" s="91"/>
      <c r="J20" s="91"/>
      <c r="K20" s="91"/>
      <c r="L20" s="92" t="str">
        <f aca="false">IF(OR($B20="", $H20="", $I20="", $J20="", $K20=""),"",ROUND((VLOOKUP($H20,Lists!$E$2:$F$5,2,FALSE())*VLOOKUP($I20,Lists!$H$2:$I$4,2,FALSE())*VLOOKUP($J20,Lists!$K$2:$L$4,2,FALSE()))/VLOOKUP($K20,Lists!$N$2:$O$6,2,FALSE()),2))</f>
        <v/>
      </c>
      <c r="M20" s="93" t="str">
        <f aca="false">IF($B20="","",IF($AC20&lt;&gt;"",$AC20,IF($H20="Critical","P0",IF(NOT(ISNUMBER($L20)),"",IF($L20&gt;=Lists!$AM$2,"P0",IF($L20&gt;=Lists!$AM$3,"P1",IF($L20&gt;=Lists!$AM$4,"P2","P3")))))))</f>
        <v/>
      </c>
      <c r="N20" s="91"/>
      <c r="O20" s="91"/>
      <c r="P20" s="91"/>
      <c r="Q20" s="94"/>
      <c r="R20" s="95" t="str">
        <f aca="true">IF($Q20="","", TODAY()-$Q20)</f>
        <v/>
      </c>
      <c r="S20" s="91"/>
      <c r="T20" s="94"/>
      <c r="U20" s="94"/>
      <c r="V20" s="91"/>
      <c r="W20" s="91"/>
      <c r="X20" s="91"/>
      <c r="Y20" s="96"/>
      <c r="Z20" s="96"/>
      <c r="AA20" s="96"/>
      <c r="AC20" s="91"/>
      <c r="AD20" s="97" t="str">
        <f aca="false">IF($B20="","",IF(ISNUMBER($T20),$T20,IF(OR(NOT(ISNUMBER($Q20)),$S20=""),"",IFERROR(IF(ISNUMBER(INDEX(Lists!$AJ$2:$AJ$7,MATCH($S20,Lists!$AI$2:$AI$7,0))),$Q20+INDEX(Lists!$AJ$2:$AJ$7,MATCH($S20,Lists!$AI$2:$AI$7,0)),""),""))))</f>
        <v/>
      </c>
      <c r="AE20" s="93" t="str">
        <f aca="true">IF($B20="","",IF(AND(ISNUMBER($AD20),N($AD20)&lt;TODAY(),$N20&lt;&gt;"Done",$N20&lt;&gt;"Won't Fix",$N20&lt;&gt;"Duplicate"),"Yes","No"))</f>
        <v/>
      </c>
      <c r="AF20" s="91"/>
      <c r="AG20" s="93" t="str">
        <f aca="false">IF($AF20="","",IFERROR(VLOOKUP($AF20,'Application Portfolio'!$A$2:$B$1000,2,FALSE()),"Unknown App ID"))</f>
        <v/>
      </c>
      <c r="AH20" s="93" t="str">
        <f aca="false">IF(OR($B20="",$AF20=""),"",IFERROR(VLOOKUP($AF20,'Application Portfolio'!$A$2:$AB$1000,28,FALSE()),""))</f>
        <v/>
      </c>
    </row>
    <row r="21" customFormat="false" ht="15.75" hidden="false" customHeight="true" outlineLevel="0" collapsed="false">
      <c r="A21" s="90"/>
      <c r="B21" s="98"/>
      <c r="C21" s="98"/>
      <c r="D21" s="98"/>
      <c r="E21" s="98"/>
      <c r="F21" s="98"/>
      <c r="G21" s="98"/>
      <c r="H21" s="98"/>
      <c r="I21" s="98"/>
      <c r="J21" s="98"/>
      <c r="K21" s="98"/>
      <c r="L21" s="92" t="str">
        <f aca="false">IF(OR($B21="", $H21="", $I21="", $J21="", $K21=""),"",ROUND((VLOOKUP($H21,Lists!$E$2:$F$5,2,FALSE())*VLOOKUP($I21,Lists!$H$2:$I$4,2,FALSE())*VLOOKUP($J21,Lists!$K$2:$L$4,2,FALSE()))/VLOOKUP($K21,Lists!$N$2:$O$6,2,FALSE()),2))</f>
        <v/>
      </c>
      <c r="M21" s="93" t="str">
        <f aca="false">IF($B21="","",IF($AC21&lt;&gt;"",$AC21,IF($H21="Critical","P0",IF(NOT(ISNUMBER($L21)),"",IF($L21&gt;=Lists!$AM$2,"P0",IF($L21&gt;=Lists!$AM$3,"P1",IF($L21&gt;=Lists!$AM$4,"P2","P3")))))))</f>
        <v/>
      </c>
      <c r="N21" s="98"/>
      <c r="O21" s="98"/>
      <c r="P21" s="98"/>
      <c r="Q21" s="99"/>
      <c r="R21" s="95" t="str">
        <f aca="true">IF($Q21="","", TODAY()-$Q21)</f>
        <v/>
      </c>
      <c r="S21" s="98"/>
      <c r="T21" s="99"/>
      <c r="U21" s="99"/>
      <c r="V21" s="98"/>
      <c r="W21" s="98"/>
      <c r="X21" s="98"/>
      <c r="Y21" s="96"/>
      <c r="Z21" s="96"/>
      <c r="AA21" s="96"/>
      <c r="AC21" s="98"/>
      <c r="AD21" s="97" t="str">
        <f aca="false">IF($B21="","",IF(ISNUMBER($T21),$T21,IF(OR(NOT(ISNUMBER($Q21)),$S21=""),"",IFERROR(IF(ISNUMBER(INDEX(Lists!$AJ$2:$AJ$7,MATCH($S21,Lists!$AI$2:$AI$7,0))),$Q21+INDEX(Lists!$AJ$2:$AJ$7,MATCH($S21,Lists!$AI$2:$AI$7,0)),""),""))))</f>
        <v/>
      </c>
      <c r="AE21" s="93" t="str">
        <f aca="true">IF($B21="","",IF(AND(ISNUMBER($AD21),N($AD21)&lt;TODAY(),$N21&lt;&gt;"Done",$N21&lt;&gt;"Won't Fix",$N21&lt;&gt;"Duplicate"),"Yes","No"))</f>
        <v/>
      </c>
      <c r="AF21" s="98"/>
      <c r="AG21" s="93" t="str">
        <f aca="false">IF($AF21="","",IFERROR(VLOOKUP($AF21,'Application Portfolio'!$A$2:$B$1000,2,FALSE()),"Unknown App ID"))</f>
        <v/>
      </c>
      <c r="AH21" s="93" t="str">
        <f aca="false">IF(OR($B21="",$AF21=""),"",IFERROR(VLOOKUP($AF21,'Application Portfolio'!$A$2:$AB$1000,28,FALSE()),""))</f>
        <v/>
      </c>
    </row>
    <row r="22" customFormat="false" ht="15.75" hidden="false" customHeight="true" outlineLevel="0" collapsed="false">
      <c r="A22" s="90"/>
      <c r="B22" s="91"/>
      <c r="C22" s="91"/>
      <c r="D22" s="91"/>
      <c r="E22" s="91"/>
      <c r="F22" s="91"/>
      <c r="G22" s="91"/>
      <c r="H22" s="91"/>
      <c r="I22" s="91"/>
      <c r="J22" s="91"/>
      <c r="K22" s="91"/>
      <c r="L22" s="92" t="str">
        <f aca="false">IF(OR($B22="", $H22="", $I22="", $J22="", $K22=""),"",ROUND((VLOOKUP($H22,Lists!$E$2:$F$5,2,FALSE())*VLOOKUP($I22,Lists!$H$2:$I$4,2,FALSE())*VLOOKUP($J22,Lists!$K$2:$L$4,2,FALSE()))/VLOOKUP($K22,Lists!$N$2:$O$6,2,FALSE()),2))</f>
        <v/>
      </c>
      <c r="M22" s="93" t="str">
        <f aca="false">IF($B22="","",IF($AC22&lt;&gt;"",$AC22,IF($H22="Critical","P0",IF(NOT(ISNUMBER($L22)),"",IF($L22&gt;=Lists!$AM$2,"P0",IF($L22&gt;=Lists!$AM$3,"P1",IF($L22&gt;=Lists!$AM$4,"P2","P3")))))))</f>
        <v/>
      </c>
      <c r="N22" s="91"/>
      <c r="O22" s="91"/>
      <c r="P22" s="91"/>
      <c r="Q22" s="94"/>
      <c r="R22" s="95" t="str">
        <f aca="true">IF($Q22="","", TODAY()-$Q22)</f>
        <v/>
      </c>
      <c r="S22" s="91"/>
      <c r="T22" s="94"/>
      <c r="U22" s="94"/>
      <c r="V22" s="91"/>
      <c r="W22" s="91"/>
      <c r="X22" s="91"/>
      <c r="Y22" s="96"/>
      <c r="Z22" s="96"/>
      <c r="AA22" s="96"/>
      <c r="AC22" s="91"/>
      <c r="AD22" s="97" t="str">
        <f aca="false">IF($B22="","",IF(ISNUMBER($T22),$T22,IF(OR(NOT(ISNUMBER($Q22)),$S22=""),"",IFERROR(IF(ISNUMBER(INDEX(Lists!$AJ$2:$AJ$7,MATCH($S22,Lists!$AI$2:$AI$7,0))),$Q22+INDEX(Lists!$AJ$2:$AJ$7,MATCH($S22,Lists!$AI$2:$AI$7,0)),""),""))))</f>
        <v/>
      </c>
      <c r="AE22" s="93" t="str">
        <f aca="true">IF($B22="","",IF(AND(ISNUMBER($AD22),N($AD22)&lt;TODAY(),$N22&lt;&gt;"Done",$N22&lt;&gt;"Won't Fix",$N22&lt;&gt;"Duplicate"),"Yes","No"))</f>
        <v/>
      </c>
      <c r="AF22" s="91"/>
      <c r="AG22" s="93" t="str">
        <f aca="false">IF($AF22="","",IFERROR(VLOOKUP($AF22,'Application Portfolio'!$A$2:$B$1000,2,FALSE()),"Unknown App ID"))</f>
        <v/>
      </c>
      <c r="AH22" s="93" t="str">
        <f aca="false">IF(OR($B22="",$AF22=""),"",IFERROR(VLOOKUP($AF22,'Application Portfolio'!$A$2:$AB$1000,28,FALSE()),""))</f>
        <v/>
      </c>
    </row>
    <row r="23" customFormat="false" ht="15.75" hidden="false" customHeight="true" outlineLevel="0" collapsed="false">
      <c r="A23" s="90"/>
      <c r="B23" s="98"/>
      <c r="C23" s="98"/>
      <c r="D23" s="98"/>
      <c r="E23" s="98"/>
      <c r="F23" s="98"/>
      <c r="G23" s="98"/>
      <c r="H23" s="98"/>
      <c r="I23" s="98"/>
      <c r="J23" s="98"/>
      <c r="K23" s="98"/>
      <c r="L23" s="92" t="str">
        <f aca="false">IF(OR($B23="", $H23="", $I23="", $J23="", $K23=""),"",ROUND((VLOOKUP($H23,Lists!$E$2:$F$5,2,FALSE())*VLOOKUP($I23,Lists!$H$2:$I$4,2,FALSE())*VLOOKUP($J23,Lists!$K$2:$L$4,2,FALSE()))/VLOOKUP($K23,Lists!$N$2:$O$6,2,FALSE()),2))</f>
        <v/>
      </c>
      <c r="M23" s="93" t="str">
        <f aca="false">IF($B23="","",IF($AC23&lt;&gt;"",$AC23,IF($H23="Critical","P0",IF(NOT(ISNUMBER($L23)),"",IF($L23&gt;=Lists!$AM$2,"P0",IF($L23&gt;=Lists!$AM$3,"P1",IF($L23&gt;=Lists!$AM$4,"P2","P3")))))))</f>
        <v/>
      </c>
      <c r="N23" s="98"/>
      <c r="O23" s="98"/>
      <c r="P23" s="98"/>
      <c r="Q23" s="99"/>
      <c r="R23" s="95" t="str">
        <f aca="true">IF($Q23="","", TODAY()-$Q23)</f>
        <v/>
      </c>
      <c r="S23" s="98"/>
      <c r="T23" s="99"/>
      <c r="U23" s="99"/>
      <c r="V23" s="98"/>
      <c r="W23" s="98"/>
      <c r="X23" s="98"/>
      <c r="Y23" s="96"/>
      <c r="Z23" s="96"/>
      <c r="AA23" s="96"/>
      <c r="AC23" s="98"/>
      <c r="AD23" s="97" t="str">
        <f aca="false">IF($B23="","",IF(ISNUMBER($T23),$T23,IF(OR(NOT(ISNUMBER($Q23)),$S23=""),"",IFERROR(IF(ISNUMBER(INDEX(Lists!$AJ$2:$AJ$7,MATCH($S23,Lists!$AI$2:$AI$7,0))),$Q23+INDEX(Lists!$AJ$2:$AJ$7,MATCH($S23,Lists!$AI$2:$AI$7,0)),""),""))))</f>
        <v/>
      </c>
      <c r="AE23" s="93" t="str">
        <f aca="true">IF($B23="","",IF(AND(ISNUMBER($AD23),N($AD23)&lt;TODAY(),$N23&lt;&gt;"Done",$N23&lt;&gt;"Won't Fix",$N23&lt;&gt;"Duplicate"),"Yes","No"))</f>
        <v/>
      </c>
      <c r="AF23" s="98"/>
      <c r="AG23" s="93" t="str">
        <f aca="false">IF($AF23="","",IFERROR(VLOOKUP($AF23,'Application Portfolio'!$A$2:$B$1000,2,FALSE()),"Unknown App ID"))</f>
        <v/>
      </c>
      <c r="AH23" s="93" t="str">
        <f aca="false">IF(OR($B23="",$AF23=""),"",IFERROR(VLOOKUP($AF23,'Application Portfolio'!$A$2:$AB$1000,28,FALSE()),""))</f>
        <v/>
      </c>
    </row>
    <row r="24" customFormat="false" ht="15.75" hidden="false" customHeight="true" outlineLevel="0" collapsed="false">
      <c r="A24" s="90"/>
      <c r="B24" s="91"/>
      <c r="C24" s="91"/>
      <c r="D24" s="91"/>
      <c r="E24" s="91"/>
      <c r="F24" s="91"/>
      <c r="G24" s="91"/>
      <c r="H24" s="91"/>
      <c r="I24" s="91"/>
      <c r="J24" s="91"/>
      <c r="K24" s="91"/>
      <c r="L24" s="92" t="str">
        <f aca="false">IF(OR($B24="", $H24="", $I24="", $J24="", $K24=""),"",ROUND((VLOOKUP($H24,Lists!$E$2:$F$5,2,FALSE())*VLOOKUP($I24,Lists!$H$2:$I$4,2,FALSE())*VLOOKUP($J24,Lists!$K$2:$L$4,2,FALSE()))/VLOOKUP($K24,Lists!$N$2:$O$6,2,FALSE()),2))</f>
        <v/>
      </c>
      <c r="M24" s="93" t="str">
        <f aca="false">IF($B24="","",IF($AC24&lt;&gt;"",$AC24,IF($H24="Critical","P0",IF(NOT(ISNUMBER($L24)),"",IF($L24&gt;=Lists!$AM$2,"P0",IF($L24&gt;=Lists!$AM$3,"P1",IF($L24&gt;=Lists!$AM$4,"P2","P3")))))))</f>
        <v/>
      </c>
      <c r="N24" s="91"/>
      <c r="O24" s="91"/>
      <c r="P24" s="91"/>
      <c r="Q24" s="94"/>
      <c r="R24" s="95" t="str">
        <f aca="true">IF($Q24="","", TODAY()-$Q24)</f>
        <v/>
      </c>
      <c r="S24" s="91"/>
      <c r="T24" s="94"/>
      <c r="U24" s="94"/>
      <c r="V24" s="91"/>
      <c r="W24" s="91"/>
      <c r="X24" s="91"/>
      <c r="Y24" s="96"/>
      <c r="Z24" s="96"/>
      <c r="AA24" s="96"/>
      <c r="AC24" s="91"/>
      <c r="AD24" s="97" t="str">
        <f aca="false">IF($B24="","",IF(ISNUMBER($T24),$T24,IF(OR(NOT(ISNUMBER($Q24)),$S24=""),"",IFERROR(IF(ISNUMBER(INDEX(Lists!$AJ$2:$AJ$7,MATCH($S24,Lists!$AI$2:$AI$7,0))),$Q24+INDEX(Lists!$AJ$2:$AJ$7,MATCH($S24,Lists!$AI$2:$AI$7,0)),""),""))))</f>
        <v/>
      </c>
      <c r="AE24" s="93" t="str">
        <f aca="true">IF($B24="","",IF(AND(ISNUMBER($AD24),N($AD24)&lt;TODAY(),$N24&lt;&gt;"Done",$N24&lt;&gt;"Won't Fix",$N24&lt;&gt;"Duplicate"),"Yes","No"))</f>
        <v/>
      </c>
      <c r="AF24" s="91"/>
      <c r="AG24" s="93" t="str">
        <f aca="false">IF($AF24="","",IFERROR(VLOOKUP($AF24,'Application Portfolio'!$A$2:$B$1000,2,FALSE()),"Unknown App ID"))</f>
        <v/>
      </c>
      <c r="AH24" s="93" t="str">
        <f aca="false">IF(OR($B24="",$AF24=""),"",IFERROR(VLOOKUP($AF24,'Application Portfolio'!$A$2:$AB$1000,28,FALSE()),""))</f>
        <v/>
      </c>
    </row>
    <row r="25" customFormat="false" ht="15.75" hidden="false" customHeight="true" outlineLevel="0" collapsed="false">
      <c r="A25" s="90"/>
      <c r="B25" s="98"/>
      <c r="C25" s="98"/>
      <c r="D25" s="98"/>
      <c r="E25" s="98"/>
      <c r="F25" s="98"/>
      <c r="G25" s="98"/>
      <c r="H25" s="98"/>
      <c r="I25" s="98"/>
      <c r="J25" s="98"/>
      <c r="K25" s="98"/>
      <c r="L25" s="92" t="str">
        <f aca="false">IF(OR($B25="", $H25="", $I25="", $J25="", $K25=""),"",ROUND((VLOOKUP($H25,Lists!$E$2:$F$5,2,FALSE())*VLOOKUP($I25,Lists!$H$2:$I$4,2,FALSE())*VLOOKUP($J25,Lists!$K$2:$L$4,2,FALSE()))/VLOOKUP($K25,Lists!$N$2:$O$6,2,FALSE()),2))</f>
        <v/>
      </c>
      <c r="M25" s="93" t="str">
        <f aca="false">IF($B25="","",IF($AC25&lt;&gt;"",$AC25,IF($H25="Critical","P0",IF(NOT(ISNUMBER($L25)),"",IF($L25&gt;=Lists!$AM$2,"P0",IF($L25&gt;=Lists!$AM$3,"P1",IF($L25&gt;=Lists!$AM$4,"P2","P3")))))))</f>
        <v/>
      </c>
      <c r="N25" s="98"/>
      <c r="O25" s="98"/>
      <c r="P25" s="98"/>
      <c r="Q25" s="99"/>
      <c r="R25" s="95" t="str">
        <f aca="true">IF($Q25="","", TODAY()-$Q25)</f>
        <v/>
      </c>
      <c r="S25" s="98"/>
      <c r="T25" s="99"/>
      <c r="U25" s="99"/>
      <c r="V25" s="98"/>
      <c r="W25" s="98"/>
      <c r="X25" s="98"/>
      <c r="Y25" s="96"/>
      <c r="Z25" s="96"/>
      <c r="AA25" s="96"/>
      <c r="AC25" s="98"/>
      <c r="AD25" s="97" t="str">
        <f aca="false">IF($B25="","",IF(ISNUMBER($T25),$T25,IF(OR(NOT(ISNUMBER($Q25)),$S25=""),"",IFERROR(IF(ISNUMBER(INDEX(Lists!$AJ$2:$AJ$7,MATCH($S25,Lists!$AI$2:$AI$7,0))),$Q25+INDEX(Lists!$AJ$2:$AJ$7,MATCH($S25,Lists!$AI$2:$AI$7,0)),""),""))))</f>
        <v/>
      </c>
      <c r="AE25" s="93" t="str">
        <f aca="true">IF($B25="","",IF(AND(ISNUMBER($AD25),N($AD25)&lt;TODAY(),$N25&lt;&gt;"Done",$N25&lt;&gt;"Won't Fix",$N25&lt;&gt;"Duplicate"),"Yes","No"))</f>
        <v/>
      </c>
      <c r="AF25" s="98"/>
      <c r="AG25" s="93" t="str">
        <f aca="false">IF($AF25="","",IFERROR(VLOOKUP($AF25,'Application Portfolio'!$A$2:$B$1000,2,FALSE()),"Unknown App ID"))</f>
        <v/>
      </c>
      <c r="AH25" s="93" t="str">
        <f aca="false">IF(OR($B25="",$AF25=""),"",IFERROR(VLOOKUP($AF25,'Application Portfolio'!$A$2:$AB$1000,28,FALSE()),""))</f>
        <v/>
      </c>
    </row>
    <row r="26" customFormat="false" ht="15.75" hidden="false" customHeight="true" outlineLevel="0" collapsed="false">
      <c r="A26" s="90"/>
      <c r="B26" s="91"/>
      <c r="C26" s="91"/>
      <c r="D26" s="91"/>
      <c r="E26" s="91"/>
      <c r="F26" s="91"/>
      <c r="G26" s="91"/>
      <c r="H26" s="91"/>
      <c r="I26" s="91"/>
      <c r="J26" s="91"/>
      <c r="K26" s="91"/>
      <c r="L26" s="92" t="str">
        <f aca="false">IF(OR($B26="", $H26="", $I26="", $J26="", $K26=""),"",ROUND((VLOOKUP($H26,Lists!$E$2:$F$5,2,FALSE())*VLOOKUP($I26,Lists!$H$2:$I$4,2,FALSE())*VLOOKUP($J26,Lists!$K$2:$L$4,2,FALSE()))/VLOOKUP($K26,Lists!$N$2:$O$6,2,FALSE()),2))</f>
        <v/>
      </c>
      <c r="M26" s="93" t="str">
        <f aca="false">IF($B26="","",IF($AC26&lt;&gt;"",$AC26,IF($H26="Critical","P0",IF(NOT(ISNUMBER($L26)),"",IF($L26&gt;=Lists!$AM$2,"P0",IF($L26&gt;=Lists!$AM$3,"P1",IF($L26&gt;=Lists!$AM$4,"P2","P3")))))))</f>
        <v/>
      </c>
      <c r="N26" s="91"/>
      <c r="O26" s="91"/>
      <c r="P26" s="91"/>
      <c r="Q26" s="94"/>
      <c r="R26" s="95" t="str">
        <f aca="true">IF($Q26="","", TODAY()-$Q26)</f>
        <v/>
      </c>
      <c r="S26" s="91"/>
      <c r="T26" s="94"/>
      <c r="U26" s="94"/>
      <c r="V26" s="91"/>
      <c r="W26" s="91"/>
      <c r="X26" s="91"/>
      <c r="Y26" s="96"/>
      <c r="Z26" s="96"/>
      <c r="AA26" s="96"/>
      <c r="AC26" s="91"/>
      <c r="AD26" s="97" t="str">
        <f aca="false">IF($B26="","",IF(ISNUMBER($T26),$T26,IF(OR(NOT(ISNUMBER($Q26)),$S26=""),"",IFERROR(IF(ISNUMBER(INDEX(Lists!$AJ$2:$AJ$7,MATCH($S26,Lists!$AI$2:$AI$7,0))),$Q26+INDEX(Lists!$AJ$2:$AJ$7,MATCH($S26,Lists!$AI$2:$AI$7,0)),""),""))))</f>
        <v/>
      </c>
      <c r="AE26" s="93" t="str">
        <f aca="true">IF($B26="","",IF(AND(ISNUMBER($AD26),N($AD26)&lt;TODAY(),$N26&lt;&gt;"Done",$N26&lt;&gt;"Won't Fix",$N26&lt;&gt;"Duplicate"),"Yes","No"))</f>
        <v/>
      </c>
      <c r="AF26" s="91"/>
      <c r="AG26" s="93" t="str">
        <f aca="false">IF($AF26="","",IFERROR(VLOOKUP($AF26,'Application Portfolio'!$A$2:$B$1000,2,FALSE()),"Unknown App ID"))</f>
        <v/>
      </c>
      <c r="AH26" s="93" t="str">
        <f aca="false">IF(OR($B26="",$AF26=""),"",IFERROR(VLOOKUP($AF26,'Application Portfolio'!$A$2:$AB$1000,28,FALSE()),""))</f>
        <v/>
      </c>
    </row>
    <row r="27" customFormat="false" ht="15.75" hidden="false" customHeight="true" outlineLevel="0" collapsed="false">
      <c r="A27" s="90"/>
      <c r="B27" s="98"/>
      <c r="C27" s="98"/>
      <c r="D27" s="98"/>
      <c r="E27" s="98"/>
      <c r="F27" s="98"/>
      <c r="G27" s="98"/>
      <c r="H27" s="98"/>
      <c r="I27" s="98"/>
      <c r="J27" s="98"/>
      <c r="K27" s="98"/>
      <c r="L27" s="92" t="str">
        <f aca="false">IF(OR($B27="", $H27="", $I27="", $J27="", $K27=""),"",ROUND((VLOOKUP($H27,Lists!$E$2:$F$5,2,FALSE())*VLOOKUP($I27,Lists!$H$2:$I$4,2,FALSE())*VLOOKUP($J27,Lists!$K$2:$L$4,2,FALSE()))/VLOOKUP($K27,Lists!$N$2:$O$6,2,FALSE()),2))</f>
        <v/>
      </c>
      <c r="M27" s="93" t="str">
        <f aca="false">IF($B27="","",IF($AC27&lt;&gt;"",$AC27,IF($H27="Critical","P0",IF(NOT(ISNUMBER($L27)),"",IF($L27&gt;=Lists!$AM$2,"P0",IF($L27&gt;=Lists!$AM$3,"P1",IF($L27&gt;=Lists!$AM$4,"P2","P3")))))))</f>
        <v/>
      </c>
      <c r="N27" s="98"/>
      <c r="O27" s="98"/>
      <c r="P27" s="98"/>
      <c r="Q27" s="99"/>
      <c r="R27" s="95" t="str">
        <f aca="true">IF($Q27="","", TODAY()-$Q27)</f>
        <v/>
      </c>
      <c r="S27" s="98"/>
      <c r="T27" s="99"/>
      <c r="U27" s="99"/>
      <c r="V27" s="98"/>
      <c r="W27" s="98"/>
      <c r="X27" s="98"/>
      <c r="Y27" s="96"/>
      <c r="Z27" s="96"/>
      <c r="AA27" s="96"/>
      <c r="AC27" s="98"/>
      <c r="AD27" s="97" t="str">
        <f aca="false">IF($B27="","",IF(ISNUMBER($T27),$T27,IF(OR(NOT(ISNUMBER($Q27)),$S27=""),"",IFERROR(IF(ISNUMBER(INDEX(Lists!$AJ$2:$AJ$7,MATCH($S27,Lists!$AI$2:$AI$7,0))),$Q27+INDEX(Lists!$AJ$2:$AJ$7,MATCH($S27,Lists!$AI$2:$AI$7,0)),""),""))))</f>
        <v/>
      </c>
      <c r="AE27" s="93" t="str">
        <f aca="true">IF($B27="","",IF(AND(ISNUMBER($AD27),N($AD27)&lt;TODAY(),$N27&lt;&gt;"Done",$N27&lt;&gt;"Won't Fix",$N27&lt;&gt;"Duplicate"),"Yes","No"))</f>
        <v/>
      </c>
      <c r="AF27" s="98"/>
      <c r="AG27" s="93" t="str">
        <f aca="false">IF($AF27="","",IFERROR(VLOOKUP($AF27,'Application Portfolio'!$A$2:$B$1000,2,FALSE()),"Unknown App ID"))</f>
        <v/>
      </c>
      <c r="AH27" s="93" t="str">
        <f aca="false">IF(OR($B27="",$AF27=""),"",IFERROR(VLOOKUP($AF27,'Application Portfolio'!$A$2:$AB$1000,28,FALSE()),""))</f>
        <v/>
      </c>
    </row>
    <row r="28" customFormat="false" ht="15.75" hidden="false" customHeight="true" outlineLevel="0" collapsed="false">
      <c r="A28" s="90"/>
      <c r="B28" s="91"/>
      <c r="C28" s="91"/>
      <c r="D28" s="91"/>
      <c r="E28" s="91"/>
      <c r="F28" s="91"/>
      <c r="G28" s="91"/>
      <c r="H28" s="91"/>
      <c r="I28" s="91"/>
      <c r="J28" s="91"/>
      <c r="K28" s="91"/>
      <c r="L28" s="92" t="str">
        <f aca="false">IF(OR($B28="", $H28="", $I28="", $J28="", $K28=""),"",ROUND((VLOOKUP($H28,Lists!$E$2:$F$5,2,FALSE())*VLOOKUP($I28,Lists!$H$2:$I$4,2,FALSE())*VLOOKUP($J28,Lists!$K$2:$L$4,2,FALSE()))/VLOOKUP($K28,Lists!$N$2:$O$6,2,FALSE()),2))</f>
        <v/>
      </c>
      <c r="M28" s="93" t="str">
        <f aca="false">IF($B28="","",IF($AC28&lt;&gt;"",$AC28,IF($H28="Critical","P0",IF(NOT(ISNUMBER($L28)),"",IF($L28&gt;=Lists!$AM$2,"P0",IF($L28&gt;=Lists!$AM$3,"P1",IF($L28&gt;=Lists!$AM$4,"P2","P3")))))))</f>
        <v/>
      </c>
      <c r="N28" s="91"/>
      <c r="O28" s="91"/>
      <c r="P28" s="91"/>
      <c r="Q28" s="94"/>
      <c r="R28" s="95" t="str">
        <f aca="true">IF($Q28="","", TODAY()-$Q28)</f>
        <v/>
      </c>
      <c r="S28" s="91"/>
      <c r="T28" s="94"/>
      <c r="U28" s="94"/>
      <c r="V28" s="91"/>
      <c r="W28" s="91"/>
      <c r="X28" s="91"/>
      <c r="Y28" s="96"/>
      <c r="Z28" s="96"/>
      <c r="AA28" s="96"/>
      <c r="AC28" s="91"/>
      <c r="AD28" s="97" t="str">
        <f aca="false">IF($B28="","",IF(ISNUMBER($T28),$T28,IF(OR(NOT(ISNUMBER($Q28)),$S28=""),"",IFERROR(IF(ISNUMBER(INDEX(Lists!$AJ$2:$AJ$7,MATCH($S28,Lists!$AI$2:$AI$7,0))),$Q28+INDEX(Lists!$AJ$2:$AJ$7,MATCH($S28,Lists!$AI$2:$AI$7,0)),""),""))))</f>
        <v/>
      </c>
      <c r="AE28" s="93" t="str">
        <f aca="true">IF($B28="","",IF(AND(ISNUMBER($AD28),N($AD28)&lt;TODAY(),$N28&lt;&gt;"Done",$N28&lt;&gt;"Won't Fix",$N28&lt;&gt;"Duplicate"),"Yes","No"))</f>
        <v/>
      </c>
      <c r="AF28" s="91"/>
      <c r="AG28" s="93" t="str">
        <f aca="false">IF($AF28="","",IFERROR(VLOOKUP($AF28,'Application Portfolio'!$A$2:$B$1000,2,FALSE()),"Unknown App ID"))</f>
        <v/>
      </c>
      <c r="AH28" s="93" t="str">
        <f aca="false">IF(OR($B28="",$AF28=""),"",IFERROR(VLOOKUP($AF28,'Application Portfolio'!$A$2:$AB$1000,28,FALSE()),""))</f>
        <v/>
      </c>
    </row>
    <row r="29" customFormat="false" ht="15.75" hidden="false" customHeight="true" outlineLevel="0" collapsed="false">
      <c r="A29" s="90"/>
      <c r="B29" s="98"/>
      <c r="C29" s="98"/>
      <c r="D29" s="98"/>
      <c r="E29" s="98"/>
      <c r="F29" s="98"/>
      <c r="G29" s="98"/>
      <c r="H29" s="98"/>
      <c r="I29" s="98"/>
      <c r="J29" s="98"/>
      <c r="K29" s="98"/>
      <c r="L29" s="92" t="str">
        <f aca="false">IF(OR($B29="", $H29="", $I29="", $J29="", $K29=""),"",ROUND((VLOOKUP($H29,Lists!$E$2:$F$5,2,FALSE())*VLOOKUP($I29,Lists!$H$2:$I$4,2,FALSE())*VLOOKUP($J29,Lists!$K$2:$L$4,2,FALSE()))/VLOOKUP($K29,Lists!$N$2:$O$6,2,FALSE()),2))</f>
        <v/>
      </c>
      <c r="M29" s="93" t="str">
        <f aca="false">IF($B29="","",IF($AC29&lt;&gt;"",$AC29,IF($H29="Critical","P0",IF(NOT(ISNUMBER($L29)),"",IF($L29&gt;=Lists!$AM$2,"P0",IF($L29&gt;=Lists!$AM$3,"P1",IF($L29&gt;=Lists!$AM$4,"P2","P3")))))))</f>
        <v/>
      </c>
      <c r="N29" s="98"/>
      <c r="O29" s="98"/>
      <c r="P29" s="98"/>
      <c r="Q29" s="99"/>
      <c r="R29" s="95" t="str">
        <f aca="true">IF($Q29="","", TODAY()-$Q29)</f>
        <v/>
      </c>
      <c r="S29" s="98"/>
      <c r="T29" s="99"/>
      <c r="U29" s="99"/>
      <c r="V29" s="98"/>
      <c r="W29" s="98"/>
      <c r="X29" s="98"/>
      <c r="Y29" s="96"/>
      <c r="Z29" s="96"/>
      <c r="AA29" s="96"/>
      <c r="AC29" s="98"/>
      <c r="AD29" s="97" t="str">
        <f aca="false">IF($B29="","",IF(ISNUMBER($T29),$T29,IF(OR(NOT(ISNUMBER($Q29)),$S29=""),"",IFERROR(IF(ISNUMBER(INDEX(Lists!$AJ$2:$AJ$7,MATCH($S29,Lists!$AI$2:$AI$7,0))),$Q29+INDEX(Lists!$AJ$2:$AJ$7,MATCH($S29,Lists!$AI$2:$AI$7,0)),""),""))))</f>
        <v/>
      </c>
      <c r="AE29" s="93" t="str">
        <f aca="true">IF($B29="","",IF(AND(ISNUMBER($AD29),N($AD29)&lt;TODAY(),$N29&lt;&gt;"Done",$N29&lt;&gt;"Won't Fix",$N29&lt;&gt;"Duplicate"),"Yes","No"))</f>
        <v/>
      </c>
      <c r="AF29" s="98"/>
      <c r="AG29" s="93" t="str">
        <f aca="false">IF($AF29="","",IFERROR(VLOOKUP($AF29,'Application Portfolio'!$A$2:$B$1000,2,FALSE()),"Unknown App ID"))</f>
        <v/>
      </c>
      <c r="AH29" s="93" t="str">
        <f aca="false">IF(OR($B29="",$AF29=""),"",IFERROR(VLOOKUP($AF29,'Application Portfolio'!$A$2:$AB$1000,28,FALSE()),""))</f>
        <v/>
      </c>
    </row>
    <row r="30" customFormat="false" ht="15.75" hidden="false" customHeight="true" outlineLevel="0" collapsed="false">
      <c r="A30" s="90"/>
      <c r="B30" s="91"/>
      <c r="C30" s="91"/>
      <c r="D30" s="91"/>
      <c r="E30" s="91"/>
      <c r="F30" s="91"/>
      <c r="G30" s="91"/>
      <c r="H30" s="91"/>
      <c r="I30" s="91"/>
      <c r="J30" s="91"/>
      <c r="K30" s="91"/>
      <c r="L30" s="92" t="str">
        <f aca="false">IF(OR($B30="", $H30="", $I30="", $J30="", $K30=""),"",ROUND((VLOOKUP($H30,Lists!$E$2:$F$5,2,FALSE())*VLOOKUP($I30,Lists!$H$2:$I$4,2,FALSE())*VLOOKUP($J30,Lists!$K$2:$L$4,2,FALSE()))/VLOOKUP($K30,Lists!$N$2:$O$6,2,FALSE()),2))</f>
        <v/>
      </c>
      <c r="M30" s="93" t="str">
        <f aca="false">IF($B30="","",IF($AC30&lt;&gt;"",$AC30,IF($H30="Critical","P0",IF(NOT(ISNUMBER($L30)),"",IF($L30&gt;=Lists!$AM$2,"P0",IF($L30&gt;=Lists!$AM$3,"P1",IF($L30&gt;=Lists!$AM$4,"P2","P3")))))))</f>
        <v/>
      </c>
      <c r="N30" s="91"/>
      <c r="O30" s="91"/>
      <c r="P30" s="91"/>
      <c r="Q30" s="94"/>
      <c r="R30" s="95" t="str">
        <f aca="true">IF($Q30="","", TODAY()-$Q30)</f>
        <v/>
      </c>
      <c r="S30" s="91"/>
      <c r="T30" s="94"/>
      <c r="U30" s="94"/>
      <c r="V30" s="91"/>
      <c r="W30" s="91"/>
      <c r="X30" s="91"/>
      <c r="Y30" s="96"/>
      <c r="Z30" s="96"/>
      <c r="AA30" s="96"/>
      <c r="AC30" s="91"/>
      <c r="AD30" s="97" t="str">
        <f aca="false">IF($B30="","",IF(ISNUMBER($T30),$T30,IF(OR(NOT(ISNUMBER($Q30)),$S30=""),"",IFERROR(IF(ISNUMBER(INDEX(Lists!$AJ$2:$AJ$7,MATCH($S30,Lists!$AI$2:$AI$7,0))),$Q30+INDEX(Lists!$AJ$2:$AJ$7,MATCH($S30,Lists!$AI$2:$AI$7,0)),""),""))))</f>
        <v/>
      </c>
      <c r="AE30" s="93" t="str">
        <f aca="true">IF($B30="","",IF(AND(ISNUMBER($AD30),N($AD30)&lt;TODAY(),$N30&lt;&gt;"Done",$N30&lt;&gt;"Won't Fix",$N30&lt;&gt;"Duplicate"),"Yes","No"))</f>
        <v/>
      </c>
      <c r="AF30" s="91"/>
      <c r="AG30" s="93" t="str">
        <f aca="false">IF($AF30="","",IFERROR(VLOOKUP($AF30,'Application Portfolio'!$A$2:$B$1000,2,FALSE()),"Unknown App ID"))</f>
        <v/>
      </c>
      <c r="AH30" s="93" t="str">
        <f aca="false">IF(OR($B30="",$AF30=""),"",IFERROR(VLOOKUP($AF30,'Application Portfolio'!$A$2:$AB$1000,28,FALSE()),""))</f>
        <v/>
      </c>
    </row>
    <row r="31" customFormat="false" ht="15.75" hidden="false" customHeight="true" outlineLevel="0" collapsed="false">
      <c r="A31" s="90"/>
      <c r="B31" s="98"/>
      <c r="C31" s="98"/>
      <c r="D31" s="98"/>
      <c r="E31" s="98"/>
      <c r="F31" s="98"/>
      <c r="G31" s="98"/>
      <c r="H31" s="98"/>
      <c r="I31" s="98"/>
      <c r="J31" s="98"/>
      <c r="K31" s="98"/>
      <c r="L31" s="92" t="str">
        <f aca="false">IF(OR($B31="", $H31="", $I31="", $J31="", $K31=""),"",ROUND((VLOOKUP($H31,Lists!$E$2:$F$5,2,FALSE())*VLOOKUP($I31,Lists!$H$2:$I$4,2,FALSE())*VLOOKUP($J31,Lists!$K$2:$L$4,2,FALSE()))/VLOOKUP($K31,Lists!$N$2:$O$6,2,FALSE()),2))</f>
        <v/>
      </c>
      <c r="M31" s="93" t="str">
        <f aca="false">IF($B31="","",IF($AC31&lt;&gt;"",$AC31,IF($H31="Critical","P0",IF(NOT(ISNUMBER($L31)),"",IF($L31&gt;=Lists!$AM$2,"P0",IF($L31&gt;=Lists!$AM$3,"P1",IF($L31&gt;=Lists!$AM$4,"P2","P3")))))))</f>
        <v/>
      </c>
      <c r="N31" s="98"/>
      <c r="O31" s="98"/>
      <c r="P31" s="98"/>
      <c r="Q31" s="99"/>
      <c r="R31" s="95" t="str">
        <f aca="true">IF($Q31="","", TODAY()-$Q31)</f>
        <v/>
      </c>
      <c r="S31" s="98"/>
      <c r="T31" s="99"/>
      <c r="U31" s="99"/>
      <c r="V31" s="98"/>
      <c r="W31" s="98"/>
      <c r="X31" s="98"/>
      <c r="Y31" s="96"/>
      <c r="Z31" s="96"/>
      <c r="AA31" s="96"/>
      <c r="AC31" s="98"/>
      <c r="AD31" s="97" t="str">
        <f aca="false">IF($B31="","",IF(ISNUMBER($T31),$T31,IF(OR(NOT(ISNUMBER($Q31)),$S31=""),"",IFERROR(IF(ISNUMBER(INDEX(Lists!$AJ$2:$AJ$7,MATCH($S31,Lists!$AI$2:$AI$7,0))),$Q31+INDEX(Lists!$AJ$2:$AJ$7,MATCH($S31,Lists!$AI$2:$AI$7,0)),""),""))))</f>
        <v/>
      </c>
      <c r="AE31" s="93" t="str">
        <f aca="true">IF($B31="","",IF(AND(ISNUMBER($AD31),N($AD31)&lt;TODAY(),$N31&lt;&gt;"Done",$N31&lt;&gt;"Won't Fix",$N31&lt;&gt;"Duplicate"),"Yes","No"))</f>
        <v/>
      </c>
      <c r="AF31" s="98"/>
      <c r="AG31" s="93" t="str">
        <f aca="false">IF($AF31="","",IFERROR(VLOOKUP($AF31,'Application Portfolio'!$A$2:$B$1000,2,FALSE()),"Unknown App ID"))</f>
        <v/>
      </c>
      <c r="AH31" s="93" t="str">
        <f aca="false">IF(OR($B31="",$AF31=""),"",IFERROR(VLOOKUP($AF31,'Application Portfolio'!$A$2:$AB$1000,28,FALSE()),""))</f>
        <v/>
      </c>
    </row>
    <row r="32" customFormat="false" ht="15.75" hidden="false" customHeight="true" outlineLevel="0" collapsed="false">
      <c r="A32" s="90"/>
      <c r="B32" s="91"/>
      <c r="C32" s="91"/>
      <c r="D32" s="91"/>
      <c r="E32" s="91"/>
      <c r="F32" s="91"/>
      <c r="G32" s="91"/>
      <c r="H32" s="91"/>
      <c r="I32" s="91"/>
      <c r="J32" s="91"/>
      <c r="K32" s="91"/>
      <c r="L32" s="92" t="str">
        <f aca="false">IF(OR($B32="", $H32="", $I32="", $J32="", $K32=""),"",ROUND((VLOOKUP($H32,Lists!$E$2:$F$5,2,FALSE())*VLOOKUP($I32,Lists!$H$2:$I$4,2,FALSE())*VLOOKUP($J32,Lists!$K$2:$L$4,2,FALSE()))/VLOOKUP($K32,Lists!$N$2:$O$6,2,FALSE()),2))</f>
        <v/>
      </c>
      <c r="M32" s="93" t="str">
        <f aca="false">IF($B32="","",IF($AC32&lt;&gt;"",$AC32,IF($H32="Critical","P0",IF(NOT(ISNUMBER($L32)),"",IF($L32&gt;=Lists!$AM$2,"P0",IF($L32&gt;=Lists!$AM$3,"P1",IF($L32&gt;=Lists!$AM$4,"P2","P3")))))))</f>
        <v/>
      </c>
      <c r="N32" s="91"/>
      <c r="O32" s="91"/>
      <c r="P32" s="91"/>
      <c r="Q32" s="94"/>
      <c r="R32" s="95" t="str">
        <f aca="true">IF($Q32="","", TODAY()-$Q32)</f>
        <v/>
      </c>
      <c r="S32" s="91"/>
      <c r="T32" s="94"/>
      <c r="U32" s="94"/>
      <c r="V32" s="91"/>
      <c r="W32" s="91"/>
      <c r="X32" s="91"/>
      <c r="Y32" s="96"/>
      <c r="Z32" s="96"/>
      <c r="AA32" s="96"/>
      <c r="AC32" s="91"/>
      <c r="AD32" s="97" t="str">
        <f aca="false">IF($B32="","",IF(ISNUMBER($T32),$T32,IF(OR(NOT(ISNUMBER($Q32)),$S32=""),"",IFERROR(IF(ISNUMBER(INDEX(Lists!$AJ$2:$AJ$7,MATCH($S32,Lists!$AI$2:$AI$7,0))),$Q32+INDEX(Lists!$AJ$2:$AJ$7,MATCH($S32,Lists!$AI$2:$AI$7,0)),""),""))))</f>
        <v/>
      </c>
      <c r="AE32" s="93" t="str">
        <f aca="true">IF($B32="","",IF(AND(ISNUMBER($AD32),N($AD32)&lt;TODAY(),$N32&lt;&gt;"Done",$N32&lt;&gt;"Won't Fix",$N32&lt;&gt;"Duplicate"),"Yes","No"))</f>
        <v/>
      </c>
      <c r="AF32" s="91"/>
      <c r="AG32" s="93" t="str">
        <f aca="false">IF($AF32="","",IFERROR(VLOOKUP($AF32,'Application Portfolio'!$A$2:$B$1000,2,FALSE()),"Unknown App ID"))</f>
        <v/>
      </c>
      <c r="AH32" s="93" t="str">
        <f aca="false">IF(OR($B32="",$AF32=""),"",IFERROR(VLOOKUP($AF32,'Application Portfolio'!$A$2:$AB$1000,28,FALSE()),""))</f>
        <v/>
      </c>
    </row>
    <row r="33" customFormat="false" ht="15.75" hidden="false" customHeight="true" outlineLevel="0" collapsed="false">
      <c r="A33" s="90"/>
      <c r="B33" s="98"/>
      <c r="C33" s="98"/>
      <c r="D33" s="98"/>
      <c r="E33" s="98"/>
      <c r="F33" s="98"/>
      <c r="G33" s="98"/>
      <c r="H33" s="98"/>
      <c r="I33" s="98"/>
      <c r="J33" s="98"/>
      <c r="K33" s="98"/>
      <c r="L33" s="92" t="str">
        <f aca="false">IF(OR($B33="", $H33="", $I33="", $J33="", $K33=""),"",ROUND((VLOOKUP($H33,Lists!$E$2:$F$5,2,FALSE())*VLOOKUP($I33,Lists!$H$2:$I$4,2,FALSE())*VLOOKUP($J33,Lists!$K$2:$L$4,2,FALSE()))/VLOOKUP($K33,Lists!$N$2:$O$6,2,FALSE()),2))</f>
        <v/>
      </c>
      <c r="M33" s="93" t="str">
        <f aca="false">IF($B33="","",IF($AC33&lt;&gt;"",$AC33,IF($H33="Critical","P0",IF(NOT(ISNUMBER($L33)),"",IF($L33&gt;=Lists!$AM$2,"P0",IF($L33&gt;=Lists!$AM$3,"P1",IF($L33&gt;=Lists!$AM$4,"P2","P3")))))))</f>
        <v/>
      </c>
      <c r="N33" s="98"/>
      <c r="O33" s="98"/>
      <c r="P33" s="98"/>
      <c r="Q33" s="99"/>
      <c r="R33" s="95" t="str">
        <f aca="true">IF($Q33="","", TODAY()-$Q33)</f>
        <v/>
      </c>
      <c r="S33" s="98"/>
      <c r="T33" s="99"/>
      <c r="U33" s="99"/>
      <c r="V33" s="98"/>
      <c r="W33" s="98"/>
      <c r="X33" s="98"/>
      <c r="Y33" s="96"/>
      <c r="Z33" s="96"/>
      <c r="AA33" s="96"/>
      <c r="AC33" s="98"/>
      <c r="AD33" s="97" t="str">
        <f aca="false">IF($B33="","",IF(ISNUMBER($T33),$T33,IF(OR(NOT(ISNUMBER($Q33)),$S33=""),"",IFERROR(IF(ISNUMBER(INDEX(Lists!$AJ$2:$AJ$7,MATCH($S33,Lists!$AI$2:$AI$7,0))),$Q33+INDEX(Lists!$AJ$2:$AJ$7,MATCH($S33,Lists!$AI$2:$AI$7,0)),""),""))))</f>
        <v/>
      </c>
      <c r="AE33" s="93" t="str">
        <f aca="true">IF($B33="","",IF(AND(ISNUMBER($AD33),N($AD33)&lt;TODAY(),$N33&lt;&gt;"Done",$N33&lt;&gt;"Won't Fix",$N33&lt;&gt;"Duplicate"),"Yes","No"))</f>
        <v/>
      </c>
      <c r="AF33" s="98"/>
      <c r="AG33" s="93" t="str">
        <f aca="false">IF($AF33="","",IFERROR(VLOOKUP($AF33,'Application Portfolio'!$A$2:$B$1000,2,FALSE()),"Unknown App ID"))</f>
        <v/>
      </c>
      <c r="AH33" s="93" t="str">
        <f aca="false">IF(OR($B33="",$AF33=""),"",IFERROR(VLOOKUP($AF33,'Application Portfolio'!$A$2:$AB$1000,28,FALSE()),""))</f>
        <v/>
      </c>
    </row>
    <row r="34" customFormat="false" ht="15.75" hidden="false" customHeight="true" outlineLevel="0" collapsed="false">
      <c r="A34" s="90"/>
      <c r="B34" s="91"/>
      <c r="C34" s="91"/>
      <c r="D34" s="91"/>
      <c r="E34" s="91"/>
      <c r="F34" s="91"/>
      <c r="G34" s="91"/>
      <c r="H34" s="91"/>
      <c r="I34" s="91"/>
      <c r="J34" s="91"/>
      <c r="K34" s="91"/>
      <c r="L34" s="92" t="str">
        <f aca="false">IF(OR($B34="", $H34="", $I34="", $J34="", $K34=""),"",ROUND((VLOOKUP($H34,Lists!$E$2:$F$5,2,FALSE())*VLOOKUP($I34,Lists!$H$2:$I$4,2,FALSE())*VLOOKUP($J34,Lists!$K$2:$L$4,2,FALSE()))/VLOOKUP($K34,Lists!$N$2:$O$6,2,FALSE()),2))</f>
        <v/>
      </c>
      <c r="M34" s="93" t="str">
        <f aca="false">IF($B34="","",IF($AC34&lt;&gt;"",$AC34,IF($H34="Critical","P0",IF(NOT(ISNUMBER($L34)),"",IF($L34&gt;=Lists!$AM$2,"P0",IF($L34&gt;=Lists!$AM$3,"P1",IF($L34&gt;=Lists!$AM$4,"P2","P3")))))))</f>
        <v/>
      </c>
      <c r="N34" s="91"/>
      <c r="O34" s="91"/>
      <c r="P34" s="91"/>
      <c r="Q34" s="94"/>
      <c r="R34" s="95" t="str">
        <f aca="true">IF($Q34="","", TODAY()-$Q34)</f>
        <v/>
      </c>
      <c r="S34" s="91"/>
      <c r="T34" s="94"/>
      <c r="U34" s="94"/>
      <c r="V34" s="91"/>
      <c r="W34" s="91"/>
      <c r="X34" s="91"/>
      <c r="Y34" s="96"/>
      <c r="Z34" s="96"/>
      <c r="AA34" s="96"/>
      <c r="AC34" s="91"/>
      <c r="AD34" s="97" t="str">
        <f aca="false">IF($B34="","",IF(ISNUMBER($T34),$T34,IF(OR(NOT(ISNUMBER($Q34)),$S34=""),"",IFERROR(IF(ISNUMBER(INDEX(Lists!$AJ$2:$AJ$7,MATCH($S34,Lists!$AI$2:$AI$7,0))),$Q34+INDEX(Lists!$AJ$2:$AJ$7,MATCH($S34,Lists!$AI$2:$AI$7,0)),""),""))))</f>
        <v/>
      </c>
      <c r="AE34" s="93" t="str">
        <f aca="true">IF($B34="","",IF(AND(ISNUMBER($AD34),N($AD34)&lt;TODAY(),$N34&lt;&gt;"Done",$N34&lt;&gt;"Won't Fix",$N34&lt;&gt;"Duplicate"),"Yes","No"))</f>
        <v/>
      </c>
      <c r="AF34" s="91"/>
      <c r="AG34" s="93" t="str">
        <f aca="false">IF($AF34="","",IFERROR(VLOOKUP($AF34,'Application Portfolio'!$A$2:$B$1000,2,FALSE()),"Unknown App ID"))</f>
        <v/>
      </c>
      <c r="AH34" s="93" t="str">
        <f aca="false">IF(OR($B34="",$AF34=""),"",IFERROR(VLOOKUP($AF34,'Application Portfolio'!$A$2:$AB$1000,28,FALSE()),""))</f>
        <v/>
      </c>
    </row>
    <row r="35" customFormat="false" ht="15.75" hidden="false" customHeight="true" outlineLevel="0" collapsed="false">
      <c r="A35" s="90"/>
      <c r="B35" s="98"/>
      <c r="C35" s="98"/>
      <c r="D35" s="98"/>
      <c r="E35" s="98"/>
      <c r="F35" s="98"/>
      <c r="G35" s="98"/>
      <c r="H35" s="98"/>
      <c r="I35" s="98"/>
      <c r="J35" s="98"/>
      <c r="K35" s="98"/>
      <c r="L35" s="92" t="str">
        <f aca="false">IF(OR($B35="", $H35="", $I35="", $J35="", $K35=""),"",ROUND((VLOOKUP($H35,Lists!$E$2:$F$5,2,FALSE())*VLOOKUP($I35,Lists!$H$2:$I$4,2,FALSE())*VLOOKUP($J35,Lists!$K$2:$L$4,2,FALSE()))/VLOOKUP($K35,Lists!$N$2:$O$6,2,FALSE()),2))</f>
        <v/>
      </c>
      <c r="M35" s="93" t="str">
        <f aca="false">IF($B35="","",IF($AC35&lt;&gt;"",$AC35,IF($H35="Critical","P0",IF(NOT(ISNUMBER($L35)),"",IF($L35&gt;=Lists!$AM$2,"P0",IF($L35&gt;=Lists!$AM$3,"P1",IF($L35&gt;=Lists!$AM$4,"P2","P3")))))))</f>
        <v/>
      </c>
      <c r="N35" s="98"/>
      <c r="O35" s="98"/>
      <c r="P35" s="98"/>
      <c r="Q35" s="99"/>
      <c r="R35" s="95" t="str">
        <f aca="true">IF($Q35="","", TODAY()-$Q35)</f>
        <v/>
      </c>
      <c r="S35" s="98"/>
      <c r="T35" s="99"/>
      <c r="U35" s="99"/>
      <c r="V35" s="98"/>
      <c r="W35" s="98"/>
      <c r="X35" s="98"/>
      <c r="Y35" s="96"/>
      <c r="Z35" s="96"/>
      <c r="AA35" s="96"/>
      <c r="AC35" s="98"/>
      <c r="AD35" s="97" t="str">
        <f aca="false">IF($B35="","",IF(ISNUMBER($T35),$T35,IF(OR(NOT(ISNUMBER($Q35)),$S35=""),"",IFERROR(IF(ISNUMBER(INDEX(Lists!$AJ$2:$AJ$7,MATCH($S35,Lists!$AI$2:$AI$7,0))),$Q35+INDEX(Lists!$AJ$2:$AJ$7,MATCH($S35,Lists!$AI$2:$AI$7,0)),""),""))))</f>
        <v/>
      </c>
      <c r="AE35" s="93" t="str">
        <f aca="true">IF($B35="","",IF(AND(ISNUMBER($AD35),N($AD35)&lt;TODAY(),$N35&lt;&gt;"Done",$N35&lt;&gt;"Won't Fix",$N35&lt;&gt;"Duplicate"),"Yes","No"))</f>
        <v/>
      </c>
      <c r="AF35" s="98"/>
      <c r="AG35" s="93" t="str">
        <f aca="false">IF($AF35="","",IFERROR(VLOOKUP($AF35,'Application Portfolio'!$A$2:$B$1000,2,FALSE()),"Unknown App ID"))</f>
        <v/>
      </c>
      <c r="AH35" s="93" t="str">
        <f aca="false">IF(OR($B35="",$AF35=""),"",IFERROR(VLOOKUP($AF35,'Application Portfolio'!$A$2:$AB$1000,28,FALSE()),""))</f>
        <v/>
      </c>
    </row>
    <row r="36" customFormat="false" ht="15.75" hidden="false" customHeight="true" outlineLevel="0" collapsed="false">
      <c r="A36" s="90"/>
      <c r="B36" s="91"/>
      <c r="C36" s="91"/>
      <c r="D36" s="91"/>
      <c r="E36" s="91"/>
      <c r="F36" s="91"/>
      <c r="G36" s="91"/>
      <c r="H36" s="91"/>
      <c r="I36" s="91"/>
      <c r="J36" s="91"/>
      <c r="K36" s="91"/>
      <c r="L36" s="92" t="str">
        <f aca="false">IF(OR($B36="", $H36="", $I36="", $J36="", $K36=""),"",ROUND((VLOOKUP($H36,Lists!$E$2:$F$5,2,FALSE())*VLOOKUP($I36,Lists!$H$2:$I$4,2,FALSE())*VLOOKUP($J36,Lists!$K$2:$L$4,2,FALSE()))/VLOOKUP($K36,Lists!$N$2:$O$6,2,FALSE()),2))</f>
        <v/>
      </c>
      <c r="M36" s="93" t="str">
        <f aca="false">IF($B36="","",IF($AC36&lt;&gt;"",$AC36,IF($H36="Critical","P0",IF(NOT(ISNUMBER($L36)),"",IF($L36&gt;=Lists!$AM$2,"P0",IF($L36&gt;=Lists!$AM$3,"P1",IF($L36&gt;=Lists!$AM$4,"P2","P3")))))))</f>
        <v/>
      </c>
      <c r="N36" s="91"/>
      <c r="O36" s="91"/>
      <c r="P36" s="91"/>
      <c r="Q36" s="94"/>
      <c r="R36" s="95" t="str">
        <f aca="true">IF($Q36="","", TODAY()-$Q36)</f>
        <v/>
      </c>
      <c r="S36" s="91"/>
      <c r="T36" s="94"/>
      <c r="U36" s="94"/>
      <c r="V36" s="91"/>
      <c r="W36" s="91"/>
      <c r="X36" s="91"/>
      <c r="Y36" s="96"/>
      <c r="Z36" s="96"/>
      <c r="AA36" s="96"/>
      <c r="AC36" s="91"/>
      <c r="AD36" s="97" t="str">
        <f aca="false">IF($B36="","",IF(ISNUMBER($T36),$T36,IF(OR(NOT(ISNUMBER($Q36)),$S36=""),"",IFERROR(IF(ISNUMBER(INDEX(Lists!$AJ$2:$AJ$7,MATCH($S36,Lists!$AI$2:$AI$7,0))),$Q36+INDEX(Lists!$AJ$2:$AJ$7,MATCH($S36,Lists!$AI$2:$AI$7,0)),""),""))))</f>
        <v/>
      </c>
      <c r="AE36" s="93" t="str">
        <f aca="true">IF($B36="","",IF(AND(ISNUMBER($AD36),N($AD36)&lt;TODAY(),$N36&lt;&gt;"Done",$N36&lt;&gt;"Won't Fix",$N36&lt;&gt;"Duplicate"),"Yes","No"))</f>
        <v/>
      </c>
      <c r="AF36" s="91"/>
      <c r="AG36" s="93" t="str">
        <f aca="false">IF($AF36="","",IFERROR(VLOOKUP($AF36,'Application Portfolio'!$A$2:$B$1000,2,FALSE()),"Unknown App ID"))</f>
        <v/>
      </c>
      <c r="AH36" s="93" t="str">
        <f aca="false">IF(OR($B36="",$AF36=""),"",IFERROR(VLOOKUP($AF36,'Application Portfolio'!$A$2:$AB$1000,28,FALSE()),""))</f>
        <v/>
      </c>
    </row>
    <row r="37" customFormat="false" ht="15.75" hidden="false" customHeight="true" outlineLevel="0" collapsed="false">
      <c r="A37" s="90"/>
      <c r="B37" s="98"/>
      <c r="C37" s="98"/>
      <c r="D37" s="98"/>
      <c r="E37" s="98"/>
      <c r="F37" s="98"/>
      <c r="G37" s="98"/>
      <c r="H37" s="98"/>
      <c r="I37" s="98"/>
      <c r="J37" s="98"/>
      <c r="K37" s="98"/>
      <c r="L37" s="92" t="str">
        <f aca="false">IF(OR($B37="", $H37="", $I37="", $J37="", $K37=""),"",ROUND((VLOOKUP($H37,Lists!$E$2:$F$5,2,FALSE())*VLOOKUP($I37,Lists!$H$2:$I$4,2,FALSE())*VLOOKUP($J37,Lists!$K$2:$L$4,2,FALSE()))/VLOOKUP($K37,Lists!$N$2:$O$6,2,FALSE()),2))</f>
        <v/>
      </c>
      <c r="M37" s="93" t="str">
        <f aca="false">IF($B37="","",IF($AC37&lt;&gt;"",$AC37,IF($H37="Critical","P0",IF(NOT(ISNUMBER($L37)),"",IF($L37&gt;=Lists!$AM$2,"P0",IF($L37&gt;=Lists!$AM$3,"P1",IF($L37&gt;=Lists!$AM$4,"P2","P3")))))))</f>
        <v/>
      </c>
      <c r="N37" s="98"/>
      <c r="O37" s="98"/>
      <c r="P37" s="98"/>
      <c r="Q37" s="99"/>
      <c r="R37" s="95" t="str">
        <f aca="true">IF($Q37="","", TODAY()-$Q37)</f>
        <v/>
      </c>
      <c r="S37" s="98"/>
      <c r="T37" s="99"/>
      <c r="U37" s="99"/>
      <c r="V37" s="98"/>
      <c r="W37" s="98"/>
      <c r="X37" s="98"/>
      <c r="Y37" s="96"/>
      <c r="Z37" s="96"/>
      <c r="AA37" s="96"/>
      <c r="AC37" s="98"/>
      <c r="AD37" s="97" t="str">
        <f aca="false">IF($B37="","",IF(ISNUMBER($T37),$T37,IF(OR(NOT(ISNUMBER($Q37)),$S37=""),"",IFERROR(IF(ISNUMBER(INDEX(Lists!$AJ$2:$AJ$7,MATCH($S37,Lists!$AI$2:$AI$7,0))),$Q37+INDEX(Lists!$AJ$2:$AJ$7,MATCH($S37,Lists!$AI$2:$AI$7,0)),""),""))))</f>
        <v/>
      </c>
      <c r="AE37" s="93" t="str">
        <f aca="true">IF($B37="","",IF(AND(ISNUMBER($AD37),N($AD37)&lt;TODAY(),$N37&lt;&gt;"Done",$N37&lt;&gt;"Won't Fix",$N37&lt;&gt;"Duplicate"),"Yes","No"))</f>
        <v/>
      </c>
      <c r="AF37" s="98"/>
      <c r="AG37" s="93" t="str">
        <f aca="false">IF($AF37="","",IFERROR(VLOOKUP($AF37,'Application Portfolio'!$A$2:$B$1000,2,FALSE()),"Unknown App ID"))</f>
        <v/>
      </c>
      <c r="AH37" s="93" t="str">
        <f aca="false">IF(OR($B37="",$AF37=""),"",IFERROR(VLOOKUP($AF37,'Application Portfolio'!$A$2:$AB$1000,28,FALSE()),""))</f>
        <v/>
      </c>
    </row>
    <row r="38" customFormat="false" ht="15.75" hidden="false" customHeight="true" outlineLevel="0" collapsed="false">
      <c r="A38" s="90"/>
      <c r="B38" s="91"/>
      <c r="C38" s="91"/>
      <c r="D38" s="91"/>
      <c r="E38" s="91"/>
      <c r="F38" s="91"/>
      <c r="G38" s="91"/>
      <c r="H38" s="91"/>
      <c r="I38" s="91"/>
      <c r="J38" s="91"/>
      <c r="K38" s="91"/>
      <c r="L38" s="92" t="str">
        <f aca="false">IF(OR($B38="", $H38="", $I38="", $J38="", $K38=""),"",ROUND((VLOOKUP($H38,Lists!$E$2:$F$5,2,FALSE())*VLOOKUP($I38,Lists!$H$2:$I$4,2,FALSE())*VLOOKUP($J38,Lists!$K$2:$L$4,2,FALSE()))/VLOOKUP($K38,Lists!$N$2:$O$6,2,FALSE()),2))</f>
        <v/>
      </c>
      <c r="M38" s="93" t="str">
        <f aca="false">IF($B38="","",IF($AC38&lt;&gt;"",$AC38,IF($H38="Critical","P0",IF(NOT(ISNUMBER($L38)),"",IF($L38&gt;=Lists!$AM$2,"P0",IF($L38&gt;=Lists!$AM$3,"P1",IF($L38&gt;=Lists!$AM$4,"P2","P3")))))))</f>
        <v/>
      </c>
      <c r="N38" s="91"/>
      <c r="O38" s="91"/>
      <c r="P38" s="91"/>
      <c r="Q38" s="94"/>
      <c r="R38" s="95" t="str">
        <f aca="true">IF($Q38="","", TODAY()-$Q38)</f>
        <v/>
      </c>
      <c r="S38" s="91"/>
      <c r="T38" s="94"/>
      <c r="U38" s="94"/>
      <c r="V38" s="91"/>
      <c r="W38" s="91"/>
      <c r="X38" s="91"/>
      <c r="Y38" s="96"/>
      <c r="Z38" s="96"/>
      <c r="AA38" s="96"/>
      <c r="AC38" s="91"/>
      <c r="AD38" s="97" t="str">
        <f aca="false">IF($B38="","",IF(ISNUMBER($T38),$T38,IF(OR(NOT(ISNUMBER($Q38)),$S38=""),"",IFERROR(IF(ISNUMBER(INDEX(Lists!$AJ$2:$AJ$7,MATCH($S38,Lists!$AI$2:$AI$7,0))),$Q38+INDEX(Lists!$AJ$2:$AJ$7,MATCH($S38,Lists!$AI$2:$AI$7,0)),""),""))))</f>
        <v/>
      </c>
      <c r="AE38" s="93" t="str">
        <f aca="true">IF($B38="","",IF(AND(ISNUMBER($AD38),N($AD38)&lt;TODAY(),$N38&lt;&gt;"Done",$N38&lt;&gt;"Won't Fix",$N38&lt;&gt;"Duplicate"),"Yes","No"))</f>
        <v/>
      </c>
      <c r="AF38" s="91"/>
      <c r="AG38" s="93" t="str">
        <f aca="false">IF($AF38="","",IFERROR(VLOOKUP($AF38,'Application Portfolio'!$A$2:$B$1000,2,FALSE()),"Unknown App ID"))</f>
        <v/>
      </c>
      <c r="AH38" s="93" t="str">
        <f aca="false">IF(OR($B38="",$AF38=""),"",IFERROR(VLOOKUP($AF38,'Application Portfolio'!$A$2:$AB$1000,28,FALSE()),""))</f>
        <v/>
      </c>
    </row>
    <row r="39" customFormat="false" ht="15.75" hidden="false" customHeight="true" outlineLevel="0" collapsed="false">
      <c r="A39" s="90"/>
      <c r="B39" s="98"/>
      <c r="C39" s="98"/>
      <c r="D39" s="98"/>
      <c r="E39" s="98"/>
      <c r="F39" s="98"/>
      <c r="G39" s="98"/>
      <c r="H39" s="98"/>
      <c r="I39" s="98"/>
      <c r="J39" s="98"/>
      <c r="K39" s="98"/>
      <c r="L39" s="92" t="str">
        <f aca="false">IF(OR($B39="", $H39="", $I39="", $J39="", $K39=""),"",ROUND((VLOOKUP($H39,Lists!$E$2:$F$5,2,FALSE())*VLOOKUP($I39,Lists!$H$2:$I$4,2,FALSE())*VLOOKUP($J39,Lists!$K$2:$L$4,2,FALSE()))/VLOOKUP($K39,Lists!$N$2:$O$6,2,FALSE()),2))</f>
        <v/>
      </c>
      <c r="M39" s="93" t="str">
        <f aca="false">IF($B39="","",IF($AC39&lt;&gt;"",$AC39,IF($H39="Critical","P0",IF(NOT(ISNUMBER($L39)),"",IF($L39&gt;=Lists!$AM$2,"P0",IF($L39&gt;=Lists!$AM$3,"P1",IF($L39&gt;=Lists!$AM$4,"P2","P3")))))))</f>
        <v/>
      </c>
      <c r="N39" s="98"/>
      <c r="O39" s="98"/>
      <c r="P39" s="98"/>
      <c r="Q39" s="99"/>
      <c r="R39" s="95" t="str">
        <f aca="true">IF($Q39="","", TODAY()-$Q39)</f>
        <v/>
      </c>
      <c r="S39" s="98"/>
      <c r="T39" s="99"/>
      <c r="U39" s="99"/>
      <c r="V39" s="98"/>
      <c r="W39" s="98"/>
      <c r="X39" s="98"/>
      <c r="Y39" s="96"/>
      <c r="Z39" s="96"/>
      <c r="AA39" s="96"/>
      <c r="AC39" s="98"/>
      <c r="AD39" s="97" t="str">
        <f aca="false">IF($B39="","",IF(ISNUMBER($T39),$T39,IF(OR(NOT(ISNUMBER($Q39)),$S39=""),"",IFERROR(IF(ISNUMBER(INDEX(Lists!$AJ$2:$AJ$7,MATCH($S39,Lists!$AI$2:$AI$7,0))),$Q39+INDEX(Lists!$AJ$2:$AJ$7,MATCH($S39,Lists!$AI$2:$AI$7,0)),""),""))))</f>
        <v/>
      </c>
      <c r="AE39" s="93" t="str">
        <f aca="true">IF($B39="","",IF(AND(ISNUMBER($AD39),N($AD39)&lt;TODAY(),$N39&lt;&gt;"Done",$N39&lt;&gt;"Won't Fix",$N39&lt;&gt;"Duplicate"),"Yes","No"))</f>
        <v/>
      </c>
      <c r="AF39" s="98"/>
      <c r="AG39" s="93" t="str">
        <f aca="false">IF($AF39="","",IFERROR(VLOOKUP($AF39,'Application Portfolio'!$A$2:$B$1000,2,FALSE()),"Unknown App ID"))</f>
        <v/>
      </c>
      <c r="AH39" s="93" t="str">
        <f aca="false">IF(OR($B39="",$AF39=""),"",IFERROR(VLOOKUP($AF39,'Application Portfolio'!$A$2:$AB$1000,28,FALSE()),""))</f>
        <v/>
      </c>
    </row>
    <row r="40" customFormat="false" ht="15.75" hidden="false" customHeight="true" outlineLevel="0" collapsed="false">
      <c r="A40" s="90"/>
      <c r="B40" s="91"/>
      <c r="C40" s="91"/>
      <c r="D40" s="91"/>
      <c r="E40" s="91"/>
      <c r="F40" s="91"/>
      <c r="G40" s="91"/>
      <c r="H40" s="91"/>
      <c r="I40" s="91"/>
      <c r="J40" s="91"/>
      <c r="K40" s="91"/>
      <c r="L40" s="92" t="str">
        <f aca="false">IF(OR($B40="", $H40="", $I40="", $J40="", $K40=""),"",ROUND((VLOOKUP($H40,Lists!$E$2:$F$5,2,FALSE())*VLOOKUP($I40,Lists!$H$2:$I$4,2,FALSE())*VLOOKUP($J40,Lists!$K$2:$L$4,2,FALSE()))/VLOOKUP($K40,Lists!$N$2:$O$6,2,FALSE()),2))</f>
        <v/>
      </c>
      <c r="M40" s="93" t="str">
        <f aca="false">IF($B40="","",IF($AC40&lt;&gt;"",$AC40,IF($H40="Critical","P0",IF(NOT(ISNUMBER($L40)),"",IF($L40&gt;=Lists!$AM$2,"P0",IF($L40&gt;=Lists!$AM$3,"P1",IF($L40&gt;=Lists!$AM$4,"P2","P3")))))))</f>
        <v/>
      </c>
      <c r="N40" s="91"/>
      <c r="O40" s="91"/>
      <c r="P40" s="91"/>
      <c r="Q40" s="94"/>
      <c r="R40" s="95" t="str">
        <f aca="true">IF($Q40="","", TODAY()-$Q40)</f>
        <v/>
      </c>
      <c r="S40" s="91"/>
      <c r="T40" s="94"/>
      <c r="U40" s="94"/>
      <c r="V40" s="91"/>
      <c r="W40" s="91"/>
      <c r="X40" s="91"/>
      <c r="Y40" s="96"/>
      <c r="Z40" s="96"/>
      <c r="AA40" s="96"/>
      <c r="AC40" s="91"/>
      <c r="AD40" s="97" t="str">
        <f aca="false">IF($B40="","",IF(ISNUMBER($T40),$T40,IF(OR(NOT(ISNUMBER($Q40)),$S40=""),"",IFERROR(IF(ISNUMBER(INDEX(Lists!$AJ$2:$AJ$7,MATCH($S40,Lists!$AI$2:$AI$7,0))),$Q40+INDEX(Lists!$AJ$2:$AJ$7,MATCH($S40,Lists!$AI$2:$AI$7,0)),""),""))))</f>
        <v/>
      </c>
      <c r="AE40" s="93" t="str">
        <f aca="true">IF($B40="","",IF(AND(ISNUMBER($AD40),N($AD40)&lt;TODAY(),$N40&lt;&gt;"Done",$N40&lt;&gt;"Won't Fix",$N40&lt;&gt;"Duplicate"),"Yes","No"))</f>
        <v/>
      </c>
      <c r="AF40" s="91"/>
      <c r="AG40" s="93" t="str">
        <f aca="false">IF($AF40="","",IFERROR(VLOOKUP($AF40,'Application Portfolio'!$A$2:$B$1000,2,FALSE()),"Unknown App ID"))</f>
        <v/>
      </c>
      <c r="AH40" s="93" t="str">
        <f aca="false">IF(OR($B40="",$AF40=""),"",IFERROR(VLOOKUP($AF40,'Application Portfolio'!$A$2:$AB$1000,28,FALSE()),""))</f>
        <v/>
      </c>
    </row>
    <row r="41" customFormat="false" ht="15.75" hidden="false" customHeight="true" outlineLevel="0" collapsed="false">
      <c r="A41" s="90"/>
      <c r="B41" s="98"/>
      <c r="C41" s="98"/>
      <c r="D41" s="98"/>
      <c r="E41" s="98"/>
      <c r="F41" s="98"/>
      <c r="G41" s="98"/>
      <c r="H41" s="98"/>
      <c r="I41" s="98"/>
      <c r="J41" s="98"/>
      <c r="K41" s="98"/>
      <c r="L41" s="92" t="str">
        <f aca="false">IF(OR($B41="", $H41="", $I41="", $J41="", $K41=""),"",ROUND((VLOOKUP($H41,Lists!$E$2:$F$5,2,FALSE())*VLOOKUP($I41,Lists!$H$2:$I$4,2,FALSE())*VLOOKUP($J41,Lists!$K$2:$L$4,2,FALSE()))/VLOOKUP($K41,Lists!$N$2:$O$6,2,FALSE()),2))</f>
        <v/>
      </c>
      <c r="M41" s="93" t="str">
        <f aca="false">IF($B41="","",IF($AC41&lt;&gt;"",$AC41,IF($H41="Critical","P0",IF(NOT(ISNUMBER($L41)),"",IF($L41&gt;=Lists!$AM$2,"P0",IF($L41&gt;=Lists!$AM$3,"P1",IF($L41&gt;=Lists!$AM$4,"P2","P3")))))))</f>
        <v/>
      </c>
      <c r="N41" s="98"/>
      <c r="O41" s="98"/>
      <c r="P41" s="98"/>
      <c r="Q41" s="99"/>
      <c r="R41" s="95" t="str">
        <f aca="true">IF($Q41="","", TODAY()-$Q41)</f>
        <v/>
      </c>
      <c r="S41" s="98"/>
      <c r="T41" s="99"/>
      <c r="U41" s="99"/>
      <c r="V41" s="98"/>
      <c r="W41" s="98"/>
      <c r="X41" s="98"/>
      <c r="Y41" s="96"/>
      <c r="Z41" s="96"/>
      <c r="AA41" s="96"/>
      <c r="AC41" s="98"/>
      <c r="AD41" s="97" t="str">
        <f aca="false">IF($B41="","",IF(ISNUMBER($T41),$T41,IF(OR(NOT(ISNUMBER($Q41)),$S41=""),"",IFERROR(IF(ISNUMBER(INDEX(Lists!$AJ$2:$AJ$7,MATCH($S41,Lists!$AI$2:$AI$7,0))),$Q41+INDEX(Lists!$AJ$2:$AJ$7,MATCH($S41,Lists!$AI$2:$AI$7,0)),""),""))))</f>
        <v/>
      </c>
      <c r="AE41" s="93" t="str">
        <f aca="true">IF($B41="","",IF(AND(ISNUMBER($AD41),N($AD41)&lt;TODAY(),$N41&lt;&gt;"Done",$N41&lt;&gt;"Won't Fix",$N41&lt;&gt;"Duplicate"),"Yes","No"))</f>
        <v/>
      </c>
      <c r="AF41" s="98"/>
      <c r="AG41" s="93" t="str">
        <f aca="false">IF($AF41="","",IFERROR(VLOOKUP($AF41,'Application Portfolio'!$A$2:$B$1000,2,FALSE()),"Unknown App ID"))</f>
        <v/>
      </c>
      <c r="AH41" s="93" t="str">
        <f aca="false">IF(OR($B41="",$AF41=""),"",IFERROR(VLOOKUP($AF41,'Application Portfolio'!$A$2:$AB$1000,28,FALSE()),""))</f>
        <v/>
      </c>
    </row>
    <row r="42" customFormat="false" ht="15.75" hidden="false" customHeight="true" outlineLevel="0" collapsed="false">
      <c r="A42" s="90"/>
      <c r="B42" s="91"/>
      <c r="C42" s="91"/>
      <c r="D42" s="91"/>
      <c r="E42" s="91"/>
      <c r="F42" s="91"/>
      <c r="G42" s="91"/>
      <c r="H42" s="91"/>
      <c r="I42" s="91"/>
      <c r="J42" s="91"/>
      <c r="K42" s="91"/>
      <c r="L42" s="92" t="str">
        <f aca="false">IF(OR($B42="", $H42="", $I42="", $J42="", $K42=""),"",ROUND((VLOOKUP($H42,Lists!$E$2:$F$5,2,FALSE())*VLOOKUP($I42,Lists!$H$2:$I$4,2,FALSE())*VLOOKUP($J42,Lists!$K$2:$L$4,2,FALSE()))/VLOOKUP($K42,Lists!$N$2:$O$6,2,FALSE()),2))</f>
        <v/>
      </c>
      <c r="M42" s="93" t="str">
        <f aca="false">IF($B42="","",IF($AC42&lt;&gt;"",$AC42,IF($H42="Critical","P0",IF(NOT(ISNUMBER($L42)),"",IF($L42&gt;=Lists!$AM$2,"P0",IF($L42&gt;=Lists!$AM$3,"P1",IF($L42&gt;=Lists!$AM$4,"P2","P3")))))))</f>
        <v/>
      </c>
      <c r="N42" s="91"/>
      <c r="O42" s="91"/>
      <c r="P42" s="91"/>
      <c r="Q42" s="94"/>
      <c r="R42" s="95" t="str">
        <f aca="true">IF($Q42="","", TODAY()-$Q42)</f>
        <v/>
      </c>
      <c r="S42" s="91"/>
      <c r="T42" s="94"/>
      <c r="U42" s="94"/>
      <c r="V42" s="91"/>
      <c r="W42" s="91"/>
      <c r="X42" s="91"/>
      <c r="Y42" s="96"/>
      <c r="Z42" s="96"/>
      <c r="AA42" s="96"/>
      <c r="AC42" s="91"/>
      <c r="AD42" s="97" t="str">
        <f aca="false">IF($B42="","",IF(ISNUMBER($T42),$T42,IF(OR(NOT(ISNUMBER($Q42)),$S42=""),"",IFERROR(IF(ISNUMBER(INDEX(Lists!$AJ$2:$AJ$7,MATCH($S42,Lists!$AI$2:$AI$7,0))),$Q42+INDEX(Lists!$AJ$2:$AJ$7,MATCH($S42,Lists!$AI$2:$AI$7,0)),""),""))))</f>
        <v/>
      </c>
      <c r="AE42" s="93" t="str">
        <f aca="true">IF($B42="","",IF(AND(ISNUMBER($AD42),N($AD42)&lt;TODAY(),$N42&lt;&gt;"Done",$N42&lt;&gt;"Won't Fix",$N42&lt;&gt;"Duplicate"),"Yes","No"))</f>
        <v/>
      </c>
      <c r="AF42" s="91"/>
      <c r="AG42" s="93" t="str">
        <f aca="false">IF($AF42="","",IFERROR(VLOOKUP($AF42,'Application Portfolio'!$A$2:$B$1000,2,FALSE()),"Unknown App ID"))</f>
        <v/>
      </c>
      <c r="AH42" s="93" t="str">
        <f aca="false">IF(OR($B42="",$AF42=""),"",IFERROR(VLOOKUP($AF42,'Application Portfolio'!$A$2:$AB$1000,28,FALSE()),""))</f>
        <v/>
      </c>
    </row>
    <row r="43" customFormat="false" ht="15.75" hidden="false" customHeight="true" outlineLevel="0" collapsed="false">
      <c r="A43" s="90"/>
      <c r="B43" s="98"/>
      <c r="C43" s="98"/>
      <c r="D43" s="98"/>
      <c r="E43" s="98"/>
      <c r="F43" s="98"/>
      <c r="G43" s="98"/>
      <c r="H43" s="98"/>
      <c r="I43" s="98"/>
      <c r="J43" s="98"/>
      <c r="K43" s="98"/>
      <c r="L43" s="92" t="str">
        <f aca="false">IF(OR($B43="", $H43="", $I43="", $J43="", $K43=""),"",ROUND((VLOOKUP($H43,Lists!$E$2:$F$5,2,FALSE())*VLOOKUP($I43,Lists!$H$2:$I$4,2,FALSE())*VLOOKUP($J43,Lists!$K$2:$L$4,2,FALSE()))/VLOOKUP($K43,Lists!$N$2:$O$6,2,FALSE()),2))</f>
        <v/>
      </c>
      <c r="M43" s="93" t="str">
        <f aca="false">IF($B43="","",IF($AC43&lt;&gt;"",$AC43,IF($H43="Critical","P0",IF(NOT(ISNUMBER($L43)),"",IF($L43&gt;=Lists!$AM$2,"P0",IF($L43&gt;=Lists!$AM$3,"P1",IF($L43&gt;=Lists!$AM$4,"P2","P3")))))))</f>
        <v/>
      </c>
      <c r="N43" s="98"/>
      <c r="O43" s="98"/>
      <c r="P43" s="98"/>
      <c r="Q43" s="99"/>
      <c r="R43" s="95" t="str">
        <f aca="true">IF($Q43="","", TODAY()-$Q43)</f>
        <v/>
      </c>
      <c r="S43" s="98"/>
      <c r="T43" s="99"/>
      <c r="U43" s="99"/>
      <c r="V43" s="98"/>
      <c r="W43" s="98"/>
      <c r="X43" s="98"/>
      <c r="Y43" s="96"/>
      <c r="Z43" s="96"/>
      <c r="AA43" s="96"/>
      <c r="AC43" s="98"/>
      <c r="AD43" s="97" t="str">
        <f aca="false">IF($B43="","",IF(ISNUMBER($T43),$T43,IF(OR(NOT(ISNUMBER($Q43)),$S43=""),"",IFERROR(IF(ISNUMBER(INDEX(Lists!$AJ$2:$AJ$7,MATCH($S43,Lists!$AI$2:$AI$7,0))),$Q43+INDEX(Lists!$AJ$2:$AJ$7,MATCH($S43,Lists!$AI$2:$AI$7,0)),""),""))))</f>
        <v/>
      </c>
      <c r="AE43" s="93" t="str">
        <f aca="true">IF($B43="","",IF(AND(ISNUMBER($AD43),N($AD43)&lt;TODAY(),$N43&lt;&gt;"Done",$N43&lt;&gt;"Won't Fix",$N43&lt;&gt;"Duplicate"),"Yes","No"))</f>
        <v/>
      </c>
      <c r="AF43" s="98"/>
      <c r="AG43" s="93" t="str">
        <f aca="false">IF($AF43="","",IFERROR(VLOOKUP($AF43,'Application Portfolio'!$A$2:$B$1000,2,FALSE()),"Unknown App ID"))</f>
        <v/>
      </c>
      <c r="AH43" s="93" t="str">
        <f aca="false">IF(OR($B43="",$AF43=""),"",IFERROR(VLOOKUP($AF43,'Application Portfolio'!$A$2:$AB$1000,28,FALSE()),""))</f>
        <v/>
      </c>
    </row>
    <row r="44" customFormat="false" ht="15.75" hidden="false" customHeight="true" outlineLevel="0" collapsed="false">
      <c r="A44" s="90"/>
      <c r="B44" s="91"/>
      <c r="C44" s="91"/>
      <c r="D44" s="91"/>
      <c r="E44" s="91"/>
      <c r="F44" s="91"/>
      <c r="G44" s="91"/>
      <c r="H44" s="91"/>
      <c r="I44" s="91"/>
      <c r="J44" s="91"/>
      <c r="K44" s="91"/>
      <c r="L44" s="92" t="str">
        <f aca="false">IF(OR($B44="", $H44="", $I44="", $J44="", $K44=""),"",ROUND((VLOOKUP($H44,Lists!$E$2:$F$5,2,FALSE())*VLOOKUP($I44,Lists!$H$2:$I$4,2,FALSE())*VLOOKUP($J44,Lists!$K$2:$L$4,2,FALSE()))/VLOOKUP($K44,Lists!$N$2:$O$6,2,FALSE()),2))</f>
        <v/>
      </c>
      <c r="M44" s="93" t="str">
        <f aca="false">IF($B44="","",IF($AC44&lt;&gt;"",$AC44,IF($H44="Critical","P0",IF(NOT(ISNUMBER($L44)),"",IF($L44&gt;=Lists!$AM$2,"P0",IF($L44&gt;=Lists!$AM$3,"P1",IF($L44&gt;=Lists!$AM$4,"P2","P3")))))))</f>
        <v/>
      </c>
      <c r="N44" s="91"/>
      <c r="O44" s="91"/>
      <c r="P44" s="91"/>
      <c r="Q44" s="94"/>
      <c r="R44" s="95" t="str">
        <f aca="true">IF($Q44="","", TODAY()-$Q44)</f>
        <v/>
      </c>
      <c r="S44" s="91"/>
      <c r="T44" s="94"/>
      <c r="U44" s="94"/>
      <c r="V44" s="91"/>
      <c r="W44" s="91"/>
      <c r="X44" s="91"/>
      <c r="Y44" s="96"/>
      <c r="Z44" s="96"/>
      <c r="AA44" s="96"/>
      <c r="AC44" s="91"/>
      <c r="AD44" s="97" t="str">
        <f aca="false">IF($B44="","",IF(ISNUMBER($T44),$T44,IF(OR(NOT(ISNUMBER($Q44)),$S44=""),"",IFERROR(IF(ISNUMBER(INDEX(Lists!$AJ$2:$AJ$7,MATCH($S44,Lists!$AI$2:$AI$7,0))),$Q44+INDEX(Lists!$AJ$2:$AJ$7,MATCH($S44,Lists!$AI$2:$AI$7,0)),""),""))))</f>
        <v/>
      </c>
      <c r="AE44" s="93" t="str">
        <f aca="true">IF($B44="","",IF(AND(ISNUMBER($AD44),N($AD44)&lt;TODAY(),$N44&lt;&gt;"Done",$N44&lt;&gt;"Won't Fix",$N44&lt;&gt;"Duplicate"),"Yes","No"))</f>
        <v/>
      </c>
      <c r="AF44" s="91"/>
      <c r="AG44" s="93" t="str">
        <f aca="false">IF($AF44="","",IFERROR(VLOOKUP($AF44,'Application Portfolio'!$A$2:$B$1000,2,FALSE()),"Unknown App ID"))</f>
        <v/>
      </c>
      <c r="AH44" s="93" t="str">
        <f aca="false">IF(OR($B44="",$AF44=""),"",IFERROR(VLOOKUP($AF44,'Application Portfolio'!$A$2:$AB$1000,28,FALSE()),""))</f>
        <v/>
      </c>
    </row>
    <row r="45" customFormat="false" ht="15.75" hidden="false" customHeight="true" outlineLevel="0" collapsed="false">
      <c r="A45" s="90"/>
      <c r="B45" s="98"/>
      <c r="C45" s="98"/>
      <c r="D45" s="98"/>
      <c r="E45" s="98"/>
      <c r="F45" s="98"/>
      <c r="G45" s="98"/>
      <c r="H45" s="98"/>
      <c r="I45" s="98"/>
      <c r="J45" s="98"/>
      <c r="K45" s="98"/>
      <c r="L45" s="92" t="str">
        <f aca="false">IF(OR($B45="", $H45="", $I45="", $J45="", $K45=""),"",ROUND((VLOOKUP($H45,Lists!$E$2:$F$5,2,FALSE())*VLOOKUP($I45,Lists!$H$2:$I$4,2,FALSE())*VLOOKUP($J45,Lists!$K$2:$L$4,2,FALSE()))/VLOOKUP($K45,Lists!$N$2:$O$6,2,FALSE()),2))</f>
        <v/>
      </c>
      <c r="M45" s="93" t="str">
        <f aca="false">IF($B45="","",IF($AC45&lt;&gt;"",$AC45,IF($H45="Critical","P0",IF(NOT(ISNUMBER($L45)),"",IF($L45&gt;=Lists!$AM$2,"P0",IF($L45&gt;=Lists!$AM$3,"P1",IF($L45&gt;=Lists!$AM$4,"P2","P3")))))))</f>
        <v/>
      </c>
      <c r="N45" s="98"/>
      <c r="O45" s="98"/>
      <c r="P45" s="98"/>
      <c r="Q45" s="99"/>
      <c r="R45" s="95" t="str">
        <f aca="true">IF($Q45="","", TODAY()-$Q45)</f>
        <v/>
      </c>
      <c r="S45" s="98"/>
      <c r="T45" s="99"/>
      <c r="U45" s="99"/>
      <c r="V45" s="98"/>
      <c r="W45" s="98"/>
      <c r="X45" s="98"/>
      <c r="Y45" s="96"/>
      <c r="Z45" s="96"/>
      <c r="AA45" s="96"/>
      <c r="AC45" s="98"/>
      <c r="AD45" s="97" t="str">
        <f aca="false">IF($B45="","",IF(ISNUMBER($T45),$T45,IF(OR(NOT(ISNUMBER($Q45)),$S45=""),"",IFERROR(IF(ISNUMBER(INDEX(Lists!$AJ$2:$AJ$7,MATCH($S45,Lists!$AI$2:$AI$7,0))),$Q45+INDEX(Lists!$AJ$2:$AJ$7,MATCH($S45,Lists!$AI$2:$AI$7,0)),""),""))))</f>
        <v/>
      </c>
      <c r="AE45" s="93" t="str">
        <f aca="true">IF($B45="","",IF(AND(ISNUMBER($AD45),N($AD45)&lt;TODAY(),$N45&lt;&gt;"Done",$N45&lt;&gt;"Won't Fix",$N45&lt;&gt;"Duplicate"),"Yes","No"))</f>
        <v/>
      </c>
      <c r="AF45" s="98"/>
      <c r="AG45" s="93" t="str">
        <f aca="false">IF($AF45="","",IFERROR(VLOOKUP($AF45,'Application Portfolio'!$A$2:$B$1000,2,FALSE()),"Unknown App ID"))</f>
        <v/>
      </c>
      <c r="AH45" s="93" t="str">
        <f aca="false">IF(OR($B45="",$AF45=""),"",IFERROR(VLOOKUP($AF45,'Application Portfolio'!$A$2:$AB$1000,28,FALSE()),""))</f>
        <v/>
      </c>
    </row>
    <row r="46" customFormat="false" ht="15.75" hidden="false" customHeight="true" outlineLevel="0" collapsed="false">
      <c r="A46" s="90"/>
      <c r="B46" s="91"/>
      <c r="C46" s="91"/>
      <c r="D46" s="91"/>
      <c r="E46" s="91"/>
      <c r="F46" s="91"/>
      <c r="G46" s="91"/>
      <c r="H46" s="91"/>
      <c r="I46" s="91"/>
      <c r="J46" s="91"/>
      <c r="K46" s="91"/>
      <c r="L46" s="92" t="str">
        <f aca="false">IF(OR($B46="", $H46="", $I46="", $J46="", $K46=""),"",ROUND((VLOOKUP($H46,Lists!$E$2:$F$5,2,FALSE())*VLOOKUP($I46,Lists!$H$2:$I$4,2,FALSE())*VLOOKUP($J46,Lists!$K$2:$L$4,2,FALSE()))/VLOOKUP($K46,Lists!$N$2:$O$6,2,FALSE()),2))</f>
        <v/>
      </c>
      <c r="M46" s="93" t="str">
        <f aca="false">IF($B46="","",IF($AC46&lt;&gt;"",$AC46,IF($H46="Critical","P0",IF(NOT(ISNUMBER($L46)),"",IF($L46&gt;=Lists!$AM$2,"P0",IF($L46&gt;=Lists!$AM$3,"P1",IF($L46&gt;=Lists!$AM$4,"P2","P3")))))))</f>
        <v/>
      </c>
      <c r="N46" s="91"/>
      <c r="O46" s="91"/>
      <c r="P46" s="91"/>
      <c r="Q46" s="94"/>
      <c r="R46" s="95" t="str">
        <f aca="true">IF($Q46="","", TODAY()-$Q46)</f>
        <v/>
      </c>
      <c r="S46" s="91"/>
      <c r="T46" s="94"/>
      <c r="U46" s="94"/>
      <c r="V46" s="91"/>
      <c r="W46" s="91"/>
      <c r="X46" s="91"/>
      <c r="Y46" s="96"/>
      <c r="Z46" s="96"/>
      <c r="AA46" s="96"/>
      <c r="AC46" s="91"/>
      <c r="AD46" s="97" t="str">
        <f aca="false">IF($B46="","",IF(ISNUMBER($T46),$T46,IF(OR(NOT(ISNUMBER($Q46)),$S46=""),"",IFERROR(IF(ISNUMBER(INDEX(Lists!$AJ$2:$AJ$7,MATCH($S46,Lists!$AI$2:$AI$7,0))),$Q46+INDEX(Lists!$AJ$2:$AJ$7,MATCH($S46,Lists!$AI$2:$AI$7,0)),""),""))))</f>
        <v/>
      </c>
      <c r="AE46" s="93" t="str">
        <f aca="true">IF($B46="","",IF(AND(ISNUMBER($AD46),N($AD46)&lt;TODAY(),$N46&lt;&gt;"Done",$N46&lt;&gt;"Won't Fix",$N46&lt;&gt;"Duplicate"),"Yes","No"))</f>
        <v/>
      </c>
      <c r="AF46" s="91"/>
      <c r="AG46" s="93" t="str">
        <f aca="false">IF($AF46="","",IFERROR(VLOOKUP($AF46,'Application Portfolio'!$A$2:$B$1000,2,FALSE()),"Unknown App ID"))</f>
        <v/>
      </c>
      <c r="AH46" s="93" t="str">
        <f aca="false">IF(OR($B46="",$AF46=""),"",IFERROR(VLOOKUP($AF46,'Application Portfolio'!$A$2:$AB$1000,28,FALSE()),""))</f>
        <v/>
      </c>
    </row>
    <row r="47" customFormat="false" ht="15.75" hidden="false" customHeight="true" outlineLevel="0" collapsed="false">
      <c r="A47" s="90"/>
      <c r="B47" s="98"/>
      <c r="C47" s="98"/>
      <c r="D47" s="98"/>
      <c r="E47" s="98"/>
      <c r="F47" s="98"/>
      <c r="G47" s="98"/>
      <c r="H47" s="98"/>
      <c r="I47" s="98"/>
      <c r="J47" s="98"/>
      <c r="K47" s="98"/>
      <c r="L47" s="92" t="str">
        <f aca="false">IF(OR($B47="", $H47="", $I47="", $J47="", $K47=""),"",ROUND((VLOOKUP($H47,Lists!$E$2:$F$5,2,FALSE())*VLOOKUP($I47,Lists!$H$2:$I$4,2,FALSE())*VLOOKUP($J47,Lists!$K$2:$L$4,2,FALSE()))/VLOOKUP($K47,Lists!$N$2:$O$6,2,FALSE()),2))</f>
        <v/>
      </c>
      <c r="M47" s="93" t="str">
        <f aca="false">IF($B47="","",IF($AC47&lt;&gt;"",$AC47,IF($H47="Critical","P0",IF(NOT(ISNUMBER($L47)),"",IF($L47&gt;=Lists!$AM$2,"P0",IF($L47&gt;=Lists!$AM$3,"P1",IF($L47&gt;=Lists!$AM$4,"P2","P3")))))))</f>
        <v/>
      </c>
      <c r="N47" s="98"/>
      <c r="O47" s="98"/>
      <c r="P47" s="98"/>
      <c r="Q47" s="99"/>
      <c r="R47" s="95" t="str">
        <f aca="true">IF($Q47="","", TODAY()-$Q47)</f>
        <v/>
      </c>
      <c r="S47" s="98"/>
      <c r="T47" s="99"/>
      <c r="U47" s="99"/>
      <c r="V47" s="98"/>
      <c r="W47" s="98"/>
      <c r="X47" s="98"/>
      <c r="Y47" s="96"/>
      <c r="Z47" s="96"/>
      <c r="AA47" s="96"/>
      <c r="AC47" s="98"/>
      <c r="AD47" s="97" t="str">
        <f aca="false">IF($B47="","",IF(ISNUMBER($T47),$T47,IF(OR(NOT(ISNUMBER($Q47)),$S47=""),"",IFERROR(IF(ISNUMBER(INDEX(Lists!$AJ$2:$AJ$7,MATCH($S47,Lists!$AI$2:$AI$7,0))),$Q47+INDEX(Lists!$AJ$2:$AJ$7,MATCH($S47,Lists!$AI$2:$AI$7,0)),""),""))))</f>
        <v/>
      </c>
      <c r="AE47" s="93" t="str">
        <f aca="true">IF($B47="","",IF(AND(ISNUMBER($AD47),N($AD47)&lt;TODAY(),$N47&lt;&gt;"Done",$N47&lt;&gt;"Won't Fix",$N47&lt;&gt;"Duplicate"),"Yes","No"))</f>
        <v/>
      </c>
      <c r="AF47" s="98"/>
      <c r="AG47" s="93" t="str">
        <f aca="false">IF($AF47="","",IFERROR(VLOOKUP($AF47,'Application Portfolio'!$A$2:$B$1000,2,FALSE()),"Unknown App ID"))</f>
        <v/>
      </c>
      <c r="AH47" s="93" t="str">
        <f aca="false">IF(OR($B47="",$AF47=""),"",IFERROR(VLOOKUP($AF47,'Application Portfolio'!$A$2:$AB$1000,28,FALSE()),""))</f>
        <v/>
      </c>
    </row>
    <row r="48" customFormat="false" ht="15.75" hidden="false" customHeight="true" outlineLevel="0" collapsed="false">
      <c r="A48" s="90"/>
      <c r="B48" s="91"/>
      <c r="C48" s="91"/>
      <c r="D48" s="91"/>
      <c r="E48" s="91"/>
      <c r="F48" s="91"/>
      <c r="G48" s="91"/>
      <c r="H48" s="91"/>
      <c r="I48" s="91"/>
      <c r="J48" s="91"/>
      <c r="K48" s="91"/>
      <c r="L48" s="92" t="str">
        <f aca="false">IF(OR($B48="", $H48="", $I48="", $J48="", $K48=""),"",ROUND((VLOOKUP($H48,Lists!$E$2:$F$5,2,FALSE())*VLOOKUP($I48,Lists!$H$2:$I$4,2,FALSE())*VLOOKUP($J48,Lists!$K$2:$L$4,2,FALSE()))/VLOOKUP($K48,Lists!$N$2:$O$6,2,FALSE()),2))</f>
        <v/>
      </c>
      <c r="M48" s="93" t="str">
        <f aca="false">IF($B48="","",IF($AC48&lt;&gt;"",$AC48,IF($H48="Critical","P0",IF(NOT(ISNUMBER($L48)),"",IF($L48&gt;=Lists!$AM$2,"P0",IF($L48&gt;=Lists!$AM$3,"P1",IF($L48&gt;=Lists!$AM$4,"P2","P3")))))))</f>
        <v/>
      </c>
      <c r="N48" s="91"/>
      <c r="O48" s="91"/>
      <c r="P48" s="91"/>
      <c r="Q48" s="94"/>
      <c r="R48" s="95" t="str">
        <f aca="true">IF($Q48="","", TODAY()-$Q48)</f>
        <v/>
      </c>
      <c r="S48" s="91"/>
      <c r="T48" s="94"/>
      <c r="U48" s="94"/>
      <c r="V48" s="91"/>
      <c r="W48" s="91"/>
      <c r="X48" s="91"/>
      <c r="Y48" s="96"/>
      <c r="Z48" s="96"/>
      <c r="AA48" s="96"/>
      <c r="AC48" s="91"/>
      <c r="AD48" s="97" t="str">
        <f aca="false">IF($B48="","",IF(ISNUMBER($T48),$T48,IF(OR(NOT(ISNUMBER($Q48)),$S48=""),"",IFERROR(IF(ISNUMBER(INDEX(Lists!$AJ$2:$AJ$7,MATCH($S48,Lists!$AI$2:$AI$7,0))),$Q48+INDEX(Lists!$AJ$2:$AJ$7,MATCH($S48,Lists!$AI$2:$AI$7,0)),""),""))))</f>
        <v/>
      </c>
      <c r="AE48" s="93" t="str">
        <f aca="true">IF($B48="","",IF(AND(ISNUMBER($AD48),N($AD48)&lt;TODAY(),$N48&lt;&gt;"Done",$N48&lt;&gt;"Won't Fix",$N48&lt;&gt;"Duplicate"),"Yes","No"))</f>
        <v/>
      </c>
      <c r="AF48" s="91"/>
      <c r="AG48" s="93" t="str">
        <f aca="false">IF($AF48="","",IFERROR(VLOOKUP($AF48,'Application Portfolio'!$A$2:$B$1000,2,FALSE()),"Unknown App ID"))</f>
        <v/>
      </c>
      <c r="AH48" s="93" t="str">
        <f aca="false">IF(OR($B48="",$AF48=""),"",IFERROR(VLOOKUP($AF48,'Application Portfolio'!$A$2:$AB$1000,28,FALSE()),""))</f>
        <v/>
      </c>
    </row>
    <row r="49" customFormat="false" ht="15.75" hidden="false" customHeight="true" outlineLevel="0" collapsed="false">
      <c r="A49" s="90"/>
      <c r="B49" s="98"/>
      <c r="C49" s="98"/>
      <c r="D49" s="98"/>
      <c r="E49" s="98"/>
      <c r="F49" s="98"/>
      <c r="G49" s="98"/>
      <c r="H49" s="98"/>
      <c r="I49" s="98"/>
      <c r="J49" s="98"/>
      <c r="K49" s="98"/>
      <c r="L49" s="92" t="str">
        <f aca="false">IF(OR($B49="", $H49="", $I49="", $J49="", $K49=""),"",ROUND((VLOOKUP($H49,Lists!$E$2:$F$5,2,FALSE())*VLOOKUP($I49,Lists!$H$2:$I$4,2,FALSE())*VLOOKUP($J49,Lists!$K$2:$L$4,2,FALSE()))/VLOOKUP($K49,Lists!$N$2:$O$6,2,FALSE()),2))</f>
        <v/>
      </c>
      <c r="M49" s="93" t="str">
        <f aca="false">IF($B49="","",IF($AC49&lt;&gt;"",$AC49,IF($H49="Critical","P0",IF(NOT(ISNUMBER($L49)),"",IF($L49&gt;=Lists!$AM$2,"P0",IF($L49&gt;=Lists!$AM$3,"P1",IF($L49&gt;=Lists!$AM$4,"P2","P3")))))))</f>
        <v/>
      </c>
      <c r="N49" s="98"/>
      <c r="O49" s="98"/>
      <c r="P49" s="98"/>
      <c r="Q49" s="99"/>
      <c r="R49" s="95" t="str">
        <f aca="true">IF($Q49="","", TODAY()-$Q49)</f>
        <v/>
      </c>
      <c r="S49" s="98"/>
      <c r="T49" s="99"/>
      <c r="U49" s="99"/>
      <c r="V49" s="98"/>
      <c r="W49" s="98"/>
      <c r="X49" s="98"/>
      <c r="Y49" s="96"/>
      <c r="Z49" s="96"/>
      <c r="AA49" s="96"/>
      <c r="AC49" s="98"/>
      <c r="AD49" s="97" t="str">
        <f aca="false">IF($B49="","",IF(ISNUMBER($T49),$T49,IF(OR(NOT(ISNUMBER($Q49)),$S49=""),"",IFERROR(IF(ISNUMBER(INDEX(Lists!$AJ$2:$AJ$7,MATCH($S49,Lists!$AI$2:$AI$7,0))),$Q49+INDEX(Lists!$AJ$2:$AJ$7,MATCH($S49,Lists!$AI$2:$AI$7,0)),""),""))))</f>
        <v/>
      </c>
      <c r="AE49" s="93" t="str">
        <f aca="true">IF($B49="","",IF(AND(ISNUMBER($AD49),N($AD49)&lt;TODAY(),$N49&lt;&gt;"Done",$N49&lt;&gt;"Won't Fix",$N49&lt;&gt;"Duplicate"),"Yes","No"))</f>
        <v/>
      </c>
      <c r="AF49" s="98"/>
      <c r="AG49" s="93" t="str">
        <f aca="false">IF($AF49="","",IFERROR(VLOOKUP($AF49,'Application Portfolio'!$A$2:$B$1000,2,FALSE()),"Unknown App ID"))</f>
        <v/>
      </c>
      <c r="AH49" s="93" t="str">
        <f aca="false">IF(OR($B49="",$AF49=""),"",IFERROR(VLOOKUP($AF49,'Application Portfolio'!$A$2:$AB$1000,28,FALSE()),""))</f>
        <v/>
      </c>
    </row>
    <row r="50" customFormat="false" ht="15.75" hidden="false" customHeight="true" outlineLevel="0" collapsed="false">
      <c r="A50" s="90"/>
      <c r="B50" s="91"/>
      <c r="C50" s="91"/>
      <c r="D50" s="91"/>
      <c r="E50" s="91"/>
      <c r="F50" s="91"/>
      <c r="G50" s="91"/>
      <c r="H50" s="91"/>
      <c r="I50" s="91"/>
      <c r="J50" s="91"/>
      <c r="K50" s="91"/>
      <c r="L50" s="92" t="str">
        <f aca="false">IF(OR($B50="", $H50="", $I50="", $J50="", $K50=""),"",ROUND((VLOOKUP($H50,Lists!$E$2:$F$5,2,FALSE())*VLOOKUP($I50,Lists!$H$2:$I$4,2,FALSE())*VLOOKUP($J50,Lists!$K$2:$L$4,2,FALSE()))/VLOOKUP($K50,Lists!$N$2:$O$6,2,FALSE()),2))</f>
        <v/>
      </c>
      <c r="M50" s="93" t="str">
        <f aca="false">IF($B50="","",IF($AC50&lt;&gt;"",$AC50,IF($H50="Critical","P0",IF(NOT(ISNUMBER($L50)),"",IF($L50&gt;=Lists!$AM$2,"P0",IF($L50&gt;=Lists!$AM$3,"P1",IF($L50&gt;=Lists!$AM$4,"P2","P3")))))))</f>
        <v/>
      </c>
      <c r="N50" s="91"/>
      <c r="O50" s="91"/>
      <c r="P50" s="91"/>
      <c r="Q50" s="94"/>
      <c r="R50" s="95" t="str">
        <f aca="true">IF($Q50="","", TODAY()-$Q50)</f>
        <v/>
      </c>
      <c r="S50" s="91"/>
      <c r="T50" s="94"/>
      <c r="U50" s="94"/>
      <c r="V50" s="91"/>
      <c r="W50" s="91"/>
      <c r="X50" s="91"/>
      <c r="Y50" s="96"/>
      <c r="Z50" s="96"/>
      <c r="AA50" s="96"/>
      <c r="AC50" s="91"/>
      <c r="AD50" s="97" t="str">
        <f aca="false">IF($B50="","",IF(ISNUMBER($T50),$T50,IF(OR(NOT(ISNUMBER($Q50)),$S50=""),"",IFERROR(IF(ISNUMBER(INDEX(Lists!$AJ$2:$AJ$7,MATCH($S50,Lists!$AI$2:$AI$7,0))),$Q50+INDEX(Lists!$AJ$2:$AJ$7,MATCH($S50,Lists!$AI$2:$AI$7,0)),""),""))))</f>
        <v/>
      </c>
      <c r="AE50" s="93" t="str">
        <f aca="true">IF($B50="","",IF(AND(ISNUMBER($AD50),N($AD50)&lt;TODAY(),$N50&lt;&gt;"Done",$N50&lt;&gt;"Won't Fix",$N50&lt;&gt;"Duplicate"),"Yes","No"))</f>
        <v/>
      </c>
      <c r="AF50" s="91"/>
      <c r="AG50" s="93" t="str">
        <f aca="false">IF($AF50="","",IFERROR(VLOOKUP($AF50,'Application Portfolio'!$A$2:$B$1000,2,FALSE()),"Unknown App ID"))</f>
        <v/>
      </c>
      <c r="AH50" s="93" t="str">
        <f aca="false">IF(OR($B50="",$AF50=""),"",IFERROR(VLOOKUP($AF50,'Application Portfolio'!$A$2:$AB$1000,28,FALSE()),""))</f>
        <v/>
      </c>
    </row>
    <row r="51" customFormat="false" ht="15.75" hidden="false" customHeight="true" outlineLevel="0" collapsed="false">
      <c r="A51" s="90"/>
      <c r="B51" s="98"/>
      <c r="C51" s="98"/>
      <c r="D51" s="98"/>
      <c r="E51" s="98"/>
      <c r="F51" s="98"/>
      <c r="G51" s="98"/>
      <c r="H51" s="98"/>
      <c r="I51" s="98"/>
      <c r="J51" s="98"/>
      <c r="K51" s="98"/>
      <c r="L51" s="92" t="str">
        <f aca="false">IF(OR($B51="", $H51="", $I51="", $J51="", $K51=""),"",ROUND((VLOOKUP($H51,Lists!$E$2:$F$5,2,FALSE())*VLOOKUP($I51,Lists!$H$2:$I$4,2,FALSE())*VLOOKUP($J51,Lists!$K$2:$L$4,2,FALSE()))/VLOOKUP($K51,Lists!$N$2:$O$6,2,FALSE()),2))</f>
        <v/>
      </c>
      <c r="M51" s="93" t="str">
        <f aca="false">IF($B51="","",IF($AC51&lt;&gt;"",$AC51,IF($H51="Critical","P0",IF(NOT(ISNUMBER($L51)),"",IF($L51&gt;=Lists!$AM$2,"P0",IF($L51&gt;=Lists!$AM$3,"P1",IF($L51&gt;=Lists!$AM$4,"P2","P3")))))))</f>
        <v/>
      </c>
      <c r="N51" s="98"/>
      <c r="O51" s="98"/>
      <c r="P51" s="98"/>
      <c r="Q51" s="99"/>
      <c r="R51" s="95" t="str">
        <f aca="true">IF($Q51="","", TODAY()-$Q51)</f>
        <v/>
      </c>
      <c r="S51" s="98"/>
      <c r="T51" s="99"/>
      <c r="U51" s="99"/>
      <c r="V51" s="98"/>
      <c r="W51" s="98"/>
      <c r="X51" s="98"/>
      <c r="Y51" s="96"/>
      <c r="Z51" s="96"/>
      <c r="AA51" s="96"/>
      <c r="AC51" s="98"/>
      <c r="AD51" s="97" t="str">
        <f aca="false">IF($B51="","",IF(ISNUMBER($T51),$T51,IF(OR(NOT(ISNUMBER($Q51)),$S51=""),"",IFERROR(IF(ISNUMBER(INDEX(Lists!$AJ$2:$AJ$7,MATCH($S51,Lists!$AI$2:$AI$7,0))),$Q51+INDEX(Lists!$AJ$2:$AJ$7,MATCH($S51,Lists!$AI$2:$AI$7,0)),""),""))))</f>
        <v/>
      </c>
      <c r="AE51" s="93" t="str">
        <f aca="true">IF($B51="","",IF(AND(ISNUMBER($AD51),N($AD51)&lt;TODAY(),$N51&lt;&gt;"Done",$N51&lt;&gt;"Won't Fix",$N51&lt;&gt;"Duplicate"),"Yes","No"))</f>
        <v/>
      </c>
      <c r="AF51" s="98"/>
      <c r="AG51" s="93" t="str">
        <f aca="false">IF($AF51="","",IFERROR(VLOOKUP($AF51,'Application Portfolio'!$A$2:$B$1000,2,FALSE()),"Unknown App ID"))</f>
        <v/>
      </c>
      <c r="AH51" s="93" t="str">
        <f aca="false">IF(OR($B51="",$AF51=""),"",IFERROR(VLOOKUP($AF51,'Application Portfolio'!$A$2:$AB$1000,28,FALSE()),""))</f>
        <v/>
      </c>
    </row>
    <row r="52" customFormat="false" ht="15.75" hidden="false" customHeight="true" outlineLevel="0" collapsed="false">
      <c r="A52" s="90"/>
      <c r="B52" s="91"/>
      <c r="C52" s="91"/>
      <c r="D52" s="91"/>
      <c r="E52" s="91"/>
      <c r="F52" s="91"/>
      <c r="G52" s="91"/>
      <c r="H52" s="91"/>
      <c r="I52" s="91"/>
      <c r="J52" s="91"/>
      <c r="K52" s="91"/>
      <c r="L52" s="92" t="str">
        <f aca="false">IF(OR($B52="", $H52="", $I52="", $J52="", $K52=""),"",ROUND((VLOOKUP($H52,Lists!$E$2:$F$5,2,FALSE())*VLOOKUP($I52,Lists!$H$2:$I$4,2,FALSE())*VLOOKUP($J52,Lists!$K$2:$L$4,2,FALSE()))/VLOOKUP($K52,Lists!$N$2:$O$6,2,FALSE()),2))</f>
        <v/>
      </c>
      <c r="M52" s="93" t="str">
        <f aca="false">IF($B52="","",IF($AC52&lt;&gt;"",$AC52,IF($H52="Critical","P0",IF(NOT(ISNUMBER($L52)),"",IF($L52&gt;=Lists!$AM$2,"P0",IF($L52&gt;=Lists!$AM$3,"P1",IF($L52&gt;=Lists!$AM$4,"P2","P3")))))))</f>
        <v/>
      </c>
      <c r="N52" s="91"/>
      <c r="O52" s="91"/>
      <c r="P52" s="91"/>
      <c r="Q52" s="94"/>
      <c r="R52" s="95" t="str">
        <f aca="true">IF($Q52="","", TODAY()-$Q52)</f>
        <v/>
      </c>
      <c r="S52" s="91"/>
      <c r="T52" s="94"/>
      <c r="U52" s="94"/>
      <c r="V52" s="91"/>
      <c r="W52" s="91"/>
      <c r="X52" s="91"/>
      <c r="Y52" s="96"/>
      <c r="Z52" s="96"/>
      <c r="AA52" s="96"/>
      <c r="AC52" s="91"/>
      <c r="AD52" s="97" t="str">
        <f aca="false">IF($B52="","",IF(ISNUMBER($T52),$T52,IF(OR(NOT(ISNUMBER($Q52)),$S52=""),"",IFERROR(IF(ISNUMBER(INDEX(Lists!$AJ$2:$AJ$7,MATCH($S52,Lists!$AI$2:$AI$7,0))),$Q52+INDEX(Lists!$AJ$2:$AJ$7,MATCH($S52,Lists!$AI$2:$AI$7,0)),""),""))))</f>
        <v/>
      </c>
      <c r="AE52" s="93" t="str">
        <f aca="true">IF($B52="","",IF(AND(ISNUMBER($AD52),N($AD52)&lt;TODAY(),$N52&lt;&gt;"Done",$N52&lt;&gt;"Won't Fix",$N52&lt;&gt;"Duplicate"),"Yes","No"))</f>
        <v/>
      </c>
      <c r="AF52" s="91"/>
      <c r="AG52" s="93" t="str">
        <f aca="false">IF($AF52="","",IFERROR(VLOOKUP($AF52,'Application Portfolio'!$A$2:$B$1000,2,FALSE()),"Unknown App ID"))</f>
        <v/>
      </c>
      <c r="AH52" s="93" t="str">
        <f aca="false">IF(OR($B52="",$AF52=""),"",IFERROR(VLOOKUP($AF52,'Application Portfolio'!$A$2:$AB$1000,28,FALSE()),""))</f>
        <v/>
      </c>
    </row>
    <row r="53" customFormat="false" ht="15.75" hidden="false" customHeight="true" outlineLevel="0" collapsed="false">
      <c r="A53" s="90"/>
      <c r="B53" s="98"/>
      <c r="C53" s="98"/>
      <c r="D53" s="98"/>
      <c r="E53" s="98"/>
      <c r="F53" s="98"/>
      <c r="G53" s="98"/>
      <c r="H53" s="98"/>
      <c r="I53" s="98"/>
      <c r="J53" s="98"/>
      <c r="K53" s="98"/>
      <c r="L53" s="92" t="str">
        <f aca="false">IF(OR($B53="", $H53="", $I53="", $J53="", $K53=""),"",ROUND((VLOOKUP($H53,Lists!$E$2:$F$5,2,FALSE())*VLOOKUP($I53,Lists!$H$2:$I$4,2,FALSE())*VLOOKUP($J53,Lists!$K$2:$L$4,2,FALSE()))/VLOOKUP($K53,Lists!$N$2:$O$6,2,FALSE()),2))</f>
        <v/>
      </c>
      <c r="M53" s="93" t="str">
        <f aca="false">IF($B53="","",IF($AC53&lt;&gt;"",$AC53,IF($H53="Critical","P0",IF(NOT(ISNUMBER($L53)),"",IF($L53&gt;=Lists!$AM$2,"P0",IF($L53&gt;=Lists!$AM$3,"P1",IF($L53&gt;=Lists!$AM$4,"P2","P3")))))))</f>
        <v/>
      </c>
      <c r="N53" s="98"/>
      <c r="O53" s="98"/>
      <c r="P53" s="98"/>
      <c r="Q53" s="99"/>
      <c r="R53" s="95" t="str">
        <f aca="true">IF($Q53="","", TODAY()-$Q53)</f>
        <v/>
      </c>
      <c r="S53" s="98"/>
      <c r="T53" s="99"/>
      <c r="U53" s="99"/>
      <c r="V53" s="98"/>
      <c r="W53" s="98"/>
      <c r="X53" s="98"/>
      <c r="Y53" s="96"/>
      <c r="Z53" s="96"/>
      <c r="AA53" s="96"/>
      <c r="AC53" s="98"/>
      <c r="AD53" s="97" t="str">
        <f aca="false">IF($B53="","",IF(ISNUMBER($T53),$T53,IF(OR(NOT(ISNUMBER($Q53)),$S53=""),"",IFERROR(IF(ISNUMBER(INDEX(Lists!$AJ$2:$AJ$7,MATCH($S53,Lists!$AI$2:$AI$7,0))),$Q53+INDEX(Lists!$AJ$2:$AJ$7,MATCH($S53,Lists!$AI$2:$AI$7,0)),""),""))))</f>
        <v/>
      </c>
      <c r="AE53" s="93" t="str">
        <f aca="true">IF($B53="","",IF(AND(ISNUMBER($AD53),N($AD53)&lt;TODAY(),$N53&lt;&gt;"Done",$N53&lt;&gt;"Won't Fix",$N53&lt;&gt;"Duplicate"),"Yes","No"))</f>
        <v/>
      </c>
      <c r="AF53" s="98"/>
      <c r="AG53" s="93" t="str">
        <f aca="false">IF($AF53="","",IFERROR(VLOOKUP($AF53,'Application Portfolio'!$A$2:$B$1000,2,FALSE()),"Unknown App ID"))</f>
        <v/>
      </c>
      <c r="AH53" s="93" t="str">
        <f aca="false">IF(OR($B53="",$AF53=""),"",IFERROR(VLOOKUP($AF53,'Application Portfolio'!$A$2:$AB$1000,28,FALSE()),""))</f>
        <v/>
      </c>
    </row>
    <row r="54" customFormat="false" ht="15.75" hidden="false" customHeight="true" outlineLevel="0" collapsed="false">
      <c r="A54" s="90"/>
      <c r="B54" s="91"/>
      <c r="C54" s="91"/>
      <c r="D54" s="91"/>
      <c r="E54" s="91"/>
      <c r="F54" s="91"/>
      <c r="G54" s="91"/>
      <c r="H54" s="91"/>
      <c r="I54" s="91"/>
      <c r="J54" s="91"/>
      <c r="K54" s="91"/>
      <c r="L54" s="92" t="str">
        <f aca="false">IF(OR($B54="", $H54="", $I54="", $J54="", $K54=""),"",ROUND((VLOOKUP($H54,Lists!$E$2:$F$5,2,FALSE())*VLOOKUP($I54,Lists!$H$2:$I$4,2,FALSE())*VLOOKUP($J54,Lists!$K$2:$L$4,2,FALSE()))/VLOOKUP($K54,Lists!$N$2:$O$6,2,FALSE()),2))</f>
        <v/>
      </c>
      <c r="M54" s="93" t="str">
        <f aca="false">IF($B54="","",IF($AC54&lt;&gt;"",$AC54,IF($H54="Critical","P0",IF(NOT(ISNUMBER($L54)),"",IF($L54&gt;=Lists!$AM$2,"P0",IF($L54&gt;=Lists!$AM$3,"P1",IF($L54&gt;=Lists!$AM$4,"P2","P3")))))))</f>
        <v/>
      </c>
      <c r="N54" s="91"/>
      <c r="O54" s="91"/>
      <c r="P54" s="91"/>
      <c r="Q54" s="94"/>
      <c r="R54" s="95" t="str">
        <f aca="true">IF($Q54="","", TODAY()-$Q54)</f>
        <v/>
      </c>
      <c r="S54" s="91"/>
      <c r="T54" s="94"/>
      <c r="U54" s="94"/>
      <c r="V54" s="91"/>
      <c r="W54" s="91"/>
      <c r="X54" s="91"/>
      <c r="Y54" s="96"/>
      <c r="Z54" s="96"/>
      <c r="AA54" s="96"/>
      <c r="AC54" s="91"/>
      <c r="AD54" s="97" t="str">
        <f aca="false">IF($B54="","",IF(ISNUMBER($T54),$T54,IF(OR(NOT(ISNUMBER($Q54)),$S54=""),"",IFERROR(IF(ISNUMBER(INDEX(Lists!$AJ$2:$AJ$7,MATCH($S54,Lists!$AI$2:$AI$7,0))),$Q54+INDEX(Lists!$AJ$2:$AJ$7,MATCH($S54,Lists!$AI$2:$AI$7,0)),""),""))))</f>
        <v/>
      </c>
      <c r="AE54" s="93" t="str">
        <f aca="true">IF($B54="","",IF(AND(ISNUMBER($AD54),N($AD54)&lt;TODAY(),$N54&lt;&gt;"Done",$N54&lt;&gt;"Won't Fix",$N54&lt;&gt;"Duplicate"),"Yes","No"))</f>
        <v/>
      </c>
      <c r="AF54" s="91"/>
      <c r="AG54" s="93" t="str">
        <f aca="false">IF($AF54="","",IFERROR(VLOOKUP($AF54,'Application Portfolio'!$A$2:$B$1000,2,FALSE()),"Unknown App ID"))</f>
        <v/>
      </c>
      <c r="AH54" s="93" t="str">
        <f aca="false">IF(OR($B54="",$AF54=""),"",IFERROR(VLOOKUP($AF54,'Application Portfolio'!$A$2:$AB$1000,28,FALSE()),""))</f>
        <v/>
      </c>
    </row>
    <row r="55" customFormat="false" ht="15.75" hidden="false" customHeight="true" outlineLevel="0" collapsed="false">
      <c r="A55" s="90"/>
      <c r="B55" s="98"/>
      <c r="C55" s="98"/>
      <c r="D55" s="98"/>
      <c r="E55" s="98"/>
      <c r="F55" s="98"/>
      <c r="G55" s="98"/>
      <c r="H55" s="98"/>
      <c r="I55" s="98"/>
      <c r="J55" s="98"/>
      <c r="K55" s="98"/>
      <c r="L55" s="92" t="str">
        <f aca="false">IF(OR($B55="", $H55="", $I55="", $J55="", $K55=""),"",ROUND((VLOOKUP($H55,Lists!$E$2:$F$5,2,FALSE())*VLOOKUP($I55,Lists!$H$2:$I$4,2,FALSE())*VLOOKUP($J55,Lists!$K$2:$L$4,2,FALSE()))/VLOOKUP($K55,Lists!$N$2:$O$6,2,FALSE()),2))</f>
        <v/>
      </c>
      <c r="M55" s="93" t="str">
        <f aca="false">IF($B55="","",IF($AC55&lt;&gt;"",$AC55,IF($H55="Critical","P0",IF(NOT(ISNUMBER($L55)),"",IF($L55&gt;=Lists!$AM$2,"P0",IF($L55&gt;=Lists!$AM$3,"P1",IF($L55&gt;=Lists!$AM$4,"P2","P3")))))))</f>
        <v/>
      </c>
      <c r="N55" s="98"/>
      <c r="O55" s="98"/>
      <c r="P55" s="98"/>
      <c r="Q55" s="99"/>
      <c r="R55" s="95" t="str">
        <f aca="true">IF($Q55="","", TODAY()-$Q55)</f>
        <v/>
      </c>
      <c r="S55" s="98"/>
      <c r="T55" s="99"/>
      <c r="U55" s="99"/>
      <c r="V55" s="98"/>
      <c r="W55" s="98"/>
      <c r="X55" s="98"/>
      <c r="Y55" s="96"/>
      <c r="Z55" s="96"/>
      <c r="AA55" s="96"/>
      <c r="AC55" s="98"/>
      <c r="AD55" s="97" t="str">
        <f aca="false">IF($B55="","",IF(ISNUMBER($T55),$T55,IF(OR(NOT(ISNUMBER($Q55)),$S55=""),"",IFERROR(IF(ISNUMBER(INDEX(Lists!$AJ$2:$AJ$7,MATCH($S55,Lists!$AI$2:$AI$7,0))),$Q55+INDEX(Lists!$AJ$2:$AJ$7,MATCH($S55,Lists!$AI$2:$AI$7,0)),""),""))))</f>
        <v/>
      </c>
      <c r="AE55" s="93" t="str">
        <f aca="true">IF($B55="","",IF(AND(ISNUMBER($AD55),N($AD55)&lt;TODAY(),$N55&lt;&gt;"Done",$N55&lt;&gt;"Won't Fix",$N55&lt;&gt;"Duplicate"),"Yes","No"))</f>
        <v/>
      </c>
      <c r="AF55" s="98"/>
      <c r="AG55" s="93" t="str">
        <f aca="false">IF($AF55="","",IFERROR(VLOOKUP($AF55,'Application Portfolio'!$A$2:$B$1000,2,FALSE()),"Unknown App ID"))</f>
        <v/>
      </c>
      <c r="AH55" s="93" t="str">
        <f aca="false">IF(OR($B55="",$AF55=""),"",IFERROR(VLOOKUP($AF55,'Application Portfolio'!$A$2:$AB$1000,28,FALSE()),""))</f>
        <v/>
      </c>
    </row>
    <row r="56" customFormat="false" ht="15.75" hidden="false" customHeight="true" outlineLevel="0" collapsed="false">
      <c r="A56" s="90"/>
      <c r="B56" s="91"/>
      <c r="C56" s="91"/>
      <c r="D56" s="91"/>
      <c r="E56" s="91"/>
      <c r="F56" s="91"/>
      <c r="G56" s="91"/>
      <c r="H56" s="91"/>
      <c r="I56" s="91"/>
      <c r="J56" s="91"/>
      <c r="K56" s="91"/>
      <c r="L56" s="92" t="str">
        <f aca="false">IF(OR($B56="", $H56="", $I56="", $J56="", $K56=""),"",ROUND((VLOOKUP($H56,Lists!$E$2:$F$5,2,FALSE())*VLOOKUP($I56,Lists!$H$2:$I$4,2,FALSE())*VLOOKUP($J56,Lists!$K$2:$L$4,2,FALSE()))/VLOOKUP($K56,Lists!$N$2:$O$6,2,FALSE()),2))</f>
        <v/>
      </c>
      <c r="M56" s="93" t="str">
        <f aca="false">IF($B56="","",IF($AC56&lt;&gt;"",$AC56,IF($H56="Critical","P0",IF(NOT(ISNUMBER($L56)),"",IF($L56&gt;=Lists!$AM$2,"P0",IF($L56&gt;=Lists!$AM$3,"P1",IF($L56&gt;=Lists!$AM$4,"P2","P3")))))))</f>
        <v/>
      </c>
      <c r="N56" s="91"/>
      <c r="O56" s="91"/>
      <c r="P56" s="91"/>
      <c r="Q56" s="94"/>
      <c r="R56" s="95" t="str">
        <f aca="true">IF($Q56="","", TODAY()-$Q56)</f>
        <v/>
      </c>
      <c r="S56" s="91"/>
      <c r="T56" s="94"/>
      <c r="U56" s="94"/>
      <c r="V56" s="91"/>
      <c r="W56" s="91"/>
      <c r="X56" s="91"/>
      <c r="Y56" s="96"/>
      <c r="Z56" s="96"/>
      <c r="AA56" s="96"/>
      <c r="AC56" s="91"/>
      <c r="AD56" s="97" t="str">
        <f aca="false">IF($B56="","",IF(ISNUMBER($T56),$T56,IF(OR(NOT(ISNUMBER($Q56)),$S56=""),"",IFERROR(IF(ISNUMBER(INDEX(Lists!$AJ$2:$AJ$7,MATCH($S56,Lists!$AI$2:$AI$7,0))),$Q56+INDEX(Lists!$AJ$2:$AJ$7,MATCH($S56,Lists!$AI$2:$AI$7,0)),""),""))))</f>
        <v/>
      </c>
      <c r="AE56" s="93" t="str">
        <f aca="true">IF($B56="","",IF(AND(ISNUMBER($AD56),N($AD56)&lt;TODAY(),$N56&lt;&gt;"Done",$N56&lt;&gt;"Won't Fix",$N56&lt;&gt;"Duplicate"),"Yes","No"))</f>
        <v/>
      </c>
      <c r="AF56" s="91"/>
      <c r="AG56" s="93" t="str">
        <f aca="false">IF($AF56="","",IFERROR(VLOOKUP($AF56,'Application Portfolio'!$A$2:$B$1000,2,FALSE()),"Unknown App ID"))</f>
        <v/>
      </c>
      <c r="AH56" s="93" t="str">
        <f aca="false">IF(OR($B56="",$AF56=""),"",IFERROR(VLOOKUP($AF56,'Application Portfolio'!$A$2:$AB$1000,28,FALSE()),""))</f>
        <v/>
      </c>
    </row>
    <row r="57" customFormat="false" ht="15.75" hidden="false" customHeight="true" outlineLevel="0" collapsed="false">
      <c r="A57" s="90"/>
      <c r="B57" s="98"/>
      <c r="C57" s="98"/>
      <c r="D57" s="98"/>
      <c r="E57" s="98"/>
      <c r="F57" s="98"/>
      <c r="G57" s="98"/>
      <c r="H57" s="98"/>
      <c r="I57" s="98"/>
      <c r="J57" s="98"/>
      <c r="K57" s="98"/>
      <c r="L57" s="92" t="str">
        <f aca="false">IF(OR($B57="", $H57="", $I57="", $J57="", $K57=""),"",ROUND((VLOOKUP($H57,Lists!$E$2:$F$5,2,FALSE())*VLOOKUP($I57,Lists!$H$2:$I$4,2,FALSE())*VLOOKUP($J57,Lists!$K$2:$L$4,2,FALSE()))/VLOOKUP($K57,Lists!$N$2:$O$6,2,FALSE()),2))</f>
        <v/>
      </c>
      <c r="M57" s="93" t="str">
        <f aca="false">IF($B57="","",IF($AC57&lt;&gt;"",$AC57,IF($H57="Critical","P0",IF(NOT(ISNUMBER($L57)),"",IF($L57&gt;=Lists!$AM$2,"P0",IF($L57&gt;=Lists!$AM$3,"P1",IF($L57&gt;=Lists!$AM$4,"P2","P3")))))))</f>
        <v/>
      </c>
      <c r="N57" s="98"/>
      <c r="O57" s="98"/>
      <c r="P57" s="98"/>
      <c r="Q57" s="99"/>
      <c r="R57" s="95" t="str">
        <f aca="true">IF($Q57="","", TODAY()-$Q57)</f>
        <v/>
      </c>
      <c r="S57" s="98"/>
      <c r="T57" s="99"/>
      <c r="U57" s="99"/>
      <c r="V57" s="98"/>
      <c r="W57" s="98"/>
      <c r="X57" s="98"/>
      <c r="Y57" s="96"/>
      <c r="Z57" s="96"/>
      <c r="AA57" s="96"/>
      <c r="AC57" s="98"/>
      <c r="AD57" s="97" t="str">
        <f aca="false">IF($B57="","",IF(ISNUMBER($T57),$T57,IF(OR(NOT(ISNUMBER($Q57)),$S57=""),"",IFERROR(IF(ISNUMBER(INDEX(Lists!$AJ$2:$AJ$7,MATCH($S57,Lists!$AI$2:$AI$7,0))),$Q57+INDEX(Lists!$AJ$2:$AJ$7,MATCH($S57,Lists!$AI$2:$AI$7,0)),""),""))))</f>
        <v/>
      </c>
      <c r="AE57" s="93" t="str">
        <f aca="true">IF($B57="","",IF(AND(ISNUMBER($AD57),N($AD57)&lt;TODAY(),$N57&lt;&gt;"Done",$N57&lt;&gt;"Won't Fix",$N57&lt;&gt;"Duplicate"),"Yes","No"))</f>
        <v/>
      </c>
      <c r="AF57" s="98"/>
      <c r="AG57" s="93" t="str">
        <f aca="false">IF($AF57="","",IFERROR(VLOOKUP($AF57,'Application Portfolio'!$A$2:$B$1000,2,FALSE()),"Unknown App ID"))</f>
        <v/>
      </c>
      <c r="AH57" s="93" t="str">
        <f aca="false">IF(OR($B57="",$AF57=""),"",IFERROR(VLOOKUP($AF57,'Application Portfolio'!$A$2:$AB$1000,28,FALSE()),""))</f>
        <v/>
      </c>
    </row>
    <row r="58" customFormat="false" ht="15.75" hidden="false" customHeight="true" outlineLevel="0" collapsed="false">
      <c r="A58" s="90"/>
      <c r="B58" s="91"/>
      <c r="C58" s="91"/>
      <c r="D58" s="91"/>
      <c r="E58" s="91"/>
      <c r="F58" s="91"/>
      <c r="G58" s="91"/>
      <c r="H58" s="91"/>
      <c r="I58" s="91"/>
      <c r="J58" s="91"/>
      <c r="K58" s="91"/>
      <c r="L58" s="92" t="str">
        <f aca="false">IF(OR($B58="", $H58="", $I58="", $J58="", $K58=""),"",ROUND((VLOOKUP($H58,Lists!$E$2:$F$5,2,FALSE())*VLOOKUP($I58,Lists!$H$2:$I$4,2,FALSE())*VLOOKUP($J58,Lists!$K$2:$L$4,2,FALSE()))/VLOOKUP($K58,Lists!$N$2:$O$6,2,FALSE()),2))</f>
        <v/>
      </c>
      <c r="M58" s="93" t="str">
        <f aca="false">IF($B58="","",IF($AC58&lt;&gt;"",$AC58,IF($H58="Critical","P0",IF(NOT(ISNUMBER($L58)),"",IF($L58&gt;=Lists!$AM$2,"P0",IF($L58&gt;=Lists!$AM$3,"P1",IF($L58&gt;=Lists!$AM$4,"P2","P3")))))))</f>
        <v/>
      </c>
      <c r="N58" s="91"/>
      <c r="O58" s="91"/>
      <c r="P58" s="91"/>
      <c r="Q58" s="94"/>
      <c r="R58" s="95" t="str">
        <f aca="true">IF($Q58="","", TODAY()-$Q58)</f>
        <v/>
      </c>
      <c r="S58" s="91"/>
      <c r="T58" s="94"/>
      <c r="U58" s="94"/>
      <c r="V58" s="91"/>
      <c r="W58" s="91"/>
      <c r="X58" s="91"/>
      <c r="Y58" s="96"/>
      <c r="Z58" s="96"/>
      <c r="AA58" s="96"/>
      <c r="AC58" s="91"/>
      <c r="AD58" s="97" t="str">
        <f aca="false">IF($B58="","",IF(ISNUMBER($T58),$T58,IF(OR(NOT(ISNUMBER($Q58)),$S58=""),"",IFERROR(IF(ISNUMBER(INDEX(Lists!$AJ$2:$AJ$7,MATCH($S58,Lists!$AI$2:$AI$7,0))),$Q58+INDEX(Lists!$AJ$2:$AJ$7,MATCH($S58,Lists!$AI$2:$AI$7,0)),""),""))))</f>
        <v/>
      </c>
      <c r="AE58" s="93" t="str">
        <f aca="true">IF($B58="","",IF(AND(ISNUMBER($AD58),N($AD58)&lt;TODAY(),$N58&lt;&gt;"Done",$N58&lt;&gt;"Won't Fix",$N58&lt;&gt;"Duplicate"),"Yes","No"))</f>
        <v/>
      </c>
      <c r="AF58" s="91"/>
      <c r="AG58" s="93" t="str">
        <f aca="false">IF($AF58="","",IFERROR(VLOOKUP($AF58,'Application Portfolio'!$A$2:$B$1000,2,FALSE()),"Unknown App ID"))</f>
        <v/>
      </c>
      <c r="AH58" s="93" t="str">
        <f aca="false">IF(OR($B58="",$AF58=""),"",IFERROR(VLOOKUP($AF58,'Application Portfolio'!$A$2:$AB$1000,28,FALSE()),""))</f>
        <v/>
      </c>
    </row>
    <row r="59" customFormat="false" ht="15.75" hidden="false" customHeight="true" outlineLevel="0" collapsed="false">
      <c r="A59" s="90"/>
      <c r="B59" s="98"/>
      <c r="C59" s="98"/>
      <c r="D59" s="98"/>
      <c r="E59" s="98"/>
      <c r="F59" s="98"/>
      <c r="G59" s="98"/>
      <c r="H59" s="98"/>
      <c r="I59" s="98"/>
      <c r="J59" s="98"/>
      <c r="K59" s="98"/>
      <c r="L59" s="92" t="str">
        <f aca="false">IF(OR($B59="", $H59="", $I59="", $J59="", $K59=""),"",ROUND((VLOOKUP($H59,Lists!$E$2:$F$5,2,FALSE())*VLOOKUP($I59,Lists!$H$2:$I$4,2,FALSE())*VLOOKUP($J59,Lists!$K$2:$L$4,2,FALSE()))/VLOOKUP($K59,Lists!$N$2:$O$6,2,FALSE()),2))</f>
        <v/>
      </c>
      <c r="M59" s="93" t="str">
        <f aca="false">IF($B59="","",IF($AC59&lt;&gt;"",$AC59,IF($H59="Critical","P0",IF(NOT(ISNUMBER($L59)),"",IF($L59&gt;=Lists!$AM$2,"P0",IF($L59&gt;=Lists!$AM$3,"P1",IF($L59&gt;=Lists!$AM$4,"P2","P3")))))))</f>
        <v/>
      </c>
      <c r="N59" s="98"/>
      <c r="O59" s="98"/>
      <c r="P59" s="98"/>
      <c r="Q59" s="99"/>
      <c r="R59" s="95" t="str">
        <f aca="true">IF($Q59="","", TODAY()-$Q59)</f>
        <v/>
      </c>
      <c r="S59" s="98"/>
      <c r="T59" s="99"/>
      <c r="U59" s="99"/>
      <c r="V59" s="98"/>
      <c r="W59" s="98"/>
      <c r="X59" s="98"/>
      <c r="Y59" s="96"/>
      <c r="Z59" s="96"/>
      <c r="AA59" s="96"/>
      <c r="AC59" s="98"/>
      <c r="AD59" s="97" t="str">
        <f aca="false">IF($B59="","",IF(ISNUMBER($T59),$T59,IF(OR(NOT(ISNUMBER($Q59)),$S59=""),"",IFERROR(IF(ISNUMBER(INDEX(Lists!$AJ$2:$AJ$7,MATCH($S59,Lists!$AI$2:$AI$7,0))),$Q59+INDEX(Lists!$AJ$2:$AJ$7,MATCH($S59,Lists!$AI$2:$AI$7,0)),""),""))))</f>
        <v/>
      </c>
      <c r="AE59" s="93" t="str">
        <f aca="true">IF($B59="","",IF(AND(ISNUMBER($AD59),N($AD59)&lt;TODAY(),$N59&lt;&gt;"Done",$N59&lt;&gt;"Won't Fix",$N59&lt;&gt;"Duplicate"),"Yes","No"))</f>
        <v/>
      </c>
      <c r="AF59" s="98"/>
      <c r="AG59" s="93" t="str">
        <f aca="false">IF($AF59="","",IFERROR(VLOOKUP($AF59,'Application Portfolio'!$A$2:$B$1000,2,FALSE()),"Unknown App ID"))</f>
        <v/>
      </c>
      <c r="AH59" s="93" t="str">
        <f aca="false">IF(OR($B59="",$AF59=""),"",IFERROR(VLOOKUP($AF59,'Application Portfolio'!$A$2:$AB$1000,28,FALSE()),""))</f>
        <v/>
      </c>
    </row>
    <row r="60" customFormat="false" ht="15.75" hidden="false" customHeight="true" outlineLevel="0" collapsed="false">
      <c r="A60" s="100"/>
      <c r="B60" s="101"/>
      <c r="C60" s="101"/>
      <c r="D60" s="101"/>
      <c r="E60" s="101"/>
      <c r="F60" s="102"/>
      <c r="G60" s="102"/>
      <c r="H60" s="102"/>
      <c r="I60" s="102"/>
      <c r="J60" s="102"/>
      <c r="K60" s="102"/>
      <c r="L60" s="103" t="str">
        <f aca="false">IF(OR($B60="", $H60="", $I60="", $J60="", $K60=""),"",ROUND((VLOOKUP($H60,Lists!$E$2:$F$5,2,FALSE())*VLOOKUP($I60,Lists!$H$2:$I$4,2,FALSE())*VLOOKUP($J60,Lists!$K$2:$L$4,2,FALSE()))/VLOOKUP($K60,Lists!$N$2:$O$6,2,FALSE()),2))</f>
        <v/>
      </c>
      <c r="M60" s="104" t="str">
        <f aca="false">IF($B60="","",IF($AC60&lt;&gt;"",$AC60,IF($H60="Critical","P0",IF(NOT(ISNUMBER($L60)),"",IF($L60&gt;=Lists!$AM$2,"P0",IF($L60&gt;=Lists!$AM$3,"P1",IF($L60&gt;=Lists!$AM$4,"P2","P3")))))))</f>
        <v/>
      </c>
      <c r="N60" s="102"/>
      <c r="O60" s="101"/>
      <c r="P60" s="102"/>
      <c r="Q60" s="105"/>
      <c r="R60" s="106" t="str">
        <f aca="true">IF($Q60="","", TODAY()-$Q60)</f>
        <v/>
      </c>
      <c r="S60" s="102"/>
      <c r="T60" s="105"/>
      <c r="U60" s="105"/>
      <c r="V60" s="101"/>
      <c r="W60" s="101"/>
      <c r="X60" s="101"/>
      <c r="Y60" s="96"/>
      <c r="Z60" s="96"/>
      <c r="AA60" s="96"/>
      <c r="AC60" s="102"/>
      <c r="AD60" s="107" t="str">
        <f aca="false">IF($B60="","",IF(ISNUMBER($T60),$T60,IF(OR(NOT(ISNUMBER($Q60)),$S60=""),"",IFERROR(IF(ISNUMBER(INDEX(Lists!$AJ$2:$AJ$7,MATCH($S60,Lists!$AI$2:$AI$7,0))),$Q60+INDEX(Lists!$AJ$2:$AJ$7,MATCH($S60,Lists!$AI$2:$AI$7,0)),""),""))))</f>
        <v/>
      </c>
      <c r="AE60" s="104" t="str">
        <f aca="true">IF($B60="","",IF(AND(ISNUMBER($AD60),N($AD60)&lt;TODAY(),$N60&lt;&gt;"Done",$N60&lt;&gt;"Won't Fix",$N60&lt;&gt;"Duplicate"),"Yes","No"))</f>
        <v/>
      </c>
      <c r="AF60" s="101"/>
      <c r="AG60" s="108" t="str">
        <f aca="false">IF($AF60="","",IFERROR(VLOOKUP($AF60,'Application Portfolio'!$A$2:$B$1000,2,FALSE()),"Unknown App ID"))</f>
        <v/>
      </c>
      <c r="AH60" s="108" t="str">
        <f aca="false">IF(OR($B60="",$AF60=""),"",IFERROR(VLOOKUP($AF60,'Application Portfolio'!$A$2:$AB$1000,28,FALSE()),""))</f>
        <v/>
      </c>
    </row>
    <row r="61" customFormat="false" ht="15.75" hidden="false" customHeight="true" outlineLevel="0" collapsed="false">
      <c r="A61" s="100"/>
      <c r="B61" s="101"/>
      <c r="C61" s="101"/>
      <c r="D61" s="101"/>
      <c r="E61" s="101"/>
      <c r="F61" s="102"/>
      <c r="G61" s="102"/>
      <c r="H61" s="102"/>
      <c r="I61" s="102"/>
      <c r="J61" s="102"/>
      <c r="K61" s="102"/>
      <c r="L61" s="103" t="str">
        <f aca="false">IF(OR($B61="", $H61="", $I61="", $J61="", $K61=""),"",ROUND((VLOOKUP($H61,Lists!$E$2:$F$5,2,FALSE())*VLOOKUP($I61,Lists!$H$2:$I$4,2,FALSE())*VLOOKUP($J61,Lists!$K$2:$L$4,2,FALSE()))/VLOOKUP($K61,Lists!$N$2:$O$6,2,FALSE()),2))</f>
        <v/>
      </c>
      <c r="M61" s="104" t="str">
        <f aca="false">IF($B61="","",IF($AC61&lt;&gt;"",$AC61,IF($H61="Critical","P0",IF(NOT(ISNUMBER($L61)),"",IF($L61&gt;=Lists!$AM$2,"P0",IF($L61&gt;=Lists!$AM$3,"P1",IF($L61&gt;=Lists!$AM$4,"P2","P3")))))))</f>
        <v/>
      </c>
      <c r="N61" s="102"/>
      <c r="O61" s="101"/>
      <c r="P61" s="102"/>
      <c r="Q61" s="105"/>
      <c r="R61" s="106" t="str">
        <f aca="true">IF($Q61="","", TODAY()-$Q61)</f>
        <v/>
      </c>
      <c r="S61" s="102"/>
      <c r="T61" s="105"/>
      <c r="U61" s="105"/>
      <c r="V61" s="101"/>
      <c r="W61" s="101"/>
      <c r="X61" s="101"/>
      <c r="Y61" s="96"/>
      <c r="Z61" s="96"/>
      <c r="AA61" s="96"/>
      <c r="AC61" s="102"/>
      <c r="AD61" s="107" t="str">
        <f aca="false">IF($B61="","",IF(ISNUMBER($T61),$T61,IF(OR(NOT(ISNUMBER($Q61)),$S61=""),"",IFERROR(IF(ISNUMBER(INDEX(Lists!$AJ$2:$AJ$7,MATCH($S61,Lists!$AI$2:$AI$7,0))),$Q61+INDEX(Lists!$AJ$2:$AJ$7,MATCH($S61,Lists!$AI$2:$AI$7,0)),""),""))))</f>
        <v/>
      </c>
      <c r="AE61" s="104" t="str">
        <f aca="true">IF($B61="","",IF(AND(ISNUMBER($AD61),N($AD61)&lt;TODAY(),$N61&lt;&gt;"Done",$N61&lt;&gt;"Won't Fix",$N61&lt;&gt;"Duplicate"),"Yes","No"))</f>
        <v/>
      </c>
      <c r="AF61" s="101"/>
      <c r="AG61" s="108" t="str">
        <f aca="false">IF($AF61="","",IFERROR(VLOOKUP($AF61,'Application Portfolio'!$A$2:$B$1000,2,FALSE()),"Unknown App ID"))</f>
        <v/>
      </c>
      <c r="AH61" s="108" t="str">
        <f aca="false">IF(OR($B61="",$AF61=""),"",IFERROR(VLOOKUP($AF61,'Application Portfolio'!$A$2:$AB$1000,28,FALSE()),""))</f>
        <v/>
      </c>
    </row>
    <row r="62" customFormat="false" ht="15.75" hidden="false" customHeight="true" outlineLevel="0" collapsed="false">
      <c r="A62" s="100"/>
      <c r="B62" s="101"/>
      <c r="C62" s="101"/>
      <c r="D62" s="101"/>
      <c r="E62" s="101"/>
      <c r="F62" s="102"/>
      <c r="G62" s="102"/>
      <c r="H62" s="102"/>
      <c r="I62" s="102"/>
      <c r="J62" s="102"/>
      <c r="K62" s="102"/>
      <c r="L62" s="103" t="str">
        <f aca="false">IF(OR($B62="", $H62="", $I62="", $J62="", $K62=""),"",ROUND((VLOOKUP($H62,Lists!$E$2:$F$5,2,FALSE())*VLOOKUP($I62,Lists!$H$2:$I$4,2,FALSE())*VLOOKUP($J62,Lists!$K$2:$L$4,2,FALSE()))/VLOOKUP($K62,Lists!$N$2:$O$6,2,FALSE()),2))</f>
        <v/>
      </c>
      <c r="M62" s="104" t="str">
        <f aca="false">IF($B62="","",IF($AC62&lt;&gt;"",$AC62,IF($H62="Critical","P0",IF(NOT(ISNUMBER($L62)),"",IF($L62&gt;=Lists!$AM$2,"P0",IF($L62&gt;=Lists!$AM$3,"P1",IF($L62&gt;=Lists!$AM$4,"P2","P3")))))))</f>
        <v/>
      </c>
      <c r="N62" s="102"/>
      <c r="O62" s="101"/>
      <c r="P62" s="102"/>
      <c r="Q62" s="105"/>
      <c r="R62" s="106" t="str">
        <f aca="true">IF($Q62="","", TODAY()-$Q62)</f>
        <v/>
      </c>
      <c r="S62" s="102"/>
      <c r="T62" s="105"/>
      <c r="U62" s="105"/>
      <c r="V62" s="101"/>
      <c r="W62" s="101"/>
      <c r="X62" s="101"/>
      <c r="Y62" s="96"/>
      <c r="Z62" s="96"/>
      <c r="AA62" s="96"/>
      <c r="AC62" s="102"/>
      <c r="AD62" s="107" t="str">
        <f aca="false">IF($B62="","",IF(ISNUMBER($T62),$T62,IF(OR(NOT(ISNUMBER($Q62)),$S62=""),"",IFERROR(IF(ISNUMBER(INDEX(Lists!$AJ$2:$AJ$7,MATCH($S62,Lists!$AI$2:$AI$7,0))),$Q62+INDEX(Lists!$AJ$2:$AJ$7,MATCH($S62,Lists!$AI$2:$AI$7,0)),""),""))))</f>
        <v/>
      </c>
      <c r="AE62" s="104" t="str">
        <f aca="true">IF($B62="","",IF(AND(ISNUMBER($AD62),N($AD62)&lt;TODAY(),$N62&lt;&gt;"Done",$N62&lt;&gt;"Won't Fix",$N62&lt;&gt;"Duplicate"),"Yes","No"))</f>
        <v/>
      </c>
      <c r="AF62" s="101"/>
      <c r="AG62" s="108" t="str">
        <f aca="false">IF($AF62="","",IFERROR(VLOOKUP($AF62,'Application Portfolio'!$A$2:$B$1000,2,FALSE()),"Unknown App ID"))</f>
        <v/>
      </c>
      <c r="AH62" s="108" t="str">
        <f aca="false">IF(OR($B62="",$AF62=""),"",IFERROR(VLOOKUP($AF62,'Application Portfolio'!$A$2:$AB$1000,28,FALSE()),""))</f>
        <v/>
      </c>
    </row>
    <row r="63" customFormat="false" ht="15.75" hidden="false" customHeight="true" outlineLevel="0" collapsed="false">
      <c r="A63" s="100"/>
      <c r="B63" s="101"/>
      <c r="C63" s="101"/>
      <c r="D63" s="101"/>
      <c r="E63" s="101"/>
      <c r="F63" s="102"/>
      <c r="G63" s="102"/>
      <c r="H63" s="102"/>
      <c r="I63" s="102"/>
      <c r="J63" s="102"/>
      <c r="K63" s="102"/>
      <c r="L63" s="103" t="str">
        <f aca="false">IF(OR($B63="", $H63="", $I63="", $J63="", $K63=""),"",ROUND((VLOOKUP($H63,Lists!$E$2:$F$5,2,FALSE())*VLOOKUP($I63,Lists!$H$2:$I$4,2,FALSE())*VLOOKUP($J63,Lists!$K$2:$L$4,2,FALSE()))/VLOOKUP($K63,Lists!$N$2:$O$6,2,FALSE()),2))</f>
        <v/>
      </c>
      <c r="M63" s="104" t="str">
        <f aca="false">IF($B63="","",IF($AC63&lt;&gt;"",$AC63,IF($H63="Critical","P0",IF(NOT(ISNUMBER($L63)),"",IF($L63&gt;=Lists!$AM$2,"P0",IF($L63&gt;=Lists!$AM$3,"P1",IF($L63&gt;=Lists!$AM$4,"P2","P3")))))))</f>
        <v/>
      </c>
      <c r="N63" s="102"/>
      <c r="O63" s="101"/>
      <c r="P63" s="102"/>
      <c r="Q63" s="105"/>
      <c r="R63" s="106" t="str">
        <f aca="true">IF($Q63="","", TODAY()-$Q63)</f>
        <v/>
      </c>
      <c r="S63" s="102"/>
      <c r="T63" s="105"/>
      <c r="U63" s="105"/>
      <c r="V63" s="101"/>
      <c r="W63" s="101"/>
      <c r="X63" s="101"/>
      <c r="Y63" s="96"/>
      <c r="Z63" s="96"/>
      <c r="AA63" s="96"/>
      <c r="AC63" s="102"/>
      <c r="AD63" s="107" t="str">
        <f aca="false">IF($B63="","",IF(ISNUMBER($T63),$T63,IF(OR(NOT(ISNUMBER($Q63)),$S63=""),"",IFERROR(IF(ISNUMBER(INDEX(Lists!$AJ$2:$AJ$7,MATCH($S63,Lists!$AI$2:$AI$7,0))),$Q63+INDEX(Lists!$AJ$2:$AJ$7,MATCH($S63,Lists!$AI$2:$AI$7,0)),""),""))))</f>
        <v/>
      </c>
      <c r="AE63" s="104" t="str">
        <f aca="true">IF($B63="","",IF(AND(ISNUMBER($AD63),N($AD63)&lt;TODAY(),$N63&lt;&gt;"Done",$N63&lt;&gt;"Won't Fix",$N63&lt;&gt;"Duplicate"),"Yes","No"))</f>
        <v/>
      </c>
      <c r="AF63" s="101"/>
      <c r="AG63" s="108" t="str">
        <f aca="false">IF($AF63="","",IFERROR(VLOOKUP($AF63,'Application Portfolio'!$A$2:$B$1000,2,FALSE()),"Unknown App ID"))</f>
        <v/>
      </c>
      <c r="AH63" s="108" t="str">
        <f aca="false">IF(OR($B63="",$AF63=""),"",IFERROR(VLOOKUP($AF63,'Application Portfolio'!$A$2:$AB$1000,28,FALSE()),""))</f>
        <v/>
      </c>
    </row>
    <row r="64" customFormat="false" ht="15.75" hidden="false" customHeight="true" outlineLevel="0" collapsed="false">
      <c r="A64" s="100"/>
      <c r="B64" s="101"/>
      <c r="C64" s="101"/>
      <c r="D64" s="101"/>
      <c r="E64" s="101"/>
      <c r="F64" s="102"/>
      <c r="G64" s="102"/>
      <c r="H64" s="102"/>
      <c r="I64" s="102"/>
      <c r="J64" s="102"/>
      <c r="K64" s="102"/>
      <c r="L64" s="103" t="str">
        <f aca="false">IF(OR($B64="", $H64="", $I64="", $J64="", $K64=""),"",ROUND((VLOOKUP($H64,Lists!$E$2:$F$5,2,FALSE())*VLOOKUP($I64,Lists!$H$2:$I$4,2,FALSE())*VLOOKUP($J64,Lists!$K$2:$L$4,2,FALSE()))/VLOOKUP($K64,Lists!$N$2:$O$6,2,FALSE()),2))</f>
        <v/>
      </c>
      <c r="M64" s="104" t="str">
        <f aca="false">IF($B64="","",IF($AC64&lt;&gt;"",$AC64,IF($H64="Critical","P0",IF(NOT(ISNUMBER($L64)),"",IF($L64&gt;=Lists!$AM$2,"P0",IF($L64&gt;=Lists!$AM$3,"P1",IF($L64&gt;=Lists!$AM$4,"P2","P3")))))))</f>
        <v/>
      </c>
      <c r="N64" s="102"/>
      <c r="O64" s="101"/>
      <c r="P64" s="102"/>
      <c r="Q64" s="105"/>
      <c r="R64" s="106" t="str">
        <f aca="true">IF($Q64="","", TODAY()-$Q64)</f>
        <v/>
      </c>
      <c r="S64" s="102"/>
      <c r="T64" s="105"/>
      <c r="U64" s="105"/>
      <c r="V64" s="101"/>
      <c r="W64" s="101"/>
      <c r="X64" s="101"/>
      <c r="Y64" s="96"/>
      <c r="Z64" s="96"/>
      <c r="AA64" s="96"/>
      <c r="AC64" s="102"/>
      <c r="AD64" s="107" t="str">
        <f aca="false">IF($B64="","",IF(ISNUMBER($T64),$T64,IF(OR(NOT(ISNUMBER($Q64)),$S64=""),"",IFERROR(IF(ISNUMBER(INDEX(Lists!$AJ$2:$AJ$7,MATCH($S64,Lists!$AI$2:$AI$7,0))),$Q64+INDEX(Lists!$AJ$2:$AJ$7,MATCH($S64,Lists!$AI$2:$AI$7,0)),""),""))))</f>
        <v/>
      </c>
      <c r="AE64" s="104" t="str">
        <f aca="true">IF($B64="","",IF(AND(ISNUMBER($AD64),N($AD64)&lt;TODAY(),$N64&lt;&gt;"Done",$N64&lt;&gt;"Won't Fix",$N64&lt;&gt;"Duplicate"),"Yes","No"))</f>
        <v/>
      </c>
      <c r="AF64" s="101"/>
      <c r="AG64" s="108" t="str">
        <f aca="false">IF($AF64="","",IFERROR(VLOOKUP($AF64,'Application Portfolio'!$A$2:$B$1000,2,FALSE()),"Unknown App ID"))</f>
        <v/>
      </c>
      <c r="AH64" s="108" t="str">
        <f aca="false">IF(OR($B64="",$AF64=""),"",IFERROR(VLOOKUP($AF64,'Application Portfolio'!$A$2:$AB$1000,28,FALSE()),""))</f>
        <v/>
      </c>
    </row>
    <row r="65" customFormat="false" ht="15.75" hidden="false" customHeight="true" outlineLevel="0" collapsed="false">
      <c r="A65" s="100"/>
      <c r="B65" s="101"/>
      <c r="C65" s="101"/>
      <c r="D65" s="101"/>
      <c r="E65" s="101"/>
      <c r="F65" s="102"/>
      <c r="G65" s="102"/>
      <c r="H65" s="102"/>
      <c r="I65" s="102"/>
      <c r="J65" s="102"/>
      <c r="K65" s="102"/>
      <c r="L65" s="103" t="str">
        <f aca="false">IF(OR($B65="", $H65="", $I65="", $J65="", $K65=""),"",ROUND((VLOOKUP($H65,Lists!$E$2:$F$5,2,FALSE())*VLOOKUP($I65,Lists!$H$2:$I$4,2,FALSE())*VLOOKUP($J65,Lists!$K$2:$L$4,2,FALSE()))/VLOOKUP($K65,Lists!$N$2:$O$6,2,FALSE()),2))</f>
        <v/>
      </c>
      <c r="M65" s="104" t="str">
        <f aca="false">IF($B65="","",IF($AC65&lt;&gt;"",$AC65,IF($H65="Critical","P0",IF(NOT(ISNUMBER($L65)),"",IF($L65&gt;=Lists!$AM$2,"P0",IF($L65&gt;=Lists!$AM$3,"P1",IF($L65&gt;=Lists!$AM$4,"P2","P3")))))))</f>
        <v/>
      </c>
      <c r="N65" s="102"/>
      <c r="O65" s="101"/>
      <c r="P65" s="102"/>
      <c r="Q65" s="105"/>
      <c r="R65" s="106" t="str">
        <f aca="true">IF($Q65="","", TODAY()-$Q65)</f>
        <v/>
      </c>
      <c r="S65" s="102"/>
      <c r="T65" s="105"/>
      <c r="U65" s="105"/>
      <c r="V65" s="101"/>
      <c r="W65" s="101"/>
      <c r="X65" s="101"/>
      <c r="Y65" s="96"/>
      <c r="Z65" s="96"/>
      <c r="AA65" s="96"/>
      <c r="AC65" s="102"/>
      <c r="AD65" s="107" t="str">
        <f aca="false">IF($B65="","",IF(ISNUMBER($T65),$T65,IF(OR(NOT(ISNUMBER($Q65)),$S65=""),"",IFERROR(IF(ISNUMBER(INDEX(Lists!$AJ$2:$AJ$7,MATCH($S65,Lists!$AI$2:$AI$7,0))),$Q65+INDEX(Lists!$AJ$2:$AJ$7,MATCH($S65,Lists!$AI$2:$AI$7,0)),""),""))))</f>
        <v/>
      </c>
      <c r="AE65" s="104" t="str">
        <f aca="true">IF($B65="","",IF(AND(ISNUMBER($AD65),N($AD65)&lt;TODAY(),$N65&lt;&gt;"Done",$N65&lt;&gt;"Won't Fix",$N65&lt;&gt;"Duplicate"),"Yes","No"))</f>
        <v/>
      </c>
      <c r="AF65" s="101"/>
      <c r="AG65" s="108" t="str">
        <f aca="false">IF($AF65="","",IFERROR(VLOOKUP($AF65,'Application Portfolio'!$A$2:$B$1000,2,FALSE()),"Unknown App ID"))</f>
        <v/>
      </c>
      <c r="AH65" s="108" t="str">
        <f aca="false">IF(OR($B65="",$AF65=""),"",IFERROR(VLOOKUP($AF65,'Application Portfolio'!$A$2:$AB$1000,28,FALSE()),""))</f>
        <v/>
      </c>
    </row>
    <row r="66" customFormat="false" ht="15.75" hidden="false" customHeight="true" outlineLevel="0" collapsed="false">
      <c r="A66" s="100"/>
      <c r="B66" s="101"/>
      <c r="C66" s="101"/>
      <c r="D66" s="101"/>
      <c r="E66" s="101"/>
      <c r="F66" s="102"/>
      <c r="G66" s="102"/>
      <c r="H66" s="102"/>
      <c r="I66" s="102"/>
      <c r="J66" s="102"/>
      <c r="K66" s="102"/>
      <c r="L66" s="103" t="str">
        <f aca="false">IF(OR($B66="", $H66="", $I66="", $J66="", $K66=""),"",ROUND((VLOOKUP($H66,Lists!$E$2:$F$5,2,FALSE())*VLOOKUP($I66,Lists!$H$2:$I$4,2,FALSE())*VLOOKUP($J66,Lists!$K$2:$L$4,2,FALSE()))/VLOOKUP($K66,Lists!$N$2:$O$6,2,FALSE()),2))</f>
        <v/>
      </c>
      <c r="M66" s="104" t="str">
        <f aca="false">IF($B66="","",IF($AC66&lt;&gt;"",$AC66,IF($H66="Critical","P0",IF(NOT(ISNUMBER($L66)),"",IF($L66&gt;=Lists!$AM$2,"P0",IF($L66&gt;=Lists!$AM$3,"P1",IF($L66&gt;=Lists!$AM$4,"P2","P3")))))))</f>
        <v/>
      </c>
      <c r="N66" s="102"/>
      <c r="O66" s="101"/>
      <c r="P66" s="102"/>
      <c r="Q66" s="105"/>
      <c r="R66" s="106" t="str">
        <f aca="true">IF($Q66="","", TODAY()-$Q66)</f>
        <v/>
      </c>
      <c r="S66" s="102"/>
      <c r="T66" s="105"/>
      <c r="U66" s="105"/>
      <c r="V66" s="101"/>
      <c r="W66" s="101"/>
      <c r="X66" s="101"/>
      <c r="Y66" s="96"/>
      <c r="Z66" s="96"/>
      <c r="AA66" s="96"/>
      <c r="AC66" s="102"/>
      <c r="AD66" s="107" t="str">
        <f aca="false">IF($B66="","",IF(ISNUMBER($T66),$T66,IF(OR(NOT(ISNUMBER($Q66)),$S66=""),"",IFERROR(IF(ISNUMBER(INDEX(Lists!$AJ$2:$AJ$7,MATCH($S66,Lists!$AI$2:$AI$7,0))),$Q66+INDEX(Lists!$AJ$2:$AJ$7,MATCH($S66,Lists!$AI$2:$AI$7,0)),""),""))))</f>
        <v/>
      </c>
      <c r="AE66" s="104" t="str">
        <f aca="true">IF($B66="","",IF(AND(ISNUMBER($AD66),N($AD66)&lt;TODAY(),$N66&lt;&gt;"Done",$N66&lt;&gt;"Won't Fix",$N66&lt;&gt;"Duplicate"),"Yes","No"))</f>
        <v/>
      </c>
      <c r="AF66" s="101"/>
      <c r="AG66" s="108" t="str">
        <f aca="false">IF($AF66="","",IFERROR(VLOOKUP($AF66,'Application Portfolio'!$A$2:$B$1000,2,FALSE()),"Unknown App ID"))</f>
        <v/>
      </c>
      <c r="AH66" s="108" t="str">
        <f aca="false">IF(OR($B66="",$AF66=""),"",IFERROR(VLOOKUP($AF66,'Application Portfolio'!$A$2:$AB$1000,28,FALSE()),""))</f>
        <v/>
      </c>
    </row>
    <row r="67" customFormat="false" ht="15.75" hidden="false" customHeight="true" outlineLevel="0" collapsed="false">
      <c r="A67" s="100"/>
      <c r="B67" s="101"/>
      <c r="C67" s="101"/>
      <c r="D67" s="101"/>
      <c r="E67" s="101"/>
      <c r="F67" s="102"/>
      <c r="G67" s="102"/>
      <c r="H67" s="102"/>
      <c r="I67" s="102"/>
      <c r="J67" s="102"/>
      <c r="K67" s="102"/>
      <c r="L67" s="103" t="str">
        <f aca="false">IF(OR($B67="", $H67="", $I67="", $J67="", $K67=""),"",ROUND((VLOOKUP($H67,Lists!$E$2:$F$5,2,FALSE())*VLOOKUP($I67,Lists!$H$2:$I$4,2,FALSE())*VLOOKUP($J67,Lists!$K$2:$L$4,2,FALSE()))/VLOOKUP($K67,Lists!$N$2:$O$6,2,FALSE()),2))</f>
        <v/>
      </c>
      <c r="M67" s="104" t="str">
        <f aca="false">IF($B67="","",IF($AC67&lt;&gt;"",$AC67,IF($H67="Critical","P0",IF(NOT(ISNUMBER($L67)),"",IF($L67&gt;=Lists!$AM$2,"P0",IF($L67&gt;=Lists!$AM$3,"P1",IF($L67&gt;=Lists!$AM$4,"P2","P3")))))))</f>
        <v/>
      </c>
      <c r="N67" s="102"/>
      <c r="O67" s="101"/>
      <c r="P67" s="102"/>
      <c r="Q67" s="105"/>
      <c r="R67" s="106" t="str">
        <f aca="true">IF($Q67="","", TODAY()-$Q67)</f>
        <v/>
      </c>
      <c r="S67" s="102"/>
      <c r="T67" s="105"/>
      <c r="U67" s="105"/>
      <c r="V67" s="101"/>
      <c r="W67" s="101"/>
      <c r="X67" s="101"/>
      <c r="Y67" s="96"/>
      <c r="Z67" s="96"/>
      <c r="AA67" s="96"/>
      <c r="AC67" s="102"/>
      <c r="AD67" s="107" t="str">
        <f aca="false">IF($B67="","",IF(ISNUMBER($T67),$T67,IF(OR(NOT(ISNUMBER($Q67)),$S67=""),"",IFERROR(IF(ISNUMBER(INDEX(Lists!$AJ$2:$AJ$7,MATCH($S67,Lists!$AI$2:$AI$7,0))),$Q67+INDEX(Lists!$AJ$2:$AJ$7,MATCH($S67,Lists!$AI$2:$AI$7,0)),""),""))))</f>
        <v/>
      </c>
      <c r="AE67" s="104" t="str">
        <f aca="true">IF($B67="","",IF(AND(ISNUMBER($AD67),N($AD67)&lt;TODAY(),$N67&lt;&gt;"Done",$N67&lt;&gt;"Won't Fix",$N67&lt;&gt;"Duplicate"),"Yes","No"))</f>
        <v/>
      </c>
      <c r="AF67" s="101"/>
      <c r="AG67" s="108" t="str">
        <f aca="false">IF($AF67="","",IFERROR(VLOOKUP($AF67,'Application Portfolio'!$A$2:$B$1000,2,FALSE()),"Unknown App ID"))</f>
        <v/>
      </c>
      <c r="AH67" s="108" t="str">
        <f aca="false">IF(OR($B67="",$AF67=""),"",IFERROR(VLOOKUP($AF67,'Application Portfolio'!$A$2:$AB$1000,28,FALSE()),""))</f>
        <v/>
      </c>
    </row>
    <row r="68" customFormat="false" ht="15.75" hidden="false" customHeight="true" outlineLevel="0" collapsed="false">
      <c r="A68" s="100"/>
      <c r="B68" s="101"/>
      <c r="C68" s="101"/>
      <c r="D68" s="101"/>
      <c r="E68" s="101"/>
      <c r="F68" s="102"/>
      <c r="G68" s="102"/>
      <c r="H68" s="102"/>
      <c r="I68" s="102"/>
      <c r="J68" s="102"/>
      <c r="K68" s="102"/>
      <c r="L68" s="103" t="str">
        <f aca="false">IF(OR($B68="", $H68="", $I68="", $J68="", $K68=""),"",ROUND((VLOOKUP($H68,Lists!$E$2:$F$5,2,FALSE())*VLOOKUP($I68,Lists!$H$2:$I$4,2,FALSE())*VLOOKUP($J68,Lists!$K$2:$L$4,2,FALSE()))/VLOOKUP($K68,Lists!$N$2:$O$6,2,FALSE()),2))</f>
        <v/>
      </c>
      <c r="M68" s="104" t="str">
        <f aca="false">IF($B68="","",IF($AC68&lt;&gt;"",$AC68,IF($H68="Critical","P0",IF(NOT(ISNUMBER($L68)),"",IF($L68&gt;=Lists!$AM$2,"P0",IF($L68&gt;=Lists!$AM$3,"P1",IF($L68&gt;=Lists!$AM$4,"P2","P3")))))))</f>
        <v/>
      </c>
      <c r="N68" s="102"/>
      <c r="O68" s="101"/>
      <c r="P68" s="102"/>
      <c r="Q68" s="105"/>
      <c r="R68" s="106" t="str">
        <f aca="true">IF($Q68="","", TODAY()-$Q68)</f>
        <v/>
      </c>
      <c r="S68" s="102"/>
      <c r="T68" s="105"/>
      <c r="U68" s="105"/>
      <c r="V68" s="101"/>
      <c r="W68" s="101"/>
      <c r="X68" s="101"/>
      <c r="Y68" s="96"/>
      <c r="Z68" s="96"/>
      <c r="AA68" s="96"/>
      <c r="AC68" s="102"/>
      <c r="AD68" s="107" t="str">
        <f aca="false">IF($B68="","",IF(ISNUMBER($T68),$T68,IF(OR(NOT(ISNUMBER($Q68)),$S68=""),"",IFERROR(IF(ISNUMBER(INDEX(Lists!$AJ$2:$AJ$7,MATCH($S68,Lists!$AI$2:$AI$7,0))),$Q68+INDEX(Lists!$AJ$2:$AJ$7,MATCH($S68,Lists!$AI$2:$AI$7,0)),""),""))))</f>
        <v/>
      </c>
      <c r="AE68" s="104" t="str">
        <f aca="true">IF($B68="","",IF(AND(ISNUMBER($AD68),N($AD68)&lt;TODAY(),$N68&lt;&gt;"Done",$N68&lt;&gt;"Won't Fix",$N68&lt;&gt;"Duplicate"),"Yes","No"))</f>
        <v/>
      </c>
      <c r="AF68" s="101"/>
      <c r="AG68" s="108" t="str">
        <f aca="false">IF($AF68="","",IFERROR(VLOOKUP($AF68,'Application Portfolio'!$A$2:$B$1000,2,FALSE()),"Unknown App ID"))</f>
        <v/>
      </c>
      <c r="AH68" s="108" t="str">
        <f aca="false">IF(OR($B68="",$AF68=""),"",IFERROR(VLOOKUP($AF68,'Application Portfolio'!$A$2:$AB$1000,28,FALSE()),""))</f>
        <v/>
      </c>
    </row>
    <row r="69" customFormat="false" ht="15.75" hidden="false" customHeight="true" outlineLevel="0" collapsed="false">
      <c r="A69" s="100"/>
      <c r="B69" s="101"/>
      <c r="C69" s="101"/>
      <c r="D69" s="101"/>
      <c r="E69" s="101"/>
      <c r="F69" s="102"/>
      <c r="G69" s="102"/>
      <c r="H69" s="102"/>
      <c r="I69" s="102"/>
      <c r="J69" s="102"/>
      <c r="K69" s="102"/>
      <c r="L69" s="103" t="str">
        <f aca="false">IF(OR($B69="", $H69="", $I69="", $J69="", $K69=""),"",ROUND((VLOOKUP($H69,Lists!$E$2:$F$5,2,FALSE())*VLOOKUP($I69,Lists!$H$2:$I$4,2,FALSE())*VLOOKUP($J69,Lists!$K$2:$L$4,2,FALSE()))/VLOOKUP($K69,Lists!$N$2:$O$6,2,FALSE()),2))</f>
        <v/>
      </c>
      <c r="M69" s="104" t="str">
        <f aca="false">IF($B69="","",IF($AC69&lt;&gt;"",$AC69,IF($H69="Critical","P0",IF(NOT(ISNUMBER($L69)),"",IF($L69&gt;=Lists!$AM$2,"P0",IF($L69&gt;=Lists!$AM$3,"P1",IF($L69&gt;=Lists!$AM$4,"P2","P3")))))))</f>
        <v/>
      </c>
      <c r="N69" s="102"/>
      <c r="O69" s="101"/>
      <c r="P69" s="102"/>
      <c r="Q69" s="105"/>
      <c r="R69" s="106" t="str">
        <f aca="true">IF($Q69="","", TODAY()-$Q69)</f>
        <v/>
      </c>
      <c r="S69" s="102"/>
      <c r="T69" s="105"/>
      <c r="U69" s="105"/>
      <c r="V69" s="101"/>
      <c r="W69" s="101"/>
      <c r="X69" s="101"/>
      <c r="Y69" s="96"/>
      <c r="Z69" s="96"/>
      <c r="AA69" s="96"/>
      <c r="AC69" s="102"/>
      <c r="AD69" s="107" t="str">
        <f aca="false">IF($B69="","",IF(ISNUMBER($T69),$T69,IF(OR(NOT(ISNUMBER($Q69)),$S69=""),"",IFERROR(IF(ISNUMBER(INDEX(Lists!$AJ$2:$AJ$7,MATCH($S69,Lists!$AI$2:$AI$7,0))),$Q69+INDEX(Lists!$AJ$2:$AJ$7,MATCH($S69,Lists!$AI$2:$AI$7,0)),""),""))))</f>
        <v/>
      </c>
      <c r="AE69" s="104" t="str">
        <f aca="true">IF($B69="","",IF(AND(ISNUMBER($AD69),N($AD69)&lt;TODAY(),$N69&lt;&gt;"Done",$N69&lt;&gt;"Won't Fix",$N69&lt;&gt;"Duplicate"),"Yes","No"))</f>
        <v/>
      </c>
      <c r="AF69" s="101"/>
      <c r="AG69" s="108" t="str">
        <f aca="false">IF($AF69="","",IFERROR(VLOOKUP($AF69,'Application Portfolio'!$A$2:$B$1000,2,FALSE()),"Unknown App ID"))</f>
        <v/>
      </c>
      <c r="AH69" s="108" t="str">
        <f aca="false">IF(OR($B69="",$AF69=""),"",IFERROR(VLOOKUP($AF69,'Application Portfolio'!$A$2:$AB$1000,28,FALSE()),""))</f>
        <v/>
      </c>
    </row>
    <row r="70" customFormat="false" ht="15.75" hidden="false" customHeight="true" outlineLevel="0" collapsed="false">
      <c r="A70" s="100"/>
      <c r="B70" s="101"/>
      <c r="C70" s="101"/>
      <c r="D70" s="101"/>
      <c r="E70" s="101"/>
      <c r="F70" s="102"/>
      <c r="G70" s="102"/>
      <c r="H70" s="102"/>
      <c r="I70" s="102"/>
      <c r="J70" s="102"/>
      <c r="K70" s="102"/>
      <c r="L70" s="103" t="str">
        <f aca="false">IF(OR($B70="", $H70="", $I70="", $J70="", $K70=""),"",ROUND((VLOOKUP($H70,Lists!$E$2:$F$5,2,FALSE())*VLOOKUP($I70,Lists!$H$2:$I$4,2,FALSE())*VLOOKUP($J70,Lists!$K$2:$L$4,2,FALSE()))/VLOOKUP($K70,Lists!$N$2:$O$6,2,FALSE()),2))</f>
        <v/>
      </c>
      <c r="M70" s="104" t="str">
        <f aca="false">IF($B70="","",IF($AC70&lt;&gt;"",$AC70,IF($H70="Critical","P0",IF(NOT(ISNUMBER($L70)),"",IF($L70&gt;=Lists!$AM$2,"P0",IF($L70&gt;=Lists!$AM$3,"P1",IF($L70&gt;=Lists!$AM$4,"P2","P3")))))))</f>
        <v/>
      </c>
      <c r="N70" s="102"/>
      <c r="O70" s="101"/>
      <c r="P70" s="102"/>
      <c r="Q70" s="105"/>
      <c r="R70" s="106" t="str">
        <f aca="true">IF($Q70="","", TODAY()-$Q70)</f>
        <v/>
      </c>
      <c r="S70" s="102"/>
      <c r="T70" s="105"/>
      <c r="U70" s="105"/>
      <c r="V70" s="101"/>
      <c r="W70" s="101"/>
      <c r="X70" s="101"/>
      <c r="Y70" s="96"/>
      <c r="Z70" s="96"/>
      <c r="AA70" s="96"/>
      <c r="AC70" s="102"/>
      <c r="AD70" s="107" t="str">
        <f aca="false">IF($B70="","",IF(ISNUMBER($T70),$T70,IF(OR(NOT(ISNUMBER($Q70)),$S70=""),"",IFERROR(IF(ISNUMBER(INDEX(Lists!$AJ$2:$AJ$7,MATCH($S70,Lists!$AI$2:$AI$7,0))),$Q70+INDEX(Lists!$AJ$2:$AJ$7,MATCH($S70,Lists!$AI$2:$AI$7,0)),""),""))))</f>
        <v/>
      </c>
      <c r="AE70" s="104" t="str">
        <f aca="true">IF($B70="","",IF(AND(ISNUMBER($AD70),N($AD70)&lt;TODAY(),$N70&lt;&gt;"Done",$N70&lt;&gt;"Won't Fix",$N70&lt;&gt;"Duplicate"),"Yes","No"))</f>
        <v/>
      </c>
      <c r="AF70" s="101"/>
      <c r="AG70" s="108" t="str">
        <f aca="false">IF($AF70="","",IFERROR(VLOOKUP($AF70,'Application Portfolio'!$A$2:$B$1000,2,FALSE()),"Unknown App ID"))</f>
        <v/>
      </c>
      <c r="AH70" s="108" t="str">
        <f aca="false">IF(OR($B70="",$AF70=""),"",IFERROR(VLOOKUP($AF70,'Application Portfolio'!$A$2:$AB$1000,28,FALSE()),""))</f>
        <v/>
      </c>
    </row>
    <row r="71" customFormat="false" ht="15.75" hidden="false" customHeight="true" outlineLevel="0" collapsed="false">
      <c r="A71" s="100"/>
      <c r="B71" s="101"/>
      <c r="C71" s="101"/>
      <c r="D71" s="101"/>
      <c r="E71" s="101"/>
      <c r="F71" s="102"/>
      <c r="G71" s="102"/>
      <c r="H71" s="102"/>
      <c r="I71" s="102"/>
      <c r="J71" s="102"/>
      <c r="K71" s="102"/>
      <c r="L71" s="103" t="str">
        <f aca="false">IF(OR($B71="", $H71="", $I71="", $J71="", $K71=""),"",ROUND((VLOOKUP($H71,Lists!$E$2:$F$5,2,FALSE())*VLOOKUP($I71,Lists!$H$2:$I$4,2,FALSE())*VLOOKUP($J71,Lists!$K$2:$L$4,2,FALSE()))/VLOOKUP($K71,Lists!$N$2:$O$6,2,FALSE()),2))</f>
        <v/>
      </c>
      <c r="M71" s="104" t="str">
        <f aca="false">IF($B71="","",IF($AC71&lt;&gt;"",$AC71,IF($H71="Critical","P0",IF(NOT(ISNUMBER($L71)),"",IF($L71&gt;=Lists!$AM$2,"P0",IF($L71&gt;=Lists!$AM$3,"P1",IF($L71&gt;=Lists!$AM$4,"P2","P3")))))))</f>
        <v/>
      </c>
      <c r="N71" s="102"/>
      <c r="O71" s="101"/>
      <c r="P71" s="102"/>
      <c r="Q71" s="105"/>
      <c r="R71" s="106" t="str">
        <f aca="true">IF($Q71="","", TODAY()-$Q71)</f>
        <v/>
      </c>
      <c r="S71" s="102"/>
      <c r="T71" s="105"/>
      <c r="U71" s="105"/>
      <c r="V71" s="101"/>
      <c r="W71" s="101"/>
      <c r="X71" s="101"/>
      <c r="Y71" s="96"/>
      <c r="Z71" s="96"/>
      <c r="AA71" s="96"/>
      <c r="AC71" s="102"/>
      <c r="AD71" s="107" t="str">
        <f aca="false">IF($B71="","",IF(ISNUMBER($T71),$T71,IF(OR(NOT(ISNUMBER($Q71)),$S71=""),"",IFERROR(IF(ISNUMBER(INDEX(Lists!$AJ$2:$AJ$7,MATCH($S71,Lists!$AI$2:$AI$7,0))),$Q71+INDEX(Lists!$AJ$2:$AJ$7,MATCH($S71,Lists!$AI$2:$AI$7,0)),""),""))))</f>
        <v/>
      </c>
      <c r="AE71" s="104" t="str">
        <f aca="true">IF($B71="","",IF(AND(ISNUMBER($AD71),N($AD71)&lt;TODAY(),$N71&lt;&gt;"Done",$N71&lt;&gt;"Won't Fix",$N71&lt;&gt;"Duplicate"),"Yes","No"))</f>
        <v/>
      </c>
      <c r="AF71" s="101"/>
      <c r="AG71" s="108" t="str">
        <f aca="false">IF($AF71="","",IFERROR(VLOOKUP($AF71,'Application Portfolio'!$A$2:$B$1000,2,FALSE()),"Unknown App ID"))</f>
        <v/>
      </c>
      <c r="AH71" s="108" t="str">
        <f aca="false">IF(OR($B71="",$AF71=""),"",IFERROR(VLOOKUP($AF71,'Application Portfolio'!$A$2:$AB$1000,28,FALSE()),""))</f>
        <v/>
      </c>
    </row>
    <row r="72" customFormat="false" ht="15.75" hidden="false" customHeight="true" outlineLevel="0" collapsed="false">
      <c r="A72" s="100"/>
      <c r="B72" s="101"/>
      <c r="C72" s="101"/>
      <c r="D72" s="101"/>
      <c r="E72" s="101"/>
      <c r="F72" s="102"/>
      <c r="G72" s="102"/>
      <c r="H72" s="102"/>
      <c r="I72" s="102"/>
      <c r="J72" s="102"/>
      <c r="K72" s="102"/>
      <c r="L72" s="103" t="str">
        <f aca="false">IF(OR($B72="", $H72="", $I72="", $J72="", $K72=""),"",ROUND((VLOOKUP($H72,Lists!$E$2:$F$5,2,FALSE())*VLOOKUP($I72,Lists!$H$2:$I$4,2,FALSE())*VLOOKUP($J72,Lists!$K$2:$L$4,2,FALSE()))/VLOOKUP($K72,Lists!$N$2:$O$6,2,FALSE()),2))</f>
        <v/>
      </c>
      <c r="M72" s="104" t="str">
        <f aca="false">IF($B72="","",IF($AC72&lt;&gt;"",$AC72,IF($H72="Critical","P0",IF(NOT(ISNUMBER($L72)),"",IF($L72&gt;=Lists!$AM$2,"P0",IF($L72&gt;=Lists!$AM$3,"P1",IF($L72&gt;=Lists!$AM$4,"P2","P3")))))))</f>
        <v/>
      </c>
      <c r="N72" s="102"/>
      <c r="O72" s="101"/>
      <c r="P72" s="102"/>
      <c r="Q72" s="105"/>
      <c r="R72" s="106" t="str">
        <f aca="true">IF($Q72="","", TODAY()-$Q72)</f>
        <v/>
      </c>
      <c r="S72" s="102"/>
      <c r="T72" s="105"/>
      <c r="U72" s="105"/>
      <c r="V72" s="101"/>
      <c r="W72" s="101"/>
      <c r="X72" s="101"/>
      <c r="Y72" s="96"/>
      <c r="Z72" s="96"/>
      <c r="AA72" s="96"/>
      <c r="AC72" s="102"/>
      <c r="AD72" s="107" t="str">
        <f aca="false">IF($B72="","",IF(ISNUMBER($T72),$T72,IF(OR(NOT(ISNUMBER($Q72)),$S72=""),"",IFERROR(IF(ISNUMBER(INDEX(Lists!$AJ$2:$AJ$7,MATCH($S72,Lists!$AI$2:$AI$7,0))),$Q72+INDEX(Lists!$AJ$2:$AJ$7,MATCH($S72,Lists!$AI$2:$AI$7,0)),""),""))))</f>
        <v/>
      </c>
      <c r="AE72" s="104" t="str">
        <f aca="true">IF($B72="","",IF(AND(ISNUMBER($AD72),N($AD72)&lt;TODAY(),$N72&lt;&gt;"Done",$N72&lt;&gt;"Won't Fix",$N72&lt;&gt;"Duplicate"),"Yes","No"))</f>
        <v/>
      </c>
      <c r="AF72" s="101"/>
      <c r="AG72" s="108" t="str">
        <f aca="false">IF($AF72="","",IFERROR(VLOOKUP($AF72,'Application Portfolio'!$A$2:$B$1000,2,FALSE()),"Unknown App ID"))</f>
        <v/>
      </c>
      <c r="AH72" s="108" t="str">
        <f aca="false">IF(OR($B72="",$AF72=""),"",IFERROR(VLOOKUP($AF72,'Application Portfolio'!$A$2:$AB$1000,28,FALSE()),""))</f>
        <v/>
      </c>
    </row>
    <row r="73" customFormat="false" ht="15.75" hidden="false" customHeight="true" outlineLevel="0" collapsed="false">
      <c r="A73" s="100"/>
      <c r="B73" s="101"/>
      <c r="C73" s="101"/>
      <c r="D73" s="101"/>
      <c r="E73" s="101"/>
      <c r="F73" s="102"/>
      <c r="G73" s="102"/>
      <c r="H73" s="102"/>
      <c r="I73" s="102"/>
      <c r="J73" s="102"/>
      <c r="K73" s="102"/>
      <c r="L73" s="103" t="str">
        <f aca="false">IF(OR($B73="", $H73="", $I73="", $J73="", $K73=""),"",ROUND((VLOOKUP($H73,Lists!$E$2:$F$5,2,FALSE())*VLOOKUP($I73,Lists!$H$2:$I$4,2,FALSE())*VLOOKUP($J73,Lists!$K$2:$L$4,2,FALSE()))/VLOOKUP($K73,Lists!$N$2:$O$6,2,FALSE()),2))</f>
        <v/>
      </c>
      <c r="M73" s="104" t="str">
        <f aca="false">IF($B73="","",IF($AC73&lt;&gt;"",$AC73,IF($H73="Critical","P0",IF(NOT(ISNUMBER($L73)),"",IF($L73&gt;=Lists!$AM$2,"P0",IF($L73&gt;=Lists!$AM$3,"P1",IF($L73&gt;=Lists!$AM$4,"P2","P3")))))))</f>
        <v/>
      </c>
      <c r="N73" s="102"/>
      <c r="O73" s="101"/>
      <c r="P73" s="102"/>
      <c r="Q73" s="105"/>
      <c r="R73" s="106" t="str">
        <f aca="true">IF($Q73="","", TODAY()-$Q73)</f>
        <v/>
      </c>
      <c r="S73" s="102"/>
      <c r="T73" s="105"/>
      <c r="U73" s="105"/>
      <c r="V73" s="101"/>
      <c r="W73" s="101"/>
      <c r="X73" s="101"/>
      <c r="Y73" s="96"/>
      <c r="Z73" s="96"/>
      <c r="AA73" s="96"/>
      <c r="AC73" s="102"/>
      <c r="AD73" s="107" t="str">
        <f aca="false">IF($B73="","",IF(ISNUMBER($T73),$T73,IF(OR(NOT(ISNUMBER($Q73)),$S73=""),"",IFERROR(IF(ISNUMBER(INDEX(Lists!$AJ$2:$AJ$7,MATCH($S73,Lists!$AI$2:$AI$7,0))),$Q73+INDEX(Lists!$AJ$2:$AJ$7,MATCH($S73,Lists!$AI$2:$AI$7,0)),""),""))))</f>
        <v/>
      </c>
      <c r="AE73" s="104" t="str">
        <f aca="true">IF($B73="","",IF(AND(ISNUMBER($AD73),N($AD73)&lt;TODAY(),$N73&lt;&gt;"Done",$N73&lt;&gt;"Won't Fix",$N73&lt;&gt;"Duplicate"),"Yes","No"))</f>
        <v/>
      </c>
      <c r="AF73" s="101"/>
      <c r="AG73" s="108" t="str">
        <f aca="false">IF($AF73="","",IFERROR(VLOOKUP($AF73,'Application Portfolio'!$A$2:$B$1000,2,FALSE()),"Unknown App ID"))</f>
        <v/>
      </c>
      <c r="AH73" s="108" t="str">
        <f aca="false">IF(OR($B73="",$AF73=""),"",IFERROR(VLOOKUP($AF73,'Application Portfolio'!$A$2:$AB$1000,28,FALSE()),""))</f>
        <v/>
      </c>
    </row>
    <row r="74" customFormat="false" ht="15.75" hidden="false" customHeight="true" outlineLevel="0" collapsed="false">
      <c r="A74" s="100"/>
      <c r="B74" s="101"/>
      <c r="C74" s="101"/>
      <c r="D74" s="101"/>
      <c r="E74" s="101"/>
      <c r="F74" s="102"/>
      <c r="G74" s="102"/>
      <c r="H74" s="102"/>
      <c r="I74" s="102"/>
      <c r="J74" s="102"/>
      <c r="K74" s="102"/>
      <c r="L74" s="103" t="str">
        <f aca="false">IF(OR($B74="", $H74="", $I74="", $J74="", $K74=""),"",ROUND((VLOOKUP($H74,Lists!$E$2:$F$5,2,FALSE())*VLOOKUP($I74,Lists!$H$2:$I$4,2,FALSE())*VLOOKUP($J74,Lists!$K$2:$L$4,2,FALSE()))/VLOOKUP($K74,Lists!$N$2:$O$6,2,FALSE()),2))</f>
        <v/>
      </c>
      <c r="M74" s="104" t="str">
        <f aca="false">IF($B74="","",IF($AC74&lt;&gt;"",$AC74,IF($H74="Critical","P0",IF(NOT(ISNUMBER($L74)),"",IF($L74&gt;=Lists!$AM$2,"P0",IF($L74&gt;=Lists!$AM$3,"P1",IF($L74&gt;=Lists!$AM$4,"P2","P3")))))))</f>
        <v/>
      </c>
      <c r="N74" s="102"/>
      <c r="O74" s="101"/>
      <c r="P74" s="102"/>
      <c r="Q74" s="105"/>
      <c r="R74" s="106" t="str">
        <f aca="true">IF($Q74="","", TODAY()-$Q74)</f>
        <v/>
      </c>
      <c r="S74" s="102"/>
      <c r="T74" s="105"/>
      <c r="U74" s="105"/>
      <c r="V74" s="101"/>
      <c r="W74" s="101"/>
      <c r="X74" s="101"/>
      <c r="Y74" s="96"/>
      <c r="Z74" s="96"/>
      <c r="AA74" s="96"/>
      <c r="AC74" s="102"/>
      <c r="AD74" s="107" t="str">
        <f aca="false">IF($B74="","",IF(ISNUMBER($T74),$T74,IF(OR(NOT(ISNUMBER($Q74)),$S74=""),"",IFERROR(IF(ISNUMBER(INDEX(Lists!$AJ$2:$AJ$7,MATCH($S74,Lists!$AI$2:$AI$7,0))),$Q74+INDEX(Lists!$AJ$2:$AJ$7,MATCH($S74,Lists!$AI$2:$AI$7,0)),""),""))))</f>
        <v/>
      </c>
      <c r="AE74" s="104" t="str">
        <f aca="true">IF($B74="","",IF(AND(ISNUMBER($AD74),N($AD74)&lt;TODAY(),$N74&lt;&gt;"Done",$N74&lt;&gt;"Won't Fix",$N74&lt;&gt;"Duplicate"),"Yes","No"))</f>
        <v/>
      </c>
      <c r="AF74" s="101"/>
      <c r="AG74" s="108" t="str">
        <f aca="false">IF($AF74="","",IFERROR(VLOOKUP($AF74,'Application Portfolio'!$A$2:$B$1000,2,FALSE()),"Unknown App ID"))</f>
        <v/>
      </c>
      <c r="AH74" s="108" t="str">
        <f aca="false">IF(OR($B74="",$AF74=""),"",IFERROR(VLOOKUP($AF74,'Application Portfolio'!$A$2:$AB$1000,28,FALSE()),""))</f>
        <v/>
      </c>
    </row>
    <row r="75" customFormat="false" ht="15.75" hidden="false" customHeight="true" outlineLevel="0" collapsed="false">
      <c r="A75" s="100"/>
      <c r="B75" s="101"/>
      <c r="C75" s="101"/>
      <c r="D75" s="101"/>
      <c r="E75" s="101"/>
      <c r="F75" s="102"/>
      <c r="G75" s="102"/>
      <c r="H75" s="102"/>
      <c r="I75" s="102"/>
      <c r="J75" s="102"/>
      <c r="K75" s="102"/>
      <c r="L75" s="103" t="str">
        <f aca="false">IF(OR($B75="", $H75="", $I75="", $J75="", $K75=""),"",ROUND((VLOOKUP($H75,Lists!$E$2:$F$5,2,FALSE())*VLOOKUP($I75,Lists!$H$2:$I$4,2,FALSE())*VLOOKUP($J75,Lists!$K$2:$L$4,2,FALSE()))/VLOOKUP($K75,Lists!$N$2:$O$6,2,FALSE()),2))</f>
        <v/>
      </c>
      <c r="M75" s="104" t="str">
        <f aca="false">IF($B75="","",IF($AC75&lt;&gt;"",$AC75,IF($H75="Critical","P0",IF(NOT(ISNUMBER($L75)),"",IF($L75&gt;=Lists!$AM$2,"P0",IF($L75&gt;=Lists!$AM$3,"P1",IF($L75&gt;=Lists!$AM$4,"P2","P3")))))))</f>
        <v/>
      </c>
      <c r="N75" s="102"/>
      <c r="O75" s="101"/>
      <c r="P75" s="102"/>
      <c r="Q75" s="105"/>
      <c r="R75" s="106" t="str">
        <f aca="true">IF($Q75="","", TODAY()-$Q75)</f>
        <v/>
      </c>
      <c r="S75" s="102"/>
      <c r="T75" s="105"/>
      <c r="U75" s="105"/>
      <c r="V75" s="101"/>
      <c r="W75" s="101"/>
      <c r="X75" s="101"/>
      <c r="Y75" s="96"/>
      <c r="Z75" s="96"/>
      <c r="AA75" s="96"/>
      <c r="AC75" s="102"/>
      <c r="AD75" s="107" t="str">
        <f aca="false">IF($B75="","",IF(ISNUMBER($T75),$T75,IF(OR(NOT(ISNUMBER($Q75)),$S75=""),"",IFERROR(IF(ISNUMBER(INDEX(Lists!$AJ$2:$AJ$7,MATCH($S75,Lists!$AI$2:$AI$7,0))),$Q75+INDEX(Lists!$AJ$2:$AJ$7,MATCH($S75,Lists!$AI$2:$AI$7,0)),""),""))))</f>
        <v/>
      </c>
      <c r="AE75" s="104" t="str">
        <f aca="true">IF($B75="","",IF(AND(ISNUMBER($AD75),N($AD75)&lt;TODAY(),$N75&lt;&gt;"Done",$N75&lt;&gt;"Won't Fix",$N75&lt;&gt;"Duplicate"),"Yes","No"))</f>
        <v/>
      </c>
      <c r="AF75" s="101"/>
      <c r="AG75" s="108" t="str">
        <f aca="false">IF($AF75="","",IFERROR(VLOOKUP($AF75,'Application Portfolio'!$A$2:$B$1000,2,FALSE()),"Unknown App ID"))</f>
        <v/>
      </c>
      <c r="AH75" s="108" t="str">
        <f aca="false">IF(OR($B75="",$AF75=""),"",IFERROR(VLOOKUP($AF75,'Application Portfolio'!$A$2:$AB$1000,28,FALSE()),""))</f>
        <v/>
      </c>
    </row>
    <row r="76" customFormat="false" ht="15.75" hidden="false" customHeight="true" outlineLevel="0" collapsed="false">
      <c r="A76" s="100"/>
      <c r="B76" s="101"/>
      <c r="C76" s="101"/>
      <c r="D76" s="101"/>
      <c r="E76" s="101"/>
      <c r="F76" s="102"/>
      <c r="G76" s="102"/>
      <c r="H76" s="102"/>
      <c r="I76" s="102"/>
      <c r="J76" s="102"/>
      <c r="K76" s="102"/>
      <c r="L76" s="103" t="str">
        <f aca="false">IF(OR($B76="", $H76="", $I76="", $J76="", $K76=""),"",ROUND((VLOOKUP($H76,Lists!$E$2:$F$5,2,FALSE())*VLOOKUP($I76,Lists!$H$2:$I$4,2,FALSE())*VLOOKUP($J76,Lists!$K$2:$L$4,2,FALSE()))/VLOOKUP($K76,Lists!$N$2:$O$6,2,FALSE()),2))</f>
        <v/>
      </c>
      <c r="M76" s="104" t="str">
        <f aca="false">IF($B76="","",IF($AC76&lt;&gt;"",$AC76,IF($H76="Critical","P0",IF(NOT(ISNUMBER($L76)),"",IF($L76&gt;=Lists!$AM$2,"P0",IF($L76&gt;=Lists!$AM$3,"P1",IF($L76&gt;=Lists!$AM$4,"P2","P3")))))))</f>
        <v/>
      </c>
      <c r="N76" s="102"/>
      <c r="O76" s="101"/>
      <c r="P76" s="102"/>
      <c r="Q76" s="105"/>
      <c r="R76" s="106" t="str">
        <f aca="true">IF($Q76="","", TODAY()-$Q76)</f>
        <v/>
      </c>
      <c r="S76" s="102"/>
      <c r="T76" s="105"/>
      <c r="U76" s="105"/>
      <c r="V76" s="101"/>
      <c r="W76" s="101"/>
      <c r="X76" s="101"/>
      <c r="Y76" s="96"/>
      <c r="Z76" s="96"/>
      <c r="AA76" s="96"/>
      <c r="AC76" s="102"/>
      <c r="AD76" s="107" t="str">
        <f aca="false">IF($B76="","",IF(ISNUMBER($T76),$T76,IF(OR(NOT(ISNUMBER($Q76)),$S76=""),"",IFERROR(IF(ISNUMBER(INDEX(Lists!$AJ$2:$AJ$7,MATCH($S76,Lists!$AI$2:$AI$7,0))),$Q76+INDEX(Lists!$AJ$2:$AJ$7,MATCH($S76,Lists!$AI$2:$AI$7,0)),""),""))))</f>
        <v/>
      </c>
      <c r="AE76" s="104" t="str">
        <f aca="true">IF($B76="","",IF(AND(ISNUMBER($AD76),N($AD76)&lt;TODAY(),$N76&lt;&gt;"Done",$N76&lt;&gt;"Won't Fix",$N76&lt;&gt;"Duplicate"),"Yes","No"))</f>
        <v/>
      </c>
      <c r="AF76" s="101"/>
      <c r="AG76" s="108" t="str">
        <f aca="false">IF($AF76="","",IFERROR(VLOOKUP($AF76,'Application Portfolio'!$A$2:$B$1000,2,FALSE()),"Unknown App ID"))</f>
        <v/>
      </c>
      <c r="AH76" s="108" t="str">
        <f aca="false">IF(OR($B76="",$AF76=""),"",IFERROR(VLOOKUP($AF76,'Application Portfolio'!$A$2:$AB$1000,28,FALSE()),""))</f>
        <v/>
      </c>
    </row>
    <row r="77" customFormat="false" ht="15.75" hidden="false" customHeight="true" outlineLevel="0" collapsed="false">
      <c r="A77" s="100"/>
      <c r="B77" s="101"/>
      <c r="C77" s="101"/>
      <c r="D77" s="101"/>
      <c r="E77" s="101"/>
      <c r="F77" s="102"/>
      <c r="G77" s="102"/>
      <c r="H77" s="102"/>
      <c r="I77" s="102"/>
      <c r="J77" s="102"/>
      <c r="K77" s="102"/>
      <c r="L77" s="103" t="str">
        <f aca="false">IF(OR($B77="", $H77="", $I77="", $J77="", $K77=""),"",ROUND((VLOOKUP($H77,Lists!$E$2:$F$5,2,FALSE())*VLOOKUP($I77,Lists!$H$2:$I$4,2,FALSE())*VLOOKUP($J77,Lists!$K$2:$L$4,2,FALSE()))/VLOOKUP($K77,Lists!$N$2:$O$6,2,FALSE()),2))</f>
        <v/>
      </c>
      <c r="M77" s="104" t="str">
        <f aca="false">IF($B77="","",IF($AC77&lt;&gt;"",$AC77,IF($H77="Critical","P0",IF(NOT(ISNUMBER($L77)),"",IF($L77&gt;=Lists!$AM$2,"P0",IF($L77&gt;=Lists!$AM$3,"P1",IF($L77&gt;=Lists!$AM$4,"P2","P3")))))))</f>
        <v/>
      </c>
      <c r="N77" s="102"/>
      <c r="O77" s="101"/>
      <c r="P77" s="102"/>
      <c r="Q77" s="105"/>
      <c r="R77" s="106" t="str">
        <f aca="true">IF($Q77="","", TODAY()-$Q77)</f>
        <v/>
      </c>
      <c r="S77" s="102"/>
      <c r="T77" s="105"/>
      <c r="U77" s="105"/>
      <c r="V77" s="101"/>
      <c r="W77" s="101"/>
      <c r="X77" s="101"/>
      <c r="Y77" s="96"/>
      <c r="Z77" s="96"/>
      <c r="AA77" s="96"/>
      <c r="AC77" s="102"/>
      <c r="AD77" s="107" t="str">
        <f aca="false">IF($B77="","",IF(ISNUMBER($T77),$T77,IF(OR(NOT(ISNUMBER($Q77)),$S77=""),"",IFERROR(IF(ISNUMBER(INDEX(Lists!$AJ$2:$AJ$7,MATCH($S77,Lists!$AI$2:$AI$7,0))),$Q77+INDEX(Lists!$AJ$2:$AJ$7,MATCH($S77,Lists!$AI$2:$AI$7,0)),""),""))))</f>
        <v/>
      </c>
      <c r="AE77" s="104" t="str">
        <f aca="true">IF($B77="","",IF(AND(ISNUMBER($AD77),N($AD77)&lt;TODAY(),$N77&lt;&gt;"Done",$N77&lt;&gt;"Won't Fix",$N77&lt;&gt;"Duplicate"),"Yes","No"))</f>
        <v/>
      </c>
      <c r="AF77" s="101"/>
      <c r="AG77" s="108" t="str">
        <f aca="false">IF($AF77="","",IFERROR(VLOOKUP($AF77,'Application Portfolio'!$A$2:$B$1000,2,FALSE()),"Unknown App ID"))</f>
        <v/>
      </c>
      <c r="AH77" s="108" t="str">
        <f aca="false">IF(OR($B77="",$AF77=""),"",IFERROR(VLOOKUP($AF77,'Application Portfolio'!$A$2:$AB$1000,28,FALSE()),""))</f>
        <v/>
      </c>
    </row>
    <row r="78" customFormat="false" ht="15.75" hidden="false" customHeight="true" outlineLevel="0" collapsed="false">
      <c r="A78" s="100"/>
      <c r="B78" s="101"/>
      <c r="C78" s="101"/>
      <c r="D78" s="101"/>
      <c r="E78" s="101"/>
      <c r="F78" s="102"/>
      <c r="G78" s="102"/>
      <c r="H78" s="102"/>
      <c r="I78" s="102"/>
      <c r="J78" s="102"/>
      <c r="K78" s="102"/>
      <c r="L78" s="103" t="str">
        <f aca="false">IF(OR($B78="", $H78="", $I78="", $J78="", $K78=""),"",ROUND((VLOOKUP($H78,Lists!$E$2:$F$5,2,FALSE())*VLOOKUP($I78,Lists!$H$2:$I$4,2,FALSE())*VLOOKUP($J78,Lists!$K$2:$L$4,2,FALSE()))/VLOOKUP($K78,Lists!$N$2:$O$6,2,FALSE()),2))</f>
        <v/>
      </c>
      <c r="M78" s="104" t="str">
        <f aca="false">IF($B78="","",IF($AC78&lt;&gt;"",$AC78,IF($H78="Critical","P0",IF(NOT(ISNUMBER($L78)),"",IF($L78&gt;=Lists!$AM$2,"P0",IF($L78&gt;=Lists!$AM$3,"P1",IF($L78&gt;=Lists!$AM$4,"P2","P3")))))))</f>
        <v/>
      </c>
      <c r="N78" s="102"/>
      <c r="O78" s="101"/>
      <c r="P78" s="102"/>
      <c r="Q78" s="105"/>
      <c r="R78" s="106" t="str">
        <f aca="true">IF($Q78="","", TODAY()-$Q78)</f>
        <v/>
      </c>
      <c r="S78" s="102"/>
      <c r="T78" s="105"/>
      <c r="U78" s="105"/>
      <c r="V78" s="101"/>
      <c r="W78" s="101"/>
      <c r="X78" s="101"/>
      <c r="Y78" s="96"/>
      <c r="Z78" s="96"/>
      <c r="AA78" s="96"/>
      <c r="AC78" s="102"/>
      <c r="AD78" s="107" t="str">
        <f aca="false">IF($B78="","",IF(ISNUMBER($T78),$T78,IF(OR(NOT(ISNUMBER($Q78)),$S78=""),"",IFERROR(IF(ISNUMBER(INDEX(Lists!$AJ$2:$AJ$7,MATCH($S78,Lists!$AI$2:$AI$7,0))),$Q78+INDEX(Lists!$AJ$2:$AJ$7,MATCH($S78,Lists!$AI$2:$AI$7,0)),""),""))))</f>
        <v/>
      </c>
      <c r="AE78" s="104" t="str">
        <f aca="true">IF($B78="","",IF(AND(ISNUMBER($AD78),N($AD78)&lt;TODAY(),$N78&lt;&gt;"Done",$N78&lt;&gt;"Won't Fix",$N78&lt;&gt;"Duplicate"),"Yes","No"))</f>
        <v/>
      </c>
      <c r="AF78" s="101"/>
      <c r="AG78" s="108" t="str">
        <f aca="false">IF($AF78="","",IFERROR(VLOOKUP($AF78,'Application Portfolio'!$A$2:$B$1000,2,FALSE()),"Unknown App ID"))</f>
        <v/>
      </c>
      <c r="AH78" s="108" t="str">
        <f aca="false">IF(OR($B78="",$AF78=""),"",IFERROR(VLOOKUP($AF78,'Application Portfolio'!$A$2:$AB$1000,28,FALSE()),""))</f>
        <v/>
      </c>
    </row>
    <row r="79" customFormat="false" ht="15.75" hidden="false" customHeight="true" outlineLevel="0" collapsed="false">
      <c r="A79" s="100"/>
      <c r="B79" s="101"/>
      <c r="C79" s="101"/>
      <c r="D79" s="101"/>
      <c r="E79" s="101"/>
      <c r="F79" s="102"/>
      <c r="G79" s="102"/>
      <c r="H79" s="102"/>
      <c r="I79" s="102"/>
      <c r="J79" s="102"/>
      <c r="K79" s="102"/>
      <c r="L79" s="103" t="str">
        <f aca="false">IF(OR($B79="", $H79="", $I79="", $J79="", $K79=""),"",ROUND((VLOOKUP($H79,Lists!$E$2:$F$5,2,FALSE())*VLOOKUP($I79,Lists!$H$2:$I$4,2,FALSE())*VLOOKUP($J79,Lists!$K$2:$L$4,2,FALSE()))/VLOOKUP($K79,Lists!$N$2:$O$6,2,FALSE()),2))</f>
        <v/>
      </c>
      <c r="M79" s="104" t="str">
        <f aca="false">IF($B79="","",IF($AC79&lt;&gt;"",$AC79,IF($H79="Critical","P0",IF(NOT(ISNUMBER($L79)),"",IF($L79&gt;=Lists!$AM$2,"P0",IF($L79&gt;=Lists!$AM$3,"P1",IF($L79&gt;=Lists!$AM$4,"P2","P3")))))))</f>
        <v/>
      </c>
      <c r="N79" s="102"/>
      <c r="O79" s="101"/>
      <c r="P79" s="102"/>
      <c r="Q79" s="105"/>
      <c r="R79" s="106" t="str">
        <f aca="true">IF($Q79="","", TODAY()-$Q79)</f>
        <v/>
      </c>
      <c r="S79" s="102"/>
      <c r="T79" s="105"/>
      <c r="U79" s="105"/>
      <c r="V79" s="101"/>
      <c r="W79" s="101"/>
      <c r="X79" s="101"/>
      <c r="Y79" s="96"/>
      <c r="Z79" s="96"/>
      <c r="AA79" s="96"/>
      <c r="AC79" s="102"/>
      <c r="AD79" s="107" t="str">
        <f aca="false">IF($B79="","",IF(ISNUMBER($T79),$T79,IF(OR(NOT(ISNUMBER($Q79)),$S79=""),"",IFERROR(IF(ISNUMBER(INDEX(Lists!$AJ$2:$AJ$7,MATCH($S79,Lists!$AI$2:$AI$7,0))),$Q79+INDEX(Lists!$AJ$2:$AJ$7,MATCH($S79,Lists!$AI$2:$AI$7,0)),""),""))))</f>
        <v/>
      </c>
      <c r="AE79" s="104" t="str">
        <f aca="true">IF($B79="","",IF(AND(ISNUMBER($AD79),N($AD79)&lt;TODAY(),$N79&lt;&gt;"Done",$N79&lt;&gt;"Won't Fix",$N79&lt;&gt;"Duplicate"),"Yes","No"))</f>
        <v/>
      </c>
      <c r="AF79" s="101"/>
      <c r="AG79" s="108" t="str">
        <f aca="false">IF($AF79="","",IFERROR(VLOOKUP($AF79,'Application Portfolio'!$A$2:$B$1000,2,FALSE()),"Unknown App ID"))</f>
        <v/>
      </c>
      <c r="AH79" s="108" t="str">
        <f aca="false">IF(OR($B79="",$AF79=""),"",IFERROR(VLOOKUP($AF79,'Application Portfolio'!$A$2:$AB$1000,28,FALSE()),""))</f>
        <v/>
      </c>
    </row>
    <row r="80" customFormat="false" ht="15.75" hidden="false" customHeight="true" outlineLevel="0" collapsed="false">
      <c r="A80" s="100"/>
      <c r="B80" s="101"/>
      <c r="C80" s="101"/>
      <c r="D80" s="101"/>
      <c r="E80" s="101"/>
      <c r="F80" s="102"/>
      <c r="G80" s="102"/>
      <c r="H80" s="102"/>
      <c r="I80" s="102"/>
      <c r="J80" s="102"/>
      <c r="K80" s="102"/>
      <c r="L80" s="103" t="str">
        <f aca="false">IF(OR($B80="", $H80="", $I80="", $J80="", $K80=""),"",ROUND((VLOOKUP($H80,Lists!$E$2:$F$5,2,FALSE())*VLOOKUP($I80,Lists!$H$2:$I$4,2,FALSE())*VLOOKUP($J80,Lists!$K$2:$L$4,2,FALSE()))/VLOOKUP($K80,Lists!$N$2:$O$6,2,FALSE()),2))</f>
        <v/>
      </c>
      <c r="M80" s="104" t="str">
        <f aca="false">IF($B80="","",IF($AC80&lt;&gt;"",$AC80,IF($H80="Critical","P0",IF(NOT(ISNUMBER($L80)),"",IF($L80&gt;=Lists!$AM$2,"P0",IF($L80&gt;=Lists!$AM$3,"P1",IF($L80&gt;=Lists!$AM$4,"P2","P3")))))))</f>
        <v/>
      </c>
      <c r="N80" s="102"/>
      <c r="O80" s="101"/>
      <c r="P80" s="102"/>
      <c r="Q80" s="105"/>
      <c r="R80" s="106" t="str">
        <f aca="true">IF($Q80="","", TODAY()-$Q80)</f>
        <v/>
      </c>
      <c r="S80" s="102"/>
      <c r="T80" s="105"/>
      <c r="U80" s="105"/>
      <c r="V80" s="101"/>
      <c r="W80" s="101"/>
      <c r="X80" s="101"/>
      <c r="Y80" s="96"/>
      <c r="Z80" s="96"/>
      <c r="AA80" s="96"/>
      <c r="AC80" s="102"/>
      <c r="AD80" s="107" t="str">
        <f aca="false">IF($B80="","",IF(ISNUMBER($T80),$T80,IF(OR(NOT(ISNUMBER($Q80)),$S80=""),"",IFERROR(IF(ISNUMBER(INDEX(Lists!$AJ$2:$AJ$7,MATCH($S80,Lists!$AI$2:$AI$7,0))),$Q80+INDEX(Lists!$AJ$2:$AJ$7,MATCH($S80,Lists!$AI$2:$AI$7,0)),""),""))))</f>
        <v/>
      </c>
      <c r="AE80" s="104" t="str">
        <f aca="true">IF($B80="","",IF(AND(ISNUMBER($AD80),N($AD80)&lt;TODAY(),$N80&lt;&gt;"Done",$N80&lt;&gt;"Won't Fix",$N80&lt;&gt;"Duplicate"),"Yes","No"))</f>
        <v/>
      </c>
      <c r="AF80" s="101"/>
      <c r="AG80" s="108" t="str">
        <f aca="false">IF($AF80="","",IFERROR(VLOOKUP($AF80,'Application Portfolio'!$A$2:$B$1000,2,FALSE()),"Unknown App ID"))</f>
        <v/>
      </c>
      <c r="AH80" s="108" t="str">
        <f aca="false">IF(OR($B80="",$AF80=""),"",IFERROR(VLOOKUP($AF80,'Application Portfolio'!$A$2:$AB$1000,28,FALSE()),""))</f>
        <v/>
      </c>
    </row>
    <row r="81" customFormat="false" ht="15.75" hidden="false" customHeight="true" outlineLevel="0" collapsed="false">
      <c r="A81" s="100"/>
      <c r="B81" s="101"/>
      <c r="C81" s="101"/>
      <c r="D81" s="101"/>
      <c r="E81" s="101"/>
      <c r="F81" s="102"/>
      <c r="G81" s="102"/>
      <c r="H81" s="102"/>
      <c r="I81" s="102"/>
      <c r="J81" s="102"/>
      <c r="K81" s="102"/>
      <c r="L81" s="103" t="str">
        <f aca="false">IF(OR($B81="", $H81="", $I81="", $J81="", $K81=""),"",ROUND((VLOOKUP($H81,Lists!$E$2:$F$5,2,FALSE())*VLOOKUP($I81,Lists!$H$2:$I$4,2,FALSE())*VLOOKUP($J81,Lists!$K$2:$L$4,2,FALSE()))/VLOOKUP($K81,Lists!$N$2:$O$6,2,FALSE()),2))</f>
        <v/>
      </c>
      <c r="M81" s="104" t="str">
        <f aca="false">IF($B81="","",IF($AC81&lt;&gt;"",$AC81,IF($H81="Critical","P0",IF(NOT(ISNUMBER($L81)),"",IF($L81&gt;=Lists!$AM$2,"P0",IF($L81&gt;=Lists!$AM$3,"P1",IF($L81&gt;=Lists!$AM$4,"P2","P3")))))))</f>
        <v/>
      </c>
      <c r="N81" s="102"/>
      <c r="O81" s="101"/>
      <c r="P81" s="102"/>
      <c r="Q81" s="105"/>
      <c r="R81" s="106" t="str">
        <f aca="true">IF($Q81="","", TODAY()-$Q81)</f>
        <v/>
      </c>
      <c r="S81" s="102"/>
      <c r="T81" s="105"/>
      <c r="U81" s="105"/>
      <c r="V81" s="101"/>
      <c r="W81" s="101"/>
      <c r="X81" s="101"/>
      <c r="Y81" s="96"/>
      <c r="Z81" s="96"/>
      <c r="AA81" s="96"/>
      <c r="AC81" s="102"/>
      <c r="AD81" s="107" t="str">
        <f aca="false">IF($B81="","",IF(ISNUMBER($T81),$T81,IF(OR(NOT(ISNUMBER($Q81)),$S81=""),"",IFERROR(IF(ISNUMBER(INDEX(Lists!$AJ$2:$AJ$7,MATCH($S81,Lists!$AI$2:$AI$7,0))),$Q81+INDEX(Lists!$AJ$2:$AJ$7,MATCH($S81,Lists!$AI$2:$AI$7,0)),""),""))))</f>
        <v/>
      </c>
      <c r="AE81" s="104" t="str">
        <f aca="true">IF($B81="","",IF(AND(ISNUMBER($AD81),N($AD81)&lt;TODAY(),$N81&lt;&gt;"Done",$N81&lt;&gt;"Won't Fix",$N81&lt;&gt;"Duplicate"),"Yes","No"))</f>
        <v/>
      </c>
      <c r="AF81" s="101"/>
      <c r="AG81" s="108" t="str">
        <f aca="false">IF($AF81="","",IFERROR(VLOOKUP($AF81,'Application Portfolio'!$A$2:$B$1000,2,FALSE()),"Unknown App ID"))</f>
        <v/>
      </c>
      <c r="AH81" s="108" t="str">
        <f aca="false">IF(OR($B81="",$AF81=""),"",IFERROR(VLOOKUP($AF81,'Application Portfolio'!$A$2:$AB$1000,28,FALSE()),""))</f>
        <v/>
      </c>
    </row>
    <row r="82" customFormat="false" ht="15.75" hidden="false" customHeight="true" outlineLevel="0" collapsed="false">
      <c r="A82" s="100"/>
      <c r="B82" s="101"/>
      <c r="C82" s="101"/>
      <c r="D82" s="101"/>
      <c r="E82" s="101"/>
      <c r="F82" s="102"/>
      <c r="G82" s="102"/>
      <c r="H82" s="102"/>
      <c r="I82" s="102"/>
      <c r="J82" s="102"/>
      <c r="K82" s="102"/>
      <c r="L82" s="103" t="str">
        <f aca="false">IF(OR($B82="", $H82="", $I82="", $J82="", $K82=""),"",ROUND((VLOOKUP($H82,Lists!$E$2:$F$5,2,FALSE())*VLOOKUP($I82,Lists!$H$2:$I$4,2,FALSE())*VLOOKUP($J82,Lists!$K$2:$L$4,2,FALSE()))/VLOOKUP($K82,Lists!$N$2:$O$6,2,FALSE()),2))</f>
        <v/>
      </c>
      <c r="M82" s="104" t="str">
        <f aca="false">IF($B82="","",IF($AC82&lt;&gt;"",$AC82,IF($H82="Critical","P0",IF(NOT(ISNUMBER($L82)),"",IF($L82&gt;=Lists!$AM$2,"P0",IF($L82&gt;=Lists!$AM$3,"P1",IF($L82&gt;=Lists!$AM$4,"P2","P3")))))))</f>
        <v/>
      </c>
      <c r="N82" s="102"/>
      <c r="O82" s="101"/>
      <c r="P82" s="102"/>
      <c r="Q82" s="105"/>
      <c r="R82" s="106" t="str">
        <f aca="true">IF($Q82="","", TODAY()-$Q82)</f>
        <v/>
      </c>
      <c r="S82" s="102"/>
      <c r="T82" s="105"/>
      <c r="U82" s="105"/>
      <c r="V82" s="101"/>
      <c r="W82" s="101"/>
      <c r="X82" s="101"/>
      <c r="Y82" s="96"/>
      <c r="Z82" s="96"/>
      <c r="AA82" s="96"/>
      <c r="AC82" s="102"/>
      <c r="AD82" s="107" t="str">
        <f aca="false">IF($B82="","",IF(ISNUMBER($T82),$T82,IF(OR(NOT(ISNUMBER($Q82)),$S82=""),"",IFERROR(IF(ISNUMBER(INDEX(Lists!$AJ$2:$AJ$7,MATCH($S82,Lists!$AI$2:$AI$7,0))),$Q82+INDEX(Lists!$AJ$2:$AJ$7,MATCH($S82,Lists!$AI$2:$AI$7,0)),""),""))))</f>
        <v/>
      </c>
      <c r="AE82" s="104" t="str">
        <f aca="true">IF($B82="","",IF(AND(ISNUMBER($AD82),N($AD82)&lt;TODAY(),$N82&lt;&gt;"Done",$N82&lt;&gt;"Won't Fix",$N82&lt;&gt;"Duplicate"),"Yes","No"))</f>
        <v/>
      </c>
      <c r="AF82" s="101"/>
      <c r="AG82" s="108" t="str">
        <f aca="false">IF($AF82="","",IFERROR(VLOOKUP($AF82,'Application Portfolio'!$A$2:$B$1000,2,FALSE()),"Unknown App ID"))</f>
        <v/>
      </c>
      <c r="AH82" s="108" t="str">
        <f aca="false">IF(OR($B82="",$AF82=""),"",IFERROR(VLOOKUP($AF82,'Application Portfolio'!$A$2:$AB$1000,28,FALSE()),""))</f>
        <v/>
      </c>
    </row>
    <row r="83" customFormat="false" ht="15.75" hidden="false" customHeight="true" outlineLevel="0" collapsed="false">
      <c r="A83" s="100"/>
      <c r="B83" s="101"/>
      <c r="C83" s="101"/>
      <c r="D83" s="101"/>
      <c r="E83" s="101"/>
      <c r="F83" s="102"/>
      <c r="G83" s="102"/>
      <c r="H83" s="102"/>
      <c r="I83" s="102"/>
      <c r="J83" s="102"/>
      <c r="K83" s="102"/>
      <c r="L83" s="103" t="str">
        <f aca="false">IF(OR($B83="", $H83="", $I83="", $J83="", $K83=""),"",ROUND((VLOOKUP($H83,Lists!$E$2:$F$5,2,FALSE())*VLOOKUP($I83,Lists!$H$2:$I$4,2,FALSE())*VLOOKUP($J83,Lists!$K$2:$L$4,2,FALSE()))/VLOOKUP($K83,Lists!$N$2:$O$6,2,FALSE()),2))</f>
        <v/>
      </c>
      <c r="M83" s="104" t="str">
        <f aca="false">IF($B83="","",IF($AC83&lt;&gt;"",$AC83,IF($H83="Critical","P0",IF(NOT(ISNUMBER($L83)),"",IF($L83&gt;=Lists!$AM$2,"P0",IF($L83&gt;=Lists!$AM$3,"P1",IF($L83&gt;=Lists!$AM$4,"P2","P3")))))))</f>
        <v/>
      </c>
      <c r="N83" s="102"/>
      <c r="O83" s="101"/>
      <c r="P83" s="102"/>
      <c r="Q83" s="105"/>
      <c r="R83" s="106" t="str">
        <f aca="true">IF($Q83="","", TODAY()-$Q83)</f>
        <v/>
      </c>
      <c r="S83" s="102"/>
      <c r="T83" s="105"/>
      <c r="U83" s="105"/>
      <c r="V83" s="101"/>
      <c r="W83" s="101"/>
      <c r="X83" s="101"/>
      <c r="Y83" s="96"/>
      <c r="Z83" s="96"/>
      <c r="AA83" s="96"/>
      <c r="AC83" s="102"/>
      <c r="AD83" s="107" t="str">
        <f aca="false">IF($B83="","",IF(ISNUMBER($T83),$T83,IF(OR(NOT(ISNUMBER($Q83)),$S83=""),"",IFERROR(IF(ISNUMBER(INDEX(Lists!$AJ$2:$AJ$7,MATCH($S83,Lists!$AI$2:$AI$7,0))),$Q83+INDEX(Lists!$AJ$2:$AJ$7,MATCH($S83,Lists!$AI$2:$AI$7,0)),""),""))))</f>
        <v/>
      </c>
      <c r="AE83" s="104" t="str">
        <f aca="true">IF($B83="","",IF(AND(ISNUMBER($AD83),N($AD83)&lt;TODAY(),$N83&lt;&gt;"Done",$N83&lt;&gt;"Won't Fix",$N83&lt;&gt;"Duplicate"),"Yes","No"))</f>
        <v/>
      </c>
      <c r="AF83" s="101"/>
      <c r="AG83" s="108" t="str">
        <f aca="false">IF($AF83="","",IFERROR(VLOOKUP($AF83,'Application Portfolio'!$A$2:$B$1000,2,FALSE()),"Unknown App ID"))</f>
        <v/>
      </c>
      <c r="AH83" s="108" t="str">
        <f aca="false">IF(OR($B83="",$AF83=""),"",IFERROR(VLOOKUP($AF83,'Application Portfolio'!$A$2:$AB$1000,28,FALSE()),""))</f>
        <v/>
      </c>
    </row>
    <row r="84" customFormat="false" ht="15.75" hidden="false" customHeight="true" outlineLevel="0" collapsed="false">
      <c r="A84" s="100"/>
      <c r="B84" s="101"/>
      <c r="C84" s="101"/>
      <c r="D84" s="101"/>
      <c r="E84" s="101"/>
      <c r="F84" s="102"/>
      <c r="G84" s="102"/>
      <c r="H84" s="102"/>
      <c r="I84" s="102"/>
      <c r="J84" s="102"/>
      <c r="K84" s="102"/>
      <c r="L84" s="103" t="str">
        <f aca="false">IF(OR($B84="", $H84="", $I84="", $J84="", $K84=""),"",ROUND((VLOOKUP($H84,Lists!$E$2:$F$5,2,FALSE())*VLOOKUP($I84,Lists!$H$2:$I$4,2,FALSE())*VLOOKUP($J84,Lists!$K$2:$L$4,2,FALSE()))/VLOOKUP($K84,Lists!$N$2:$O$6,2,FALSE()),2))</f>
        <v/>
      </c>
      <c r="M84" s="104" t="str">
        <f aca="false">IF($B84="","",IF($AC84&lt;&gt;"",$AC84,IF($H84="Critical","P0",IF(NOT(ISNUMBER($L84)),"",IF($L84&gt;=Lists!$AM$2,"P0",IF($L84&gt;=Lists!$AM$3,"P1",IF($L84&gt;=Lists!$AM$4,"P2","P3")))))))</f>
        <v/>
      </c>
      <c r="N84" s="102"/>
      <c r="O84" s="101"/>
      <c r="P84" s="102"/>
      <c r="Q84" s="105"/>
      <c r="R84" s="106" t="str">
        <f aca="true">IF($Q84="","", TODAY()-$Q84)</f>
        <v/>
      </c>
      <c r="S84" s="102"/>
      <c r="T84" s="105"/>
      <c r="U84" s="105"/>
      <c r="V84" s="101"/>
      <c r="W84" s="101"/>
      <c r="X84" s="101"/>
      <c r="Y84" s="96"/>
      <c r="Z84" s="96"/>
      <c r="AA84" s="96"/>
      <c r="AC84" s="102"/>
      <c r="AD84" s="107" t="str">
        <f aca="false">IF($B84="","",IF(ISNUMBER($T84),$T84,IF(OR(NOT(ISNUMBER($Q84)),$S84=""),"",IFERROR(IF(ISNUMBER(INDEX(Lists!$AJ$2:$AJ$7,MATCH($S84,Lists!$AI$2:$AI$7,0))),$Q84+INDEX(Lists!$AJ$2:$AJ$7,MATCH($S84,Lists!$AI$2:$AI$7,0)),""),""))))</f>
        <v/>
      </c>
      <c r="AE84" s="104" t="str">
        <f aca="true">IF($B84="","",IF(AND(ISNUMBER($AD84),N($AD84)&lt;TODAY(),$N84&lt;&gt;"Done",$N84&lt;&gt;"Won't Fix",$N84&lt;&gt;"Duplicate"),"Yes","No"))</f>
        <v/>
      </c>
      <c r="AF84" s="101"/>
      <c r="AG84" s="108" t="str">
        <f aca="false">IF($AF84="","",IFERROR(VLOOKUP($AF84,'Application Portfolio'!$A$2:$B$1000,2,FALSE()),"Unknown App ID"))</f>
        <v/>
      </c>
      <c r="AH84" s="108" t="str">
        <f aca="false">IF(OR($B84="",$AF84=""),"",IFERROR(VLOOKUP($AF84,'Application Portfolio'!$A$2:$AB$1000,28,FALSE()),""))</f>
        <v/>
      </c>
    </row>
    <row r="85" customFormat="false" ht="15.75" hidden="false" customHeight="true" outlineLevel="0" collapsed="false">
      <c r="A85" s="100"/>
      <c r="B85" s="101"/>
      <c r="C85" s="101"/>
      <c r="D85" s="101"/>
      <c r="E85" s="101"/>
      <c r="F85" s="102"/>
      <c r="G85" s="102"/>
      <c r="H85" s="102"/>
      <c r="I85" s="102"/>
      <c r="J85" s="102"/>
      <c r="K85" s="102"/>
      <c r="L85" s="103" t="str">
        <f aca="false">IF(OR($B85="", $H85="", $I85="", $J85="", $K85=""),"",ROUND((VLOOKUP($H85,Lists!$E$2:$F$5,2,FALSE())*VLOOKUP($I85,Lists!$H$2:$I$4,2,FALSE())*VLOOKUP($J85,Lists!$K$2:$L$4,2,FALSE()))/VLOOKUP($K85,Lists!$N$2:$O$6,2,FALSE()),2))</f>
        <v/>
      </c>
      <c r="M85" s="104" t="str">
        <f aca="false">IF($B85="","",IF($AC85&lt;&gt;"",$AC85,IF($H85="Critical","P0",IF(NOT(ISNUMBER($L85)),"",IF($L85&gt;=Lists!$AM$2,"P0",IF($L85&gt;=Lists!$AM$3,"P1",IF($L85&gt;=Lists!$AM$4,"P2","P3")))))))</f>
        <v/>
      </c>
      <c r="N85" s="102"/>
      <c r="O85" s="101"/>
      <c r="P85" s="102"/>
      <c r="Q85" s="105"/>
      <c r="R85" s="106" t="str">
        <f aca="true">IF($Q85="","", TODAY()-$Q85)</f>
        <v/>
      </c>
      <c r="S85" s="102"/>
      <c r="T85" s="105"/>
      <c r="U85" s="105"/>
      <c r="V85" s="101"/>
      <c r="W85" s="101"/>
      <c r="X85" s="101"/>
      <c r="Y85" s="96"/>
      <c r="Z85" s="96"/>
      <c r="AA85" s="96"/>
      <c r="AC85" s="102"/>
      <c r="AD85" s="107" t="str">
        <f aca="false">IF($B85="","",IF(ISNUMBER($T85),$T85,IF(OR(NOT(ISNUMBER($Q85)),$S85=""),"",IFERROR(IF(ISNUMBER(INDEX(Lists!$AJ$2:$AJ$7,MATCH($S85,Lists!$AI$2:$AI$7,0))),$Q85+INDEX(Lists!$AJ$2:$AJ$7,MATCH($S85,Lists!$AI$2:$AI$7,0)),""),""))))</f>
        <v/>
      </c>
      <c r="AE85" s="104" t="str">
        <f aca="true">IF($B85="","",IF(AND(ISNUMBER($AD85),N($AD85)&lt;TODAY(),$N85&lt;&gt;"Done",$N85&lt;&gt;"Won't Fix",$N85&lt;&gt;"Duplicate"),"Yes","No"))</f>
        <v/>
      </c>
      <c r="AF85" s="101"/>
      <c r="AG85" s="108" t="str">
        <f aca="false">IF($AF85="","",IFERROR(VLOOKUP($AF85,'Application Portfolio'!$A$2:$B$1000,2,FALSE()),"Unknown App ID"))</f>
        <v/>
      </c>
      <c r="AH85" s="108" t="str">
        <f aca="false">IF(OR($B85="",$AF85=""),"",IFERROR(VLOOKUP($AF85,'Application Portfolio'!$A$2:$AB$1000,28,FALSE()),""))</f>
        <v/>
      </c>
    </row>
    <row r="86" customFormat="false" ht="15.75" hidden="false" customHeight="true" outlineLevel="0" collapsed="false">
      <c r="A86" s="100"/>
      <c r="B86" s="101"/>
      <c r="C86" s="101"/>
      <c r="D86" s="101"/>
      <c r="E86" s="101"/>
      <c r="F86" s="102"/>
      <c r="G86" s="102"/>
      <c r="H86" s="102"/>
      <c r="I86" s="102"/>
      <c r="J86" s="102"/>
      <c r="K86" s="102"/>
      <c r="L86" s="103" t="str">
        <f aca="false">IF(OR($B86="", $H86="", $I86="", $J86="", $K86=""),"",ROUND((VLOOKUP($H86,Lists!$E$2:$F$5,2,FALSE())*VLOOKUP($I86,Lists!$H$2:$I$4,2,FALSE())*VLOOKUP($J86,Lists!$K$2:$L$4,2,FALSE()))/VLOOKUP($K86,Lists!$N$2:$O$6,2,FALSE()),2))</f>
        <v/>
      </c>
      <c r="M86" s="104" t="str">
        <f aca="false">IF($B86="","",IF($AC86&lt;&gt;"",$AC86,IF($H86="Critical","P0",IF(NOT(ISNUMBER($L86)),"",IF($L86&gt;=Lists!$AM$2,"P0",IF($L86&gt;=Lists!$AM$3,"P1",IF($L86&gt;=Lists!$AM$4,"P2","P3")))))))</f>
        <v/>
      </c>
      <c r="N86" s="102"/>
      <c r="O86" s="101"/>
      <c r="P86" s="102"/>
      <c r="Q86" s="105"/>
      <c r="R86" s="106" t="str">
        <f aca="true">IF($Q86="","", TODAY()-$Q86)</f>
        <v/>
      </c>
      <c r="S86" s="102"/>
      <c r="T86" s="105"/>
      <c r="U86" s="105"/>
      <c r="V86" s="101"/>
      <c r="W86" s="101"/>
      <c r="X86" s="101"/>
      <c r="Y86" s="96"/>
      <c r="Z86" s="96"/>
      <c r="AA86" s="96"/>
      <c r="AC86" s="102"/>
      <c r="AD86" s="107" t="str">
        <f aca="false">IF($B86="","",IF(ISNUMBER($T86),$T86,IF(OR(NOT(ISNUMBER($Q86)),$S86=""),"",IFERROR(IF(ISNUMBER(INDEX(Lists!$AJ$2:$AJ$7,MATCH($S86,Lists!$AI$2:$AI$7,0))),$Q86+INDEX(Lists!$AJ$2:$AJ$7,MATCH($S86,Lists!$AI$2:$AI$7,0)),""),""))))</f>
        <v/>
      </c>
      <c r="AE86" s="104" t="str">
        <f aca="true">IF($B86="","",IF(AND(ISNUMBER($AD86),N($AD86)&lt;TODAY(),$N86&lt;&gt;"Done",$N86&lt;&gt;"Won't Fix",$N86&lt;&gt;"Duplicate"),"Yes","No"))</f>
        <v/>
      </c>
      <c r="AF86" s="101"/>
      <c r="AG86" s="108" t="str">
        <f aca="false">IF($AF86="","",IFERROR(VLOOKUP($AF86,'Application Portfolio'!$A$2:$B$1000,2,FALSE()),"Unknown App ID"))</f>
        <v/>
      </c>
      <c r="AH86" s="108" t="str">
        <f aca="false">IF(OR($B86="",$AF86=""),"",IFERROR(VLOOKUP($AF86,'Application Portfolio'!$A$2:$AB$1000,28,FALSE()),""))</f>
        <v/>
      </c>
    </row>
    <row r="87" customFormat="false" ht="15.75" hidden="false" customHeight="true" outlineLevel="0" collapsed="false">
      <c r="A87" s="100"/>
      <c r="B87" s="101"/>
      <c r="C87" s="101"/>
      <c r="D87" s="101"/>
      <c r="E87" s="101"/>
      <c r="F87" s="102"/>
      <c r="G87" s="102"/>
      <c r="H87" s="102"/>
      <c r="I87" s="102"/>
      <c r="J87" s="102"/>
      <c r="K87" s="102"/>
      <c r="L87" s="103" t="str">
        <f aca="false">IF(OR($B87="", $H87="", $I87="", $J87="", $K87=""),"",ROUND((VLOOKUP($H87,Lists!$E$2:$F$5,2,FALSE())*VLOOKUP($I87,Lists!$H$2:$I$4,2,FALSE())*VLOOKUP($J87,Lists!$K$2:$L$4,2,FALSE()))/VLOOKUP($K87,Lists!$N$2:$O$6,2,FALSE()),2))</f>
        <v/>
      </c>
      <c r="M87" s="104" t="str">
        <f aca="false">IF($B87="","",IF($AC87&lt;&gt;"",$AC87,IF($H87="Critical","P0",IF(NOT(ISNUMBER($L87)),"",IF($L87&gt;=Lists!$AM$2,"P0",IF($L87&gt;=Lists!$AM$3,"P1",IF($L87&gt;=Lists!$AM$4,"P2","P3")))))))</f>
        <v/>
      </c>
      <c r="N87" s="102"/>
      <c r="O87" s="101"/>
      <c r="P87" s="102"/>
      <c r="Q87" s="105"/>
      <c r="R87" s="106" t="str">
        <f aca="true">IF($Q87="","", TODAY()-$Q87)</f>
        <v/>
      </c>
      <c r="S87" s="102"/>
      <c r="T87" s="105"/>
      <c r="U87" s="105"/>
      <c r="V87" s="101"/>
      <c r="W87" s="101"/>
      <c r="X87" s="101"/>
      <c r="Y87" s="96"/>
      <c r="Z87" s="96"/>
      <c r="AA87" s="96"/>
      <c r="AC87" s="102"/>
      <c r="AD87" s="107" t="str">
        <f aca="false">IF($B87="","",IF(ISNUMBER($T87),$T87,IF(OR(NOT(ISNUMBER($Q87)),$S87=""),"",IFERROR(IF(ISNUMBER(INDEX(Lists!$AJ$2:$AJ$7,MATCH($S87,Lists!$AI$2:$AI$7,0))),$Q87+INDEX(Lists!$AJ$2:$AJ$7,MATCH($S87,Lists!$AI$2:$AI$7,0)),""),""))))</f>
        <v/>
      </c>
      <c r="AE87" s="104" t="str">
        <f aca="true">IF($B87="","",IF(AND(ISNUMBER($AD87),N($AD87)&lt;TODAY(),$N87&lt;&gt;"Done",$N87&lt;&gt;"Won't Fix",$N87&lt;&gt;"Duplicate"),"Yes","No"))</f>
        <v/>
      </c>
      <c r="AF87" s="101"/>
      <c r="AG87" s="108" t="str">
        <f aca="false">IF($AF87="","",IFERROR(VLOOKUP($AF87,'Application Portfolio'!$A$2:$B$1000,2,FALSE()),"Unknown App ID"))</f>
        <v/>
      </c>
      <c r="AH87" s="108" t="str">
        <f aca="false">IF(OR($B87="",$AF87=""),"",IFERROR(VLOOKUP($AF87,'Application Portfolio'!$A$2:$AB$1000,28,FALSE()),""))</f>
        <v/>
      </c>
    </row>
    <row r="88" customFormat="false" ht="15.75" hidden="false" customHeight="true" outlineLevel="0" collapsed="false">
      <c r="A88" s="100"/>
      <c r="B88" s="101"/>
      <c r="C88" s="101"/>
      <c r="D88" s="101"/>
      <c r="E88" s="101"/>
      <c r="F88" s="102"/>
      <c r="G88" s="102"/>
      <c r="H88" s="102"/>
      <c r="I88" s="102"/>
      <c r="J88" s="102"/>
      <c r="K88" s="102"/>
      <c r="L88" s="103" t="str">
        <f aca="false">IF(OR($B88="", $H88="", $I88="", $J88="", $K88=""),"",ROUND((VLOOKUP($H88,Lists!$E$2:$F$5,2,FALSE())*VLOOKUP($I88,Lists!$H$2:$I$4,2,FALSE())*VLOOKUP($J88,Lists!$K$2:$L$4,2,FALSE()))/VLOOKUP($K88,Lists!$N$2:$O$6,2,FALSE()),2))</f>
        <v/>
      </c>
      <c r="M88" s="104" t="str">
        <f aca="false">IF($B88="","",IF($AC88&lt;&gt;"",$AC88,IF($H88="Critical","P0",IF(NOT(ISNUMBER($L88)),"",IF($L88&gt;=Lists!$AM$2,"P0",IF($L88&gt;=Lists!$AM$3,"P1",IF($L88&gt;=Lists!$AM$4,"P2","P3")))))))</f>
        <v/>
      </c>
      <c r="N88" s="102"/>
      <c r="O88" s="101"/>
      <c r="P88" s="102"/>
      <c r="Q88" s="105"/>
      <c r="R88" s="106" t="str">
        <f aca="true">IF($Q88="","", TODAY()-$Q88)</f>
        <v/>
      </c>
      <c r="S88" s="102"/>
      <c r="T88" s="105"/>
      <c r="U88" s="105"/>
      <c r="V88" s="101"/>
      <c r="W88" s="101"/>
      <c r="X88" s="101"/>
      <c r="Y88" s="96"/>
      <c r="Z88" s="96"/>
      <c r="AA88" s="96"/>
      <c r="AC88" s="102"/>
      <c r="AD88" s="107" t="str">
        <f aca="false">IF($B88="","",IF(ISNUMBER($T88),$T88,IF(OR(NOT(ISNUMBER($Q88)),$S88=""),"",IFERROR(IF(ISNUMBER(INDEX(Lists!$AJ$2:$AJ$7,MATCH($S88,Lists!$AI$2:$AI$7,0))),$Q88+INDEX(Lists!$AJ$2:$AJ$7,MATCH($S88,Lists!$AI$2:$AI$7,0)),""),""))))</f>
        <v/>
      </c>
      <c r="AE88" s="104" t="str">
        <f aca="true">IF($B88="","",IF(AND(ISNUMBER($AD88),N($AD88)&lt;TODAY(),$N88&lt;&gt;"Done",$N88&lt;&gt;"Won't Fix",$N88&lt;&gt;"Duplicate"),"Yes","No"))</f>
        <v/>
      </c>
      <c r="AF88" s="101"/>
      <c r="AG88" s="108" t="str">
        <f aca="false">IF($AF88="","",IFERROR(VLOOKUP($AF88,'Application Portfolio'!$A$2:$B$1000,2,FALSE()),"Unknown App ID"))</f>
        <v/>
      </c>
      <c r="AH88" s="108" t="str">
        <f aca="false">IF(OR($B88="",$AF88=""),"",IFERROR(VLOOKUP($AF88,'Application Portfolio'!$A$2:$AB$1000,28,FALSE()),""))</f>
        <v/>
      </c>
    </row>
    <row r="89" customFormat="false" ht="15.75" hidden="false" customHeight="true" outlineLevel="0" collapsed="false">
      <c r="A89" s="100"/>
      <c r="B89" s="101"/>
      <c r="C89" s="101"/>
      <c r="D89" s="101"/>
      <c r="E89" s="101"/>
      <c r="F89" s="102"/>
      <c r="G89" s="102"/>
      <c r="H89" s="102"/>
      <c r="I89" s="102"/>
      <c r="J89" s="102"/>
      <c r="K89" s="102"/>
      <c r="L89" s="103" t="str">
        <f aca="false">IF(OR($B89="", $H89="", $I89="", $J89="", $K89=""),"",ROUND((VLOOKUP($H89,Lists!$E$2:$F$5,2,FALSE())*VLOOKUP($I89,Lists!$H$2:$I$4,2,FALSE())*VLOOKUP($J89,Lists!$K$2:$L$4,2,FALSE()))/VLOOKUP($K89,Lists!$N$2:$O$6,2,FALSE()),2))</f>
        <v/>
      </c>
      <c r="M89" s="104" t="str">
        <f aca="false">IF($B89="","",IF($AC89&lt;&gt;"",$AC89,IF($H89="Critical","P0",IF(NOT(ISNUMBER($L89)),"",IF($L89&gt;=Lists!$AM$2,"P0",IF($L89&gt;=Lists!$AM$3,"P1",IF($L89&gt;=Lists!$AM$4,"P2","P3")))))))</f>
        <v/>
      </c>
      <c r="N89" s="102"/>
      <c r="O89" s="101"/>
      <c r="P89" s="102"/>
      <c r="Q89" s="105"/>
      <c r="R89" s="106" t="str">
        <f aca="true">IF($Q89="","", TODAY()-$Q89)</f>
        <v/>
      </c>
      <c r="S89" s="102"/>
      <c r="T89" s="105"/>
      <c r="U89" s="105"/>
      <c r="V89" s="101"/>
      <c r="W89" s="101"/>
      <c r="X89" s="101"/>
      <c r="Y89" s="96"/>
      <c r="Z89" s="96"/>
      <c r="AA89" s="96"/>
      <c r="AC89" s="102"/>
      <c r="AD89" s="107" t="str">
        <f aca="false">IF($B89="","",IF(ISNUMBER($T89),$T89,IF(OR(NOT(ISNUMBER($Q89)),$S89=""),"",IFERROR(IF(ISNUMBER(INDEX(Lists!$AJ$2:$AJ$7,MATCH($S89,Lists!$AI$2:$AI$7,0))),$Q89+INDEX(Lists!$AJ$2:$AJ$7,MATCH($S89,Lists!$AI$2:$AI$7,0)),""),""))))</f>
        <v/>
      </c>
      <c r="AE89" s="104" t="str">
        <f aca="true">IF($B89="","",IF(AND(ISNUMBER($AD89),N($AD89)&lt;TODAY(),$N89&lt;&gt;"Done",$N89&lt;&gt;"Won't Fix",$N89&lt;&gt;"Duplicate"),"Yes","No"))</f>
        <v/>
      </c>
      <c r="AF89" s="101"/>
      <c r="AG89" s="108" t="str">
        <f aca="false">IF($AF89="","",IFERROR(VLOOKUP($AF89,'Application Portfolio'!$A$2:$B$1000,2,FALSE()),"Unknown App ID"))</f>
        <v/>
      </c>
      <c r="AH89" s="108" t="str">
        <f aca="false">IF(OR($B89="",$AF89=""),"",IFERROR(VLOOKUP($AF89,'Application Portfolio'!$A$2:$AB$1000,28,FALSE()),""))</f>
        <v/>
      </c>
    </row>
    <row r="90" customFormat="false" ht="15.75" hidden="false" customHeight="true" outlineLevel="0" collapsed="false">
      <c r="A90" s="100"/>
      <c r="B90" s="101"/>
      <c r="C90" s="101"/>
      <c r="D90" s="101"/>
      <c r="E90" s="101"/>
      <c r="F90" s="102"/>
      <c r="G90" s="102"/>
      <c r="H90" s="102"/>
      <c r="I90" s="102"/>
      <c r="J90" s="102"/>
      <c r="K90" s="102"/>
      <c r="L90" s="103" t="str">
        <f aca="false">IF(OR($B90="", $H90="", $I90="", $J90="", $K90=""),"",ROUND((VLOOKUP($H90,Lists!$E$2:$F$5,2,FALSE())*VLOOKUP($I90,Lists!$H$2:$I$4,2,FALSE())*VLOOKUP($J90,Lists!$K$2:$L$4,2,FALSE()))/VLOOKUP($K90,Lists!$N$2:$O$6,2,FALSE()),2))</f>
        <v/>
      </c>
      <c r="M90" s="104" t="str">
        <f aca="false">IF($B90="","",IF($AC90&lt;&gt;"",$AC90,IF($H90="Critical","P0",IF(NOT(ISNUMBER($L90)),"",IF($L90&gt;=Lists!$AM$2,"P0",IF($L90&gt;=Lists!$AM$3,"P1",IF($L90&gt;=Lists!$AM$4,"P2","P3")))))))</f>
        <v/>
      </c>
      <c r="N90" s="102"/>
      <c r="O90" s="101"/>
      <c r="P90" s="102"/>
      <c r="Q90" s="105"/>
      <c r="R90" s="106" t="str">
        <f aca="true">IF($Q90="","", TODAY()-$Q90)</f>
        <v/>
      </c>
      <c r="S90" s="102"/>
      <c r="T90" s="105"/>
      <c r="U90" s="105"/>
      <c r="V90" s="101"/>
      <c r="W90" s="101"/>
      <c r="X90" s="101"/>
      <c r="Y90" s="96"/>
      <c r="Z90" s="96"/>
      <c r="AA90" s="96"/>
      <c r="AC90" s="102"/>
      <c r="AD90" s="107" t="str">
        <f aca="false">IF($B90="","",IF(ISNUMBER($T90),$T90,IF(OR(NOT(ISNUMBER($Q90)),$S90=""),"",IFERROR(IF(ISNUMBER(INDEX(Lists!$AJ$2:$AJ$7,MATCH($S90,Lists!$AI$2:$AI$7,0))),$Q90+INDEX(Lists!$AJ$2:$AJ$7,MATCH($S90,Lists!$AI$2:$AI$7,0)),""),""))))</f>
        <v/>
      </c>
      <c r="AE90" s="104" t="str">
        <f aca="true">IF($B90="","",IF(AND(ISNUMBER($AD90),N($AD90)&lt;TODAY(),$N90&lt;&gt;"Done",$N90&lt;&gt;"Won't Fix",$N90&lt;&gt;"Duplicate"),"Yes","No"))</f>
        <v/>
      </c>
      <c r="AF90" s="101"/>
      <c r="AG90" s="108" t="str">
        <f aca="false">IF($AF90="","",IFERROR(VLOOKUP($AF90,'Application Portfolio'!$A$2:$B$1000,2,FALSE()),"Unknown App ID"))</f>
        <v/>
      </c>
      <c r="AH90" s="108" t="str">
        <f aca="false">IF(OR($B90="",$AF90=""),"",IFERROR(VLOOKUP($AF90,'Application Portfolio'!$A$2:$AB$1000,28,FALSE()),""))</f>
        <v/>
      </c>
    </row>
    <row r="91" customFormat="false" ht="15.75" hidden="false" customHeight="true" outlineLevel="0" collapsed="false">
      <c r="A91" s="100"/>
      <c r="B91" s="101"/>
      <c r="C91" s="101"/>
      <c r="D91" s="101"/>
      <c r="E91" s="101"/>
      <c r="F91" s="102"/>
      <c r="G91" s="102"/>
      <c r="H91" s="102"/>
      <c r="I91" s="102"/>
      <c r="J91" s="102"/>
      <c r="K91" s="102"/>
      <c r="L91" s="103" t="str">
        <f aca="false">IF(OR($B91="", $H91="", $I91="", $J91="", $K91=""),"",ROUND((VLOOKUP($H91,Lists!$E$2:$F$5,2,FALSE())*VLOOKUP($I91,Lists!$H$2:$I$4,2,FALSE())*VLOOKUP($J91,Lists!$K$2:$L$4,2,FALSE()))/VLOOKUP($K91,Lists!$N$2:$O$6,2,FALSE()),2))</f>
        <v/>
      </c>
      <c r="M91" s="104" t="str">
        <f aca="false">IF($B91="","",IF($AC91&lt;&gt;"",$AC91,IF($H91="Critical","P0",IF(NOT(ISNUMBER($L91)),"",IF($L91&gt;=Lists!$AM$2,"P0",IF($L91&gt;=Lists!$AM$3,"P1",IF($L91&gt;=Lists!$AM$4,"P2","P3")))))))</f>
        <v/>
      </c>
      <c r="N91" s="102"/>
      <c r="O91" s="101"/>
      <c r="P91" s="102"/>
      <c r="Q91" s="105"/>
      <c r="R91" s="106" t="str">
        <f aca="true">IF($Q91="","", TODAY()-$Q91)</f>
        <v/>
      </c>
      <c r="S91" s="102"/>
      <c r="T91" s="105"/>
      <c r="U91" s="105"/>
      <c r="V91" s="101"/>
      <c r="W91" s="101"/>
      <c r="X91" s="101"/>
      <c r="Y91" s="96"/>
      <c r="Z91" s="96"/>
      <c r="AA91" s="96"/>
      <c r="AC91" s="102"/>
      <c r="AD91" s="107" t="str">
        <f aca="false">IF($B91="","",IF(ISNUMBER($T91),$T91,IF(OR(NOT(ISNUMBER($Q91)),$S91=""),"",IFERROR(IF(ISNUMBER(INDEX(Lists!$AJ$2:$AJ$7,MATCH($S91,Lists!$AI$2:$AI$7,0))),$Q91+INDEX(Lists!$AJ$2:$AJ$7,MATCH($S91,Lists!$AI$2:$AI$7,0)),""),""))))</f>
        <v/>
      </c>
      <c r="AE91" s="104" t="str">
        <f aca="true">IF($B91="","",IF(AND(ISNUMBER($AD91),N($AD91)&lt;TODAY(),$N91&lt;&gt;"Done",$N91&lt;&gt;"Won't Fix",$N91&lt;&gt;"Duplicate"),"Yes","No"))</f>
        <v/>
      </c>
      <c r="AF91" s="101"/>
      <c r="AG91" s="108" t="str">
        <f aca="false">IF($AF91="","",IFERROR(VLOOKUP($AF91,'Application Portfolio'!$A$2:$B$1000,2,FALSE()),"Unknown App ID"))</f>
        <v/>
      </c>
      <c r="AH91" s="108" t="str">
        <f aca="false">IF(OR($B91="",$AF91=""),"",IFERROR(VLOOKUP($AF91,'Application Portfolio'!$A$2:$AB$1000,28,FALSE()),""))</f>
        <v/>
      </c>
    </row>
    <row r="92" customFormat="false" ht="15.75" hidden="false" customHeight="true" outlineLevel="0" collapsed="false">
      <c r="A92" s="100"/>
      <c r="B92" s="101"/>
      <c r="C92" s="101"/>
      <c r="D92" s="101"/>
      <c r="E92" s="101"/>
      <c r="F92" s="102"/>
      <c r="G92" s="102"/>
      <c r="H92" s="102"/>
      <c r="I92" s="102"/>
      <c r="J92" s="102"/>
      <c r="K92" s="102"/>
      <c r="L92" s="103" t="str">
        <f aca="false">IF(OR($B92="", $H92="", $I92="", $J92="", $K92=""),"",ROUND((VLOOKUP($H92,Lists!$E$2:$F$5,2,FALSE())*VLOOKUP($I92,Lists!$H$2:$I$4,2,FALSE())*VLOOKUP($J92,Lists!$K$2:$L$4,2,FALSE()))/VLOOKUP($K92,Lists!$N$2:$O$6,2,FALSE()),2))</f>
        <v/>
      </c>
      <c r="M92" s="104" t="str">
        <f aca="false">IF($B92="","",IF($AC92&lt;&gt;"",$AC92,IF($H92="Critical","P0",IF(NOT(ISNUMBER($L92)),"",IF($L92&gt;=Lists!$AM$2,"P0",IF($L92&gt;=Lists!$AM$3,"P1",IF($L92&gt;=Lists!$AM$4,"P2","P3")))))))</f>
        <v/>
      </c>
      <c r="N92" s="102"/>
      <c r="O92" s="101"/>
      <c r="P92" s="102"/>
      <c r="Q92" s="105"/>
      <c r="R92" s="106" t="str">
        <f aca="true">IF($Q92="","", TODAY()-$Q92)</f>
        <v/>
      </c>
      <c r="S92" s="102"/>
      <c r="T92" s="105"/>
      <c r="U92" s="105"/>
      <c r="V92" s="101"/>
      <c r="W92" s="101"/>
      <c r="X92" s="101"/>
      <c r="Y92" s="96"/>
      <c r="Z92" s="96"/>
      <c r="AA92" s="96"/>
      <c r="AC92" s="102"/>
      <c r="AD92" s="107" t="str">
        <f aca="false">IF($B92="","",IF(ISNUMBER($T92),$T92,IF(OR(NOT(ISNUMBER($Q92)),$S92=""),"",IFERROR(IF(ISNUMBER(INDEX(Lists!$AJ$2:$AJ$7,MATCH($S92,Lists!$AI$2:$AI$7,0))),$Q92+INDEX(Lists!$AJ$2:$AJ$7,MATCH($S92,Lists!$AI$2:$AI$7,0)),""),""))))</f>
        <v/>
      </c>
      <c r="AE92" s="104" t="str">
        <f aca="true">IF($B92="","",IF(AND(ISNUMBER($AD92),N($AD92)&lt;TODAY(),$N92&lt;&gt;"Done",$N92&lt;&gt;"Won't Fix",$N92&lt;&gt;"Duplicate"),"Yes","No"))</f>
        <v/>
      </c>
      <c r="AF92" s="101"/>
      <c r="AG92" s="108" t="str">
        <f aca="false">IF($AF92="","",IFERROR(VLOOKUP($AF92,'Application Portfolio'!$A$2:$B$1000,2,FALSE()),"Unknown App ID"))</f>
        <v/>
      </c>
      <c r="AH92" s="108" t="str">
        <f aca="false">IF(OR($B92="",$AF92=""),"",IFERROR(VLOOKUP($AF92,'Application Portfolio'!$A$2:$AB$1000,28,FALSE()),""))</f>
        <v/>
      </c>
    </row>
    <row r="93" customFormat="false" ht="15.75" hidden="false" customHeight="true" outlineLevel="0" collapsed="false">
      <c r="A93" s="100"/>
      <c r="B93" s="101"/>
      <c r="C93" s="101"/>
      <c r="D93" s="101"/>
      <c r="E93" s="101"/>
      <c r="F93" s="102"/>
      <c r="G93" s="102"/>
      <c r="H93" s="102"/>
      <c r="I93" s="102"/>
      <c r="J93" s="102"/>
      <c r="K93" s="102"/>
      <c r="L93" s="103" t="str">
        <f aca="false">IF(OR($B93="", $H93="", $I93="", $J93="", $K93=""),"",ROUND((VLOOKUP($H93,Lists!$E$2:$F$5,2,FALSE())*VLOOKUP($I93,Lists!$H$2:$I$4,2,FALSE())*VLOOKUP($J93,Lists!$K$2:$L$4,2,FALSE()))/VLOOKUP($K93,Lists!$N$2:$O$6,2,FALSE()),2))</f>
        <v/>
      </c>
      <c r="M93" s="104" t="str">
        <f aca="false">IF($B93="","",IF($AC93&lt;&gt;"",$AC93,IF($H93="Critical","P0",IF(NOT(ISNUMBER($L93)),"",IF($L93&gt;=Lists!$AM$2,"P0",IF($L93&gt;=Lists!$AM$3,"P1",IF($L93&gt;=Lists!$AM$4,"P2","P3")))))))</f>
        <v/>
      </c>
      <c r="N93" s="102"/>
      <c r="O93" s="101"/>
      <c r="P93" s="102"/>
      <c r="Q93" s="105"/>
      <c r="R93" s="106" t="str">
        <f aca="true">IF($Q93="","", TODAY()-$Q93)</f>
        <v/>
      </c>
      <c r="S93" s="102"/>
      <c r="T93" s="105"/>
      <c r="U93" s="105"/>
      <c r="V93" s="101"/>
      <c r="W93" s="101"/>
      <c r="X93" s="101"/>
      <c r="Y93" s="96"/>
      <c r="Z93" s="96"/>
      <c r="AA93" s="96"/>
      <c r="AC93" s="102"/>
      <c r="AD93" s="107" t="str">
        <f aca="false">IF($B93="","",IF(ISNUMBER($T93),$T93,IF(OR(NOT(ISNUMBER($Q93)),$S93=""),"",IFERROR(IF(ISNUMBER(INDEX(Lists!$AJ$2:$AJ$7,MATCH($S93,Lists!$AI$2:$AI$7,0))),$Q93+INDEX(Lists!$AJ$2:$AJ$7,MATCH($S93,Lists!$AI$2:$AI$7,0)),""),""))))</f>
        <v/>
      </c>
      <c r="AE93" s="104" t="str">
        <f aca="true">IF($B93="","",IF(AND(ISNUMBER($AD93),N($AD93)&lt;TODAY(),$N93&lt;&gt;"Done",$N93&lt;&gt;"Won't Fix",$N93&lt;&gt;"Duplicate"),"Yes","No"))</f>
        <v/>
      </c>
      <c r="AF93" s="101"/>
      <c r="AG93" s="108" t="str">
        <f aca="false">IF($AF93="","",IFERROR(VLOOKUP($AF93,'Application Portfolio'!$A$2:$B$1000,2,FALSE()),"Unknown App ID"))</f>
        <v/>
      </c>
      <c r="AH93" s="108" t="str">
        <f aca="false">IF(OR($B93="",$AF93=""),"",IFERROR(VLOOKUP($AF93,'Application Portfolio'!$A$2:$AB$1000,28,FALSE()),""))</f>
        <v/>
      </c>
    </row>
    <row r="94" customFormat="false" ht="15.75" hidden="false" customHeight="true" outlineLevel="0" collapsed="false">
      <c r="A94" s="100"/>
      <c r="B94" s="101"/>
      <c r="C94" s="101"/>
      <c r="D94" s="101"/>
      <c r="E94" s="101"/>
      <c r="F94" s="102"/>
      <c r="G94" s="102"/>
      <c r="H94" s="102"/>
      <c r="I94" s="102"/>
      <c r="J94" s="102"/>
      <c r="K94" s="102"/>
      <c r="L94" s="103" t="str">
        <f aca="false">IF(OR($B94="", $H94="", $I94="", $J94="", $K94=""),"",ROUND((VLOOKUP($H94,Lists!$E$2:$F$5,2,FALSE())*VLOOKUP($I94,Lists!$H$2:$I$4,2,FALSE())*VLOOKUP($J94,Lists!$K$2:$L$4,2,FALSE()))/VLOOKUP($K94,Lists!$N$2:$O$6,2,FALSE()),2))</f>
        <v/>
      </c>
      <c r="M94" s="104" t="str">
        <f aca="false">IF($B94="","",IF($AC94&lt;&gt;"",$AC94,IF($H94="Critical","P0",IF(NOT(ISNUMBER($L94)),"",IF($L94&gt;=Lists!$AM$2,"P0",IF($L94&gt;=Lists!$AM$3,"P1",IF($L94&gt;=Lists!$AM$4,"P2","P3")))))))</f>
        <v/>
      </c>
      <c r="N94" s="102"/>
      <c r="O94" s="101"/>
      <c r="P94" s="102"/>
      <c r="Q94" s="105"/>
      <c r="R94" s="106" t="str">
        <f aca="true">IF($Q94="","", TODAY()-$Q94)</f>
        <v/>
      </c>
      <c r="S94" s="102"/>
      <c r="T94" s="105"/>
      <c r="U94" s="105"/>
      <c r="V94" s="101"/>
      <c r="W94" s="101"/>
      <c r="X94" s="101"/>
      <c r="Y94" s="96"/>
      <c r="Z94" s="96"/>
      <c r="AA94" s="96"/>
      <c r="AC94" s="102"/>
      <c r="AD94" s="107" t="str">
        <f aca="false">IF($B94="","",IF(ISNUMBER($T94),$T94,IF(OR(NOT(ISNUMBER($Q94)),$S94=""),"",IFERROR(IF(ISNUMBER(INDEX(Lists!$AJ$2:$AJ$7,MATCH($S94,Lists!$AI$2:$AI$7,0))),$Q94+INDEX(Lists!$AJ$2:$AJ$7,MATCH($S94,Lists!$AI$2:$AI$7,0)),""),""))))</f>
        <v/>
      </c>
      <c r="AE94" s="104" t="str">
        <f aca="true">IF($B94="","",IF(AND(ISNUMBER($AD94),N($AD94)&lt;TODAY(),$N94&lt;&gt;"Done",$N94&lt;&gt;"Won't Fix",$N94&lt;&gt;"Duplicate"),"Yes","No"))</f>
        <v/>
      </c>
      <c r="AF94" s="101"/>
      <c r="AG94" s="108" t="str">
        <f aca="false">IF($AF94="","",IFERROR(VLOOKUP($AF94,'Application Portfolio'!$A$2:$B$1000,2,FALSE()),"Unknown App ID"))</f>
        <v/>
      </c>
      <c r="AH94" s="108" t="str">
        <f aca="false">IF(OR($B94="",$AF94=""),"",IFERROR(VLOOKUP($AF94,'Application Portfolio'!$A$2:$AB$1000,28,FALSE()),""))</f>
        <v/>
      </c>
    </row>
    <row r="95" customFormat="false" ht="15.75" hidden="false" customHeight="true" outlineLevel="0" collapsed="false">
      <c r="A95" s="100"/>
      <c r="B95" s="101"/>
      <c r="C95" s="101"/>
      <c r="D95" s="101"/>
      <c r="E95" s="101"/>
      <c r="F95" s="102"/>
      <c r="G95" s="102"/>
      <c r="H95" s="102"/>
      <c r="I95" s="102"/>
      <c r="J95" s="102"/>
      <c r="K95" s="102"/>
      <c r="L95" s="103" t="str">
        <f aca="false">IF(OR($B95="", $H95="", $I95="", $J95="", $K95=""),"",ROUND((VLOOKUP($H95,Lists!$E$2:$F$5,2,FALSE())*VLOOKUP($I95,Lists!$H$2:$I$4,2,FALSE())*VLOOKUP($J95,Lists!$K$2:$L$4,2,FALSE()))/VLOOKUP($K95,Lists!$N$2:$O$6,2,FALSE()),2))</f>
        <v/>
      </c>
      <c r="M95" s="104" t="str">
        <f aca="false">IF($B95="","",IF($AC95&lt;&gt;"",$AC95,IF($H95="Critical","P0",IF(NOT(ISNUMBER($L95)),"",IF($L95&gt;=Lists!$AM$2,"P0",IF($L95&gt;=Lists!$AM$3,"P1",IF($L95&gt;=Lists!$AM$4,"P2","P3")))))))</f>
        <v/>
      </c>
      <c r="N95" s="102"/>
      <c r="O95" s="101"/>
      <c r="P95" s="102"/>
      <c r="Q95" s="105"/>
      <c r="R95" s="106" t="str">
        <f aca="true">IF($Q95="","", TODAY()-$Q95)</f>
        <v/>
      </c>
      <c r="S95" s="102"/>
      <c r="T95" s="105"/>
      <c r="U95" s="105"/>
      <c r="V95" s="101"/>
      <c r="W95" s="101"/>
      <c r="X95" s="101"/>
      <c r="Y95" s="96"/>
      <c r="Z95" s="96"/>
      <c r="AA95" s="96"/>
      <c r="AC95" s="102"/>
      <c r="AD95" s="107" t="str">
        <f aca="false">IF($B95="","",IF(ISNUMBER($T95),$T95,IF(OR(NOT(ISNUMBER($Q95)),$S95=""),"",IFERROR(IF(ISNUMBER(INDEX(Lists!$AJ$2:$AJ$7,MATCH($S95,Lists!$AI$2:$AI$7,0))),$Q95+INDEX(Lists!$AJ$2:$AJ$7,MATCH($S95,Lists!$AI$2:$AI$7,0)),""),""))))</f>
        <v/>
      </c>
      <c r="AE95" s="104" t="str">
        <f aca="true">IF($B95="","",IF(AND(ISNUMBER($AD95),N($AD95)&lt;TODAY(),$N95&lt;&gt;"Done",$N95&lt;&gt;"Won't Fix",$N95&lt;&gt;"Duplicate"),"Yes","No"))</f>
        <v/>
      </c>
      <c r="AF95" s="101"/>
      <c r="AG95" s="108" t="str">
        <f aca="false">IF($AF95="","",IFERROR(VLOOKUP($AF95,'Application Portfolio'!$A$2:$B$1000,2,FALSE()),"Unknown App ID"))</f>
        <v/>
      </c>
      <c r="AH95" s="108" t="str">
        <f aca="false">IF(OR($B95="",$AF95=""),"",IFERROR(VLOOKUP($AF95,'Application Portfolio'!$A$2:$AB$1000,28,FALSE()),""))</f>
        <v/>
      </c>
    </row>
    <row r="96" customFormat="false" ht="15.75" hidden="false" customHeight="true" outlineLevel="0" collapsed="false">
      <c r="A96" s="100"/>
      <c r="B96" s="101"/>
      <c r="C96" s="101"/>
      <c r="D96" s="101"/>
      <c r="E96" s="101"/>
      <c r="F96" s="102"/>
      <c r="G96" s="102"/>
      <c r="H96" s="102"/>
      <c r="I96" s="102"/>
      <c r="J96" s="102"/>
      <c r="K96" s="102"/>
      <c r="L96" s="103" t="str">
        <f aca="false">IF(OR($B96="", $H96="", $I96="", $J96="", $K96=""),"",ROUND((VLOOKUP($H96,Lists!$E$2:$F$5,2,FALSE())*VLOOKUP($I96,Lists!$H$2:$I$4,2,FALSE())*VLOOKUP($J96,Lists!$K$2:$L$4,2,FALSE()))/VLOOKUP($K96,Lists!$N$2:$O$6,2,FALSE()),2))</f>
        <v/>
      </c>
      <c r="M96" s="104" t="str">
        <f aca="false">IF($B96="","",IF($AC96&lt;&gt;"",$AC96,IF($H96="Critical","P0",IF(NOT(ISNUMBER($L96)),"",IF($L96&gt;=Lists!$AM$2,"P0",IF($L96&gt;=Lists!$AM$3,"P1",IF($L96&gt;=Lists!$AM$4,"P2","P3")))))))</f>
        <v/>
      </c>
      <c r="N96" s="102"/>
      <c r="O96" s="101"/>
      <c r="P96" s="102"/>
      <c r="Q96" s="105"/>
      <c r="R96" s="106" t="str">
        <f aca="true">IF($Q96="","", TODAY()-$Q96)</f>
        <v/>
      </c>
      <c r="S96" s="102"/>
      <c r="T96" s="105"/>
      <c r="U96" s="105"/>
      <c r="V96" s="101"/>
      <c r="W96" s="101"/>
      <c r="X96" s="101"/>
      <c r="Y96" s="96"/>
      <c r="Z96" s="96"/>
      <c r="AA96" s="96"/>
      <c r="AC96" s="102"/>
      <c r="AD96" s="107" t="str">
        <f aca="false">IF($B96="","",IF(ISNUMBER($T96),$T96,IF(OR(NOT(ISNUMBER($Q96)),$S96=""),"",IFERROR(IF(ISNUMBER(INDEX(Lists!$AJ$2:$AJ$7,MATCH($S96,Lists!$AI$2:$AI$7,0))),$Q96+INDEX(Lists!$AJ$2:$AJ$7,MATCH($S96,Lists!$AI$2:$AI$7,0)),""),""))))</f>
        <v/>
      </c>
      <c r="AE96" s="104" t="str">
        <f aca="true">IF($B96="","",IF(AND(ISNUMBER($AD96),N($AD96)&lt;TODAY(),$N96&lt;&gt;"Done",$N96&lt;&gt;"Won't Fix",$N96&lt;&gt;"Duplicate"),"Yes","No"))</f>
        <v/>
      </c>
      <c r="AF96" s="101"/>
      <c r="AG96" s="108" t="str">
        <f aca="false">IF($AF96="","",IFERROR(VLOOKUP($AF96,'Application Portfolio'!$A$2:$B$1000,2,FALSE()),"Unknown App ID"))</f>
        <v/>
      </c>
      <c r="AH96" s="108" t="str">
        <f aca="false">IF(OR($B96="",$AF96=""),"",IFERROR(VLOOKUP($AF96,'Application Portfolio'!$A$2:$AB$1000,28,FALSE()),""))</f>
        <v/>
      </c>
    </row>
    <row r="97" customFormat="false" ht="15.75" hidden="false" customHeight="true" outlineLevel="0" collapsed="false">
      <c r="A97" s="100"/>
      <c r="B97" s="101"/>
      <c r="C97" s="101"/>
      <c r="D97" s="101"/>
      <c r="E97" s="101"/>
      <c r="F97" s="102"/>
      <c r="G97" s="102"/>
      <c r="H97" s="102"/>
      <c r="I97" s="102"/>
      <c r="J97" s="102"/>
      <c r="K97" s="102"/>
      <c r="L97" s="103" t="str">
        <f aca="false">IF(OR($B97="", $H97="", $I97="", $J97="", $K97=""),"",ROUND((VLOOKUP($H97,Lists!$E$2:$F$5,2,FALSE())*VLOOKUP($I97,Lists!$H$2:$I$4,2,FALSE())*VLOOKUP($J97,Lists!$K$2:$L$4,2,FALSE()))/VLOOKUP($K97,Lists!$N$2:$O$6,2,FALSE()),2))</f>
        <v/>
      </c>
      <c r="M97" s="104" t="str">
        <f aca="false">IF($B97="","",IF($AC97&lt;&gt;"",$AC97,IF($H97="Critical","P0",IF(NOT(ISNUMBER($L97)),"",IF($L97&gt;=Lists!$AM$2,"P0",IF($L97&gt;=Lists!$AM$3,"P1",IF($L97&gt;=Lists!$AM$4,"P2","P3")))))))</f>
        <v/>
      </c>
      <c r="N97" s="102"/>
      <c r="O97" s="101"/>
      <c r="P97" s="102"/>
      <c r="Q97" s="105"/>
      <c r="R97" s="106" t="str">
        <f aca="true">IF($Q97="","", TODAY()-$Q97)</f>
        <v/>
      </c>
      <c r="S97" s="102"/>
      <c r="T97" s="105"/>
      <c r="U97" s="105"/>
      <c r="V97" s="101"/>
      <c r="W97" s="101"/>
      <c r="X97" s="101"/>
      <c r="Y97" s="96"/>
      <c r="Z97" s="96"/>
      <c r="AA97" s="96"/>
      <c r="AC97" s="102"/>
      <c r="AD97" s="107" t="str">
        <f aca="false">IF($B97="","",IF(ISNUMBER($T97),$T97,IF(OR(NOT(ISNUMBER($Q97)),$S97=""),"",IFERROR(IF(ISNUMBER(INDEX(Lists!$AJ$2:$AJ$7,MATCH($S97,Lists!$AI$2:$AI$7,0))),$Q97+INDEX(Lists!$AJ$2:$AJ$7,MATCH($S97,Lists!$AI$2:$AI$7,0)),""),""))))</f>
        <v/>
      </c>
      <c r="AE97" s="104" t="str">
        <f aca="true">IF($B97="","",IF(AND(ISNUMBER($AD97),N($AD97)&lt;TODAY(),$N97&lt;&gt;"Done",$N97&lt;&gt;"Won't Fix",$N97&lt;&gt;"Duplicate"),"Yes","No"))</f>
        <v/>
      </c>
      <c r="AF97" s="101"/>
      <c r="AG97" s="108" t="str">
        <f aca="false">IF($AF97="","",IFERROR(VLOOKUP($AF97,'Application Portfolio'!$A$2:$B$1000,2,FALSE()),"Unknown App ID"))</f>
        <v/>
      </c>
      <c r="AH97" s="108" t="str">
        <f aca="false">IF(OR($B97="",$AF97=""),"",IFERROR(VLOOKUP($AF97,'Application Portfolio'!$A$2:$AB$1000,28,FALSE()),""))</f>
        <v/>
      </c>
    </row>
    <row r="98" customFormat="false" ht="15.75" hidden="false" customHeight="true" outlineLevel="0" collapsed="false">
      <c r="A98" s="100"/>
      <c r="B98" s="101"/>
      <c r="C98" s="101"/>
      <c r="D98" s="101"/>
      <c r="E98" s="101"/>
      <c r="F98" s="102"/>
      <c r="G98" s="102"/>
      <c r="H98" s="102"/>
      <c r="I98" s="102"/>
      <c r="J98" s="102"/>
      <c r="K98" s="102"/>
      <c r="L98" s="103" t="str">
        <f aca="false">IF(OR($B98="", $H98="", $I98="", $J98="", $K98=""),"",ROUND((VLOOKUP($H98,Lists!$E$2:$F$5,2,FALSE())*VLOOKUP($I98,Lists!$H$2:$I$4,2,FALSE())*VLOOKUP($J98,Lists!$K$2:$L$4,2,FALSE()))/VLOOKUP($K98,Lists!$N$2:$O$6,2,FALSE()),2))</f>
        <v/>
      </c>
      <c r="M98" s="104" t="str">
        <f aca="false">IF($B98="","",IF($AC98&lt;&gt;"",$AC98,IF($H98="Critical","P0",IF(NOT(ISNUMBER($L98)),"",IF($L98&gt;=Lists!$AM$2,"P0",IF($L98&gt;=Lists!$AM$3,"P1",IF($L98&gt;=Lists!$AM$4,"P2","P3")))))))</f>
        <v/>
      </c>
      <c r="N98" s="102"/>
      <c r="O98" s="101"/>
      <c r="P98" s="102"/>
      <c r="Q98" s="105"/>
      <c r="R98" s="106" t="str">
        <f aca="true">IF($Q98="","", TODAY()-$Q98)</f>
        <v/>
      </c>
      <c r="S98" s="102"/>
      <c r="T98" s="105"/>
      <c r="U98" s="105"/>
      <c r="V98" s="101"/>
      <c r="W98" s="101"/>
      <c r="X98" s="101"/>
      <c r="Y98" s="96"/>
      <c r="Z98" s="96"/>
      <c r="AA98" s="96"/>
      <c r="AC98" s="102"/>
      <c r="AD98" s="107" t="str">
        <f aca="false">IF($B98="","",IF(ISNUMBER($T98),$T98,IF(OR(NOT(ISNUMBER($Q98)),$S98=""),"",IFERROR(IF(ISNUMBER(INDEX(Lists!$AJ$2:$AJ$7,MATCH($S98,Lists!$AI$2:$AI$7,0))),$Q98+INDEX(Lists!$AJ$2:$AJ$7,MATCH($S98,Lists!$AI$2:$AI$7,0)),""),""))))</f>
        <v/>
      </c>
      <c r="AE98" s="104" t="str">
        <f aca="true">IF($B98="","",IF(AND(ISNUMBER($AD98),N($AD98)&lt;TODAY(),$N98&lt;&gt;"Done",$N98&lt;&gt;"Won't Fix",$N98&lt;&gt;"Duplicate"),"Yes","No"))</f>
        <v/>
      </c>
      <c r="AF98" s="101"/>
      <c r="AG98" s="108" t="str">
        <f aca="false">IF($AF98="","",IFERROR(VLOOKUP($AF98,'Application Portfolio'!$A$2:$B$1000,2,FALSE()),"Unknown App ID"))</f>
        <v/>
      </c>
      <c r="AH98" s="108" t="str">
        <f aca="false">IF(OR($B98="",$AF98=""),"",IFERROR(VLOOKUP($AF98,'Application Portfolio'!$A$2:$AB$1000,28,FALSE()),""))</f>
        <v/>
      </c>
    </row>
    <row r="99" customFormat="false" ht="15.75" hidden="false" customHeight="true" outlineLevel="0" collapsed="false">
      <c r="A99" s="100"/>
      <c r="B99" s="101"/>
      <c r="C99" s="101"/>
      <c r="D99" s="101"/>
      <c r="E99" s="101"/>
      <c r="F99" s="102"/>
      <c r="G99" s="102"/>
      <c r="H99" s="102"/>
      <c r="I99" s="102"/>
      <c r="J99" s="102"/>
      <c r="K99" s="102"/>
      <c r="L99" s="103" t="str">
        <f aca="false">IF(OR($B99="", $H99="", $I99="", $J99="", $K99=""),"",ROUND((VLOOKUP($H99,Lists!$E$2:$F$5,2,FALSE())*VLOOKUP($I99,Lists!$H$2:$I$4,2,FALSE())*VLOOKUP($J99,Lists!$K$2:$L$4,2,FALSE()))/VLOOKUP($K99,Lists!$N$2:$O$6,2,FALSE()),2))</f>
        <v/>
      </c>
      <c r="M99" s="104" t="str">
        <f aca="false">IF($B99="","",IF($AC99&lt;&gt;"",$AC99,IF($H99="Critical","P0",IF(NOT(ISNUMBER($L99)),"",IF($L99&gt;=Lists!$AM$2,"P0",IF($L99&gt;=Lists!$AM$3,"P1",IF($L99&gt;=Lists!$AM$4,"P2","P3")))))))</f>
        <v/>
      </c>
      <c r="N99" s="102"/>
      <c r="O99" s="101"/>
      <c r="P99" s="102"/>
      <c r="Q99" s="105"/>
      <c r="R99" s="106" t="str">
        <f aca="true">IF($Q99="","", TODAY()-$Q99)</f>
        <v/>
      </c>
      <c r="S99" s="102"/>
      <c r="T99" s="105"/>
      <c r="U99" s="105"/>
      <c r="V99" s="101"/>
      <c r="W99" s="101"/>
      <c r="X99" s="101"/>
      <c r="Y99" s="96"/>
      <c r="Z99" s="96"/>
      <c r="AA99" s="96"/>
      <c r="AC99" s="102"/>
      <c r="AD99" s="107" t="str">
        <f aca="false">IF($B99="","",IF(ISNUMBER($T99),$T99,IF(OR(NOT(ISNUMBER($Q99)),$S99=""),"",IFERROR(IF(ISNUMBER(INDEX(Lists!$AJ$2:$AJ$7,MATCH($S99,Lists!$AI$2:$AI$7,0))),$Q99+INDEX(Lists!$AJ$2:$AJ$7,MATCH($S99,Lists!$AI$2:$AI$7,0)),""),""))))</f>
        <v/>
      </c>
      <c r="AE99" s="104" t="str">
        <f aca="true">IF($B99="","",IF(AND(ISNUMBER($AD99),N($AD99)&lt;TODAY(),$N99&lt;&gt;"Done",$N99&lt;&gt;"Won't Fix",$N99&lt;&gt;"Duplicate"),"Yes","No"))</f>
        <v/>
      </c>
      <c r="AF99" s="101"/>
      <c r="AG99" s="108" t="str">
        <f aca="false">IF($AF99="","",IFERROR(VLOOKUP($AF99,'Application Portfolio'!$A$2:$B$1000,2,FALSE()),"Unknown App ID"))</f>
        <v/>
      </c>
      <c r="AH99" s="108" t="str">
        <f aca="false">IF(OR($B99="",$AF99=""),"",IFERROR(VLOOKUP($AF99,'Application Portfolio'!$A$2:$AB$1000,28,FALSE()),""))</f>
        <v/>
      </c>
    </row>
    <row r="100" customFormat="false" ht="15.75" hidden="false" customHeight="true" outlineLevel="0" collapsed="false">
      <c r="A100" s="100"/>
      <c r="B100" s="101"/>
      <c r="C100" s="101"/>
      <c r="D100" s="101"/>
      <c r="E100" s="101"/>
      <c r="F100" s="102"/>
      <c r="G100" s="102"/>
      <c r="H100" s="102"/>
      <c r="I100" s="102"/>
      <c r="J100" s="102"/>
      <c r="K100" s="102"/>
      <c r="L100" s="103" t="str">
        <f aca="false">IF(OR($B100="", $H100="", $I100="", $J100="", $K100=""),"",ROUND((VLOOKUP($H100,Lists!$E$2:$F$5,2,FALSE())*VLOOKUP($I100,Lists!$H$2:$I$4,2,FALSE())*VLOOKUP($J100,Lists!$K$2:$L$4,2,FALSE()))/VLOOKUP($K100,Lists!$N$2:$O$6,2,FALSE()),2))</f>
        <v/>
      </c>
      <c r="M100" s="104" t="str">
        <f aca="false">IF($B100="","",IF($AC100&lt;&gt;"",$AC100,IF($H100="Critical","P0",IF(NOT(ISNUMBER($L100)),"",IF($L100&gt;=Lists!$AM$2,"P0",IF($L100&gt;=Lists!$AM$3,"P1",IF($L100&gt;=Lists!$AM$4,"P2","P3")))))))</f>
        <v/>
      </c>
      <c r="N100" s="102"/>
      <c r="O100" s="101"/>
      <c r="P100" s="102"/>
      <c r="Q100" s="105"/>
      <c r="R100" s="106" t="str">
        <f aca="true">IF($Q100="","", TODAY()-$Q100)</f>
        <v/>
      </c>
      <c r="S100" s="102"/>
      <c r="T100" s="105"/>
      <c r="U100" s="105"/>
      <c r="V100" s="101"/>
      <c r="W100" s="101"/>
      <c r="X100" s="101"/>
      <c r="Y100" s="96"/>
      <c r="Z100" s="96"/>
      <c r="AA100" s="96"/>
      <c r="AC100" s="102"/>
      <c r="AD100" s="107" t="str">
        <f aca="false">IF($B100="","",IF(ISNUMBER($T100),$T100,IF(OR(NOT(ISNUMBER($Q100)),$S100=""),"",IFERROR(IF(ISNUMBER(INDEX(Lists!$AJ$2:$AJ$7,MATCH($S100,Lists!$AI$2:$AI$7,0))),$Q100+INDEX(Lists!$AJ$2:$AJ$7,MATCH($S100,Lists!$AI$2:$AI$7,0)),""),""))))</f>
        <v/>
      </c>
      <c r="AE100" s="104" t="str">
        <f aca="true">IF($B100="","",IF(AND(ISNUMBER($AD100),N($AD100)&lt;TODAY(),$N100&lt;&gt;"Done",$N100&lt;&gt;"Won't Fix",$N100&lt;&gt;"Duplicate"),"Yes","No"))</f>
        <v/>
      </c>
      <c r="AF100" s="101"/>
      <c r="AG100" s="108" t="str">
        <f aca="false">IF($AF100="","",IFERROR(VLOOKUP($AF100,'Application Portfolio'!$A$2:$B$1000,2,FALSE()),"Unknown App ID"))</f>
        <v/>
      </c>
      <c r="AH100" s="108" t="str">
        <f aca="false">IF(OR($B100="",$AF100=""),"",IFERROR(VLOOKUP($AF100,'Application Portfolio'!$A$2:$AB$1000,28,FALSE()),""))</f>
        <v/>
      </c>
    </row>
    <row r="101" customFormat="false" ht="15.75" hidden="false" customHeight="true" outlineLevel="0" collapsed="false">
      <c r="A101" s="100"/>
      <c r="B101" s="101"/>
      <c r="C101" s="101"/>
      <c r="D101" s="101"/>
      <c r="E101" s="101"/>
      <c r="F101" s="102"/>
      <c r="G101" s="102"/>
      <c r="H101" s="102"/>
      <c r="I101" s="102"/>
      <c r="J101" s="102"/>
      <c r="K101" s="102"/>
      <c r="L101" s="103" t="str">
        <f aca="false">IF(OR($B101="", $H101="", $I101="", $J101="", $K101=""),"",ROUND((VLOOKUP($H101,Lists!$E$2:$F$5,2,FALSE())*VLOOKUP($I101,Lists!$H$2:$I$4,2,FALSE())*VLOOKUP($J101,Lists!$K$2:$L$4,2,FALSE()))/VLOOKUP($K101,Lists!$N$2:$O$6,2,FALSE()),2))</f>
        <v/>
      </c>
      <c r="M101" s="104" t="str">
        <f aca="false">IF($B101="","",IF($AC101&lt;&gt;"",$AC101,IF($H101="Critical","P0",IF(NOT(ISNUMBER($L101)),"",IF($L101&gt;=Lists!$AM$2,"P0",IF($L101&gt;=Lists!$AM$3,"P1",IF($L101&gt;=Lists!$AM$4,"P2","P3")))))))</f>
        <v/>
      </c>
      <c r="N101" s="102"/>
      <c r="O101" s="101"/>
      <c r="P101" s="102"/>
      <c r="Q101" s="105"/>
      <c r="R101" s="106" t="str">
        <f aca="true">IF($Q101="","", TODAY()-$Q101)</f>
        <v/>
      </c>
      <c r="S101" s="102"/>
      <c r="T101" s="105"/>
      <c r="U101" s="105"/>
      <c r="V101" s="101"/>
      <c r="W101" s="101"/>
      <c r="X101" s="101"/>
      <c r="Y101" s="96"/>
      <c r="Z101" s="96"/>
      <c r="AA101" s="96"/>
      <c r="AC101" s="102"/>
      <c r="AD101" s="107" t="str">
        <f aca="false">IF($B101="","",IF(ISNUMBER($T101),$T101,IF(OR(NOT(ISNUMBER($Q101)),$S101=""),"",IFERROR(IF(ISNUMBER(INDEX(Lists!$AJ$2:$AJ$7,MATCH($S101,Lists!$AI$2:$AI$7,0))),$Q101+INDEX(Lists!$AJ$2:$AJ$7,MATCH($S101,Lists!$AI$2:$AI$7,0)),""),""))))</f>
        <v/>
      </c>
      <c r="AE101" s="104" t="str">
        <f aca="true">IF($B101="","",IF(AND(ISNUMBER($AD101),N($AD101)&lt;TODAY(),$N101&lt;&gt;"Done",$N101&lt;&gt;"Won't Fix",$N101&lt;&gt;"Duplicate"),"Yes","No"))</f>
        <v/>
      </c>
      <c r="AF101" s="101"/>
      <c r="AG101" s="108" t="str">
        <f aca="false">IF($AF101="","",IFERROR(VLOOKUP($AF101,'Application Portfolio'!$A$2:$B$1000,2,FALSE()),"Unknown App ID"))</f>
        <v/>
      </c>
      <c r="AH101" s="108" t="str">
        <f aca="false">IF(OR($B101="",$AF101=""),"",IFERROR(VLOOKUP($AF101,'Application Portfolio'!$A$2:$AB$1000,28,FALSE()),""))</f>
        <v/>
      </c>
    </row>
    <row r="102" customFormat="false" ht="15.75" hidden="false" customHeight="true" outlineLevel="0" collapsed="false">
      <c r="A102" s="100"/>
      <c r="B102" s="101"/>
      <c r="C102" s="101"/>
      <c r="D102" s="101"/>
      <c r="E102" s="101"/>
      <c r="F102" s="102"/>
      <c r="G102" s="102"/>
      <c r="H102" s="102"/>
      <c r="I102" s="102"/>
      <c r="J102" s="102"/>
      <c r="K102" s="102"/>
      <c r="L102" s="103" t="str">
        <f aca="false">IF(OR($B102="", $H102="", $I102="", $J102="", $K102=""),"",ROUND((VLOOKUP($H102,Lists!$E$2:$F$5,2,FALSE())*VLOOKUP($I102,Lists!$H$2:$I$4,2,FALSE())*VLOOKUP($J102,Lists!$K$2:$L$4,2,FALSE()))/VLOOKUP($K102,Lists!$N$2:$O$6,2,FALSE()),2))</f>
        <v/>
      </c>
      <c r="M102" s="104" t="str">
        <f aca="false">IF($B102="","",IF($AC102&lt;&gt;"",$AC102,IF($H102="Critical","P0",IF(NOT(ISNUMBER($L102)),"",IF($L102&gt;=Lists!$AM$2,"P0",IF($L102&gt;=Lists!$AM$3,"P1",IF($L102&gt;=Lists!$AM$4,"P2","P3")))))))</f>
        <v/>
      </c>
      <c r="N102" s="102"/>
      <c r="O102" s="101"/>
      <c r="P102" s="102"/>
      <c r="Q102" s="105"/>
      <c r="R102" s="106" t="str">
        <f aca="true">IF($Q102="","", TODAY()-$Q102)</f>
        <v/>
      </c>
      <c r="S102" s="102"/>
      <c r="T102" s="105"/>
      <c r="U102" s="105"/>
      <c r="V102" s="101"/>
      <c r="W102" s="101"/>
      <c r="X102" s="101"/>
      <c r="Y102" s="96"/>
      <c r="Z102" s="96"/>
      <c r="AA102" s="96"/>
      <c r="AC102" s="102"/>
      <c r="AD102" s="107" t="str">
        <f aca="false">IF($B102="","",IF(ISNUMBER($T102),$T102,IF(OR(NOT(ISNUMBER($Q102)),$S102=""),"",IFERROR(IF(ISNUMBER(INDEX(Lists!$AJ$2:$AJ$7,MATCH($S102,Lists!$AI$2:$AI$7,0))),$Q102+INDEX(Lists!$AJ$2:$AJ$7,MATCH($S102,Lists!$AI$2:$AI$7,0)),""),""))))</f>
        <v/>
      </c>
      <c r="AE102" s="104" t="str">
        <f aca="true">IF($B102="","",IF(AND(ISNUMBER($AD102),N($AD102)&lt;TODAY(),$N102&lt;&gt;"Done",$N102&lt;&gt;"Won't Fix",$N102&lt;&gt;"Duplicate"),"Yes","No"))</f>
        <v/>
      </c>
      <c r="AF102" s="101"/>
      <c r="AG102" s="108" t="str">
        <f aca="false">IF($AF102="","",IFERROR(VLOOKUP($AF102,'Application Portfolio'!$A$2:$B$1000,2,FALSE()),"Unknown App ID"))</f>
        <v/>
      </c>
      <c r="AH102" s="108" t="str">
        <f aca="false">IF(OR($B102="",$AF102=""),"",IFERROR(VLOOKUP($AF102,'Application Portfolio'!$A$2:$AB$1000,28,FALSE()),""))</f>
        <v/>
      </c>
    </row>
    <row r="103" customFormat="false" ht="15.75" hidden="false" customHeight="true" outlineLevel="0" collapsed="false">
      <c r="A103" s="100"/>
      <c r="B103" s="101"/>
      <c r="C103" s="101"/>
      <c r="D103" s="101"/>
      <c r="E103" s="101"/>
      <c r="F103" s="102"/>
      <c r="G103" s="102"/>
      <c r="H103" s="102"/>
      <c r="I103" s="102"/>
      <c r="J103" s="102"/>
      <c r="K103" s="102"/>
      <c r="L103" s="103" t="str">
        <f aca="false">IF(OR($B103="", $H103="", $I103="", $J103="", $K103=""),"",ROUND((VLOOKUP($H103,Lists!$E$2:$F$5,2,FALSE())*VLOOKUP($I103,Lists!$H$2:$I$4,2,FALSE())*VLOOKUP($J103,Lists!$K$2:$L$4,2,FALSE()))/VLOOKUP($K103,Lists!$N$2:$O$6,2,FALSE()),2))</f>
        <v/>
      </c>
      <c r="M103" s="104" t="str">
        <f aca="false">IF($B103="","",IF($AC103&lt;&gt;"",$AC103,IF($H103="Critical","P0",IF(NOT(ISNUMBER($L103)),"",IF($L103&gt;=Lists!$AM$2,"P0",IF($L103&gt;=Lists!$AM$3,"P1",IF($L103&gt;=Lists!$AM$4,"P2","P3")))))))</f>
        <v/>
      </c>
      <c r="N103" s="102"/>
      <c r="O103" s="101"/>
      <c r="P103" s="102"/>
      <c r="Q103" s="105"/>
      <c r="R103" s="106" t="str">
        <f aca="true">IF($Q103="","", TODAY()-$Q103)</f>
        <v/>
      </c>
      <c r="S103" s="102"/>
      <c r="T103" s="105"/>
      <c r="U103" s="105"/>
      <c r="V103" s="101"/>
      <c r="W103" s="101"/>
      <c r="X103" s="101"/>
      <c r="Y103" s="96"/>
      <c r="Z103" s="96"/>
      <c r="AA103" s="96"/>
      <c r="AC103" s="102"/>
      <c r="AD103" s="107" t="str">
        <f aca="false">IF($B103="","",IF(ISNUMBER($T103),$T103,IF(OR(NOT(ISNUMBER($Q103)),$S103=""),"",IFERROR(IF(ISNUMBER(INDEX(Lists!$AJ$2:$AJ$7,MATCH($S103,Lists!$AI$2:$AI$7,0))),$Q103+INDEX(Lists!$AJ$2:$AJ$7,MATCH($S103,Lists!$AI$2:$AI$7,0)),""),""))))</f>
        <v/>
      </c>
      <c r="AE103" s="104" t="str">
        <f aca="true">IF($B103="","",IF(AND(ISNUMBER($AD103),N($AD103)&lt;TODAY(),$N103&lt;&gt;"Done",$N103&lt;&gt;"Won't Fix",$N103&lt;&gt;"Duplicate"),"Yes","No"))</f>
        <v/>
      </c>
      <c r="AF103" s="101"/>
      <c r="AG103" s="108" t="str">
        <f aca="false">IF($AF103="","",IFERROR(VLOOKUP($AF103,'Application Portfolio'!$A$2:$B$1000,2,FALSE()),"Unknown App ID"))</f>
        <v/>
      </c>
      <c r="AH103" s="108" t="str">
        <f aca="false">IF(OR($B103="",$AF103=""),"",IFERROR(VLOOKUP($AF103,'Application Portfolio'!$A$2:$AB$1000,28,FALSE()),""))</f>
        <v/>
      </c>
    </row>
    <row r="104" customFormat="false" ht="15.75" hidden="false" customHeight="true" outlineLevel="0" collapsed="false">
      <c r="A104" s="100"/>
      <c r="B104" s="101"/>
      <c r="C104" s="101"/>
      <c r="D104" s="101"/>
      <c r="E104" s="101"/>
      <c r="F104" s="102"/>
      <c r="G104" s="102"/>
      <c r="H104" s="102"/>
      <c r="I104" s="102"/>
      <c r="J104" s="102"/>
      <c r="K104" s="102"/>
      <c r="L104" s="103" t="str">
        <f aca="false">IF(OR($B104="", $H104="", $I104="", $J104="", $K104=""),"",ROUND((VLOOKUP($H104,Lists!$E$2:$F$5,2,FALSE())*VLOOKUP($I104,Lists!$H$2:$I$4,2,FALSE())*VLOOKUP($J104,Lists!$K$2:$L$4,2,FALSE()))/VLOOKUP($K104,Lists!$N$2:$O$6,2,FALSE()),2))</f>
        <v/>
      </c>
      <c r="M104" s="104" t="str">
        <f aca="false">IF($B104="","",IF($AC104&lt;&gt;"",$AC104,IF($H104="Critical","P0",IF(NOT(ISNUMBER($L104)),"",IF($L104&gt;=Lists!$AM$2,"P0",IF($L104&gt;=Lists!$AM$3,"P1",IF($L104&gt;=Lists!$AM$4,"P2","P3")))))))</f>
        <v/>
      </c>
      <c r="N104" s="102"/>
      <c r="O104" s="101"/>
      <c r="P104" s="102"/>
      <c r="Q104" s="105"/>
      <c r="R104" s="106" t="str">
        <f aca="true">IF($Q104="","", TODAY()-$Q104)</f>
        <v/>
      </c>
      <c r="S104" s="102"/>
      <c r="T104" s="105"/>
      <c r="U104" s="105"/>
      <c r="V104" s="101"/>
      <c r="W104" s="101"/>
      <c r="X104" s="101"/>
      <c r="Y104" s="96"/>
      <c r="Z104" s="96"/>
      <c r="AA104" s="96"/>
      <c r="AC104" s="102"/>
      <c r="AD104" s="107" t="str">
        <f aca="false">IF($B104="","",IF(ISNUMBER($T104),$T104,IF(OR(NOT(ISNUMBER($Q104)),$S104=""),"",IFERROR(IF(ISNUMBER(INDEX(Lists!$AJ$2:$AJ$7,MATCH($S104,Lists!$AI$2:$AI$7,0))),$Q104+INDEX(Lists!$AJ$2:$AJ$7,MATCH($S104,Lists!$AI$2:$AI$7,0)),""),""))))</f>
        <v/>
      </c>
      <c r="AE104" s="104" t="str">
        <f aca="true">IF($B104="","",IF(AND(ISNUMBER($AD104),N($AD104)&lt;TODAY(),$N104&lt;&gt;"Done",$N104&lt;&gt;"Won't Fix",$N104&lt;&gt;"Duplicate"),"Yes","No"))</f>
        <v/>
      </c>
      <c r="AF104" s="101"/>
      <c r="AG104" s="108" t="str">
        <f aca="false">IF($AF104="","",IFERROR(VLOOKUP($AF104,'Application Portfolio'!$A$2:$B$1000,2,FALSE()),"Unknown App ID"))</f>
        <v/>
      </c>
      <c r="AH104" s="108" t="str">
        <f aca="false">IF(OR($B104="",$AF104=""),"",IFERROR(VLOOKUP($AF104,'Application Portfolio'!$A$2:$AB$1000,28,FALSE()),""))</f>
        <v/>
      </c>
    </row>
    <row r="105" customFormat="false" ht="15.75" hidden="false" customHeight="true" outlineLevel="0" collapsed="false">
      <c r="A105" s="100"/>
      <c r="B105" s="101"/>
      <c r="C105" s="101"/>
      <c r="D105" s="101"/>
      <c r="E105" s="101"/>
      <c r="F105" s="102"/>
      <c r="G105" s="102"/>
      <c r="H105" s="102"/>
      <c r="I105" s="102"/>
      <c r="J105" s="102"/>
      <c r="K105" s="102"/>
      <c r="L105" s="103" t="str">
        <f aca="false">IF(OR($B105="", $H105="", $I105="", $J105="", $K105=""),"",ROUND((VLOOKUP($H105,Lists!$E$2:$F$5,2,FALSE())*VLOOKUP($I105,Lists!$H$2:$I$4,2,FALSE())*VLOOKUP($J105,Lists!$K$2:$L$4,2,FALSE()))/VLOOKUP($K105,Lists!$N$2:$O$6,2,FALSE()),2))</f>
        <v/>
      </c>
      <c r="M105" s="104" t="str">
        <f aca="false">IF($B105="","",IF($AC105&lt;&gt;"",$AC105,IF($H105="Critical","P0",IF(NOT(ISNUMBER($L105)),"",IF($L105&gt;=Lists!$AM$2,"P0",IF($L105&gt;=Lists!$AM$3,"P1",IF($L105&gt;=Lists!$AM$4,"P2","P3")))))))</f>
        <v/>
      </c>
      <c r="N105" s="102"/>
      <c r="O105" s="101"/>
      <c r="P105" s="102"/>
      <c r="Q105" s="105"/>
      <c r="R105" s="106" t="str">
        <f aca="true">IF($Q105="","", TODAY()-$Q105)</f>
        <v/>
      </c>
      <c r="S105" s="102"/>
      <c r="T105" s="105"/>
      <c r="U105" s="105"/>
      <c r="V105" s="101"/>
      <c r="W105" s="101"/>
      <c r="X105" s="101"/>
      <c r="Y105" s="96"/>
      <c r="Z105" s="96"/>
      <c r="AA105" s="96"/>
      <c r="AC105" s="102"/>
      <c r="AD105" s="107" t="str">
        <f aca="false">IF($B105="","",IF(ISNUMBER($T105),$T105,IF(OR(NOT(ISNUMBER($Q105)),$S105=""),"",IFERROR(IF(ISNUMBER(INDEX(Lists!$AJ$2:$AJ$7,MATCH($S105,Lists!$AI$2:$AI$7,0))),$Q105+INDEX(Lists!$AJ$2:$AJ$7,MATCH($S105,Lists!$AI$2:$AI$7,0)),""),""))))</f>
        <v/>
      </c>
      <c r="AE105" s="104" t="str">
        <f aca="true">IF($B105="","",IF(AND(ISNUMBER($AD105),N($AD105)&lt;TODAY(),$N105&lt;&gt;"Done",$N105&lt;&gt;"Won't Fix",$N105&lt;&gt;"Duplicate"),"Yes","No"))</f>
        <v/>
      </c>
      <c r="AF105" s="101"/>
      <c r="AG105" s="108" t="str">
        <f aca="false">IF($AF105="","",IFERROR(VLOOKUP($AF105,'Application Portfolio'!$A$2:$B$1000,2,FALSE()),"Unknown App ID"))</f>
        <v/>
      </c>
      <c r="AH105" s="108" t="str">
        <f aca="false">IF(OR($B105="",$AF105=""),"",IFERROR(VLOOKUP($AF105,'Application Portfolio'!$A$2:$AB$1000,28,FALSE()),""))</f>
        <v/>
      </c>
    </row>
    <row r="106" customFormat="false" ht="15.75" hidden="false" customHeight="true" outlineLevel="0" collapsed="false">
      <c r="A106" s="100"/>
      <c r="B106" s="101"/>
      <c r="C106" s="101"/>
      <c r="D106" s="101"/>
      <c r="E106" s="101"/>
      <c r="F106" s="102"/>
      <c r="G106" s="102"/>
      <c r="H106" s="102"/>
      <c r="I106" s="102"/>
      <c r="J106" s="102"/>
      <c r="K106" s="102"/>
      <c r="L106" s="103" t="str">
        <f aca="false">IF(OR($B106="", $H106="", $I106="", $J106="", $K106=""),"",ROUND((VLOOKUP($H106,Lists!$E$2:$F$5,2,FALSE())*VLOOKUP($I106,Lists!$H$2:$I$4,2,FALSE())*VLOOKUP($J106,Lists!$K$2:$L$4,2,FALSE()))/VLOOKUP($K106,Lists!$N$2:$O$6,2,FALSE()),2))</f>
        <v/>
      </c>
      <c r="M106" s="104" t="str">
        <f aca="false">IF($B106="","",IF($AC106&lt;&gt;"",$AC106,IF($H106="Critical","P0",IF(NOT(ISNUMBER($L106)),"",IF($L106&gt;=Lists!$AM$2,"P0",IF($L106&gt;=Lists!$AM$3,"P1",IF($L106&gt;=Lists!$AM$4,"P2","P3")))))))</f>
        <v/>
      </c>
      <c r="N106" s="102"/>
      <c r="O106" s="101"/>
      <c r="P106" s="102"/>
      <c r="Q106" s="105"/>
      <c r="R106" s="106" t="str">
        <f aca="true">IF($Q106="","", TODAY()-$Q106)</f>
        <v/>
      </c>
      <c r="S106" s="102"/>
      <c r="T106" s="105"/>
      <c r="U106" s="105"/>
      <c r="V106" s="101"/>
      <c r="W106" s="101"/>
      <c r="X106" s="101"/>
      <c r="Y106" s="96"/>
      <c r="Z106" s="96"/>
      <c r="AA106" s="96"/>
      <c r="AC106" s="102"/>
      <c r="AD106" s="107" t="str">
        <f aca="false">IF($B106="","",IF(ISNUMBER($T106),$T106,IF(OR(NOT(ISNUMBER($Q106)),$S106=""),"",IFERROR(IF(ISNUMBER(INDEX(Lists!$AJ$2:$AJ$7,MATCH($S106,Lists!$AI$2:$AI$7,0))),$Q106+INDEX(Lists!$AJ$2:$AJ$7,MATCH($S106,Lists!$AI$2:$AI$7,0)),""),""))))</f>
        <v/>
      </c>
      <c r="AE106" s="104" t="str">
        <f aca="true">IF($B106="","",IF(AND(ISNUMBER($AD106),N($AD106)&lt;TODAY(),$N106&lt;&gt;"Done",$N106&lt;&gt;"Won't Fix",$N106&lt;&gt;"Duplicate"),"Yes","No"))</f>
        <v/>
      </c>
      <c r="AF106" s="101"/>
      <c r="AG106" s="108" t="str">
        <f aca="false">IF($AF106="","",IFERROR(VLOOKUP($AF106,'Application Portfolio'!$A$2:$B$1000,2,FALSE()),"Unknown App ID"))</f>
        <v/>
      </c>
      <c r="AH106" s="108" t="str">
        <f aca="false">IF(OR($B106="",$AF106=""),"",IFERROR(VLOOKUP($AF106,'Application Portfolio'!$A$2:$AB$1000,28,FALSE()),""))</f>
        <v/>
      </c>
    </row>
    <row r="107" customFormat="false" ht="15.75" hidden="false" customHeight="true" outlineLevel="0" collapsed="false">
      <c r="A107" s="100"/>
      <c r="B107" s="101"/>
      <c r="C107" s="101"/>
      <c r="D107" s="101"/>
      <c r="E107" s="101"/>
      <c r="F107" s="102"/>
      <c r="G107" s="102"/>
      <c r="H107" s="102"/>
      <c r="I107" s="102"/>
      <c r="J107" s="102"/>
      <c r="K107" s="102"/>
      <c r="L107" s="103" t="str">
        <f aca="false">IF(OR($B107="", $H107="", $I107="", $J107="", $K107=""),"",ROUND((VLOOKUP($H107,Lists!$E$2:$F$5,2,FALSE())*VLOOKUP($I107,Lists!$H$2:$I$4,2,FALSE())*VLOOKUP($J107,Lists!$K$2:$L$4,2,FALSE()))/VLOOKUP($K107,Lists!$N$2:$O$6,2,FALSE()),2))</f>
        <v/>
      </c>
      <c r="M107" s="104" t="str">
        <f aca="false">IF($B107="","",IF($AC107&lt;&gt;"",$AC107,IF($H107="Critical","P0",IF(NOT(ISNUMBER($L107)),"",IF($L107&gt;=Lists!$AM$2,"P0",IF($L107&gt;=Lists!$AM$3,"P1",IF($L107&gt;=Lists!$AM$4,"P2","P3")))))))</f>
        <v/>
      </c>
      <c r="N107" s="102"/>
      <c r="O107" s="101"/>
      <c r="P107" s="102"/>
      <c r="Q107" s="105"/>
      <c r="R107" s="106" t="str">
        <f aca="true">IF($Q107="","", TODAY()-$Q107)</f>
        <v/>
      </c>
      <c r="S107" s="102"/>
      <c r="T107" s="105"/>
      <c r="U107" s="105"/>
      <c r="V107" s="101"/>
      <c r="W107" s="101"/>
      <c r="X107" s="101"/>
      <c r="Y107" s="96"/>
      <c r="Z107" s="96"/>
      <c r="AA107" s="96"/>
      <c r="AC107" s="102"/>
      <c r="AD107" s="107" t="str">
        <f aca="false">IF($B107="","",IF(ISNUMBER($T107),$T107,IF(OR(NOT(ISNUMBER($Q107)),$S107=""),"",IFERROR(IF(ISNUMBER(INDEX(Lists!$AJ$2:$AJ$7,MATCH($S107,Lists!$AI$2:$AI$7,0))),$Q107+INDEX(Lists!$AJ$2:$AJ$7,MATCH($S107,Lists!$AI$2:$AI$7,0)),""),""))))</f>
        <v/>
      </c>
      <c r="AE107" s="104" t="str">
        <f aca="true">IF($B107="","",IF(AND(ISNUMBER($AD107),N($AD107)&lt;TODAY(),$N107&lt;&gt;"Done",$N107&lt;&gt;"Won't Fix",$N107&lt;&gt;"Duplicate"),"Yes","No"))</f>
        <v/>
      </c>
      <c r="AF107" s="101"/>
      <c r="AG107" s="108" t="str">
        <f aca="false">IF($AF107="","",IFERROR(VLOOKUP($AF107,'Application Portfolio'!$A$2:$B$1000,2,FALSE()),"Unknown App ID"))</f>
        <v/>
      </c>
      <c r="AH107" s="108" t="str">
        <f aca="false">IF(OR($B107="",$AF107=""),"",IFERROR(VLOOKUP($AF107,'Application Portfolio'!$A$2:$AB$1000,28,FALSE()),""))</f>
        <v/>
      </c>
    </row>
    <row r="108" customFormat="false" ht="15.75" hidden="false" customHeight="true" outlineLevel="0" collapsed="false">
      <c r="A108" s="100"/>
      <c r="B108" s="101"/>
      <c r="C108" s="101"/>
      <c r="D108" s="101"/>
      <c r="E108" s="101"/>
      <c r="F108" s="102"/>
      <c r="G108" s="102"/>
      <c r="H108" s="102"/>
      <c r="I108" s="102"/>
      <c r="J108" s="102"/>
      <c r="K108" s="102"/>
      <c r="L108" s="103" t="str">
        <f aca="false">IF(OR($B108="", $H108="", $I108="", $J108="", $K108=""),"",ROUND((VLOOKUP($H108,Lists!$E$2:$F$5,2,FALSE())*VLOOKUP($I108,Lists!$H$2:$I$4,2,FALSE())*VLOOKUP($J108,Lists!$K$2:$L$4,2,FALSE()))/VLOOKUP($K108,Lists!$N$2:$O$6,2,FALSE()),2))</f>
        <v/>
      </c>
      <c r="M108" s="104" t="str">
        <f aca="false">IF($B108="","",IF($AC108&lt;&gt;"",$AC108,IF($H108="Critical","P0",IF(NOT(ISNUMBER($L108)),"",IF($L108&gt;=Lists!$AM$2,"P0",IF($L108&gt;=Lists!$AM$3,"P1",IF($L108&gt;=Lists!$AM$4,"P2","P3")))))))</f>
        <v/>
      </c>
      <c r="N108" s="102"/>
      <c r="O108" s="101"/>
      <c r="P108" s="102"/>
      <c r="Q108" s="105"/>
      <c r="R108" s="106" t="str">
        <f aca="true">IF($Q108="","", TODAY()-$Q108)</f>
        <v/>
      </c>
      <c r="S108" s="102"/>
      <c r="T108" s="105"/>
      <c r="U108" s="105"/>
      <c r="V108" s="101"/>
      <c r="W108" s="101"/>
      <c r="X108" s="101"/>
      <c r="Y108" s="96"/>
      <c r="Z108" s="96"/>
      <c r="AA108" s="96"/>
      <c r="AC108" s="102"/>
      <c r="AD108" s="107" t="str">
        <f aca="false">IF($B108="","",IF(ISNUMBER($T108),$T108,IF(OR(NOT(ISNUMBER($Q108)),$S108=""),"",IFERROR(IF(ISNUMBER(INDEX(Lists!$AJ$2:$AJ$7,MATCH($S108,Lists!$AI$2:$AI$7,0))),$Q108+INDEX(Lists!$AJ$2:$AJ$7,MATCH($S108,Lists!$AI$2:$AI$7,0)),""),""))))</f>
        <v/>
      </c>
      <c r="AE108" s="104" t="str">
        <f aca="true">IF($B108="","",IF(AND(ISNUMBER($AD108),N($AD108)&lt;TODAY(),$N108&lt;&gt;"Done",$N108&lt;&gt;"Won't Fix",$N108&lt;&gt;"Duplicate"),"Yes","No"))</f>
        <v/>
      </c>
      <c r="AF108" s="101"/>
      <c r="AG108" s="108" t="str">
        <f aca="false">IF($AF108="","",IFERROR(VLOOKUP($AF108,'Application Portfolio'!$A$2:$B$1000,2,FALSE()),"Unknown App ID"))</f>
        <v/>
      </c>
      <c r="AH108" s="108" t="str">
        <f aca="false">IF(OR($B108="",$AF108=""),"",IFERROR(VLOOKUP($AF108,'Application Portfolio'!$A$2:$AB$1000,28,FALSE()),""))</f>
        <v/>
      </c>
    </row>
    <row r="109" customFormat="false" ht="15.75" hidden="false" customHeight="true" outlineLevel="0" collapsed="false">
      <c r="A109" s="100"/>
      <c r="B109" s="101"/>
      <c r="C109" s="101"/>
      <c r="D109" s="101"/>
      <c r="E109" s="101"/>
      <c r="F109" s="102"/>
      <c r="G109" s="102"/>
      <c r="H109" s="102"/>
      <c r="I109" s="102"/>
      <c r="J109" s="102"/>
      <c r="K109" s="102"/>
      <c r="L109" s="103" t="str">
        <f aca="false">IF(OR($B109="", $H109="", $I109="", $J109="", $K109=""),"",ROUND((VLOOKUP($H109,Lists!$E$2:$F$5,2,FALSE())*VLOOKUP($I109,Lists!$H$2:$I$4,2,FALSE())*VLOOKUP($J109,Lists!$K$2:$L$4,2,FALSE()))/VLOOKUP($K109,Lists!$N$2:$O$6,2,FALSE()),2))</f>
        <v/>
      </c>
      <c r="M109" s="104" t="str">
        <f aca="false">IF($B109="","",IF($AC109&lt;&gt;"",$AC109,IF($H109="Critical","P0",IF(NOT(ISNUMBER($L109)),"",IF($L109&gt;=Lists!$AM$2,"P0",IF($L109&gt;=Lists!$AM$3,"P1",IF($L109&gt;=Lists!$AM$4,"P2","P3")))))))</f>
        <v/>
      </c>
      <c r="N109" s="102"/>
      <c r="O109" s="101"/>
      <c r="P109" s="102"/>
      <c r="Q109" s="105"/>
      <c r="R109" s="106" t="str">
        <f aca="true">IF($Q109="","", TODAY()-$Q109)</f>
        <v/>
      </c>
      <c r="S109" s="102"/>
      <c r="T109" s="105"/>
      <c r="U109" s="105"/>
      <c r="V109" s="101"/>
      <c r="W109" s="101"/>
      <c r="X109" s="101"/>
      <c r="Y109" s="96"/>
      <c r="Z109" s="96"/>
      <c r="AA109" s="96"/>
      <c r="AC109" s="102"/>
      <c r="AD109" s="107" t="str">
        <f aca="false">IF($B109="","",IF(ISNUMBER($T109),$T109,IF(OR(NOT(ISNUMBER($Q109)),$S109=""),"",IFERROR(IF(ISNUMBER(INDEX(Lists!$AJ$2:$AJ$7,MATCH($S109,Lists!$AI$2:$AI$7,0))),$Q109+INDEX(Lists!$AJ$2:$AJ$7,MATCH($S109,Lists!$AI$2:$AI$7,0)),""),""))))</f>
        <v/>
      </c>
      <c r="AE109" s="104" t="str">
        <f aca="true">IF($B109="","",IF(AND(ISNUMBER($AD109),N($AD109)&lt;TODAY(),$N109&lt;&gt;"Done",$N109&lt;&gt;"Won't Fix",$N109&lt;&gt;"Duplicate"),"Yes","No"))</f>
        <v/>
      </c>
      <c r="AF109" s="101"/>
      <c r="AG109" s="108" t="str">
        <f aca="false">IF($AF109="","",IFERROR(VLOOKUP($AF109,'Application Portfolio'!$A$2:$B$1000,2,FALSE()),"Unknown App ID"))</f>
        <v/>
      </c>
      <c r="AH109" s="108" t="str">
        <f aca="false">IF(OR($B109="",$AF109=""),"",IFERROR(VLOOKUP($AF109,'Application Portfolio'!$A$2:$AB$1000,28,FALSE()),""))</f>
        <v/>
      </c>
    </row>
    <row r="110" customFormat="false" ht="15.75" hidden="false" customHeight="true" outlineLevel="0" collapsed="false">
      <c r="A110" s="100"/>
      <c r="B110" s="101"/>
      <c r="C110" s="101"/>
      <c r="D110" s="101"/>
      <c r="E110" s="101"/>
      <c r="F110" s="102"/>
      <c r="G110" s="102"/>
      <c r="H110" s="102"/>
      <c r="I110" s="102"/>
      <c r="J110" s="102"/>
      <c r="K110" s="102"/>
      <c r="L110" s="103" t="str">
        <f aca="false">IF(OR($B110="", $H110="", $I110="", $J110="", $K110=""),"",ROUND((VLOOKUP($H110,Lists!$E$2:$F$5,2,FALSE())*VLOOKUP($I110,Lists!$H$2:$I$4,2,FALSE())*VLOOKUP($J110,Lists!$K$2:$L$4,2,FALSE()))/VLOOKUP($K110,Lists!$N$2:$O$6,2,FALSE()),2))</f>
        <v/>
      </c>
      <c r="M110" s="104" t="str">
        <f aca="false">IF($B110="","",IF($AC110&lt;&gt;"",$AC110,IF($H110="Critical","P0",IF(NOT(ISNUMBER($L110)),"",IF($L110&gt;=Lists!$AM$2,"P0",IF($L110&gt;=Lists!$AM$3,"P1",IF($L110&gt;=Lists!$AM$4,"P2","P3")))))))</f>
        <v/>
      </c>
      <c r="N110" s="102"/>
      <c r="O110" s="101"/>
      <c r="P110" s="102"/>
      <c r="Q110" s="105"/>
      <c r="R110" s="106" t="str">
        <f aca="true">IF($Q110="","", TODAY()-$Q110)</f>
        <v/>
      </c>
      <c r="S110" s="102"/>
      <c r="T110" s="105"/>
      <c r="U110" s="105"/>
      <c r="V110" s="101"/>
      <c r="W110" s="101"/>
      <c r="X110" s="101"/>
      <c r="Y110" s="96"/>
      <c r="Z110" s="96"/>
      <c r="AA110" s="96"/>
      <c r="AC110" s="102"/>
      <c r="AD110" s="107" t="str">
        <f aca="false">IF($B110="","",IF(ISNUMBER($T110),$T110,IF(OR(NOT(ISNUMBER($Q110)),$S110=""),"",IFERROR(IF(ISNUMBER(INDEX(Lists!$AJ$2:$AJ$7,MATCH($S110,Lists!$AI$2:$AI$7,0))),$Q110+INDEX(Lists!$AJ$2:$AJ$7,MATCH($S110,Lists!$AI$2:$AI$7,0)),""),""))))</f>
        <v/>
      </c>
      <c r="AE110" s="104" t="str">
        <f aca="true">IF($B110="","",IF(AND(ISNUMBER($AD110),N($AD110)&lt;TODAY(),$N110&lt;&gt;"Done",$N110&lt;&gt;"Won't Fix",$N110&lt;&gt;"Duplicate"),"Yes","No"))</f>
        <v/>
      </c>
      <c r="AF110" s="101"/>
      <c r="AG110" s="108" t="str">
        <f aca="false">IF($AF110="","",IFERROR(VLOOKUP($AF110,'Application Portfolio'!$A$2:$B$1000,2,FALSE()),"Unknown App ID"))</f>
        <v/>
      </c>
      <c r="AH110" s="108" t="str">
        <f aca="false">IF(OR($B110="",$AF110=""),"",IFERROR(VLOOKUP($AF110,'Application Portfolio'!$A$2:$AB$1000,28,FALSE()),""))</f>
        <v/>
      </c>
    </row>
    <row r="111" customFormat="false" ht="15.75" hidden="false" customHeight="true" outlineLevel="0" collapsed="false">
      <c r="A111" s="100"/>
      <c r="B111" s="101"/>
      <c r="C111" s="101"/>
      <c r="D111" s="101"/>
      <c r="E111" s="101"/>
      <c r="F111" s="102"/>
      <c r="G111" s="102"/>
      <c r="H111" s="102"/>
      <c r="I111" s="102"/>
      <c r="J111" s="102"/>
      <c r="K111" s="102"/>
      <c r="L111" s="103" t="str">
        <f aca="false">IF(OR($B111="", $H111="", $I111="", $J111="", $K111=""),"",ROUND((VLOOKUP($H111,Lists!$E$2:$F$5,2,FALSE())*VLOOKUP($I111,Lists!$H$2:$I$4,2,FALSE())*VLOOKUP($J111,Lists!$K$2:$L$4,2,FALSE()))/VLOOKUP($K111,Lists!$N$2:$O$6,2,FALSE()),2))</f>
        <v/>
      </c>
      <c r="M111" s="104" t="str">
        <f aca="false">IF($B111="","",IF($AC111&lt;&gt;"",$AC111,IF($H111="Critical","P0",IF(NOT(ISNUMBER($L111)),"",IF($L111&gt;=Lists!$AM$2,"P0",IF($L111&gt;=Lists!$AM$3,"P1",IF($L111&gt;=Lists!$AM$4,"P2","P3")))))))</f>
        <v/>
      </c>
      <c r="N111" s="102"/>
      <c r="O111" s="101"/>
      <c r="P111" s="102"/>
      <c r="Q111" s="105"/>
      <c r="R111" s="106" t="str">
        <f aca="true">IF($Q111="","", TODAY()-$Q111)</f>
        <v/>
      </c>
      <c r="S111" s="102"/>
      <c r="T111" s="105"/>
      <c r="U111" s="105"/>
      <c r="V111" s="101"/>
      <c r="W111" s="101"/>
      <c r="X111" s="101"/>
      <c r="Y111" s="96"/>
      <c r="Z111" s="96"/>
      <c r="AA111" s="96"/>
      <c r="AC111" s="102"/>
      <c r="AD111" s="107" t="str">
        <f aca="false">IF($B111="","",IF(ISNUMBER($T111),$T111,IF(OR(NOT(ISNUMBER($Q111)),$S111=""),"",IFERROR(IF(ISNUMBER(INDEX(Lists!$AJ$2:$AJ$7,MATCH($S111,Lists!$AI$2:$AI$7,0))),$Q111+INDEX(Lists!$AJ$2:$AJ$7,MATCH($S111,Lists!$AI$2:$AI$7,0)),""),""))))</f>
        <v/>
      </c>
      <c r="AE111" s="104" t="str">
        <f aca="true">IF($B111="","",IF(AND(ISNUMBER($AD111),N($AD111)&lt;TODAY(),$N111&lt;&gt;"Done",$N111&lt;&gt;"Won't Fix",$N111&lt;&gt;"Duplicate"),"Yes","No"))</f>
        <v/>
      </c>
      <c r="AF111" s="101"/>
      <c r="AG111" s="108" t="str">
        <f aca="false">IF($AF111="","",IFERROR(VLOOKUP($AF111,'Application Portfolio'!$A$2:$B$1000,2,FALSE()),"Unknown App ID"))</f>
        <v/>
      </c>
      <c r="AH111" s="108" t="str">
        <f aca="false">IF(OR($B111="",$AF111=""),"",IFERROR(VLOOKUP($AF111,'Application Portfolio'!$A$2:$AB$1000,28,FALSE()),""))</f>
        <v/>
      </c>
    </row>
    <row r="112" customFormat="false" ht="15.75" hidden="false" customHeight="true" outlineLevel="0" collapsed="false">
      <c r="A112" s="100"/>
      <c r="B112" s="101"/>
      <c r="C112" s="101"/>
      <c r="D112" s="101"/>
      <c r="E112" s="101"/>
      <c r="F112" s="102"/>
      <c r="G112" s="102"/>
      <c r="H112" s="102"/>
      <c r="I112" s="102"/>
      <c r="J112" s="102"/>
      <c r="K112" s="102"/>
      <c r="L112" s="103" t="str">
        <f aca="false">IF(OR($B112="", $H112="", $I112="", $J112="", $K112=""),"",ROUND((VLOOKUP($H112,Lists!$E$2:$F$5,2,FALSE())*VLOOKUP($I112,Lists!$H$2:$I$4,2,FALSE())*VLOOKUP($J112,Lists!$K$2:$L$4,2,FALSE()))/VLOOKUP($K112,Lists!$N$2:$O$6,2,FALSE()),2))</f>
        <v/>
      </c>
      <c r="M112" s="104" t="str">
        <f aca="false">IF($B112="","",IF($AC112&lt;&gt;"",$AC112,IF($H112="Critical","P0",IF(NOT(ISNUMBER($L112)),"",IF($L112&gt;=Lists!$AM$2,"P0",IF($L112&gt;=Lists!$AM$3,"P1",IF($L112&gt;=Lists!$AM$4,"P2","P3")))))))</f>
        <v/>
      </c>
      <c r="N112" s="102"/>
      <c r="O112" s="101"/>
      <c r="P112" s="102"/>
      <c r="Q112" s="105"/>
      <c r="R112" s="106" t="str">
        <f aca="true">IF($Q112="","", TODAY()-$Q112)</f>
        <v/>
      </c>
      <c r="S112" s="102"/>
      <c r="T112" s="105"/>
      <c r="U112" s="105"/>
      <c r="V112" s="101"/>
      <c r="W112" s="101"/>
      <c r="X112" s="101"/>
      <c r="Y112" s="96"/>
      <c r="Z112" s="96"/>
      <c r="AA112" s="96"/>
      <c r="AC112" s="102"/>
      <c r="AD112" s="107" t="str">
        <f aca="false">IF($B112="","",IF(ISNUMBER($T112),$T112,IF(OR(NOT(ISNUMBER($Q112)),$S112=""),"",IFERROR(IF(ISNUMBER(INDEX(Lists!$AJ$2:$AJ$7,MATCH($S112,Lists!$AI$2:$AI$7,0))),$Q112+INDEX(Lists!$AJ$2:$AJ$7,MATCH($S112,Lists!$AI$2:$AI$7,0)),""),""))))</f>
        <v/>
      </c>
      <c r="AE112" s="104" t="str">
        <f aca="true">IF($B112="","",IF(AND(ISNUMBER($AD112),N($AD112)&lt;TODAY(),$N112&lt;&gt;"Done",$N112&lt;&gt;"Won't Fix",$N112&lt;&gt;"Duplicate"),"Yes","No"))</f>
        <v/>
      </c>
      <c r="AF112" s="101"/>
      <c r="AG112" s="108" t="str">
        <f aca="false">IF($AF112="","",IFERROR(VLOOKUP($AF112,'Application Portfolio'!$A$2:$B$1000,2,FALSE()),"Unknown App ID"))</f>
        <v/>
      </c>
      <c r="AH112" s="108" t="str">
        <f aca="false">IF(OR($B112="",$AF112=""),"",IFERROR(VLOOKUP($AF112,'Application Portfolio'!$A$2:$AB$1000,28,FALSE()),""))</f>
        <v/>
      </c>
    </row>
    <row r="113" customFormat="false" ht="15.75" hidden="false" customHeight="true" outlineLevel="0" collapsed="false">
      <c r="A113" s="100"/>
      <c r="B113" s="101"/>
      <c r="C113" s="101"/>
      <c r="D113" s="101"/>
      <c r="E113" s="101"/>
      <c r="F113" s="102"/>
      <c r="G113" s="102"/>
      <c r="H113" s="102"/>
      <c r="I113" s="102"/>
      <c r="J113" s="102"/>
      <c r="K113" s="102"/>
      <c r="L113" s="103" t="str">
        <f aca="false">IF(OR($B113="", $H113="", $I113="", $J113="", $K113=""),"",ROUND((VLOOKUP($H113,Lists!$E$2:$F$5,2,FALSE())*VLOOKUP($I113,Lists!$H$2:$I$4,2,FALSE())*VLOOKUP($J113,Lists!$K$2:$L$4,2,FALSE()))/VLOOKUP($K113,Lists!$N$2:$O$6,2,FALSE()),2))</f>
        <v/>
      </c>
      <c r="M113" s="104" t="str">
        <f aca="false">IF($B113="","",IF($AC113&lt;&gt;"",$AC113,IF($H113="Critical","P0",IF(NOT(ISNUMBER($L113)),"",IF($L113&gt;=Lists!$AM$2,"P0",IF($L113&gt;=Lists!$AM$3,"P1",IF($L113&gt;=Lists!$AM$4,"P2","P3")))))))</f>
        <v/>
      </c>
      <c r="N113" s="102"/>
      <c r="O113" s="101"/>
      <c r="P113" s="102"/>
      <c r="Q113" s="105"/>
      <c r="R113" s="106" t="str">
        <f aca="true">IF($Q113="","", TODAY()-$Q113)</f>
        <v/>
      </c>
      <c r="S113" s="102"/>
      <c r="T113" s="105"/>
      <c r="U113" s="105"/>
      <c r="V113" s="101"/>
      <c r="W113" s="101"/>
      <c r="X113" s="101"/>
      <c r="Y113" s="96"/>
      <c r="Z113" s="96"/>
      <c r="AA113" s="96"/>
      <c r="AC113" s="102"/>
      <c r="AD113" s="107" t="str">
        <f aca="false">IF($B113="","",IF(ISNUMBER($T113),$T113,IF(OR(NOT(ISNUMBER($Q113)),$S113=""),"",IFERROR(IF(ISNUMBER(INDEX(Lists!$AJ$2:$AJ$7,MATCH($S113,Lists!$AI$2:$AI$7,0))),$Q113+INDEX(Lists!$AJ$2:$AJ$7,MATCH($S113,Lists!$AI$2:$AI$7,0)),""),""))))</f>
        <v/>
      </c>
      <c r="AE113" s="104" t="str">
        <f aca="true">IF($B113="","",IF(AND(ISNUMBER($AD113),N($AD113)&lt;TODAY(),$N113&lt;&gt;"Done",$N113&lt;&gt;"Won't Fix",$N113&lt;&gt;"Duplicate"),"Yes","No"))</f>
        <v/>
      </c>
      <c r="AF113" s="101"/>
      <c r="AG113" s="108" t="str">
        <f aca="false">IF($AF113="","",IFERROR(VLOOKUP($AF113,'Application Portfolio'!$A$2:$B$1000,2,FALSE()),"Unknown App ID"))</f>
        <v/>
      </c>
      <c r="AH113" s="108" t="str">
        <f aca="false">IF(OR($B113="",$AF113=""),"",IFERROR(VLOOKUP($AF113,'Application Portfolio'!$A$2:$AB$1000,28,FALSE()),""))</f>
        <v/>
      </c>
    </row>
    <row r="114" customFormat="false" ht="15.75" hidden="false" customHeight="true" outlineLevel="0" collapsed="false">
      <c r="A114" s="100"/>
      <c r="B114" s="101"/>
      <c r="C114" s="101"/>
      <c r="D114" s="101"/>
      <c r="E114" s="101"/>
      <c r="F114" s="102"/>
      <c r="G114" s="102"/>
      <c r="H114" s="102"/>
      <c r="I114" s="102"/>
      <c r="J114" s="102"/>
      <c r="K114" s="102"/>
      <c r="L114" s="103" t="str">
        <f aca="false">IF(OR($B114="", $H114="", $I114="", $J114="", $K114=""),"",ROUND((VLOOKUP($H114,Lists!$E$2:$F$5,2,FALSE())*VLOOKUP($I114,Lists!$H$2:$I$4,2,FALSE())*VLOOKUP($J114,Lists!$K$2:$L$4,2,FALSE()))/VLOOKUP($K114,Lists!$N$2:$O$6,2,FALSE()),2))</f>
        <v/>
      </c>
      <c r="M114" s="104" t="str">
        <f aca="false">IF($B114="","",IF($AC114&lt;&gt;"",$AC114,IF($H114="Critical","P0",IF(NOT(ISNUMBER($L114)),"",IF($L114&gt;=Lists!$AM$2,"P0",IF($L114&gt;=Lists!$AM$3,"P1",IF($L114&gt;=Lists!$AM$4,"P2","P3")))))))</f>
        <v/>
      </c>
      <c r="N114" s="102"/>
      <c r="O114" s="101"/>
      <c r="P114" s="102"/>
      <c r="Q114" s="105"/>
      <c r="R114" s="106" t="str">
        <f aca="true">IF($Q114="","", TODAY()-$Q114)</f>
        <v/>
      </c>
      <c r="S114" s="102"/>
      <c r="T114" s="105"/>
      <c r="U114" s="105"/>
      <c r="V114" s="101"/>
      <c r="W114" s="101"/>
      <c r="X114" s="101"/>
      <c r="Y114" s="96"/>
      <c r="Z114" s="96"/>
      <c r="AA114" s="96"/>
      <c r="AC114" s="102"/>
      <c r="AD114" s="107" t="str">
        <f aca="false">IF($B114="","",IF(ISNUMBER($T114),$T114,IF(OR(NOT(ISNUMBER($Q114)),$S114=""),"",IFERROR(IF(ISNUMBER(INDEX(Lists!$AJ$2:$AJ$7,MATCH($S114,Lists!$AI$2:$AI$7,0))),$Q114+INDEX(Lists!$AJ$2:$AJ$7,MATCH($S114,Lists!$AI$2:$AI$7,0)),""),""))))</f>
        <v/>
      </c>
      <c r="AE114" s="104" t="str">
        <f aca="true">IF($B114="","",IF(AND(ISNUMBER($AD114),N($AD114)&lt;TODAY(),$N114&lt;&gt;"Done",$N114&lt;&gt;"Won't Fix",$N114&lt;&gt;"Duplicate"),"Yes","No"))</f>
        <v/>
      </c>
      <c r="AF114" s="101"/>
      <c r="AG114" s="108" t="str">
        <f aca="false">IF($AF114="","",IFERROR(VLOOKUP($AF114,'Application Portfolio'!$A$2:$B$1000,2,FALSE()),"Unknown App ID"))</f>
        <v/>
      </c>
      <c r="AH114" s="108" t="str">
        <f aca="false">IF(OR($B114="",$AF114=""),"",IFERROR(VLOOKUP($AF114,'Application Portfolio'!$A$2:$AB$1000,28,FALSE()),""))</f>
        <v/>
      </c>
    </row>
    <row r="115" customFormat="false" ht="15.75" hidden="false" customHeight="true" outlineLevel="0" collapsed="false">
      <c r="A115" s="100"/>
      <c r="B115" s="101"/>
      <c r="C115" s="101"/>
      <c r="D115" s="101"/>
      <c r="E115" s="101"/>
      <c r="F115" s="102"/>
      <c r="G115" s="102"/>
      <c r="H115" s="102"/>
      <c r="I115" s="102"/>
      <c r="J115" s="102"/>
      <c r="K115" s="102"/>
      <c r="L115" s="103" t="str">
        <f aca="false">IF(OR($B115="", $H115="", $I115="", $J115="", $K115=""),"",ROUND((VLOOKUP($H115,Lists!$E$2:$F$5,2,FALSE())*VLOOKUP($I115,Lists!$H$2:$I$4,2,FALSE())*VLOOKUP($J115,Lists!$K$2:$L$4,2,FALSE()))/VLOOKUP($K115,Lists!$N$2:$O$6,2,FALSE()),2))</f>
        <v/>
      </c>
      <c r="M115" s="104" t="str">
        <f aca="false">IF($B115="","",IF($AC115&lt;&gt;"",$AC115,IF($H115="Critical","P0",IF(NOT(ISNUMBER($L115)),"",IF($L115&gt;=Lists!$AM$2,"P0",IF($L115&gt;=Lists!$AM$3,"P1",IF($L115&gt;=Lists!$AM$4,"P2","P3")))))))</f>
        <v/>
      </c>
      <c r="N115" s="102"/>
      <c r="O115" s="101"/>
      <c r="P115" s="102"/>
      <c r="Q115" s="105"/>
      <c r="R115" s="106" t="str">
        <f aca="true">IF($Q115="","", TODAY()-$Q115)</f>
        <v/>
      </c>
      <c r="S115" s="102"/>
      <c r="T115" s="105"/>
      <c r="U115" s="105"/>
      <c r="V115" s="101"/>
      <c r="W115" s="101"/>
      <c r="X115" s="101"/>
      <c r="Y115" s="96"/>
      <c r="Z115" s="96"/>
      <c r="AA115" s="96"/>
      <c r="AC115" s="102"/>
      <c r="AD115" s="107" t="str">
        <f aca="false">IF($B115="","",IF(ISNUMBER($T115),$T115,IF(OR(NOT(ISNUMBER($Q115)),$S115=""),"",IFERROR(IF(ISNUMBER(INDEX(Lists!$AJ$2:$AJ$7,MATCH($S115,Lists!$AI$2:$AI$7,0))),$Q115+INDEX(Lists!$AJ$2:$AJ$7,MATCH($S115,Lists!$AI$2:$AI$7,0)),""),""))))</f>
        <v/>
      </c>
      <c r="AE115" s="104" t="str">
        <f aca="true">IF($B115="","",IF(AND(ISNUMBER($AD115),N($AD115)&lt;TODAY(),$N115&lt;&gt;"Done",$N115&lt;&gt;"Won't Fix",$N115&lt;&gt;"Duplicate"),"Yes","No"))</f>
        <v/>
      </c>
      <c r="AF115" s="101"/>
      <c r="AG115" s="108" t="str">
        <f aca="false">IF($AF115="","",IFERROR(VLOOKUP($AF115,'Application Portfolio'!$A$2:$B$1000,2,FALSE()),"Unknown App ID"))</f>
        <v/>
      </c>
      <c r="AH115" s="108" t="str">
        <f aca="false">IF(OR($B115="",$AF115=""),"",IFERROR(VLOOKUP($AF115,'Application Portfolio'!$A$2:$AB$1000,28,FALSE()),""))</f>
        <v/>
      </c>
    </row>
    <row r="116" customFormat="false" ht="15.75" hidden="false" customHeight="true" outlineLevel="0" collapsed="false">
      <c r="A116" s="100"/>
      <c r="B116" s="101"/>
      <c r="C116" s="101"/>
      <c r="D116" s="101"/>
      <c r="E116" s="101"/>
      <c r="F116" s="102"/>
      <c r="G116" s="102"/>
      <c r="H116" s="102"/>
      <c r="I116" s="102"/>
      <c r="J116" s="102"/>
      <c r="K116" s="102"/>
      <c r="L116" s="103" t="str">
        <f aca="false">IF(OR($B116="", $H116="", $I116="", $J116="", $K116=""),"",ROUND((VLOOKUP($H116,Lists!$E$2:$F$5,2,FALSE())*VLOOKUP($I116,Lists!$H$2:$I$4,2,FALSE())*VLOOKUP($J116,Lists!$K$2:$L$4,2,FALSE()))/VLOOKUP($K116,Lists!$N$2:$O$6,2,FALSE()),2))</f>
        <v/>
      </c>
      <c r="M116" s="104" t="str">
        <f aca="false">IF($B116="","",IF($AC116&lt;&gt;"",$AC116,IF($H116="Critical","P0",IF(NOT(ISNUMBER($L116)),"",IF($L116&gt;=Lists!$AM$2,"P0",IF($L116&gt;=Lists!$AM$3,"P1",IF($L116&gt;=Lists!$AM$4,"P2","P3")))))))</f>
        <v/>
      </c>
      <c r="N116" s="102"/>
      <c r="O116" s="101"/>
      <c r="P116" s="102"/>
      <c r="Q116" s="105"/>
      <c r="R116" s="106" t="str">
        <f aca="true">IF($Q116="","", TODAY()-$Q116)</f>
        <v/>
      </c>
      <c r="S116" s="102"/>
      <c r="T116" s="105"/>
      <c r="U116" s="105"/>
      <c r="V116" s="101"/>
      <c r="W116" s="101"/>
      <c r="X116" s="101"/>
      <c r="Y116" s="96"/>
      <c r="Z116" s="96"/>
      <c r="AA116" s="96"/>
      <c r="AC116" s="102"/>
      <c r="AD116" s="107" t="str">
        <f aca="false">IF($B116="","",IF(ISNUMBER($T116),$T116,IF(OR(NOT(ISNUMBER($Q116)),$S116=""),"",IFERROR(IF(ISNUMBER(INDEX(Lists!$AJ$2:$AJ$7,MATCH($S116,Lists!$AI$2:$AI$7,0))),$Q116+INDEX(Lists!$AJ$2:$AJ$7,MATCH($S116,Lists!$AI$2:$AI$7,0)),""),""))))</f>
        <v/>
      </c>
      <c r="AE116" s="104" t="str">
        <f aca="true">IF($B116="","",IF(AND(ISNUMBER($AD116),N($AD116)&lt;TODAY(),$N116&lt;&gt;"Done",$N116&lt;&gt;"Won't Fix",$N116&lt;&gt;"Duplicate"),"Yes","No"))</f>
        <v/>
      </c>
      <c r="AF116" s="101"/>
      <c r="AG116" s="108" t="str">
        <f aca="false">IF($AF116="","",IFERROR(VLOOKUP($AF116,'Application Portfolio'!$A$2:$B$1000,2,FALSE()),"Unknown App ID"))</f>
        <v/>
      </c>
      <c r="AH116" s="108" t="str">
        <f aca="false">IF(OR($B116="",$AF116=""),"",IFERROR(VLOOKUP($AF116,'Application Portfolio'!$A$2:$AB$1000,28,FALSE()),""))</f>
        <v/>
      </c>
    </row>
    <row r="117" customFormat="false" ht="15.75" hidden="false" customHeight="true" outlineLevel="0" collapsed="false">
      <c r="A117" s="100"/>
      <c r="B117" s="101"/>
      <c r="C117" s="101"/>
      <c r="D117" s="101"/>
      <c r="E117" s="101"/>
      <c r="F117" s="102"/>
      <c r="G117" s="102"/>
      <c r="H117" s="102"/>
      <c r="I117" s="102"/>
      <c r="J117" s="102"/>
      <c r="K117" s="102"/>
      <c r="L117" s="103" t="str">
        <f aca="false">IF(OR($B117="", $H117="", $I117="", $J117="", $K117=""),"",ROUND((VLOOKUP($H117,Lists!$E$2:$F$5,2,FALSE())*VLOOKUP($I117,Lists!$H$2:$I$4,2,FALSE())*VLOOKUP($J117,Lists!$K$2:$L$4,2,FALSE()))/VLOOKUP($K117,Lists!$N$2:$O$6,2,FALSE()),2))</f>
        <v/>
      </c>
      <c r="M117" s="104" t="str">
        <f aca="false">IF($B117="","",IF($AC117&lt;&gt;"",$AC117,IF($H117="Critical","P0",IF(NOT(ISNUMBER($L117)),"",IF($L117&gt;=Lists!$AM$2,"P0",IF($L117&gt;=Lists!$AM$3,"P1",IF($L117&gt;=Lists!$AM$4,"P2","P3")))))))</f>
        <v/>
      </c>
      <c r="N117" s="102"/>
      <c r="O117" s="101"/>
      <c r="P117" s="102"/>
      <c r="Q117" s="105"/>
      <c r="R117" s="106" t="str">
        <f aca="true">IF($Q117="","", TODAY()-$Q117)</f>
        <v/>
      </c>
      <c r="S117" s="102"/>
      <c r="T117" s="105"/>
      <c r="U117" s="105"/>
      <c r="V117" s="101"/>
      <c r="W117" s="101"/>
      <c r="X117" s="101"/>
      <c r="Y117" s="96"/>
      <c r="Z117" s="96"/>
      <c r="AA117" s="96"/>
      <c r="AC117" s="102"/>
      <c r="AD117" s="107" t="str">
        <f aca="false">IF($B117="","",IF(ISNUMBER($T117),$T117,IF(OR(NOT(ISNUMBER($Q117)),$S117=""),"",IFERROR(IF(ISNUMBER(INDEX(Lists!$AJ$2:$AJ$7,MATCH($S117,Lists!$AI$2:$AI$7,0))),$Q117+INDEX(Lists!$AJ$2:$AJ$7,MATCH($S117,Lists!$AI$2:$AI$7,0)),""),""))))</f>
        <v/>
      </c>
      <c r="AE117" s="104" t="str">
        <f aca="true">IF($B117="","",IF(AND(ISNUMBER($AD117),N($AD117)&lt;TODAY(),$N117&lt;&gt;"Done",$N117&lt;&gt;"Won't Fix",$N117&lt;&gt;"Duplicate"),"Yes","No"))</f>
        <v/>
      </c>
      <c r="AF117" s="101"/>
      <c r="AG117" s="108" t="str">
        <f aca="false">IF($AF117="","",IFERROR(VLOOKUP($AF117,'Application Portfolio'!$A$2:$B$1000,2,FALSE()),"Unknown App ID"))</f>
        <v/>
      </c>
      <c r="AH117" s="108" t="str">
        <f aca="false">IF(OR($B117="",$AF117=""),"",IFERROR(VLOOKUP($AF117,'Application Portfolio'!$A$2:$AB$1000,28,FALSE()),""))</f>
        <v/>
      </c>
    </row>
    <row r="118" customFormat="false" ht="15.75" hidden="false" customHeight="true" outlineLevel="0" collapsed="false">
      <c r="A118" s="100"/>
      <c r="B118" s="101"/>
      <c r="C118" s="101"/>
      <c r="D118" s="101"/>
      <c r="E118" s="101"/>
      <c r="F118" s="102"/>
      <c r="G118" s="102"/>
      <c r="H118" s="102"/>
      <c r="I118" s="102"/>
      <c r="J118" s="102"/>
      <c r="K118" s="102"/>
      <c r="L118" s="103" t="str">
        <f aca="false">IF(OR($B118="", $H118="", $I118="", $J118="", $K118=""),"",ROUND((VLOOKUP($H118,Lists!$E$2:$F$5,2,FALSE())*VLOOKUP($I118,Lists!$H$2:$I$4,2,FALSE())*VLOOKUP($J118,Lists!$K$2:$L$4,2,FALSE()))/VLOOKUP($K118,Lists!$N$2:$O$6,2,FALSE()),2))</f>
        <v/>
      </c>
      <c r="M118" s="104" t="str">
        <f aca="false">IF($B118="","",IF($AC118&lt;&gt;"",$AC118,IF($H118="Critical","P0",IF(NOT(ISNUMBER($L118)),"",IF($L118&gt;=Lists!$AM$2,"P0",IF($L118&gt;=Lists!$AM$3,"P1",IF($L118&gt;=Lists!$AM$4,"P2","P3")))))))</f>
        <v/>
      </c>
      <c r="N118" s="102"/>
      <c r="O118" s="101"/>
      <c r="P118" s="102"/>
      <c r="Q118" s="105"/>
      <c r="R118" s="106" t="str">
        <f aca="true">IF($Q118="","", TODAY()-$Q118)</f>
        <v/>
      </c>
      <c r="S118" s="102"/>
      <c r="T118" s="105"/>
      <c r="U118" s="105"/>
      <c r="V118" s="101"/>
      <c r="W118" s="101"/>
      <c r="X118" s="101"/>
      <c r="Y118" s="96"/>
      <c r="Z118" s="96"/>
      <c r="AA118" s="96"/>
      <c r="AC118" s="102"/>
      <c r="AD118" s="107" t="str">
        <f aca="false">IF($B118="","",IF(ISNUMBER($T118),$T118,IF(OR(NOT(ISNUMBER($Q118)),$S118=""),"",IFERROR(IF(ISNUMBER(INDEX(Lists!$AJ$2:$AJ$7,MATCH($S118,Lists!$AI$2:$AI$7,0))),$Q118+INDEX(Lists!$AJ$2:$AJ$7,MATCH($S118,Lists!$AI$2:$AI$7,0)),""),""))))</f>
        <v/>
      </c>
      <c r="AE118" s="104" t="str">
        <f aca="true">IF($B118="","",IF(AND(ISNUMBER($AD118),N($AD118)&lt;TODAY(),$N118&lt;&gt;"Done",$N118&lt;&gt;"Won't Fix",$N118&lt;&gt;"Duplicate"),"Yes","No"))</f>
        <v/>
      </c>
      <c r="AF118" s="101"/>
      <c r="AG118" s="108" t="str">
        <f aca="false">IF($AF118="","",IFERROR(VLOOKUP($AF118,'Application Portfolio'!$A$2:$B$1000,2,FALSE()),"Unknown App ID"))</f>
        <v/>
      </c>
      <c r="AH118" s="108" t="str">
        <f aca="false">IF(OR($B118="",$AF118=""),"",IFERROR(VLOOKUP($AF118,'Application Portfolio'!$A$2:$AB$1000,28,FALSE()),""))</f>
        <v/>
      </c>
    </row>
    <row r="119" customFormat="false" ht="15.75" hidden="false" customHeight="true" outlineLevel="0" collapsed="false">
      <c r="A119" s="100"/>
      <c r="B119" s="101"/>
      <c r="C119" s="101"/>
      <c r="D119" s="101"/>
      <c r="E119" s="101"/>
      <c r="F119" s="102"/>
      <c r="G119" s="102"/>
      <c r="H119" s="102"/>
      <c r="I119" s="102"/>
      <c r="J119" s="102"/>
      <c r="K119" s="102"/>
      <c r="L119" s="103" t="str">
        <f aca="false">IF(OR($B119="", $H119="", $I119="", $J119="", $K119=""),"",ROUND((VLOOKUP($H119,Lists!$E$2:$F$5,2,FALSE())*VLOOKUP($I119,Lists!$H$2:$I$4,2,FALSE())*VLOOKUP($J119,Lists!$K$2:$L$4,2,FALSE()))/VLOOKUP($K119,Lists!$N$2:$O$6,2,FALSE()),2))</f>
        <v/>
      </c>
      <c r="M119" s="104" t="str">
        <f aca="false">IF($B119="","",IF($AC119&lt;&gt;"",$AC119,IF($H119="Critical","P0",IF(NOT(ISNUMBER($L119)),"",IF($L119&gt;=Lists!$AM$2,"P0",IF($L119&gt;=Lists!$AM$3,"P1",IF($L119&gt;=Lists!$AM$4,"P2","P3")))))))</f>
        <v/>
      </c>
      <c r="N119" s="102"/>
      <c r="O119" s="101"/>
      <c r="P119" s="102"/>
      <c r="Q119" s="105"/>
      <c r="R119" s="106" t="str">
        <f aca="true">IF($Q119="","", TODAY()-$Q119)</f>
        <v/>
      </c>
      <c r="S119" s="102"/>
      <c r="T119" s="105"/>
      <c r="U119" s="105"/>
      <c r="V119" s="101"/>
      <c r="W119" s="101"/>
      <c r="X119" s="101"/>
      <c r="Y119" s="96"/>
      <c r="Z119" s="96"/>
      <c r="AA119" s="96"/>
      <c r="AC119" s="102"/>
      <c r="AD119" s="107" t="str">
        <f aca="false">IF($B119="","",IF(ISNUMBER($T119),$T119,IF(OR(NOT(ISNUMBER($Q119)),$S119=""),"",IFERROR(IF(ISNUMBER(INDEX(Lists!$AJ$2:$AJ$7,MATCH($S119,Lists!$AI$2:$AI$7,0))),$Q119+INDEX(Lists!$AJ$2:$AJ$7,MATCH($S119,Lists!$AI$2:$AI$7,0)),""),""))))</f>
        <v/>
      </c>
      <c r="AE119" s="104" t="str">
        <f aca="true">IF($B119="","",IF(AND(ISNUMBER($AD119),N($AD119)&lt;TODAY(),$N119&lt;&gt;"Done",$N119&lt;&gt;"Won't Fix",$N119&lt;&gt;"Duplicate"),"Yes","No"))</f>
        <v/>
      </c>
      <c r="AF119" s="101"/>
      <c r="AG119" s="108" t="str">
        <f aca="false">IF($AF119="","",IFERROR(VLOOKUP($AF119,'Application Portfolio'!$A$2:$B$1000,2,FALSE()),"Unknown App ID"))</f>
        <v/>
      </c>
      <c r="AH119" s="108" t="str">
        <f aca="false">IF(OR($B119="",$AF119=""),"",IFERROR(VLOOKUP($AF119,'Application Portfolio'!$A$2:$AB$1000,28,FALSE()),""))</f>
        <v/>
      </c>
    </row>
    <row r="120" customFormat="false" ht="15.75" hidden="false" customHeight="true" outlineLevel="0" collapsed="false">
      <c r="A120" s="100"/>
      <c r="B120" s="101"/>
      <c r="C120" s="101"/>
      <c r="D120" s="101"/>
      <c r="E120" s="101"/>
      <c r="F120" s="102"/>
      <c r="G120" s="102"/>
      <c r="H120" s="102"/>
      <c r="I120" s="102"/>
      <c r="J120" s="102"/>
      <c r="K120" s="102"/>
      <c r="L120" s="103" t="str">
        <f aca="false">IF(OR($B120="", $H120="", $I120="", $J120="", $K120=""),"",ROUND((VLOOKUP($H120,Lists!$E$2:$F$5,2,FALSE())*VLOOKUP($I120,Lists!$H$2:$I$4,2,FALSE())*VLOOKUP($J120,Lists!$K$2:$L$4,2,FALSE()))/VLOOKUP($K120,Lists!$N$2:$O$6,2,FALSE()),2))</f>
        <v/>
      </c>
      <c r="M120" s="104" t="str">
        <f aca="false">IF($B120="","",IF($AC120&lt;&gt;"",$AC120,IF($H120="Critical","P0",IF(NOT(ISNUMBER($L120)),"",IF($L120&gt;=Lists!$AM$2,"P0",IF($L120&gt;=Lists!$AM$3,"P1",IF($L120&gt;=Lists!$AM$4,"P2","P3")))))))</f>
        <v/>
      </c>
      <c r="N120" s="102"/>
      <c r="O120" s="101"/>
      <c r="P120" s="102"/>
      <c r="Q120" s="105"/>
      <c r="R120" s="106" t="str">
        <f aca="true">IF($Q120="","", TODAY()-$Q120)</f>
        <v/>
      </c>
      <c r="S120" s="102"/>
      <c r="T120" s="105"/>
      <c r="U120" s="105"/>
      <c r="V120" s="101"/>
      <c r="W120" s="101"/>
      <c r="X120" s="101"/>
      <c r="Y120" s="96"/>
      <c r="Z120" s="96"/>
      <c r="AA120" s="96"/>
      <c r="AC120" s="102"/>
      <c r="AD120" s="107" t="str">
        <f aca="false">IF($B120="","",IF(ISNUMBER($T120),$T120,IF(OR(NOT(ISNUMBER($Q120)),$S120=""),"",IFERROR(IF(ISNUMBER(INDEX(Lists!$AJ$2:$AJ$7,MATCH($S120,Lists!$AI$2:$AI$7,0))),$Q120+INDEX(Lists!$AJ$2:$AJ$7,MATCH($S120,Lists!$AI$2:$AI$7,0)),""),""))))</f>
        <v/>
      </c>
      <c r="AE120" s="104" t="str">
        <f aca="true">IF($B120="","",IF(AND(ISNUMBER($AD120),N($AD120)&lt;TODAY(),$N120&lt;&gt;"Done",$N120&lt;&gt;"Won't Fix",$N120&lt;&gt;"Duplicate"),"Yes","No"))</f>
        <v/>
      </c>
      <c r="AF120" s="101"/>
      <c r="AG120" s="108" t="str">
        <f aca="false">IF($AF120="","",IFERROR(VLOOKUP($AF120,'Application Portfolio'!$A$2:$B$1000,2,FALSE()),"Unknown App ID"))</f>
        <v/>
      </c>
      <c r="AH120" s="108" t="str">
        <f aca="false">IF(OR($B120="",$AF120=""),"",IFERROR(VLOOKUP($AF120,'Application Portfolio'!$A$2:$AB$1000,28,FALSE()),""))</f>
        <v/>
      </c>
    </row>
    <row r="121" customFormat="false" ht="15.75" hidden="false" customHeight="true" outlineLevel="0" collapsed="false">
      <c r="A121" s="100"/>
      <c r="B121" s="101"/>
      <c r="C121" s="101"/>
      <c r="D121" s="101"/>
      <c r="E121" s="101"/>
      <c r="F121" s="102"/>
      <c r="G121" s="102"/>
      <c r="H121" s="102"/>
      <c r="I121" s="102"/>
      <c r="J121" s="102"/>
      <c r="K121" s="102"/>
      <c r="L121" s="103" t="str">
        <f aca="false">IF(OR($B121="", $H121="", $I121="", $J121="", $K121=""),"",ROUND((VLOOKUP($H121,Lists!$E$2:$F$5,2,FALSE())*VLOOKUP($I121,Lists!$H$2:$I$4,2,FALSE())*VLOOKUP($J121,Lists!$K$2:$L$4,2,FALSE()))/VLOOKUP($K121,Lists!$N$2:$O$6,2,FALSE()),2))</f>
        <v/>
      </c>
      <c r="M121" s="104" t="str">
        <f aca="false">IF($B121="","",IF($AC121&lt;&gt;"",$AC121,IF($H121="Critical","P0",IF(NOT(ISNUMBER($L121)),"",IF($L121&gt;=Lists!$AM$2,"P0",IF($L121&gt;=Lists!$AM$3,"P1",IF($L121&gt;=Lists!$AM$4,"P2","P3")))))))</f>
        <v/>
      </c>
      <c r="N121" s="102"/>
      <c r="O121" s="101"/>
      <c r="P121" s="102"/>
      <c r="Q121" s="105"/>
      <c r="R121" s="106" t="str">
        <f aca="true">IF($Q121="","", TODAY()-$Q121)</f>
        <v/>
      </c>
      <c r="S121" s="102"/>
      <c r="T121" s="105"/>
      <c r="U121" s="105"/>
      <c r="V121" s="101"/>
      <c r="W121" s="101"/>
      <c r="X121" s="101"/>
      <c r="Y121" s="96"/>
      <c r="Z121" s="96"/>
      <c r="AA121" s="96"/>
      <c r="AC121" s="102"/>
      <c r="AD121" s="107" t="str">
        <f aca="false">IF($B121="","",IF(ISNUMBER($T121),$T121,IF(OR(NOT(ISNUMBER($Q121)),$S121=""),"",IFERROR(IF(ISNUMBER(INDEX(Lists!$AJ$2:$AJ$7,MATCH($S121,Lists!$AI$2:$AI$7,0))),$Q121+INDEX(Lists!$AJ$2:$AJ$7,MATCH($S121,Lists!$AI$2:$AI$7,0)),""),""))))</f>
        <v/>
      </c>
      <c r="AE121" s="104" t="str">
        <f aca="true">IF($B121="","",IF(AND(ISNUMBER($AD121),N($AD121)&lt;TODAY(),$N121&lt;&gt;"Done",$N121&lt;&gt;"Won't Fix",$N121&lt;&gt;"Duplicate"),"Yes","No"))</f>
        <v/>
      </c>
      <c r="AF121" s="101"/>
      <c r="AG121" s="108" t="str">
        <f aca="false">IF($AF121="","",IFERROR(VLOOKUP($AF121,'Application Portfolio'!$A$2:$B$1000,2,FALSE()),"Unknown App ID"))</f>
        <v/>
      </c>
      <c r="AH121" s="108" t="str">
        <f aca="false">IF(OR($B121="",$AF121=""),"",IFERROR(VLOOKUP($AF121,'Application Portfolio'!$A$2:$AB$1000,28,FALSE()),""))</f>
        <v/>
      </c>
    </row>
    <row r="122" customFormat="false" ht="15.75" hidden="false" customHeight="true" outlineLevel="0" collapsed="false">
      <c r="A122" s="100"/>
      <c r="B122" s="101"/>
      <c r="C122" s="101"/>
      <c r="D122" s="101"/>
      <c r="E122" s="101"/>
      <c r="F122" s="102"/>
      <c r="G122" s="102"/>
      <c r="H122" s="102"/>
      <c r="I122" s="102"/>
      <c r="J122" s="102"/>
      <c r="K122" s="102"/>
      <c r="L122" s="103" t="str">
        <f aca="false">IF(OR($B122="", $H122="", $I122="", $J122="", $K122=""),"",ROUND((VLOOKUP($H122,Lists!$E$2:$F$5,2,FALSE())*VLOOKUP($I122,Lists!$H$2:$I$4,2,FALSE())*VLOOKUP($J122,Lists!$K$2:$L$4,2,FALSE()))/VLOOKUP($K122,Lists!$N$2:$O$6,2,FALSE()),2))</f>
        <v/>
      </c>
      <c r="M122" s="104" t="str">
        <f aca="false">IF($B122="","",IF($AC122&lt;&gt;"",$AC122,IF($H122="Critical","P0",IF(NOT(ISNUMBER($L122)),"",IF($L122&gt;=Lists!$AM$2,"P0",IF($L122&gt;=Lists!$AM$3,"P1",IF($L122&gt;=Lists!$AM$4,"P2","P3")))))))</f>
        <v/>
      </c>
      <c r="N122" s="102"/>
      <c r="O122" s="101"/>
      <c r="P122" s="102"/>
      <c r="Q122" s="105"/>
      <c r="R122" s="106" t="str">
        <f aca="true">IF($Q122="","", TODAY()-$Q122)</f>
        <v/>
      </c>
      <c r="S122" s="102"/>
      <c r="T122" s="105"/>
      <c r="U122" s="105"/>
      <c r="V122" s="101"/>
      <c r="W122" s="101"/>
      <c r="X122" s="101"/>
      <c r="Y122" s="96"/>
      <c r="Z122" s="96"/>
      <c r="AA122" s="96"/>
      <c r="AC122" s="102"/>
      <c r="AD122" s="107" t="str">
        <f aca="false">IF($B122="","",IF(ISNUMBER($T122),$T122,IF(OR(NOT(ISNUMBER($Q122)),$S122=""),"",IFERROR(IF(ISNUMBER(INDEX(Lists!$AJ$2:$AJ$7,MATCH($S122,Lists!$AI$2:$AI$7,0))),$Q122+INDEX(Lists!$AJ$2:$AJ$7,MATCH($S122,Lists!$AI$2:$AI$7,0)),""),""))))</f>
        <v/>
      </c>
      <c r="AE122" s="104" t="str">
        <f aca="true">IF($B122="","",IF(AND(ISNUMBER($AD122),N($AD122)&lt;TODAY(),$N122&lt;&gt;"Done",$N122&lt;&gt;"Won't Fix",$N122&lt;&gt;"Duplicate"),"Yes","No"))</f>
        <v/>
      </c>
      <c r="AF122" s="101"/>
      <c r="AG122" s="108" t="str">
        <f aca="false">IF($AF122="","",IFERROR(VLOOKUP($AF122,'Application Portfolio'!$A$2:$B$1000,2,FALSE()),"Unknown App ID"))</f>
        <v/>
      </c>
      <c r="AH122" s="108" t="str">
        <f aca="false">IF(OR($B122="",$AF122=""),"",IFERROR(VLOOKUP($AF122,'Application Portfolio'!$A$2:$AB$1000,28,FALSE()),""))</f>
        <v/>
      </c>
    </row>
    <row r="123" customFormat="false" ht="15.75" hidden="false" customHeight="true" outlineLevel="0" collapsed="false">
      <c r="A123" s="100"/>
      <c r="B123" s="101"/>
      <c r="C123" s="101"/>
      <c r="D123" s="101"/>
      <c r="E123" s="101"/>
      <c r="F123" s="102"/>
      <c r="G123" s="102"/>
      <c r="H123" s="102"/>
      <c r="I123" s="102"/>
      <c r="J123" s="102"/>
      <c r="K123" s="102"/>
      <c r="L123" s="103" t="str">
        <f aca="false">IF(OR($B123="", $H123="", $I123="", $J123="", $K123=""),"",ROUND((VLOOKUP($H123,Lists!$E$2:$F$5,2,FALSE())*VLOOKUP($I123,Lists!$H$2:$I$4,2,FALSE())*VLOOKUP($J123,Lists!$K$2:$L$4,2,FALSE()))/VLOOKUP($K123,Lists!$N$2:$O$6,2,FALSE()),2))</f>
        <v/>
      </c>
      <c r="M123" s="104" t="str">
        <f aca="false">IF($B123="","",IF($AC123&lt;&gt;"",$AC123,IF($H123="Critical","P0",IF(NOT(ISNUMBER($L123)),"",IF($L123&gt;=Lists!$AM$2,"P0",IF($L123&gt;=Lists!$AM$3,"P1",IF($L123&gt;=Lists!$AM$4,"P2","P3")))))))</f>
        <v/>
      </c>
      <c r="N123" s="102"/>
      <c r="O123" s="101"/>
      <c r="P123" s="102"/>
      <c r="Q123" s="105"/>
      <c r="R123" s="106" t="str">
        <f aca="true">IF($Q123="","", TODAY()-$Q123)</f>
        <v/>
      </c>
      <c r="S123" s="102"/>
      <c r="T123" s="105"/>
      <c r="U123" s="105"/>
      <c r="V123" s="101"/>
      <c r="W123" s="101"/>
      <c r="X123" s="101"/>
      <c r="Y123" s="96"/>
      <c r="Z123" s="96"/>
      <c r="AA123" s="96"/>
      <c r="AC123" s="102"/>
      <c r="AD123" s="107" t="str">
        <f aca="false">IF($B123="","",IF(ISNUMBER($T123),$T123,IF(OR(NOT(ISNUMBER($Q123)),$S123=""),"",IFERROR(IF(ISNUMBER(INDEX(Lists!$AJ$2:$AJ$7,MATCH($S123,Lists!$AI$2:$AI$7,0))),$Q123+INDEX(Lists!$AJ$2:$AJ$7,MATCH($S123,Lists!$AI$2:$AI$7,0)),""),""))))</f>
        <v/>
      </c>
      <c r="AE123" s="104" t="str">
        <f aca="true">IF($B123="","",IF(AND(ISNUMBER($AD123),N($AD123)&lt;TODAY(),$N123&lt;&gt;"Done",$N123&lt;&gt;"Won't Fix",$N123&lt;&gt;"Duplicate"),"Yes","No"))</f>
        <v/>
      </c>
      <c r="AF123" s="101"/>
      <c r="AG123" s="108" t="str">
        <f aca="false">IF($AF123="","",IFERROR(VLOOKUP($AF123,'Application Portfolio'!$A$2:$B$1000,2,FALSE()),"Unknown App ID"))</f>
        <v/>
      </c>
      <c r="AH123" s="108" t="str">
        <f aca="false">IF(OR($B123="",$AF123=""),"",IFERROR(VLOOKUP($AF123,'Application Portfolio'!$A$2:$AB$1000,28,FALSE()),""))</f>
        <v/>
      </c>
    </row>
    <row r="124" customFormat="false" ht="15.75" hidden="false" customHeight="true" outlineLevel="0" collapsed="false">
      <c r="A124" s="100"/>
      <c r="B124" s="101"/>
      <c r="C124" s="101"/>
      <c r="D124" s="101"/>
      <c r="E124" s="101"/>
      <c r="F124" s="102"/>
      <c r="G124" s="102"/>
      <c r="H124" s="102"/>
      <c r="I124" s="102"/>
      <c r="J124" s="102"/>
      <c r="K124" s="102"/>
      <c r="L124" s="103" t="str">
        <f aca="false">IF(OR($B124="", $H124="", $I124="", $J124="", $K124=""),"",ROUND((VLOOKUP($H124,Lists!$E$2:$F$5,2,FALSE())*VLOOKUP($I124,Lists!$H$2:$I$4,2,FALSE())*VLOOKUP($J124,Lists!$K$2:$L$4,2,FALSE()))/VLOOKUP($K124,Lists!$N$2:$O$6,2,FALSE()),2))</f>
        <v/>
      </c>
      <c r="M124" s="104" t="str">
        <f aca="false">IF($B124="","",IF($AC124&lt;&gt;"",$AC124,IF($H124="Critical","P0",IF(NOT(ISNUMBER($L124)),"",IF($L124&gt;=Lists!$AM$2,"P0",IF($L124&gt;=Lists!$AM$3,"P1",IF($L124&gt;=Lists!$AM$4,"P2","P3")))))))</f>
        <v/>
      </c>
      <c r="N124" s="102"/>
      <c r="O124" s="101"/>
      <c r="P124" s="102"/>
      <c r="Q124" s="105"/>
      <c r="R124" s="106" t="str">
        <f aca="true">IF($Q124="","", TODAY()-$Q124)</f>
        <v/>
      </c>
      <c r="S124" s="102"/>
      <c r="T124" s="105"/>
      <c r="U124" s="105"/>
      <c r="V124" s="101"/>
      <c r="W124" s="101"/>
      <c r="X124" s="101"/>
      <c r="Y124" s="96"/>
      <c r="Z124" s="96"/>
      <c r="AA124" s="96"/>
      <c r="AC124" s="102"/>
      <c r="AD124" s="107" t="str">
        <f aca="false">IF($B124="","",IF(ISNUMBER($T124),$T124,IF(OR(NOT(ISNUMBER($Q124)),$S124=""),"",IFERROR(IF(ISNUMBER(INDEX(Lists!$AJ$2:$AJ$7,MATCH($S124,Lists!$AI$2:$AI$7,0))),$Q124+INDEX(Lists!$AJ$2:$AJ$7,MATCH($S124,Lists!$AI$2:$AI$7,0)),""),""))))</f>
        <v/>
      </c>
      <c r="AE124" s="104" t="str">
        <f aca="true">IF($B124="","",IF(AND(ISNUMBER($AD124),N($AD124)&lt;TODAY(),$N124&lt;&gt;"Done",$N124&lt;&gt;"Won't Fix",$N124&lt;&gt;"Duplicate"),"Yes","No"))</f>
        <v/>
      </c>
      <c r="AF124" s="101"/>
      <c r="AG124" s="108" t="str">
        <f aca="false">IF($AF124="","",IFERROR(VLOOKUP($AF124,'Application Portfolio'!$A$2:$B$1000,2,FALSE()),"Unknown App ID"))</f>
        <v/>
      </c>
      <c r="AH124" s="108" t="str">
        <f aca="false">IF(OR($B124="",$AF124=""),"",IFERROR(VLOOKUP($AF124,'Application Portfolio'!$A$2:$AB$1000,28,FALSE()),""))</f>
        <v/>
      </c>
    </row>
    <row r="125" customFormat="false" ht="15.75" hidden="false" customHeight="true" outlineLevel="0" collapsed="false">
      <c r="A125" s="100"/>
      <c r="B125" s="101"/>
      <c r="C125" s="101"/>
      <c r="D125" s="101"/>
      <c r="E125" s="101"/>
      <c r="F125" s="102"/>
      <c r="G125" s="102"/>
      <c r="H125" s="102"/>
      <c r="I125" s="102"/>
      <c r="J125" s="102"/>
      <c r="K125" s="102"/>
      <c r="L125" s="103" t="str">
        <f aca="false">IF(OR($B125="", $H125="", $I125="", $J125="", $K125=""),"",ROUND((VLOOKUP($H125,Lists!$E$2:$F$5,2,FALSE())*VLOOKUP($I125,Lists!$H$2:$I$4,2,FALSE())*VLOOKUP($J125,Lists!$K$2:$L$4,2,FALSE()))/VLOOKUP($K125,Lists!$N$2:$O$6,2,FALSE()),2))</f>
        <v/>
      </c>
      <c r="M125" s="104" t="str">
        <f aca="false">IF($B125="","",IF($AC125&lt;&gt;"",$AC125,IF($H125="Critical","P0",IF(NOT(ISNUMBER($L125)),"",IF($L125&gt;=Lists!$AM$2,"P0",IF($L125&gt;=Lists!$AM$3,"P1",IF($L125&gt;=Lists!$AM$4,"P2","P3")))))))</f>
        <v/>
      </c>
      <c r="N125" s="102"/>
      <c r="O125" s="101"/>
      <c r="P125" s="102"/>
      <c r="Q125" s="105"/>
      <c r="R125" s="106" t="str">
        <f aca="true">IF($Q125="","", TODAY()-$Q125)</f>
        <v/>
      </c>
      <c r="S125" s="102"/>
      <c r="T125" s="105"/>
      <c r="U125" s="105"/>
      <c r="V125" s="101"/>
      <c r="W125" s="101"/>
      <c r="X125" s="101"/>
      <c r="Y125" s="96"/>
      <c r="Z125" s="96"/>
      <c r="AA125" s="96"/>
      <c r="AC125" s="102"/>
      <c r="AD125" s="107" t="str">
        <f aca="false">IF($B125="","",IF(ISNUMBER($T125),$T125,IF(OR(NOT(ISNUMBER($Q125)),$S125=""),"",IFERROR(IF(ISNUMBER(INDEX(Lists!$AJ$2:$AJ$7,MATCH($S125,Lists!$AI$2:$AI$7,0))),$Q125+INDEX(Lists!$AJ$2:$AJ$7,MATCH($S125,Lists!$AI$2:$AI$7,0)),""),""))))</f>
        <v/>
      </c>
      <c r="AE125" s="104" t="str">
        <f aca="true">IF($B125="","",IF(AND(ISNUMBER($AD125),N($AD125)&lt;TODAY(),$N125&lt;&gt;"Done",$N125&lt;&gt;"Won't Fix",$N125&lt;&gt;"Duplicate"),"Yes","No"))</f>
        <v/>
      </c>
      <c r="AF125" s="101"/>
      <c r="AG125" s="108" t="str">
        <f aca="false">IF($AF125="","",IFERROR(VLOOKUP($AF125,'Application Portfolio'!$A$2:$B$1000,2,FALSE()),"Unknown App ID"))</f>
        <v/>
      </c>
      <c r="AH125" s="108" t="str">
        <f aca="false">IF(OR($B125="",$AF125=""),"",IFERROR(VLOOKUP($AF125,'Application Portfolio'!$A$2:$AB$1000,28,FALSE()),""))</f>
        <v/>
      </c>
    </row>
    <row r="126" customFormat="false" ht="15.75" hidden="false" customHeight="true" outlineLevel="0" collapsed="false">
      <c r="A126" s="100"/>
      <c r="B126" s="101"/>
      <c r="C126" s="101"/>
      <c r="D126" s="101"/>
      <c r="E126" s="101"/>
      <c r="F126" s="102"/>
      <c r="G126" s="102"/>
      <c r="H126" s="102"/>
      <c r="I126" s="102"/>
      <c r="J126" s="102"/>
      <c r="K126" s="102"/>
      <c r="L126" s="103" t="str">
        <f aca="false">IF(OR($B126="", $H126="", $I126="", $J126="", $K126=""),"",ROUND((VLOOKUP($H126,Lists!$E$2:$F$5,2,FALSE())*VLOOKUP($I126,Lists!$H$2:$I$4,2,FALSE())*VLOOKUP($J126,Lists!$K$2:$L$4,2,FALSE()))/VLOOKUP($K126,Lists!$N$2:$O$6,2,FALSE()),2))</f>
        <v/>
      </c>
      <c r="M126" s="104" t="str">
        <f aca="false">IF($B126="","",IF($AC126&lt;&gt;"",$AC126,IF($H126="Critical","P0",IF(NOT(ISNUMBER($L126)),"",IF($L126&gt;=Lists!$AM$2,"P0",IF($L126&gt;=Lists!$AM$3,"P1",IF($L126&gt;=Lists!$AM$4,"P2","P3")))))))</f>
        <v/>
      </c>
      <c r="N126" s="102"/>
      <c r="O126" s="101"/>
      <c r="P126" s="102"/>
      <c r="Q126" s="105"/>
      <c r="R126" s="106" t="str">
        <f aca="true">IF($Q126="","", TODAY()-$Q126)</f>
        <v/>
      </c>
      <c r="S126" s="102"/>
      <c r="T126" s="105"/>
      <c r="U126" s="105"/>
      <c r="V126" s="101"/>
      <c r="W126" s="101"/>
      <c r="X126" s="101"/>
      <c r="Y126" s="96"/>
      <c r="Z126" s="96"/>
      <c r="AA126" s="96"/>
      <c r="AC126" s="102"/>
      <c r="AD126" s="107" t="str">
        <f aca="false">IF($B126="","",IF(ISNUMBER($T126),$T126,IF(OR(NOT(ISNUMBER($Q126)),$S126=""),"",IFERROR(IF(ISNUMBER(INDEX(Lists!$AJ$2:$AJ$7,MATCH($S126,Lists!$AI$2:$AI$7,0))),$Q126+INDEX(Lists!$AJ$2:$AJ$7,MATCH($S126,Lists!$AI$2:$AI$7,0)),""),""))))</f>
        <v/>
      </c>
      <c r="AE126" s="104" t="str">
        <f aca="true">IF($B126="","",IF(AND(ISNUMBER($AD126),N($AD126)&lt;TODAY(),$N126&lt;&gt;"Done",$N126&lt;&gt;"Won't Fix",$N126&lt;&gt;"Duplicate"),"Yes","No"))</f>
        <v/>
      </c>
      <c r="AF126" s="101"/>
      <c r="AG126" s="108" t="str">
        <f aca="false">IF($AF126="","",IFERROR(VLOOKUP($AF126,'Application Portfolio'!$A$2:$B$1000,2,FALSE()),"Unknown App ID"))</f>
        <v/>
      </c>
      <c r="AH126" s="108" t="str">
        <f aca="false">IF(OR($B126="",$AF126=""),"",IFERROR(VLOOKUP($AF126,'Application Portfolio'!$A$2:$AB$1000,28,FALSE()),""))</f>
        <v/>
      </c>
    </row>
    <row r="127" customFormat="false" ht="15.75" hidden="false" customHeight="true" outlineLevel="0" collapsed="false">
      <c r="A127" s="100"/>
      <c r="B127" s="101"/>
      <c r="C127" s="101"/>
      <c r="D127" s="101"/>
      <c r="E127" s="101"/>
      <c r="F127" s="102"/>
      <c r="G127" s="102"/>
      <c r="H127" s="102"/>
      <c r="I127" s="102"/>
      <c r="J127" s="102"/>
      <c r="K127" s="102"/>
      <c r="L127" s="103" t="str">
        <f aca="false">IF(OR($B127="", $H127="", $I127="", $J127="", $K127=""),"",ROUND((VLOOKUP($H127,Lists!$E$2:$F$5,2,FALSE())*VLOOKUP($I127,Lists!$H$2:$I$4,2,FALSE())*VLOOKUP($J127,Lists!$K$2:$L$4,2,FALSE()))/VLOOKUP($K127,Lists!$N$2:$O$6,2,FALSE()),2))</f>
        <v/>
      </c>
      <c r="M127" s="104" t="str">
        <f aca="false">IF($B127="","",IF($AC127&lt;&gt;"",$AC127,IF($H127="Critical","P0",IF(NOT(ISNUMBER($L127)),"",IF($L127&gt;=Lists!$AM$2,"P0",IF($L127&gt;=Lists!$AM$3,"P1",IF($L127&gt;=Lists!$AM$4,"P2","P3")))))))</f>
        <v/>
      </c>
      <c r="N127" s="102"/>
      <c r="O127" s="101"/>
      <c r="P127" s="102"/>
      <c r="Q127" s="105"/>
      <c r="R127" s="106" t="str">
        <f aca="true">IF($Q127="","", TODAY()-$Q127)</f>
        <v/>
      </c>
      <c r="S127" s="102"/>
      <c r="T127" s="105"/>
      <c r="U127" s="105"/>
      <c r="V127" s="101"/>
      <c r="W127" s="101"/>
      <c r="X127" s="101"/>
      <c r="Y127" s="96"/>
      <c r="Z127" s="96"/>
      <c r="AA127" s="96"/>
      <c r="AC127" s="102"/>
      <c r="AD127" s="107" t="str">
        <f aca="false">IF($B127="","",IF(ISNUMBER($T127),$T127,IF(OR(NOT(ISNUMBER($Q127)),$S127=""),"",IFERROR(IF(ISNUMBER(INDEX(Lists!$AJ$2:$AJ$7,MATCH($S127,Lists!$AI$2:$AI$7,0))),$Q127+INDEX(Lists!$AJ$2:$AJ$7,MATCH($S127,Lists!$AI$2:$AI$7,0)),""),""))))</f>
        <v/>
      </c>
      <c r="AE127" s="104" t="str">
        <f aca="true">IF($B127="","",IF(AND(ISNUMBER($AD127),N($AD127)&lt;TODAY(),$N127&lt;&gt;"Done",$N127&lt;&gt;"Won't Fix",$N127&lt;&gt;"Duplicate"),"Yes","No"))</f>
        <v/>
      </c>
      <c r="AF127" s="101"/>
      <c r="AG127" s="108" t="str">
        <f aca="false">IF($AF127="","",IFERROR(VLOOKUP($AF127,'Application Portfolio'!$A$2:$B$1000,2,FALSE()),"Unknown App ID"))</f>
        <v/>
      </c>
      <c r="AH127" s="108" t="str">
        <f aca="false">IF(OR($B127="",$AF127=""),"",IFERROR(VLOOKUP($AF127,'Application Portfolio'!$A$2:$AB$1000,28,FALSE()),""))</f>
        <v/>
      </c>
    </row>
    <row r="128" customFormat="false" ht="15.75" hidden="false" customHeight="true" outlineLevel="0" collapsed="false">
      <c r="A128" s="100"/>
      <c r="B128" s="101"/>
      <c r="C128" s="101"/>
      <c r="D128" s="101"/>
      <c r="E128" s="101"/>
      <c r="F128" s="102"/>
      <c r="G128" s="102"/>
      <c r="H128" s="102"/>
      <c r="I128" s="102"/>
      <c r="J128" s="102"/>
      <c r="K128" s="102"/>
      <c r="L128" s="103" t="str">
        <f aca="false">IF(OR($B128="", $H128="", $I128="", $J128="", $K128=""),"",ROUND((VLOOKUP($H128,Lists!$E$2:$F$5,2,FALSE())*VLOOKUP($I128,Lists!$H$2:$I$4,2,FALSE())*VLOOKUP($J128,Lists!$K$2:$L$4,2,FALSE()))/VLOOKUP($K128,Lists!$N$2:$O$6,2,FALSE()),2))</f>
        <v/>
      </c>
      <c r="M128" s="104" t="str">
        <f aca="false">IF($B128="","",IF($AC128&lt;&gt;"",$AC128,IF($H128="Critical","P0",IF(NOT(ISNUMBER($L128)),"",IF($L128&gt;=Lists!$AM$2,"P0",IF($L128&gt;=Lists!$AM$3,"P1",IF($L128&gt;=Lists!$AM$4,"P2","P3")))))))</f>
        <v/>
      </c>
      <c r="N128" s="102"/>
      <c r="O128" s="101"/>
      <c r="P128" s="102"/>
      <c r="Q128" s="105"/>
      <c r="R128" s="106" t="str">
        <f aca="true">IF($Q128="","", TODAY()-$Q128)</f>
        <v/>
      </c>
      <c r="S128" s="102"/>
      <c r="T128" s="105"/>
      <c r="U128" s="105"/>
      <c r="V128" s="101"/>
      <c r="W128" s="101"/>
      <c r="X128" s="101"/>
      <c r="Y128" s="96"/>
      <c r="Z128" s="96"/>
      <c r="AA128" s="96"/>
      <c r="AC128" s="102"/>
      <c r="AD128" s="107" t="str">
        <f aca="false">IF($B128="","",IF(ISNUMBER($T128),$T128,IF(OR(NOT(ISNUMBER($Q128)),$S128=""),"",IFERROR(IF(ISNUMBER(INDEX(Lists!$AJ$2:$AJ$7,MATCH($S128,Lists!$AI$2:$AI$7,0))),$Q128+INDEX(Lists!$AJ$2:$AJ$7,MATCH($S128,Lists!$AI$2:$AI$7,0)),""),""))))</f>
        <v/>
      </c>
      <c r="AE128" s="104" t="str">
        <f aca="true">IF($B128="","",IF(AND(ISNUMBER($AD128),N($AD128)&lt;TODAY(),$N128&lt;&gt;"Done",$N128&lt;&gt;"Won't Fix",$N128&lt;&gt;"Duplicate"),"Yes","No"))</f>
        <v/>
      </c>
      <c r="AF128" s="101"/>
      <c r="AG128" s="108" t="str">
        <f aca="false">IF($AF128="","",IFERROR(VLOOKUP($AF128,'Application Portfolio'!$A$2:$B$1000,2,FALSE()),"Unknown App ID"))</f>
        <v/>
      </c>
      <c r="AH128" s="108" t="str">
        <f aca="false">IF(OR($B128="",$AF128=""),"",IFERROR(VLOOKUP($AF128,'Application Portfolio'!$A$2:$AB$1000,28,FALSE()),""))</f>
        <v/>
      </c>
    </row>
    <row r="129" customFormat="false" ht="15.75" hidden="false" customHeight="true" outlineLevel="0" collapsed="false">
      <c r="A129" s="100"/>
      <c r="B129" s="101"/>
      <c r="C129" s="101"/>
      <c r="D129" s="101"/>
      <c r="E129" s="101"/>
      <c r="F129" s="102"/>
      <c r="G129" s="102"/>
      <c r="H129" s="102"/>
      <c r="I129" s="102"/>
      <c r="J129" s="102"/>
      <c r="K129" s="102"/>
      <c r="L129" s="103" t="str">
        <f aca="false">IF(OR($B129="", $H129="", $I129="", $J129="", $K129=""),"",ROUND((VLOOKUP($H129,Lists!$E$2:$F$5,2,FALSE())*VLOOKUP($I129,Lists!$H$2:$I$4,2,FALSE())*VLOOKUP($J129,Lists!$K$2:$L$4,2,FALSE()))/VLOOKUP($K129,Lists!$N$2:$O$6,2,FALSE()),2))</f>
        <v/>
      </c>
      <c r="M129" s="104" t="str">
        <f aca="false">IF($B129="","",IF($AC129&lt;&gt;"",$AC129,IF($H129="Critical","P0",IF(NOT(ISNUMBER($L129)),"",IF($L129&gt;=Lists!$AM$2,"P0",IF($L129&gt;=Lists!$AM$3,"P1",IF($L129&gt;=Lists!$AM$4,"P2","P3")))))))</f>
        <v/>
      </c>
      <c r="N129" s="102"/>
      <c r="O129" s="101"/>
      <c r="P129" s="102"/>
      <c r="Q129" s="105"/>
      <c r="R129" s="106" t="str">
        <f aca="true">IF($Q129="","", TODAY()-$Q129)</f>
        <v/>
      </c>
      <c r="S129" s="102"/>
      <c r="T129" s="105"/>
      <c r="U129" s="105"/>
      <c r="V129" s="101"/>
      <c r="W129" s="101"/>
      <c r="X129" s="101"/>
      <c r="Y129" s="96"/>
      <c r="Z129" s="96"/>
      <c r="AA129" s="96"/>
      <c r="AC129" s="102"/>
      <c r="AD129" s="107" t="str">
        <f aca="false">IF($B129="","",IF(ISNUMBER($T129),$T129,IF(OR(NOT(ISNUMBER($Q129)),$S129=""),"",IFERROR(IF(ISNUMBER(INDEX(Lists!$AJ$2:$AJ$7,MATCH($S129,Lists!$AI$2:$AI$7,0))),$Q129+INDEX(Lists!$AJ$2:$AJ$7,MATCH($S129,Lists!$AI$2:$AI$7,0)),""),""))))</f>
        <v/>
      </c>
      <c r="AE129" s="104" t="str">
        <f aca="true">IF($B129="","",IF(AND(ISNUMBER($AD129),N($AD129)&lt;TODAY(),$N129&lt;&gt;"Done",$N129&lt;&gt;"Won't Fix",$N129&lt;&gt;"Duplicate"),"Yes","No"))</f>
        <v/>
      </c>
      <c r="AF129" s="101"/>
      <c r="AG129" s="108" t="str">
        <f aca="false">IF($AF129="","",IFERROR(VLOOKUP($AF129,'Application Portfolio'!$A$2:$B$1000,2,FALSE()),"Unknown App ID"))</f>
        <v/>
      </c>
      <c r="AH129" s="108" t="str">
        <f aca="false">IF(OR($B129="",$AF129=""),"",IFERROR(VLOOKUP($AF129,'Application Portfolio'!$A$2:$AB$1000,28,FALSE()),""))</f>
        <v/>
      </c>
    </row>
    <row r="130" customFormat="false" ht="15.75" hidden="false" customHeight="true" outlineLevel="0" collapsed="false">
      <c r="A130" s="100"/>
      <c r="B130" s="101"/>
      <c r="C130" s="101"/>
      <c r="D130" s="101"/>
      <c r="E130" s="101"/>
      <c r="F130" s="102"/>
      <c r="G130" s="102"/>
      <c r="H130" s="102"/>
      <c r="I130" s="102"/>
      <c r="J130" s="102"/>
      <c r="K130" s="102"/>
      <c r="L130" s="103" t="str">
        <f aca="false">IF(OR($B130="", $H130="", $I130="", $J130="", $K130=""),"",ROUND((VLOOKUP($H130,Lists!$E$2:$F$5,2,FALSE())*VLOOKUP($I130,Lists!$H$2:$I$4,2,FALSE())*VLOOKUP($J130,Lists!$K$2:$L$4,2,FALSE()))/VLOOKUP($K130,Lists!$N$2:$O$6,2,FALSE()),2))</f>
        <v/>
      </c>
      <c r="M130" s="104" t="str">
        <f aca="false">IF($B130="","",IF($AC130&lt;&gt;"",$AC130,IF($H130="Critical","P0",IF(NOT(ISNUMBER($L130)),"",IF($L130&gt;=Lists!$AM$2,"P0",IF($L130&gt;=Lists!$AM$3,"P1",IF($L130&gt;=Lists!$AM$4,"P2","P3")))))))</f>
        <v/>
      </c>
      <c r="N130" s="102"/>
      <c r="O130" s="101"/>
      <c r="P130" s="102"/>
      <c r="Q130" s="105"/>
      <c r="R130" s="106" t="str">
        <f aca="true">IF($Q130="","", TODAY()-$Q130)</f>
        <v/>
      </c>
      <c r="S130" s="102"/>
      <c r="T130" s="105"/>
      <c r="U130" s="105"/>
      <c r="V130" s="101"/>
      <c r="W130" s="101"/>
      <c r="X130" s="101"/>
      <c r="Y130" s="96"/>
      <c r="Z130" s="96"/>
      <c r="AA130" s="96"/>
      <c r="AC130" s="102"/>
      <c r="AD130" s="107" t="str">
        <f aca="false">IF($B130="","",IF(ISNUMBER($T130),$T130,IF(OR(NOT(ISNUMBER($Q130)),$S130=""),"",IFERROR(IF(ISNUMBER(INDEX(Lists!$AJ$2:$AJ$7,MATCH($S130,Lists!$AI$2:$AI$7,0))),$Q130+INDEX(Lists!$AJ$2:$AJ$7,MATCH($S130,Lists!$AI$2:$AI$7,0)),""),""))))</f>
        <v/>
      </c>
      <c r="AE130" s="104" t="str">
        <f aca="true">IF($B130="","",IF(AND(ISNUMBER($AD130),N($AD130)&lt;TODAY(),$N130&lt;&gt;"Done",$N130&lt;&gt;"Won't Fix",$N130&lt;&gt;"Duplicate"),"Yes","No"))</f>
        <v/>
      </c>
      <c r="AF130" s="101"/>
      <c r="AG130" s="108" t="str">
        <f aca="false">IF($AF130="","",IFERROR(VLOOKUP($AF130,'Application Portfolio'!$A$2:$B$1000,2,FALSE()),"Unknown App ID"))</f>
        <v/>
      </c>
      <c r="AH130" s="108" t="str">
        <f aca="false">IF(OR($B130="",$AF130=""),"",IFERROR(VLOOKUP($AF130,'Application Portfolio'!$A$2:$AB$1000,28,FALSE()),""))</f>
        <v/>
      </c>
    </row>
    <row r="131" customFormat="false" ht="15.75" hidden="false" customHeight="true" outlineLevel="0" collapsed="false">
      <c r="A131" s="100"/>
      <c r="B131" s="101"/>
      <c r="C131" s="101"/>
      <c r="D131" s="101"/>
      <c r="E131" s="101"/>
      <c r="F131" s="102"/>
      <c r="G131" s="102"/>
      <c r="H131" s="102"/>
      <c r="I131" s="102"/>
      <c r="J131" s="102"/>
      <c r="K131" s="102"/>
      <c r="L131" s="103" t="str">
        <f aca="false">IF(OR($B131="", $H131="", $I131="", $J131="", $K131=""),"",ROUND((VLOOKUP($H131,Lists!$E$2:$F$5,2,FALSE())*VLOOKUP($I131,Lists!$H$2:$I$4,2,FALSE())*VLOOKUP($J131,Lists!$K$2:$L$4,2,FALSE()))/VLOOKUP($K131,Lists!$N$2:$O$6,2,FALSE()),2))</f>
        <v/>
      </c>
      <c r="M131" s="104" t="str">
        <f aca="false">IF($B131="","",IF($AC131&lt;&gt;"",$AC131,IF($H131="Critical","P0",IF(NOT(ISNUMBER($L131)),"",IF($L131&gt;=Lists!$AM$2,"P0",IF($L131&gt;=Lists!$AM$3,"P1",IF($L131&gt;=Lists!$AM$4,"P2","P3")))))))</f>
        <v/>
      </c>
      <c r="N131" s="102"/>
      <c r="O131" s="101"/>
      <c r="P131" s="102"/>
      <c r="Q131" s="105"/>
      <c r="R131" s="106" t="str">
        <f aca="true">IF($Q131="","", TODAY()-$Q131)</f>
        <v/>
      </c>
      <c r="S131" s="102"/>
      <c r="T131" s="105"/>
      <c r="U131" s="105"/>
      <c r="V131" s="101"/>
      <c r="W131" s="101"/>
      <c r="X131" s="101"/>
      <c r="Y131" s="96"/>
      <c r="Z131" s="96"/>
      <c r="AA131" s="96"/>
      <c r="AC131" s="102"/>
      <c r="AD131" s="107" t="str">
        <f aca="false">IF($B131="","",IF(ISNUMBER($T131),$T131,IF(OR(NOT(ISNUMBER($Q131)),$S131=""),"",IFERROR(IF(ISNUMBER(INDEX(Lists!$AJ$2:$AJ$7,MATCH($S131,Lists!$AI$2:$AI$7,0))),$Q131+INDEX(Lists!$AJ$2:$AJ$7,MATCH($S131,Lists!$AI$2:$AI$7,0)),""),""))))</f>
        <v/>
      </c>
      <c r="AE131" s="104" t="str">
        <f aca="true">IF($B131="","",IF(AND(ISNUMBER($AD131),N($AD131)&lt;TODAY(),$N131&lt;&gt;"Done",$N131&lt;&gt;"Won't Fix",$N131&lt;&gt;"Duplicate"),"Yes","No"))</f>
        <v/>
      </c>
      <c r="AF131" s="101"/>
      <c r="AG131" s="108" t="str">
        <f aca="false">IF($AF131="","",IFERROR(VLOOKUP($AF131,'Application Portfolio'!$A$2:$B$1000,2,FALSE()),"Unknown App ID"))</f>
        <v/>
      </c>
      <c r="AH131" s="108" t="str">
        <f aca="false">IF(OR($B131="",$AF131=""),"",IFERROR(VLOOKUP($AF131,'Application Portfolio'!$A$2:$AB$1000,28,FALSE()),""))</f>
        <v/>
      </c>
    </row>
    <row r="132" customFormat="false" ht="15.75" hidden="false" customHeight="true" outlineLevel="0" collapsed="false">
      <c r="A132" s="100"/>
      <c r="B132" s="101"/>
      <c r="C132" s="101"/>
      <c r="D132" s="101"/>
      <c r="E132" s="101"/>
      <c r="F132" s="102"/>
      <c r="G132" s="102"/>
      <c r="H132" s="102"/>
      <c r="I132" s="102"/>
      <c r="J132" s="102"/>
      <c r="K132" s="102"/>
      <c r="L132" s="103" t="str">
        <f aca="false">IF(OR($B132="", $H132="", $I132="", $J132="", $K132=""),"",ROUND((VLOOKUP($H132,Lists!$E$2:$F$5,2,FALSE())*VLOOKUP($I132,Lists!$H$2:$I$4,2,FALSE())*VLOOKUP($J132,Lists!$K$2:$L$4,2,FALSE()))/VLOOKUP($K132,Lists!$N$2:$O$6,2,FALSE()),2))</f>
        <v/>
      </c>
      <c r="M132" s="104" t="str">
        <f aca="false">IF($B132="","",IF($AC132&lt;&gt;"",$AC132,IF($H132="Critical","P0",IF(NOT(ISNUMBER($L132)),"",IF($L132&gt;=Lists!$AM$2,"P0",IF($L132&gt;=Lists!$AM$3,"P1",IF($L132&gt;=Lists!$AM$4,"P2","P3")))))))</f>
        <v/>
      </c>
      <c r="N132" s="102"/>
      <c r="O132" s="101"/>
      <c r="P132" s="102"/>
      <c r="Q132" s="105"/>
      <c r="R132" s="106" t="str">
        <f aca="true">IF($Q132="","", TODAY()-$Q132)</f>
        <v/>
      </c>
      <c r="S132" s="102"/>
      <c r="T132" s="105"/>
      <c r="U132" s="105"/>
      <c r="V132" s="101"/>
      <c r="W132" s="101"/>
      <c r="X132" s="101"/>
      <c r="Y132" s="96"/>
      <c r="Z132" s="96"/>
      <c r="AA132" s="96"/>
      <c r="AC132" s="102"/>
      <c r="AD132" s="107" t="str">
        <f aca="false">IF($B132="","",IF(ISNUMBER($T132),$T132,IF(OR(NOT(ISNUMBER($Q132)),$S132=""),"",IFERROR(IF(ISNUMBER(INDEX(Lists!$AJ$2:$AJ$7,MATCH($S132,Lists!$AI$2:$AI$7,0))),$Q132+INDEX(Lists!$AJ$2:$AJ$7,MATCH($S132,Lists!$AI$2:$AI$7,0)),""),""))))</f>
        <v/>
      </c>
      <c r="AE132" s="104" t="str">
        <f aca="true">IF($B132="","",IF(AND(ISNUMBER($AD132),N($AD132)&lt;TODAY(),$N132&lt;&gt;"Done",$N132&lt;&gt;"Won't Fix",$N132&lt;&gt;"Duplicate"),"Yes","No"))</f>
        <v/>
      </c>
      <c r="AF132" s="101"/>
      <c r="AG132" s="108" t="str">
        <f aca="false">IF($AF132="","",IFERROR(VLOOKUP($AF132,'Application Portfolio'!$A$2:$B$1000,2,FALSE()),"Unknown App ID"))</f>
        <v/>
      </c>
      <c r="AH132" s="108" t="str">
        <f aca="false">IF(OR($B132="",$AF132=""),"",IFERROR(VLOOKUP($AF132,'Application Portfolio'!$A$2:$AB$1000,28,FALSE()),""))</f>
        <v/>
      </c>
    </row>
    <row r="133" customFormat="false" ht="15.75" hidden="false" customHeight="true" outlineLevel="0" collapsed="false">
      <c r="A133" s="100"/>
      <c r="B133" s="101"/>
      <c r="C133" s="101"/>
      <c r="D133" s="101"/>
      <c r="E133" s="101"/>
      <c r="F133" s="102"/>
      <c r="G133" s="102"/>
      <c r="H133" s="102"/>
      <c r="I133" s="102"/>
      <c r="J133" s="102"/>
      <c r="K133" s="102"/>
      <c r="L133" s="103" t="str">
        <f aca="false">IF(OR($B133="", $H133="", $I133="", $J133="", $K133=""),"",ROUND((VLOOKUP($H133,Lists!$E$2:$F$5,2,FALSE())*VLOOKUP($I133,Lists!$H$2:$I$4,2,FALSE())*VLOOKUP($J133,Lists!$K$2:$L$4,2,FALSE()))/VLOOKUP($K133,Lists!$N$2:$O$6,2,FALSE()),2))</f>
        <v/>
      </c>
      <c r="M133" s="104" t="str">
        <f aca="false">IF($B133="","",IF($AC133&lt;&gt;"",$AC133,IF($H133="Critical","P0",IF(NOT(ISNUMBER($L133)),"",IF($L133&gt;=Lists!$AM$2,"P0",IF($L133&gt;=Lists!$AM$3,"P1",IF($L133&gt;=Lists!$AM$4,"P2","P3")))))))</f>
        <v/>
      </c>
      <c r="N133" s="102"/>
      <c r="O133" s="101"/>
      <c r="P133" s="102"/>
      <c r="Q133" s="105"/>
      <c r="R133" s="106" t="str">
        <f aca="true">IF($Q133="","", TODAY()-$Q133)</f>
        <v/>
      </c>
      <c r="S133" s="102"/>
      <c r="T133" s="105"/>
      <c r="U133" s="105"/>
      <c r="V133" s="101"/>
      <c r="W133" s="101"/>
      <c r="X133" s="101"/>
      <c r="Y133" s="96"/>
      <c r="Z133" s="96"/>
      <c r="AA133" s="96"/>
      <c r="AC133" s="102"/>
      <c r="AD133" s="107" t="str">
        <f aca="false">IF($B133="","",IF(ISNUMBER($T133),$T133,IF(OR(NOT(ISNUMBER($Q133)),$S133=""),"",IFERROR(IF(ISNUMBER(INDEX(Lists!$AJ$2:$AJ$7,MATCH($S133,Lists!$AI$2:$AI$7,0))),$Q133+INDEX(Lists!$AJ$2:$AJ$7,MATCH($S133,Lists!$AI$2:$AI$7,0)),""),""))))</f>
        <v/>
      </c>
      <c r="AE133" s="104" t="str">
        <f aca="true">IF($B133="","",IF(AND(ISNUMBER($AD133),N($AD133)&lt;TODAY(),$N133&lt;&gt;"Done",$N133&lt;&gt;"Won't Fix",$N133&lt;&gt;"Duplicate"),"Yes","No"))</f>
        <v/>
      </c>
      <c r="AF133" s="101"/>
      <c r="AG133" s="108" t="str">
        <f aca="false">IF($AF133="","",IFERROR(VLOOKUP($AF133,'Application Portfolio'!$A$2:$B$1000,2,FALSE()),"Unknown App ID"))</f>
        <v/>
      </c>
      <c r="AH133" s="108" t="str">
        <f aca="false">IF(OR($B133="",$AF133=""),"",IFERROR(VLOOKUP($AF133,'Application Portfolio'!$A$2:$AB$1000,28,FALSE()),""))</f>
        <v/>
      </c>
    </row>
    <row r="134" customFormat="false" ht="15.75" hidden="false" customHeight="true" outlineLevel="0" collapsed="false">
      <c r="A134" s="100"/>
      <c r="B134" s="101"/>
      <c r="C134" s="101"/>
      <c r="D134" s="101"/>
      <c r="E134" s="101"/>
      <c r="F134" s="102"/>
      <c r="G134" s="102"/>
      <c r="H134" s="102"/>
      <c r="I134" s="102"/>
      <c r="J134" s="102"/>
      <c r="K134" s="102"/>
      <c r="L134" s="103" t="str">
        <f aca="false">IF(OR($B134="", $H134="", $I134="", $J134="", $K134=""),"",ROUND((VLOOKUP($H134,Lists!$E$2:$F$5,2,FALSE())*VLOOKUP($I134,Lists!$H$2:$I$4,2,FALSE())*VLOOKUP($J134,Lists!$K$2:$L$4,2,FALSE()))/VLOOKUP($K134,Lists!$N$2:$O$6,2,FALSE()),2))</f>
        <v/>
      </c>
      <c r="M134" s="104" t="str">
        <f aca="false">IF($B134="","",IF($AC134&lt;&gt;"",$AC134,IF($H134="Critical","P0",IF(NOT(ISNUMBER($L134)),"",IF($L134&gt;=Lists!$AM$2,"P0",IF($L134&gt;=Lists!$AM$3,"P1",IF($L134&gt;=Lists!$AM$4,"P2","P3")))))))</f>
        <v/>
      </c>
      <c r="N134" s="102"/>
      <c r="O134" s="101"/>
      <c r="P134" s="102"/>
      <c r="Q134" s="105"/>
      <c r="R134" s="106" t="str">
        <f aca="true">IF($Q134="","", TODAY()-$Q134)</f>
        <v/>
      </c>
      <c r="S134" s="102"/>
      <c r="T134" s="105"/>
      <c r="U134" s="105"/>
      <c r="V134" s="101"/>
      <c r="W134" s="101"/>
      <c r="X134" s="101"/>
      <c r="Y134" s="96"/>
      <c r="Z134" s="96"/>
      <c r="AA134" s="96"/>
      <c r="AC134" s="102"/>
      <c r="AD134" s="107" t="str">
        <f aca="false">IF($B134="","",IF(ISNUMBER($T134),$T134,IF(OR(NOT(ISNUMBER($Q134)),$S134=""),"",IFERROR(IF(ISNUMBER(INDEX(Lists!$AJ$2:$AJ$7,MATCH($S134,Lists!$AI$2:$AI$7,0))),$Q134+INDEX(Lists!$AJ$2:$AJ$7,MATCH($S134,Lists!$AI$2:$AI$7,0)),""),""))))</f>
        <v/>
      </c>
      <c r="AE134" s="104" t="str">
        <f aca="true">IF($B134="","",IF(AND(ISNUMBER($AD134),N($AD134)&lt;TODAY(),$N134&lt;&gt;"Done",$N134&lt;&gt;"Won't Fix",$N134&lt;&gt;"Duplicate"),"Yes","No"))</f>
        <v/>
      </c>
      <c r="AF134" s="101"/>
      <c r="AG134" s="108" t="str">
        <f aca="false">IF($AF134="","",IFERROR(VLOOKUP($AF134,'Application Portfolio'!$A$2:$B$1000,2,FALSE()),"Unknown App ID"))</f>
        <v/>
      </c>
      <c r="AH134" s="108" t="str">
        <f aca="false">IF(OR($B134="",$AF134=""),"",IFERROR(VLOOKUP($AF134,'Application Portfolio'!$A$2:$AB$1000,28,FALSE()),""))</f>
        <v/>
      </c>
    </row>
    <row r="135" customFormat="false" ht="15.75" hidden="false" customHeight="true" outlineLevel="0" collapsed="false">
      <c r="A135" s="100"/>
      <c r="B135" s="101"/>
      <c r="C135" s="101"/>
      <c r="D135" s="101"/>
      <c r="E135" s="101"/>
      <c r="F135" s="102"/>
      <c r="G135" s="102"/>
      <c r="H135" s="102"/>
      <c r="I135" s="102"/>
      <c r="J135" s="102"/>
      <c r="K135" s="102"/>
      <c r="L135" s="103" t="str">
        <f aca="false">IF(OR($B135="", $H135="", $I135="", $J135="", $K135=""),"",ROUND((VLOOKUP($H135,Lists!$E$2:$F$5,2,FALSE())*VLOOKUP($I135,Lists!$H$2:$I$4,2,FALSE())*VLOOKUP($J135,Lists!$K$2:$L$4,2,FALSE()))/VLOOKUP($K135,Lists!$N$2:$O$6,2,FALSE()),2))</f>
        <v/>
      </c>
      <c r="M135" s="104" t="str">
        <f aca="false">IF($B135="","",IF($AC135&lt;&gt;"",$AC135,IF($H135="Critical","P0",IF(NOT(ISNUMBER($L135)),"",IF($L135&gt;=Lists!$AM$2,"P0",IF($L135&gt;=Lists!$AM$3,"P1",IF($L135&gt;=Lists!$AM$4,"P2","P3")))))))</f>
        <v/>
      </c>
      <c r="N135" s="102"/>
      <c r="O135" s="101"/>
      <c r="P135" s="102"/>
      <c r="Q135" s="105"/>
      <c r="R135" s="106" t="str">
        <f aca="true">IF($Q135="","", TODAY()-$Q135)</f>
        <v/>
      </c>
      <c r="S135" s="102"/>
      <c r="T135" s="105"/>
      <c r="U135" s="105"/>
      <c r="V135" s="101"/>
      <c r="W135" s="101"/>
      <c r="X135" s="101"/>
      <c r="Y135" s="96"/>
      <c r="Z135" s="96"/>
      <c r="AA135" s="96"/>
      <c r="AC135" s="102"/>
      <c r="AD135" s="107" t="str">
        <f aca="false">IF($B135="","",IF(ISNUMBER($T135),$T135,IF(OR(NOT(ISNUMBER($Q135)),$S135=""),"",IFERROR(IF(ISNUMBER(INDEX(Lists!$AJ$2:$AJ$7,MATCH($S135,Lists!$AI$2:$AI$7,0))),$Q135+INDEX(Lists!$AJ$2:$AJ$7,MATCH($S135,Lists!$AI$2:$AI$7,0)),""),""))))</f>
        <v/>
      </c>
      <c r="AE135" s="104" t="str">
        <f aca="true">IF($B135="","",IF(AND(ISNUMBER($AD135),N($AD135)&lt;TODAY(),$N135&lt;&gt;"Done",$N135&lt;&gt;"Won't Fix",$N135&lt;&gt;"Duplicate"),"Yes","No"))</f>
        <v/>
      </c>
      <c r="AF135" s="101"/>
      <c r="AG135" s="108" t="str">
        <f aca="false">IF($AF135="","",IFERROR(VLOOKUP($AF135,'Application Portfolio'!$A$2:$B$1000,2,FALSE()),"Unknown App ID"))</f>
        <v/>
      </c>
      <c r="AH135" s="108" t="str">
        <f aca="false">IF(OR($B135="",$AF135=""),"",IFERROR(VLOOKUP($AF135,'Application Portfolio'!$A$2:$AB$1000,28,FALSE()),""))</f>
        <v/>
      </c>
    </row>
    <row r="136" customFormat="false" ht="15.75" hidden="false" customHeight="true" outlineLevel="0" collapsed="false">
      <c r="A136" s="100"/>
      <c r="B136" s="101"/>
      <c r="C136" s="101"/>
      <c r="D136" s="101"/>
      <c r="E136" s="101"/>
      <c r="F136" s="102"/>
      <c r="G136" s="102"/>
      <c r="H136" s="102"/>
      <c r="I136" s="102"/>
      <c r="J136" s="102"/>
      <c r="K136" s="102"/>
      <c r="L136" s="103" t="str">
        <f aca="false">IF(OR($B136="", $H136="", $I136="", $J136="", $K136=""),"",ROUND((VLOOKUP($H136,Lists!$E$2:$F$5,2,FALSE())*VLOOKUP($I136,Lists!$H$2:$I$4,2,FALSE())*VLOOKUP($J136,Lists!$K$2:$L$4,2,FALSE()))/VLOOKUP($K136,Lists!$N$2:$O$6,2,FALSE()),2))</f>
        <v/>
      </c>
      <c r="M136" s="104" t="str">
        <f aca="false">IF($B136="","",IF($AC136&lt;&gt;"",$AC136,IF($H136="Critical","P0",IF(NOT(ISNUMBER($L136)),"",IF($L136&gt;=Lists!$AM$2,"P0",IF($L136&gt;=Lists!$AM$3,"P1",IF($L136&gt;=Lists!$AM$4,"P2","P3")))))))</f>
        <v/>
      </c>
      <c r="N136" s="102"/>
      <c r="O136" s="101"/>
      <c r="P136" s="102"/>
      <c r="Q136" s="105"/>
      <c r="R136" s="106" t="str">
        <f aca="true">IF($Q136="","", TODAY()-$Q136)</f>
        <v/>
      </c>
      <c r="S136" s="102"/>
      <c r="T136" s="105"/>
      <c r="U136" s="105"/>
      <c r="V136" s="101"/>
      <c r="W136" s="101"/>
      <c r="X136" s="101"/>
      <c r="Y136" s="96"/>
      <c r="Z136" s="96"/>
      <c r="AA136" s="96"/>
      <c r="AC136" s="102"/>
      <c r="AD136" s="107" t="str">
        <f aca="false">IF($B136="","",IF(ISNUMBER($T136),$T136,IF(OR(NOT(ISNUMBER($Q136)),$S136=""),"",IFERROR(IF(ISNUMBER(INDEX(Lists!$AJ$2:$AJ$7,MATCH($S136,Lists!$AI$2:$AI$7,0))),$Q136+INDEX(Lists!$AJ$2:$AJ$7,MATCH($S136,Lists!$AI$2:$AI$7,0)),""),""))))</f>
        <v/>
      </c>
      <c r="AE136" s="104" t="str">
        <f aca="true">IF($B136="","",IF(AND(ISNUMBER($AD136),N($AD136)&lt;TODAY(),$N136&lt;&gt;"Done",$N136&lt;&gt;"Won't Fix",$N136&lt;&gt;"Duplicate"),"Yes","No"))</f>
        <v/>
      </c>
      <c r="AF136" s="101"/>
      <c r="AG136" s="108" t="str">
        <f aca="false">IF($AF136="","",IFERROR(VLOOKUP($AF136,'Application Portfolio'!$A$2:$B$1000,2,FALSE()),"Unknown App ID"))</f>
        <v/>
      </c>
      <c r="AH136" s="108" t="str">
        <f aca="false">IF(OR($B136="",$AF136=""),"",IFERROR(VLOOKUP($AF136,'Application Portfolio'!$A$2:$AB$1000,28,FALSE()),""))</f>
        <v/>
      </c>
    </row>
    <row r="137" customFormat="false" ht="15.75" hidden="false" customHeight="true" outlineLevel="0" collapsed="false">
      <c r="A137" s="100"/>
      <c r="B137" s="101"/>
      <c r="C137" s="101"/>
      <c r="D137" s="101"/>
      <c r="E137" s="101"/>
      <c r="F137" s="102"/>
      <c r="G137" s="102"/>
      <c r="H137" s="102"/>
      <c r="I137" s="102"/>
      <c r="J137" s="102"/>
      <c r="K137" s="102"/>
      <c r="L137" s="103" t="str">
        <f aca="false">IF(OR($B137="", $H137="", $I137="", $J137="", $K137=""),"",ROUND((VLOOKUP($H137,Lists!$E$2:$F$5,2,FALSE())*VLOOKUP($I137,Lists!$H$2:$I$4,2,FALSE())*VLOOKUP($J137,Lists!$K$2:$L$4,2,FALSE()))/VLOOKUP($K137,Lists!$N$2:$O$6,2,FALSE()),2))</f>
        <v/>
      </c>
      <c r="M137" s="104" t="str">
        <f aca="false">IF($B137="","",IF($AC137&lt;&gt;"",$AC137,IF($H137="Critical","P0",IF(NOT(ISNUMBER($L137)),"",IF($L137&gt;=Lists!$AM$2,"P0",IF($L137&gt;=Lists!$AM$3,"P1",IF($L137&gt;=Lists!$AM$4,"P2","P3")))))))</f>
        <v/>
      </c>
      <c r="N137" s="102"/>
      <c r="O137" s="101"/>
      <c r="P137" s="102"/>
      <c r="Q137" s="105"/>
      <c r="R137" s="106" t="str">
        <f aca="true">IF($Q137="","", TODAY()-$Q137)</f>
        <v/>
      </c>
      <c r="S137" s="102"/>
      <c r="T137" s="105"/>
      <c r="U137" s="105"/>
      <c r="V137" s="101"/>
      <c r="W137" s="101"/>
      <c r="X137" s="101"/>
      <c r="Y137" s="96"/>
      <c r="Z137" s="96"/>
      <c r="AA137" s="96"/>
      <c r="AC137" s="102"/>
      <c r="AD137" s="107" t="str">
        <f aca="false">IF($B137="","",IF(ISNUMBER($T137),$T137,IF(OR(NOT(ISNUMBER($Q137)),$S137=""),"",IFERROR(IF(ISNUMBER(INDEX(Lists!$AJ$2:$AJ$7,MATCH($S137,Lists!$AI$2:$AI$7,0))),$Q137+INDEX(Lists!$AJ$2:$AJ$7,MATCH($S137,Lists!$AI$2:$AI$7,0)),""),""))))</f>
        <v/>
      </c>
      <c r="AE137" s="104" t="str">
        <f aca="true">IF($B137="","",IF(AND(ISNUMBER($AD137),N($AD137)&lt;TODAY(),$N137&lt;&gt;"Done",$N137&lt;&gt;"Won't Fix",$N137&lt;&gt;"Duplicate"),"Yes","No"))</f>
        <v/>
      </c>
      <c r="AF137" s="101"/>
      <c r="AG137" s="108" t="str">
        <f aca="false">IF($AF137="","",IFERROR(VLOOKUP($AF137,'Application Portfolio'!$A$2:$B$1000,2,FALSE()),"Unknown App ID"))</f>
        <v/>
      </c>
      <c r="AH137" s="108" t="str">
        <f aca="false">IF(OR($B137="",$AF137=""),"",IFERROR(VLOOKUP($AF137,'Application Portfolio'!$A$2:$AB$1000,28,FALSE()),""))</f>
        <v/>
      </c>
    </row>
    <row r="138" customFormat="false" ht="15.75" hidden="false" customHeight="true" outlineLevel="0" collapsed="false">
      <c r="A138" s="100"/>
      <c r="B138" s="101"/>
      <c r="C138" s="101"/>
      <c r="D138" s="101"/>
      <c r="E138" s="101"/>
      <c r="F138" s="102"/>
      <c r="G138" s="102"/>
      <c r="H138" s="102"/>
      <c r="I138" s="102"/>
      <c r="J138" s="102"/>
      <c r="K138" s="102"/>
      <c r="L138" s="103" t="str">
        <f aca="false">IF(OR($B138="", $H138="", $I138="", $J138="", $K138=""),"",ROUND((VLOOKUP($H138,Lists!$E$2:$F$5,2,FALSE())*VLOOKUP($I138,Lists!$H$2:$I$4,2,FALSE())*VLOOKUP($J138,Lists!$K$2:$L$4,2,FALSE()))/VLOOKUP($K138,Lists!$N$2:$O$6,2,FALSE()),2))</f>
        <v/>
      </c>
      <c r="M138" s="104" t="str">
        <f aca="false">IF($B138="","",IF($AC138&lt;&gt;"",$AC138,IF($H138="Critical","P0",IF(NOT(ISNUMBER($L138)),"",IF($L138&gt;=Lists!$AM$2,"P0",IF($L138&gt;=Lists!$AM$3,"P1",IF($L138&gt;=Lists!$AM$4,"P2","P3")))))))</f>
        <v/>
      </c>
      <c r="N138" s="102"/>
      <c r="O138" s="101"/>
      <c r="P138" s="102"/>
      <c r="Q138" s="105"/>
      <c r="R138" s="106" t="str">
        <f aca="true">IF($Q138="","", TODAY()-$Q138)</f>
        <v/>
      </c>
      <c r="S138" s="102"/>
      <c r="T138" s="105"/>
      <c r="U138" s="105"/>
      <c r="V138" s="101"/>
      <c r="W138" s="101"/>
      <c r="X138" s="101"/>
      <c r="Y138" s="96"/>
      <c r="Z138" s="96"/>
      <c r="AA138" s="96"/>
      <c r="AC138" s="102"/>
      <c r="AD138" s="107" t="str">
        <f aca="false">IF($B138="","",IF(ISNUMBER($T138),$T138,IF(OR(NOT(ISNUMBER($Q138)),$S138=""),"",IFERROR(IF(ISNUMBER(INDEX(Lists!$AJ$2:$AJ$7,MATCH($S138,Lists!$AI$2:$AI$7,0))),$Q138+INDEX(Lists!$AJ$2:$AJ$7,MATCH($S138,Lists!$AI$2:$AI$7,0)),""),""))))</f>
        <v/>
      </c>
      <c r="AE138" s="104" t="str">
        <f aca="true">IF($B138="","",IF(AND(ISNUMBER($AD138),N($AD138)&lt;TODAY(),$N138&lt;&gt;"Done",$N138&lt;&gt;"Won't Fix",$N138&lt;&gt;"Duplicate"),"Yes","No"))</f>
        <v/>
      </c>
      <c r="AF138" s="101"/>
      <c r="AG138" s="108" t="str">
        <f aca="false">IF($AF138="","",IFERROR(VLOOKUP($AF138,'Application Portfolio'!$A$2:$B$1000,2,FALSE()),"Unknown App ID"))</f>
        <v/>
      </c>
      <c r="AH138" s="108" t="str">
        <f aca="false">IF(OR($B138="",$AF138=""),"",IFERROR(VLOOKUP($AF138,'Application Portfolio'!$A$2:$AB$1000,28,FALSE()),""))</f>
        <v/>
      </c>
    </row>
    <row r="139" customFormat="false" ht="15.75" hidden="false" customHeight="true" outlineLevel="0" collapsed="false">
      <c r="A139" s="100"/>
      <c r="B139" s="101"/>
      <c r="C139" s="101"/>
      <c r="D139" s="101"/>
      <c r="E139" s="101"/>
      <c r="F139" s="102"/>
      <c r="G139" s="102"/>
      <c r="H139" s="102"/>
      <c r="I139" s="102"/>
      <c r="J139" s="102"/>
      <c r="K139" s="102"/>
      <c r="L139" s="103" t="str">
        <f aca="false">IF(OR($B139="", $H139="", $I139="", $J139="", $K139=""),"",ROUND((VLOOKUP($H139,Lists!$E$2:$F$5,2,FALSE())*VLOOKUP($I139,Lists!$H$2:$I$4,2,FALSE())*VLOOKUP($J139,Lists!$K$2:$L$4,2,FALSE()))/VLOOKUP($K139,Lists!$N$2:$O$6,2,FALSE()),2))</f>
        <v/>
      </c>
      <c r="M139" s="104" t="str">
        <f aca="false">IF($B139="","",IF($AC139&lt;&gt;"",$AC139,IF($H139="Critical","P0",IF(NOT(ISNUMBER($L139)),"",IF($L139&gt;=Lists!$AM$2,"P0",IF($L139&gt;=Lists!$AM$3,"P1",IF($L139&gt;=Lists!$AM$4,"P2","P3")))))))</f>
        <v/>
      </c>
      <c r="N139" s="102"/>
      <c r="O139" s="101"/>
      <c r="P139" s="102"/>
      <c r="Q139" s="105"/>
      <c r="R139" s="106" t="str">
        <f aca="true">IF($Q139="","", TODAY()-$Q139)</f>
        <v/>
      </c>
      <c r="S139" s="102"/>
      <c r="T139" s="105"/>
      <c r="U139" s="105"/>
      <c r="V139" s="101"/>
      <c r="W139" s="101"/>
      <c r="X139" s="101"/>
      <c r="Y139" s="96"/>
      <c r="Z139" s="96"/>
      <c r="AA139" s="96"/>
      <c r="AC139" s="102"/>
      <c r="AD139" s="107" t="str">
        <f aca="false">IF($B139="","",IF(ISNUMBER($T139),$T139,IF(OR(NOT(ISNUMBER($Q139)),$S139=""),"",IFERROR(IF(ISNUMBER(INDEX(Lists!$AJ$2:$AJ$7,MATCH($S139,Lists!$AI$2:$AI$7,0))),$Q139+INDEX(Lists!$AJ$2:$AJ$7,MATCH($S139,Lists!$AI$2:$AI$7,0)),""),""))))</f>
        <v/>
      </c>
      <c r="AE139" s="104" t="str">
        <f aca="true">IF($B139="","",IF(AND(ISNUMBER($AD139),N($AD139)&lt;TODAY(),$N139&lt;&gt;"Done",$N139&lt;&gt;"Won't Fix",$N139&lt;&gt;"Duplicate"),"Yes","No"))</f>
        <v/>
      </c>
      <c r="AF139" s="101"/>
      <c r="AG139" s="108" t="str">
        <f aca="false">IF($AF139="","",IFERROR(VLOOKUP($AF139,'Application Portfolio'!$A$2:$B$1000,2,FALSE()),"Unknown App ID"))</f>
        <v/>
      </c>
      <c r="AH139" s="108" t="str">
        <f aca="false">IF(OR($B139="",$AF139=""),"",IFERROR(VLOOKUP($AF139,'Application Portfolio'!$A$2:$AB$1000,28,FALSE()),""))</f>
        <v/>
      </c>
    </row>
    <row r="140" customFormat="false" ht="15.75" hidden="false" customHeight="true" outlineLevel="0" collapsed="false">
      <c r="A140" s="100"/>
      <c r="B140" s="101"/>
      <c r="C140" s="101"/>
      <c r="D140" s="101"/>
      <c r="E140" s="101"/>
      <c r="F140" s="102"/>
      <c r="G140" s="102"/>
      <c r="H140" s="102"/>
      <c r="I140" s="102"/>
      <c r="J140" s="102"/>
      <c r="K140" s="102"/>
      <c r="L140" s="103" t="str">
        <f aca="false">IF(OR($B140="", $H140="", $I140="", $J140="", $K140=""),"",ROUND((VLOOKUP($H140,Lists!$E$2:$F$5,2,FALSE())*VLOOKUP($I140,Lists!$H$2:$I$4,2,FALSE())*VLOOKUP($J140,Lists!$K$2:$L$4,2,FALSE()))/VLOOKUP($K140,Lists!$N$2:$O$6,2,FALSE()),2))</f>
        <v/>
      </c>
      <c r="M140" s="104" t="str">
        <f aca="false">IF($B140="","",IF($AC140&lt;&gt;"",$AC140,IF($H140="Critical","P0",IF(NOT(ISNUMBER($L140)),"",IF($L140&gt;=Lists!$AM$2,"P0",IF($L140&gt;=Lists!$AM$3,"P1",IF($L140&gt;=Lists!$AM$4,"P2","P3")))))))</f>
        <v/>
      </c>
      <c r="N140" s="102"/>
      <c r="O140" s="101"/>
      <c r="P140" s="102"/>
      <c r="Q140" s="105"/>
      <c r="R140" s="106" t="str">
        <f aca="true">IF($Q140="","", TODAY()-$Q140)</f>
        <v/>
      </c>
      <c r="S140" s="102"/>
      <c r="T140" s="105"/>
      <c r="U140" s="105"/>
      <c r="V140" s="101"/>
      <c r="W140" s="101"/>
      <c r="X140" s="101"/>
      <c r="Y140" s="96"/>
      <c r="Z140" s="96"/>
      <c r="AA140" s="96"/>
      <c r="AC140" s="102"/>
      <c r="AD140" s="107" t="str">
        <f aca="false">IF($B140="","",IF(ISNUMBER($T140),$T140,IF(OR(NOT(ISNUMBER($Q140)),$S140=""),"",IFERROR(IF(ISNUMBER(INDEX(Lists!$AJ$2:$AJ$7,MATCH($S140,Lists!$AI$2:$AI$7,0))),$Q140+INDEX(Lists!$AJ$2:$AJ$7,MATCH($S140,Lists!$AI$2:$AI$7,0)),""),""))))</f>
        <v/>
      </c>
      <c r="AE140" s="104" t="str">
        <f aca="true">IF($B140="","",IF(AND(ISNUMBER($AD140),N($AD140)&lt;TODAY(),$N140&lt;&gt;"Done",$N140&lt;&gt;"Won't Fix",$N140&lt;&gt;"Duplicate"),"Yes","No"))</f>
        <v/>
      </c>
      <c r="AF140" s="101"/>
      <c r="AG140" s="108" t="str">
        <f aca="false">IF($AF140="","",IFERROR(VLOOKUP($AF140,'Application Portfolio'!$A$2:$B$1000,2,FALSE()),"Unknown App ID"))</f>
        <v/>
      </c>
      <c r="AH140" s="108" t="str">
        <f aca="false">IF(OR($B140="",$AF140=""),"",IFERROR(VLOOKUP($AF140,'Application Portfolio'!$A$2:$AB$1000,28,FALSE()),""))</f>
        <v/>
      </c>
    </row>
    <row r="141" customFormat="false" ht="15.75" hidden="false" customHeight="true" outlineLevel="0" collapsed="false">
      <c r="A141" s="100"/>
      <c r="B141" s="101"/>
      <c r="C141" s="101"/>
      <c r="D141" s="101"/>
      <c r="E141" s="101"/>
      <c r="F141" s="102"/>
      <c r="G141" s="102"/>
      <c r="H141" s="102"/>
      <c r="I141" s="102"/>
      <c r="J141" s="102"/>
      <c r="K141" s="102"/>
      <c r="L141" s="103" t="str">
        <f aca="false">IF(OR($B141="", $H141="", $I141="", $J141="", $K141=""),"",ROUND((VLOOKUP($H141,Lists!$E$2:$F$5,2,FALSE())*VLOOKUP($I141,Lists!$H$2:$I$4,2,FALSE())*VLOOKUP($J141,Lists!$K$2:$L$4,2,FALSE()))/VLOOKUP($K141,Lists!$N$2:$O$6,2,FALSE()),2))</f>
        <v/>
      </c>
      <c r="M141" s="104" t="str">
        <f aca="false">IF($B141="","",IF($AC141&lt;&gt;"",$AC141,IF($H141="Critical","P0",IF(NOT(ISNUMBER($L141)),"",IF($L141&gt;=Lists!$AM$2,"P0",IF($L141&gt;=Lists!$AM$3,"P1",IF($L141&gt;=Lists!$AM$4,"P2","P3")))))))</f>
        <v/>
      </c>
      <c r="N141" s="102"/>
      <c r="O141" s="101"/>
      <c r="P141" s="102"/>
      <c r="Q141" s="105"/>
      <c r="R141" s="106" t="str">
        <f aca="true">IF($Q141="","", TODAY()-$Q141)</f>
        <v/>
      </c>
      <c r="S141" s="102"/>
      <c r="T141" s="105"/>
      <c r="U141" s="105"/>
      <c r="V141" s="101"/>
      <c r="W141" s="101"/>
      <c r="X141" s="101"/>
      <c r="Y141" s="96"/>
      <c r="Z141" s="96"/>
      <c r="AA141" s="96"/>
      <c r="AC141" s="102"/>
      <c r="AD141" s="107" t="str">
        <f aca="false">IF($B141="","",IF(ISNUMBER($T141),$T141,IF(OR(NOT(ISNUMBER($Q141)),$S141=""),"",IFERROR(IF(ISNUMBER(INDEX(Lists!$AJ$2:$AJ$7,MATCH($S141,Lists!$AI$2:$AI$7,0))),$Q141+INDEX(Lists!$AJ$2:$AJ$7,MATCH($S141,Lists!$AI$2:$AI$7,0)),""),""))))</f>
        <v/>
      </c>
      <c r="AE141" s="104" t="str">
        <f aca="true">IF($B141="","",IF(AND(ISNUMBER($AD141),N($AD141)&lt;TODAY(),$N141&lt;&gt;"Done",$N141&lt;&gt;"Won't Fix",$N141&lt;&gt;"Duplicate"),"Yes","No"))</f>
        <v/>
      </c>
      <c r="AF141" s="101"/>
      <c r="AG141" s="108" t="str">
        <f aca="false">IF($AF141="","",IFERROR(VLOOKUP($AF141,'Application Portfolio'!$A$2:$B$1000,2,FALSE()),"Unknown App ID"))</f>
        <v/>
      </c>
      <c r="AH141" s="108" t="str">
        <f aca="false">IF(OR($B141="",$AF141=""),"",IFERROR(VLOOKUP($AF141,'Application Portfolio'!$A$2:$AB$1000,28,FALSE()),""))</f>
        <v/>
      </c>
    </row>
    <row r="142" customFormat="false" ht="15.75" hidden="false" customHeight="true" outlineLevel="0" collapsed="false">
      <c r="A142" s="100"/>
      <c r="B142" s="101"/>
      <c r="C142" s="101"/>
      <c r="D142" s="101"/>
      <c r="E142" s="101"/>
      <c r="F142" s="102"/>
      <c r="G142" s="102"/>
      <c r="H142" s="102"/>
      <c r="I142" s="102"/>
      <c r="J142" s="102"/>
      <c r="K142" s="102"/>
      <c r="L142" s="103" t="str">
        <f aca="false">IF(OR($B142="", $H142="", $I142="", $J142="", $K142=""),"",ROUND((VLOOKUP($H142,Lists!$E$2:$F$5,2,FALSE())*VLOOKUP($I142,Lists!$H$2:$I$4,2,FALSE())*VLOOKUP($J142,Lists!$K$2:$L$4,2,FALSE()))/VLOOKUP($K142,Lists!$N$2:$O$6,2,FALSE()),2))</f>
        <v/>
      </c>
      <c r="M142" s="104" t="str">
        <f aca="false">IF($B142="","",IF($AC142&lt;&gt;"",$AC142,IF($H142="Critical","P0",IF(NOT(ISNUMBER($L142)),"",IF($L142&gt;=Lists!$AM$2,"P0",IF($L142&gt;=Lists!$AM$3,"P1",IF($L142&gt;=Lists!$AM$4,"P2","P3")))))))</f>
        <v/>
      </c>
      <c r="N142" s="102"/>
      <c r="O142" s="101"/>
      <c r="P142" s="102"/>
      <c r="Q142" s="105"/>
      <c r="R142" s="106" t="str">
        <f aca="true">IF($Q142="","", TODAY()-$Q142)</f>
        <v/>
      </c>
      <c r="S142" s="102"/>
      <c r="T142" s="105"/>
      <c r="U142" s="105"/>
      <c r="V142" s="101"/>
      <c r="W142" s="101"/>
      <c r="X142" s="101"/>
      <c r="Y142" s="96"/>
      <c r="Z142" s="96"/>
      <c r="AA142" s="96"/>
      <c r="AC142" s="102"/>
      <c r="AD142" s="107" t="str">
        <f aca="false">IF($B142="","",IF(ISNUMBER($T142),$T142,IF(OR(NOT(ISNUMBER($Q142)),$S142=""),"",IFERROR(IF(ISNUMBER(INDEX(Lists!$AJ$2:$AJ$7,MATCH($S142,Lists!$AI$2:$AI$7,0))),$Q142+INDEX(Lists!$AJ$2:$AJ$7,MATCH($S142,Lists!$AI$2:$AI$7,0)),""),""))))</f>
        <v/>
      </c>
      <c r="AE142" s="104" t="str">
        <f aca="true">IF($B142="","",IF(AND(ISNUMBER($AD142),N($AD142)&lt;TODAY(),$N142&lt;&gt;"Done",$N142&lt;&gt;"Won't Fix",$N142&lt;&gt;"Duplicate"),"Yes","No"))</f>
        <v/>
      </c>
      <c r="AF142" s="101"/>
      <c r="AG142" s="108" t="str">
        <f aca="false">IF($AF142="","",IFERROR(VLOOKUP($AF142,'Application Portfolio'!$A$2:$B$1000,2,FALSE()),"Unknown App ID"))</f>
        <v/>
      </c>
      <c r="AH142" s="108" t="str">
        <f aca="false">IF(OR($B142="",$AF142=""),"",IFERROR(VLOOKUP($AF142,'Application Portfolio'!$A$2:$AB$1000,28,FALSE()),""))</f>
        <v/>
      </c>
    </row>
    <row r="143" customFormat="false" ht="15.75" hidden="false" customHeight="true" outlineLevel="0" collapsed="false">
      <c r="A143" s="100"/>
      <c r="B143" s="101"/>
      <c r="C143" s="101"/>
      <c r="D143" s="101"/>
      <c r="E143" s="101"/>
      <c r="F143" s="102"/>
      <c r="G143" s="102"/>
      <c r="H143" s="102"/>
      <c r="I143" s="102"/>
      <c r="J143" s="102"/>
      <c r="K143" s="102"/>
      <c r="L143" s="103" t="str">
        <f aca="false">IF(OR($B143="", $H143="", $I143="", $J143="", $K143=""),"",ROUND((VLOOKUP($H143,Lists!$E$2:$F$5,2,FALSE())*VLOOKUP($I143,Lists!$H$2:$I$4,2,FALSE())*VLOOKUP($J143,Lists!$K$2:$L$4,2,FALSE()))/VLOOKUP($K143,Lists!$N$2:$O$6,2,FALSE()),2))</f>
        <v/>
      </c>
      <c r="M143" s="104" t="str">
        <f aca="false">IF($B143="","",IF($AC143&lt;&gt;"",$AC143,IF($H143="Critical","P0",IF(NOT(ISNUMBER($L143)),"",IF($L143&gt;=Lists!$AM$2,"P0",IF($L143&gt;=Lists!$AM$3,"P1",IF($L143&gt;=Lists!$AM$4,"P2","P3")))))))</f>
        <v/>
      </c>
      <c r="N143" s="102"/>
      <c r="O143" s="101"/>
      <c r="P143" s="102"/>
      <c r="Q143" s="105"/>
      <c r="R143" s="106" t="str">
        <f aca="true">IF($Q143="","", TODAY()-$Q143)</f>
        <v/>
      </c>
      <c r="S143" s="102"/>
      <c r="T143" s="105"/>
      <c r="U143" s="105"/>
      <c r="V143" s="101"/>
      <c r="W143" s="101"/>
      <c r="X143" s="101"/>
      <c r="Y143" s="96"/>
      <c r="Z143" s="96"/>
      <c r="AA143" s="96"/>
      <c r="AC143" s="102"/>
      <c r="AD143" s="107" t="str">
        <f aca="false">IF($B143="","",IF(ISNUMBER($T143),$T143,IF(OR(NOT(ISNUMBER($Q143)),$S143=""),"",IFERROR(IF(ISNUMBER(INDEX(Lists!$AJ$2:$AJ$7,MATCH($S143,Lists!$AI$2:$AI$7,0))),$Q143+INDEX(Lists!$AJ$2:$AJ$7,MATCH($S143,Lists!$AI$2:$AI$7,0)),""),""))))</f>
        <v/>
      </c>
      <c r="AE143" s="104" t="str">
        <f aca="true">IF($B143="","",IF(AND(ISNUMBER($AD143),N($AD143)&lt;TODAY(),$N143&lt;&gt;"Done",$N143&lt;&gt;"Won't Fix",$N143&lt;&gt;"Duplicate"),"Yes","No"))</f>
        <v/>
      </c>
      <c r="AF143" s="101"/>
      <c r="AG143" s="108" t="str">
        <f aca="false">IF($AF143="","",IFERROR(VLOOKUP($AF143,'Application Portfolio'!$A$2:$B$1000,2,FALSE()),"Unknown App ID"))</f>
        <v/>
      </c>
      <c r="AH143" s="108" t="str">
        <f aca="false">IF(OR($B143="",$AF143=""),"",IFERROR(VLOOKUP($AF143,'Application Portfolio'!$A$2:$AB$1000,28,FALSE()),""))</f>
        <v/>
      </c>
    </row>
    <row r="144" customFormat="false" ht="15.75" hidden="false" customHeight="true" outlineLevel="0" collapsed="false">
      <c r="A144" s="100"/>
      <c r="B144" s="101"/>
      <c r="C144" s="101"/>
      <c r="D144" s="101"/>
      <c r="E144" s="101"/>
      <c r="F144" s="102"/>
      <c r="G144" s="102"/>
      <c r="H144" s="102"/>
      <c r="I144" s="102"/>
      <c r="J144" s="102"/>
      <c r="K144" s="102"/>
      <c r="L144" s="103" t="str">
        <f aca="false">IF(OR($B144="", $H144="", $I144="", $J144="", $K144=""),"",ROUND((VLOOKUP($H144,Lists!$E$2:$F$5,2,FALSE())*VLOOKUP($I144,Lists!$H$2:$I$4,2,FALSE())*VLOOKUP($J144,Lists!$K$2:$L$4,2,FALSE()))/VLOOKUP($K144,Lists!$N$2:$O$6,2,FALSE()),2))</f>
        <v/>
      </c>
      <c r="M144" s="104" t="str">
        <f aca="false">IF($B144="","",IF($AC144&lt;&gt;"",$AC144,IF($H144="Critical","P0",IF(NOT(ISNUMBER($L144)),"",IF($L144&gt;=Lists!$AM$2,"P0",IF($L144&gt;=Lists!$AM$3,"P1",IF($L144&gt;=Lists!$AM$4,"P2","P3")))))))</f>
        <v/>
      </c>
      <c r="N144" s="102"/>
      <c r="O144" s="101"/>
      <c r="P144" s="102"/>
      <c r="Q144" s="105"/>
      <c r="R144" s="106" t="str">
        <f aca="true">IF($Q144="","", TODAY()-$Q144)</f>
        <v/>
      </c>
      <c r="S144" s="102"/>
      <c r="T144" s="105"/>
      <c r="U144" s="105"/>
      <c r="V144" s="101"/>
      <c r="W144" s="101"/>
      <c r="X144" s="101"/>
      <c r="Y144" s="96"/>
      <c r="Z144" s="96"/>
      <c r="AA144" s="96"/>
      <c r="AC144" s="102"/>
      <c r="AD144" s="107" t="str">
        <f aca="false">IF($B144="","",IF(ISNUMBER($T144),$T144,IF(OR(NOT(ISNUMBER($Q144)),$S144=""),"",IFERROR(IF(ISNUMBER(INDEX(Lists!$AJ$2:$AJ$7,MATCH($S144,Lists!$AI$2:$AI$7,0))),$Q144+INDEX(Lists!$AJ$2:$AJ$7,MATCH($S144,Lists!$AI$2:$AI$7,0)),""),""))))</f>
        <v/>
      </c>
      <c r="AE144" s="104" t="str">
        <f aca="true">IF($B144="","",IF(AND(ISNUMBER($AD144),N($AD144)&lt;TODAY(),$N144&lt;&gt;"Done",$N144&lt;&gt;"Won't Fix",$N144&lt;&gt;"Duplicate"),"Yes","No"))</f>
        <v/>
      </c>
      <c r="AF144" s="101"/>
      <c r="AG144" s="108" t="str">
        <f aca="false">IF($AF144="","",IFERROR(VLOOKUP($AF144,'Application Portfolio'!$A$2:$B$1000,2,FALSE()),"Unknown App ID"))</f>
        <v/>
      </c>
      <c r="AH144" s="108" t="str">
        <f aca="false">IF(OR($B144="",$AF144=""),"",IFERROR(VLOOKUP($AF144,'Application Portfolio'!$A$2:$AB$1000,28,FALSE()),""))</f>
        <v/>
      </c>
    </row>
    <row r="145" customFormat="false" ht="15.75" hidden="false" customHeight="true" outlineLevel="0" collapsed="false">
      <c r="A145" s="100"/>
      <c r="B145" s="101"/>
      <c r="C145" s="101"/>
      <c r="D145" s="101"/>
      <c r="E145" s="101"/>
      <c r="F145" s="102"/>
      <c r="G145" s="102"/>
      <c r="H145" s="102"/>
      <c r="I145" s="102"/>
      <c r="J145" s="102"/>
      <c r="K145" s="102"/>
      <c r="L145" s="103" t="str">
        <f aca="false">IF(OR($B145="", $H145="", $I145="", $J145="", $K145=""),"",ROUND((VLOOKUP($H145,Lists!$E$2:$F$5,2,FALSE())*VLOOKUP($I145,Lists!$H$2:$I$4,2,FALSE())*VLOOKUP($J145,Lists!$K$2:$L$4,2,FALSE()))/VLOOKUP($K145,Lists!$N$2:$O$6,2,FALSE()),2))</f>
        <v/>
      </c>
      <c r="M145" s="104" t="str">
        <f aca="false">IF($B145="","",IF($AC145&lt;&gt;"",$AC145,IF($H145="Critical","P0",IF(NOT(ISNUMBER($L145)),"",IF($L145&gt;=Lists!$AM$2,"P0",IF($L145&gt;=Lists!$AM$3,"P1",IF($L145&gt;=Lists!$AM$4,"P2","P3")))))))</f>
        <v/>
      </c>
      <c r="N145" s="102"/>
      <c r="O145" s="101"/>
      <c r="P145" s="102"/>
      <c r="Q145" s="105"/>
      <c r="R145" s="106" t="str">
        <f aca="true">IF($Q145="","", TODAY()-$Q145)</f>
        <v/>
      </c>
      <c r="S145" s="102"/>
      <c r="T145" s="105"/>
      <c r="U145" s="105"/>
      <c r="V145" s="101"/>
      <c r="W145" s="101"/>
      <c r="X145" s="101"/>
      <c r="Y145" s="96"/>
      <c r="Z145" s="96"/>
      <c r="AA145" s="96"/>
      <c r="AC145" s="102"/>
      <c r="AD145" s="107" t="str">
        <f aca="false">IF($B145="","",IF(ISNUMBER($T145),$T145,IF(OR(NOT(ISNUMBER($Q145)),$S145=""),"",IFERROR(IF(ISNUMBER(INDEX(Lists!$AJ$2:$AJ$7,MATCH($S145,Lists!$AI$2:$AI$7,0))),$Q145+INDEX(Lists!$AJ$2:$AJ$7,MATCH($S145,Lists!$AI$2:$AI$7,0)),""),""))))</f>
        <v/>
      </c>
      <c r="AE145" s="104" t="str">
        <f aca="true">IF($B145="","",IF(AND(ISNUMBER($AD145),N($AD145)&lt;TODAY(),$N145&lt;&gt;"Done",$N145&lt;&gt;"Won't Fix",$N145&lt;&gt;"Duplicate"),"Yes","No"))</f>
        <v/>
      </c>
      <c r="AF145" s="101"/>
      <c r="AG145" s="108" t="str">
        <f aca="false">IF($AF145="","",IFERROR(VLOOKUP($AF145,'Application Portfolio'!$A$2:$B$1000,2,FALSE()),"Unknown App ID"))</f>
        <v/>
      </c>
      <c r="AH145" s="108" t="str">
        <f aca="false">IF(OR($B145="",$AF145=""),"",IFERROR(VLOOKUP($AF145,'Application Portfolio'!$A$2:$AB$1000,28,FALSE()),""))</f>
        <v/>
      </c>
    </row>
    <row r="146" customFormat="false" ht="15.75" hidden="false" customHeight="true" outlineLevel="0" collapsed="false">
      <c r="A146" s="100"/>
      <c r="B146" s="101"/>
      <c r="C146" s="101"/>
      <c r="D146" s="101"/>
      <c r="E146" s="101"/>
      <c r="F146" s="102"/>
      <c r="G146" s="102"/>
      <c r="H146" s="102"/>
      <c r="I146" s="102"/>
      <c r="J146" s="102"/>
      <c r="K146" s="102"/>
      <c r="L146" s="103" t="str">
        <f aca="false">IF(OR($B146="", $H146="", $I146="", $J146="", $K146=""),"",ROUND((VLOOKUP($H146,Lists!$E$2:$F$5,2,FALSE())*VLOOKUP($I146,Lists!$H$2:$I$4,2,FALSE())*VLOOKUP($J146,Lists!$K$2:$L$4,2,FALSE()))/VLOOKUP($K146,Lists!$N$2:$O$6,2,FALSE()),2))</f>
        <v/>
      </c>
      <c r="M146" s="104" t="str">
        <f aca="false">IF($B146="","",IF($AC146&lt;&gt;"",$AC146,IF($H146="Critical","P0",IF(NOT(ISNUMBER($L146)),"",IF($L146&gt;=Lists!$AM$2,"P0",IF($L146&gt;=Lists!$AM$3,"P1",IF($L146&gt;=Lists!$AM$4,"P2","P3")))))))</f>
        <v/>
      </c>
      <c r="N146" s="102"/>
      <c r="O146" s="101"/>
      <c r="P146" s="102"/>
      <c r="Q146" s="105"/>
      <c r="R146" s="106" t="str">
        <f aca="true">IF($Q146="","", TODAY()-$Q146)</f>
        <v/>
      </c>
      <c r="S146" s="102"/>
      <c r="T146" s="105"/>
      <c r="U146" s="105"/>
      <c r="V146" s="101"/>
      <c r="W146" s="101"/>
      <c r="X146" s="101"/>
      <c r="Y146" s="96"/>
      <c r="Z146" s="96"/>
      <c r="AA146" s="96"/>
      <c r="AC146" s="102"/>
      <c r="AD146" s="107" t="str">
        <f aca="false">IF($B146="","",IF(ISNUMBER($T146),$T146,IF(OR(NOT(ISNUMBER($Q146)),$S146=""),"",IFERROR(IF(ISNUMBER(INDEX(Lists!$AJ$2:$AJ$7,MATCH($S146,Lists!$AI$2:$AI$7,0))),$Q146+INDEX(Lists!$AJ$2:$AJ$7,MATCH($S146,Lists!$AI$2:$AI$7,0)),""),""))))</f>
        <v/>
      </c>
      <c r="AE146" s="104" t="str">
        <f aca="true">IF($B146="","",IF(AND(ISNUMBER($AD146),N($AD146)&lt;TODAY(),$N146&lt;&gt;"Done",$N146&lt;&gt;"Won't Fix",$N146&lt;&gt;"Duplicate"),"Yes","No"))</f>
        <v/>
      </c>
      <c r="AF146" s="101"/>
      <c r="AG146" s="108" t="str">
        <f aca="false">IF($AF146="","",IFERROR(VLOOKUP($AF146,'Application Portfolio'!$A$2:$B$1000,2,FALSE()),"Unknown App ID"))</f>
        <v/>
      </c>
      <c r="AH146" s="108" t="str">
        <f aca="false">IF(OR($B146="",$AF146=""),"",IFERROR(VLOOKUP($AF146,'Application Portfolio'!$A$2:$AB$1000,28,FALSE()),""))</f>
        <v/>
      </c>
    </row>
    <row r="147" customFormat="false" ht="15.75" hidden="false" customHeight="true" outlineLevel="0" collapsed="false">
      <c r="A147" s="100"/>
      <c r="B147" s="101"/>
      <c r="C147" s="101"/>
      <c r="D147" s="101"/>
      <c r="E147" s="101"/>
      <c r="F147" s="102"/>
      <c r="G147" s="102"/>
      <c r="H147" s="102"/>
      <c r="I147" s="102"/>
      <c r="J147" s="102"/>
      <c r="K147" s="102"/>
      <c r="L147" s="103" t="str">
        <f aca="false">IF(OR($B147="", $H147="", $I147="", $J147="", $K147=""),"",ROUND((VLOOKUP($H147,Lists!$E$2:$F$5,2,FALSE())*VLOOKUP($I147,Lists!$H$2:$I$4,2,FALSE())*VLOOKUP($J147,Lists!$K$2:$L$4,2,FALSE()))/VLOOKUP($K147,Lists!$N$2:$O$6,2,FALSE()),2))</f>
        <v/>
      </c>
      <c r="M147" s="104" t="str">
        <f aca="false">IF($B147="","",IF($AC147&lt;&gt;"",$AC147,IF($H147="Critical","P0",IF(NOT(ISNUMBER($L147)),"",IF($L147&gt;=Lists!$AM$2,"P0",IF($L147&gt;=Lists!$AM$3,"P1",IF($L147&gt;=Lists!$AM$4,"P2","P3")))))))</f>
        <v/>
      </c>
      <c r="N147" s="102"/>
      <c r="O147" s="101"/>
      <c r="P147" s="102"/>
      <c r="Q147" s="105"/>
      <c r="R147" s="106" t="str">
        <f aca="true">IF($Q147="","", TODAY()-$Q147)</f>
        <v/>
      </c>
      <c r="S147" s="102"/>
      <c r="T147" s="105"/>
      <c r="U147" s="105"/>
      <c r="V147" s="101"/>
      <c r="W147" s="101"/>
      <c r="X147" s="101"/>
      <c r="Y147" s="96"/>
      <c r="Z147" s="96"/>
      <c r="AA147" s="96"/>
      <c r="AC147" s="102"/>
      <c r="AD147" s="107" t="str">
        <f aca="false">IF($B147="","",IF(ISNUMBER($T147),$T147,IF(OR(NOT(ISNUMBER($Q147)),$S147=""),"",IFERROR(IF(ISNUMBER(INDEX(Lists!$AJ$2:$AJ$7,MATCH($S147,Lists!$AI$2:$AI$7,0))),$Q147+INDEX(Lists!$AJ$2:$AJ$7,MATCH($S147,Lists!$AI$2:$AI$7,0)),""),""))))</f>
        <v/>
      </c>
      <c r="AE147" s="104" t="str">
        <f aca="true">IF($B147="","",IF(AND(ISNUMBER($AD147),N($AD147)&lt;TODAY(),$N147&lt;&gt;"Done",$N147&lt;&gt;"Won't Fix",$N147&lt;&gt;"Duplicate"),"Yes","No"))</f>
        <v/>
      </c>
      <c r="AF147" s="101"/>
      <c r="AG147" s="108" t="str">
        <f aca="false">IF($AF147="","",IFERROR(VLOOKUP($AF147,'Application Portfolio'!$A$2:$B$1000,2,FALSE()),"Unknown App ID"))</f>
        <v/>
      </c>
      <c r="AH147" s="108" t="str">
        <f aca="false">IF(OR($B147="",$AF147=""),"",IFERROR(VLOOKUP($AF147,'Application Portfolio'!$A$2:$AB$1000,28,FALSE()),""))</f>
        <v/>
      </c>
    </row>
    <row r="148" customFormat="false" ht="15.75" hidden="false" customHeight="true" outlineLevel="0" collapsed="false">
      <c r="A148" s="100"/>
      <c r="B148" s="101"/>
      <c r="C148" s="101"/>
      <c r="D148" s="101"/>
      <c r="E148" s="101"/>
      <c r="F148" s="102"/>
      <c r="G148" s="102"/>
      <c r="H148" s="102"/>
      <c r="I148" s="102"/>
      <c r="J148" s="102"/>
      <c r="K148" s="102"/>
      <c r="L148" s="103" t="str">
        <f aca="false">IF(OR($B148="", $H148="", $I148="", $J148="", $K148=""),"",ROUND((VLOOKUP($H148,Lists!$E$2:$F$5,2,FALSE())*VLOOKUP($I148,Lists!$H$2:$I$4,2,FALSE())*VLOOKUP($J148,Lists!$K$2:$L$4,2,FALSE()))/VLOOKUP($K148,Lists!$N$2:$O$6,2,FALSE()),2))</f>
        <v/>
      </c>
      <c r="M148" s="104" t="str">
        <f aca="false">IF($B148="","",IF($AC148&lt;&gt;"",$AC148,IF($H148="Critical","P0",IF(NOT(ISNUMBER($L148)),"",IF($L148&gt;=Lists!$AM$2,"P0",IF($L148&gt;=Lists!$AM$3,"P1",IF($L148&gt;=Lists!$AM$4,"P2","P3")))))))</f>
        <v/>
      </c>
      <c r="N148" s="102"/>
      <c r="O148" s="101"/>
      <c r="P148" s="102"/>
      <c r="Q148" s="105"/>
      <c r="R148" s="106" t="str">
        <f aca="true">IF($Q148="","", TODAY()-$Q148)</f>
        <v/>
      </c>
      <c r="S148" s="102"/>
      <c r="T148" s="105"/>
      <c r="U148" s="105"/>
      <c r="V148" s="101"/>
      <c r="W148" s="101"/>
      <c r="X148" s="101"/>
      <c r="Y148" s="96"/>
      <c r="Z148" s="96"/>
      <c r="AA148" s="96"/>
      <c r="AC148" s="102"/>
      <c r="AD148" s="107" t="str">
        <f aca="false">IF($B148="","",IF(ISNUMBER($T148),$T148,IF(OR(NOT(ISNUMBER($Q148)),$S148=""),"",IFERROR(IF(ISNUMBER(INDEX(Lists!$AJ$2:$AJ$7,MATCH($S148,Lists!$AI$2:$AI$7,0))),$Q148+INDEX(Lists!$AJ$2:$AJ$7,MATCH($S148,Lists!$AI$2:$AI$7,0)),""),""))))</f>
        <v/>
      </c>
      <c r="AE148" s="104" t="str">
        <f aca="true">IF($B148="","",IF(AND(ISNUMBER($AD148),N($AD148)&lt;TODAY(),$N148&lt;&gt;"Done",$N148&lt;&gt;"Won't Fix",$N148&lt;&gt;"Duplicate"),"Yes","No"))</f>
        <v/>
      </c>
      <c r="AF148" s="101"/>
      <c r="AG148" s="108" t="str">
        <f aca="false">IF($AF148="","",IFERROR(VLOOKUP($AF148,'Application Portfolio'!$A$2:$B$1000,2,FALSE()),"Unknown App ID"))</f>
        <v/>
      </c>
      <c r="AH148" s="108" t="str">
        <f aca="false">IF(OR($B148="",$AF148=""),"",IFERROR(VLOOKUP($AF148,'Application Portfolio'!$A$2:$AB$1000,28,FALSE()),""))</f>
        <v/>
      </c>
    </row>
    <row r="149" customFormat="false" ht="15.75" hidden="false" customHeight="true" outlineLevel="0" collapsed="false">
      <c r="A149" s="100"/>
      <c r="B149" s="101"/>
      <c r="C149" s="101"/>
      <c r="D149" s="101"/>
      <c r="E149" s="101"/>
      <c r="F149" s="102"/>
      <c r="G149" s="102"/>
      <c r="H149" s="102"/>
      <c r="I149" s="102"/>
      <c r="J149" s="102"/>
      <c r="K149" s="102"/>
      <c r="L149" s="103" t="str">
        <f aca="false">IF(OR($B149="", $H149="", $I149="", $J149="", $K149=""),"",ROUND((VLOOKUP($H149,Lists!$E$2:$F$5,2,FALSE())*VLOOKUP($I149,Lists!$H$2:$I$4,2,FALSE())*VLOOKUP($J149,Lists!$K$2:$L$4,2,FALSE()))/VLOOKUP($K149,Lists!$N$2:$O$6,2,FALSE()),2))</f>
        <v/>
      </c>
      <c r="M149" s="104" t="str">
        <f aca="false">IF($B149="","",IF($AC149&lt;&gt;"",$AC149,IF($H149="Critical","P0",IF(NOT(ISNUMBER($L149)),"",IF($L149&gt;=Lists!$AM$2,"P0",IF($L149&gt;=Lists!$AM$3,"P1",IF($L149&gt;=Lists!$AM$4,"P2","P3")))))))</f>
        <v/>
      </c>
      <c r="N149" s="102"/>
      <c r="O149" s="101"/>
      <c r="P149" s="102"/>
      <c r="Q149" s="105"/>
      <c r="R149" s="106" t="str">
        <f aca="true">IF($Q149="","", TODAY()-$Q149)</f>
        <v/>
      </c>
      <c r="S149" s="102"/>
      <c r="T149" s="105"/>
      <c r="U149" s="105"/>
      <c r="V149" s="101"/>
      <c r="W149" s="101"/>
      <c r="X149" s="101"/>
      <c r="Y149" s="96"/>
      <c r="Z149" s="96"/>
      <c r="AA149" s="96"/>
      <c r="AC149" s="102"/>
      <c r="AD149" s="107" t="str">
        <f aca="false">IF($B149="","",IF(ISNUMBER($T149),$T149,IF(OR(NOT(ISNUMBER($Q149)),$S149=""),"",IFERROR(IF(ISNUMBER(INDEX(Lists!$AJ$2:$AJ$7,MATCH($S149,Lists!$AI$2:$AI$7,0))),$Q149+INDEX(Lists!$AJ$2:$AJ$7,MATCH($S149,Lists!$AI$2:$AI$7,0)),""),""))))</f>
        <v/>
      </c>
      <c r="AE149" s="104" t="str">
        <f aca="true">IF($B149="","",IF(AND(ISNUMBER($AD149),N($AD149)&lt;TODAY(),$N149&lt;&gt;"Done",$N149&lt;&gt;"Won't Fix",$N149&lt;&gt;"Duplicate"),"Yes","No"))</f>
        <v/>
      </c>
      <c r="AF149" s="101"/>
      <c r="AG149" s="108" t="str">
        <f aca="false">IF($AF149="","",IFERROR(VLOOKUP($AF149,'Application Portfolio'!$A$2:$B$1000,2,FALSE()),"Unknown App ID"))</f>
        <v/>
      </c>
      <c r="AH149" s="108" t="str">
        <f aca="false">IF(OR($B149="",$AF149=""),"",IFERROR(VLOOKUP($AF149,'Application Portfolio'!$A$2:$AB$1000,28,FALSE()),""))</f>
        <v/>
      </c>
    </row>
    <row r="150" customFormat="false" ht="15.75" hidden="false" customHeight="true" outlineLevel="0" collapsed="false">
      <c r="A150" s="100"/>
      <c r="B150" s="101"/>
      <c r="C150" s="101"/>
      <c r="D150" s="101"/>
      <c r="E150" s="101"/>
      <c r="F150" s="102"/>
      <c r="G150" s="102"/>
      <c r="H150" s="102"/>
      <c r="I150" s="102"/>
      <c r="J150" s="102"/>
      <c r="K150" s="102"/>
      <c r="L150" s="103" t="str">
        <f aca="false">IF(OR($B150="", $H150="", $I150="", $J150="", $K150=""),"",ROUND((VLOOKUP($H150,Lists!$E$2:$F$5,2,FALSE())*VLOOKUP($I150,Lists!$H$2:$I$4,2,FALSE())*VLOOKUP($J150,Lists!$K$2:$L$4,2,FALSE()))/VLOOKUP($K150,Lists!$N$2:$O$6,2,FALSE()),2))</f>
        <v/>
      </c>
      <c r="M150" s="104" t="str">
        <f aca="false">IF($B150="","",IF($AC150&lt;&gt;"",$AC150,IF($H150="Critical","P0",IF(NOT(ISNUMBER($L150)),"",IF($L150&gt;=Lists!$AM$2,"P0",IF($L150&gt;=Lists!$AM$3,"P1",IF($L150&gt;=Lists!$AM$4,"P2","P3")))))))</f>
        <v/>
      </c>
      <c r="N150" s="102"/>
      <c r="O150" s="101"/>
      <c r="P150" s="102"/>
      <c r="Q150" s="105"/>
      <c r="R150" s="106" t="str">
        <f aca="true">IF($Q150="","", TODAY()-$Q150)</f>
        <v/>
      </c>
      <c r="S150" s="102"/>
      <c r="T150" s="105"/>
      <c r="U150" s="105"/>
      <c r="V150" s="101"/>
      <c r="W150" s="101"/>
      <c r="X150" s="101"/>
      <c r="Y150" s="96"/>
      <c r="Z150" s="96"/>
      <c r="AA150" s="96"/>
      <c r="AC150" s="102"/>
      <c r="AD150" s="107" t="str">
        <f aca="false">IF($B150="","",IF(ISNUMBER($T150),$T150,IF(OR(NOT(ISNUMBER($Q150)),$S150=""),"",IFERROR(IF(ISNUMBER(INDEX(Lists!$AJ$2:$AJ$7,MATCH($S150,Lists!$AI$2:$AI$7,0))),$Q150+INDEX(Lists!$AJ$2:$AJ$7,MATCH($S150,Lists!$AI$2:$AI$7,0)),""),""))))</f>
        <v/>
      </c>
      <c r="AE150" s="104" t="str">
        <f aca="true">IF($B150="","",IF(AND(ISNUMBER($AD150),N($AD150)&lt;TODAY(),$N150&lt;&gt;"Done",$N150&lt;&gt;"Won't Fix",$N150&lt;&gt;"Duplicate"),"Yes","No"))</f>
        <v/>
      </c>
      <c r="AF150" s="101"/>
      <c r="AG150" s="108" t="str">
        <f aca="false">IF($AF150="","",IFERROR(VLOOKUP($AF150,'Application Portfolio'!$A$2:$B$1000,2,FALSE()),"Unknown App ID"))</f>
        <v/>
      </c>
      <c r="AH150" s="108" t="str">
        <f aca="false">IF(OR($B150="",$AF150=""),"",IFERROR(VLOOKUP($AF150,'Application Portfolio'!$A$2:$AB$1000,28,FALSE()),""))</f>
        <v/>
      </c>
    </row>
    <row r="151" customFormat="false" ht="15.75" hidden="false" customHeight="true" outlineLevel="0" collapsed="false">
      <c r="A151" s="100"/>
      <c r="B151" s="101"/>
      <c r="C151" s="101"/>
      <c r="D151" s="101"/>
      <c r="E151" s="101"/>
      <c r="F151" s="102"/>
      <c r="G151" s="102"/>
      <c r="H151" s="102"/>
      <c r="I151" s="102"/>
      <c r="J151" s="102"/>
      <c r="K151" s="102"/>
      <c r="L151" s="103" t="str">
        <f aca="false">IF(OR($B151="", $H151="", $I151="", $J151="", $K151=""),"",ROUND((VLOOKUP($H151,Lists!$E$2:$F$5,2,FALSE())*VLOOKUP($I151,Lists!$H$2:$I$4,2,FALSE())*VLOOKUP($J151,Lists!$K$2:$L$4,2,FALSE()))/VLOOKUP($K151,Lists!$N$2:$O$6,2,FALSE()),2))</f>
        <v/>
      </c>
      <c r="M151" s="104" t="str">
        <f aca="false">IF($B151="","",IF($AC151&lt;&gt;"",$AC151,IF($H151="Critical","P0",IF(NOT(ISNUMBER($L151)),"",IF($L151&gt;=Lists!$AM$2,"P0",IF($L151&gt;=Lists!$AM$3,"P1",IF($L151&gt;=Lists!$AM$4,"P2","P3")))))))</f>
        <v/>
      </c>
      <c r="N151" s="102"/>
      <c r="O151" s="101"/>
      <c r="P151" s="102"/>
      <c r="Q151" s="105"/>
      <c r="R151" s="106" t="str">
        <f aca="true">IF($Q151="","", TODAY()-$Q151)</f>
        <v/>
      </c>
      <c r="S151" s="102"/>
      <c r="T151" s="105"/>
      <c r="U151" s="105"/>
      <c r="V151" s="101"/>
      <c r="W151" s="101"/>
      <c r="X151" s="101"/>
      <c r="Y151" s="96"/>
      <c r="Z151" s="96"/>
      <c r="AA151" s="96"/>
      <c r="AC151" s="102"/>
      <c r="AD151" s="107" t="str">
        <f aca="false">IF($B151="","",IF(ISNUMBER($T151),$T151,IF(OR(NOT(ISNUMBER($Q151)),$S151=""),"",IFERROR(IF(ISNUMBER(INDEX(Lists!$AJ$2:$AJ$7,MATCH($S151,Lists!$AI$2:$AI$7,0))),$Q151+INDEX(Lists!$AJ$2:$AJ$7,MATCH($S151,Lists!$AI$2:$AI$7,0)),""),""))))</f>
        <v/>
      </c>
      <c r="AE151" s="104" t="str">
        <f aca="true">IF($B151="","",IF(AND(ISNUMBER($AD151),N($AD151)&lt;TODAY(),$N151&lt;&gt;"Done",$N151&lt;&gt;"Won't Fix",$N151&lt;&gt;"Duplicate"),"Yes","No"))</f>
        <v/>
      </c>
      <c r="AF151" s="101"/>
      <c r="AG151" s="108" t="str">
        <f aca="false">IF($AF151="","",IFERROR(VLOOKUP($AF151,'Application Portfolio'!$A$2:$B$1000,2,FALSE()),"Unknown App ID"))</f>
        <v/>
      </c>
      <c r="AH151" s="108" t="str">
        <f aca="false">IF(OR($B151="",$AF151=""),"",IFERROR(VLOOKUP($AF151,'Application Portfolio'!$A$2:$AB$1000,28,FALSE()),""))</f>
        <v/>
      </c>
    </row>
    <row r="152" customFormat="false" ht="15.75" hidden="false" customHeight="true" outlineLevel="0" collapsed="false">
      <c r="A152" s="100"/>
      <c r="B152" s="101"/>
      <c r="C152" s="101"/>
      <c r="D152" s="101"/>
      <c r="E152" s="101"/>
      <c r="F152" s="102"/>
      <c r="G152" s="102"/>
      <c r="H152" s="102"/>
      <c r="I152" s="102"/>
      <c r="J152" s="102"/>
      <c r="K152" s="102"/>
      <c r="L152" s="103" t="str">
        <f aca="false">IF(OR($B152="", $H152="", $I152="", $J152="", $K152=""),"",ROUND((VLOOKUP($H152,Lists!$E$2:$F$5,2,FALSE())*VLOOKUP($I152,Lists!$H$2:$I$4,2,FALSE())*VLOOKUP($J152,Lists!$K$2:$L$4,2,FALSE()))/VLOOKUP($K152,Lists!$N$2:$O$6,2,FALSE()),2))</f>
        <v/>
      </c>
      <c r="M152" s="104" t="str">
        <f aca="false">IF($B152="","",IF($AC152&lt;&gt;"",$AC152,IF($H152="Critical","P0",IF(NOT(ISNUMBER($L152)),"",IF($L152&gt;=Lists!$AM$2,"P0",IF($L152&gt;=Lists!$AM$3,"P1",IF($L152&gt;=Lists!$AM$4,"P2","P3")))))))</f>
        <v/>
      </c>
      <c r="N152" s="102"/>
      <c r="O152" s="101"/>
      <c r="P152" s="102"/>
      <c r="Q152" s="105"/>
      <c r="R152" s="106" t="str">
        <f aca="true">IF($Q152="","", TODAY()-$Q152)</f>
        <v/>
      </c>
      <c r="S152" s="102"/>
      <c r="T152" s="105"/>
      <c r="U152" s="105"/>
      <c r="V152" s="101"/>
      <c r="W152" s="101"/>
      <c r="X152" s="101"/>
      <c r="Y152" s="96"/>
      <c r="Z152" s="96"/>
      <c r="AA152" s="96"/>
      <c r="AC152" s="102"/>
      <c r="AD152" s="107" t="str">
        <f aca="false">IF($B152="","",IF(ISNUMBER($T152),$T152,IF(OR(NOT(ISNUMBER($Q152)),$S152=""),"",IFERROR(IF(ISNUMBER(INDEX(Lists!$AJ$2:$AJ$7,MATCH($S152,Lists!$AI$2:$AI$7,0))),$Q152+INDEX(Lists!$AJ$2:$AJ$7,MATCH($S152,Lists!$AI$2:$AI$7,0)),""),""))))</f>
        <v/>
      </c>
      <c r="AE152" s="104" t="str">
        <f aca="true">IF($B152="","",IF(AND(ISNUMBER($AD152),N($AD152)&lt;TODAY(),$N152&lt;&gt;"Done",$N152&lt;&gt;"Won't Fix",$N152&lt;&gt;"Duplicate"),"Yes","No"))</f>
        <v/>
      </c>
      <c r="AF152" s="101"/>
      <c r="AG152" s="108" t="str">
        <f aca="false">IF($AF152="","",IFERROR(VLOOKUP($AF152,'Application Portfolio'!$A$2:$B$1000,2,FALSE()),"Unknown App ID"))</f>
        <v/>
      </c>
      <c r="AH152" s="108" t="str">
        <f aca="false">IF(OR($B152="",$AF152=""),"",IFERROR(VLOOKUP($AF152,'Application Portfolio'!$A$2:$AB$1000,28,FALSE()),""))</f>
        <v/>
      </c>
    </row>
    <row r="153" customFormat="false" ht="15.75" hidden="false" customHeight="true" outlineLevel="0" collapsed="false">
      <c r="A153" s="100"/>
      <c r="B153" s="101"/>
      <c r="C153" s="101"/>
      <c r="D153" s="101"/>
      <c r="E153" s="101"/>
      <c r="F153" s="102"/>
      <c r="G153" s="102"/>
      <c r="H153" s="102"/>
      <c r="I153" s="102"/>
      <c r="J153" s="102"/>
      <c r="K153" s="102"/>
      <c r="L153" s="103" t="str">
        <f aca="false">IF(OR($B153="", $H153="", $I153="", $J153="", $K153=""),"",ROUND((VLOOKUP($H153,Lists!$E$2:$F$5,2,FALSE())*VLOOKUP($I153,Lists!$H$2:$I$4,2,FALSE())*VLOOKUP($J153,Lists!$K$2:$L$4,2,FALSE()))/VLOOKUP($K153,Lists!$N$2:$O$6,2,FALSE()),2))</f>
        <v/>
      </c>
      <c r="M153" s="104" t="str">
        <f aca="false">IF($B153="","",IF($AC153&lt;&gt;"",$AC153,IF($H153="Critical","P0",IF(NOT(ISNUMBER($L153)),"",IF($L153&gt;=Lists!$AM$2,"P0",IF($L153&gt;=Lists!$AM$3,"P1",IF($L153&gt;=Lists!$AM$4,"P2","P3")))))))</f>
        <v/>
      </c>
      <c r="N153" s="102"/>
      <c r="O153" s="101"/>
      <c r="P153" s="102"/>
      <c r="Q153" s="105"/>
      <c r="R153" s="106" t="str">
        <f aca="true">IF($Q153="","", TODAY()-$Q153)</f>
        <v/>
      </c>
      <c r="S153" s="102"/>
      <c r="T153" s="105"/>
      <c r="U153" s="105"/>
      <c r="V153" s="101"/>
      <c r="W153" s="101"/>
      <c r="X153" s="101"/>
      <c r="Y153" s="96"/>
      <c r="Z153" s="96"/>
      <c r="AA153" s="96"/>
      <c r="AC153" s="102"/>
      <c r="AD153" s="107" t="str">
        <f aca="false">IF($B153="","",IF(ISNUMBER($T153),$T153,IF(OR(NOT(ISNUMBER($Q153)),$S153=""),"",IFERROR(IF(ISNUMBER(INDEX(Lists!$AJ$2:$AJ$7,MATCH($S153,Lists!$AI$2:$AI$7,0))),$Q153+INDEX(Lists!$AJ$2:$AJ$7,MATCH($S153,Lists!$AI$2:$AI$7,0)),""),""))))</f>
        <v/>
      </c>
      <c r="AE153" s="104" t="str">
        <f aca="true">IF($B153="","",IF(AND(ISNUMBER($AD153),N($AD153)&lt;TODAY(),$N153&lt;&gt;"Done",$N153&lt;&gt;"Won't Fix",$N153&lt;&gt;"Duplicate"),"Yes","No"))</f>
        <v/>
      </c>
      <c r="AF153" s="101"/>
      <c r="AG153" s="108" t="str">
        <f aca="false">IF($AF153="","",IFERROR(VLOOKUP($AF153,'Application Portfolio'!$A$2:$B$1000,2,FALSE()),"Unknown App ID"))</f>
        <v/>
      </c>
      <c r="AH153" s="108" t="str">
        <f aca="false">IF(OR($B153="",$AF153=""),"",IFERROR(VLOOKUP($AF153,'Application Portfolio'!$A$2:$AB$1000,28,FALSE()),""))</f>
        <v/>
      </c>
    </row>
    <row r="154" customFormat="false" ht="15.75" hidden="false" customHeight="true" outlineLevel="0" collapsed="false">
      <c r="A154" s="100"/>
      <c r="B154" s="101"/>
      <c r="C154" s="101"/>
      <c r="D154" s="101"/>
      <c r="E154" s="101"/>
      <c r="F154" s="102"/>
      <c r="G154" s="102"/>
      <c r="H154" s="102"/>
      <c r="I154" s="102"/>
      <c r="J154" s="102"/>
      <c r="K154" s="102"/>
      <c r="L154" s="103" t="str">
        <f aca="false">IF(OR($B154="", $H154="", $I154="", $J154="", $K154=""),"",ROUND((VLOOKUP($H154,Lists!$E$2:$F$5,2,FALSE())*VLOOKUP($I154,Lists!$H$2:$I$4,2,FALSE())*VLOOKUP($J154,Lists!$K$2:$L$4,2,FALSE()))/VLOOKUP($K154,Lists!$N$2:$O$6,2,FALSE()),2))</f>
        <v/>
      </c>
      <c r="M154" s="104" t="str">
        <f aca="false">IF($B154="","",IF($AC154&lt;&gt;"",$AC154,IF($H154="Critical","P0",IF(NOT(ISNUMBER($L154)),"",IF($L154&gt;=Lists!$AM$2,"P0",IF($L154&gt;=Lists!$AM$3,"P1",IF($L154&gt;=Lists!$AM$4,"P2","P3")))))))</f>
        <v/>
      </c>
      <c r="N154" s="102"/>
      <c r="O154" s="101"/>
      <c r="P154" s="102"/>
      <c r="Q154" s="105"/>
      <c r="R154" s="106" t="str">
        <f aca="true">IF($Q154="","", TODAY()-$Q154)</f>
        <v/>
      </c>
      <c r="S154" s="102"/>
      <c r="T154" s="105"/>
      <c r="U154" s="105"/>
      <c r="V154" s="101"/>
      <c r="W154" s="101"/>
      <c r="X154" s="101"/>
      <c r="Y154" s="96"/>
      <c r="Z154" s="96"/>
      <c r="AA154" s="96"/>
      <c r="AC154" s="102"/>
      <c r="AD154" s="107" t="str">
        <f aca="false">IF($B154="","",IF(ISNUMBER($T154),$T154,IF(OR(NOT(ISNUMBER($Q154)),$S154=""),"",IFERROR(IF(ISNUMBER(INDEX(Lists!$AJ$2:$AJ$7,MATCH($S154,Lists!$AI$2:$AI$7,0))),$Q154+INDEX(Lists!$AJ$2:$AJ$7,MATCH($S154,Lists!$AI$2:$AI$7,0)),""),""))))</f>
        <v/>
      </c>
      <c r="AE154" s="104" t="str">
        <f aca="true">IF($B154="","",IF(AND(ISNUMBER($AD154),N($AD154)&lt;TODAY(),$N154&lt;&gt;"Done",$N154&lt;&gt;"Won't Fix",$N154&lt;&gt;"Duplicate"),"Yes","No"))</f>
        <v/>
      </c>
      <c r="AF154" s="101"/>
      <c r="AG154" s="108" t="str">
        <f aca="false">IF($AF154="","",IFERROR(VLOOKUP($AF154,'Application Portfolio'!$A$2:$B$1000,2,FALSE()),"Unknown App ID"))</f>
        <v/>
      </c>
      <c r="AH154" s="108" t="str">
        <f aca="false">IF(OR($B154="",$AF154=""),"",IFERROR(VLOOKUP($AF154,'Application Portfolio'!$A$2:$AB$1000,28,FALSE()),""))</f>
        <v/>
      </c>
    </row>
    <row r="155" customFormat="false" ht="15.75" hidden="false" customHeight="true" outlineLevel="0" collapsed="false">
      <c r="A155" s="100"/>
      <c r="B155" s="101"/>
      <c r="C155" s="101"/>
      <c r="D155" s="101"/>
      <c r="E155" s="101"/>
      <c r="F155" s="102"/>
      <c r="G155" s="102"/>
      <c r="H155" s="102"/>
      <c r="I155" s="102"/>
      <c r="J155" s="102"/>
      <c r="K155" s="102"/>
      <c r="L155" s="103" t="str">
        <f aca="false">IF(OR($B155="", $H155="", $I155="", $J155="", $K155=""),"",ROUND((VLOOKUP($H155,Lists!$E$2:$F$5,2,FALSE())*VLOOKUP($I155,Lists!$H$2:$I$4,2,FALSE())*VLOOKUP($J155,Lists!$K$2:$L$4,2,FALSE()))/VLOOKUP($K155,Lists!$N$2:$O$6,2,FALSE()),2))</f>
        <v/>
      </c>
      <c r="M155" s="104" t="str">
        <f aca="false">IF($B155="","",IF($AC155&lt;&gt;"",$AC155,IF($H155="Critical","P0",IF(NOT(ISNUMBER($L155)),"",IF($L155&gt;=Lists!$AM$2,"P0",IF($L155&gt;=Lists!$AM$3,"P1",IF($L155&gt;=Lists!$AM$4,"P2","P3")))))))</f>
        <v/>
      </c>
      <c r="N155" s="102"/>
      <c r="O155" s="101"/>
      <c r="P155" s="102"/>
      <c r="Q155" s="105"/>
      <c r="R155" s="106" t="str">
        <f aca="true">IF($Q155="","", TODAY()-$Q155)</f>
        <v/>
      </c>
      <c r="S155" s="102"/>
      <c r="T155" s="105"/>
      <c r="U155" s="105"/>
      <c r="V155" s="101"/>
      <c r="W155" s="101"/>
      <c r="X155" s="101"/>
      <c r="Y155" s="96"/>
      <c r="Z155" s="96"/>
      <c r="AA155" s="96"/>
      <c r="AC155" s="102"/>
      <c r="AD155" s="107" t="str">
        <f aca="false">IF($B155="","",IF(ISNUMBER($T155),$T155,IF(OR(NOT(ISNUMBER($Q155)),$S155=""),"",IFERROR(IF(ISNUMBER(INDEX(Lists!$AJ$2:$AJ$7,MATCH($S155,Lists!$AI$2:$AI$7,0))),$Q155+INDEX(Lists!$AJ$2:$AJ$7,MATCH($S155,Lists!$AI$2:$AI$7,0)),""),""))))</f>
        <v/>
      </c>
      <c r="AE155" s="104" t="str">
        <f aca="true">IF($B155="","",IF(AND(ISNUMBER($AD155),N($AD155)&lt;TODAY(),$N155&lt;&gt;"Done",$N155&lt;&gt;"Won't Fix",$N155&lt;&gt;"Duplicate"),"Yes","No"))</f>
        <v/>
      </c>
      <c r="AF155" s="101"/>
      <c r="AG155" s="108" t="str">
        <f aca="false">IF($AF155="","",IFERROR(VLOOKUP($AF155,'Application Portfolio'!$A$2:$B$1000,2,FALSE()),"Unknown App ID"))</f>
        <v/>
      </c>
      <c r="AH155" s="108" t="str">
        <f aca="false">IF(OR($B155="",$AF155=""),"",IFERROR(VLOOKUP($AF155,'Application Portfolio'!$A$2:$AB$1000,28,FALSE()),""))</f>
        <v/>
      </c>
    </row>
    <row r="156" customFormat="false" ht="15.75" hidden="false" customHeight="true" outlineLevel="0" collapsed="false">
      <c r="A156" s="100"/>
      <c r="B156" s="101"/>
      <c r="C156" s="101"/>
      <c r="D156" s="101"/>
      <c r="E156" s="101"/>
      <c r="F156" s="102"/>
      <c r="G156" s="102"/>
      <c r="H156" s="102"/>
      <c r="I156" s="102"/>
      <c r="J156" s="102"/>
      <c r="K156" s="102"/>
      <c r="L156" s="103" t="str">
        <f aca="false">IF(OR($B156="", $H156="", $I156="", $J156="", $K156=""),"",ROUND((VLOOKUP($H156,Lists!$E$2:$F$5,2,FALSE())*VLOOKUP($I156,Lists!$H$2:$I$4,2,FALSE())*VLOOKUP($J156,Lists!$K$2:$L$4,2,FALSE()))/VLOOKUP($K156,Lists!$N$2:$O$6,2,FALSE()),2))</f>
        <v/>
      </c>
      <c r="M156" s="104" t="str">
        <f aca="false">IF($B156="","",IF($AC156&lt;&gt;"",$AC156,IF($H156="Critical","P0",IF(NOT(ISNUMBER($L156)),"",IF($L156&gt;=Lists!$AM$2,"P0",IF($L156&gt;=Lists!$AM$3,"P1",IF($L156&gt;=Lists!$AM$4,"P2","P3")))))))</f>
        <v/>
      </c>
      <c r="N156" s="102"/>
      <c r="O156" s="101"/>
      <c r="P156" s="102"/>
      <c r="Q156" s="105"/>
      <c r="R156" s="106" t="str">
        <f aca="true">IF($Q156="","", TODAY()-$Q156)</f>
        <v/>
      </c>
      <c r="S156" s="102"/>
      <c r="T156" s="105"/>
      <c r="U156" s="105"/>
      <c r="V156" s="101"/>
      <c r="W156" s="101"/>
      <c r="X156" s="101"/>
      <c r="Y156" s="96"/>
      <c r="Z156" s="96"/>
      <c r="AA156" s="96"/>
      <c r="AC156" s="102"/>
      <c r="AD156" s="107" t="str">
        <f aca="false">IF($B156="","",IF(ISNUMBER($T156),$T156,IF(OR(NOT(ISNUMBER($Q156)),$S156=""),"",IFERROR(IF(ISNUMBER(INDEX(Lists!$AJ$2:$AJ$7,MATCH($S156,Lists!$AI$2:$AI$7,0))),$Q156+INDEX(Lists!$AJ$2:$AJ$7,MATCH($S156,Lists!$AI$2:$AI$7,0)),""),""))))</f>
        <v/>
      </c>
      <c r="AE156" s="104" t="str">
        <f aca="true">IF($B156="","",IF(AND(ISNUMBER($AD156),N($AD156)&lt;TODAY(),$N156&lt;&gt;"Done",$N156&lt;&gt;"Won't Fix",$N156&lt;&gt;"Duplicate"),"Yes","No"))</f>
        <v/>
      </c>
      <c r="AF156" s="101"/>
      <c r="AG156" s="108" t="str">
        <f aca="false">IF($AF156="","",IFERROR(VLOOKUP($AF156,'Application Portfolio'!$A$2:$B$1000,2,FALSE()),"Unknown App ID"))</f>
        <v/>
      </c>
      <c r="AH156" s="108" t="str">
        <f aca="false">IF(OR($B156="",$AF156=""),"",IFERROR(VLOOKUP($AF156,'Application Portfolio'!$A$2:$AB$1000,28,FALSE()),""))</f>
        <v/>
      </c>
    </row>
    <row r="157" customFormat="false" ht="15.75" hidden="false" customHeight="true" outlineLevel="0" collapsed="false">
      <c r="A157" s="100"/>
      <c r="B157" s="101"/>
      <c r="C157" s="101"/>
      <c r="D157" s="101"/>
      <c r="E157" s="101"/>
      <c r="F157" s="102"/>
      <c r="G157" s="102"/>
      <c r="H157" s="102"/>
      <c r="I157" s="102"/>
      <c r="J157" s="102"/>
      <c r="K157" s="102"/>
      <c r="L157" s="103" t="str">
        <f aca="false">IF(OR($B157="", $H157="", $I157="", $J157="", $K157=""),"",ROUND((VLOOKUP($H157,Lists!$E$2:$F$5,2,FALSE())*VLOOKUP($I157,Lists!$H$2:$I$4,2,FALSE())*VLOOKUP($J157,Lists!$K$2:$L$4,2,FALSE()))/VLOOKUP($K157,Lists!$N$2:$O$6,2,FALSE()),2))</f>
        <v/>
      </c>
      <c r="M157" s="104" t="str">
        <f aca="false">IF($B157="","",IF($AC157&lt;&gt;"",$AC157,IF($H157="Critical","P0",IF(NOT(ISNUMBER($L157)),"",IF($L157&gt;=Lists!$AM$2,"P0",IF($L157&gt;=Lists!$AM$3,"P1",IF($L157&gt;=Lists!$AM$4,"P2","P3")))))))</f>
        <v/>
      </c>
      <c r="N157" s="102"/>
      <c r="O157" s="101"/>
      <c r="P157" s="102"/>
      <c r="Q157" s="105"/>
      <c r="R157" s="106" t="str">
        <f aca="true">IF($Q157="","", TODAY()-$Q157)</f>
        <v/>
      </c>
      <c r="S157" s="102"/>
      <c r="T157" s="105"/>
      <c r="U157" s="105"/>
      <c r="V157" s="101"/>
      <c r="W157" s="101"/>
      <c r="X157" s="101"/>
      <c r="Y157" s="96"/>
      <c r="Z157" s="96"/>
      <c r="AA157" s="96"/>
      <c r="AC157" s="102"/>
      <c r="AD157" s="107" t="str">
        <f aca="false">IF($B157="","",IF(ISNUMBER($T157),$T157,IF(OR(NOT(ISNUMBER($Q157)),$S157=""),"",IFERROR(IF(ISNUMBER(INDEX(Lists!$AJ$2:$AJ$7,MATCH($S157,Lists!$AI$2:$AI$7,0))),$Q157+INDEX(Lists!$AJ$2:$AJ$7,MATCH($S157,Lists!$AI$2:$AI$7,0)),""),""))))</f>
        <v/>
      </c>
      <c r="AE157" s="104" t="str">
        <f aca="true">IF($B157="","",IF(AND(ISNUMBER($AD157),N($AD157)&lt;TODAY(),$N157&lt;&gt;"Done",$N157&lt;&gt;"Won't Fix",$N157&lt;&gt;"Duplicate"),"Yes","No"))</f>
        <v/>
      </c>
      <c r="AF157" s="101"/>
      <c r="AG157" s="108" t="str">
        <f aca="false">IF($AF157="","",IFERROR(VLOOKUP($AF157,'Application Portfolio'!$A$2:$B$1000,2,FALSE()),"Unknown App ID"))</f>
        <v/>
      </c>
      <c r="AH157" s="108" t="str">
        <f aca="false">IF(OR($B157="",$AF157=""),"",IFERROR(VLOOKUP($AF157,'Application Portfolio'!$A$2:$AB$1000,28,FALSE()),""))</f>
        <v/>
      </c>
    </row>
    <row r="158" customFormat="false" ht="15.75" hidden="false" customHeight="true" outlineLevel="0" collapsed="false">
      <c r="A158" s="100"/>
      <c r="B158" s="101"/>
      <c r="C158" s="101"/>
      <c r="D158" s="101"/>
      <c r="E158" s="101"/>
      <c r="F158" s="102"/>
      <c r="G158" s="102"/>
      <c r="H158" s="102"/>
      <c r="I158" s="102"/>
      <c r="J158" s="102"/>
      <c r="K158" s="102"/>
      <c r="L158" s="103" t="str">
        <f aca="false">IF(OR($B158="", $H158="", $I158="", $J158="", $K158=""),"",ROUND((VLOOKUP($H158,Lists!$E$2:$F$5,2,FALSE())*VLOOKUP($I158,Lists!$H$2:$I$4,2,FALSE())*VLOOKUP($J158,Lists!$K$2:$L$4,2,FALSE()))/VLOOKUP($K158,Lists!$N$2:$O$6,2,FALSE()),2))</f>
        <v/>
      </c>
      <c r="M158" s="104" t="str">
        <f aca="false">IF($B158="","",IF($AC158&lt;&gt;"",$AC158,IF($H158="Critical","P0",IF(NOT(ISNUMBER($L158)),"",IF($L158&gt;=Lists!$AM$2,"P0",IF($L158&gt;=Lists!$AM$3,"P1",IF($L158&gt;=Lists!$AM$4,"P2","P3")))))))</f>
        <v/>
      </c>
      <c r="N158" s="102"/>
      <c r="O158" s="101"/>
      <c r="P158" s="102"/>
      <c r="Q158" s="105"/>
      <c r="R158" s="106" t="str">
        <f aca="true">IF($Q158="","", TODAY()-$Q158)</f>
        <v/>
      </c>
      <c r="S158" s="102"/>
      <c r="T158" s="105"/>
      <c r="U158" s="105"/>
      <c r="V158" s="101"/>
      <c r="W158" s="101"/>
      <c r="X158" s="101"/>
      <c r="Y158" s="96"/>
      <c r="Z158" s="96"/>
      <c r="AA158" s="96"/>
      <c r="AC158" s="102"/>
      <c r="AD158" s="107" t="str">
        <f aca="false">IF($B158="","",IF(ISNUMBER($T158),$T158,IF(OR(NOT(ISNUMBER($Q158)),$S158=""),"",IFERROR(IF(ISNUMBER(INDEX(Lists!$AJ$2:$AJ$7,MATCH($S158,Lists!$AI$2:$AI$7,0))),$Q158+INDEX(Lists!$AJ$2:$AJ$7,MATCH($S158,Lists!$AI$2:$AI$7,0)),""),""))))</f>
        <v/>
      </c>
      <c r="AE158" s="104" t="str">
        <f aca="true">IF($B158="","",IF(AND(ISNUMBER($AD158),N($AD158)&lt;TODAY(),$N158&lt;&gt;"Done",$N158&lt;&gt;"Won't Fix",$N158&lt;&gt;"Duplicate"),"Yes","No"))</f>
        <v/>
      </c>
      <c r="AF158" s="101"/>
      <c r="AG158" s="108" t="str">
        <f aca="false">IF($AF158="","",IFERROR(VLOOKUP($AF158,'Application Portfolio'!$A$2:$B$1000,2,FALSE()),"Unknown App ID"))</f>
        <v/>
      </c>
      <c r="AH158" s="108" t="str">
        <f aca="false">IF(OR($B158="",$AF158=""),"",IFERROR(VLOOKUP($AF158,'Application Portfolio'!$A$2:$AB$1000,28,FALSE()),""))</f>
        <v/>
      </c>
    </row>
    <row r="159" customFormat="false" ht="15.75" hidden="false" customHeight="true" outlineLevel="0" collapsed="false">
      <c r="A159" s="100"/>
      <c r="B159" s="101"/>
      <c r="C159" s="101"/>
      <c r="D159" s="101"/>
      <c r="E159" s="101"/>
      <c r="F159" s="102"/>
      <c r="G159" s="102"/>
      <c r="H159" s="102"/>
      <c r="I159" s="102"/>
      <c r="J159" s="102"/>
      <c r="K159" s="102"/>
      <c r="L159" s="103" t="str">
        <f aca="false">IF(OR($B159="", $H159="", $I159="", $J159="", $K159=""),"",ROUND((VLOOKUP($H159,Lists!$E$2:$F$5,2,FALSE())*VLOOKUP($I159,Lists!$H$2:$I$4,2,FALSE())*VLOOKUP($J159,Lists!$K$2:$L$4,2,FALSE()))/VLOOKUP($K159,Lists!$N$2:$O$6,2,FALSE()),2))</f>
        <v/>
      </c>
      <c r="M159" s="104" t="str">
        <f aca="false">IF($B159="","",IF($AC159&lt;&gt;"",$AC159,IF($H159="Critical","P0",IF(NOT(ISNUMBER($L159)),"",IF($L159&gt;=Lists!$AM$2,"P0",IF($L159&gt;=Lists!$AM$3,"P1",IF($L159&gt;=Lists!$AM$4,"P2","P3")))))))</f>
        <v/>
      </c>
      <c r="N159" s="102"/>
      <c r="O159" s="101"/>
      <c r="P159" s="102"/>
      <c r="Q159" s="105"/>
      <c r="R159" s="106" t="str">
        <f aca="true">IF($Q159="","", TODAY()-$Q159)</f>
        <v/>
      </c>
      <c r="S159" s="102"/>
      <c r="T159" s="105"/>
      <c r="U159" s="105"/>
      <c r="V159" s="101"/>
      <c r="W159" s="101"/>
      <c r="X159" s="101"/>
      <c r="Y159" s="96"/>
      <c r="Z159" s="96"/>
      <c r="AA159" s="96"/>
      <c r="AC159" s="102"/>
      <c r="AD159" s="107" t="str">
        <f aca="false">IF($B159="","",IF(ISNUMBER($T159),$T159,IF(OR(NOT(ISNUMBER($Q159)),$S159=""),"",IFERROR(IF(ISNUMBER(INDEX(Lists!$AJ$2:$AJ$7,MATCH($S159,Lists!$AI$2:$AI$7,0))),$Q159+INDEX(Lists!$AJ$2:$AJ$7,MATCH($S159,Lists!$AI$2:$AI$7,0)),""),""))))</f>
        <v/>
      </c>
      <c r="AE159" s="104" t="str">
        <f aca="true">IF($B159="","",IF(AND(ISNUMBER($AD159),N($AD159)&lt;TODAY(),$N159&lt;&gt;"Done",$N159&lt;&gt;"Won't Fix",$N159&lt;&gt;"Duplicate"),"Yes","No"))</f>
        <v/>
      </c>
      <c r="AF159" s="101"/>
      <c r="AG159" s="108" t="str">
        <f aca="false">IF($AF159="","",IFERROR(VLOOKUP($AF159,'Application Portfolio'!$A$2:$B$1000,2,FALSE()),"Unknown App ID"))</f>
        <v/>
      </c>
      <c r="AH159" s="108" t="str">
        <f aca="false">IF(OR($B159="",$AF159=""),"",IFERROR(VLOOKUP($AF159,'Application Portfolio'!$A$2:$AB$1000,28,FALSE()),""))</f>
        <v/>
      </c>
    </row>
    <row r="160" customFormat="false" ht="15.75" hidden="false" customHeight="true" outlineLevel="0" collapsed="false">
      <c r="A160" s="100"/>
      <c r="B160" s="101"/>
      <c r="C160" s="101"/>
      <c r="D160" s="101"/>
      <c r="E160" s="101"/>
      <c r="F160" s="102"/>
      <c r="G160" s="102"/>
      <c r="H160" s="102"/>
      <c r="I160" s="102"/>
      <c r="J160" s="102"/>
      <c r="K160" s="102"/>
      <c r="L160" s="103" t="str">
        <f aca="false">IF(OR($B160="", $H160="", $I160="", $J160="", $K160=""),"",ROUND((VLOOKUP($H160,Lists!$E$2:$F$5,2,FALSE())*VLOOKUP($I160,Lists!$H$2:$I$4,2,FALSE())*VLOOKUP($J160,Lists!$K$2:$L$4,2,FALSE()))/VLOOKUP($K160,Lists!$N$2:$O$6,2,FALSE()),2))</f>
        <v/>
      </c>
      <c r="M160" s="104" t="str">
        <f aca="false">IF($B160="","",IF($AC160&lt;&gt;"",$AC160,IF($H160="Critical","P0",IF(NOT(ISNUMBER($L160)),"",IF($L160&gt;=Lists!$AM$2,"P0",IF($L160&gt;=Lists!$AM$3,"P1",IF($L160&gt;=Lists!$AM$4,"P2","P3")))))))</f>
        <v/>
      </c>
      <c r="N160" s="102"/>
      <c r="O160" s="101"/>
      <c r="P160" s="102"/>
      <c r="Q160" s="105"/>
      <c r="R160" s="106" t="str">
        <f aca="true">IF($Q160="","", TODAY()-$Q160)</f>
        <v/>
      </c>
      <c r="S160" s="102"/>
      <c r="T160" s="105"/>
      <c r="U160" s="105"/>
      <c r="V160" s="101"/>
      <c r="W160" s="101"/>
      <c r="X160" s="101"/>
      <c r="Y160" s="96"/>
      <c r="Z160" s="96"/>
      <c r="AA160" s="96"/>
      <c r="AC160" s="102"/>
      <c r="AD160" s="107" t="str">
        <f aca="false">IF($B160="","",IF(ISNUMBER($T160),$T160,IF(OR(NOT(ISNUMBER($Q160)),$S160=""),"",IFERROR(IF(ISNUMBER(INDEX(Lists!$AJ$2:$AJ$7,MATCH($S160,Lists!$AI$2:$AI$7,0))),$Q160+INDEX(Lists!$AJ$2:$AJ$7,MATCH($S160,Lists!$AI$2:$AI$7,0)),""),""))))</f>
        <v/>
      </c>
      <c r="AE160" s="104" t="str">
        <f aca="true">IF($B160="","",IF(AND(ISNUMBER($AD160),N($AD160)&lt;TODAY(),$N160&lt;&gt;"Done",$N160&lt;&gt;"Won't Fix",$N160&lt;&gt;"Duplicate"),"Yes","No"))</f>
        <v/>
      </c>
      <c r="AF160" s="101"/>
      <c r="AG160" s="108" t="str">
        <f aca="false">IF($AF160="","",IFERROR(VLOOKUP($AF160,'Application Portfolio'!$A$2:$B$1000,2,FALSE()),"Unknown App ID"))</f>
        <v/>
      </c>
      <c r="AH160" s="108" t="str">
        <f aca="false">IF(OR($B160="",$AF160=""),"",IFERROR(VLOOKUP($AF160,'Application Portfolio'!$A$2:$AB$1000,28,FALSE()),""))</f>
        <v/>
      </c>
    </row>
    <row r="161" customFormat="false" ht="15.75" hidden="false" customHeight="true" outlineLevel="0" collapsed="false">
      <c r="A161" s="100"/>
      <c r="B161" s="101"/>
      <c r="C161" s="101"/>
      <c r="D161" s="101"/>
      <c r="E161" s="101"/>
      <c r="F161" s="102"/>
      <c r="G161" s="102"/>
      <c r="H161" s="102"/>
      <c r="I161" s="102"/>
      <c r="J161" s="102"/>
      <c r="K161" s="102"/>
      <c r="L161" s="103" t="str">
        <f aca="false">IF(OR($B161="", $H161="", $I161="", $J161="", $K161=""),"",ROUND((VLOOKUP($H161,Lists!$E$2:$F$5,2,FALSE())*VLOOKUP($I161,Lists!$H$2:$I$4,2,FALSE())*VLOOKUP($J161,Lists!$K$2:$L$4,2,FALSE()))/VLOOKUP($K161,Lists!$N$2:$O$6,2,FALSE()),2))</f>
        <v/>
      </c>
      <c r="M161" s="104" t="str">
        <f aca="false">IF($B161="","",IF($AC161&lt;&gt;"",$AC161,IF($H161="Critical","P0",IF(NOT(ISNUMBER($L161)),"",IF($L161&gt;=Lists!$AM$2,"P0",IF($L161&gt;=Lists!$AM$3,"P1",IF($L161&gt;=Lists!$AM$4,"P2","P3")))))))</f>
        <v/>
      </c>
      <c r="N161" s="102"/>
      <c r="O161" s="101"/>
      <c r="P161" s="102"/>
      <c r="Q161" s="105"/>
      <c r="R161" s="106" t="str">
        <f aca="true">IF($Q161="","", TODAY()-$Q161)</f>
        <v/>
      </c>
      <c r="S161" s="102"/>
      <c r="T161" s="105"/>
      <c r="U161" s="105"/>
      <c r="V161" s="101"/>
      <c r="W161" s="101"/>
      <c r="X161" s="101"/>
      <c r="Y161" s="96"/>
      <c r="Z161" s="96"/>
      <c r="AA161" s="96"/>
      <c r="AC161" s="102"/>
      <c r="AD161" s="107" t="str">
        <f aca="false">IF($B161="","",IF(ISNUMBER($T161),$T161,IF(OR(NOT(ISNUMBER($Q161)),$S161=""),"",IFERROR(IF(ISNUMBER(INDEX(Lists!$AJ$2:$AJ$7,MATCH($S161,Lists!$AI$2:$AI$7,0))),$Q161+INDEX(Lists!$AJ$2:$AJ$7,MATCH($S161,Lists!$AI$2:$AI$7,0)),""),""))))</f>
        <v/>
      </c>
      <c r="AE161" s="104" t="str">
        <f aca="true">IF($B161="","",IF(AND(ISNUMBER($AD161),N($AD161)&lt;TODAY(),$N161&lt;&gt;"Done",$N161&lt;&gt;"Won't Fix",$N161&lt;&gt;"Duplicate"),"Yes","No"))</f>
        <v/>
      </c>
      <c r="AF161" s="101"/>
      <c r="AG161" s="108" t="str">
        <f aca="false">IF($AF161="","",IFERROR(VLOOKUP($AF161,'Application Portfolio'!$A$2:$B$1000,2,FALSE()),"Unknown App ID"))</f>
        <v/>
      </c>
      <c r="AH161" s="108" t="str">
        <f aca="false">IF(OR($B161="",$AF161=""),"",IFERROR(VLOOKUP($AF161,'Application Portfolio'!$A$2:$AB$1000,28,FALSE()),""))</f>
        <v/>
      </c>
    </row>
    <row r="162" customFormat="false" ht="15.75" hidden="false" customHeight="true" outlineLevel="0" collapsed="false">
      <c r="A162" s="100"/>
      <c r="B162" s="101"/>
      <c r="C162" s="101"/>
      <c r="D162" s="101"/>
      <c r="E162" s="101"/>
      <c r="F162" s="102"/>
      <c r="G162" s="102"/>
      <c r="H162" s="102"/>
      <c r="I162" s="102"/>
      <c r="J162" s="102"/>
      <c r="K162" s="102"/>
      <c r="L162" s="103" t="str">
        <f aca="false">IF(OR($B162="", $H162="", $I162="", $J162="", $K162=""),"",ROUND((VLOOKUP($H162,Lists!$E$2:$F$5,2,FALSE())*VLOOKUP($I162,Lists!$H$2:$I$4,2,FALSE())*VLOOKUP($J162,Lists!$K$2:$L$4,2,FALSE()))/VLOOKUP($K162,Lists!$N$2:$O$6,2,FALSE()),2))</f>
        <v/>
      </c>
      <c r="M162" s="104" t="str">
        <f aca="false">IF($B162="","",IF($AC162&lt;&gt;"",$AC162,IF($H162="Critical","P0",IF(NOT(ISNUMBER($L162)),"",IF($L162&gt;=Lists!$AM$2,"P0",IF($L162&gt;=Lists!$AM$3,"P1",IF($L162&gt;=Lists!$AM$4,"P2","P3")))))))</f>
        <v/>
      </c>
      <c r="N162" s="102"/>
      <c r="O162" s="101"/>
      <c r="P162" s="102"/>
      <c r="Q162" s="105"/>
      <c r="R162" s="106" t="str">
        <f aca="true">IF($Q162="","", TODAY()-$Q162)</f>
        <v/>
      </c>
      <c r="S162" s="102"/>
      <c r="T162" s="105"/>
      <c r="U162" s="105"/>
      <c r="V162" s="101"/>
      <c r="W162" s="101"/>
      <c r="X162" s="101"/>
      <c r="Y162" s="96"/>
      <c r="Z162" s="96"/>
      <c r="AA162" s="96"/>
      <c r="AC162" s="102"/>
      <c r="AD162" s="107" t="str">
        <f aca="false">IF($B162="","",IF(ISNUMBER($T162),$T162,IF(OR(NOT(ISNUMBER($Q162)),$S162=""),"",IFERROR(IF(ISNUMBER(INDEX(Lists!$AJ$2:$AJ$7,MATCH($S162,Lists!$AI$2:$AI$7,0))),$Q162+INDEX(Lists!$AJ$2:$AJ$7,MATCH($S162,Lists!$AI$2:$AI$7,0)),""),""))))</f>
        <v/>
      </c>
      <c r="AE162" s="104" t="str">
        <f aca="true">IF($B162="","",IF(AND(ISNUMBER($AD162),N($AD162)&lt;TODAY(),$N162&lt;&gt;"Done",$N162&lt;&gt;"Won't Fix",$N162&lt;&gt;"Duplicate"),"Yes","No"))</f>
        <v/>
      </c>
      <c r="AF162" s="101"/>
      <c r="AG162" s="108" t="str">
        <f aca="false">IF($AF162="","",IFERROR(VLOOKUP($AF162,'Application Portfolio'!$A$2:$B$1000,2,FALSE()),"Unknown App ID"))</f>
        <v/>
      </c>
      <c r="AH162" s="108" t="str">
        <f aca="false">IF(OR($B162="",$AF162=""),"",IFERROR(VLOOKUP($AF162,'Application Portfolio'!$A$2:$AB$1000,28,FALSE()),""))</f>
        <v/>
      </c>
    </row>
    <row r="163" customFormat="false" ht="15.75" hidden="false" customHeight="true" outlineLevel="0" collapsed="false">
      <c r="A163" s="100"/>
      <c r="B163" s="101"/>
      <c r="C163" s="101"/>
      <c r="D163" s="101"/>
      <c r="E163" s="101"/>
      <c r="F163" s="102"/>
      <c r="G163" s="102"/>
      <c r="H163" s="102"/>
      <c r="I163" s="102"/>
      <c r="J163" s="102"/>
      <c r="K163" s="102"/>
      <c r="L163" s="103" t="str">
        <f aca="false">IF(OR($B163="", $H163="", $I163="", $J163="", $K163=""),"",ROUND((VLOOKUP($H163,Lists!$E$2:$F$5,2,FALSE())*VLOOKUP($I163,Lists!$H$2:$I$4,2,FALSE())*VLOOKUP($J163,Lists!$K$2:$L$4,2,FALSE()))/VLOOKUP($K163,Lists!$N$2:$O$6,2,FALSE()),2))</f>
        <v/>
      </c>
      <c r="M163" s="104" t="str">
        <f aca="false">IF($B163="","",IF($AC163&lt;&gt;"",$AC163,IF($H163="Critical","P0",IF(NOT(ISNUMBER($L163)),"",IF($L163&gt;=Lists!$AM$2,"P0",IF($L163&gt;=Lists!$AM$3,"P1",IF($L163&gt;=Lists!$AM$4,"P2","P3")))))))</f>
        <v/>
      </c>
      <c r="N163" s="102"/>
      <c r="O163" s="101"/>
      <c r="P163" s="102"/>
      <c r="Q163" s="105"/>
      <c r="R163" s="106" t="str">
        <f aca="true">IF($Q163="","", TODAY()-$Q163)</f>
        <v/>
      </c>
      <c r="S163" s="102"/>
      <c r="T163" s="105"/>
      <c r="U163" s="105"/>
      <c r="V163" s="101"/>
      <c r="W163" s="101"/>
      <c r="X163" s="101"/>
      <c r="Y163" s="96"/>
      <c r="Z163" s="96"/>
      <c r="AA163" s="96"/>
      <c r="AC163" s="102"/>
      <c r="AD163" s="107" t="str">
        <f aca="false">IF($B163="","",IF(ISNUMBER($T163),$T163,IF(OR(NOT(ISNUMBER($Q163)),$S163=""),"",IFERROR(IF(ISNUMBER(INDEX(Lists!$AJ$2:$AJ$7,MATCH($S163,Lists!$AI$2:$AI$7,0))),$Q163+INDEX(Lists!$AJ$2:$AJ$7,MATCH($S163,Lists!$AI$2:$AI$7,0)),""),""))))</f>
        <v/>
      </c>
      <c r="AE163" s="104" t="str">
        <f aca="true">IF($B163="","",IF(AND(ISNUMBER($AD163),N($AD163)&lt;TODAY(),$N163&lt;&gt;"Done",$N163&lt;&gt;"Won't Fix",$N163&lt;&gt;"Duplicate"),"Yes","No"))</f>
        <v/>
      </c>
      <c r="AF163" s="101"/>
      <c r="AG163" s="108" t="str">
        <f aca="false">IF($AF163="","",IFERROR(VLOOKUP($AF163,'Application Portfolio'!$A$2:$B$1000,2,FALSE()),"Unknown App ID"))</f>
        <v/>
      </c>
      <c r="AH163" s="108" t="str">
        <f aca="false">IF(OR($B163="",$AF163=""),"",IFERROR(VLOOKUP($AF163,'Application Portfolio'!$A$2:$AB$1000,28,FALSE()),""))</f>
        <v/>
      </c>
    </row>
    <row r="164" customFormat="false" ht="15.75" hidden="false" customHeight="true" outlineLevel="0" collapsed="false">
      <c r="A164" s="100"/>
      <c r="B164" s="101"/>
      <c r="C164" s="101"/>
      <c r="D164" s="101"/>
      <c r="E164" s="101"/>
      <c r="F164" s="102"/>
      <c r="G164" s="102"/>
      <c r="H164" s="102"/>
      <c r="I164" s="102"/>
      <c r="J164" s="102"/>
      <c r="K164" s="102"/>
      <c r="L164" s="103" t="str">
        <f aca="false">IF(OR($B164="", $H164="", $I164="", $J164="", $K164=""),"",ROUND((VLOOKUP($H164,Lists!$E$2:$F$5,2,FALSE())*VLOOKUP($I164,Lists!$H$2:$I$4,2,FALSE())*VLOOKUP($J164,Lists!$K$2:$L$4,2,FALSE()))/VLOOKUP($K164,Lists!$N$2:$O$6,2,FALSE()),2))</f>
        <v/>
      </c>
      <c r="M164" s="104" t="str">
        <f aca="false">IF($B164="","",IF($AC164&lt;&gt;"",$AC164,IF($H164="Critical","P0",IF(NOT(ISNUMBER($L164)),"",IF($L164&gt;=Lists!$AM$2,"P0",IF($L164&gt;=Lists!$AM$3,"P1",IF($L164&gt;=Lists!$AM$4,"P2","P3")))))))</f>
        <v/>
      </c>
      <c r="N164" s="102"/>
      <c r="O164" s="101"/>
      <c r="P164" s="102"/>
      <c r="Q164" s="105"/>
      <c r="R164" s="106" t="str">
        <f aca="true">IF($Q164="","", TODAY()-$Q164)</f>
        <v/>
      </c>
      <c r="S164" s="102"/>
      <c r="T164" s="105"/>
      <c r="U164" s="105"/>
      <c r="V164" s="101"/>
      <c r="W164" s="101"/>
      <c r="X164" s="101"/>
      <c r="Y164" s="96"/>
      <c r="Z164" s="96"/>
      <c r="AA164" s="96"/>
      <c r="AC164" s="102"/>
      <c r="AD164" s="107" t="str">
        <f aca="false">IF($B164="","",IF(ISNUMBER($T164),$T164,IF(OR(NOT(ISNUMBER($Q164)),$S164=""),"",IFERROR(IF(ISNUMBER(INDEX(Lists!$AJ$2:$AJ$7,MATCH($S164,Lists!$AI$2:$AI$7,0))),$Q164+INDEX(Lists!$AJ$2:$AJ$7,MATCH($S164,Lists!$AI$2:$AI$7,0)),""),""))))</f>
        <v/>
      </c>
      <c r="AE164" s="104" t="str">
        <f aca="true">IF($B164="","",IF(AND(ISNUMBER($AD164),N($AD164)&lt;TODAY(),$N164&lt;&gt;"Done",$N164&lt;&gt;"Won't Fix",$N164&lt;&gt;"Duplicate"),"Yes","No"))</f>
        <v/>
      </c>
      <c r="AF164" s="101"/>
      <c r="AG164" s="108" t="str">
        <f aca="false">IF($AF164="","",IFERROR(VLOOKUP($AF164,'Application Portfolio'!$A$2:$B$1000,2,FALSE()),"Unknown App ID"))</f>
        <v/>
      </c>
      <c r="AH164" s="108" t="str">
        <f aca="false">IF(OR($B164="",$AF164=""),"",IFERROR(VLOOKUP($AF164,'Application Portfolio'!$A$2:$AB$1000,28,FALSE()),""))</f>
        <v/>
      </c>
    </row>
    <row r="165" customFormat="false" ht="15.75" hidden="false" customHeight="true" outlineLevel="0" collapsed="false">
      <c r="A165" s="100"/>
      <c r="B165" s="101"/>
      <c r="C165" s="101"/>
      <c r="D165" s="101"/>
      <c r="E165" s="101"/>
      <c r="F165" s="102"/>
      <c r="G165" s="102"/>
      <c r="H165" s="102"/>
      <c r="I165" s="102"/>
      <c r="J165" s="102"/>
      <c r="K165" s="102"/>
      <c r="L165" s="103" t="str">
        <f aca="false">IF(OR($B165="", $H165="", $I165="", $J165="", $K165=""),"",ROUND((VLOOKUP($H165,Lists!$E$2:$F$5,2,FALSE())*VLOOKUP($I165,Lists!$H$2:$I$4,2,FALSE())*VLOOKUP($J165,Lists!$K$2:$L$4,2,FALSE()))/VLOOKUP($K165,Lists!$N$2:$O$6,2,FALSE()),2))</f>
        <v/>
      </c>
      <c r="M165" s="104" t="str">
        <f aca="false">IF($B165="","",IF($AC165&lt;&gt;"",$AC165,IF($H165="Critical","P0",IF(NOT(ISNUMBER($L165)),"",IF($L165&gt;=Lists!$AM$2,"P0",IF($L165&gt;=Lists!$AM$3,"P1",IF($L165&gt;=Lists!$AM$4,"P2","P3")))))))</f>
        <v/>
      </c>
      <c r="N165" s="102"/>
      <c r="O165" s="101"/>
      <c r="P165" s="102"/>
      <c r="Q165" s="105"/>
      <c r="R165" s="106" t="str">
        <f aca="true">IF($Q165="","", TODAY()-$Q165)</f>
        <v/>
      </c>
      <c r="S165" s="102"/>
      <c r="T165" s="105"/>
      <c r="U165" s="105"/>
      <c r="V165" s="101"/>
      <c r="W165" s="101"/>
      <c r="X165" s="101"/>
      <c r="Y165" s="96"/>
      <c r="Z165" s="96"/>
      <c r="AA165" s="96"/>
      <c r="AC165" s="102"/>
      <c r="AD165" s="107" t="str">
        <f aca="false">IF($B165="","",IF(ISNUMBER($T165),$T165,IF(OR(NOT(ISNUMBER($Q165)),$S165=""),"",IFERROR(IF(ISNUMBER(INDEX(Lists!$AJ$2:$AJ$7,MATCH($S165,Lists!$AI$2:$AI$7,0))),$Q165+INDEX(Lists!$AJ$2:$AJ$7,MATCH($S165,Lists!$AI$2:$AI$7,0)),""),""))))</f>
        <v/>
      </c>
      <c r="AE165" s="104" t="str">
        <f aca="true">IF($B165="","",IF(AND(ISNUMBER($AD165),N($AD165)&lt;TODAY(),$N165&lt;&gt;"Done",$N165&lt;&gt;"Won't Fix",$N165&lt;&gt;"Duplicate"),"Yes","No"))</f>
        <v/>
      </c>
      <c r="AF165" s="101"/>
      <c r="AG165" s="108" t="str">
        <f aca="false">IF($AF165="","",IFERROR(VLOOKUP($AF165,'Application Portfolio'!$A$2:$B$1000,2,FALSE()),"Unknown App ID"))</f>
        <v/>
      </c>
      <c r="AH165" s="108" t="str">
        <f aca="false">IF(OR($B165="",$AF165=""),"",IFERROR(VLOOKUP($AF165,'Application Portfolio'!$A$2:$AB$1000,28,FALSE()),""))</f>
        <v/>
      </c>
    </row>
    <row r="166" customFormat="false" ht="15.75" hidden="false" customHeight="true" outlineLevel="0" collapsed="false">
      <c r="A166" s="100"/>
      <c r="B166" s="101"/>
      <c r="C166" s="101"/>
      <c r="D166" s="101"/>
      <c r="E166" s="101"/>
      <c r="F166" s="102"/>
      <c r="G166" s="102"/>
      <c r="H166" s="102"/>
      <c r="I166" s="102"/>
      <c r="J166" s="102"/>
      <c r="K166" s="102"/>
      <c r="L166" s="103" t="str">
        <f aca="false">IF(OR($B166="", $H166="", $I166="", $J166="", $K166=""),"",ROUND((VLOOKUP($H166,Lists!$E$2:$F$5,2,FALSE())*VLOOKUP($I166,Lists!$H$2:$I$4,2,FALSE())*VLOOKUP($J166,Lists!$K$2:$L$4,2,FALSE()))/VLOOKUP($K166,Lists!$N$2:$O$6,2,FALSE()),2))</f>
        <v/>
      </c>
      <c r="M166" s="104" t="str">
        <f aca="false">IF($B166="","",IF($AC166&lt;&gt;"",$AC166,IF($H166="Critical","P0",IF(NOT(ISNUMBER($L166)),"",IF($L166&gt;=Lists!$AM$2,"P0",IF($L166&gt;=Lists!$AM$3,"P1",IF($L166&gt;=Lists!$AM$4,"P2","P3")))))))</f>
        <v/>
      </c>
      <c r="N166" s="102"/>
      <c r="O166" s="101"/>
      <c r="P166" s="102"/>
      <c r="Q166" s="105"/>
      <c r="R166" s="106" t="str">
        <f aca="true">IF($Q166="","", TODAY()-$Q166)</f>
        <v/>
      </c>
      <c r="S166" s="102"/>
      <c r="T166" s="105"/>
      <c r="U166" s="105"/>
      <c r="V166" s="101"/>
      <c r="W166" s="101"/>
      <c r="X166" s="101"/>
      <c r="Y166" s="96"/>
      <c r="Z166" s="96"/>
      <c r="AA166" s="96"/>
      <c r="AC166" s="102"/>
      <c r="AD166" s="107" t="str">
        <f aca="false">IF($B166="","",IF(ISNUMBER($T166),$T166,IF(OR(NOT(ISNUMBER($Q166)),$S166=""),"",IFERROR(IF(ISNUMBER(INDEX(Lists!$AJ$2:$AJ$7,MATCH($S166,Lists!$AI$2:$AI$7,0))),$Q166+INDEX(Lists!$AJ$2:$AJ$7,MATCH($S166,Lists!$AI$2:$AI$7,0)),""),""))))</f>
        <v/>
      </c>
      <c r="AE166" s="104" t="str">
        <f aca="true">IF($B166="","",IF(AND(ISNUMBER($AD166),N($AD166)&lt;TODAY(),$N166&lt;&gt;"Done",$N166&lt;&gt;"Won't Fix",$N166&lt;&gt;"Duplicate"),"Yes","No"))</f>
        <v/>
      </c>
      <c r="AF166" s="101"/>
      <c r="AG166" s="108" t="str">
        <f aca="false">IF($AF166="","",IFERROR(VLOOKUP($AF166,'Application Portfolio'!$A$2:$B$1000,2,FALSE()),"Unknown App ID"))</f>
        <v/>
      </c>
      <c r="AH166" s="108" t="str">
        <f aca="false">IF(OR($B166="",$AF166=""),"",IFERROR(VLOOKUP($AF166,'Application Portfolio'!$A$2:$AB$1000,28,FALSE()),""))</f>
        <v/>
      </c>
    </row>
    <row r="167" customFormat="false" ht="15.75" hidden="false" customHeight="true" outlineLevel="0" collapsed="false">
      <c r="A167" s="100"/>
      <c r="B167" s="101"/>
      <c r="C167" s="101"/>
      <c r="D167" s="101"/>
      <c r="E167" s="101"/>
      <c r="F167" s="102"/>
      <c r="G167" s="102"/>
      <c r="H167" s="102"/>
      <c r="I167" s="102"/>
      <c r="J167" s="102"/>
      <c r="K167" s="102"/>
      <c r="L167" s="103" t="str">
        <f aca="false">IF(OR($B167="", $H167="", $I167="", $J167="", $K167=""),"",ROUND((VLOOKUP($H167,Lists!$E$2:$F$5,2,FALSE())*VLOOKUP($I167,Lists!$H$2:$I$4,2,FALSE())*VLOOKUP($J167,Lists!$K$2:$L$4,2,FALSE()))/VLOOKUP($K167,Lists!$N$2:$O$6,2,FALSE()),2))</f>
        <v/>
      </c>
      <c r="M167" s="104" t="str">
        <f aca="false">IF($B167="","",IF($AC167&lt;&gt;"",$AC167,IF($H167="Critical","P0",IF(NOT(ISNUMBER($L167)),"",IF($L167&gt;=Lists!$AM$2,"P0",IF($L167&gt;=Lists!$AM$3,"P1",IF($L167&gt;=Lists!$AM$4,"P2","P3")))))))</f>
        <v/>
      </c>
      <c r="N167" s="102"/>
      <c r="O167" s="101"/>
      <c r="P167" s="102"/>
      <c r="Q167" s="105"/>
      <c r="R167" s="106" t="str">
        <f aca="true">IF($Q167="","", TODAY()-$Q167)</f>
        <v/>
      </c>
      <c r="S167" s="102"/>
      <c r="T167" s="105"/>
      <c r="U167" s="105"/>
      <c r="V167" s="101"/>
      <c r="W167" s="101"/>
      <c r="X167" s="101"/>
      <c r="Y167" s="96"/>
      <c r="Z167" s="96"/>
      <c r="AA167" s="96"/>
      <c r="AC167" s="102"/>
      <c r="AD167" s="107" t="str">
        <f aca="false">IF($B167="","",IF(ISNUMBER($T167),$T167,IF(OR(NOT(ISNUMBER($Q167)),$S167=""),"",IFERROR(IF(ISNUMBER(INDEX(Lists!$AJ$2:$AJ$7,MATCH($S167,Lists!$AI$2:$AI$7,0))),$Q167+INDEX(Lists!$AJ$2:$AJ$7,MATCH($S167,Lists!$AI$2:$AI$7,0)),""),""))))</f>
        <v/>
      </c>
      <c r="AE167" s="104" t="str">
        <f aca="true">IF($B167="","",IF(AND(ISNUMBER($AD167),N($AD167)&lt;TODAY(),$N167&lt;&gt;"Done",$N167&lt;&gt;"Won't Fix",$N167&lt;&gt;"Duplicate"),"Yes","No"))</f>
        <v/>
      </c>
      <c r="AF167" s="101"/>
      <c r="AG167" s="108" t="str">
        <f aca="false">IF($AF167="","",IFERROR(VLOOKUP($AF167,'Application Portfolio'!$A$2:$B$1000,2,FALSE()),"Unknown App ID"))</f>
        <v/>
      </c>
      <c r="AH167" s="108" t="str">
        <f aca="false">IF(OR($B167="",$AF167=""),"",IFERROR(VLOOKUP($AF167,'Application Portfolio'!$A$2:$AB$1000,28,FALSE()),""))</f>
        <v/>
      </c>
    </row>
    <row r="168" customFormat="false" ht="15.75" hidden="false" customHeight="true" outlineLevel="0" collapsed="false">
      <c r="A168" s="100"/>
      <c r="B168" s="101"/>
      <c r="C168" s="101"/>
      <c r="D168" s="101"/>
      <c r="E168" s="101"/>
      <c r="F168" s="102"/>
      <c r="G168" s="102"/>
      <c r="H168" s="102"/>
      <c r="I168" s="102"/>
      <c r="J168" s="102"/>
      <c r="K168" s="102"/>
      <c r="L168" s="103" t="str">
        <f aca="false">IF(OR($B168="", $H168="", $I168="", $J168="", $K168=""),"",ROUND((VLOOKUP($H168,Lists!$E$2:$F$5,2,FALSE())*VLOOKUP($I168,Lists!$H$2:$I$4,2,FALSE())*VLOOKUP($J168,Lists!$K$2:$L$4,2,FALSE()))/VLOOKUP($K168,Lists!$N$2:$O$6,2,FALSE()),2))</f>
        <v/>
      </c>
      <c r="M168" s="104" t="str">
        <f aca="false">IF($B168="","",IF($AC168&lt;&gt;"",$AC168,IF($H168="Critical","P0",IF(NOT(ISNUMBER($L168)),"",IF($L168&gt;=Lists!$AM$2,"P0",IF($L168&gt;=Lists!$AM$3,"P1",IF($L168&gt;=Lists!$AM$4,"P2","P3")))))))</f>
        <v/>
      </c>
      <c r="N168" s="102"/>
      <c r="O168" s="101"/>
      <c r="P168" s="102"/>
      <c r="Q168" s="105"/>
      <c r="R168" s="106" t="str">
        <f aca="true">IF($Q168="","", TODAY()-$Q168)</f>
        <v/>
      </c>
      <c r="S168" s="102"/>
      <c r="T168" s="105"/>
      <c r="U168" s="105"/>
      <c r="V168" s="101"/>
      <c r="W168" s="101"/>
      <c r="X168" s="101"/>
      <c r="Y168" s="96"/>
      <c r="Z168" s="96"/>
      <c r="AA168" s="96"/>
      <c r="AC168" s="102"/>
      <c r="AD168" s="107" t="str">
        <f aca="false">IF($B168="","",IF(ISNUMBER($T168),$T168,IF(OR(NOT(ISNUMBER($Q168)),$S168=""),"",IFERROR(IF(ISNUMBER(INDEX(Lists!$AJ$2:$AJ$7,MATCH($S168,Lists!$AI$2:$AI$7,0))),$Q168+INDEX(Lists!$AJ$2:$AJ$7,MATCH($S168,Lists!$AI$2:$AI$7,0)),""),""))))</f>
        <v/>
      </c>
      <c r="AE168" s="104" t="str">
        <f aca="true">IF($B168="","",IF(AND(ISNUMBER($AD168),N($AD168)&lt;TODAY(),$N168&lt;&gt;"Done",$N168&lt;&gt;"Won't Fix",$N168&lt;&gt;"Duplicate"),"Yes","No"))</f>
        <v/>
      </c>
      <c r="AF168" s="101"/>
      <c r="AG168" s="108" t="str">
        <f aca="false">IF($AF168="","",IFERROR(VLOOKUP($AF168,'Application Portfolio'!$A$2:$B$1000,2,FALSE()),"Unknown App ID"))</f>
        <v/>
      </c>
      <c r="AH168" s="108" t="str">
        <f aca="false">IF(OR($B168="",$AF168=""),"",IFERROR(VLOOKUP($AF168,'Application Portfolio'!$A$2:$AB$1000,28,FALSE()),""))</f>
        <v/>
      </c>
    </row>
    <row r="169" customFormat="false" ht="15.75" hidden="false" customHeight="true" outlineLevel="0" collapsed="false">
      <c r="A169" s="100"/>
      <c r="B169" s="101"/>
      <c r="C169" s="101"/>
      <c r="D169" s="101"/>
      <c r="E169" s="101"/>
      <c r="F169" s="102"/>
      <c r="G169" s="102"/>
      <c r="H169" s="102"/>
      <c r="I169" s="102"/>
      <c r="J169" s="102"/>
      <c r="K169" s="102"/>
      <c r="L169" s="103" t="str">
        <f aca="false">IF(OR($B169="", $H169="", $I169="", $J169="", $K169=""),"",ROUND((VLOOKUP($H169,Lists!$E$2:$F$5,2,FALSE())*VLOOKUP($I169,Lists!$H$2:$I$4,2,FALSE())*VLOOKUP($J169,Lists!$K$2:$L$4,2,FALSE()))/VLOOKUP($K169,Lists!$N$2:$O$6,2,FALSE()),2))</f>
        <v/>
      </c>
      <c r="M169" s="104" t="str">
        <f aca="false">IF($B169="","",IF($AC169&lt;&gt;"",$AC169,IF($H169="Critical","P0",IF(NOT(ISNUMBER($L169)),"",IF($L169&gt;=Lists!$AM$2,"P0",IF($L169&gt;=Lists!$AM$3,"P1",IF($L169&gt;=Lists!$AM$4,"P2","P3")))))))</f>
        <v/>
      </c>
      <c r="N169" s="102"/>
      <c r="O169" s="101"/>
      <c r="P169" s="102"/>
      <c r="Q169" s="105"/>
      <c r="R169" s="106" t="str">
        <f aca="true">IF($Q169="","", TODAY()-$Q169)</f>
        <v/>
      </c>
      <c r="S169" s="102"/>
      <c r="T169" s="105"/>
      <c r="U169" s="105"/>
      <c r="V169" s="101"/>
      <c r="W169" s="101"/>
      <c r="X169" s="101"/>
      <c r="Y169" s="96"/>
      <c r="Z169" s="96"/>
      <c r="AA169" s="96"/>
      <c r="AC169" s="102"/>
      <c r="AD169" s="107" t="str">
        <f aca="false">IF($B169="","",IF(ISNUMBER($T169),$T169,IF(OR(NOT(ISNUMBER($Q169)),$S169=""),"",IFERROR(IF(ISNUMBER(INDEX(Lists!$AJ$2:$AJ$7,MATCH($S169,Lists!$AI$2:$AI$7,0))),$Q169+INDEX(Lists!$AJ$2:$AJ$7,MATCH($S169,Lists!$AI$2:$AI$7,0)),""),""))))</f>
        <v/>
      </c>
      <c r="AE169" s="104" t="str">
        <f aca="true">IF($B169="","",IF(AND(ISNUMBER($AD169),N($AD169)&lt;TODAY(),$N169&lt;&gt;"Done",$N169&lt;&gt;"Won't Fix",$N169&lt;&gt;"Duplicate"),"Yes","No"))</f>
        <v/>
      </c>
      <c r="AF169" s="101"/>
      <c r="AG169" s="108" t="str">
        <f aca="false">IF($AF169="","",IFERROR(VLOOKUP($AF169,'Application Portfolio'!$A$2:$B$1000,2,FALSE()),"Unknown App ID"))</f>
        <v/>
      </c>
      <c r="AH169" s="108" t="str">
        <f aca="false">IF(OR($B169="",$AF169=""),"",IFERROR(VLOOKUP($AF169,'Application Portfolio'!$A$2:$AB$1000,28,FALSE()),""))</f>
        <v/>
      </c>
    </row>
    <row r="170" customFormat="false" ht="15.75" hidden="false" customHeight="true" outlineLevel="0" collapsed="false">
      <c r="A170" s="100"/>
      <c r="B170" s="101"/>
      <c r="C170" s="101"/>
      <c r="D170" s="101"/>
      <c r="E170" s="101"/>
      <c r="F170" s="102"/>
      <c r="G170" s="102"/>
      <c r="H170" s="102"/>
      <c r="I170" s="102"/>
      <c r="J170" s="102"/>
      <c r="K170" s="102"/>
      <c r="L170" s="103" t="str">
        <f aca="false">IF(OR($B170="", $H170="", $I170="", $J170="", $K170=""),"",ROUND((VLOOKUP($H170,Lists!$E$2:$F$5,2,FALSE())*VLOOKUP($I170,Lists!$H$2:$I$4,2,FALSE())*VLOOKUP($J170,Lists!$K$2:$L$4,2,FALSE()))/VLOOKUP($K170,Lists!$N$2:$O$6,2,FALSE()),2))</f>
        <v/>
      </c>
      <c r="M170" s="104" t="str">
        <f aca="false">IF($B170="","",IF($AC170&lt;&gt;"",$AC170,IF($H170="Critical","P0",IF(NOT(ISNUMBER($L170)),"",IF($L170&gt;=Lists!$AM$2,"P0",IF($L170&gt;=Lists!$AM$3,"P1",IF($L170&gt;=Lists!$AM$4,"P2","P3")))))))</f>
        <v/>
      </c>
      <c r="N170" s="102"/>
      <c r="O170" s="101"/>
      <c r="P170" s="102"/>
      <c r="Q170" s="105"/>
      <c r="R170" s="106" t="str">
        <f aca="true">IF($Q170="","", TODAY()-$Q170)</f>
        <v/>
      </c>
      <c r="S170" s="102"/>
      <c r="T170" s="105"/>
      <c r="U170" s="105"/>
      <c r="V170" s="101"/>
      <c r="W170" s="101"/>
      <c r="X170" s="101"/>
      <c r="Y170" s="96"/>
      <c r="Z170" s="96"/>
      <c r="AA170" s="96"/>
      <c r="AC170" s="102"/>
      <c r="AD170" s="107" t="str">
        <f aca="false">IF($B170="","",IF(ISNUMBER($T170),$T170,IF(OR(NOT(ISNUMBER($Q170)),$S170=""),"",IFERROR(IF(ISNUMBER(INDEX(Lists!$AJ$2:$AJ$7,MATCH($S170,Lists!$AI$2:$AI$7,0))),$Q170+INDEX(Lists!$AJ$2:$AJ$7,MATCH($S170,Lists!$AI$2:$AI$7,0)),""),""))))</f>
        <v/>
      </c>
      <c r="AE170" s="104" t="str">
        <f aca="true">IF($B170="","",IF(AND(ISNUMBER($AD170),N($AD170)&lt;TODAY(),$N170&lt;&gt;"Done",$N170&lt;&gt;"Won't Fix",$N170&lt;&gt;"Duplicate"),"Yes","No"))</f>
        <v/>
      </c>
      <c r="AF170" s="101"/>
      <c r="AG170" s="108" t="str">
        <f aca="false">IF($AF170="","",IFERROR(VLOOKUP($AF170,'Application Portfolio'!$A$2:$B$1000,2,FALSE()),"Unknown App ID"))</f>
        <v/>
      </c>
      <c r="AH170" s="108" t="str">
        <f aca="false">IF(OR($B170="",$AF170=""),"",IFERROR(VLOOKUP($AF170,'Application Portfolio'!$A$2:$AB$1000,28,FALSE()),""))</f>
        <v/>
      </c>
    </row>
    <row r="171" customFormat="false" ht="15.75" hidden="false" customHeight="true" outlineLevel="0" collapsed="false">
      <c r="A171" s="100"/>
      <c r="B171" s="101"/>
      <c r="C171" s="101"/>
      <c r="D171" s="101"/>
      <c r="E171" s="101"/>
      <c r="F171" s="102"/>
      <c r="G171" s="102"/>
      <c r="H171" s="102"/>
      <c r="I171" s="102"/>
      <c r="J171" s="102"/>
      <c r="K171" s="102"/>
      <c r="L171" s="103" t="str">
        <f aca="false">IF(OR($B171="", $H171="", $I171="", $J171="", $K171=""),"",ROUND((VLOOKUP($H171,Lists!$E$2:$F$5,2,FALSE())*VLOOKUP($I171,Lists!$H$2:$I$4,2,FALSE())*VLOOKUP($J171,Lists!$K$2:$L$4,2,FALSE()))/VLOOKUP($K171,Lists!$N$2:$O$6,2,FALSE()),2))</f>
        <v/>
      </c>
      <c r="M171" s="104" t="str">
        <f aca="false">IF($B171="","",IF($AC171&lt;&gt;"",$AC171,IF($H171="Critical","P0",IF(NOT(ISNUMBER($L171)),"",IF($L171&gt;=Lists!$AM$2,"P0",IF($L171&gt;=Lists!$AM$3,"P1",IF($L171&gt;=Lists!$AM$4,"P2","P3")))))))</f>
        <v/>
      </c>
      <c r="N171" s="102"/>
      <c r="O171" s="101"/>
      <c r="P171" s="102"/>
      <c r="Q171" s="105"/>
      <c r="R171" s="106" t="str">
        <f aca="true">IF($Q171="","", TODAY()-$Q171)</f>
        <v/>
      </c>
      <c r="S171" s="102"/>
      <c r="T171" s="105"/>
      <c r="U171" s="105"/>
      <c r="V171" s="101"/>
      <c r="W171" s="101"/>
      <c r="X171" s="101"/>
      <c r="Y171" s="96"/>
      <c r="Z171" s="96"/>
      <c r="AA171" s="96"/>
      <c r="AC171" s="102"/>
      <c r="AD171" s="107" t="str">
        <f aca="false">IF($B171="","",IF(ISNUMBER($T171),$T171,IF(OR(NOT(ISNUMBER($Q171)),$S171=""),"",IFERROR(IF(ISNUMBER(INDEX(Lists!$AJ$2:$AJ$7,MATCH($S171,Lists!$AI$2:$AI$7,0))),$Q171+INDEX(Lists!$AJ$2:$AJ$7,MATCH($S171,Lists!$AI$2:$AI$7,0)),""),""))))</f>
        <v/>
      </c>
      <c r="AE171" s="104" t="str">
        <f aca="true">IF($B171="","",IF(AND(ISNUMBER($AD171),N($AD171)&lt;TODAY(),$N171&lt;&gt;"Done",$N171&lt;&gt;"Won't Fix",$N171&lt;&gt;"Duplicate"),"Yes","No"))</f>
        <v/>
      </c>
      <c r="AF171" s="101"/>
      <c r="AG171" s="108" t="str">
        <f aca="false">IF($AF171="","",IFERROR(VLOOKUP($AF171,'Application Portfolio'!$A$2:$B$1000,2,FALSE()),"Unknown App ID"))</f>
        <v/>
      </c>
      <c r="AH171" s="108" t="str">
        <f aca="false">IF(OR($B171="",$AF171=""),"",IFERROR(VLOOKUP($AF171,'Application Portfolio'!$A$2:$AB$1000,28,FALSE()),""))</f>
        <v/>
      </c>
    </row>
    <row r="172" customFormat="false" ht="15.75" hidden="false" customHeight="true" outlineLevel="0" collapsed="false">
      <c r="A172" s="100"/>
      <c r="B172" s="101"/>
      <c r="C172" s="101"/>
      <c r="D172" s="101"/>
      <c r="E172" s="101"/>
      <c r="F172" s="102"/>
      <c r="G172" s="102"/>
      <c r="H172" s="102"/>
      <c r="I172" s="102"/>
      <c r="J172" s="102"/>
      <c r="K172" s="102"/>
      <c r="L172" s="103" t="str">
        <f aca="false">IF(OR($B172="", $H172="", $I172="", $J172="", $K172=""),"",ROUND((VLOOKUP($H172,Lists!$E$2:$F$5,2,FALSE())*VLOOKUP($I172,Lists!$H$2:$I$4,2,FALSE())*VLOOKUP($J172,Lists!$K$2:$L$4,2,FALSE()))/VLOOKUP($K172,Lists!$N$2:$O$6,2,FALSE()),2))</f>
        <v/>
      </c>
      <c r="M172" s="104" t="str">
        <f aca="false">IF($B172="","",IF($AC172&lt;&gt;"",$AC172,IF($H172="Critical","P0",IF(NOT(ISNUMBER($L172)),"",IF($L172&gt;=Lists!$AM$2,"P0",IF($L172&gt;=Lists!$AM$3,"P1",IF($L172&gt;=Lists!$AM$4,"P2","P3")))))))</f>
        <v/>
      </c>
      <c r="N172" s="102"/>
      <c r="O172" s="101"/>
      <c r="P172" s="102"/>
      <c r="Q172" s="105"/>
      <c r="R172" s="106" t="str">
        <f aca="true">IF($Q172="","", TODAY()-$Q172)</f>
        <v/>
      </c>
      <c r="S172" s="102"/>
      <c r="T172" s="105"/>
      <c r="U172" s="105"/>
      <c r="V172" s="101"/>
      <c r="W172" s="101"/>
      <c r="X172" s="101"/>
      <c r="Y172" s="96"/>
      <c r="Z172" s="96"/>
      <c r="AA172" s="96"/>
      <c r="AC172" s="102"/>
      <c r="AD172" s="107" t="str">
        <f aca="false">IF($B172="","",IF(ISNUMBER($T172),$T172,IF(OR(NOT(ISNUMBER($Q172)),$S172=""),"",IFERROR(IF(ISNUMBER(INDEX(Lists!$AJ$2:$AJ$7,MATCH($S172,Lists!$AI$2:$AI$7,0))),$Q172+INDEX(Lists!$AJ$2:$AJ$7,MATCH($S172,Lists!$AI$2:$AI$7,0)),""),""))))</f>
        <v/>
      </c>
      <c r="AE172" s="104" t="str">
        <f aca="true">IF($B172="","",IF(AND(ISNUMBER($AD172),N($AD172)&lt;TODAY(),$N172&lt;&gt;"Done",$N172&lt;&gt;"Won't Fix",$N172&lt;&gt;"Duplicate"),"Yes","No"))</f>
        <v/>
      </c>
      <c r="AF172" s="101"/>
      <c r="AG172" s="108" t="str">
        <f aca="false">IF($AF172="","",IFERROR(VLOOKUP($AF172,'Application Portfolio'!$A$2:$B$1000,2,FALSE()),"Unknown App ID"))</f>
        <v/>
      </c>
      <c r="AH172" s="108" t="str">
        <f aca="false">IF(OR($B172="",$AF172=""),"",IFERROR(VLOOKUP($AF172,'Application Portfolio'!$A$2:$AB$1000,28,FALSE()),""))</f>
        <v/>
      </c>
    </row>
    <row r="173" customFormat="false" ht="15.75" hidden="false" customHeight="true" outlineLevel="0" collapsed="false">
      <c r="A173" s="100"/>
      <c r="B173" s="101"/>
      <c r="C173" s="101"/>
      <c r="D173" s="101"/>
      <c r="E173" s="101"/>
      <c r="F173" s="102"/>
      <c r="G173" s="102"/>
      <c r="H173" s="102"/>
      <c r="I173" s="102"/>
      <c r="J173" s="102"/>
      <c r="K173" s="102"/>
      <c r="L173" s="103" t="str">
        <f aca="false">IF(OR($B173="", $H173="", $I173="", $J173="", $K173=""),"",ROUND((VLOOKUP($H173,Lists!$E$2:$F$5,2,FALSE())*VLOOKUP($I173,Lists!$H$2:$I$4,2,FALSE())*VLOOKUP($J173,Lists!$K$2:$L$4,2,FALSE()))/VLOOKUP($K173,Lists!$N$2:$O$6,2,FALSE()),2))</f>
        <v/>
      </c>
      <c r="M173" s="104" t="str">
        <f aca="false">IF($B173="","",IF($AC173&lt;&gt;"",$AC173,IF($H173="Critical","P0",IF(NOT(ISNUMBER($L173)),"",IF($L173&gt;=Lists!$AM$2,"P0",IF($L173&gt;=Lists!$AM$3,"P1",IF($L173&gt;=Lists!$AM$4,"P2","P3")))))))</f>
        <v/>
      </c>
      <c r="N173" s="102"/>
      <c r="O173" s="101"/>
      <c r="P173" s="102"/>
      <c r="Q173" s="105"/>
      <c r="R173" s="106" t="str">
        <f aca="true">IF($Q173="","", TODAY()-$Q173)</f>
        <v/>
      </c>
      <c r="S173" s="102"/>
      <c r="T173" s="105"/>
      <c r="U173" s="105"/>
      <c r="V173" s="101"/>
      <c r="W173" s="101"/>
      <c r="X173" s="101"/>
      <c r="Y173" s="96"/>
      <c r="Z173" s="96"/>
      <c r="AA173" s="96"/>
      <c r="AC173" s="102"/>
      <c r="AD173" s="107" t="str">
        <f aca="false">IF($B173="","",IF(ISNUMBER($T173),$T173,IF(OR(NOT(ISNUMBER($Q173)),$S173=""),"",IFERROR(IF(ISNUMBER(INDEX(Lists!$AJ$2:$AJ$7,MATCH($S173,Lists!$AI$2:$AI$7,0))),$Q173+INDEX(Lists!$AJ$2:$AJ$7,MATCH($S173,Lists!$AI$2:$AI$7,0)),""),""))))</f>
        <v/>
      </c>
      <c r="AE173" s="104" t="str">
        <f aca="true">IF($B173="","",IF(AND(ISNUMBER($AD173),N($AD173)&lt;TODAY(),$N173&lt;&gt;"Done",$N173&lt;&gt;"Won't Fix",$N173&lt;&gt;"Duplicate"),"Yes","No"))</f>
        <v/>
      </c>
      <c r="AF173" s="101"/>
      <c r="AG173" s="108" t="str">
        <f aca="false">IF($AF173="","",IFERROR(VLOOKUP($AF173,'Application Portfolio'!$A$2:$B$1000,2,FALSE()),"Unknown App ID"))</f>
        <v/>
      </c>
      <c r="AH173" s="108" t="str">
        <f aca="false">IF(OR($B173="",$AF173=""),"",IFERROR(VLOOKUP($AF173,'Application Portfolio'!$A$2:$AB$1000,28,FALSE()),""))</f>
        <v/>
      </c>
    </row>
    <row r="174" customFormat="false" ht="15.75" hidden="false" customHeight="true" outlineLevel="0" collapsed="false">
      <c r="A174" s="100"/>
      <c r="B174" s="101"/>
      <c r="C174" s="101"/>
      <c r="D174" s="101"/>
      <c r="E174" s="101"/>
      <c r="F174" s="102"/>
      <c r="G174" s="102"/>
      <c r="H174" s="102"/>
      <c r="I174" s="102"/>
      <c r="J174" s="102"/>
      <c r="K174" s="102"/>
      <c r="L174" s="103" t="str">
        <f aca="false">IF(OR($B174="", $H174="", $I174="", $J174="", $K174=""),"",ROUND((VLOOKUP($H174,Lists!$E$2:$F$5,2,FALSE())*VLOOKUP($I174,Lists!$H$2:$I$4,2,FALSE())*VLOOKUP($J174,Lists!$K$2:$L$4,2,FALSE()))/VLOOKUP($K174,Lists!$N$2:$O$6,2,FALSE()),2))</f>
        <v/>
      </c>
      <c r="M174" s="104" t="str">
        <f aca="false">IF($B174="","",IF($AC174&lt;&gt;"",$AC174,IF($H174="Critical","P0",IF(NOT(ISNUMBER($L174)),"",IF($L174&gt;=Lists!$AM$2,"P0",IF($L174&gt;=Lists!$AM$3,"P1",IF($L174&gt;=Lists!$AM$4,"P2","P3")))))))</f>
        <v/>
      </c>
      <c r="N174" s="102"/>
      <c r="O174" s="101"/>
      <c r="P174" s="102"/>
      <c r="Q174" s="105"/>
      <c r="R174" s="106" t="str">
        <f aca="true">IF($Q174="","", TODAY()-$Q174)</f>
        <v/>
      </c>
      <c r="S174" s="102"/>
      <c r="T174" s="105"/>
      <c r="U174" s="105"/>
      <c r="V174" s="101"/>
      <c r="W174" s="101"/>
      <c r="X174" s="101"/>
      <c r="Y174" s="96"/>
      <c r="Z174" s="96"/>
      <c r="AA174" s="96"/>
      <c r="AC174" s="102"/>
      <c r="AD174" s="107" t="str">
        <f aca="false">IF($B174="","",IF(ISNUMBER($T174),$T174,IF(OR(NOT(ISNUMBER($Q174)),$S174=""),"",IFERROR(IF(ISNUMBER(INDEX(Lists!$AJ$2:$AJ$7,MATCH($S174,Lists!$AI$2:$AI$7,0))),$Q174+INDEX(Lists!$AJ$2:$AJ$7,MATCH($S174,Lists!$AI$2:$AI$7,0)),""),""))))</f>
        <v/>
      </c>
      <c r="AE174" s="104" t="str">
        <f aca="true">IF($B174="","",IF(AND(ISNUMBER($AD174),N($AD174)&lt;TODAY(),$N174&lt;&gt;"Done",$N174&lt;&gt;"Won't Fix",$N174&lt;&gt;"Duplicate"),"Yes","No"))</f>
        <v/>
      </c>
      <c r="AF174" s="101"/>
      <c r="AG174" s="108" t="str">
        <f aca="false">IF($AF174="","",IFERROR(VLOOKUP($AF174,'Application Portfolio'!$A$2:$B$1000,2,FALSE()),"Unknown App ID"))</f>
        <v/>
      </c>
      <c r="AH174" s="108" t="str">
        <f aca="false">IF(OR($B174="",$AF174=""),"",IFERROR(VLOOKUP($AF174,'Application Portfolio'!$A$2:$AB$1000,28,FALSE()),""))</f>
        <v/>
      </c>
    </row>
    <row r="175" customFormat="false" ht="15.75" hidden="false" customHeight="true" outlineLevel="0" collapsed="false">
      <c r="A175" s="100"/>
      <c r="B175" s="101"/>
      <c r="C175" s="101"/>
      <c r="D175" s="101"/>
      <c r="E175" s="101"/>
      <c r="F175" s="102"/>
      <c r="G175" s="102"/>
      <c r="H175" s="102"/>
      <c r="I175" s="102"/>
      <c r="J175" s="102"/>
      <c r="K175" s="102"/>
      <c r="L175" s="103" t="str">
        <f aca="false">IF(OR($B175="", $H175="", $I175="", $J175="", $K175=""),"",ROUND((VLOOKUP($H175,Lists!$E$2:$F$5,2,FALSE())*VLOOKUP($I175,Lists!$H$2:$I$4,2,FALSE())*VLOOKUP($J175,Lists!$K$2:$L$4,2,FALSE()))/VLOOKUP($K175,Lists!$N$2:$O$6,2,FALSE()),2))</f>
        <v/>
      </c>
      <c r="M175" s="104" t="str">
        <f aca="false">IF($B175="","",IF($AC175&lt;&gt;"",$AC175,IF($H175="Critical","P0",IF(NOT(ISNUMBER($L175)),"",IF($L175&gt;=Lists!$AM$2,"P0",IF($L175&gt;=Lists!$AM$3,"P1",IF($L175&gt;=Lists!$AM$4,"P2","P3")))))))</f>
        <v/>
      </c>
      <c r="N175" s="102"/>
      <c r="O175" s="101"/>
      <c r="P175" s="102"/>
      <c r="Q175" s="105"/>
      <c r="R175" s="106" t="str">
        <f aca="true">IF($Q175="","", TODAY()-$Q175)</f>
        <v/>
      </c>
      <c r="S175" s="102"/>
      <c r="T175" s="105"/>
      <c r="U175" s="105"/>
      <c r="V175" s="101"/>
      <c r="W175" s="101"/>
      <c r="X175" s="101"/>
      <c r="Y175" s="96"/>
      <c r="Z175" s="96"/>
      <c r="AA175" s="96"/>
      <c r="AC175" s="102"/>
      <c r="AD175" s="107" t="str">
        <f aca="false">IF($B175="","",IF(ISNUMBER($T175),$T175,IF(OR(NOT(ISNUMBER($Q175)),$S175=""),"",IFERROR(IF(ISNUMBER(INDEX(Lists!$AJ$2:$AJ$7,MATCH($S175,Lists!$AI$2:$AI$7,0))),$Q175+INDEX(Lists!$AJ$2:$AJ$7,MATCH($S175,Lists!$AI$2:$AI$7,0)),""),""))))</f>
        <v/>
      </c>
      <c r="AE175" s="104" t="str">
        <f aca="true">IF($B175="","",IF(AND(ISNUMBER($AD175),N($AD175)&lt;TODAY(),$N175&lt;&gt;"Done",$N175&lt;&gt;"Won't Fix",$N175&lt;&gt;"Duplicate"),"Yes","No"))</f>
        <v/>
      </c>
      <c r="AF175" s="101"/>
      <c r="AG175" s="108" t="str">
        <f aca="false">IF($AF175="","",IFERROR(VLOOKUP($AF175,'Application Portfolio'!$A$2:$B$1000,2,FALSE()),"Unknown App ID"))</f>
        <v/>
      </c>
      <c r="AH175" s="108" t="str">
        <f aca="false">IF(OR($B175="",$AF175=""),"",IFERROR(VLOOKUP($AF175,'Application Portfolio'!$A$2:$AB$1000,28,FALSE()),""))</f>
        <v/>
      </c>
    </row>
    <row r="176" customFormat="false" ht="15.75" hidden="false" customHeight="true" outlineLevel="0" collapsed="false">
      <c r="A176" s="100"/>
      <c r="B176" s="101"/>
      <c r="C176" s="101"/>
      <c r="D176" s="101"/>
      <c r="E176" s="101"/>
      <c r="F176" s="102"/>
      <c r="G176" s="102"/>
      <c r="H176" s="102"/>
      <c r="I176" s="102"/>
      <c r="J176" s="102"/>
      <c r="K176" s="102"/>
      <c r="L176" s="103" t="str">
        <f aca="false">IF(OR($B176="", $H176="", $I176="", $J176="", $K176=""),"",ROUND((VLOOKUP($H176,Lists!$E$2:$F$5,2,FALSE())*VLOOKUP($I176,Lists!$H$2:$I$4,2,FALSE())*VLOOKUP($J176,Lists!$K$2:$L$4,2,FALSE()))/VLOOKUP($K176,Lists!$N$2:$O$6,2,FALSE()),2))</f>
        <v/>
      </c>
      <c r="M176" s="104" t="str">
        <f aca="false">IF($B176="","",IF($AC176&lt;&gt;"",$AC176,IF($H176="Critical","P0",IF(NOT(ISNUMBER($L176)),"",IF($L176&gt;=Lists!$AM$2,"P0",IF($L176&gt;=Lists!$AM$3,"P1",IF($L176&gt;=Lists!$AM$4,"P2","P3")))))))</f>
        <v/>
      </c>
      <c r="N176" s="102"/>
      <c r="O176" s="101"/>
      <c r="P176" s="102"/>
      <c r="Q176" s="105"/>
      <c r="R176" s="106" t="str">
        <f aca="true">IF($Q176="","", TODAY()-$Q176)</f>
        <v/>
      </c>
      <c r="S176" s="102"/>
      <c r="T176" s="105"/>
      <c r="U176" s="105"/>
      <c r="V176" s="101"/>
      <c r="W176" s="101"/>
      <c r="X176" s="101"/>
      <c r="Y176" s="96"/>
      <c r="Z176" s="96"/>
      <c r="AA176" s="96"/>
      <c r="AC176" s="102"/>
      <c r="AD176" s="107" t="str">
        <f aca="false">IF($B176="","",IF(ISNUMBER($T176),$T176,IF(OR(NOT(ISNUMBER($Q176)),$S176=""),"",IFERROR(IF(ISNUMBER(INDEX(Lists!$AJ$2:$AJ$7,MATCH($S176,Lists!$AI$2:$AI$7,0))),$Q176+INDEX(Lists!$AJ$2:$AJ$7,MATCH($S176,Lists!$AI$2:$AI$7,0)),""),""))))</f>
        <v/>
      </c>
      <c r="AE176" s="104" t="str">
        <f aca="true">IF($B176="","",IF(AND(ISNUMBER($AD176),N($AD176)&lt;TODAY(),$N176&lt;&gt;"Done",$N176&lt;&gt;"Won't Fix",$N176&lt;&gt;"Duplicate"),"Yes","No"))</f>
        <v/>
      </c>
      <c r="AF176" s="101"/>
      <c r="AG176" s="108" t="str">
        <f aca="false">IF($AF176="","",IFERROR(VLOOKUP($AF176,'Application Portfolio'!$A$2:$B$1000,2,FALSE()),"Unknown App ID"))</f>
        <v/>
      </c>
      <c r="AH176" s="108" t="str">
        <f aca="false">IF(OR($B176="",$AF176=""),"",IFERROR(VLOOKUP($AF176,'Application Portfolio'!$A$2:$AB$1000,28,FALSE()),""))</f>
        <v/>
      </c>
    </row>
    <row r="177" customFormat="false" ht="15.75" hidden="false" customHeight="true" outlineLevel="0" collapsed="false">
      <c r="A177" s="100"/>
      <c r="B177" s="101"/>
      <c r="C177" s="101"/>
      <c r="D177" s="101"/>
      <c r="E177" s="101"/>
      <c r="F177" s="102"/>
      <c r="G177" s="102"/>
      <c r="H177" s="102"/>
      <c r="I177" s="102"/>
      <c r="J177" s="102"/>
      <c r="K177" s="102"/>
      <c r="L177" s="103" t="str">
        <f aca="false">IF(OR($B177="", $H177="", $I177="", $J177="", $K177=""),"",ROUND((VLOOKUP($H177,Lists!$E$2:$F$5,2,FALSE())*VLOOKUP($I177,Lists!$H$2:$I$4,2,FALSE())*VLOOKUP($J177,Lists!$K$2:$L$4,2,FALSE()))/VLOOKUP($K177,Lists!$N$2:$O$6,2,FALSE()),2))</f>
        <v/>
      </c>
      <c r="M177" s="104" t="str">
        <f aca="false">IF($B177="","",IF($AC177&lt;&gt;"",$AC177,IF($H177="Critical","P0",IF(NOT(ISNUMBER($L177)),"",IF($L177&gt;=Lists!$AM$2,"P0",IF($L177&gt;=Lists!$AM$3,"P1",IF($L177&gt;=Lists!$AM$4,"P2","P3")))))))</f>
        <v/>
      </c>
      <c r="N177" s="102"/>
      <c r="O177" s="101"/>
      <c r="P177" s="102"/>
      <c r="Q177" s="105"/>
      <c r="R177" s="106" t="str">
        <f aca="true">IF($Q177="","", TODAY()-$Q177)</f>
        <v/>
      </c>
      <c r="S177" s="102"/>
      <c r="T177" s="105"/>
      <c r="U177" s="105"/>
      <c r="V177" s="101"/>
      <c r="W177" s="101"/>
      <c r="X177" s="101"/>
      <c r="Y177" s="96"/>
      <c r="Z177" s="96"/>
      <c r="AA177" s="96"/>
      <c r="AC177" s="102"/>
      <c r="AD177" s="107" t="str">
        <f aca="false">IF($B177="","",IF(ISNUMBER($T177),$T177,IF(OR(NOT(ISNUMBER($Q177)),$S177=""),"",IFERROR(IF(ISNUMBER(INDEX(Lists!$AJ$2:$AJ$7,MATCH($S177,Lists!$AI$2:$AI$7,0))),$Q177+INDEX(Lists!$AJ$2:$AJ$7,MATCH($S177,Lists!$AI$2:$AI$7,0)),""),""))))</f>
        <v/>
      </c>
      <c r="AE177" s="104" t="str">
        <f aca="true">IF($B177="","",IF(AND(ISNUMBER($AD177),N($AD177)&lt;TODAY(),$N177&lt;&gt;"Done",$N177&lt;&gt;"Won't Fix",$N177&lt;&gt;"Duplicate"),"Yes","No"))</f>
        <v/>
      </c>
      <c r="AF177" s="101"/>
      <c r="AG177" s="108" t="str">
        <f aca="false">IF($AF177="","",IFERROR(VLOOKUP($AF177,'Application Portfolio'!$A$2:$B$1000,2,FALSE()),"Unknown App ID"))</f>
        <v/>
      </c>
      <c r="AH177" s="108" t="str">
        <f aca="false">IF(OR($B177="",$AF177=""),"",IFERROR(VLOOKUP($AF177,'Application Portfolio'!$A$2:$AB$1000,28,FALSE()),""))</f>
        <v/>
      </c>
    </row>
    <row r="178" customFormat="false" ht="15.75" hidden="false" customHeight="true" outlineLevel="0" collapsed="false">
      <c r="A178" s="100"/>
      <c r="B178" s="101"/>
      <c r="C178" s="101"/>
      <c r="D178" s="101"/>
      <c r="E178" s="101"/>
      <c r="F178" s="102"/>
      <c r="G178" s="102"/>
      <c r="H178" s="102"/>
      <c r="I178" s="102"/>
      <c r="J178" s="102"/>
      <c r="K178" s="102"/>
      <c r="L178" s="103" t="str">
        <f aca="false">IF(OR($B178="", $H178="", $I178="", $J178="", $K178=""),"",ROUND((VLOOKUP($H178,Lists!$E$2:$F$5,2,FALSE())*VLOOKUP($I178,Lists!$H$2:$I$4,2,FALSE())*VLOOKUP($J178,Lists!$K$2:$L$4,2,FALSE()))/VLOOKUP($K178,Lists!$N$2:$O$6,2,FALSE()),2))</f>
        <v/>
      </c>
      <c r="M178" s="104" t="str">
        <f aca="false">IF($B178="","",IF($AC178&lt;&gt;"",$AC178,IF($H178="Critical","P0",IF(NOT(ISNUMBER($L178)),"",IF($L178&gt;=Lists!$AM$2,"P0",IF($L178&gt;=Lists!$AM$3,"P1",IF($L178&gt;=Lists!$AM$4,"P2","P3")))))))</f>
        <v/>
      </c>
      <c r="N178" s="102"/>
      <c r="O178" s="101"/>
      <c r="P178" s="102"/>
      <c r="Q178" s="105"/>
      <c r="R178" s="106" t="str">
        <f aca="true">IF($Q178="","", TODAY()-$Q178)</f>
        <v/>
      </c>
      <c r="S178" s="102"/>
      <c r="T178" s="105"/>
      <c r="U178" s="105"/>
      <c r="V178" s="101"/>
      <c r="W178" s="101"/>
      <c r="X178" s="101"/>
      <c r="Y178" s="96"/>
      <c r="Z178" s="96"/>
      <c r="AA178" s="96"/>
      <c r="AC178" s="102"/>
      <c r="AD178" s="107" t="str">
        <f aca="false">IF($B178="","",IF(ISNUMBER($T178),$T178,IF(OR(NOT(ISNUMBER($Q178)),$S178=""),"",IFERROR(IF(ISNUMBER(INDEX(Lists!$AJ$2:$AJ$7,MATCH($S178,Lists!$AI$2:$AI$7,0))),$Q178+INDEX(Lists!$AJ$2:$AJ$7,MATCH($S178,Lists!$AI$2:$AI$7,0)),""),""))))</f>
        <v/>
      </c>
      <c r="AE178" s="104" t="str">
        <f aca="true">IF($B178="","",IF(AND(ISNUMBER($AD178),N($AD178)&lt;TODAY(),$N178&lt;&gt;"Done",$N178&lt;&gt;"Won't Fix",$N178&lt;&gt;"Duplicate"),"Yes","No"))</f>
        <v/>
      </c>
      <c r="AF178" s="101"/>
      <c r="AG178" s="108" t="str">
        <f aca="false">IF($AF178="","",IFERROR(VLOOKUP($AF178,'Application Portfolio'!$A$2:$B$1000,2,FALSE()),"Unknown App ID"))</f>
        <v/>
      </c>
      <c r="AH178" s="108" t="str">
        <f aca="false">IF(OR($B178="",$AF178=""),"",IFERROR(VLOOKUP($AF178,'Application Portfolio'!$A$2:$AB$1000,28,FALSE()),""))</f>
        <v/>
      </c>
    </row>
    <row r="179" customFormat="false" ht="15.75" hidden="false" customHeight="true" outlineLevel="0" collapsed="false">
      <c r="A179" s="100"/>
      <c r="B179" s="101"/>
      <c r="C179" s="101"/>
      <c r="D179" s="101"/>
      <c r="E179" s="101"/>
      <c r="F179" s="102"/>
      <c r="G179" s="102"/>
      <c r="H179" s="102"/>
      <c r="I179" s="102"/>
      <c r="J179" s="102"/>
      <c r="K179" s="102"/>
      <c r="L179" s="103" t="str">
        <f aca="false">IF(OR($B179="", $H179="", $I179="", $J179="", $K179=""),"",ROUND((VLOOKUP($H179,Lists!$E$2:$F$5,2,FALSE())*VLOOKUP($I179,Lists!$H$2:$I$4,2,FALSE())*VLOOKUP($J179,Lists!$K$2:$L$4,2,FALSE()))/VLOOKUP($K179,Lists!$N$2:$O$6,2,FALSE()),2))</f>
        <v/>
      </c>
      <c r="M179" s="104" t="str">
        <f aca="false">IF($B179="","",IF($AC179&lt;&gt;"",$AC179,IF($H179="Critical","P0",IF(NOT(ISNUMBER($L179)),"",IF($L179&gt;=Lists!$AM$2,"P0",IF($L179&gt;=Lists!$AM$3,"P1",IF($L179&gt;=Lists!$AM$4,"P2","P3")))))))</f>
        <v/>
      </c>
      <c r="N179" s="102"/>
      <c r="O179" s="101"/>
      <c r="P179" s="102"/>
      <c r="Q179" s="105"/>
      <c r="R179" s="106" t="str">
        <f aca="true">IF($Q179="","", TODAY()-$Q179)</f>
        <v/>
      </c>
      <c r="S179" s="102"/>
      <c r="T179" s="105"/>
      <c r="U179" s="105"/>
      <c r="V179" s="101"/>
      <c r="W179" s="101"/>
      <c r="X179" s="101"/>
      <c r="Y179" s="96"/>
      <c r="Z179" s="96"/>
      <c r="AA179" s="96"/>
      <c r="AC179" s="102"/>
      <c r="AD179" s="107" t="str">
        <f aca="false">IF($B179="","",IF(ISNUMBER($T179),$T179,IF(OR(NOT(ISNUMBER($Q179)),$S179=""),"",IFERROR(IF(ISNUMBER(INDEX(Lists!$AJ$2:$AJ$7,MATCH($S179,Lists!$AI$2:$AI$7,0))),$Q179+INDEX(Lists!$AJ$2:$AJ$7,MATCH($S179,Lists!$AI$2:$AI$7,0)),""),""))))</f>
        <v/>
      </c>
      <c r="AE179" s="104" t="str">
        <f aca="true">IF($B179="","",IF(AND(ISNUMBER($AD179),N($AD179)&lt;TODAY(),$N179&lt;&gt;"Done",$N179&lt;&gt;"Won't Fix",$N179&lt;&gt;"Duplicate"),"Yes","No"))</f>
        <v/>
      </c>
      <c r="AF179" s="101"/>
      <c r="AG179" s="108" t="str">
        <f aca="false">IF($AF179="","",IFERROR(VLOOKUP($AF179,'Application Portfolio'!$A$2:$B$1000,2,FALSE()),"Unknown App ID"))</f>
        <v/>
      </c>
      <c r="AH179" s="108" t="str">
        <f aca="false">IF(OR($B179="",$AF179=""),"",IFERROR(VLOOKUP($AF179,'Application Portfolio'!$A$2:$AB$1000,28,FALSE()),""))</f>
        <v/>
      </c>
    </row>
    <row r="180" customFormat="false" ht="15.75" hidden="false" customHeight="true" outlineLevel="0" collapsed="false">
      <c r="A180" s="100"/>
      <c r="B180" s="101"/>
      <c r="C180" s="101"/>
      <c r="D180" s="101"/>
      <c r="E180" s="101"/>
      <c r="F180" s="102"/>
      <c r="G180" s="102"/>
      <c r="H180" s="102"/>
      <c r="I180" s="102"/>
      <c r="J180" s="102"/>
      <c r="K180" s="102"/>
      <c r="L180" s="103" t="str">
        <f aca="false">IF(OR($B180="", $H180="", $I180="", $J180="", $K180=""),"",ROUND((VLOOKUP($H180,Lists!$E$2:$F$5,2,FALSE())*VLOOKUP($I180,Lists!$H$2:$I$4,2,FALSE())*VLOOKUP($J180,Lists!$K$2:$L$4,2,FALSE()))/VLOOKUP($K180,Lists!$N$2:$O$6,2,FALSE()),2))</f>
        <v/>
      </c>
      <c r="M180" s="104" t="str">
        <f aca="false">IF($B180="","",IF($AC180&lt;&gt;"",$AC180,IF($H180="Critical","P0",IF(NOT(ISNUMBER($L180)),"",IF($L180&gt;=Lists!$AM$2,"P0",IF($L180&gt;=Lists!$AM$3,"P1",IF($L180&gt;=Lists!$AM$4,"P2","P3")))))))</f>
        <v/>
      </c>
      <c r="N180" s="102"/>
      <c r="O180" s="101"/>
      <c r="P180" s="102"/>
      <c r="Q180" s="105"/>
      <c r="R180" s="106" t="str">
        <f aca="true">IF($Q180="","", TODAY()-$Q180)</f>
        <v/>
      </c>
      <c r="S180" s="102"/>
      <c r="T180" s="105"/>
      <c r="U180" s="105"/>
      <c r="V180" s="101"/>
      <c r="W180" s="101"/>
      <c r="X180" s="101"/>
      <c r="Y180" s="96"/>
      <c r="Z180" s="96"/>
      <c r="AA180" s="96"/>
      <c r="AC180" s="102"/>
      <c r="AD180" s="107" t="str">
        <f aca="false">IF($B180="","",IF(ISNUMBER($T180),$T180,IF(OR(NOT(ISNUMBER($Q180)),$S180=""),"",IFERROR(IF(ISNUMBER(INDEX(Lists!$AJ$2:$AJ$7,MATCH($S180,Lists!$AI$2:$AI$7,0))),$Q180+INDEX(Lists!$AJ$2:$AJ$7,MATCH($S180,Lists!$AI$2:$AI$7,0)),""),""))))</f>
        <v/>
      </c>
      <c r="AE180" s="104" t="str">
        <f aca="true">IF($B180="","",IF(AND(ISNUMBER($AD180),N($AD180)&lt;TODAY(),$N180&lt;&gt;"Done",$N180&lt;&gt;"Won't Fix",$N180&lt;&gt;"Duplicate"),"Yes","No"))</f>
        <v/>
      </c>
      <c r="AF180" s="101"/>
      <c r="AG180" s="108" t="str">
        <f aca="false">IF($AF180="","",IFERROR(VLOOKUP($AF180,'Application Portfolio'!$A$2:$B$1000,2,FALSE()),"Unknown App ID"))</f>
        <v/>
      </c>
      <c r="AH180" s="108" t="str">
        <f aca="false">IF(OR($B180="",$AF180=""),"",IFERROR(VLOOKUP($AF180,'Application Portfolio'!$A$2:$AB$1000,28,FALSE()),""))</f>
        <v/>
      </c>
    </row>
    <row r="181" customFormat="false" ht="15.75" hidden="false" customHeight="true" outlineLevel="0" collapsed="false">
      <c r="A181" s="100"/>
      <c r="B181" s="101"/>
      <c r="C181" s="101"/>
      <c r="D181" s="101"/>
      <c r="E181" s="101"/>
      <c r="F181" s="102"/>
      <c r="G181" s="102"/>
      <c r="H181" s="102"/>
      <c r="I181" s="102"/>
      <c r="J181" s="102"/>
      <c r="K181" s="102"/>
      <c r="L181" s="103" t="str">
        <f aca="false">IF(OR($B181="", $H181="", $I181="", $J181="", $K181=""),"",ROUND((VLOOKUP($H181,Lists!$E$2:$F$5,2,FALSE())*VLOOKUP($I181,Lists!$H$2:$I$4,2,FALSE())*VLOOKUP($J181,Lists!$K$2:$L$4,2,FALSE()))/VLOOKUP($K181,Lists!$N$2:$O$6,2,FALSE()),2))</f>
        <v/>
      </c>
      <c r="M181" s="104" t="str">
        <f aca="false">IF($B181="","",IF($AC181&lt;&gt;"",$AC181,IF($H181="Critical","P0",IF(NOT(ISNUMBER($L181)),"",IF($L181&gt;=Lists!$AM$2,"P0",IF($L181&gt;=Lists!$AM$3,"P1",IF($L181&gt;=Lists!$AM$4,"P2","P3")))))))</f>
        <v/>
      </c>
      <c r="N181" s="102"/>
      <c r="O181" s="101"/>
      <c r="P181" s="102"/>
      <c r="Q181" s="105"/>
      <c r="R181" s="106" t="str">
        <f aca="true">IF($Q181="","", TODAY()-$Q181)</f>
        <v/>
      </c>
      <c r="S181" s="102"/>
      <c r="T181" s="105"/>
      <c r="U181" s="105"/>
      <c r="V181" s="101"/>
      <c r="W181" s="101"/>
      <c r="X181" s="101"/>
      <c r="Y181" s="96"/>
      <c r="Z181" s="96"/>
      <c r="AA181" s="96"/>
      <c r="AC181" s="102"/>
      <c r="AD181" s="107" t="str">
        <f aca="false">IF($B181="","",IF(ISNUMBER($T181),$T181,IF(OR(NOT(ISNUMBER($Q181)),$S181=""),"",IFERROR(IF(ISNUMBER(INDEX(Lists!$AJ$2:$AJ$7,MATCH($S181,Lists!$AI$2:$AI$7,0))),$Q181+INDEX(Lists!$AJ$2:$AJ$7,MATCH($S181,Lists!$AI$2:$AI$7,0)),""),""))))</f>
        <v/>
      </c>
      <c r="AE181" s="104" t="str">
        <f aca="true">IF($B181="","",IF(AND(ISNUMBER($AD181),N($AD181)&lt;TODAY(),$N181&lt;&gt;"Done",$N181&lt;&gt;"Won't Fix",$N181&lt;&gt;"Duplicate"),"Yes","No"))</f>
        <v/>
      </c>
      <c r="AF181" s="101"/>
      <c r="AG181" s="108" t="str">
        <f aca="false">IF($AF181="","",IFERROR(VLOOKUP($AF181,'Application Portfolio'!$A$2:$B$1000,2,FALSE()),"Unknown App ID"))</f>
        <v/>
      </c>
      <c r="AH181" s="108" t="str">
        <f aca="false">IF(OR($B181="",$AF181=""),"",IFERROR(VLOOKUP($AF181,'Application Portfolio'!$A$2:$AB$1000,28,FALSE()),""))</f>
        <v/>
      </c>
    </row>
    <row r="182" customFormat="false" ht="15.75" hidden="false" customHeight="true" outlineLevel="0" collapsed="false">
      <c r="A182" s="100"/>
      <c r="B182" s="101"/>
      <c r="C182" s="101"/>
      <c r="D182" s="101"/>
      <c r="E182" s="101"/>
      <c r="F182" s="102"/>
      <c r="G182" s="102"/>
      <c r="H182" s="102"/>
      <c r="I182" s="102"/>
      <c r="J182" s="102"/>
      <c r="K182" s="102"/>
      <c r="L182" s="103" t="str">
        <f aca="false">IF(OR($B182="", $H182="", $I182="", $J182="", $K182=""),"",ROUND((VLOOKUP($H182,Lists!$E$2:$F$5,2,FALSE())*VLOOKUP($I182,Lists!$H$2:$I$4,2,FALSE())*VLOOKUP($J182,Lists!$K$2:$L$4,2,FALSE()))/VLOOKUP($K182,Lists!$N$2:$O$6,2,FALSE()),2))</f>
        <v/>
      </c>
      <c r="M182" s="104" t="str">
        <f aca="false">IF($B182="","",IF($AC182&lt;&gt;"",$AC182,IF($H182="Critical","P0",IF(NOT(ISNUMBER($L182)),"",IF($L182&gt;=Lists!$AM$2,"P0",IF($L182&gt;=Lists!$AM$3,"P1",IF($L182&gt;=Lists!$AM$4,"P2","P3")))))))</f>
        <v/>
      </c>
      <c r="N182" s="102"/>
      <c r="O182" s="101"/>
      <c r="P182" s="102"/>
      <c r="Q182" s="105"/>
      <c r="R182" s="106" t="str">
        <f aca="true">IF($Q182="","", TODAY()-$Q182)</f>
        <v/>
      </c>
      <c r="S182" s="102"/>
      <c r="T182" s="105"/>
      <c r="U182" s="105"/>
      <c r="V182" s="101"/>
      <c r="W182" s="101"/>
      <c r="X182" s="101"/>
      <c r="Y182" s="96"/>
      <c r="Z182" s="96"/>
      <c r="AA182" s="96"/>
      <c r="AC182" s="102"/>
      <c r="AD182" s="107" t="str">
        <f aca="false">IF($B182="","",IF(ISNUMBER($T182),$T182,IF(OR(NOT(ISNUMBER($Q182)),$S182=""),"",IFERROR(IF(ISNUMBER(INDEX(Lists!$AJ$2:$AJ$7,MATCH($S182,Lists!$AI$2:$AI$7,0))),$Q182+INDEX(Lists!$AJ$2:$AJ$7,MATCH($S182,Lists!$AI$2:$AI$7,0)),""),""))))</f>
        <v/>
      </c>
      <c r="AE182" s="104" t="str">
        <f aca="true">IF($B182="","",IF(AND(ISNUMBER($AD182),N($AD182)&lt;TODAY(),$N182&lt;&gt;"Done",$N182&lt;&gt;"Won't Fix",$N182&lt;&gt;"Duplicate"),"Yes","No"))</f>
        <v/>
      </c>
      <c r="AF182" s="101"/>
      <c r="AG182" s="108" t="str">
        <f aca="false">IF($AF182="","",IFERROR(VLOOKUP($AF182,'Application Portfolio'!$A$2:$B$1000,2,FALSE()),"Unknown App ID"))</f>
        <v/>
      </c>
      <c r="AH182" s="108" t="str">
        <f aca="false">IF(OR($B182="",$AF182=""),"",IFERROR(VLOOKUP($AF182,'Application Portfolio'!$A$2:$AB$1000,28,FALSE()),""))</f>
        <v/>
      </c>
    </row>
    <row r="183" customFormat="false" ht="15.75" hidden="false" customHeight="true" outlineLevel="0" collapsed="false">
      <c r="A183" s="100"/>
      <c r="B183" s="101"/>
      <c r="C183" s="101"/>
      <c r="D183" s="101"/>
      <c r="E183" s="101"/>
      <c r="F183" s="102"/>
      <c r="G183" s="102"/>
      <c r="H183" s="102"/>
      <c r="I183" s="102"/>
      <c r="J183" s="102"/>
      <c r="K183" s="102"/>
      <c r="L183" s="103" t="str">
        <f aca="false">IF(OR($B183="", $H183="", $I183="", $J183="", $K183=""),"",ROUND((VLOOKUP($H183,Lists!$E$2:$F$5,2,FALSE())*VLOOKUP($I183,Lists!$H$2:$I$4,2,FALSE())*VLOOKUP($J183,Lists!$K$2:$L$4,2,FALSE()))/VLOOKUP($K183,Lists!$N$2:$O$6,2,FALSE()),2))</f>
        <v/>
      </c>
      <c r="M183" s="104" t="str">
        <f aca="false">IF($B183="","",IF($AC183&lt;&gt;"",$AC183,IF($H183="Critical","P0",IF(NOT(ISNUMBER($L183)),"",IF($L183&gt;=Lists!$AM$2,"P0",IF($L183&gt;=Lists!$AM$3,"P1",IF($L183&gt;=Lists!$AM$4,"P2","P3")))))))</f>
        <v/>
      </c>
      <c r="N183" s="102"/>
      <c r="O183" s="101"/>
      <c r="P183" s="102"/>
      <c r="Q183" s="105"/>
      <c r="R183" s="106" t="str">
        <f aca="true">IF($Q183="","", TODAY()-$Q183)</f>
        <v/>
      </c>
      <c r="S183" s="102"/>
      <c r="T183" s="105"/>
      <c r="U183" s="105"/>
      <c r="V183" s="101"/>
      <c r="W183" s="101"/>
      <c r="X183" s="101"/>
      <c r="Y183" s="96"/>
      <c r="Z183" s="96"/>
      <c r="AA183" s="96"/>
      <c r="AC183" s="102"/>
      <c r="AD183" s="107" t="str">
        <f aca="false">IF($B183="","",IF(ISNUMBER($T183),$T183,IF(OR(NOT(ISNUMBER($Q183)),$S183=""),"",IFERROR(IF(ISNUMBER(INDEX(Lists!$AJ$2:$AJ$7,MATCH($S183,Lists!$AI$2:$AI$7,0))),$Q183+INDEX(Lists!$AJ$2:$AJ$7,MATCH($S183,Lists!$AI$2:$AI$7,0)),""),""))))</f>
        <v/>
      </c>
      <c r="AE183" s="104" t="str">
        <f aca="true">IF($B183="","",IF(AND(ISNUMBER($AD183),N($AD183)&lt;TODAY(),$N183&lt;&gt;"Done",$N183&lt;&gt;"Won't Fix",$N183&lt;&gt;"Duplicate"),"Yes","No"))</f>
        <v/>
      </c>
      <c r="AF183" s="101"/>
      <c r="AG183" s="108" t="str">
        <f aca="false">IF($AF183="","",IFERROR(VLOOKUP($AF183,'Application Portfolio'!$A$2:$B$1000,2,FALSE()),"Unknown App ID"))</f>
        <v/>
      </c>
      <c r="AH183" s="108" t="str">
        <f aca="false">IF(OR($B183="",$AF183=""),"",IFERROR(VLOOKUP($AF183,'Application Portfolio'!$A$2:$AB$1000,28,FALSE()),""))</f>
        <v/>
      </c>
    </row>
    <row r="184" customFormat="false" ht="15.75" hidden="false" customHeight="true" outlineLevel="0" collapsed="false">
      <c r="A184" s="100"/>
      <c r="B184" s="101"/>
      <c r="C184" s="101"/>
      <c r="D184" s="101"/>
      <c r="E184" s="101"/>
      <c r="F184" s="102"/>
      <c r="G184" s="102"/>
      <c r="H184" s="102"/>
      <c r="I184" s="102"/>
      <c r="J184" s="102"/>
      <c r="K184" s="102"/>
      <c r="L184" s="103" t="str">
        <f aca="false">IF(OR($B184="", $H184="", $I184="", $J184="", $K184=""),"",ROUND((VLOOKUP($H184,Lists!$E$2:$F$5,2,FALSE())*VLOOKUP($I184,Lists!$H$2:$I$4,2,FALSE())*VLOOKUP($J184,Lists!$K$2:$L$4,2,FALSE()))/VLOOKUP($K184,Lists!$N$2:$O$6,2,FALSE()),2))</f>
        <v/>
      </c>
      <c r="M184" s="104" t="str">
        <f aca="false">IF($B184="","",IF($AC184&lt;&gt;"",$AC184,IF($H184="Critical","P0",IF(NOT(ISNUMBER($L184)),"",IF($L184&gt;=Lists!$AM$2,"P0",IF($L184&gt;=Lists!$AM$3,"P1",IF($L184&gt;=Lists!$AM$4,"P2","P3")))))))</f>
        <v/>
      </c>
      <c r="N184" s="102"/>
      <c r="O184" s="101"/>
      <c r="P184" s="102"/>
      <c r="Q184" s="105"/>
      <c r="R184" s="106" t="str">
        <f aca="true">IF($Q184="","", TODAY()-$Q184)</f>
        <v/>
      </c>
      <c r="S184" s="102"/>
      <c r="T184" s="105"/>
      <c r="U184" s="105"/>
      <c r="V184" s="101"/>
      <c r="W184" s="101"/>
      <c r="X184" s="101"/>
      <c r="Y184" s="96"/>
      <c r="Z184" s="96"/>
      <c r="AA184" s="96"/>
      <c r="AC184" s="102"/>
      <c r="AD184" s="107" t="str">
        <f aca="false">IF($B184="","",IF(ISNUMBER($T184),$T184,IF(OR(NOT(ISNUMBER($Q184)),$S184=""),"",IFERROR(IF(ISNUMBER(INDEX(Lists!$AJ$2:$AJ$7,MATCH($S184,Lists!$AI$2:$AI$7,0))),$Q184+INDEX(Lists!$AJ$2:$AJ$7,MATCH($S184,Lists!$AI$2:$AI$7,0)),""),""))))</f>
        <v/>
      </c>
      <c r="AE184" s="104" t="str">
        <f aca="true">IF($B184="","",IF(AND(ISNUMBER($AD184),N($AD184)&lt;TODAY(),$N184&lt;&gt;"Done",$N184&lt;&gt;"Won't Fix",$N184&lt;&gt;"Duplicate"),"Yes","No"))</f>
        <v/>
      </c>
      <c r="AF184" s="101"/>
      <c r="AG184" s="108" t="str">
        <f aca="false">IF($AF184="","",IFERROR(VLOOKUP($AF184,'Application Portfolio'!$A$2:$B$1000,2,FALSE()),"Unknown App ID"))</f>
        <v/>
      </c>
      <c r="AH184" s="108" t="str">
        <f aca="false">IF(OR($B184="",$AF184=""),"",IFERROR(VLOOKUP($AF184,'Application Portfolio'!$A$2:$AB$1000,28,FALSE()),""))</f>
        <v/>
      </c>
    </row>
    <row r="185" customFormat="false" ht="15.75" hidden="false" customHeight="true" outlineLevel="0" collapsed="false">
      <c r="A185" s="100"/>
      <c r="B185" s="101"/>
      <c r="C185" s="101"/>
      <c r="D185" s="101"/>
      <c r="E185" s="101"/>
      <c r="F185" s="102"/>
      <c r="G185" s="102"/>
      <c r="H185" s="102"/>
      <c r="I185" s="102"/>
      <c r="J185" s="102"/>
      <c r="K185" s="102"/>
      <c r="L185" s="103" t="str">
        <f aca="false">IF(OR($B185="", $H185="", $I185="", $J185="", $K185=""),"",ROUND((VLOOKUP($H185,Lists!$E$2:$F$5,2,FALSE())*VLOOKUP($I185,Lists!$H$2:$I$4,2,FALSE())*VLOOKUP($J185,Lists!$K$2:$L$4,2,FALSE()))/VLOOKUP($K185,Lists!$N$2:$O$6,2,FALSE()),2))</f>
        <v/>
      </c>
      <c r="M185" s="104" t="str">
        <f aca="false">IF($B185="","",IF($AC185&lt;&gt;"",$AC185,IF($H185="Critical","P0",IF(NOT(ISNUMBER($L185)),"",IF($L185&gt;=Lists!$AM$2,"P0",IF($L185&gt;=Lists!$AM$3,"P1",IF($L185&gt;=Lists!$AM$4,"P2","P3")))))))</f>
        <v/>
      </c>
      <c r="N185" s="102"/>
      <c r="O185" s="101"/>
      <c r="P185" s="102"/>
      <c r="Q185" s="105"/>
      <c r="R185" s="106" t="str">
        <f aca="true">IF($Q185="","", TODAY()-$Q185)</f>
        <v/>
      </c>
      <c r="S185" s="102"/>
      <c r="T185" s="105"/>
      <c r="U185" s="105"/>
      <c r="V185" s="101"/>
      <c r="W185" s="101"/>
      <c r="X185" s="101"/>
      <c r="Y185" s="96"/>
      <c r="Z185" s="96"/>
      <c r="AA185" s="96"/>
      <c r="AC185" s="102"/>
      <c r="AD185" s="107" t="str">
        <f aca="false">IF($B185="","",IF(ISNUMBER($T185),$T185,IF(OR(NOT(ISNUMBER($Q185)),$S185=""),"",IFERROR(IF(ISNUMBER(INDEX(Lists!$AJ$2:$AJ$7,MATCH($S185,Lists!$AI$2:$AI$7,0))),$Q185+INDEX(Lists!$AJ$2:$AJ$7,MATCH($S185,Lists!$AI$2:$AI$7,0)),""),""))))</f>
        <v/>
      </c>
      <c r="AE185" s="104" t="str">
        <f aca="true">IF($B185="","",IF(AND(ISNUMBER($AD185),N($AD185)&lt;TODAY(),$N185&lt;&gt;"Done",$N185&lt;&gt;"Won't Fix",$N185&lt;&gt;"Duplicate"),"Yes","No"))</f>
        <v/>
      </c>
      <c r="AF185" s="101"/>
      <c r="AG185" s="108" t="str">
        <f aca="false">IF($AF185="","",IFERROR(VLOOKUP($AF185,'Application Portfolio'!$A$2:$B$1000,2,FALSE()),"Unknown App ID"))</f>
        <v/>
      </c>
      <c r="AH185" s="108" t="str">
        <f aca="false">IF(OR($B185="",$AF185=""),"",IFERROR(VLOOKUP($AF185,'Application Portfolio'!$A$2:$AB$1000,28,FALSE()),""))</f>
        <v/>
      </c>
    </row>
    <row r="186" customFormat="false" ht="15.75" hidden="false" customHeight="true" outlineLevel="0" collapsed="false">
      <c r="A186" s="100"/>
      <c r="B186" s="101"/>
      <c r="C186" s="101"/>
      <c r="D186" s="101"/>
      <c r="E186" s="101"/>
      <c r="F186" s="102"/>
      <c r="G186" s="102"/>
      <c r="H186" s="102"/>
      <c r="I186" s="102"/>
      <c r="J186" s="102"/>
      <c r="K186" s="102"/>
      <c r="L186" s="103" t="str">
        <f aca="false">IF(OR($B186="", $H186="", $I186="", $J186="", $K186=""),"",ROUND((VLOOKUP($H186,Lists!$E$2:$F$5,2,FALSE())*VLOOKUP($I186,Lists!$H$2:$I$4,2,FALSE())*VLOOKUP($J186,Lists!$K$2:$L$4,2,FALSE()))/VLOOKUP($K186,Lists!$N$2:$O$6,2,FALSE()),2))</f>
        <v/>
      </c>
      <c r="M186" s="104" t="str">
        <f aca="false">IF($B186="","",IF($AC186&lt;&gt;"",$AC186,IF($H186="Critical","P0",IF(NOT(ISNUMBER($L186)),"",IF($L186&gt;=Lists!$AM$2,"P0",IF($L186&gt;=Lists!$AM$3,"P1",IF($L186&gt;=Lists!$AM$4,"P2","P3")))))))</f>
        <v/>
      </c>
      <c r="N186" s="102"/>
      <c r="O186" s="101"/>
      <c r="P186" s="102"/>
      <c r="Q186" s="105"/>
      <c r="R186" s="106" t="str">
        <f aca="true">IF($Q186="","", TODAY()-$Q186)</f>
        <v/>
      </c>
      <c r="S186" s="102"/>
      <c r="T186" s="105"/>
      <c r="U186" s="105"/>
      <c r="V186" s="101"/>
      <c r="W186" s="101"/>
      <c r="X186" s="101"/>
      <c r="Y186" s="96"/>
      <c r="Z186" s="96"/>
      <c r="AA186" s="96"/>
      <c r="AC186" s="102"/>
      <c r="AD186" s="107" t="str">
        <f aca="false">IF($B186="","",IF(ISNUMBER($T186),$T186,IF(OR(NOT(ISNUMBER($Q186)),$S186=""),"",IFERROR(IF(ISNUMBER(INDEX(Lists!$AJ$2:$AJ$7,MATCH($S186,Lists!$AI$2:$AI$7,0))),$Q186+INDEX(Lists!$AJ$2:$AJ$7,MATCH($S186,Lists!$AI$2:$AI$7,0)),""),""))))</f>
        <v/>
      </c>
      <c r="AE186" s="104" t="str">
        <f aca="true">IF($B186="","",IF(AND(ISNUMBER($AD186),N($AD186)&lt;TODAY(),$N186&lt;&gt;"Done",$N186&lt;&gt;"Won't Fix",$N186&lt;&gt;"Duplicate"),"Yes","No"))</f>
        <v/>
      </c>
      <c r="AF186" s="101"/>
      <c r="AG186" s="108" t="str">
        <f aca="false">IF($AF186="","",IFERROR(VLOOKUP($AF186,'Application Portfolio'!$A$2:$B$1000,2,FALSE()),"Unknown App ID"))</f>
        <v/>
      </c>
      <c r="AH186" s="108" t="str">
        <f aca="false">IF(OR($B186="",$AF186=""),"",IFERROR(VLOOKUP($AF186,'Application Portfolio'!$A$2:$AB$1000,28,FALSE()),""))</f>
        <v/>
      </c>
    </row>
    <row r="187" customFormat="false" ht="15.75" hidden="false" customHeight="true" outlineLevel="0" collapsed="false">
      <c r="A187" s="100"/>
      <c r="B187" s="101"/>
      <c r="C187" s="101"/>
      <c r="D187" s="101"/>
      <c r="E187" s="101"/>
      <c r="F187" s="102"/>
      <c r="G187" s="102"/>
      <c r="H187" s="102"/>
      <c r="I187" s="102"/>
      <c r="J187" s="102"/>
      <c r="K187" s="102"/>
      <c r="L187" s="103" t="str">
        <f aca="false">IF(OR($B187="", $H187="", $I187="", $J187="", $K187=""),"",ROUND((VLOOKUP($H187,Lists!$E$2:$F$5,2,FALSE())*VLOOKUP($I187,Lists!$H$2:$I$4,2,FALSE())*VLOOKUP($J187,Lists!$K$2:$L$4,2,FALSE()))/VLOOKUP($K187,Lists!$N$2:$O$6,2,FALSE()),2))</f>
        <v/>
      </c>
      <c r="M187" s="104" t="str">
        <f aca="false">IF($B187="","",IF($AC187&lt;&gt;"",$AC187,IF($H187="Critical","P0",IF(NOT(ISNUMBER($L187)),"",IF($L187&gt;=Lists!$AM$2,"P0",IF($L187&gt;=Lists!$AM$3,"P1",IF($L187&gt;=Lists!$AM$4,"P2","P3")))))))</f>
        <v/>
      </c>
      <c r="N187" s="102"/>
      <c r="O187" s="101"/>
      <c r="P187" s="102"/>
      <c r="Q187" s="105"/>
      <c r="R187" s="106" t="str">
        <f aca="true">IF($Q187="","", TODAY()-$Q187)</f>
        <v/>
      </c>
      <c r="S187" s="102"/>
      <c r="T187" s="105"/>
      <c r="U187" s="105"/>
      <c r="V187" s="101"/>
      <c r="W187" s="101"/>
      <c r="X187" s="101"/>
      <c r="Y187" s="96"/>
      <c r="Z187" s="96"/>
      <c r="AA187" s="96"/>
      <c r="AC187" s="102"/>
      <c r="AD187" s="107" t="str">
        <f aca="false">IF($B187="","",IF(ISNUMBER($T187),$T187,IF(OR(NOT(ISNUMBER($Q187)),$S187=""),"",IFERROR(IF(ISNUMBER(INDEX(Lists!$AJ$2:$AJ$7,MATCH($S187,Lists!$AI$2:$AI$7,0))),$Q187+INDEX(Lists!$AJ$2:$AJ$7,MATCH($S187,Lists!$AI$2:$AI$7,0)),""),""))))</f>
        <v/>
      </c>
      <c r="AE187" s="104" t="str">
        <f aca="true">IF($B187="","",IF(AND(ISNUMBER($AD187),N($AD187)&lt;TODAY(),$N187&lt;&gt;"Done",$N187&lt;&gt;"Won't Fix",$N187&lt;&gt;"Duplicate"),"Yes","No"))</f>
        <v/>
      </c>
      <c r="AF187" s="101"/>
      <c r="AG187" s="108" t="str">
        <f aca="false">IF($AF187="","",IFERROR(VLOOKUP($AF187,'Application Portfolio'!$A$2:$B$1000,2,FALSE()),"Unknown App ID"))</f>
        <v/>
      </c>
      <c r="AH187" s="108" t="str">
        <f aca="false">IF(OR($B187="",$AF187=""),"",IFERROR(VLOOKUP($AF187,'Application Portfolio'!$A$2:$AB$1000,28,FALSE()),""))</f>
        <v/>
      </c>
    </row>
    <row r="188" customFormat="false" ht="15.75" hidden="false" customHeight="true" outlineLevel="0" collapsed="false">
      <c r="A188" s="100"/>
      <c r="B188" s="101"/>
      <c r="C188" s="101"/>
      <c r="D188" s="101"/>
      <c r="E188" s="101"/>
      <c r="F188" s="102"/>
      <c r="G188" s="102"/>
      <c r="H188" s="102"/>
      <c r="I188" s="102"/>
      <c r="J188" s="102"/>
      <c r="K188" s="102"/>
      <c r="L188" s="103" t="str">
        <f aca="false">IF(OR($B188="", $H188="", $I188="", $J188="", $K188=""),"",ROUND((VLOOKUP($H188,Lists!$E$2:$F$5,2,FALSE())*VLOOKUP($I188,Lists!$H$2:$I$4,2,FALSE())*VLOOKUP($J188,Lists!$K$2:$L$4,2,FALSE()))/VLOOKUP($K188,Lists!$N$2:$O$6,2,FALSE()),2))</f>
        <v/>
      </c>
      <c r="M188" s="104" t="str">
        <f aca="false">IF($B188="","",IF($AC188&lt;&gt;"",$AC188,IF($H188="Critical","P0",IF(NOT(ISNUMBER($L188)),"",IF($L188&gt;=Lists!$AM$2,"P0",IF($L188&gt;=Lists!$AM$3,"P1",IF($L188&gt;=Lists!$AM$4,"P2","P3")))))))</f>
        <v/>
      </c>
      <c r="N188" s="102"/>
      <c r="O188" s="101"/>
      <c r="P188" s="102"/>
      <c r="Q188" s="105"/>
      <c r="R188" s="106" t="str">
        <f aca="true">IF($Q188="","", TODAY()-$Q188)</f>
        <v/>
      </c>
      <c r="S188" s="102"/>
      <c r="T188" s="105"/>
      <c r="U188" s="105"/>
      <c r="V188" s="101"/>
      <c r="W188" s="101"/>
      <c r="X188" s="101"/>
      <c r="Y188" s="96"/>
      <c r="Z188" s="96"/>
      <c r="AA188" s="96"/>
      <c r="AC188" s="102"/>
      <c r="AD188" s="107" t="str">
        <f aca="false">IF($B188="","",IF(ISNUMBER($T188),$T188,IF(OR(NOT(ISNUMBER($Q188)),$S188=""),"",IFERROR(IF(ISNUMBER(INDEX(Lists!$AJ$2:$AJ$7,MATCH($S188,Lists!$AI$2:$AI$7,0))),$Q188+INDEX(Lists!$AJ$2:$AJ$7,MATCH($S188,Lists!$AI$2:$AI$7,0)),""),""))))</f>
        <v/>
      </c>
      <c r="AE188" s="104" t="str">
        <f aca="true">IF($B188="","",IF(AND(ISNUMBER($AD188),N($AD188)&lt;TODAY(),$N188&lt;&gt;"Done",$N188&lt;&gt;"Won't Fix",$N188&lt;&gt;"Duplicate"),"Yes","No"))</f>
        <v/>
      </c>
      <c r="AF188" s="101"/>
      <c r="AG188" s="108" t="str">
        <f aca="false">IF($AF188="","",IFERROR(VLOOKUP($AF188,'Application Portfolio'!$A$2:$B$1000,2,FALSE()),"Unknown App ID"))</f>
        <v/>
      </c>
      <c r="AH188" s="108" t="str">
        <f aca="false">IF(OR($B188="",$AF188=""),"",IFERROR(VLOOKUP($AF188,'Application Portfolio'!$A$2:$AB$1000,28,FALSE()),""))</f>
        <v/>
      </c>
    </row>
    <row r="189" customFormat="false" ht="15.75" hidden="false" customHeight="true" outlineLevel="0" collapsed="false">
      <c r="A189" s="100"/>
      <c r="B189" s="101"/>
      <c r="C189" s="101"/>
      <c r="D189" s="101"/>
      <c r="E189" s="101"/>
      <c r="F189" s="102"/>
      <c r="G189" s="102"/>
      <c r="H189" s="102"/>
      <c r="I189" s="102"/>
      <c r="J189" s="102"/>
      <c r="K189" s="102"/>
      <c r="L189" s="103" t="str">
        <f aca="false">IF(OR($B189="", $H189="", $I189="", $J189="", $K189=""),"",ROUND((VLOOKUP($H189,Lists!$E$2:$F$5,2,FALSE())*VLOOKUP($I189,Lists!$H$2:$I$4,2,FALSE())*VLOOKUP($J189,Lists!$K$2:$L$4,2,FALSE()))/VLOOKUP($K189,Lists!$N$2:$O$6,2,FALSE()),2))</f>
        <v/>
      </c>
      <c r="M189" s="104" t="str">
        <f aca="false">IF($B189="","",IF($AC189&lt;&gt;"",$AC189,IF($H189="Critical","P0",IF(NOT(ISNUMBER($L189)),"",IF($L189&gt;=Lists!$AM$2,"P0",IF($L189&gt;=Lists!$AM$3,"P1",IF($L189&gt;=Lists!$AM$4,"P2","P3")))))))</f>
        <v/>
      </c>
      <c r="N189" s="102"/>
      <c r="O189" s="101"/>
      <c r="P189" s="102"/>
      <c r="Q189" s="105"/>
      <c r="R189" s="106" t="str">
        <f aca="true">IF($Q189="","", TODAY()-$Q189)</f>
        <v/>
      </c>
      <c r="S189" s="102"/>
      <c r="T189" s="105"/>
      <c r="U189" s="105"/>
      <c r="V189" s="101"/>
      <c r="W189" s="101"/>
      <c r="X189" s="101"/>
      <c r="Y189" s="96"/>
      <c r="Z189" s="96"/>
      <c r="AA189" s="96"/>
      <c r="AC189" s="102"/>
      <c r="AD189" s="107" t="str">
        <f aca="false">IF($B189="","",IF(ISNUMBER($T189),$T189,IF(OR(NOT(ISNUMBER($Q189)),$S189=""),"",IFERROR(IF(ISNUMBER(INDEX(Lists!$AJ$2:$AJ$7,MATCH($S189,Lists!$AI$2:$AI$7,0))),$Q189+INDEX(Lists!$AJ$2:$AJ$7,MATCH($S189,Lists!$AI$2:$AI$7,0)),""),""))))</f>
        <v/>
      </c>
      <c r="AE189" s="104" t="str">
        <f aca="true">IF($B189="","",IF(AND(ISNUMBER($AD189),N($AD189)&lt;TODAY(),$N189&lt;&gt;"Done",$N189&lt;&gt;"Won't Fix",$N189&lt;&gt;"Duplicate"),"Yes","No"))</f>
        <v/>
      </c>
      <c r="AF189" s="101"/>
      <c r="AG189" s="108" t="str">
        <f aca="false">IF($AF189="","",IFERROR(VLOOKUP($AF189,'Application Portfolio'!$A$2:$B$1000,2,FALSE()),"Unknown App ID"))</f>
        <v/>
      </c>
      <c r="AH189" s="108" t="str">
        <f aca="false">IF(OR($B189="",$AF189=""),"",IFERROR(VLOOKUP($AF189,'Application Portfolio'!$A$2:$AB$1000,28,FALSE()),""))</f>
        <v/>
      </c>
    </row>
    <row r="190" customFormat="false" ht="15.75" hidden="false" customHeight="true" outlineLevel="0" collapsed="false">
      <c r="A190" s="100"/>
      <c r="B190" s="101"/>
      <c r="C190" s="101"/>
      <c r="D190" s="101"/>
      <c r="E190" s="101"/>
      <c r="F190" s="102"/>
      <c r="G190" s="102"/>
      <c r="H190" s="102"/>
      <c r="I190" s="102"/>
      <c r="J190" s="102"/>
      <c r="K190" s="102"/>
      <c r="L190" s="103" t="str">
        <f aca="false">IF(OR($B190="", $H190="", $I190="", $J190="", $K190=""),"",ROUND((VLOOKUP($H190,Lists!$E$2:$F$5,2,FALSE())*VLOOKUP($I190,Lists!$H$2:$I$4,2,FALSE())*VLOOKUP($J190,Lists!$K$2:$L$4,2,FALSE()))/VLOOKUP($K190,Lists!$N$2:$O$6,2,FALSE()),2))</f>
        <v/>
      </c>
      <c r="M190" s="104" t="str">
        <f aca="false">IF($B190="","",IF($AC190&lt;&gt;"",$AC190,IF($H190="Critical","P0",IF(NOT(ISNUMBER($L190)),"",IF($L190&gt;=Lists!$AM$2,"P0",IF($L190&gt;=Lists!$AM$3,"P1",IF($L190&gt;=Lists!$AM$4,"P2","P3")))))))</f>
        <v/>
      </c>
      <c r="N190" s="102"/>
      <c r="O190" s="101"/>
      <c r="P190" s="102"/>
      <c r="Q190" s="105"/>
      <c r="R190" s="106" t="str">
        <f aca="true">IF($Q190="","", TODAY()-$Q190)</f>
        <v/>
      </c>
      <c r="S190" s="102"/>
      <c r="T190" s="105"/>
      <c r="U190" s="105"/>
      <c r="V190" s="101"/>
      <c r="W190" s="101"/>
      <c r="X190" s="101"/>
      <c r="Y190" s="96"/>
      <c r="Z190" s="96"/>
      <c r="AA190" s="96"/>
      <c r="AC190" s="102"/>
      <c r="AD190" s="107" t="str">
        <f aca="false">IF($B190="","",IF(ISNUMBER($T190),$T190,IF(OR(NOT(ISNUMBER($Q190)),$S190=""),"",IFERROR(IF(ISNUMBER(INDEX(Lists!$AJ$2:$AJ$7,MATCH($S190,Lists!$AI$2:$AI$7,0))),$Q190+INDEX(Lists!$AJ$2:$AJ$7,MATCH($S190,Lists!$AI$2:$AI$7,0)),""),""))))</f>
        <v/>
      </c>
      <c r="AE190" s="104" t="str">
        <f aca="true">IF($B190="","",IF(AND(ISNUMBER($AD190),N($AD190)&lt;TODAY(),$N190&lt;&gt;"Done",$N190&lt;&gt;"Won't Fix",$N190&lt;&gt;"Duplicate"),"Yes","No"))</f>
        <v/>
      </c>
      <c r="AF190" s="101"/>
      <c r="AG190" s="108" t="str">
        <f aca="false">IF($AF190="","",IFERROR(VLOOKUP($AF190,'Application Portfolio'!$A$2:$B$1000,2,FALSE()),"Unknown App ID"))</f>
        <v/>
      </c>
      <c r="AH190" s="108" t="str">
        <f aca="false">IF(OR($B190="",$AF190=""),"",IFERROR(VLOOKUP($AF190,'Application Portfolio'!$A$2:$AB$1000,28,FALSE()),""))</f>
        <v/>
      </c>
    </row>
    <row r="191" customFormat="false" ht="15.75" hidden="false" customHeight="true" outlineLevel="0" collapsed="false">
      <c r="A191" s="100"/>
      <c r="B191" s="101"/>
      <c r="C191" s="101"/>
      <c r="D191" s="101"/>
      <c r="E191" s="101"/>
      <c r="F191" s="102"/>
      <c r="G191" s="102"/>
      <c r="H191" s="102"/>
      <c r="I191" s="102"/>
      <c r="J191" s="102"/>
      <c r="K191" s="102"/>
      <c r="L191" s="103" t="str">
        <f aca="false">IF(OR($B191="", $H191="", $I191="", $J191="", $K191=""),"",ROUND((VLOOKUP($H191,Lists!$E$2:$F$5,2,FALSE())*VLOOKUP($I191,Lists!$H$2:$I$4,2,FALSE())*VLOOKUP($J191,Lists!$K$2:$L$4,2,FALSE()))/VLOOKUP($K191,Lists!$N$2:$O$6,2,FALSE()),2))</f>
        <v/>
      </c>
      <c r="M191" s="104" t="str">
        <f aca="false">IF($B191="","",IF($AC191&lt;&gt;"",$AC191,IF($H191="Critical","P0",IF(NOT(ISNUMBER($L191)),"",IF($L191&gt;=Lists!$AM$2,"P0",IF($L191&gt;=Lists!$AM$3,"P1",IF($L191&gt;=Lists!$AM$4,"P2","P3")))))))</f>
        <v/>
      </c>
      <c r="N191" s="102"/>
      <c r="O191" s="101"/>
      <c r="P191" s="102"/>
      <c r="Q191" s="105"/>
      <c r="R191" s="106" t="str">
        <f aca="true">IF($Q191="","", TODAY()-$Q191)</f>
        <v/>
      </c>
      <c r="S191" s="102"/>
      <c r="T191" s="105"/>
      <c r="U191" s="105"/>
      <c r="V191" s="101"/>
      <c r="W191" s="101"/>
      <c r="X191" s="101"/>
      <c r="Y191" s="96"/>
      <c r="Z191" s="96"/>
      <c r="AA191" s="96"/>
      <c r="AC191" s="102"/>
      <c r="AD191" s="107" t="str">
        <f aca="false">IF($B191="","",IF(ISNUMBER($T191),$T191,IF(OR(NOT(ISNUMBER($Q191)),$S191=""),"",IFERROR(IF(ISNUMBER(INDEX(Lists!$AJ$2:$AJ$7,MATCH($S191,Lists!$AI$2:$AI$7,0))),$Q191+INDEX(Lists!$AJ$2:$AJ$7,MATCH($S191,Lists!$AI$2:$AI$7,0)),""),""))))</f>
        <v/>
      </c>
      <c r="AE191" s="104" t="str">
        <f aca="true">IF($B191="","",IF(AND(ISNUMBER($AD191),N($AD191)&lt;TODAY(),$N191&lt;&gt;"Done",$N191&lt;&gt;"Won't Fix",$N191&lt;&gt;"Duplicate"),"Yes","No"))</f>
        <v/>
      </c>
      <c r="AF191" s="101"/>
      <c r="AG191" s="108" t="str">
        <f aca="false">IF($AF191="","",IFERROR(VLOOKUP($AF191,'Application Portfolio'!$A$2:$B$1000,2,FALSE()),"Unknown App ID"))</f>
        <v/>
      </c>
      <c r="AH191" s="108" t="str">
        <f aca="false">IF(OR($B191="",$AF191=""),"",IFERROR(VLOOKUP($AF191,'Application Portfolio'!$A$2:$AB$1000,28,FALSE()),""))</f>
        <v/>
      </c>
    </row>
    <row r="192" customFormat="false" ht="15.75" hidden="false" customHeight="true" outlineLevel="0" collapsed="false">
      <c r="A192" s="100"/>
      <c r="B192" s="101"/>
      <c r="C192" s="101"/>
      <c r="D192" s="101"/>
      <c r="E192" s="101"/>
      <c r="F192" s="102"/>
      <c r="G192" s="102"/>
      <c r="H192" s="102"/>
      <c r="I192" s="102"/>
      <c r="J192" s="102"/>
      <c r="K192" s="102"/>
      <c r="L192" s="103" t="str">
        <f aca="false">IF(OR($B192="", $H192="", $I192="", $J192="", $K192=""),"",ROUND((VLOOKUP($H192,Lists!$E$2:$F$5,2,FALSE())*VLOOKUP($I192,Lists!$H$2:$I$4,2,FALSE())*VLOOKUP($J192,Lists!$K$2:$L$4,2,FALSE()))/VLOOKUP($K192,Lists!$N$2:$O$6,2,FALSE()),2))</f>
        <v/>
      </c>
      <c r="M192" s="104" t="str">
        <f aca="false">IF($B192="","",IF($AC192&lt;&gt;"",$AC192,IF($H192="Critical","P0",IF(NOT(ISNUMBER($L192)),"",IF($L192&gt;=Lists!$AM$2,"P0",IF($L192&gt;=Lists!$AM$3,"P1",IF($L192&gt;=Lists!$AM$4,"P2","P3")))))))</f>
        <v/>
      </c>
      <c r="N192" s="102"/>
      <c r="O192" s="101"/>
      <c r="P192" s="102"/>
      <c r="Q192" s="105"/>
      <c r="R192" s="106" t="str">
        <f aca="true">IF($Q192="","", TODAY()-$Q192)</f>
        <v/>
      </c>
      <c r="S192" s="102"/>
      <c r="T192" s="105"/>
      <c r="U192" s="105"/>
      <c r="V192" s="101"/>
      <c r="W192" s="101"/>
      <c r="X192" s="101"/>
      <c r="Y192" s="96"/>
      <c r="Z192" s="96"/>
      <c r="AA192" s="96"/>
      <c r="AC192" s="102"/>
      <c r="AD192" s="107" t="str">
        <f aca="false">IF($B192="","",IF(ISNUMBER($T192),$T192,IF(OR(NOT(ISNUMBER($Q192)),$S192=""),"",IFERROR(IF(ISNUMBER(INDEX(Lists!$AJ$2:$AJ$7,MATCH($S192,Lists!$AI$2:$AI$7,0))),$Q192+INDEX(Lists!$AJ$2:$AJ$7,MATCH($S192,Lists!$AI$2:$AI$7,0)),""),""))))</f>
        <v/>
      </c>
      <c r="AE192" s="104" t="str">
        <f aca="true">IF($B192="","",IF(AND(ISNUMBER($AD192),N($AD192)&lt;TODAY(),$N192&lt;&gt;"Done",$N192&lt;&gt;"Won't Fix",$N192&lt;&gt;"Duplicate"),"Yes","No"))</f>
        <v/>
      </c>
      <c r="AF192" s="101"/>
      <c r="AG192" s="108" t="str">
        <f aca="false">IF($AF192="","",IFERROR(VLOOKUP($AF192,'Application Portfolio'!$A$2:$B$1000,2,FALSE()),"Unknown App ID"))</f>
        <v/>
      </c>
      <c r="AH192" s="108" t="str">
        <f aca="false">IF(OR($B192="",$AF192=""),"",IFERROR(VLOOKUP($AF192,'Application Portfolio'!$A$2:$AB$1000,28,FALSE()),""))</f>
        <v/>
      </c>
    </row>
    <row r="193" customFormat="false" ht="15.75" hidden="false" customHeight="true" outlineLevel="0" collapsed="false">
      <c r="A193" s="100"/>
      <c r="B193" s="101"/>
      <c r="C193" s="101"/>
      <c r="D193" s="101"/>
      <c r="E193" s="101"/>
      <c r="F193" s="102"/>
      <c r="G193" s="102"/>
      <c r="H193" s="102"/>
      <c r="I193" s="102"/>
      <c r="J193" s="102"/>
      <c r="K193" s="102"/>
      <c r="L193" s="103" t="str">
        <f aca="false">IF(OR($B193="", $H193="", $I193="", $J193="", $K193=""),"",ROUND((VLOOKUP($H193,Lists!$E$2:$F$5,2,FALSE())*VLOOKUP($I193,Lists!$H$2:$I$4,2,FALSE())*VLOOKUP($J193,Lists!$K$2:$L$4,2,FALSE()))/VLOOKUP($K193,Lists!$N$2:$O$6,2,FALSE()),2))</f>
        <v/>
      </c>
      <c r="M193" s="104" t="str">
        <f aca="false">IF($B193="","",IF($AC193&lt;&gt;"",$AC193,IF($H193="Critical","P0",IF(NOT(ISNUMBER($L193)),"",IF($L193&gt;=Lists!$AM$2,"P0",IF($L193&gt;=Lists!$AM$3,"P1",IF($L193&gt;=Lists!$AM$4,"P2","P3")))))))</f>
        <v/>
      </c>
      <c r="N193" s="102"/>
      <c r="O193" s="101"/>
      <c r="P193" s="102"/>
      <c r="Q193" s="105"/>
      <c r="R193" s="106" t="str">
        <f aca="true">IF($Q193="","", TODAY()-$Q193)</f>
        <v/>
      </c>
      <c r="S193" s="102"/>
      <c r="T193" s="105"/>
      <c r="U193" s="105"/>
      <c r="V193" s="101"/>
      <c r="W193" s="101"/>
      <c r="X193" s="101"/>
      <c r="Y193" s="96"/>
      <c r="Z193" s="96"/>
      <c r="AA193" s="96"/>
      <c r="AC193" s="102"/>
      <c r="AD193" s="107" t="str">
        <f aca="false">IF($B193="","",IF(ISNUMBER($T193),$T193,IF(OR(NOT(ISNUMBER($Q193)),$S193=""),"",IFERROR(IF(ISNUMBER(INDEX(Lists!$AJ$2:$AJ$7,MATCH($S193,Lists!$AI$2:$AI$7,0))),$Q193+INDEX(Lists!$AJ$2:$AJ$7,MATCH($S193,Lists!$AI$2:$AI$7,0)),""),""))))</f>
        <v/>
      </c>
      <c r="AE193" s="104" t="str">
        <f aca="true">IF($B193="","",IF(AND(ISNUMBER($AD193),N($AD193)&lt;TODAY(),$N193&lt;&gt;"Done",$N193&lt;&gt;"Won't Fix",$N193&lt;&gt;"Duplicate"),"Yes","No"))</f>
        <v/>
      </c>
      <c r="AF193" s="101"/>
      <c r="AG193" s="108" t="str">
        <f aca="false">IF($AF193="","",IFERROR(VLOOKUP($AF193,'Application Portfolio'!$A$2:$B$1000,2,FALSE()),"Unknown App ID"))</f>
        <v/>
      </c>
      <c r="AH193" s="108" t="str">
        <f aca="false">IF(OR($B193="",$AF193=""),"",IFERROR(VLOOKUP($AF193,'Application Portfolio'!$A$2:$AB$1000,28,FALSE()),""))</f>
        <v/>
      </c>
    </row>
    <row r="194" customFormat="false" ht="15.75" hidden="false" customHeight="true" outlineLevel="0" collapsed="false">
      <c r="A194" s="100"/>
      <c r="B194" s="101"/>
      <c r="C194" s="101"/>
      <c r="D194" s="101"/>
      <c r="E194" s="101"/>
      <c r="F194" s="102"/>
      <c r="G194" s="102"/>
      <c r="H194" s="102"/>
      <c r="I194" s="102"/>
      <c r="J194" s="102"/>
      <c r="K194" s="102"/>
      <c r="L194" s="103" t="str">
        <f aca="false">IF(OR($B194="", $H194="", $I194="", $J194="", $K194=""),"",ROUND((VLOOKUP($H194,Lists!$E$2:$F$5,2,FALSE())*VLOOKUP($I194,Lists!$H$2:$I$4,2,FALSE())*VLOOKUP($J194,Lists!$K$2:$L$4,2,FALSE()))/VLOOKUP($K194,Lists!$N$2:$O$6,2,FALSE()),2))</f>
        <v/>
      </c>
      <c r="M194" s="104" t="str">
        <f aca="false">IF($B194="","",IF($AC194&lt;&gt;"",$AC194,IF($H194="Critical","P0",IF(NOT(ISNUMBER($L194)),"",IF($L194&gt;=Lists!$AM$2,"P0",IF($L194&gt;=Lists!$AM$3,"P1",IF($L194&gt;=Lists!$AM$4,"P2","P3")))))))</f>
        <v/>
      </c>
      <c r="N194" s="102"/>
      <c r="O194" s="101"/>
      <c r="P194" s="102"/>
      <c r="Q194" s="105"/>
      <c r="R194" s="106" t="str">
        <f aca="true">IF($Q194="","", TODAY()-$Q194)</f>
        <v/>
      </c>
      <c r="S194" s="102"/>
      <c r="T194" s="105"/>
      <c r="U194" s="105"/>
      <c r="V194" s="101"/>
      <c r="W194" s="101"/>
      <c r="X194" s="101"/>
      <c r="Y194" s="96"/>
      <c r="Z194" s="96"/>
      <c r="AA194" s="96"/>
      <c r="AC194" s="102"/>
      <c r="AD194" s="107" t="str">
        <f aca="false">IF($B194="","",IF(ISNUMBER($T194),$T194,IF(OR(NOT(ISNUMBER($Q194)),$S194=""),"",IFERROR(IF(ISNUMBER(INDEX(Lists!$AJ$2:$AJ$7,MATCH($S194,Lists!$AI$2:$AI$7,0))),$Q194+INDEX(Lists!$AJ$2:$AJ$7,MATCH($S194,Lists!$AI$2:$AI$7,0)),""),""))))</f>
        <v/>
      </c>
      <c r="AE194" s="104" t="str">
        <f aca="true">IF($B194="","",IF(AND(ISNUMBER($AD194),N($AD194)&lt;TODAY(),$N194&lt;&gt;"Done",$N194&lt;&gt;"Won't Fix",$N194&lt;&gt;"Duplicate"),"Yes","No"))</f>
        <v/>
      </c>
      <c r="AF194" s="101"/>
      <c r="AG194" s="108" t="str">
        <f aca="false">IF($AF194="","",IFERROR(VLOOKUP($AF194,'Application Portfolio'!$A$2:$B$1000,2,FALSE()),"Unknown App ID"))</f>
        <v/>
      </c>
      <c r="AH194" s="108" t="str">
        <f aca="false">IF(OR($B194="",$AF194=""),"",IFERROR(VLOOKUP($AF194,'Application Portfolio'!$A$2:$AB$1000,28,FALSE()),""))</f>
        <v/>
      </c>
    </row>
    <row r="195" customFormat="false" ht="15.75" hidden="false" customHeight="true" outlineLevel="0" collapsed="false">
      <c r="A195" s="100"/>
      <c r="B195" s="101"/>
      <c r="C195" s="101"/>
      <c r="D195" s="101"/>
      <c r="E195" s="101"/>
      <c r="F195" s="102"/>
      <c r="G195" s="102"/>
      <c r="H195" s="102"/>
      <c r="I195" s="102"/>
      <c r="J195" s="102"/>
      <c r="K195" s="102"/>
      <c r="L195" s="103" t="str">
        <f aca="false">IF(OR($B195="", $H195="", $I195="", $J195="", $K195=""),"",ROUND((VLOOKUP($H195,Lists!$E$2:$F$5,2,FALSE())*VLOOKUP($I195,Lists!$H$2:$I$4,2,FALSE())*VLOOKUP($J195,Lists!$K$2:$L$4,2,FALSE()))/VLOOKUP($K195,Lists!$N$2:$O$6,2,FALSE()),2))</f>
        <v/>
      </c>
      <c r="M195" s="104" t="str">
        <f aca="false">IF($B195="","",IF($AC195&lt;&gt;"",$AC195,IF($H195="Critical","P0",IF(NOT(ISNUMBER($L195)),"",IF($L195&gt;=Lists!$AM$2,"P0",IF($L195&gt;=Lists!$AM$3,"P1",IF($L195&gt;=Lists!$AM$4,"P2","P3")))))))</f>
        <v/>
      </c>
      <c r="N195" s="102"/>
      <c r="O195" s="101"/>
      <c r="P195" s="102"/>
      <c r="Q195" s="105"/>
      <c r="R195" s="106" t="str">
        <f aca="true">IF($Q195="","", TODAY()-$Q195)</f>
        <v/>
      </c>
      <c r="S195" s="102"/>
      <c r="T195" s="105"/>
      <c r="U195" s="105"/>
      <c r="V195" s="101"/>
      <c r="W195" s="101"/>
      <c r="X195" s="101"/>
      <c r="Y195" s="96"/>
      <c r="Z195" s="96"/>
      <c r="AA195" s="96"/>
      <c r="AC195" s="102"/>
      <c r="AD195" s="107" t="str">
        <f aca="false">IF($B195="","",IF(ISNUMBER($T195),$T195,IF(OR(NOT(ISNUMBER($Q195)),$S195=""),"",IFERROR(IF(ISNUMBER(INDEX(Lists!$AJ$2:$AJ$7,MATCH($S195,Lists!$AI$2:$AI$7,0))),$Q195+INDEX(Lists!$AJ$2:$AJ$7,MATCH($S195,Lists!$AI$2:$AI$7,0)),""),""))))</f>
        <v/>
      </c>
      <c r="AE195" s="104" t="str">
        <f aca="true">IF($B195="","",IF(AND(ISNUMBER($AD195),N($AD195)&lt;TODAY(),$N195&lt;&gt;"Done",$N195&lt;&gt;"Won't Fix",$N195&lt;&gt;"Duplicate"),"Yes","No"))</f>
        <v/>
      </c>
      <c r="AF195" s="101"/>
      <c r="AG195" s="108" t="str">
        <f aca="false">IF($AF195="","",IFERROR(VLOOKUP($AF195,'Application Portfolio'!$A$2:$B$1000,2,FALSE()),"Unknown App ID"))</f>
        <v/>
      </c>
      <c r="AH195" s="108" t="str">
        <f aca="false">IF(OR($B195="",$AF195=""),"",IFERROR(VLOOKUP($AF195,'Application Portfolio'!$A$2:$AB$1000,28,FALSE()),""))</f>
        <v/>
      </c>
    </row>
    <row r="196" customFormat="false" ht="15.75" hidden="false" customHeight="true" outlineLevel="0" collapsed="false">
      <c r="A196" s="100"/>
      <c r="B196" s="101"/>
      <c r="C196" s="101"/>
      <c r="D196" s="101"/>
      <c r="E196" s="101"/>
      <c r="F196" s="102"/>
      <c r="G196" s="102"/>
      <c r="H196" s="102"/>
      <c r="I196" s="102"/>
      <c r="J196" s="102"/>
      <c r="K196" s="102"/>
      <c r="L196" s="103" t="str">
        <f aca="false">IF(OR($B196="", $H196="", $I196="", $J196="", $K196=""),"",ROUND((VLOOKUP($H196,Lists!$E$2:$F$5,2,FALSE())*VLOOKUP($I196,Lists!$H$2:$I$4,2,FALSE())*VLOOKUP($J196,Lists!$K$2:$L$4,2,FALSE()))/VLOOKUP($K196,Lists!$N$2:$O$6,2,FALSE()),2))</f>
        <v/>
      </c>
      <c r="M196" s="104" t="str">
        <f aca="false">IF($B196="","",IF($AC196&lt;&gt;"",$AC196,IF($H196="Critical","P0",IF(NOT(ISNUMBER($L196)),"",IF($L196&gt;=Lists!$AM$2,"P0",IF($L196&gt;=Lists!$AM$3,"P1",IF($L196&gt;=Lists!$AM$4,"P2","P3")))))))</f>
        <v/>
      </c>
      <c r="N196" s="102"/>
      <c r="O196" s="101"/>
      <c r="P196" s="102"/>
      <c r="Q196" s="105"/>
      <c r="R196" s="106" t="str">
        <f aca="true">IF($Q196="","", TODAY()-$Q196)</f>
        <v/>
      </c>
      <c r="S196" s="102"/>
      <c r="T196" s="105"/>
      <c r="U196" s="105"/>
      <c r="V196" s="101"/>
      <c r="W196" s="101"/>
      <c r="X196" s="101"/>
      <c r="Y196" s="96"/>
      <c r="Z196" s="96"/>
      <c r="AA196" s="96"/>
      <c r="AC196" s="102"/>
      <c r="AD196" s="107" t="str">
        <f aca="false">IF($B196="","",IF(ISNUMBER($T196),$T196,IF(OR(NOT(ISNUMBER($Q196)),$S196=""),"",IFERROR(IF(ISNUMBER(INDEX(Lists!$AJ$2:$AJ$7,MATCH($S196,Lists!$AI$2:$AI$7,0))),$Q196+INDEX(Lists!$AJ$2:$AJ$7,MATCH($S196,Lists!$AI$2:$AI$7,0)),""),""))))</f>
        <v/>
      </c>
      <c r="AE196" s="104" t="str">
        <f aca="true">IF($B196="","",IF(AND(ISNUMBER($AD196),N($AD196)&lt;TODAY(),$N196&lt;&gt;"Done",$N196&lt;&gt;"Won't Fix",$N196&lt;&gt;"Duplicate"),"Yes","No"))</f>
        <v/>
      </c>
      <c r="AF196" s="101"/>
      <c r="AG196" s="108" t="str">
        <f aca="false">IF($AF196="","",IFERROR(VLOOKUP($AF196,'Application Portfolio'!$A$2:$B$1000,2,FALSE()),"Unknown App ID"))</f>
        <v/>
      </c>
      <c r="AH196" s="108" t="str">
        <f aca="false">IF(OR($B196="",$AF196=""),"",IFERROR(VLOOKUP($AF196,'Application Portfolio'!$A$2:$AB$1000,28,FALSE()),""))</f>
        <v/>
      </c>
    </row>
    <row r="197" customFormat="false" ht="15.75" hidden="false" customHeight="true" outlineLevel="0" collapsed="false">
      <c r="A197" s="100"/>
      <c r="B197" s="101"/>
      <c r="C197" s="101"/>
      <c r="D197" s="101"/>
      <c r="E197" s="101"/>
      <c r="F197" s="102"/>
      <c r="G197" s="102"/>
      <c r="H197" s="102"/>
      <c r="I197" s="102"/>
      <c r="J197" s="102"/>
      <c r="K197" s="102"/>
      <c r="L197" s="103" t="str">
        <f aca="false">IF(OR($B197="", $H197="", $I197="", $J197="", $K197=""),"",ROUND((VLOOKUP($H197,Lists!$E$2:$F$5,2,FALSE())*VLOOKUP($I197,Lists!$H$2:$I$4,2,FALSE())*VLOOKUP($J197,Lists!$K$2:$L$4,2,FALSE()))/VLOOKUP($K197,Lists!$N$2:$O$6,2,FALSE()),2))</f>
        <v/>
      </c>
      <c r="M197" s="104" t="str">
        <f aca="false">IF($B197="","",IF($AC197&lt;&gt;"",$AC197,IF($H197="Critical","P0",IF(NOT(ISNUMBER($L197)),"",IF($L197&gt;=Lists!$AM$2,"P0",IF($L197&gt;=Lists!$AM$3,"P1",IF($L197&gt;=Lists!$AM$4,"P2","P3")))))))</f>
        <v/>
      </c>
      <c r="N197" s="102"/>
      <c r="O197" s="101"/>
      <c r="P197" s="102"/>
      <c r="Q197" s="105"/>
      <c r="R197" s="106" t="str">
        <f aca="true">IF($Q197="","", TODAY()-$Q197)</f>
        <v/>
      </c>
      <c r="S197" s="102"/>
      <c r="T197" s="105"/>
      <c r="U197" s="105"/>
      <c r="V197" s="101"/>
      <c r="W197" s="101"/>
      <c r="X197" s="101"/>
      <c r="Y197" s="96"/>
      <c r="Z197" s="96"/>
      <c r="AA197" s="96"/>
      <c r="AC197" s="102"/>
      <c r="AD197" s="107" t="str">
        <f aca="false">IF($B197="","",IF(ISNUMBER($T197),$T197,IF(OR(NOT(ISNUMBER($Q197)),$S197=""),"",IFERROR(IF(ISNUMBER(INDEX(Lists!$AJ$2:$AJ$7,MATCH($S197,Lists!$AI$2:$AI$7,0))),$Q197+INDEX(Lists!$AJ$2:$AJ$7,MATCH($S197,Lists!$AI$2:$AI$7,0)),""),""))))</f>
        <v/>
      </c>
      <c r="AE197" s="104" t="str">
        <f aca="true">IF($B197="","",IF(AND(ISNUMBER($AD197),N($AD197)&lt;TODAY(),$N197&lt;&gt;"Done",$N197&lt;&gt;"Won't Fix",$N197&lt;&gt;"Duplicate"),"Yes","No"))</f>
        <v/>
      </c>
      <c r="AF197" s="101"/>
      <c r="AG197" s="108" t="str">
        <f aca="false">IF($AF197="","",IFERROR(VLOOKUP($AF197,'Application Portfolio'!$A$2:$B$1000,2,FALSE()),"Unknown App ID"))</f>
        <v/>
      </c>
      <c r="AH197" s="108" t="str">
        <f aca="false">IF(OR($B197="",$AF197=""),"",IFERROR(VLOOKUP($AF197,'Application Portfolio'!$A$2:$AB$1000,28,FALSE()),""))</f>
        <v/>
      </c>
    </row>
    <row r="198" customFormat="false" ht="15.75" hidden="false" customHeight="true" outlineLevel="0" collapsed="false">
      <c r="A198" s="100"/>
      <c r="B198" s="101"/>
      <c r="C198" s="101"/>
      <c r="D198" s="101"/>
      <c r="E198" s="101"/>
      <c r="F198" s="102"/>
      <c r="G198" s="102"/>
      <c r="H198" s="102"/>
      <c r="I198" s="102"/>
      <c r="J198" s="102"/>
      <c r="K198" s="102"/>
      <c r="L198" s="103" t="str">
        <f aca="false">IF(OR($B198="", $H198="", $I198="", $J198="", $K198=""),"",ROUND((VLOOKUP($H198,Lists!$E$2:$F$5,2,FALSE())*VLOOKUP($I198,Lists!$H$2:$I$4,2,FALSE())*VLOOKUP($J198,Lists!$K$2:$L$4,2,FALSE()))/VLOOKUP($K198,Lists!$N$2:$O$6,2,FALSE()),2))</f>
        <v/>
      </c>
      <c r="M198" s="104" t="str">
        <f aca="false">IF($B198="","",IF($AC198&lt;&gt;"",$AC198,IF($H198="Critical","P0",IF(NOT(ISNUMBER($L198)),"",IF($L198&gt;=Lists!$AM$2,"P0",IF($L198&gt;=Lists!$AM$3,"P1",IF($L198&gt;=Lists!$AM$4,"P2","P3")))))))</f>
        <v/>
      </c>
      <c r="N198" s="102"/>
      <c r="O198" s="101"/>
      <c r="P198" s="102"/>
      <c r="Q198" s="105"/>
      <c r="R198" s="106" t="str">
        <f aca="true">IF($Q198="","", TODAY()-$Q198)</f>
        <v/>
      </c>
      <c r="S198" s="102"/>
      <c r="T198" s="105"/>
      <c r="U198" s="105"/>
      <c r="V198" s="101"/>
      <c r="W198" s="101"/>
      <c r="X198" s="101"/>
      <c r="Y198" s="96"/>
      <c r="Z198" s="96"/>
      <c r="AA198" s="96"/>
      <c r="AC198" s="102"/>
      <c r="AD198" s="107" t="str">
        <f aca="false">IF($B198="","",IF(ISNUMBER($T198),$T198,IF(OR(NOT(ISNUMBER($Q198)),$S198=""),"",IFERROR(IF(ISNUMBER(INDEX(Lists!$AJ$2:$AJ$7,MATCH($S198,Lists!$AI$2:$AI$7,0))),$Q198+INDEX(Lists!$AJ$2:$AJ$7,MATCH($S198,Lists!$AI$2:$AI$7,0)),""),""))))</f>
        <v/>
      </c>
      <c r="AE198" s="104" t="str">
        <f aca="true">IF($B198="","",IF(AND(ISNUMBER($AD198),N($AD198)&lt;TODAY(),$N198&lt;&gt;"Done",$N198&lt;&gt;"Won't Fix",$N198&lt;&gt;"Duplicate"),"Yes","No"))</f>
        <v/>
      </c>
      <c r="AF198" s="101"/>
      <c r="AG198" s="108" t="str">
        <f aca="false">IF($AF198="","",IFERROR(VLOOKUP($AF198,'Application Portfolio'!$A$2:$B$1000,2,FALSE()),"Unknown App ID"))</f>
        <v/>
      </c>
      <c r="AH198" s="108" t="str">
        <f aca="false">IF(OR($B198="",$AF198=""),"",IFERROR(VLOOKUP($AF198,'Application Portfolio'!$A$2:$AB$1000,28,FALSE()),""))</f>
        <v/>
      </c>
    </row>
    <row r="199" customFormat="false" ht="15.75" hidden="false" customHeight="true" outlineLevel="0" collapsed="false">
      <c r="A199" s="100"/>
      <c r="B199" s="101"/>
      <c r="C199" s="101"/>
      <c r="D199" s="101"/>
      <c r="E199" s="101"/>
      <c r="F199" s="102"/>
      <c r="G199" s="102"/>
      <c r="H199" s="102"/>
      <c r="I199" s="102"/>
      <c r="J199" s="102"/>
      <c r="K199" s="102"/>
      <c r="L199" s="103" t="str">
        <f aca="false">IF(OR($B199="", $H199="", $I199="", $J199="", $K199=""),"",ROUND((VLOOKUP($H199,Lists!$E$2:$F$5,2,FALSE())*VLOOKUP($I199,Lists!$H$2:$I$4,2,FALSE())*VLOOKUP($J199,Lists!$K$2:$L$4,2,FALSE()))/VLOOKUP($K199,Lists!$N$2:$O$6,2,FALSE()),2))</f>
        <v/>
      </c>
      <c r="M199" s="104" t="str">
        <f aca="false">IF($B199="","",IF($AC199&lt;&gt;"",$AC199,IF($H199="Critical","P0",IF(NOT(ISNUMBER($L199)),"",IF($L199&gt;=Lists!$AM$2,"P0",IF($L199&gt;=Lists!$AM$3,"P1",IF($L199&gt;=Lists!$AM$4,"P2","P3")))))))</f>
        <v/>
      </c>
      <c r="N199" s="102"/>
      <c r="O199" s="101"/>
      <c r="P199" s="102"/>
      <c r="Q199" s="105"/>
      <c r="R199" s="106" t="str">
        <f aca="true">IF($Q199="","", TODAY()-$Q199)</f>
        <v/>
      </c>
      <c r="S199" s="102"/>
      <c r="T199" s="105"/>
      <c r="U199" s="105"/>
      <c r="V199" s="101"/>
      <c r="W199" s="101"/>
      <c r="X199" s="101"/>
      <c r="Y199" s="96"/>
      <c r="Z199" s="96"/>
      <c r="AA199" s="96"/>
      <c r="AC199" s="102"/>
      <c r="AD199" s="107" t="str">
        <f aca="false">IF($B199="","",IF(ISNUMBER($T199),$T199,IF(OR(NOT(ISNUMBER($Q199)),$S199=""),"",IFERROR(IF(ISNUMBER(INDEX(Lists!$AJ$2:$AJ$7,MATCH($S199,Lists!$AI$2:$AI$7,0))),$Q199+INDEX(Lists!$AJ$2:$AJ$7,MATCH($S199,Lists!$AI$2:$AI$7,0)),""),""))))</f>
        <v/>
      </c>
      <c r="AE199" s="104" t="str">
        <f aca="true">IF($B199="","",IF(AND(ISNUMBER($AD199),N($AD199)&lt;TODAY(),$N199&lt;&gt;"Done",$N199&lt;&gt;"Won't Fix",$N199&lt;&gt;"Duplicate"),"Yes","No"))</f>
        <v/>
      </c>
      <c r="AF199" s="101"/>
      <c r="AG199" s="108" t="str">
        <f aca="false">IF($AF199="","",IFERROR(VLOOKUP($AF199,'Application Portfolio'!$A$2:$B$1000,2,FALSE()),"Unknown App ID"))</f>
        <v/>
      </c>
      <c r="AH199" s="108" t="str">
        <f aca="false">IF(OR($B199="",$AF199=""),"",IFERROR(VLOOKUP($AF199,'Application Portfolio'!$A$2:$AB$1000,28,FALSE()),""))</f>
        <v/>
      </c>
    </row>
    <row r="200" customFormat="false" ht="15.75" hidden="false" customHeight="true" outlineLevel="0" collapsed="false">
      <c r="A200" s="100"/>
      <c r="B200" s="101"/>
      <c r="C200" s="101"/>
      <c r="D200" s="101"/>
      <c r="E200" s="101"/>
      <c r="F200" s="102"/>
      <c r="G200" s="102"/>
      <c r="H200" s="102"/>
      <c r="I200" s="102"/>
      <c r="J200" s="102"/>
      <c r="K200" s="102"/>
      <c r="L200" s="103" t="str">
        <f aca="false">IF(OR($B200="", $H200="", $I200="", $J200="", $K200=""),"",ROUND((VLOOKUP($H200,Lists!$E$2:$F$5,2,FALSE())*VLOOKUP($I200,Lists!$H$2:$I$4,2,FALSE())*VLOOKUP($J200,Lists!$K$2:$L$4,2,FALSE()))/VLOOKUP($K200,Lists!$N$2:$O$6,2,FALSE()),2))</f>
        <v/>
      </c>
      <c r="M200" s="104" t="str">
        <f aca="false">IF($B200="","",IF($AC200&lt;&gt;"",$AC200,IF($H200="Critical","P0",IF(NOT(ISNUMBER($L200)),"",IF($L200&gt;=Lists!$AM$2,"P0",IF($L200&gt;=Lists!$AM$3,"P1",IF($L200&gt;=Lists!$AM$4,"P2","P3")))))))</f>
        <v/>
      </c>
      <c r="N200" s="102"/>
      <c r="O200" s="101"/>
      <c r="P200" s="102"/>
      <c r="Q200" s="105"/>
      <c r="R200" s="106" t="str">
        <f aca="true">IF($Q200="","", TODAY()-$Q200)</f>
        <v/>
      </c>
      <c r="S200" s="102"/>
      <c r="T200" s="105"/>
      <c r="U200" s="105"/>
      <c r="V200" s="101"/>
      <c r="W200" s="101"/>
      <c r="X200" s="101"/>
      <c r="Y200" s="96"/>
      <c r="Z200" s="96"/>
      <c r="AA200" s="96"/>
      <c r="AC200" s="102"/>
      <c r="AD200" s="107" t="str">
        <f aca="false">IF($B200="","",IF(ISNUMBER($T200),$T200,IF(OR(NOT(ISNUMBER($Q200)),$S200=""),"",IFERROR(IF(ISNUMBER(INDEX(Lists!$AJ$2:$AJ$7,MATCH($S200,Lists!$AI$2:$AI$7,0))),$Q200+INDEX(Lists!$AJ$2:$AJ$7,MATCH($S200,Lists!$AI$2:$AI$7,0)),""),""))))</f>
        <v/>
      </c>
      <c r="AE200" s="104" t="str">
        <f aca="true">IF($B200="","",IF(AND(ISNUMBER($AD200),N($AD200)&lt;TODAY(),$N200&lt;&gt;"Done",$N200&lt;&gt;"Won't Fix",$N200&lt;&gt;"Duplicate"),"Yes","No"))</f>
        <v/>
      </c>
      <c r="AF200" s="101"/>
      <c r="AG200" s="108" t="str">
        <f aca="false">IF($AF200="","",IFERROR(VLOOKUP($AF200,'Application Portfolio'!$A$2:$B$1000,2,FALSE()),"Unknown App ID"))</f>
        <v/>
      </c>
      <c r="AH200" s="108" t="str">
        <f aca="false">IF(OR($B200="",$AF200=""),"",IFERROR(VLOOKUP($AF200,'Application Portfolio'!$A$2:$AB$1000,28,FALSE()),""))</f>
        <v/>
      </c>
    </row>
    <row r="201" customFormat="false" ht="15.75" hidden="false" customHeight="true" outlineLevel="0" collapsed="false">
      <c r="A201" s="100"/>
      <c r="B201" s="101"/>
      <c r="C201" s="101"/>
      <c r="D201" s="101"/>
      <c r="E201" s="101"/>
      <c r="F201" s="102"/>
      <c r="G201" s="102"/>
      <c r="H201" s="102"/>
      <c r="I201" s="102"/>
      <c r="J201" s="102"/>
      <c r="K201" s="102"/>
      <c r="L201" s="103" t="str">
        <f aca="false">IF(OR($B201="", $H201="", $I201="", $J201="", $K201=""),"",ROUND((VLOOKUP($H201,Lists!$E$2:$F$5,2,FALSE())*VLOOKUP($I201,Lists!$H$2:$I$4,2,FALSE())*VLOOKUP($J201,Lists!$K$2:$L$4,2,FALSE()))/VLOOKUP($K201,Lists!$N$2:$O$6,2,FALSE()),2))</f>
        <v/>
      </c>
      <c r="M201" s="104" t="str">
        <f aca="false">IF($B201="","",IF($AC201&lt;&gt;"",$AC201,IF($H201="Critical","P0",IF(NOT(ISNUMBER($L201)),"",IF($L201&gt;=Lists!$AM$2,"P0",IF($L201&gt;=Lists!$AM$3,"P1",IF($L201&gt;=Lists!$AM$4,"P2","P3")))))))</f>
        <v/>
      </c>
      <c r="N201" s="102"/>
      <c r="O201" s="101"/>
      <c r="P201" s="102"/>
      <c r="Q201" s="105"/>
      <c r="R201" s="106" t="str">
        <f aca="true">IF($Q201="","", TODAY()-$Q201)</f>
        <v/>
      </c>
      <c r="S201" s="102"/>
      <c r="T201" s="105"/>
      <c r="U201" s="105"/>
      <c r="V201" s="101"/>
      <c r="W201" s="101"/>
      <c r="X201" s="101"/>
      <c r="Y201" s="96"/>
      <c r="Z201" s="96"/>
      <c r="AA201" s="96"/>
      <c r="AC201" s="102"/>
      <c r="AD201" s="107" t="str">
        <f aca="false">IF($B201="","",IF(ISNUMBER($T201),$T201,IF(OR(NOT(ISNUMBER($Q201)),$S201=""),"",IFERROR(IF(ISNUMBER(INDEX(Lists!$AJ$2:$AJ$7,MATCH($S201,Lists!$AI$2:$AI$7,0))),$Q201+INDEX(Lists!$AJ$2:$AJ$7,MATCH($S201,Lists!$AI$2:$AI$7,0)),""),""))))</f>
        <v/>
      </c>
      <c r="AE201" s="104" t="str">
        <f aca="true">IF($B201="","",IF(AND(ISNUMBER($AD201),N($AD201)&lt;TODAY(),$N201&lt;&gt;"Done",$N201&lt;&gt;"Won't Fix",$N201&lt;&gt;"Duplicate"),"Yes","No"))</f>
        <v/>
      </c>
      <c r="AF201" s="101"/>
      <c r="AG201" s="108" t="str">
        <f aca="false">IF($AF201="","",IFERROR(VLOOKUP($AF201,'Application Portfolio'!$A$2:$B$1000,2,FALSE()),"Unknown App ID"))</f>
        <v/>
      </c>
      <c r="AH201" s="108" t="str">
        <f aca="false">IF(OR($B201="",$AF201=""),"",IFERROR(VLOOKUP($AF201,'Application Portfolio'!$A$2:$AB$1000,28,FALSE()),""))</f>
        <v/>
      </c>
    </row>
    <row r="202" customFormat="false" ht="15.75" hidden="false" customHeight="true" outlineLevel="0" collapsed="false">
      <c r="A202" s="100"/>
      <c r="B202" s="101"/>
      <c r="C202" s="101"/>
      <c r="D202" s="101"/>
      <c r="E202" s="101"/>
      <c r="F202" s="102"/>
      <c r="G202" s="102"/>
      <c r="H202" s="102"/>
      <c r="I202" s="102"/>
      <c r="J202" s="102"/>
      <c r="K202" s="102"/>
      <c r="L202" s="103" t="str">
        <f aca="false">IF(OR($B202="", $H202="", $I202="", $J202="", $K202=""),"",ROUND((VLOOKUP($H202,Lists!$E$2:$F$5,2,FALSE())*VLOOKUP($I202,Lists!$H$2:$I$4,2,FALSE())*VLOOKUP($J202,Lists!$K$2:$L$4,2,FALSE()))/VLOOKUP($K202,Lists!$N$2:$O$6,2,FALSE()),2))</f>
        <v/>
      </c>
      <c r="M202" s="104" t="str">
        <f aca="false">IF($B202="","",IF($AC202&lt;&gt;"",$AC202,IF($H202="Critical","P0",IF(NOT(ISNUMBER($L202)),"",IF($L202&gt;=Lists!$AM$2,"P0",IF($L202&gt;=Lists!$AM$3,"P1",IF($L202&gt;=Lists!$AM$4,"P2","P3")))))))</f>
        <v/>
      </c>
      <c r="N202" s="102"/>
      <c r="O202" s="101"/>
      <c r="P202" s="102"/>
      <c r="Q202" s="105"/>
      <c r="R202" s="106" t="str">
        <f aca="true">IF($Q202="","", TODAY()-$Q202)</f>
        <v/>
      </c>
      <c r="S202" s="102"/>
      <c r="T202" s="105"/>
      <c r="U202" s="105"/>
      <c r="V202" s="101"/>
      <c r="W202" s="101"/>
      <c r="X202" s="101"/>
      <c r="Y202" s="96"/>
      <c r="Z202" s="96"/>
      <c r="AA202" s="96"/>
      <c r="AC202" s="102"/>
      <c r="AD202" s="107" t="str">
        <f aca="false">IF($B202="","",IF(ISNUMBER($T202),$T202,IF(OR(NOT(ISNUMBER($Q202)),$S202=""),"",IFERROR(IF(ISNUMBER(INDEX(Lists!$AJ$2:$AJ$7,MATCH($S202,Lists!$AI$2:$AI$7,0))),$Q202+INDEX(Lists!$AJ$2:$AJ$7,MATCH($S202,Lists!$AI$2:$AI$7,0)),""),""))))</f>
        <v/>
      </c>
      <c r="AE202" s="104" t="str">
        <f aca="true">IF($B202="","",IF(AND(ISNUMBER($AD202),N($AD202)&lt;TODAY(),$N202&lt;&gt;"Done",$N202&lt;&gt;"Won't Fix",$N202&lt;&gt;"Duplicate"),"Yes","No"))</f>
        <v/>
      </c>
      <c r="AF202" s="101"/>
      <c r="AG202" s="108" t="str">
        <f aca="false">IF($AF202="","",IFERROR(VLOOKUP($AF202,'Application Portfolio'!$A$2:$B$1000,2,FALSE()),"Unknown App ID"))</f>
        <v/>
      </c>
      <c r="AH202" s="108" t="str">
        <f aca="false">IF(OR($B202="",$AF202=""),"",IFERROR(VLOOKUP($AF202,'Application Portfolio'!$A$2:$AB$1000,28,FALSE()),""))</f>
        <v/>
      </c>
    </row>
    <row r="203" customFormat="false" ht="15.75" hidden="false" customHeight="true" outlineLevel="0" collapsed="false">
      <c r="A203" s="100"/>
      <c r="B203" s="101"/>
      <c r="C203" s="101"/>
      <c r="D203" s="101"/>
      <c r="E203" s="101"/>
      <c r="F203" s="102"/>
      <c r="G203" s="102"/>
      <c r="H203" s="102"/>
      <c r="I203" s="102"/>
      <c r="J203" s="102"/>
      <c r="K203" s="102"/>
      <c r="L203" s="103" t="str">
        <f aca="false">IF(OR($B203="", $H203="", $I203="", $J203="", $K203=""),"",ROUND((VLOOKUP($H203,Lists!$E$2:$F$5,2,FALSE())*VLOOKUP($I203,Lists!$H$2:$I$4,2,FALSE())*VLOOKUP($J203,Lists!$K$2:$L$4,2,FALSE()))/VLOOKUP($K203,Lists!$N$2:$O$6,2,FALSE()),2))</f>
        <v/>
      </c>
      <c r="M203" s="104" t="str">
        <f aca="false">IF($B203="","",IF($AC203&lt;&gt;"",$AC203,IF($H203="Critical","P0",IF(NOT(ISNUMBER($L203)),"",IF($L203&gt;=Lists!$AM$2,"P0",IF($L203&gt;=Lists!$AM$3,"P1",IF($L203&gt;=Lists!$AM$4,"P2","P3")))))))</f>
        <v/>
      </c>
      <c r="N203" s="102"/>
      <c r="O203" s="101"/>
      <c r="P203" s="102"/>
      <c r="Q203" s="105"/>
      <c r="R203" s="106" t="str">
        <f aca="true">IF($Q203="","", TODAY()-$Q203)</f>
        <v/>
      </c>
      <c r="S203" s="102"/>
      <c r="T203" s="105"/>
      <c r="U203" s="105"/>
      <c r="V203" s="101"/>
      <c r="W203" s="101"/>
      <c r="X203" s="101"/>
      <c r="Y203" s="96"/>
      <c r="Z203" s="96"/>
      <c r="AA203" s="96"/>
      <c r="AC203" s="102"/>
      <c r="AD203" s="107" t="str">
        <f aca="false">IF($B203="","",IF(ISNUMBER($T203),$T203,IF(OR(NOT(ISNUMBER($Q203)),$S203=""),"",IFERROR(IF(ISNUMBER(INDEX(Lists!$AJ$2:$AJ$7,MATCH($S203,Lists!$AI$2:$AI$7,0))),$Q203+INDEX(Lists!$AJ$2:$AJ$7,MATCH($S203,Lists!$AI$2:$AI$7,0)),""),""))))</f>
        <v/>
      </c>
      <c r="AE203" s="104" t="str">
        <f aca="true">IF($B203="","",IF(AND(ISNUMBER($AD203),N($AD203)&lt;TODAY(),$N203&lt;&gt;"Done",$N203&lt;&gt;"Won't Fix",$N203&lt;&gt;"Duplicate"),"Yes","No"))</f>
        <v/>
      </c>
      <c r="AF203" s="101"/>
      <c r="AG203" s="108" t="str">
        <f aca="false">IF($AF203="","",IFERROR(VLOOKUP($AF203,'Application Portfolio'!$A$2:$B$1000,2,FALSE()),"Unknown App ID"))</f>
        <v/>
      </c>
      <c r="AH203" s="108" t="str">
        <f aca="false">IF(OR($B203="",$AF203=""),"",IFERROR(VLOOKUP($AF203,'Application Portfolio'!$A$2:$AB$1000,28,FALSE()),""))</f>
        <v/>
      </c>
    </row>
    <row r="204" customFormat="false" ht="15.75" hidden="false" customHeight="true" outlineLevel="0" collapsed="false">
      <c r="A204" s="100"/>
      <c r="B204" s="101"/>
      <c r="C204" s="101"/>
      <c r="D204" s="101"/>
      <c r="E204" s="101"/>
      <c r="F204" s="102"/>
      <c r="G204" s="102"/>
      <c r="H204" s="102"/>
      <c r="I204" s="102"/>
      <c r="J204" s="102"/>
      <c r="K204" s="102"/>
      <c r="L204" s="103" t="str">
        <f aca="false">IF(OR($B204="", $H204="", $I204="", $J204="", $K204=""),"",ROUND((VLOOKUP($H204,Lists!$E$2:$F$5,2,FALSE())*VLOOKUP($I204,Lists!$H$2:$I$4,2,FALSE())*VLOOKUP($J204,Lists!$K$2:$L$4,2,FALSE()))/VLOOKUP($K204,Lists!$N$2:$O$6,2,FALSE()),2))</f>
        <v/>
      </c>
      <c r="M204" s="104" t="str">
        <f aca="false">IF($B204="","",IF($AC204&lt;&gt;"",$AC204,IF($H204="Critical","P0",IF(NOT(ISNUMBER($L204)),"",IF($L204&gt;=Lists!$AM$2,"P0",IF($L204&gt;=Lists!$AM$3,"P1",IF($L204&gt;=Lists!$AM$4,"P2","P3")))))))</f>
        <v/>
      </c>
      <c r="N204" s="102"/>
      <c r="O204" s="101"/>
      <c r="P204" s="102"/>
      <c r="Q204" s="105"/>
      <c r="R204" s="106" t="str">
        <f aca="true">IF($Q204="","", TODAY()-$Q204)</f>
        <v/>
      </c>
      <c r="S204" s="102"/>
      <c r="T204" s="105"/>
      <c r="U204" s="105"/>
      <c r="V204" s="101"/>
      <c r="W204" s="101"/>
      <c r="X204" s="101"/>
      <c r="Y204" s="96"/>
      <c r="Z204" s="96"/>
      <c r="AA204" s="96"/>
      <c r="AC204" s="102"/>
      <c r="AD204" s="107" t="str">
        <f aca="false">IF($B204="","",IF(ISNUMBER($T204),$T204,IF(OR(NOT(ISNUMBER($Q204)),$S204=""),"",IFERROR(IF(ISNUMBER(INDEX(Lists!$AJ$2:$AJ$7,MATCH($S204,Lists!$AI$2:$AI$7,0))),$Q204+INDEX(Lists!$AJ$2:$AJ$7,MATCH($S204,Lists!$AI$2:$AI$7,0)),""),""))))</f>
        <v/>
      </c>
      <c r="AE204" s="104" t="str">
        <f aca="true">IF($B204="","",IF(AND(ISNUMBER($AD204),N($AD204)&lt;TODAY(),$N204&lt;&gt;"Done",$N204&lt;&gt;"Won't Fix",$N204&lt;&gt;"Duplicate"),"Yes","No"))</f>
        <v/>
      </c>
      <c r="AF204" s="101"/>
      <c r="AG204" s="108" t="str">
        <f aca="false">IF($AF204="","",IFERROR(VLOOKUP($AF204,'Application Portfolio'!$A$2:$B$1000,2,FALSE()),"Unknown App ID"))</f>
        <v/>
      </c>
      <c r="AH204" s="108" t="str">
        <f aca="false">IF(OR($B204="",$AF204=""),"",IFERROR(VLOOKUP($AF204,'Application Portfolio'!$A$2:$AB$1000,28,FALSE()),""))</f>
        <v/>
      </c>
    </row>
    <row r="205" customFormat="false" ht="15.75" hidden="false" customHeight="true" outlineLevel="0" collapsed="false">
      <c r="A205" s="100"/>
      <c r="B205" s="101"/>
      <c r="C205" s="101"/>
      <c r="D205" s="101"/>
      <c r="E205" s="101"/>
      <c r="F205" s="102"/>
      <c r="G205" s="102"/>
      <c r="H205" s="102"/>
      <c r="I205" s="102"/>
      <c r="J205" s="102"/>
      <c r="K205" s="102"/>
      <c r="L205" s="103" t="str">
        <f aca="false">IF(OR($B205="", $H205="", $I205="", $J205="", $K205=""),"",ROUND((VLOOKUP($H205,Lists!$E$2:$F$5,2,FALSE())*VLOOKUP($I205,Lists!$H$2:$I$4,2,FALSE())*VLOOKUP($J205,Lists!$K$2:$L$4,2,FALSE()))/VLOOKUP($K205,Lists!$N$2:$O$6,2,FALSE()),2))</f>
        <v/>
      </c>
      <c r="M205" s="104" t="str">
        <f aca="false">IF($B205="","",IF($AC205&lt;&gt;"",$AC205,IF($H205="Critical","P0",IF(NOT(ISNUMBER($L205)),"",IF($L205&gt;=Lists!$AM$2,"P0",IF($L205&gt;=Lists!$AM$3,"P1",IF($L205&gt;=Lists!$AM$4,"P2","P3")))))))</f>
        <v/>
      </c>
      <c r="N205" s="102"/>
      <c r="O205" s="101"/>
      <c r="P205" s="102"/>
      <c r="Q205" s="105"/>
      <c r="R205" s="106" t="str">
        <f aca="true">IF($Q205="","", TODAY()-$Q205)</f>
        <v/>
      </c>
      <c r="S205" s="102"/>
      <c r="T205" s="105"/>
      <c r="U205" s="105"/>
      <c r="V205" s="101"/>
      <c r="W205" s="101"/>
      <c r="X205" s="101"/>
      <c r="Y205" s="96"/>
      <c r="Z205" s="96"/>
      <c r="AA205" s="96"/>
      <c r="AC205" s="102"/>
      <c r="AD205" s="107" t="str">
        <f aca="false">IF($B205="","",IF(ISNUMBER($T205),$T205,IF(OR(NOT(ISNUMBER($Q205)),$S205=""),"",IFERROR(IF(ISNUMBER(INDEX(Lists!$AJ$2:$AJ$7,MATCH($S205,Lists!$AI$2:$AI$7,0))),$Q205+INDEX(Lists!$AJ$2:$AJ$7,MATCH($S205,Lists!$AI$2:$AI$7,0)),""),""))))</f>
        <v/>
      </c>
      <c r="AE205" s="104" t="str">
        <f aca="true">IF($B205="","",IF(AND(ISNUMBER($AD205),N($AD205)&lt;TODAY(),$N205&lt;&gt;"Done",$N205&lt;&gt;"Won't Fix",$N205&lt;&gt;"Duplicate"),"Yes","No"))</f>
        <v/>
      </c>
      <c r="AF205" s="101"/>
      <c r="AG205" s="108" t="str">
        <f aca="false">IF($AF205="","",IFERROR(VLOOKUP($AF205,'Application Portfolio'!$A$2:$B$1000,2,FALSE()),"Unknown App ID"))</f>
        <v/>
      </c>
      <c r="AH205" s="108" t="str">
        <f aca="false">IF(OR($B205="",$AF205=""),"",IFERROR(VLOOKUP($AF205,'Application Portfolio'!$A$2:$AB$1000,28,FALSE()),""))</f>
        <v/>
      </c>
    </row>
    <row r="206" customFormat="false" ht="15.75" hidden="false" customHeight="true" outlineLevel="0" collapsed="false">
      <c r="A206" s="100"/>
      <c r="B206" s="101"/>
      <c r="C206" s="101"/>
      <c r="D206" s="101"/>
      <c r="E206" s="101"/>
      <c r="F206" s="102"/>
      <c r="G206" s="102"/>
      <c r="H206" s="102"/>
      <c r="I206" s="102"/>
      <c r="J206" s="102"/>
      <c r="K206" s="102"/>
      <c r="L206" s="103" t="str">
        <f aca="false">IF(OR($B206="", $H206="", $I206="", $J206="", $K206=""),"",ROUND((VLOOKUP($H206,Lists!$E$2:$F$5,2,FALSE())*VLOOKUP($I206,Lists!$H$2:$I$4,2,FALSE())*VLOOKUP($J206,Lists!$K$2:$L$4,2,FALSE()))/VLOOKUP($K206,Lists!$N$2:$O$6,2,FALSE()),2))</f>
        <v/>
      </c>
      <c r="M206" s="104" t="str">
        <f aca="false">IF($B206="","",IF($AC206&lt;&gt;"",$AC206,IF($H206="Critical","P0",IF(NOT(ISNUMBER($L206)),"",IF($L206&gt;=Lists!$AM$2,"P0",IF($L206&gt;=Lists!$AM$3,"P1",IF($L206&gt;=Lists!$AM$4,"P2","P3")))))))</f>
        <v/>
      </c>
      <c r="N206" s="102"/>
      <c r="O206" s="101"/>
      <c r="P206" s="102"/>
      <c r="Q206" s="105"/>
      <c r="R206" s="106" t="str">
        <f aca="true">IF($Q206="","", TODAY()-$Q206)</f>
        <v/>
      </c>
      <c r="S206" s="102"/>
      <c r="T206" s="105"/>
      <c r="U206" s="105"/>
      <c r="V206" s="101"/>
      <c r="W206" s="101"/>
      <c r="X206" s="101"/>
      <c r="Y206" s="96"/>
      <c r="Z206" s="96"/>
      <c r="AA206" s="96"/>
      <c r="AC206" s="102"/>
      <c r="AD206" s="107" t="str">
        <f aca="false">IF($B206="","",IF(ISNUMBER($T206),$T206,IF(OR(NOT(ISNUMBER($Q206)),$S206=""),"",IFERROR(IF(ISNUMBER(INDEX(Lists!$AJ$2:$AJ$7,MATCH($S206,Lists!$AI$2:$AI$7,0))),$Q206+INDEX(Lists!$AJ$2:$AJ$7,MATCH($S206,Lists!$AI$2:$AI$7,0)),""),""))))</f>
        <v/>
      </c>
      <c r="AE206" s="104" t="str">
        <f aca="true">IF($B206="","",IF(AND(ISNUMBER($AD206),N($AD206)&lt;TODAY(),$N206&lt;&gt;"Done",$N206&lt;&gt;"Won't Fix",$N206&lt;&gt;"Duplicate"),"Yes","No"))</f>
        <v/>
      </c>
      <c r="AF206" s="101"/>
      <c r="AG206" s="108" t="str">
        <f aca="false">IF($AF206="","",IFERROR(VLOOKUP($AF206,'Application Portfolio'!$A$2:$B$1000,2,FALSE()),"Unknown App ID"))</f>
        <v/>
      </c>
      <c r="AH206" s="108" t="str">
        <f aca="false">IF(OR($B206="",$AF206=""),"",IFERROR(VLOOKUP($AF206,'Application Portfolio'!$A$2:$AB$1000,28,FALSE()),""))</f>
        <v/>
      </c>
    </row>
    <row r="207" customFormat="false" ht="15.75" hidden="false" customHeight="true" outlineLevel="0" collapsed="false">
      <c r="A207" s="100"/>
      <c r="B207" s="101"/>
      <c r="C207" s="101"/>
      <c r="D207" s="101"/>
      <c r="E207" s="101"/>
      <c r="F207" s="102"/>
      <c r="G207" s="102"/>
      <c r="H207" s="102"/>
      <c r="I207" s="102"/>
      <c r="J207" s="102"/>
      <c r="K207" s="102"/>
      <c r="L207" s="103" t="str">
        <f aca="false">IF(OR($B207="", $H207="", $I207="", $J207="", $K207=""),"",ROUND((VLOOKUP($H207,Lists!$E$2:$F$5,2,FALSE())*VLOOKUP($I207,Lists!$H$2:$I$4,2,FALSE())*VLOOKUP($J207,Lists!$K$2:$L$4,2,FALSE()))/VLOOKUP($K207,Lists!$N$2:$O$6,2,FALSE()),2))</f>
        <v/>
      </c>
      <c r="M207" s="104" t="str">
        <f aca="false">IF($B207="","",IF($AC207&lt;&gt;"",$AC207,IF($H207="Critical","P0",IF(NOT(ISNUMBER($L207)),"",IF($L207&gt;=Lists!$AM$2,"P0",IF($L207&gt;=Lists!$AM$3,"P1",IF($L207&gt;=Lists!$AM$4,"P2","P3")))))))</f>
        <v/>
      </c>
      <c r="N207" s="102"/>
      <c r="O207" s="101"/>
      <c r="P207" s="102"/>
      <c r="Q207" s="105"/>
      <c r="R207" s="106" t="str">
        <f aca="true">IF($Q207="","", TODAY()-$Q207)</f>
        <v/>
      </c>
      <c r="S207" s="102"/>
      <c r="T207" s="105"/>
      <c r="U207" s="105"/>
      <c r="V207" s="101"/>
      <c r="W207" s="101"/>
      <c r="X207" s="101"/>
      <c r="Y207" s="96"/>
      <c r="Z207" s="96"/>
      <c r="AA207" s="96"/>
      <c r="AC207" s="102"/>
      <c r="AD207" s="107" t="str">
        <f aca="false">IF($B207="","",IF(ISNUMBER($T207),$T207,IF(OR(NOT(ISNUMBER($Q207)),$S207=""),"",IFERROR(IF(ISNUMBER(INDEX(Lists!$AJ$2:$AJ$7,MATCH($S207,Lists!$AI$2:$AI$7,0))),$Q207+INDEX(Lists!$AJ$2:$AJ$7,MATCH($S207,Lists!$AI$2:$AI$7,0)),""),""))))</f>
        <v/>
      </c>
      <c r="AE207" s="104" t="str">
        <f aca="true">IF($B207="","",IF(AND(ISNUMBER($AD207),N($AD207)&lt;TODAY(),$N207&lt;&gt;"Done",$N207&lt;&gt;"Won't Fix",$N207&lt;&gt;"Duplicate"),"Yes","No"))</f>
        <v/>
      </c>
      <c r="AF207" s="101"/>
      <c r="AG207" s="108" t="str">
        <f aca="false">IF($AF207="","",IFERROR(VLOOKUP($AF207,'Application Portfolio'!$A$2:$B$1000,2,FALSE()),"Unknown App ID"))</f>
        <v/>
      </c>
      <c r="AH207" s="108" t="str">
        <f aca="false">IF(OR($B207="",$AF207=""),"",IFERROR(VLOOKUP($AF207,'Application Portfolio'!$A$2:$AB$1000,28,FALSE()),""))</f>
        <v/>
      </c>
    </row>
    <row r="208" customFormat="false" ht="15.75" hidden="false" customHeight="true" outlineLevel="0" collapsed="false">
      <c r="A208" s="100"/>
      <c r="B208" s="101"/>
      <c r="C208" s="101"/>
      <c r="D208" s="101"/>
      <c r="E208" s="101"/>
      <c r="F208" s="102"/>
      <c r="G208" s="102"/>
      <c r="H208" s="102"/>
      <c r="I208" s="102"/>
      <c r="J208" s="102"/>
      <c r="K208" s="102"/>
      <c r="L208" s="103" t="str">
        <f aca="false">IF(OR($B208="", $H208="", $I208="", $J208="", $K208=""),"",ROUND((VLOOKUP($H208,Lists!$E$2:$F$5,2,FALSE())*VLOOKUP($I208,Lists!$H$2:$I$4,2,FALSE())*VLOOKUP($J208,Lists!$K$2:$L$4,2,FALSE()))/VLOOKUP($K208,Lists!$N$2:$O$6,2,FALSE()),2))</f>
        <v/>
      </c>
      <c r="M208" s="104" t="str">
        <f aca="false">IF($B208="","",IF($AC208&lt;&gt;"",$AC208,IF($H208="Critical","P0",IF(NOT(ISNUMBER($L208)),"",IF($L208&gt;=Lists!$AM$2,"P0",IF($L208&gt;=Lists!$AM$3,"P1",IF($L208&gt;=Lists!$AM$4,"P2","P3")))))))</f>
        <v/>
      </c>
      <c r="N208" s="102"/>
      <c r="O208" s="101"/>
      <c r="P208" s="102"/>
      <c r="Q208" s="105"/>
      <c r="R208" s="106" t="str">
        <f aca="true">IF($Q208="","", TODAY()-$Q208)</f>
        <v/>
      </c>
      <c r="S208" s="102"/>
      <c r="T208" s="105"/>
      <c r="U208" s="105"/>
      <c r="V208" s="101"/>
      <c r="W208" s="101"/>
      <c r="X208" s="101"/>
      <c r="Y208" s="96"/>
      <c r="Z208" s="96"/>
      <c r="AA208" s="96"/>
      <c r="AC208" s="102"/>
      <c r="AD208" s="107" t="str">
        <f aca="false">IF($B208="","",IF(ISNUMBER($T208),$T208,IF(OR(NOT(ISNUMBER($Q208)),$S208=""),"",IFERROR(IF(ISNUMBER(INDEX(Lists!$AJ$2:$AJ$7,MATCH($S208,Lists!$AI$2:$AI$7,0))),$Q208+INDEX(Lists!$AJ$2:$AJ$7,MATCH($S208,Lists!$AI$2:$AI$7,0)),""),""))))</f>
        <v/>
      </c>
      <c r="AE208" s="104" t="str">
        <f aca="true">IF($B208="","",IF(AND(ISNUMBER($AD208),N($AD208)&lt;TODAY(),$N208&lt;&gt;"Done",$N208&lt;&gt;"Won't Fix",$N208&lt;&gt;"Duplicate"),"Yes","No"))</f>
        <v/>
      </c>
      <c r="AF208" s="101"/>
      <c r="AG208" s="108" t="str">
        <f aca="false">IF($AF208="","",IFERROR(VLOOKUP($AF208,'Application Portfolio'!$A$2:$B$1000,2,FALSE()),"Unknown App ID"))</f>
        <v/>
      </c>
      <c r="AH208" s="108" t="str">
        <f aca="false">IF(OR($B208="",$AF208=""),"",IFERROR(VLOOKUP($AF208,'Application Portfolio'!$A$2:$AB$1000,28,FALSE()),""))</f>
        <v/>
      </c>
    </row>
    <row r="209" customFormat="false" ht="15.75" hidden="false" customHeight="true" outlineLevel="0" collapsed="false">
      <c r="A209" s="100"/>
      <c r="B209" s="101"/>
      <c r="C209" s="101"/>
      <c r="D209" s="101"/>
      <c r="E209" s="101"/>
      <c r="F209" s="102"/>
      <c r="G209" s="102"/>
      <c r="H209" s="102"/>
      <c r="I209" s="102"/>
      <c r="J209" s="102"/>
      <c r="K209" s="102"/>
      <c r="L209" s="103" t="str">
        <f aca="false">IF(OR($B209="", $H209="", $I209="", $J209="", $K209=""),"",ROUND((VLOOKUP($H209,Lists!$E$2:$F$5,2,FALSE())*VLOOKUP($I209,Lists!$H$2:$I$4,2,FALSE())*VLOOKUP($J209,Lists!$K$2:$L$4,2,FALSE()))/VLOOKUP($K209,Lists!$N$2:$O$6,2,FALSE()),2))</f>
        <v/>
      </c>
      <c r="M209" s="104" t="str">
        <f aca="false">IF($B209="","",IF($AC209&lt;&gt;"",$AC209,IF($H209="Critical","P0",IF(NOT(ISNUMBER($L209)),"",IF($L209&gt;=Lists!$AM$2,"P0",IF($L209&gt;=Lists!$AM$3,"P1",IF($L209&gt;=Lists!$AM$4,"P2","P3")))))))</f>
        <v/>
      </c>
      <c r="N209" s="102"/>
      <c r="O209" s="101"/>
      <c r="P209" s="102"/>
      <c r="Q209" s="105"/>
      <c r="R209" s="106" t="str">
        <f aca="true">IF($Q209="","", TODAY()-$Q209)</f>
        <v/>
      </c>
      <c r="S209" s="102"/>
      <c r="T209" s="105"/>
      <c r="U209" s="105"/>
      <c r="V209" s="101"/>
      <c r="W209" s="101"/>
      <c r="X209" s="101"/>
      <c r="Y209" s="96"/>
      <c r="Z209" s="96"/>
      <c r="AA209" s="96"/>
      <c r="AC209" s="102"/>
      <c r="AD209" s="107" t="str">
        <f aca="false">IF($B209="","",IF(ISNUMBER($T209),$T209,IF(OR(NOT(ISNUMBER($Q209)),$S209=""),"",IFERROR(IF(ISNUMBER(INDEX(Lists!$AJ$2:$AJ$7,MATCH($S209,Lists!$AI$2:$AI$7,0))),$Q209+INDEX(Lists!$AJ$2:$AJ$7,MATCH($S209,Lists!$AI$2:$AI$7,0)),""),""))))</f>
        <v/>
      </c>
      <c r="AE209" s="104" t="str">
        <f aca="true">IF($B209="","",IF(AND(ISNUMBER($AD209),N($AD209)&lt;TODAY(),$N209&lt;&gt;"Done",$N209&lt;&gt;"Won't Fix",$N209&lt;&gt;"Duplicate"),"Yes","No"))</f>
        <v/>
      </c>
      <c r="AF209" s="101"/>
      <c r="AG209" s="108" t="str">
        <f aca="false">IF($AF209="","",IFERROR(VLOOKUP($AF209,'Application Portfolio'!$A$2:$B$1000,2,FALSE()),"Unknown App ID"))</f>
        <v/>
      </c>
      <c r="AH209" s="108" t="str">
        <f aca="false">IF(OR($B209="",$AF209=""),"",IFERROR(VLOOKUP($AF209,'Application Portfolio'!$A$2:$AB$1000,28,FALSE()),""))</f>
        <v/>
      </c>
    </row>
    <row r="210" customFormat="false" ht="15.75" hidden="false" customHeight="true" outlineLevel="0" collapsed="false">
      <c r="A210" s="100"/>
      <c r="B210" s="101"/>
      <c r="C210" s="101"/>
      <c r="D210" s="101"/>
      <c r="E210" s="101"/>
      <c r="F210" s="102"/>
      <c r="G210" s="102"/>
      <c r="H210" s="102"/>
      <c r="I210" s="102"/>
      <c r="J210" s="102"/>
      <c r="K210" s="102"/>
      <c r="L210" s="103" t="str">
        <f aca="false">IF(OR($B210="", $H210="", $I210="", $J210="", $K210=""),"",ROUND((VLOOKUP($H210,Lists!$E$2:$F$5,2,FALSE())*VLOOKUP($I210,Lists!$H$2:$I$4,2,FALSE())*VLOOKUP($J210,Lists!$K$2:$L$4,2,FALSE()))/VLOOKUP($K210,Lists!$N$2:$O$6,2,FALSE()),2))</f>
        <v/>
      </c>
      <c r="M210" s="104" t="str">
        <f aca="false">IF($B210="","",IF($AC210&lt;&gt;"",$AC210,IF($H210="Critical","P0",IF(NOT(ISNUMBER($L210)),"",IF($L210&gt;=Lists!$AM$2,"P0",IF($L210&gt;=Lists!$AM$3,"P1",IF($L210&gt;=Lists!$AM$4,"P2","P3")))))))</f>
        <v/>
      </c>
      <c r="N210" s="102"/>
      <c r="O210" s="101"/>
      <c r="P210" s="102"/>
      <c r="Q210" s="105"/>
      <c r="R210" s="106" t="str">
        <f aca="true">IF($Q210="","", TODAY()-$Q210)</f>
        <v/>
      </c>
      <c r="S210" s="102"/>
      <c r="T210" s="105"/>
      <c r="U210" s="105"/>
      <c r="V210" s="101"/>
      <c r="W210" s="101"/>
      <c r="X210" s="101"/>
      <c r="Y210" s="96"/>
      <c r="Z210" s="96"/>
      <c r="AA210" s="96"/>
      <c r="AC210" s="102"/>
      <c r="AD210" s="107" t="str">
        <f aca="false">IF($B210="","",IF(ISNUMBER($T210),$T210,IF(OR(NOT(ISNUMBER($Q210)),$S210=""),"",IFERROR(IF(ISNUMBER(INDEX(Lists!$AJ$2:$AJ$7,MATCH($S210,Lists!$AI$2:$AI$7,0))),$Q210+INDEX(Lists!$AJ$2:$AJ$7,MATCH($S210,Lists!$AI$2:$AI$7,0)),""),""))))</f>
        <v/>
      </c>
      <c r="AE210" s="104" t="str">
        <f aca="true">IF($B210="","",IF(AND(ISNUMBER($AD210),N($AD210)&lt;TODAY(),$N210&lt;&gt;"Done",$N210&lt;&gt;"Won't Fix",$N210&lt;&gt;"Duplicate"),"Yes","No"))</f>
        <v/>
      </c>
      <c r="AF210" s="101"/>
      <c r="AG210" s="108" t="str">
        <f aca="false">IF($AF210="","",IFERROR(VLOOKUP($AF210,'Application Portfolio'!$A$2:$B$1000,2,FALSE()),"Unknown App ID"))</f>
        <v/>
      </c>
      <c r="AH210" s="108" t="str">
        <f aca="false">IF(OR($B210="",$AF210=""),"",IFERROR(VLOOKUP($AF210,'Application Portfolio'!$A$2:$AB$1000,28,FALSE()),""))</f>
        <v/>
      </c>
    </row>
    <row r="211" customFormat="false" ht="15.75" hidden="false" customHeight="true" outlineLevel="0" collapsed="false">
      <c r="A211" s="100"/>
      <c r="B211" s="101"/>
      <c r="C211" s="101"/>
      <c r="D211" s="101"/>
      <c r="E211" s="101"/>
      <c r="F211" s="102"/>
      <c r="G211" s="102"/>
      <c r="H211" s="102"/>
      <c r="I211" s="102"/>
      <c r="J211" s="102"/>
      <c r="K211" s="102"/>
      <c r="L211" s="103" t="str">
        <f aca="false">IF(OR($B211="", $H211="", $I211="", $J211="", $K211=""),"",ROUND((VLOOKUP($H211,Lists!$E$2:$F$5,2,FALSE())*VLOOKUP($I211,Lists!$H$2:$I$4,2,FALSE())*VLOOKUP($J211,Lists!$K$2:$L$4,2,FALSE()))/VLOOKUP($K211,Lists!$N$2:$O$6,2,FALSE()),2))</f>
        <v/>
      </c>
      <c r="M211" s="104" t="str">
        <f aca="false">IF($B211="","",IF($AC211&lt;&gt;"",$AC211,IF($H211="Critical","P0",IF(NOT(ISNUMBER($L211)),"",IF($L211&gt;=Lists!$AM$2,"P0",IF($L211&gt;=Lists!$AM$3,"P1",IF($L211&gt;=Lists!$AM$4,"P2","P3")))))))</f>
        <v/>
      </c>
      <c r="N211" s="102"/>
      <c r="O211" s="101"/>
      <c r="P211" s="102"/>
      <c r="Q211" s="105"/>
      <c r="R211" s="106" t="str">
        <f aca="true">IF($Q211="","", TODAY()-$Q211)</f>
        <v/>
      </c>
      <c r="S211" s="102"/>
      <c r="T211" s="105"/>
      <c r="U211" s="105"/>
      <c r="V211" s="101"/>
      <c r="W211" s="101"/>
      <c r="X211" s="101"/>
      <c r="Y211" s="96"/>
      <c r="Z211" s="96"/>
      <c r="AA211" s="96"/>
      <c r="AC211" s="102"/>
      <c r="AD211" s="107" t="str">
        <f aca="false">IF($B211="","",IF(ISNUMBER($T211),$T211,IF(OR(NOT(ISNUMBER($Q211)),$S211=""),"",IFERROR(IF(ISNUMBER(INDEX(Lists!$AJ$2:$AJ$7,MATCH($S211,Lists!$AI$2:$AI$7,0))),$Q211+INDEX(Lists!$AJ$2:$AJ$7,MATCH($S211,Lists!$AI$2:$AI$7,0)),""),""))))</f>
        <v/>
      </c>
      <c r="AE211" s="104" t="str">
        <f aca="true">IF($B211="","",IF(AND(ISNUMBER($AD211),N($AD211)&lt;TODAY(),$N211&lt;&gt;"Done",$N211&lt;&gt;"Won't Fix",$N211&lt;&gt;"Duplicate"),"Yes","No"))</f>
        <v/>
      </c>
      <c r="AF211" s="101"/>
      <c r="AG211" s="108" t="str">
        <f aca="false">IF($AF211="","",IFERROR(VLOOKUP($AF211,'Application Portfolio'!$A$2:$B$1000,2,FALSE()),"Unknown App ID"))</f>
        <v/>
      </c>
      <c r="AH211" s="108" t="str">
        <f aca="false">IF(OR($B211="",$AF211=""),"",IFERROR(VLOOKUP($AF211,'Application Portfolio'!$A$2:$AB$1000,28,FALSE()),""))</f>
        <v/>
      </c>
    </row>
    <row r="212" customFormat="false" ht="15.75" hidden="false" customHeight="true" outlineLevel="0" collapsed="false">
      <c r="A212" s="100"/>
      <c r="B212" s="101"/>
      <c r="C212" s="101"/>
      <c r="D212" s="101"/>
      <c r="E212" s="101"/>
      <c r="F212" s="102"/>
      <c r="G212" s="102"/>
      <c r="H212" s="102"/>
      <c r="I212" s="102"/>
      <c r="J212" s="102"/>
      <c r="K212" s="102"/>
      <c r="L212" s="103" t="str">
        <f aca="false">IF(OR($B212="", $H212="", $I212="", $J212="", $K212=""),"",ROUND((VLOOKUP($H212,Lists!$E$2:$F$5,2,FALSE())*VLOOKUP($I212,Lists!$H$2:$I$4,2,FALSE())*VLOOKUP($J212,Lists!$K$2:$L$4,2,FALSE()))/VLOOKUP($K212,Lists!$N$2:$O$6,2,FALSE()),2))</f>
        <v/>
      </c>
      <c r="M212" s="104" t="str">
        <f aca="false">IF($B212="","",IF($AC212&lt;&gt;"",$AC212,IF($H212="Critical","P0",IF(NOT(ISNUMBER($L212)),"",IF($L212&gt;=Lists!$AM$2,"P0",IF($L212&gt;=Lists!$AM$3,"P1",IF($L212&gt;=Lists!$AM$4,"P2","P3")))))))</f>
        <v/>
      </c>
      <c r="N212" s="102"/>
      <c r="O212" s="101"/>
      <c r="P212" s="102"/>
      <c r="Q212" s="105"/>
      <c r="R212" s="106" t="str">
        <f aca="true">IF($Q212="","", TODAY()-$Q212)</f>
        <v/>
      </c>
      <c r="S212" s="102"/>
      <c r="T212" s="105"/>
      <c r="U212" s="105"/>
      <c r="V212" s="101"/>
      <c r="W212" s="101"/>
      <c r="X212" s="101"/>
      <c r="Y212" s="96"/>
      <c r="Z212" s="96"/>
      <c r="AA212" s="96"/>
      <c r="AC212" s="102"/>
      <c r="AD212" s="107" t="str">
        <f aca="false">IF($B212="","",IF(ISNUMBER($T212),$T212,IF(OR(NOT(ISNUMBER($Q212)),$S212=""),"",IFERROR(IF(ISNUMBER(INDEX(Lists!$AJ$2:$AJ$7,MATCH($S212,Lists!$AI$2:$AI$7,0))),$Q212+INDEX(Lists!$AJ$2:$AJ$7,MATCH($S212,Lists!$AI$2:$AI$7,0)),""),""))))</f>
        <v/>
      </c>
      <c r="AE212" s="104" t="str">
        <f aca="true">IF($B212="","",IF(AND(ISNUMBER($AD212),N($AD212)&lt;TODAY(),$N212&lt;&gt;"Done",$N212&lt;&gt;"Won't Fix",$N212&lt;&gt;"Duplicate"),"Yes","No"))</f>
        <v/>
      </c>
      <c r="AF212" s="101"/>
      <c r="AG212" s="108" t="str">
        <f aca="false">IF($AF212="","",IFERROR(VLOOKUP($AF212,'Application Portfolio'!$A$2:$B$1000,2,FALSE()),"Unknown App ID"))</f>
        <v/>
      </c>
      <c r="AH212" s="108" t="str">
        <f aca="false">IF(OR($B212="",$AF212=""),"",IFERROR(VLOOKUP($AF212,'Application Portfolio'!$A$2:$AB$1000,28,FALSE()),""))</f>
        <v/>
      </c>
    </row>
    <row r="213" customFormat="false" ht="15.75" hidden="false" customHeight="true" outlineLevel="0" collapsed="false">
      <c r="A213" s="100"/>
      <c r="B213" s="101"/>
      <c r="C213" s="101"/>
      <c r="D213" s="101"/>
      <c r="E213" s="101"/>
      <c r="F213" s="102"/>
      <c r="G213" s="102"/>
      <c r="H213" s="102"/>
      <c r="I213" s="102"/>
      <c r="J213" s="102"/>
      <c r="K213" s="102"/>
      <c r="L213" s="103" t="str">
        <f aca="false">IF(OR($B213="", $H213="", $I213="", $J213="", $K213=""),"",ROUND((VLOOKUP($H213,Lists!$E$2:$F$5,2,FALSE())*VLOOKUP($I213,Lists!$H$2:$I$4,2,FALSE())*VLOOKUP($J213,Lists!$K$2:$L$4,2,FALSE()))/VLOOKUP($K213,Lists!$N$2:$O$6,2,FALSE()),2))</f>
        <v/>
      </c>
      <c r="M213" s="104" t="str">
        <f aca="false">IF($B213="","",IF($AC213&lt;&gt;"",$AC213,IF($H213="Critical","P0",IF(NOT(ISNUMBER($L213)),"",IF($L213&gt;=Lists!$AM$2,"P0",IF($L213&gt;=Lists!$AM$3,"P1",IF($L213&gt;=Lists!$AM$4,"P2","P3")))))))</f>
        <v/>
      </c>
      <c r="N213" s="102"/>
      <c r="O213" s="101"/>
      <c r="P213" s="102"/>
      <c r="Q213" s="105"/>
      <c r="R213" s="106" t="str">
        <f aca="true">IF($Q213="","", TODAY()-$Q213)</f>
        <v/>
      </c>
      <c r="S213" s="102"/>
      <c r="T213" s="105"/>
      <c r="U213" s="105"/>
      <c r="V213" s="101"/>
      <c r="W213" s="101"/>
      <c r="X213" s="101"/>
      <c r="Y213" s="96"/>
      <c r="Z213" s="96"/>
      <c r="AA213" s="96"/>
      <c r="AC213" s="102"/>
      <c r="AD213" s="107" t="str">
        <f aca="false">IF($B213="","",IF(ISNUMBER($T213),$T213,IF(OR(NOT(ISNUMBER($Q213)),$S213=""),"",IFERROR(IF(ISNUMBER(INDEX(Lists!$AJ$2:$AJ$7,MATCH($S213,Lists!$AI$2:$AI$7,0))),$Q213+INDEX(Lists!$AJ$2:$AJ$7,MATCH($S213,Lists!$AI$2:$AI$7,0)),""),""))))</f>
        <v/>
      </c>
      <c r="AE213" s="104" t="str">
        <f aca="true">IF($B213="","",IF(AND(ISNUMBER($AD213),N($AD213)&lt;TODAY(),$N213&lt;&gt;"Done",$N213&lt;&gt;"Won't Fix",$N213&lt;&gt;"Duplicate"),"Yes","No"))</f>
        <v/>
      </c>
      <c r="AF213" s="101"/>
      <c r="AG213" s="108" t="str">
        <f aca="false">IF($AF213="","",IFERROR(VLOOKUP($AF213,'Application Portfolio'!$A$2:$B$1000,2,FALSE()),"Unknown App ID"))</f>
        <v/>
      </c>
      <c r="AH213" s="108" t="str">
        <f aca="false">IF(OR($B213="",$AF213=""),"",IFERROR(VLOOKUP($AF213,'Application Portfolio'!$A$2:$AB$1000,28,FALSE()),""))</f>
        <v/>
      </c>
    </row>
    <row r="214" customFormat="false" ht="15.75" hidden="false" customHeight="true" outlineLevel="0" collapsed="false">
      <c r="A214" s="100"/>
      <c r="B214" s="101"/>
      <c r="C214" s="101"/>
      <c r="D214" s="101"/>
      <c r="E214" s="101"/>
      <c r="F214" s="102"/>
      <c r="G214" s="102"/>
      <c r="H214" s="102"/>
      <c r="I214" s="102"/>
      <c r="J214" s="102"/>
      <c r="K214" s="102"/>
      <c r="L214" s="103" t="str">
        <f aca="false">IF(OR($B214="", $H214="", $I214="", $J214="", $K214=""),"",ROUND((VLOOKUP($H214,Lists!$E$2:$F$5,2,FALSE())*VLOOKUP($I214,Lists!$H$2:$I$4,2,FALSE())*VLOOKUP($J214,Lists!$K$2:$L$4,2,FALSE()))/VLOOKUP($K214,Lists!$N$2:$O$6,2,FALSE()),2))</f>
        <v/>
      </c>
      <c r="M214" s="104" t="str">
        <f aca="false">IF($B214="","",IF($AC214&lt;&gt;"",$AC214,IF($H214="Critical","P0",IF(NOT(ISNUMBER($L214)),"",IF($L214&gt;=Lists!$AM$2,"P0",IF($L214&gt;=Lists!$AM$3,"P1",IF($L214&gt;=Lists!$AM$4,"P2","P3")))))))</f>
        <v/>
      </c>
      <c r="N214" s="102"/>
      <c r="O214" s="101"/>
      <c r="P214" s="102"/>
      <c r="Q214" s="105"/>
      <c r="R214" s="106" t="str">
        <f aca="true">IF($Q214="","", TODAY()-$Q214)</f>
        <v/>
      </c>
      <c r="S214" s="102"/>
      <c r="T214" s="105"/>
      <c r="U214" s="105"/>
      <c r="V214" s="101"/>
      <c r="W214" s="101"/>
      <c r="X214" s="101"/>
      <c r="Y214" s="96"/>
      <c r="Z214" s="96"/>
      <c r="AA214" s="96"/>
      <c r="AC214" s="102"/>
      <c r="AD214" s="107" t="str">
        <f aca="false">IF($B214="","",IF(ISNUMBER($T214),$T214,IF(OR(NOT(ISNUMBER($Q214)),$S214=""),"",IFERROR(IF(ISNUMBER(INDEX(Lists!$AJ$2:$AJ$7,MATCH($S214,Lists!$AI$2:$AI$7,0))),$Q214+INDEX(Lists!$AJ$2:$AJ$7,MATCH($S214,Lists!$AI$2:$AI$7,0)),""),""))))</f>
        <v/>
      </c>
      <c r="AE214" s="104" t="str">
        <f aca="true">IF($B214="","",IF(AND(ISNUMBER($AD214),N($AD214)&lt;TODAY(),$N214&lt;&gt;"Done",$N214&lt;&gt;"Won't Fix",$N214&lt;&gt;"Duplicate"),"Yes","No"))</f>
        <v/>
      </c>
      <c r="AF214" s="101"/>
      <c r="AG214" s="108" t="str">
        <f aca="false">IF($AF214="","",IFERROR(VLOOKUP($AF214,'Application Portfolio'!$A$2:$B$1000,2,FALSE()),"Unknown App ID"))</f>
        <v/>
      </c>
      <c r="AH214" s="108" t="str">
        <f aca="false">IF(OR($B214="",$AF214=""),"",IFERROR(VLOOKUP($AF214,'Application Portfolio'!$A$2:$AB$1000,28,FALSE()),""))</f>
        <v/>
      </c>
    </row>
    <row r="215" customFormat="false" ht="15.75" hidden="false" customHeight="true" outlineLevel="0" collapsed="false">
      <c r="A215" s="100"/>
      <c r="B215" s="101"/>
      <c r="C215" s="101"/>
      <c r="D215" s="101"/>
      <c r="E215" s="101"/>
      <c r="F215" s="102"/>
      <c r="G215" s="102"/>
      <c r="H215" s="102"/>
      <c r="I215" s="102"/>
      <c r="J215" s="102"/>
      <c r="K215" s="102"/>
      <c r="L215" s="103" t="str">
        <f aca="false">IF(OR($B215="", $H215="", $I215="", $J215="", $K215=""),"",ROUND((VLOOKUP($H215,Lists!$E$2:$F$5,2,FALSE())*VLOOKUP($I215,Lists!$H$2:$I$4,2,FALSE())*VLOOKUP($J215,Lists!$K$2:$L$4,2,FALSE()))/VLOOKUP($K215,Lists!$N$2:$O$6,2,FALSE()),2))</f>
        <v/>
      </c>
      <c r="M215" s="104" t="str">
        <f aca="false">IF($B215="","",IF($AC215&lt;&gt;"",$AC215,IF($H215="Critical","P0",IF(NOT(ISNUMBER($L215)),"",IF($L215&gt;=Lists!$AM$2,"P0",IF($L215&gt;=Lists!$AM$3,"P1",IF($L215&gt;=Lists!$AM$4,"P2","P3")))))))</f>
        <v/>
      </c>
      <c r="N215" s="102"/>
      <c r="O215" s="101"/>
      <c r="P215" s="102"/>
      <c r="Q215" s="105"/>
      <c r="R215" s="106" t="str">
        <f aca="true">IF($Q215="","", TODAY()-$Q215)</f>
        <v/>
      </c>
      <c r="S215" s="102"/>
      <c r="T215" s="105"/>
      <c r="U215" s="105"/>
      <c r="V215" s="101"/>
      <c r="W215" s="101"/>
      <c r="X215" s="101"/>
      <c r="Y215" s="96"/>
      <c r="Z215" s="96"/>
      <c r="AA215" s="96"/>
      <c r="AC215" s="102"/>
      <c r="AD215" s="107" t="str">
        <f aca="false">IF($B215="","",IF(ISNUMBER($T215),$T215,IF(OR(NOT(ISNUMBER($Q215)),$S215=""),"",IFERROR(IF(ISNUMBER(INDEX(Lists!$AJ$2:$AJ$7,MATCH($S215,Lists!$AI$2:$AI$7,0))),$Q215+INDEX(Lists!$AJ$2:$AJ$7,MATCH($S215,Lists!$AI$2:$AI$7,0)),""),""))))</f>
        <v/>
      </c>
      <c r="AE215" s="104" t="str">
        <f aca="true">IF($B215="","",IF(AND(ISNUMBER($AD215),N($AD215)&lt;TODAY(),$N215&lt;&gt;"Done",$N215&lt;&gt;"Won't Fix",$N215&lt;&gt;"Duplicate"),"Yes","No"))</f>
        <v/>
      </c>
      <c r="AF215" s="101"/>
      <c r="AG215" s="108" t="str">
        <f aca="false">IF($AF215="","",IFERROR(VLOOKUP($AF215,'Application Portfolio'!$A$2:$B$1000,2,FALSE()),"Unknown App ID"))</f>
        <v/>
      </c>
      <c r="AH215" s="108" t="str">
        <f aca="false">IF(OR($B215="",$AF215=""),"",IFERROR(VLOOKUP($AF215,'Application Portfolio'!$A$2:$AB$1000,28,FALSE()),""))</f>
        <v/>
      </c>
    </row>
    <row r="216" customFormat="false" ht="15.75" hidden="false" customHeight="true" outlineLevel="0" collapsed="false">
      <c r="A216" s="100"/>
      <c r="B216" s="101"/>
      <c r="C216" s="101"/>
      <c r="D216" s="101"/>
      <c r="E216" s="101"/>
      <c r="F216" s="102"/>
      <c r="G216" s="102"/>
      <c r="H216" s="102"/>
      <c r="I216" s="102"/>
      <c r="J216" s="102"/>
      <c r="K216" s="102"/>
      <c r="L216" s="103" t="str">
        <f aca="false">IF(OR($B216="", $H216="", $I216="", $J216="", $K216=""),"",ROUND((VLOOKUP($H216,Lists!$E$2:$F$5,2,FALSE())*VLOOKUP($I216,Lists!$H$2:$I$4,2,FALSE())*VLOOKUP($J216,Lists!$K$2:$L$4,2,FALSE()))/VLOOKUP($K216,Lists!$N$2:$O$6,2,FALSE()),2))</f>
        <v/>
      </c>
      <c r="M216" s="104" t="str">
        <f aca="false">IF($B216="","",IF($AC216&lt;&gt;"",$AC216,IF($H216="Critical","P0",IF(NOT(ISNUMBER($L216)),"",IF($L216&gt;=Lists!$AM$2,"P0",IF($L216&gt;=Lists!$AM$3,"P1",IF($L216&gt;=Lists!$AM$4,"P2","P3")))))))</f>
        <v/>
      </c>
      <c r="N216" s="102"/>
      <c r="O216" s="101"/>
      <c r="P216" s="102"/>
      <c r="Q216" s="105"/>
      <c r="R216" s="106" t="str">
        <f aca="true">IF($Q216="","", TODAY()-$Q216)</f>
        <v/>
      </c>
      <c r="S216" s="102"/>
      <c r="T216" s="105"/>
      <c r="U216" s="105"/>
      <c r="V216" s="101"/>
      <c r="W216" s="101"/>
      <c r="X216" s="101"/>
      <c r="Y216" s="96"/>
      <c r="Z216" s="96"/>
      <c r="AA216" s="96"/>
      <c r="AC216" s="102"/>
      <c r="AD216" s="107" t="str">
        <f aca="false">IF($B216="","",IF(ISNUMBER($T216),$T216,IF(OR(NOT(ISNUMBER($Q216)),$S216=""),"",IFERROR(IF(ISNUMBER(INDEX(Lists!$AJ$2:$AJ$7,MATCH($S216,Lists!$AI$2:$AI$7,0))),$Q216+INDEX(Lists!$AJ$2:$AJ$7,MATCH($S216,Lists!$AI$2:$AI$7,0)),""),""))))</f>
        <v/>
      </c>
      <c r="AE216" s="104" t="str">
        <f aca="true">IF($B216="","",IF(AND(ISNUMBER($AD216),N($AD216)&lt;TODAY(),$N216&lt;&gt;"Done",$N216&lt;&gt;"Won't Fix",$N216&lt;&gt;"Duplicate"),"Yes","No"))</f>
        <v/>
      </c>
      <c r="AF216" s="101"/>
      <c r="AG216" s="108" t="str">
        <f aca="false">IF($AF216="","",IFERROR(VLOOKUP($AF216,'Application Portfolio'!$A$2:$B$1000,2,FALSE()),"Unknown App ID"))</f>
        <v/>
      </c>
      <c r="AH216" s="108" t="str">
        <f aca="false">IF(OR($B216="",$AF216=""),"",IFERROR(VLOOKUP($AF216,'Application Portfolio'!$A$2:$AB$1000,28,FALSE()),""))</f>
        <v/>
      </c>
    </row>
    <row r="217" customFormat="false" ht="15.75" hidden="false" customHeight="true" outlineLevel="0" collapsed="false">
      <c r="A217" s="100"/>
      <c r="B217" s="101"/>
      <c r="C217" s="101"/>
      <c r="D217" s="101"/>
      <c r="E217" s="101"/>
      <c r="F217" s="102"/>
      <c r="G217" s="102"/>
      <c r="H217" s="102"/>
      <c r="I217" s="102"/>
      <c r="J217" s="102"/>
      <c r="K217" s="102"/>
      <c r="L217" s="103" t="str">
        <f aca="false">IF(OR($B217="", $H217="", $I217="", $J217="", $K217=""),"",ROUND((VLOOKUP($H217,Lists!$E$2:$F$5,2,FALSE())*VLOOKUP($I217,Lists!$H$2:$I$4,2,FALSE())*VLOOKUP($J217,Lists!$K$2:$L$4,2,FALSE()))/VLOOKUP($K217,Lists!$N$2:$O$6,2,FALSE()),2))</f>
        <v/>
      </c>
      <c r="M217" s="104" t="str">
        <f aca="false">IF($B217="","",IF($AC217&lt;&gt;"",$AC217,IF($H217="Critical","P0",IF(NOT(ISNUMBER($L217)),"",IF($L217&gt;=Lists!$AM$2,"P0",IF($L217&gt;=Lists!$AM$3,"P1",IF($L217&gt;=Lists!$AM$4,"P2","P3")))))))</f>
        <v/>
      </c>
      <c r="N217" s="102"/>
      <c r="O217" s="101"/>
      <c r="P217" s="102"/>
      <c r="Q217" s="105"/>
      <c r="R217" s="106" t="str">
        <f aca="true">IF($Q217="","", TODAY()-$Q217)</f>
        <v/>
      </c>
      <c r="S217" s="102"/>
      <c r="T217" s="105"/>
      <c r="U217" s="105"/>
      <c r="V217" s="101"/>
      <c r="W217" s="101"/>
      <c r="X217" s="101"/>
      <c r="Y217" s="96"/>
      <c r="Z217" s="96"/>
      <c r="AA217" s="96"/>
      <c r="AC217" s="102"/>
      <c r="AD217" s="107" t="str">
        <f aca="false">IF($B217="","",IF(ISNUMBER($T217),$T217,IF(OR(NOT(ISNUMBER($Q217)),$S217=""),"",IFERROR(IF(ISNUMBER(INDEX(Lists!$AJ$2:$AJ$7,MATCH($S217,Lists!$AI$2:$AI$7,0))),$Q217+INDEX(Lists!$AJ$2:$AJ$7,MATCH($S217,Lists!$AI$2:$AI$7,0)),""),""))))</f>
        <v/>
      </c>
      <c r="AE217" s="104" t="str">
        <f aca="true">IF($B217="","",IF(AND(ISNUMBER($AD217),N($AD217)&lt;TODAY(),$N217&lt;&gt;"Done",$N217&lt;&gt;"Won't Fix",$N217&lt;&gt;"Duplicate"),"Yes","No"))</f>
        <v/>
      </c>
      <c r="AF217" s="101"/>
      <c r="AG217" s="108" t="str">
        <f aca="false">IF($AF217="","",IFERROR(VLOOKUP($AF217,'Application Portfolio'!$A$2:$B$1000,2,FALSE()),"Unknown App ID"))</f>
        <v/>
      </c>
      <c r="AH217" s="108" t="str">
        <f aca="false">IF(OR($B217="",$AF217=""),"",IFERROR(VLOOKUP($AF217,'Application Portfolio'!$A$2:$AB$1000,28,FALSE()),""))</f>
        <v/>
      </c>
    </row>
    <row r="218" customFormat="false" ht="15.75" hidden="false" customHeight="true" outlineLevel="0" collapsed="false">
      <c r="A218" s="100"/>
      <c r="B218" s="101"/>
      <c r="C218" s="101"/>
      <c r="D218" s="101"/>
      <c r="E218" s="101"/>
      <c r="F218" s="102"/>
      <c r="G218" s="102"/>
      <c r="H218" s="102"/>
      <c r="I218" s="102"/>
      <c r="J218" s="102"/>
      <c r="K218" s="102"/>
      <c r="L218" s="103" t="str">
        <f aca="false">IF(OR($B218="", $H218="", $I218="", $J218="", $K218=""),"",ROUND((VLOOKUP($H218,Lists!$E$2:$F$5,2,FALSE())*VLOOKUP($I218,Lists!$H$2:$I$4,2,FALSE())*VLOOKUP($J218,Lists!$K$2:$L$4,2,FALSE()))/VLOOKUP($K218,Lists!$N$2:$O$6,2,FALSE()),2))</f>
        <v/>
      </c>
      <c r="M218" s="104" t="str">
        <f aca="false">IF($B218="","",IF($AC218&lt;&gt;"",$AC218,IF($H218="Critical","P0",IF(NOT(ISNUMBER($L218)),"",IF($L218&gt;=Lists!$AM$2,"P0",IF($L218&gt;=Lists!$AM$3,"P1",IF($L218&gt;=Lists!$AM$4,"P2","P3")))))))</f>
        <v/>
      </c>
      <c r="N218" s="102"/>
      <c r="O218" s="101"/>
      <c r="P218" s="102"/>
      <c r="Q218" s="105"/>
      <c r="R218" s="106" t="str">
        <f aca="true">IF($Q218="","", TODAY()-$Q218)</f>
        <v/>
      </c>
      <c r="S218" s="102"/>
      <c r="T218" s="105"/>
      <c r="U218" s="105"/>
      <c r="V218" s="101"/>
      <c r="W218" s="101"/>
      <c r="X218" s="101"/>
      <c r="Y218" s="96"/>
      <c r="Z218" s="96"/>
      <c r="AA218" s="96"/>
      <c r="AC218" s="102"/>
      <c r="AD218" s="107" t="str">
        <f aca="false">IF($B218="","",IF(ISNUMBER($T218),$T218,IF(OR(NOT(ISNUMBER($Q218)),$S218=""),"",IFERROR(IF(ISNUMBER(INDEX(Lists!$AJ$2:$AJ$7,MATCH($S218,Lists!$AI$2:$AI$7,0))),$Q218+INDEX(Lists!$AJ$2:$AJ$7,MATCH($S218,Lists!$AI$2:$AI$7,0)),""),""))))</f>
        <v/>
      </c>
      <c r="AE218" s="104" t="str">
        <f aca="true">IF($B218="","",IF(AND(ISNUMBER($AD218),N($AD218)&lt;TODAY(),$N218&lt;&gt;"Done",$N218&lt;&gt;"Won't Fix",$N218&lt;&gt;"Duplicate"),"Yes","No"))</f>
        <v/>
      </c>
      <c r="AF218" s="101"/>
      <c r="AG218" s="108" t="str">
        <f aca="false">IF($AF218="","",IFERROR(VLOOKUP($AF218,'Application Portfolio'!$A$2:$B$1000,2,FALSE()),"Unknown App ID"))</f>
        <v/>
      </c>
      <c r="AH218" s="108" t="str">
        <f aca="false">IF(OR($B218="",$AF218=""),"",IFERROR(VLOOKUP($AF218,'Application Portfolio'!$A$2:$AB$1000,28,FALSE()),""))</f>
        <v/>
      </c>
    </row>
    <row r="219" customFormat="false" ht="15.75" hidden="false" customHeight="true" outlineLevel="0" collapsed="false">
      <c r="A219" s="100"/>
      <c r="B219" s="101"/>
      <c r="C219" s="101"/>
      <c r="D219" s="101"/>
      <c r="E219" s="101"/>
      <c r="F219" s="102"/>
      <c r="G219" s="102"/>
      <c r="H219" s="102"/>
      <c r="I219" s="102"/>
      <c r="J219" s="102"/>
      <c r="K219" s="102"/>
      <c r="L219" s="103" t="str">
        <f aca="false">IF(OR($B219="", $H219="", $I219="", $J219="", $K219=""),"",ROUND((VLOOKUP($H219,Lists!$E$2:$F$5,2,FALSE())*VLOOKUP($I219,Lists!$H$2:$I$4,2,FALSE())*VLOOKUP($J219,Lists!$K$2:$L$4,2,FALSE()))/VLOOKUP($K219,Lists!$N$2:$O$6,2,FALSE()),2))</f>
        <v/>
      </c>
      <c r="M219" s="104" t="str">
        <f aca="false">IF($B219="","",IF($AC219&lt;&gt;"",$AC219,IF($H219="Critical","P0",IF(NOT(ISNUMBER($L219)),"",IF($L219&gt;=Lists!$AM$2,"P0",IF($L219&gt;=Lists!$AM$3,"P1",IF($L219&gt;=Lists!$AM$4,"P2","P3")))))))</f>
        <v/>
      </c>
      <c r="N219" s="102"/>
      <c r="O219" s="101"/>
      <c r="P219" s="102"/>
      <c r="Q219" s="105"/>
      <c r="R219" s="106" t="str">
        <f aca="true">IF($Q219="","", TODAY()-$Q219)</f>
        <v/>
      </c>
      <c r="S219" s="102"/>
      <c r="T219" s="105"/>
      <c r="U219" s="105"/>
      <c r="V219" s="101"/>
      <c r="W219" s="101"/>
      <c r="X219" s="101"/>
      <c r="Y219" s="96"/>
      <c r="Z219" s="96"/>
      <c r="AA219" s="96"/>
      <c r="AC219" s="102"/>
      <c r="AD219" s="107" t="str">
        <f aca="false">IF($B219="","",IF(ISNUMBER($T219),$T219,IF(OR(NOT(ISNUMBER($Q219)),$S219=""),"",IFERROR(IF(ISNUMBER(INDEX(Lists!$AJ$2:$AJ$7,MATCH($S219,Lists!$AI$2:$AI$7,0))),$Q219+INDEX(Lists!$AJ$2:$AJ$7,MATCH($S219,Lists!$AI$2:$AI$7,0)),""),""))))</f>
        <v/>
      </c>
      <c r="AE219" s="104" t="str">
        <f aca="true">IF($B219="","",IF(AND(ISNUMBER($AD219),N($AD219)&lt;TODAY(),$N219&lt;&gt;"Done",$N219&lt;&gt;"Won't Fix",$N219&lt;&gt;"Duplicate"),"Yes","No"))</f>
        <v/>
      </c>
      <c r="AF219" s="101"/>
      <c r="AG219" s="108" t="str">
        <f aca="false">IF($AF219="","",IFERROR(VLOOKUP($AF219,'Application Portfolio'!$A$2:$B$1000,2,FALSE()),"Unknown App ID"))</f>
        <v/>
      </c>
      <c r="AH219" s="108" t="str">
        <f aca="false">IF(OR($B219="",$AF219=""),"",IFERROR(VLOOKUP($AF219,'Application Portfolio'!$A$2:$AB$1000,28,FALSE()),""))</f>
        <v/>
      </c>
    </row>
    <row r="220" customFormat="false" ht="15.75" hidden="false" customHeight="true" outlineLevel="0" collapsed="false">
      <c r="A220" s="100"/>
      <c r="B220" s="101"/>
      <c r="C220" s="101"/>
      <c r="D220" s="101"/>
      <c r="E220" s="101"/>
      <c r="F220" s="102"/>
      <c r="G220" s="102"/>
      <c r="H220" s="102"/>
      <c r="I220" s="102"/>
      <c r="J220" s="102"/>
      <c r="K220" s="102"/>
      <c r="L220" s="103" t="str">
        <f aca="false">IF(OR($B220="", $H220="", $I220="", $J220="", $K220=""),"",ROUND((VLOOKUP($H220,Lists!$E$2:$F$5,2,FALSE())*VLOOKUP($I220,Lists!$H$2:$I$4,2,FALSE())*VLOOKUP($J220,Lists!$K$2:$L$4,2,FALSE()))/VLOOKUP($K220,Lists!$N$2:$O$6,2,FALSE()),2))</f>
        <v/>
      </c>
      <c r="M220" s="104" t="str">
        <f aca="false">IF($B220="","",IF($AC220&lt;&gt;"",$AC220,IF($H220="Critical","P0",IF(NOT(ISNUMBER($L220)),"",IF($L220&gt;=Lists!$AM$2,"P0",IF($L220&gt;=Lists!$AM$3,"P1",IF($L220&gt;=Lists!$AM$4,"P2","P3")))))))</f>
        <v/>
      </c>
      <c r="N220" s="102"/>
      <c r="O220" s="101"/>
      <c r="P220" s="102"/>
      <c r="Q220" s="105"/>
      <c r="R220" s="106" t="str">
        <f aca="true">IF($Q220="","", TODAY()-$Q220)</f>
        <v/>
      </c>
      <c r="S220" s="102"/>
      <c r="T220" s="105"/>
      <c r="U220" s="105"/>
      <c r="V220" s="101"/>
      <c r="W220" s="101"/>
      <c r="X220" s="101"/>
      <c r="Y220" s="96"/>
      <c r="Z220" s="96"/>
      <c r="AA220" s="96"/>
      <c r="AC220" s="102"/>
      <c r="AD220" s="107" t="str">
        <f aca="false">IF($B220="","",IF(ISNUMBER($T220),$T220,IF(OR(NOT(ISNUMBER($Q220)),$S220=""),"",IFERROR(IF(ISNUMBER(INDEX(Lists!$AJ$2:$AJ$7,MATCH($S220,Lists!$AI$2:$AI$7,0))),$Q220+INDEX(Lists!$AJ$2:$AJ$7,MATCH($S220,Lists!$AI$2:$AI$7,0)),""),""))))</f>
        <v/>
      </c>
      <c r="AE220" s="104" t="str">
        <f aca="true">IF($B220="","",IF(AND(ISNUMBER($AD220),N($AD220)&lt;TODAY(),$N220&lt;&gt;"Done",$N220&lt;&gt;"Won't Fix",$N220&lt;&gt;"Duplicate"),"Yes","No"))</f>
        <v/>
      </c>
      <c r="AF220" s="101"/>
      <c r="AG220" s="108" t="str">
        <f aca="false">IF($AF220="","",IFERROR(VLOOKUP($AF220,'Application Portfolio'!$A$2:$B$1000,2,FALSE()),"Unknown App ID"))</f>
        <v/>
      </c>
      <c r="AH220" s="108" t="str">
        <f aca="false">IF(OR($B220="",$AF220=""),"",IFERROR(VLOOKUP($AF220,'Application Portfolio'!$A$2:$AB$1000,28,FALSE()),""))</f>
        <v/>
      </c>
    </row>
    <row r="221" customFormat="false" ht="15.75" hidden="false" customHeight="true" outlineLevel="0" collapsed="false">
      <c r="A221" s="100"/>
      <c r="B221" s="101"/>
      <c r="C221" s="101"/>
      <c r="D221" s="101"/>
      <c r="E221" s="101"/>
      <c r="F221" s="102"/>
      <c r="G221" s="102"/>
      <c r="H221" s="102"/>
      <c r="I221" s="102"/>
      <c r="J221" s="102"/>
      <c r="K221" s="102"/>
      <c r="L221" s="103" t="str">
        <f aca="false">IF(OR($B221="", $H221="", $I221="", $J221="", $K221=""),"",ROUND((VLOOKUP($H221,Lists!$E$2:$F$5,2,FALSE())*VLOOKUP($I221,Lists!$H$2:$I$4,2,FALSE())*VLOOKUP($J221,Lists!$K$2:$L$4,2,FALSE()))/VLOOKUP($K221,Lists!$N$2:$O$6,2,FALSE()),2))</f>
        <v/>
      </c>
      <c r="M221" s="104" t="str">
        <f aca="false">IF($B221="","",IF($AC221&lt;&gt;"",$AC221,IF($H221="Critical","P0",IF(NOT(ISNUMBER($L221)),"",IF($L221&gt;=Lists!$AM$2,"P0",IF($L221&gt;=Lists!$AM$3,"P1",IF($L221&gt;=Lists!$AM$4,"P2","P3")))))))</f>
        <v/>
      </c>
      <c r="N221" s="102"/>
      <c r="O221" s="101"/>
      <c r="P221" s="102"/>
      <c r="Q221" s="105"/>
      <c r="R221" s="106" t="str">
        <f aca="true">IF($Q221="","", TODAY()-$Q221)</f>
        <v/>
      </c>
      <c r="S221" s="102"/>
      <c r="T221" s="105"/>
      <c r="U221" s="105"/>
      <c r="V221" s="101"/>
      <c r="W221" s="101"/>
      <c r="X221" s="101"/>
      <c r="Y221" s="96"/>
      <c r="Z221" s="96"/>
      <c r="AA221" s="96"/>
      <c r="AC221" s="102"/>
      <c r="AD221" s="107" t="str">
        <f aca="false">IF($B221="","",IF(ISNUMBER($T221),$T221,IF(OR(NOT(ISNUMBER($Q221)),$S221=""),"",IFERROR(IF(ISNUMBER(INDEX(Lists!$AJ$2:$AJ$7,MATCH($S221,Lists!$AI$2:$AI$7,0))),$Q221+INDEX(Lists!$AJ$2:$AJ$7,MATCH($S221,Lists!$AI$2:$AI$7,0)),""),""))))</f>
        <v/>
      </c>
      <c r="AE221" s="104" t="str">
        <f aca="true">IF($B221="","",IF(AND(ISNUMBER($AD221),N($AD221)&lt;TODAY(),$N221&lt;&gt;"Done",$N221&lt;&gt;"Won't Fix",$N221&lt;&gt;"Duplicate"),"Yes","No"))</f>
        <v/>
      </c>
      <c r="AF221" s="101"/>
      <c r="AG221" s="108" t="str">
        <f aca="false">IF($AF221="","",IFERROR(VLOOKUP($AF221,'Application Portfolio'!$A$2:$B$1000,2,FALSE()),"Unknown App ID"))</f>
        <v/>
      </c>
      <c r="AH221" s="108" t="str">
        <f aca="false">IF(OR($B221="",$AF221=""),"",IFERROR(VLOOKUP($AF221,'Application Portfolio'!$A$2:$AB$1000,28,FALSE()),""))</f>
        <v/>
      </c>
    </row>
    <row r="222" customFormat="false" ht="15.75" hidden="false" customHeight="true" outlineLevel="0" collapsed="false">
      <c r="A222" s="100"/>
      <c r="B222" s="101"/>
      <c r="C222" s="101"/>
      <c r="D222" s="101"/>
      <c r="E222" s="101"/>
      <c r="F222" s="102"/>
      <c r="G222" s="102"/>
      <c r="H222" s="102"/>
      <c r="I222" s="102"/>
      <c r="J222" s="102"/>
      <c r="K222" s="102"/>
      <c r="L222" s="103" t="str">
        <f aca="false">IF(OR($B222="", $H222="", $I222="", $J222="", $K222=""),"",ROUND((VLOOKUP($H222,Lists!$E$2:$F$5,2,FALSE())*VLOOKUP($I222,Lists!$H$2:$I$4,2,FALSE())*VLOOKUP($J222,Lists!$K$2:$L$4,2,FALSE()))/VLOOKUP($K222,Lists!$N$2:$O$6,2,FALSE()),2))</f>
        <v/>
      </c>
      <c r="M222" s="104" t="str">
        <f aca="false">IF($B222="","",IF($AC222&lt;&gt;"",$AC222,IF($H222="Critical","P0",IF(NOT(ISNUMBER($L222)),"",IF($L222&gt;=Lists!$AM$2,"P0",IF($L222&gt;=Lists!$AM$3,"P1",IF($L222&gt;=Lists!$AM$4,"P2","P3")))))))</f>
        <v/>
      </c>
      <c r="N222" s="102"/>
      <c r="O222" s="101"/>
      <c r="P222" s="102"/>
      <c r="Q222" s="105"/>
      <c r="R222" s="106" t="str">
        <f aca="true">IF($Q222="","", TODAY()-$Q222)</f>
        <v/>
      </c>
      <c r="S222" s="102"/>
      <c r="T222" s="105"/>
      <c r="U222" s="105"/>
      <c r="V222" s="101"/>
      <c r="W222" s="101"/>
      <c r="X222" s="101"/>
      <c r="Y222" s="96"/>
      <c r="Z222" s="96"/>
      <c r="AA222" s="96"/>
      <c r="AC222" s="102"/>
      <c r="AD222" s="107" t="str">
        <f aca="false">IF($B222="","",IF(ISNUMBER($T222),$T222,IF(OR(NOT(ISNUMBER($Q222)),$S222=""),"",IFERROR(IF(ISNUMBER(INDEX(Lists!$AJ$2:$AJ$7,MATCH($S222,Lists!$AI$2:$AI$7,0))),$Q222+INDEX(Lists!$AJ$2:$AJ$7,MATCH($S222,Lists!$AI$2:$AI$7,0)),""),""))))</f>
        <v/>
      </c>
      <c r="AE222" s="104" t="str">
        <f aca="true">IF($B222="","",IF(AND(ISNUMBER($AD222),N($AD222)&lt;TODAY(),$N222&lt;&gt;"Done",$N222&lt;&gt;"Won't Fix",$N222&lt;&gt;"Duplicate"),"Yes","No"))</f>
        <v/>
      </c>
      <c r="AF222" s="101"/>
      <c r="AG222" s="108" t="str">
        <f aca="false">IF($AF222="","",IFERROR(VLOOKUP($AF222,'Application Portfolio'!$A$2:$B$1000,2,FALSE()),"Unknown App ID"))</f>
        <v/>
      </c>
      <c r="AH222" s="108" t="str">
        <f aca="false">IF(OR($B222="",$AF222=""),"",IFERROR(VLOOKUP($AF222,'Application Portfolio'!$A$2:$AB$1000,28,FALSE()),""))</f>
        <v/>
      </c>
    </row>
    <row r="223" customFormat="false" ht="15.75" hidden="false" customHeight="true" outlineLevel="0" collapsed="false">
      <c r="A223" s="100"/>
      <c r="B223" s="101"/>
      <c r="C223" s="101"/>
      <c r="D223" s="101"/>
      <c r="E223" s="101"/>
      <c r="F223" s="102"/>
      <c r="G223" s="102"/>
      <c r="H223" s="102"/>
      <c r="I223" s="102"/>
      <c r="J223" s="102"/>
      <c r="K223" s="102"/>
      <c r="L223" s="103" t="str">
        <f aca="false">IF(OR($B223="", $H223="", $I223="", $J223="", $K223=""),"",ROUND((VLOOKUP($H223,Lists!$E$2:$F$5,2,FALSE())*VLOOKUP($I223,Lists!$H$2:$I$4,2,FALSE())*VLOOKUP($J223,Lists!$K$2:$L$4,2,FALSE()))/VLOOKUP($K223,Lists!$N$2:$O$6,2,FALSE()),2))</f>
        <v/>
      </c>
      <c r="M223" s="104" t="str">
        <f aca="false">IF($B223="","",IF($AC223&lt;&gt;"",$AC223,IF($H223="Critical","P0",IF(NOT(ISNUMBER($L223)),"",IF($L223&gt;=Lists!$AM$2,"P0",IF($L223&gt;=Lists!$AM$3,"P1",IF($L223&gt;=Lists!$AM$4,"P2","P3")))))))</f>
        <v/>
      </c>
      <c r="N223" s="102"/>
      <c r="O223" s="101"/>
      <c r="P223" s="102"/>
      <c r="Q223" s="105"/>
      <c r="R223" s="106" t="str">
        <f aca="true">IF($Q223="","", TODAY()-$Q223)</f>
        <v/>
      </c>
      <c r="S223" s="102"/>
      <c r="T223" s="105"/>
      <c r="U223" s="105"/>
      <c r="V223" s="101"/>
      <c r="W223" s="101"/>
      <c r="X223" s="101"/>
      <c r="Y223" s="96"/>
      <c r="Z223" s="96"/>
      <c r="AA223" s="96"/>
      <c r="AC223" s="102"/>
      <c r="AD223" s="107" t="str">
        <f aca="false">IF($B223="","",IF(ISNUMBER($T223),$T223,IF(OR(NOT(ISNUMBER($Q223)),$S223=""),"",IFERROR(IF(ISNUMBER(INDEX(Lists!$AJ$2:$AJ$7,MATCH($S223,Lists!$AI$2:$AI$7,0))),$Q223+INDEX(Lists!$AJ$2:$AJ$7,MATCH($S223,Lists!$AI$2:$AI$7,0)),""),""))))</f>
        <v/>
      </c>
      <c r="AE223" s="104" t="str">
        <f aca="true">IF($B223="","",IF(AND(ISNUMBER($AD223),N($AD223)&lt;TODAY(),$N223&lt;&gt;"Done",$N223&lt;&gt;"Won't Fix",$N223&lt;&gt;"Duplicate"),"Yes","No"))</f>
        <v/>
      </c>
      <c r="AF223" s="101"/>
      <c r="AG223" s="108" t="str">
        <f aca="false">IF($AF223="","",IFERROR(VLOOKUP($AF223,'Application Portfolio'!$A$2:$B$1000,2,FALSE()),"Unknown App ID"))</f>
        <v/>
      </c>
      <c r="AH223" s="108" t="str">
        <f aca="false">IF(OR($B223="",$AF223=""),"",IFERROR(VLOOKUP($AF223,'Application Portfolio'!$A$2:$AB$1000,28,FALSE()),""))</f>
        <v/>
      </c>
    </row>
    <row r="224" customFormat="false" ht="15.75" hidden="false" customHeight="true" outlineLevel="0" collapsed="false">
      <c r="A224" s="100"/>
      <c r="B224" s="101"/>
      <c r="C224" s="101"/>
      <c r="D224" s="101"/>
      <c r="E224" s="101"/>
      <c r="F224" s="102"/>
      <c r="G224" s="102"/>
      <c r="H224" s="102"/>
      <c r="I224" s="102"/>
      <c r="J224" s="102"/>
      <c r="K224" s="102"/>
      <c r="L224" s="103" t="str">
        <f aca="false">IF(OR($B224="", $H224="", $I224="", $J224="", $K224=""),"",ROUND((VLOOKUP($H224,Lists!$E$2:$F$5,2,FALSE())*VLOOKUP($I224,Lists!$H$2:$I$4,2,FALSE())*VLOOKUP($J224,Lists!$K$2:$L$4,2,FALSE()))/VLOOKUP($K224,Lists!$N$2:$O$6,2,FALSE()),2))</f>
        <v/>
      </c>
      <c r="M224" s="104" t="str">
        <f aca="false">IF($B224="","",IF($AC224&lt;&gt;"",$AC224,IF($H224="Critical","P0",IF(NOT(ISNUMBER($L224)),"",IF($L224&gt;=Lists!$AM$2,"P0",IF($L224&gt;=Lists!$AM$3,"P1",IF($L224&gt;=Lists!$AM$4,"P2","P3")))))))</f>
        <v/>
      </c>
      <c r="N224" s="102"/>
      <c r="O224" s="101"/>
      <c r="P224" s="102"/>
      <c r="Q224" s="105"/>
      <c r="R224" s="106" t="str">
        <f aca="true">IF($Q224="","", TODAY()-$Q224)</f>
        <v/>
      </c>
      <c r="S224" s="102"/>
      <c r="T224" s="105"/>
      <c r="U224" s="105"/>
      <c r="V224" s="101"/>
      <c r="W224" s="101"/>
      <c r="X224" s="101"/>
      <c r="Y224" s="96"/>
      <c r="Z224" s="96"/>
      <c r="AA224" s="96"/>
      <c r="AC224" s="102"/>
      <c r="AD224" s="107" t="str">
        <f aca="false">IF($B224="","",IF(ISNUMBER($T224),$T224,IF(OR(NOT(ISNUMBER($Q224)),$S224=""),"",IFERROR(IF(ISNUMBER(INDEX(Lists!$AJ$2:$AJ$7,MATCH($S224,Lists!$AI$2:$AI$7,0))),$Q224+INDEX(Lists!$AJ$2:$AJ$7,MATCH($S224,Lists!$AI$2:$AI$7,0)),""),""))))</f>
        <v/>
      </c>
      <c r="AE224" s="104" t="str">
        <f aca="true">IF($B224="","",IF(AND(ISNUMBER($AD224),N($AD224)&lt;TODAY(),$N224&lt;&gt;"Done",$N224&lt;&gt;"Won't Fix",$N224&lt;&gt;"Duplicate"),"Yes","No"))</f>
        <v/>
      </c>
      <c r="AF224" s="101"/>
      <c r="AG224" s="108" t="str">
        <f aca="false">IF($AF224="","",IFERROR(VLOOKUP($AF224,'Application Portfolio'!$A$2:$B$1000,2,FALSE()),"Unknown App ID"))</f>
        <v/>
      </c>
      <c r="AH224" s="108" t="str">
        <f aca="false">IF(OR($B224="",$AF224=""),"",IFERROR(VLOOKUP($AF224,'Application Portfolio'!$A$2:$AB$1000,28,FALSE()),""))</f>
        <v/>
      </c>
    </row>
    <row r="225" customFormat="false" ht="15.75" hidden="false" customHeight="true" outlineLevel="0" collapsed="false">
      <c r="A225" s="100"/>
      <c r="B225" s="101"/>
      <c r="C225" s="101"/>
      <c r="D225" s="101"/>
      <c r="E225" s="101"/>
      <c r="F225" s="102"/>
      <c r="G225" s="102"/>
      <c r="H225" s="102"/>
      <c r="I225" s="102"/>
      <c r="J225" s="102"/>
      <c r="K225" s="102"/>
      <c r="L225" s="103" t="str">
        <f aca="false">IF(OR($B225="", $H225="", $I225="", $J225="", $K225=""),"",ROUND((VLOOKUP($H225,Lists!$E$2:$F$5,2,FALSE())*VLOOKUP($I225,Lists!$H$2:$I$4,2,FALSE())*VLOOKUP($J225,Lists!$K$2:$L$4,2,FALSE()))/VLOOKUP($K225,Lists!$N$2:$O$6,2,FALSE()),2))</f>
        <v/>
      </c>
      <c r="M225" s="104" t="str">
        <f aca="false">IF($B225="","",IF($AC225&lt;&gt;"",$AC225,IF($H225="Critical","P0",IF(NOT(ISNUMBER($L225)),"",IF($L225&gt;=Lists!$AM$2,"P0",IF($L225&gt;=Lists!$AM$3,"P1",IF($L225&gt;=Lists!$AM$4,"P2","P3")))))))</f>
        <v/>
      </c>
      <c r="N225" s="102"/>
      <c r="O225" s="101"/>
      <c r="P225" s="102"/>
      <c r="Q225" s="105"/>
      <c r="R225" s="106" t="str">
        <f aca="true">IF($Q225="","", TODAY()-$Q225)</f>
        <v/>
      </c>
      <c r="S225" s="102"/>
      <c r="T225" s="105"/>
      <c r="U225" s="105"/>
      <c r="V225" s="101"/>
      <c r="W225" s="101"/>
      <c r="X225" s="101"/>
      <c r="Y225" s="96"/>
      <c r="Z225" s="96"/>
      <c r="AA225" s="96"/>
      <c r="AC225" s="102"/>
      <c r="AD225" s="107" t="str">
        <f aca="false">IF($B225="","",IF(ISNUMBER($T225),$T225,IF(OR(NOT(ISNUMBER($Q225)),$S225=""),"",IFERROR(IF(ISNUMBER(INDEX(Lists!$AJ$2:$AJ$7,MATCH($S225,Lists!$AI$2:$AI$7,0))),$Q225+INDEX(Lists!$AJ$2:$AJ$7,MATCH($S225,Lists!$AI$2:$AI$7,0)),""),""))))</f>
        <v/>
      </c>
      <c r="AE225" s="104" t="str">
        <f aca="true">IF($B225="","",IF(AND(ISNUMBER($AD225),N($AD225)&lt;TODAY(),$N225&lt;&gt;"Done",$N225&lt;&gt;"Won't Fix",$N225&lt;&gt;"Duplicate"),"Yes","No"))</f>
        <v/>
      </c>
      <c r="AF225" s="101"/>
      <c r="AG225" s="108" t="str">
        <f aca="false">IF($AF225="","",IFERROR(VLOOKUP($AF225,'Application Portfolio'!$A$2:$B$1000,2,FALSE()),"Unknown App ID"))</f>
        <v/>
      </c>
      <c r="AH225" s="108" t="str">
        <f aca="false">IF(OR($B225="",$AF225=""),"",IFERROR(VLOOKUP($AF225,'Application Portfolio'!$A$2:$AB$1000,28,FALSE()),""))</f>
        <v/>
      </c>
    </row>
    <row r="226" customFormat="false" ht="15.75" hidden="false" customHeight="true" outlineLevel="0" collapsed="false">
      <c r="A226" s="100"/>
      <c r="B226" s="101"/>
      <c r="C226" s="101"/>
      <c r="D226" s="101"/>
      <c r="E226" s="101"/>
      <c r="F226" s="102"/>
      <c r="G226" s="102"/>
      <c r="H226" s="102"/>
      <c r="I226" s="102"/>
      <c r="J226" s="102"/>
      <c r="K226" s="102"/>
      <c r="L226" s="103" t="str">
        <f aca="false">IF(OR($B226="", $H226="", $I226="", $J226="", $K226=""),"",ROUND((VLOOKUP($H226,Lists!$E$2:$F$5,2,FALSE())*VLOOKUP($I226,Lists!$H$2:$I$4,2,FALSE())*VLOOKUP($J226,Lists!$K$2:$L$4,2,FALSE()))/VLOOKUP($K226,Lists!$N$2:$O$6,2,FALSE()),2))</f>
        <v/>
      </c>
      <c r="M226" s="104" t="str">
        <f aca="false">IF($B226="","",IF($AC226&lt;&gt;"",$AC226,IF($H226="Critical","P0",IF(NOT(ISNUMBER($L226)),"",IF($L226&gt;=Lists!$AM$2,"P0",IF($L226&gt;=Lists!$AM$3,"P1",IF($L226&gt;=Lists!$AM$4,"P2","P3")))))))</f>
        <v/>
      </c>
      <c r="N226" s="102"/>
      <c r="O226" s="101"/>
      <c r="P226" s="102"/>
      <c r="Q226" s="105"/>
      <c r="R226" s="106" t="str">
        <f aca="true">IF($Q226="","", TODAY()-$Q226)</f>
        <v/>
      </c>
      <c r="S226" s="102"/>
      <c r="T226" s="105"/>
      <c r="U226" s="105"/>
      <c r="V226" s="101"/>
      <c r="W226" s="101"/>
      <c r="X226" s="101"/>
      <c r="Y226" s="96"/>
      <c r="Z226" s="96"/>
      <c r="AA226" s="96"/>
      <c r="AC226" s="102"/>
      <c r="AD226" s="107" t="str">
        <f aca="false">IF($B226="","",IF(ISNUMBER($T226),$T226,IF(OR(NOT(ISNUMBER($Q226)),$S226=""),"",IFERROR(IF(ISNUMBER(INDEX(Lists!$AJ$2:$AJ$7,MATCH($S226,Lists!$AI$2:$AI$7,0))),$Q226+INDEX(Lists!$AJ$2:$AJ$7,MATCH($S226,Lists!$AI$2:$AI$7,0)),""),""))))</f>
        <v/>
      </c>
      <c r="AE226" s="104" t="str">
        <f aca="true">IF($B226="","",IF(AND(ISNUMBER($AD226),N($AD226)&lt;TODAY(),$N226&lt;&gt;"Done",$N226&lt;&gt;"Won't Fix",$N226&lt;&gt;"Duplicate"),"Yes","No"))</f>
        <v/>
      </c>
      <c r="AF226" s="101"/>
      <c r="AG226" s="108" t="str">
        <f aca="false">IF($AF226="","",IFERROR(VLOOKUP($AF226,'Application Portfolio'!$A$2:$B$1000,2,FALSE()),"Unknown App ID"))</f>
        <v/>
      </c>
      <c r="AH226" s="108" t="str">
        <f aca="false">IF(OR($B226="",$AF226=""),"",IFERROR(VLOOKUP($AF226,'Application Portfolio'!$A$2:$AB$1000,28,FALSE()),""))</f>
        <v/>
      </c>
    </row>
    <row r="227" customFormat="false" ht="15.75" hidden="false" customHeight="true" outlineLevel="0" collapsed="false">
      <c r="A227" s="100"/>
      <c r="B227" s="101"/>
      <c r="C227" s="101"/>
      <c r="D227" s="101"/>
      <c r="E227" s="101"/>
      <c r="F227" s="102"/>
      <c r="G227" s="102"/>
      <c r="H227" s="102"/>
      <c r="I227" s="102"/>
      <c r="J227" s="102"/>
      <c r="K227" s="102"/>
      <c r="L227" s="103" t="str">
        <f aca="false">IF(OR($B227="", $H227="", $I227="", $J227="", $K227=""),"",ROUND((VLOOKUP($H227,Lists!$E$2:$F$5,2,FALSE())*VLOOKUP($I227,Lists!$H$2:$I$4,2,FALSE())*VLOOKUP($J227,Lists!$K$2:$L$4,2,FALSE()))/VLOOKUP($K227,Lists!$N$2:$O$6,2,FALSE()),2))</f>
        <v/>
      </c>
      <c r="M227" s="104" t="str">
        <f aca="false">IF($B227="","",IF($AC227&lt;&gt;"",$AC227,IF($H227="Critical","P0",IF(NOT(ISNUMBER($L227)),"",IF($L227&gt;=Lists!$AM$2,"P0",IF($L227&gt;=Lists!$AM$3,"P1",IF($L227&gt;=Lists!$AM$4,"P2","P3")))))))</f>
        <v/>
      </c>
      <c r="N227" s="102"/>
      <c r="O227" s="101"/>
      <c r="P227" s="102"/>
      <c r="Q227" s="105"/>
      <c r="R227" s="106" t="str">
        <f aca="true">IF($Q227="","", TODAY()-$Q227)</f>
        <v/>
      </c>
      <c r="S227" s="102"/>
      <c r="T227" s="105"/>
      <c r="U227" s="105"/>
      <c r="V227" s="101"/>
      <c r="W227" s="101"/>
      <c r="X227" s="101"/>
      <c r="Y227" s="96"/>
      <c r="Z227" s="96"/>
      <c r="AA227" s="96"/>
      <c r="AC227" s="102"/>
      <c r="AD227" s="107" t="str">
        <f aca="false">IF($B227="","",IF(ISNUMBER($T227),$T227,IF(OR(NOT(ISNUMBER($Q227)),$S227=""),"",IFERROR(IF(ISNUMBER(INDEX(Lists!$AJ$2:$AJ$7,MATCH($S227,Lists!$AI$2:$AI$7,0))),$Q227+INDEX(Lists!$AJ$2:$AJ$7,MATCH($S227,Lists!$AI$2:$AI$7,0)),""),""))))</f>
        <v/>
      </c>
      <c r="AE227" s="104" t="str">
        <f aca="true">IF($B227="","",IF(AND(ISNUMBER($AD227),N($AD227)&lt;TODAY(),$N227&lt;&gt;"Done",$N227&lt;&gt;"Won't Fix",$N227&lt;&gt;"Duplicate"),"Yes","No"))</f>
        <v/>
      </c>
      <c r="AF227" s="101"/>
      <c r="AG227" s="108" t="str">
        <f aca="false">IF($AF227="","",IFERROR(VLOOKUP($AF227,'Application Portfolio'!$A$2:$B$1000,2,FALSE()),"Unknown App ID"))</f>
        <v/>
      </c>
      <c r="AH227" s="108" t="str">
        <f aca="false">IF(OR($B227="",$AF227=""),"",IFERROR(VLOOKUP($AF227,'Application Portfolio'!$A$2:$AB$1000,28,FALSE()),""))</f>
        <v/>
      </c>
    </row>
    <row r="228" customFormat="false" ht="15.75" hidden="false" customHeight="true" outlineLevel="0" collapsed="false">
      <c r="A228" s="100"/>
      <c r="B228" s="101"/>
      <c r="C228" s="101"/>
      <c r="D228" s="101"/>
      <c r="E228" s="101"/>
      <c r="F228" s="102"/>
      <c r="G228" s="102"/>
      <c r="H228" s="102"/>
      <c r="I228" s="102"/>
      <c r="J228" s="102"/>
      <c r="K228" s="102"/>
      <c r="L228" s="103" t="str">
        <f aca="false">IF(OR($B228="", $H228="", $I228="", $J228="", $K228=""),"",ROUND((VLOOKUP($H228,Lists!$E$2:$F$5,2,FALSE())*VLOOKUP($I228,Lists!$H$2:$I$4,2,FALSE())*VLOOKUP($J228,Lists!$K$2:$L$4,2,FALSE()))/VLOOKUP($K228,Lists!$N$2:$O$6,2,FALSE()),2))</f>
        <v/>
      </c>
      <c r="M228" s="104" t="str">
        <f aca="false">IF($B228="","",IF($AC228&lt;&gt;"",$AC228,IF($H228="Critical","P0",IF(NOT(ISNUMBER($L228)),"",IF($L228&gt;=Lists!$AM$2,"P0",IF($L228&gt;=Lists!$AM$3,"P1",IF($L228&gt;=Lists!$AM$4,"P2","P3")))))))</f>
        <v/>
      </c>
      <c r="N228" s="102"/>
      <c r="O228" s="101"/>
      <c r="P228" s="102"/>
      <c r="Q228" s="105"/>
      <c r="R228" s="106" t="str">
        <f aca="true">IF($Q228="","", TODAY()-$Q228)</f>
        <v/>
      </c>
      <c r="S228" s="102"/>
      <c r="T228" s="105"/>
      <c r="U228" s="105"/>
      <c r="V228" s="101"/>
      <c r="W228" s="101"/>
      <c r="X228" s="101"/>
      <c r="Y228" s="96"/>
      <c r="Z228" s="96"/>
      <c r="AA228" s="96"/>
      <c r="AC228" s="102"/>
      <c r="AD228" s="107" t="str">
        <f aca="false">IF($B228="","",IF(ISNUMBER($T228),$T228,IF(OR(NOT(ISNUMBER($Q228)),$S228=""),"",IFERROR(IF(ISNUMBER(INDEX(Lists!$AJ$2:$AJ$7,MATCH($S228,Lists!$AI$2:$AI$7,0))),$Q228+INDEX(Lists!$AJ$2:$AJ$7,MATCH($S228,Lists!$AI$2:$AI$7,0)),""),""))))</f>
        <v/>
      </c>
      <c r="AE228" s="104" t="str">
        <f aca="true">IF($B228="","",IF(AND(ISNUMBER($AD228),N($AD228)&lt;TODAY(),$N228&lt;&gt;"Done",$N228&lt;&gt;"Won't Fix",$N228&lt;&gt;"Duplicate"),"Yes","No"))</f>
        <v/>
      </c>
      <c r="AF228" s="101"/>
      <c r="AG228" s="108" t="str">
        <f aca="false">IF($AF228="","",IFERROR(VLOOKUP($AF228,'Application Portfolio'!$A$2:$B$1000,2,FALSE()),"Unknown App ID"))</f>
        <v/>
      </c>
      <c r="AH228" s="108" t="str">
        <f aca="false">IF(OR($B228="",$AF228=""),"",IFERROR(VLOOKUP($AF228,'Application Portfolio'!$A$2:$AB$1000,28,FALSE()),""))</f>
        <v/>
      </c>
    </row>
    <row r="229" customFormat="false" ht="15.75" hidden="false" customHeight="true" outlineLevel="0" collapsed="false">
      <c r="A229" s="100"/>
      <c r="B229" s="101"/>
      <c r="C229" s="101"/>
      <c r="D229" s="101"/>
      <c r="E229" s="101"/>
      <c r="F229" s="102"/>
      <c r="G229" s="102"/>
      <c r="H229" s="102"/>
      <c r="I229" s="102"/>
      <c r="J229" s="102"/>
      <c r="K229" s="102"/>
      <c r="L229" s="103" t="str">
        <f aca="false">IF(OR($B229="", $H229="", $I229="", $J229="", $K229=""),"",ROUND((VLOOKUP($H229,Lists!$E$2:$F$5,2,FALSE())*VLOOKUP($I229,Lists!$H$2:$I$4,2,FALSE())*VLOOKUP($J229,Lists!$K$2:$L$4,2,FALSE()))/VLOOKUP($K229,Lists!$N$2:$O$6,2,FALSE()),2))</f>
        <v/>
      </c>
      <c r="M229" s="104" t="str">
        <f aca="false">IF($B229="","",IF($AC229&lt;&gt;"",$AC229,IF($H229="Critical","P0",IF(NOT(ISNUMBER($L229)),"",IF($L229&gt;=Lists!$AM$2,"P0",IF($L229&gt;=Lists!$AM$3,"P1",IF($L229&gt;=Lists!$AM$4,"P2","P3")))))))</f>
        <v/>
      </c>
      <c r="N229" s="102"/>
      <c r="O229" s="101"/>
      <c r="P229" s="102"/>
      <c r="Q229" s="105"/>
      <c r="R229" s="106" t="str">
        <f aca="true">IF($Q229="","", TODAY()-$Q229)</f>
        <v/>
      </c>
      <c r="S229" s="102"/>
      <c r="T229" s="105"/>
      <c r="U229" s="105"/>
      <c r="V229" s="101"/>
      <c r="W229" s="101"/>
      <c r="X229" s="101"/>
      <c r="Y229" s="96"/>
      <c r="Z229" s="96"/>
      <c r="AA229" s="96"/>
      <c r="AC229" s="102"/>
      <c r="AD229" s="107" t="str">
        <f aca="false">IF($B229="","",IF(ISNUMBER($T229),$T229,IF(OR(NOT(ISNUMBER($Q229)),$S229=""),"",IFERROR(IF(ISNUMBER(INDEX(Lists!$AJ$2:$AJ$7,MATCH($S229,Lists!$AI$2:$AI$7,0))),$Q229+INDEX(Lists!$AJ$2:$AJ$7,MATCH($S229,Lists!$AI$2:$AI$7,0)),""),""))))</f>
        <v/>
      </c>
      <c r="AE229" s="104" t="str">
        <f aca="true">IF($B229="","",IF(AND(ISNUMBER($AD229),N($AD229)&lt;TODAY(),$N229&lt;&gt;"Done",$N229&lt;&gt;"Won't Fix",$N229&lt;&gt;"Duplicate"),"Yes","No"))</f>
        <v/>
      </c>
      <c r="AF229" s="101"/>
      <c r="AG229" s="108" t="str">
        <f aca="false">IF($AF229="","",IFERROR(VLOOKUP($AF229,'Application Portfolio'!$A$2:$B$1000,2,FALSE()),"Unknown App ID"))</f>
        <v/>
      </c>
      <c r="AH229" s="108" t="str">
        <f aca="false">IF(OR($B229="",$AF229=""),"",IFERROR(VLOOKUP($AF229,'Application Portfolio'!$A$2:$AB$1000,28,FALSE()),""))</f>
        <v/>
      </c>
    </row>
    <row r="230" customFormat="false" ht="15.75" hidden="false" customHeight="true" outlineLevel="0" collapsed="false">
      <c r="A230" s="100"/>
      <c r="B230" s="101"/>
      <c r="C230" s="101"/>
      <c r="D230" s="101"/>
      <c r="E230" s="101"/>
      <c r="F230" s="102"/>
      <c r="G230" s="102"/>
      <c r="H230" s="102"/>
      <c r="I230" s="102"/>
      <c r="J230" s="102"/>
      <c r="K230" s="102"/>
      <c r="L230" s="103" t="str">
        <f aca="false">IF(OR($B230="", $H230="", $I230="", $J230="", $K230=""),"",ROUND((VLOOKUP($H230,Lists!$E$2:$F$5,2,FALSE())*VLOOKUP($I230,Lists!$H$2:$I$4,2,FALSE())*VLOOKUP($J230,Lists!$K$2:$L$4,2,FALSE()))/VLOOKUP($K230,Lists!$N$2:$O$6,2,FALSE()),2))</f>
        <v/>
      </c>
      <c r="M230" s="104" t="str">
        <f aca="false">IF($B230="","",IF($AC230&lt;&gt;"",$AC230,IF($H230="Critical","P0",IF(NOT(ISNUMBER($L230)),"",IF($L230&gt;=Lists!$AM$2,"P0",IF($L230&gt;=Lists!$AM$3,"P1",IF($L230&gt;=Lists!$AM$4,"P2","P3")))))))</f>
        <v/>
      </c>
      <c r="N230" s="102"/>
      <c r="O230" s="101"/>
      <c r="P230" s="102"/>
      <c r="Q230" s="105"/>
      <c r="R230" s="106" t="str">
        <f aca="true">IF($Q230="","", TODAY()-$Q230)</f>
        <v/>
      </c>
      <c r="S230" s="102"/>
      <c r="T230" s="105"/>
      <c r="U230" s="105"/>
      <c r="V230" s="101"/>
      <c r="W230" s="101"/>
      <c r="X230" s="101"/>
      <c r="Y230" s="96"/>
      <c r="Z230" s="96"/>
      <c r="AA230" s="96"/>
      <c r="AC230" s="102"/>
      <c r="AD230" s="107" t="str">
        <f aca="false">IF($B230="","",IF(ISNUMBER($T230),$T230,IF(OR(NOT(ISNUMBER($Q230)),$S230=""),"",IFERROR(IF(ISNUMBER(INDEX(Lists!$AJ$2:$AJ$7,MATCH($S230,Lists!$AI$2:$AI$7,0))),$Q230+INDEX(Lists!$AJ$2:$AJ$7,MATCH($S230,Lists!$AI$2:$AI$7,0)),""),""))))</f>
        <v/>
      </c>
      <c r="AE230" s="104" t="str">
        <f aca="true">IF($B230="","",IF(AND(ISNUMBER($AD230),N($AD230)&lt;TODAY(),$N230&lt;&gt;"Done",$N230&lt;&gt;"Won't Fix",$N230&lt;&gt;"Duplicate"),"Yes","No"))</f>
        <v/>
      </c>
      <c r="AF230" s="101"/>
      <c r="AG230" s="108" t="str">
        <f aca="false">IF($AF230="","",IFERROR(VLOOKUP($AF230,'Application Portfolio'!$A$2:$B$1000,2,FALSE()),"Unknown App ID"))</f>
        <v/>
      </c>
      <c r="AH230" s="108" t="str">
        <f aca="false">IF(OR($B230="",$AF230=""),"",IFERROR(VLOOKUP($AF230,'Application Portfolio'!$A$2:$AB$1000,28,FALSE()),""))</f>
        <v/>
      </c>
    </row>
    <row r="231" customFormat="false" ht="15.75" hidden="false" customHeight="true" outlineLevel="0" collapsed="false">
      <c r="A231" s="100"/>
      <c r="B231" s="101"/>
      <c r="C231" s="101"/>
      <c r="D231" s="101"/>
      <c r="E231" s="101"/>
      <c r="F231" s="102"/>
      <c r="G231" s="102"/>
      <c r="H231" s="102"/>
      <c r="I231" s="102"/>
      <c r="J231" s="102"/>
      <c r="K231" s="102"/>
      <c r="L231" s="103" t="str">
        <f aca="false">IF(OR($B231="", $H231="", $I231="", $J231="", $K231=""),"",ROUND((VLOOKUP($H231,Lists!$E$2:$F$5,2,FALSE())*VLOOKUP($I231,Lists!$H$2:$I$4,2,FALSE())*VLOOKUP($J231,Lists!$K$2:$L$4,2,FALSE()))/VLOOKUP($K231,Lists!$N$2:$O$6,2,FALSE()),2))</f>
        <v/>
      </c>
      <c r="M231" s="104" t="str">
        <f aca="false">IF($B231="","",IF($AC231&lt;&gt;"",$AC231,IF($H231="Critical","P0",IF(NOT(ISNUMBER($L231)),"",IF($L231&gt;=Lists!$AM$2,"P0",IF($L231&gt;=Lists!$AM$3,"P1",IF($L231&gt;=Lists!$AM$4,"P2","P3")))))))</f>
        <v/>
      </c>
      <c r="N231" s="102"/>
      <c r="O231" s="101"/>
      <c r="P231" s="102"/>
      <c r="Q231" s="105"/>
      <c r="R231" s="106" t="str">
        <f aca="true">IF($Q231="","", TODAY()-$Q231)</f>
        <v/>
      </c>
      <c r="S231" s="102"/>
      <c r="T231" s="105"/>
      <c r="U231" s="105"/>
      <c r="V231" s="101"/>
      <c r="W231" s="101"/>
      <c r="X231" s="101"/>
      <c r="Y231" s="96"/>
      <c r="Z231" s="96"/>
      <c r="AA231" s="96"/>
      <c r="AC231" s="102"/>
      <c r="AD231" s="107" t="str">
        <f aca="false">IF($B231="","",IF(ISNUMBER($T231),$T231,IF(OR(NOT(ISNUMBER($Q231)),$S231=""),"",IFERROR(IF(ISNUMBER(INDEX(Lists!$AJ$2:$AJ$7,MATCH($S231,Lists!$AI$2:$AI$7,0))),$Q231+INDEX(Lists!$AJ$2:$AJ$7,MATCH($S231,Lists!$AI$2:$AI$7,0)),""),""))))</f>
        <v/>
      </c>
      <c r="AE231" s="104" t="str">
        <f aca="true">IF($B231="","",IF(AND(ISNUMBER($AD231),N($AD231)&lt;TODAY(),$N231&lt;&gt;"Done",$N231&lt;&gt;"Won't Fix",$N231&lt;&gt;"Duplicate"),"Yes","No"))</f>
        <v/>
      </c>
      <c r="AF231" s="101"/>
      <c r="AG231" s="108" t="str">
        <f aca="false">IF($AF231="","",IFERROR(VLOOKUP($AF231,'Application Portfolio'!$A$2:$B$1000,2,FALSE()),"Unknown App ID"))</f>
        <v/>
      </c>
      <c r="AH231" s="108" t="str">
        <f aca="false">IF(OR($B231="",$AF231=""),"",IFERROR(VLOOKUP($AF231,'Application Portfolio'!$A$2:$AB$1000,28,FALSE()),""))</f>
        <v/>
      </c>
    </row>
    <row r="232" customFormat="false" ht="15.75" hidden="false" customHeight="true" outlineLevel="0" collapsed="false">
      <c r="A232" s="100"/>
      <c r="B232" s="101"/>
      <c r="C232" s="101"/>
      <c r="D232" s="101"/>
      <c r="E232" s="101"/>
      <c r="F232" s="102"/>
      <c r="G232" s="102"/>
      <c r="H232" s="102"/>
      <c r="I232" s="102"/>
      <c r="J232" s="102"/>
      <c r="K232" s="102"/>
      <c r="L232" s="103" t="str">
        <f aca="false">IF(OR($B232="", $H232="", $I232="", $J232="", $K232=""),"",ROUND((VLOOKUP($H232,Lists!$E$2:$F$5,2,FALSE())*VLOOKUP($I232,Lists!$H$2:$I$4,2,FALSE())*VLOOKUP($J232,Lists!$K$2:$L$4,2,FALSE()))/VLOOKUP($K232,Lists!$N$2:$O$6,2,FALSE()),2))</f>
        <v/>
      </c>
      <c r="M232" s="104" t="str">
        <f aca="false">IF($B232="","",IF($AC232&lt;&gt;"",$AC232,IF($H232="Critical","P0",IF(NOT(ISNUMBER($L232)),"",IF($L232&gt;=Lists!$AM$2,"P0",IF($L232&gt;=Lists!$AM$3,"P1",IF($L232&gt;=Lists!$AM$4,"P2","P3")))))))</f>
        <v/>
      </c>
      <c r="N232" s="102"/>
      <c r="O232" s="101"/>
      <c r="P232" s="102"/>
      <c r="Q232" s="105"/>
      <c r="R232" s="106" t="str">
        <f aca="true">IF($Q232="","", TODAY()-$Q232)</f>
        <v/>
      </c>
      <c r="S232" s="102"/>
      <c r="T232" s="105"/>
      <c r="U232" s="105"/>
      <c r="V232" s="101"/>
      <c r="W232" s="101"/>
      <c r="X232" s="101"/>
      <c r="Y232" s="96"/>
      <c r="Z232" s="96"/>
      <c r="AA232" s="96"/>
      <c r="AC232" s="102"/>
      <c r="AD232" s="107" t="str">
        <f aca="false">IF($B232="","",IF(ISNUMBER($T232),$T232,IF(OR(NOT(ISNUMBER($Q232)),$S232=""),"",IFERROR(IF(ISNUMBER(INDEX(Lists!$AJ$2:$AJ$7,MATCH($S232,Lists!$AI$2:$AI$7,0))),$Q232+INDEX(Lists!$AJ$2:$AJ$7,MATCH($S232,Lists!$AI$2:$AI$7,0)),""),""))))</f>
        <v/>
      </c>
      <c r="AE232" s="104" t="str">
        <f aca="true">IF($B232="","",IF(AND(ISNUMBER($AD232),N($AD232)&lt;TODAY(),$N232&lt;&gt;"Done",$N232&lt;&gt;"Won't Fix",$N232&lt;&gt;"Duplicate"),"Yes","No"))</f>
        <v/>
      </c>
      <c r="AF232" s="101"/>
      <c r="AG232" s="108" t="str">
        <f aca="false">IF($AF232="","",IFERROR(VLOOKUP($AF232,'Application Portfolio'!$A$2:$B$1000,2,FALSE()),"Unknown App ID"))</f>
        <v/>
      </c>
      <c r="AH232" s="108" t="str">
        <f aca="false">IF(OR($B232="",$AF232=""),"",IFERROR(VLOOKUP($AF232,'Application Portfolio'!$A$2:$AB$1000,28,FALSE()),""))</f>
        <v/>
      </c>
    </row>
    <row r="233" customFormat="false" ht="15.75" hidden="false" customHeight="true" outlineLevel="0" collapsed="false">
      <c r="A233" s="100"/>
      <c r="B233" s="101"/>
      <c r="C233" s="101"/>
      <c r="D233" s="101"/>
      <c r="E233" s="101"/>
      <c r="F233" s="102"/>
      <c r="G233" s="102"/>
      <c r="H233" s="102"/>
      <c r="I233" s="102"/>
      <c r="J233" s="102"/>
      <c r="K233" s="102"/>
      <c r="L233" s="103" t="str">
        <f aca="false">IF(OR($B233="", $H233="", $I233="", $J233="", $K233=""),"",ROUND((VLOOKUP($H233,Lists!$E$2:$F$5,2,FALSE())*VLOOKUP($I233,Lists!$H$2:$I$4,2,FALSE())*VLOOKUP($J233,Lists!$K$2:$L$4,2,FALSE()))/VLOOKUP($K233,Lists!$N$2:$O$6,2,FALSE()),2))</f>
        <v/>
      </c>
      <c r="M233" s="104" t="str">
        <f aca="false">IF($B233="","",IF($AC233&lt;&gt;"",$AC233,IF($H233="Critical","P0",IF(NOT(ISNUMBER($L233)),"",IF($L233&gt;=Lists!$AM$2,"P0",IF($L233&gt;=Lists!$AM$3,"P1",IF($L233&gt;=Lists!$AM$4,"P2","P3")))))))</f>
        <v/>
      </c>
      <c r="N233" s="102"/>
      <c r="O233" s="101"/>
      <c r="P233" s="102"/>
      <c r="Q233" s="105"/>
      <c r="R233" s="106" t="str">
        <f aca="true">IF($Q233="","", TODAY()-$Q233)</f>
        <v/>
      </c>
      <c r="S233" s="102"/>
      <c r="T233" s="105"/>
      <c r="U233" s="105"/>
      <c r="V233" s="101"/>
      <c r="W233" s="101"/>
      <c r="X233" s="101"/>
      <c r="Y233" s="96"/>
      <c r="Z233" s="96"/>
      <c r="AA233" s="96"/>
      <c r="AC233" s="102"/>
      <c r="AD233" s="107" t="str">
        <f aca="false">IF($B233="","",IF(ISNUMBER($T233),$T233,IF(OR(NOT(ISNUMBER($Q233)),$S233=""),"",IFERROR(IF(ISNUMBER(INDEX(Lists!$AJ$2:$AJ$7,MATCH($S233,Lists!$AI$2:$AI$7,0))),$Q233+INDEX(Lists!$AJ$2:$AJ$7,MATCH($S233,Lists!$AI$2:$AI$7,0)),""),""))))</f>
        <v/>
      </c>
      <c r="AE233" s="104" t="str">
        <f aca="true">IF($B233="","",IF(AND(ISNUMBER($AD233),N($AD233)&lt;TODAY(),$N233&lt;&gt;"Done",$N233&lt;&gt;"Won't Fix",$N233&lt;&gt;"Duplicate"),"Yes","No"))</f>
        <v/>
      </c>
      <c r="AF233" s="101"/>
      <c r="AG233" s="108" t="str">
        <f aca="false">IF($AF233="","",IFERROR(VLOOKUP($AF233,'Application Portfolio'!$A$2:$B$1000,2,FALSE()),"Unknown App ID"))</f>
        <v/>
      </c>
      <c r="AH233" s="108" t="str">
        <f aca="false">IF(OR($B233="",$AF233=""),"",IFERROR(VLOOKUP($AF233,'Application Portfolio'!$A$2:$AB$1000,28,FALSE()),""))</f>
        <v/>
      </c>
    </row>
    <row r="234" customFormat="false" ht="15.75" hidden="false" customHeight="true" outlineLevel="0" collapsed="false">
      <c r="A234" s="100"/>
      <c r="B234" s="101"/>
      <c r="C234" s="101"/>
      <c r="D234" s="101"/>
      <c r="E234" s="101"/>
      <c r="F234" s="102"/>
      <c r="G234" s="102"/>
      <c r="H234" s="102"/>
      <c r="I234" s="102"/>
      <c r="J234" s="102"/>
      <c r="K234" s="102"/>
      <c r="L234" s="103" t="str">
        <f aca="false">IF(OR($B234="", $H234="", $I234="", $J234="", $K234=""),"",ROUND((VLOOKUP($H234,Lists!$E$2:$F$5,2,FALSE())*VLOOKUP($I234,Lists!$H$2:$I$4,2,FALSE())*VLOOKUP($J234,Lists!$K$2:$L$4,2,FALSE()))/VLOOKUP($K234,Lists!$N$2:$O$6,2,FALSE()),2))</f>
        <v/>
      </c>
      <c r="M234" s="104" t="str">
        <f aca="false">IF($B234="","",IF($AC234&lt;&gt;"",$AC234,IF($H234="Critical","P0",IF(NOT(ISNUMBER($L234)),"",IF($L234&gt;=Lists!$AM$2,"P0",IF($L234&gt;=Lists!$AM$3,"P1",IF($L234&gt;=Lists!$AM$4,"P2","P3")))))))</f>
        <v/>
      </c>
      <c r="N234" s="102"/>
      <c r="O234" s="101"/>
      <c r="P234" s="102"/>
      <c r="Q234" s="105"/>
      <c r="R234" s="106" t="str">
        <f aca="true">IF($Q234="","", TODAY()-$Q234)</f>
        <v/>
      </c>
      <c r="S234" s="102"/>
      <c r="T234" s="105"/>
      <c r="U234" s="105"/>
      <c r="V234" s="101"/>
      <c r="W234" s="101"/>
      <c r="X234" s="101"/>
      <c r="Y234" s="96"/>
      <c r="Z234" s="96"/>
      <c r="AA234" s="96"/>
      <c r="AC234" s="102"/>
      <c r="AD234" s="107" t="str">
        <f aca="false">IF($B234="","",IF(ISNUMBER($T234),$T234,IF(OR(NOT(ISNUMBER($Q234)),$S234=""),"",IFERROR(IF(ISNUMBER(INDEX(Lists!$AJ$2:$AJ$7,MATCH($S234,Lists!$AI$2:$AI$7,0))),$Q234+INDEX(Lists!$AJ$2:$AJ$7,MATCH($S234,Lists!$AI$2:$AI$7,0)),""),""))))</f>
        <v/>
      </c>
      <c r="AE234" s="104" t="str">
        <f aca="true">IF($B234="","",IF(AND(ISNUMBER($AD234),N($AD234)&lt;TODAY(),$N234&lt;&gt;"Done",$N234&lt;&gt;"Won't Fix",$N234&lt;&gt;"Duplicate"),"Yes","No"))</f>
        <v/>
      </c>
      <c r="AF234" s="101"/>
      <c r="AG234" s="108" t="str">
        <f aca="false">IF($AF234="","",IFERROR(VLOOKUP($AF234,'Application Portfolio'!$A$2:$B$1000,2,FALSE()),"Unknown App ID"))</f>
        <v/>
      </c>
      <c r="AH234" s="108" t="str">
        <f aca="false">IF(OR($B234="",$AF234=""),"",IFERROR(VLOOKUP($AF234,'Application Portfolio'!$A$2:$AB$1000,28,FALSE()),""))</f>
        <v/>
      </c>
    </row>
    <row r="235" customFormat="false" ht="15.75" hidden="false" customHeight="true" outlineLevel="0" collapsed="false">
      <c r="A235" s="100"/>
      <c r="B235" s="101"/>
      <c r="C235" s="101"/>
      <c r="D235" s="101"/>
      <c r="E235" s="101"/>
      <c r="F235" s="102"/>
      <c r="G235" s="102"/>
      <c r="H235" s="102"/>
      <c r="I235" s="102"/>
      <c r="J235" s="102"/>
      <c r="K235" s="102"/>
      <c r="L235" s="103" t="str">
        <f aca="false">IF(OR($B235="", $H235="", $I235="", $J235="", $K235=""),"",ROUND((VLOOKUP($H235,Lists!$E$2:$F$5,2,FALSE())*VLOOKUP($I235,Lists!$H$2:$I$4,2,FALSE())*VLOOKUP($J235,Lists!$K$2:$L$4,2,FALSE()))/VLOOKUP($K235,Lists!$N$2:$O$6,2,FALSE()),2))</f>
        <v/>
      </c>
      <c r="M235" s="104" t="str">
        <f aca="false">IF($B235="","",IF($AC235&lt;&gt;"",$AC235,IF($H235="Critical","P0",IF(NOT(ISNUMBER($L235)),"",IF($L235&gt;=Lists!$AM$2,"P0",IF($L235&gt;=Lists!$AM$3,"P1",IF($L235&gt;=Lists!$AM$4,"P2","P3")))))))</f>
        <v/>
      </c>
      <c r="N235" s="102"/>
      <c r="O235" s="101"/>
      <c r="P235" s="102"/>
      <c r="Q235" s="105"/>
      <c r="R235" s="106" t="str">
        <f aca="true">IF($Q235="","", TODAY()-$Q235)</f>
        <v/>
      </c>
      <c r="S235" s="102"/>
      <c r="T235" s="105"/>
      <c r="U235" s="105"/>
      <c r="V235" s="101"/>
      <c r="W235" s="101"/>
      <c r="X235" s="101"/>
      <c r="Y235" s="96"/>
      <c r="Z235" s="96"/>
      <c r="AA235" s="96"/>
      <c r="AC235" s="102"/>
      <c r="AD235" s="107" t="str">
        <f aca="false">IF($B235="","",IF(ISNUMBER($T235),$T235,IF(OR(NOT(ISNUMBER($Q235)),$S235=""),"",IFERROR(IF(ISNUMBER(INDEX(Lists!$AJ$2:$AJ$7,MATCH($S235,Lists!$AI$2:$AI$7,0))),$Q235+INDEX(Lists!$AJ$2:$AJ$7,MATCH($S235,Lists!$AI$2:$AI$7,0)),""),""))))</f>
        <v/>
      </c>
      <c r="AE235" s="104" t="str">
        <f aca="true">IF($B235="","",IF(AND(ISNUMBER($AD235),N($AD235)&lt;TODAY(),$N235&lt;&gt;"Done",$N235&lt;&gt;"Won't Fix",$N235&lt;&gt;"Duplicate"),"Yes","No"))</f>
        <v/>
      </c>
      <c r="AF235" s="101"/>
      <c r="AG235" s="108" t="str">
        <f aca="false">IF($AF235="","",IFERROR(VLOOKUP($AF235,'Application Portfolio'!$A$2:$B$1000,2,FALSE()),"Unknown App ID"))</f>
        <v/>
      </c>
      <c r="AH235" s="108" t="str">
        <f aca="false">IF(OR($B235="",$AF235=""),"",IFERROR(VLOOKUP($AF235,'Application Portfolio'!$A$2:$AB$1000,28,FALSE()),""))</f>
        <v/>
      </c>
    </row>
    <row r="236" customFormat="false" ht="15.75" hidden="false" customHeight="true" outlineLevel="0" collapsed="false">
      <c r="A236" s="100"/>
      <c r="B236" s="101"/>
      <c r="C236" s="101"/>
      <c r="D236" s="101"/>
      <c r="E236" s="101"/>
      <c r="F236" s="102"/>
      <c r="G236" s="102"/>
      <c r="H236" s="102"/>
      <c r="I236" s="102"/>
      <c r="J236" s="102"/>
      <c r="K236" s="102"/>
      <c r="L236" s="103" t="str">
        <f aca="false">IF(OR($B236="", $H236="", $I236="", $J236="", $K236=""),"",ROUND((VLOOKUP($H236,Lists!$E$2:$F$5,2,FALSE())*VLOOKUP($I236,Lists!$H$2:$I$4,2,FALSE())*VLOOKUP($J236,Lists!$K$2:$L$4,2,FALSE()))/VLOOKUP($K236,Lists!$N$2:$O$6,2,FALSE()),2))</f>
        <v/>
      </c>
      <c r="M236" s="104" t="str">
        <f aca="false">IF($B236="","",IF($AC236&lt;&gt;"",$AC236,IF($H236="Critical","P0",IF(NOT(ISNUMBER($L236)),"",IF($L236&gt;=Lists!$AM$2,"P0",IF($L236&gt;=Lists!$AM$3,"P1",IF($L236&gt;=Lists!$AM$4,"P2","P3")))))))</f>
        <v/>
      </c>
      <c r="N236" s="102"/>
      <c r="O236" s="101"/>
      <c r="P236" s="102"/>
      <c r="Q236" s="105"/>
      <c r="R236" s="106" t="str">
        <f aca="true">IF($Q236="","", TODAY()-$Q236)</f>
        <v/>
      </c>
      <c r="S236" s="102"/>
      <c r="T236" s="105"/>
      <c r="U236" s="105"/>
      <c r="V236" s="101"/>
      <c r="W236" s="101"/>
      <c r="X236" s="101"/>
      <c r="Y236" s="96"/>
      <c r="Z236" s="96"/>
      <c r="AA236" s="96"/>
      <c r="AC236" s="102"/>
      <c r="AD236" s="107" t="str">
        <f aca="false">IF($B236="","",IF(ISNUMBER($T236),$T236,IF(OR(NOT(ISNUMBER($Q236)),$S236=""),"",IFERROR(IF(ISNUMBER(INDEX(Lists!$AJ$2:$AJ$7,MATCH($S236,Lists!$AI$2:$AI$7,0))),$Q236+INDEX(Lists!$AJ$2:$AJ$7,MATCH($S236,Lists!$AI$2:$AI$7,0)),""),""))))</f>
        <v/>
      </c>
      <c r="AE236" s="104" t="str">
        <f aca="true">IF($B236="","",IF(AND(ISNUMBER($AD236),N($AD236)&lt;TODAY(),$N236&lt;&gt;"Done",$N236&lt;&gt;"Won't Fix",$N236&lt;&gt;"Duplicate"),"Yes","No"))</f>
        <v/>
      </c>
      <c r="AF236" s="101"/>
      <c r="AG236" s="108" t="str">
        <f aca="false">IF($AF236="","",IFERROR(VLOOKUP($AF236,'Application Portfolio'!$A$2:$B$1000,2,FALSE()),"Unknown App ID"))</f>
        <v/>
      </c>
      <c r="AH236" s="108" t="str">
        <f aca="false">IF(OR($B236="",$AF236=""),"",IFERROR(VLOOKUP($AF236,'Application Portfolio'!$A$2:$AB$1000,28,FALSE()),""))</f>
        <v/>
      </c>
    </row>
    <row r="237" customFormat="false" ht="15.75" hidden="false" customHeight="true" outlineLevel="0" collapsed="false">
      <c r="A237" s="100"/>
      <c r="B237" s="101"/>
      <c r="C237" s="101"/>
      <c r="D237" s="101"/>
      <c r="E237" s="101"/>
      <c r="F237" s="102"/>
      <c r="G237" s="102"/>
      <c r="H237" s="102"/>
      <c r="I237" s="102"/>
      <c r="J237" s="102"/>
      <c r="K237" s="102"/>
      <c r="L237" s="103" t="str">
        <f aca="false">IF(OR($B237="", $H237="", $I237="", $J237="", $K237=""),"",ROUND((VLOOKUP($H237,Lists!$E$2:$F$5,2,FALSE())*VLOOKUP($I237,Lists!$H$2:$I$4,2,FALSE())*VLOOKUP($J237,Lists!$K$2:$L$4,2,FALSE()))/VLOOKUP($K237,Lists!$N$2:$O$6,2,FALSE()),2))</f>
        <v/>
      </c>
      <c r="M237" s="104" t="str">
        <f aca="false">IF($B237="","",IF($AC237&lt;&gt;"",$AC237,IF($H237="Critical","P0",IF(NOT(ISNUMBER($L237)),"",IF($L237&gt;=Lists!$AM$2,"P0",IF($L237&gt;=Lists!$AM$3,"P1",IF($L237&gt;=Lists!$AM$4,"P2","P3")))))))</f>
        <v/>
      </c>
      <c r="N237" s="102"/>
      <c r="O237" s="101"/>
      <c r="P237" s="102"/>
      <c r="Q237" s="105"/>
      <c r="R237" s="106" t="str">
        <f aca="true">IF($Q237="","", TODAY()-$Q237)</f>
        <v/>
      </c>
      <c r="S237" s="102"/>
      <c r="T237" s="105"/>
      <c r="U237" s="105"/>
      <c r="V237" s="101"/>
      <c r="W237" s="101"/>
      <c r="X237" s="101"/>
      <c r="Y237" s="96"/>
      <c r="Z237" s="96"/>
      <c r="AA237" s="96"/>
      <c r="AC237" s="102"/>
      <c r="AD237" s="107" t="str">
        <f aca="false">IF($B237="","",IF(ISNUMBER($T237),$T237,IF(OR(NOT(ISNUMBER($Q237)),$S237=""),"",IFERROR(IF(ISNUMBER(INDEX(Lists!$AJ$2:$AJ$7,MATCH($S237,Lists!$AI$2:$AI$7,0))),$Q237+INDEX(Lists!$AJ$2:$AJ$7,MATCH($S237,Lists!$AI$2:$AI$7,0)),""),""))))</f>
        <v/>
      </c>
      <c r="AE237" s="104" t="str">
        <f aca="true">IF($B237="","",IF(AND(ISNUMBER($AD237),N($AD237)&lt;TODAY(),$N237&lt;&gt;"Done",$N237&lt;&gt;"Won't Fix",$N237&lt;&gt;"Duplicate"),"Yes","No"))</f>
        <v/>
      </c>
      <c r="AF237" s="101"/>
      <c r="AG237" s="108" t="str">
        <f aca="false">IF($AF237="","",IFERROR(VLOOKUP($AF237,'Application Portfolio'!$A$2:$B$1000,2,FALSE()),"Unknown App ID"))</f>
        <v/>
      </c>
      <c r="AH237" s="108" t="str">
        <f aca="false">IF(OR($B237="",$AF237=""),"",IFERROR(VLOOKUP($AF237,'Application Portfolio'!$A$2:$AB$1000,28,FALSE()),""))</f>
        <v/>
      </c>
    </row>
    <row r="238" customFormat="false" ht="15.75" hidden="false" customHeight="true" outlineLevel="0" collapsed="false">
      <c r="A238" s="100"/>
      <c r="B238" s="101"/>
      <c r="C238" s="101"/>
      <c r="D238" s="101"/>
      <c r="E238" s="101"/>
      <c r="F238" s="102"/>
      <c r="G238" s="102"/>
      <c r="H238" s="102"/>
      <c r="I238" s="102"/>
      <c r="J238" s="102"/>
      <c r="K238" s="102"/>
      <c r="L238" s="103" t="str">
        <f aca="false">IF(OR($B238="", $H238="", $I238="", $J238="", $K238=""),"",ROUND((VLOOKUP($H238,Lists!$E$2:$F$5,2,FALSE())*VLOOKUP($I238,Lists!$H$2:$I$4,2,FALSE())*VLOOKUP($J238,Lists!$K$2:$L$4,2,FALSE()))/VLOOKUP($K238,Lists!$N$2:$O$6,2,FALSE()),2))</f>
        <v/>
      </c>
      <c r="M238" s="104" t="str">
        <f aca="false">IF($B238="","",IF($AC238&lt;&gt;"",$AC238,IF($H238="Critical","P0",IF(NOT(ISNUMBER($L238)),"",IF($L238&gt;=Lists!$AM$2,"P0",IF($L238&gt;=Lists!$AM$3,"P1",IF($L238&gt;=Lists!$AM$4,"P2","P3")))))))</f>
        <v/>
      </c>
      <c r="N238" s="102"/>
      <c r="O238" s="101"/>
      <c r="P238" s="102"/>
      <c r="Q238" s="105"/>
      <c r="R238" s="106" t="str">
        <f aca="true">IF($Q238="","", TODAY()-$Q238)</f>
        <v/>
      </c>
      <c r="S238" s="102"/>
      <c r="T238" s="105"/>
      <c r="U238" s="105"/>
      <c r="V238" s="101"/>
      <c r="W238" s="101"/>
      <c r="X238" s="101"/>
      <c r="Y238" s="96"/>
      <c r="Z238" s="96"/>
      <c r="AA238" s="96"/>
      <c r="AC238" s="102"/>
      <c r="AD238" s="107" t="str">
        <f aca="false">IF($B238="","",IF(ISNUMBER($T238),$T238,IF(OR(NOT(ISNUMBER($Q238)),$S238=""),"",IFERROR(IF(ISNUMBER(INDEX(Lists!$AJ$2:$AJ$7,MATCH($S238,Lists!$AI$2:$AI$7,0))),$Q238+INDEX(Lists!$AJ$2:$AJ$7,MATCH($S238,Lists!$AI$2:$AI$7,0)),""),""))))</f>
        <v/>
      </c>
      <c r="AE238" s="104" t="str">
        <f aca="true">IF($B238="","",IF(AND(ISNUMBER($AD238),N($AD238)&lt;TODAY(),$N238&lt;&gt;"Done",$N238&lt;&gt;"Won't Fix",$N238&lt;&gt;"Duplicate"),"Yes","No"))</f>
        <v/>
      </c>
      <c r="AF238" s="101"/>
      <c r="AG238" s="108" t="str">
        <f aca="false">IF($AF238="","",IFERROR(VLOOKUP($AF238,'Application Portfolio'!$A$2:$B$1000,2,FALSE()),"Unknown App ID"))</f>
        <v/>
      </c>
      <c r="AH238" s="108" t="str">
        <f aca="false">IF(OR($B238="",$AF238=""),"",IFERROR(VLOOKUP($AF238,'Application Portfolio'!$A$2:$AB$1000,28,FALSE()),""))</f>
        <v/>
      </c>
    </row>
    <row r="239" customFormat="false" ht="15.75" hidden="false" customHeight="true" outlineLevel="0" collapsed="false">
      <c r="A239" s="100"/>
      <c r="B239" s="101"/>
      <c r="C239" s="101"/>
      <c r="D239" s="101"/>
      <c r="E239" s="101"/>
      <c r="F239" s="102"/>
      <c r="G239" s="102"/>
      <c r="H239" s="102"/>
      <c r="I239" s="102"/>
      <c r="J239" s="102"/>
      <c r="K239" s="102"/>
      <c r="L239" s="103" t="str">
        <f aca="false">IF(OR($B239="", $H239="", $I239="", $J239="", $K239=""),"",ROUND((VLOOKUP($H239,Lists!$E$2:$F$5,2,FALSE())*VLOOKUP($I239,Lists!$H$2:$I$4,2,FALSE())*VLOOKUP($J239,Lists!$K$2:$L$4,2,FALSE()))/VLOOKUP($K239,Lists!$N$2:$O$6,2,FALSE()),2))</f>
        <v/>
      </c>
      <c r="M239" s="104" t="str">
        <f aca="false">IF($B239="","",IF($AC239&lt;&gt;"",$AC239,IF($H239="Critical","P0",IF(NOT(ISNUMBER($L239)),"",IF($L239&gt;=Lists!$AM$2,"P0",IF($L239&gt;=Lists!$AM$3,"P1",IF($L239&gt;=Lists!$AM$4,"P2","P3")))))))</f>
        <v/>
      </c>
      <c r="N239" s="102"/>
      <c r="O239" s="101"/>
      <c r="P239" s="102"/>
      <c r="Q239" s="105"/>
      <c r="R239" s="106" t="str">
        <f aca="true">IF($Q239="","", TODAY()-$Q239)</f>
        <v/>
      </c>
      <c r="S239" s="102"/>
      <c r="T239" s="105"/>
      <c r="U239" s="105"/>
      <c r="V239" s="101"/>
      <c r="W239" s="101"/>
      <c r="X239" s="101"/>
      <c r="Y239" s="96"/>
      <c r="Z239" s="96"/>
      <c r="AA239" s="96"/>
      <c r="AC239" s="102"/>
      <c r="AD239" s="107" t="str">
        <f aca="false">IF($B239="","",IF(ISNUMBER($T239),$T239,IF(OR(NOT(ISNUMBER($Q239)),$S239=""),"",IFERROR(IF(ISNUMBER(INDEX(Lists!$AJ$2:$AJ$7,MATCH($S239,Lists!$AI$2:$AI$7,0))),$Q239+INDEX(Lists!$AJ$2:$AJ$7,MATCH($S239,Lists!$AI$2:$AI$7,0)),""),""))))</f>
        <v/>
      </c>
      <c r="AE239" s="104" t="str">
        <f aca="true">IF($B239="","",IF(AND(ISNUMBER($AD239),N($AD239)&lt;TODAY(),$N239&lt;&gt;"Done",$N239&lt;&gt;"Won't Fix",$N239&lt;&gt;"Duplicate"),"Yes","No"))</f>
        <v/>
      </c>
      <c r="AF239" s="101"/>
      <c r="AG239" s="108" t="str">
        <f aca="false">IF($AF239="","",IFERROR(VLOOKUP($AF239,'Application Portfolio'!$A$2:$B$1000,2,FALSE()),"Unknown App ID"))</f>
        <v/>
      </c>
      <c r="AH239" s="108" t="str">
        <f aca="false">IF(OR($B239="",$AF239=""),"",IFERROR(VLOOKUP($AF239,'Application Portfolio'!$A$2:$AB$1000,28,FALSE()),""))</f>
        <v/>
      </c>
    </row>
    <row r="240" customFormat="false" ht="15.75" hidden="false" customHeight="true" outlineLevel="0" collapsed="false">
      <c r="A240" s="100"/>
      <c r="B240" s="101"/>
      <c r="C240" s="101"/>
      <c r="D240" s="101"/>
      <c r="E240" s="101"/>
      <c r="F240" s="102"/>
      <c r="G240" s="102"/>
      <c r="H240" s="102"/>
      <c r="I240" s="102"/>
      <c r="J240" s="102"/>
      <c r="K240" s="102"/>
      <c r="L240" s="103" t="str">
        <f aca="false">IF(OR($B240="", $H240="", $I240="", $J240="", $K240=""),"",ROUND((VLOOKUP($H240,Lists!$E$2:$F$5,2,FALSE())*VLOOKUP($I240,Lists!$H$2:$I$4,2,FALSE())*VLOOKUP($J240,Lists!$K$2:$L$4,2,FALSE()))/VLOOKUP($K240,Lists!$N$2:$O$6,2,FALSE()),2))</f>
        <v/>
      </c>
      <c r="M240" s="104" t="str">
        <f aca="false">IF($B240="","",IF($AC240&lt;&gt;"",$AC240,IF($H240="Critical","P0",IF(NOT(ISNUMBER($L240)),"",IF($L240&gt;=Lists!$AM$2,"P0",IF($L240&gt;=Lists!$AM$3,"P1",IF($L240&gt;=Lists!$AM$4,"P2","P3")))))))</f>
        <v/>
      </c>
      <c r="N240" s="102"/>
      <c r="O240" s="101"/>
      <c r="P240" s="102"/>
      <c r="Q240" s="105"/>
      <c r="R240" s="106" t="str">
        <f aca="true">IF($Q240="","", TODAY()-$Q240)</f>
        <v/>
      </c>
      <c r="S240" s="102"/>
      <c r="T240" s="105"/>
      <c r="U240" s="105"/>
      <c r="V240" s="101"/>
      <c r="W240" s="101"/>
      <c r="X240" s="101"/>
      <c r="Y240" s="96"/>
      <c r="Z240" s="96"/>
      <c r="AA240" s="96"/>
      <c r="AC240" s="102"/>
      <c r="AD240" s="107" t="str">
        <f aca="false">IF($B240="","",IF(ISNUMBER($T240),$T240,IF(OR(NOT(ISNUMBER($Q240)),$S240=""),"",IFERROR(IF(ISNUMBER(INDEX(Lists!$AJ$2:$AJ$7,MATCH($S240,Lists!$AI$2:$AI$7,0))),$Q240+INDEX(Lists!$AJ$2:$AJ$7,MATCH($S240,Lists!$AI$2:$AI$7,0)),""),""))))</f>
        <v/>
      </c>
      <c r="AE240" s="104" t="str">
        <f aca="true">IF($B240="","",IF(AND(ISNUMBER($AD240),N($AD240)&lt;TODAY(),$N240&lt;&gt;"Done",$N240&lt;&gt;"Won't Fix",$N240&lt;&gt;"Duplicate"),"Yes","No"))</f>
        <v/>
      </c>
      <c r="AF240" s="101"/>
      <c r="AG240" s="108" t="str">
        <f aca="false">IF($AF240="","",IFERROR(VLOOKUP($AF240,'Application Portfolio'!$A$2:$B$1000,2,FALSE()),"Unknown App ID"))</f>
        <v/>
      </c>
      <c r="AH240" s="108" t="str">
        <f aca="false">IF(OR($B240="",$AF240=""),"",IFERROR(VLOOKUP($AF240,'Application Portfolio'!$A$2:$AB$1000,28,FALSE()),""))</f>
        <v/>
      </c>
    </row>
    <row r="241" customFormat="false" ht="15.75" hidden="false" customHeight="true" outlineLevel="0" collapsed="false">
      <c r="A241" s="100"/>
      <c r="B241" s="101"/>
      <c r="C241" s="101"/>
      <c r="D241" s="101"/>
      <c r="E241" s="101"/>
      <c r="F241" s="102"/>
      <c r="G241" s="102"/>
      <c r="H241" s="102"/>
      <c r="I241" s="102"/>
      <c r="J241" s="102"/>
      <c r="K241" s="102"/>
      <c r="L241" s="103" t="str">
        <f aca="false">IF(OR($B241="", $H241="", $I241="", $J241="", $K241=""),"",ROUND((VLOOKUP($H241,Lists!$E$2:$F$5,2,FALSE())*VLOOKUP($I241,Lists!$H$2:$I$4,2,FALSE())*VLOOKUP($J241,Lists!$K$2:$L$4,2,FALSE()))/VLOOKUP($K241,Lists!$N$2:$O$6,2,FALSE()),2))</f>
        <v/>
      </c>
      <c r="M241" s="104" t="str">
        <f aca="false">IF($B241="","",IF($AC241&lt;&gt;"",$AC241,IF($H241="Critical","P0",IF(NOT(ISNUMBER($L241)),"",IF($L241&gt;=Lists!$AM$2,"P0",IF($L241&gt;=Lists!$AM$3,"P1",IF($L241&gt;=Lists!$AM$4,"P2","P3")))))))</f>
        <v/>
      </c>
      <c r="N241" s="102"/>
      <c r="O241" s="101"/>
      <c r="P241" s="102"/>
      <c r="Q241" s="105"/>
      <c r="R241" s="106" t="str">
        <f aca="true">IF($Q241="","", TODAY()-$Q241)</f>
        <v/>
      </c>
      <c r="S241" s="102"/>
      <c r="T241" s="105"/>
      <c r="U241" s="105"/>
      <c r="V241" s="101"/>
      <c r="W241" s="101"/>
      <c r="X241" s="101"/>
      <c r="Y241" s="96"/>
      <c r="Z241" s="96"/>
      <c r="AA241" s="96"/>
      <c r="AC241" s="102"/>
      <c r="AD241" s="107" t="str">
        <f aca="false">IF($B241="","",IF(ISNUMBER($T241),$T241,IF(OR(NOT(ISNUMBER($Q241)),$S241=""),"",IFERROR(IF(ISNUMBER(INDEX(Lists!$AJ$2:$AJ$7,MATCH($S241,Lists!$AI$2:$AI$7,0))),$Q241+INDEX(Lists!$AJ$2:$AJ$7,MATCH($S241,Lists!$AI$2:$AI$7,0)),""),""))))</f>
        <v/>
      </c>
      <c r="AE241" s="104" t="str">
        <f aca="true">IF($B241="","",IF(AND(ISNUMBER($AD241),N($AD241)&lt;TODAY(),$N241&lt;&gt;"Done",$N241&lt;&gt;"Won't Fix",$N241&lt;&gt;"Duplicate"),"Yes","No"))</f>
        <v/>
      </c>
      <c r="AF241" s="101"/>
      <c r="AG241" s="108" t="str">
        <f aca="false">IF($AF241="","",IFERROR(VLOOKUP($AF241,'Application Portfolio'!$A$2:$B$1000,2,FALSE()),"Unknown App ID"))</f>
        <v/>
      </c>
      <c r="AH241" s="108" t="str">
        <f aca="false">IF(OR($B241="",$AF241=""),"",IFERROR(VLOOKUP($AF241,'Application Portfolio'!$A$2:$AB$1000,28,FALSE()),""))</f>
        <v/>
      </c>
    </row>
    <row r="242" customFormat="false" ht="15.75" hidden="false" customHeight="true" outlineLevel="0" collapsed="false">
      <c r="A242" s="100"/>
      <c r="B242" s="101"/>
      <c r="C242" s="101"/>
      <c r="D242" s="101"/>
      <c r="E242" s="101"/>
      <c r="F242" s="102"/>
      <c r="G242" s="102"/>
      <c r="H242" s="102"/>
      <c r="I242" s="102"/>
      <c r="J242" s="102"/>
      <c r="K242" s="102"/>
      <c r="L242" s="103" t="str">
        <f aca="false">IF(OR($B242="", $H242="", $I242="", $J242="", $K242=""),"",ROUND((VLOOKUP($H242,Lists!$E$2:$F$5,2,FALSE())*VLOOKUP($I242,Lists!$H$2:$I$4,2,FALSE())*VLOOKUP($J242,Lists!$K$2:$L$4,2,FALSE()))/VLOOKUP($K242,Lists!$N$2:$O$6,2,FALSE()),2))</f>
        <v/>
      </c>
      <c r="M242" s="104" t="str">
        <f aca="false">IF($B242="","",IF($AC242&lt;&gt;"",$AC242,IF($H242="Critical","P0",IF(NOT(ISNUMBER($L242)),"",IF($L242&gt;=Lists!$AM$2,"P0",IF($L242&gt;=Lists!$AM$3,"P1",IF($L242&gt;=Lists!$AM$4,"P2","P3")))))))</f>
        <v/>
      </c>
      <c r="N242" s="102"/>
      <c r="O242" s="101"/>
      <c r="P242" s="102"/>
      <c r="Q242" s="105"/>
      <c r="R242" s="106" t="str">
        <f aca="true">IF($Q242="","", TODAY()-$Q242)</f>
        <v/>
      </c>
      <c r="S242" s="102"/>
      <c r="T242" s="105"/>
      <c r="U242" s="105"/>
      <c r="V242" s="101"/>
      <c r="W242" s="101"/>
      <c r="X242" s="101"/>
      <c r="Y242" s="96"/>
      <c r="Z242" s="96"/>
      <c r="AA242" s="96"/>
      <c r="AC242" s="102"/>
      <c r="AD242" s="107" t="str">
        <f aca="false">IF($B242="","",IF(ISNUMBER($T242),$T242,IF(OR(NOT(ISNUMBER($Q242)),$S242=""),"",IFERROR(IF(ISNUMBER(INDEX(Lists!$AJ$2:$AJ$7,MATCH($S242,Lists!$AI$2:$AI$7,0))),$Q242+INDEX(Lists!$AJ$2:$AJ$7,MATCH($S242,Lists!$AI$2:$AI$7,0)),""),""))))</f>
        <v/>
      </c>
      <c r="AE242" s="104" t="str">
        <f aca="true">IF($B242="","",IF(AND(ISNUMBER($AD242),N($AD242)&lt;TODAY(),$N242&lt;&gt;"Done",$N242&lt;&gt;"Won't Fix",$N242&lt;&gt;"Duplicate"),"Yes","No"))</f>
        <v/>
      </c>
      <c r="AF242" s="101"/>
      <c r="AG242" s="108" t="str">
        <f aca="false">IF($AF242="","",IFERROR(VLOOKUP($AF242,'Application Portfolio'!$A$2:$B$1000,2,FALSE()),"Unknown App ID"))</f>
        <v/>
      </c>
      <c r="AH242" s="108" t="str">
        <f aca="false">IF(OR($B242="",$AF242=""),"",IFERROR(VLOOKUP($AF242,'Application Portfolio'!$A$2:$AB$1000,28,FALSE()),""))</f>
        <v/>
      </c>
    </row>
    <row r="243" customFormat="false" ht="15.75" hidden="false" customHeight="true" outlineLevel="0" collapsed="false">
      <c r="A243" s="100"/>
      <c r="B243" s="101"/>
      <c r="C243" s="101"/>
      <c r="D243" s="101"/>
      <c r="E243" s="101"/>
      <c r="F243" s="102"/>
      <c r="G243" s="102"/>
      <c r="H243" s="102"/>
      <c r="I243" s="102"/>
      <c r="J243" s="102"/>
      <c r="K243" s="102"/>
      <c r="L243" s="103" t="str">
        <f aca="false">IF(OR($B243="", $H243="", $I243="", $J243="", $K243=""),"",ROUND((VLOOKUP($H243,Lists!$E$2:$F$5,2,FALSE())*VLOOKUP($I243,Lists!$H$2:$I$4,2,FALSE())*VLOOKUP($J243,Lists!$K$2:$L$4,2,FALSE()))/VLOOKUP($K243,Lists!$N$2:$O$6,2,FALSE()),2))</f>
        <v/>
      </c>
      <c r="M243" s="104" t="str">
        <f aca="false">IF($B243="","",IF($AC243&lt;&gt;"",$AC243,IF($H243="Critical","P0",IF(NOT(ISNUMBER($L243)),"",IF($L243&gt;=Lists!$AM$2,"P0",IF($L243&gt;=Lists!$AM$3,"P1",IF($L243&gt;=Lists!$AM$4,"P2","P3")))))))</f>
        <v/>
      </c>
      <c r="N243" s="102"/>
      <c r="O243" s="101"/>
      <c r="P243" s="102"/>
      <c r="Q243" s="105"/>
      <c r="R243" s="106" t="str">
        <f aca="true">IF($Q243="","", TODAY()-$Q243)</f>
        <v/>
      </c>
      <c r="S243" s="102"/>
      <c r="T243" s="105"/>
      <c r="U243" s="105"/>
      <c r="V243" s="101"/>
      <c r="W243" s="101"/>
      <c r="X243" s="101"/>
      <c r="Y243" s="96"/>
      <c r="Z243" s="96"/>
      <c r="AA243" s="96"/>
      <c r="AC243" s="102"/>
      <c r="AD243" s="107" t="str">
        <f aca="false">IF($B243="","",IF(ISNUMBER($T243),$T243,IF(OR(NOT(ISNUMBER($Q243)),$S243=""),"",IFERROR(IF(ISNUMBER(INDEX(Lists!$AJ$2:$AJ$7,MATCH($S243,Lists!$AI$2:$AI$7,0))),$Q243+INDEX(Lists!$AJ$2:$AJ$7,MATCH($S243,Lists!$AI$2:$AI$7,0)),""),""))))</f>
        <v/>
      </c>
      <c r="AE243" s="104" t="str">
        <f aca="true">IF($B243="","",IF(AND(ISNUMBER($AD243),N($AD243)&lt;TODAY(),$N243&lt;&gt;"Done",$N243&lt;&gt;"Won't Fix",$N243&lt;&gt;"Duplicate"),"Yes","No"))</f>
        <v/>
      </c>
      <c r="AF243" s="101"/>
      <c r="AG243" s="108" t="str">
        <f aca="false">IF($AF243="","",IFERROR(VLOOKUP($AF243,'Application Portfolio'!$A$2:$B$1000,2,FALSE()),"Unknown App ID"))</f>
        <v/>
      </c>
      <c r="AH243" s="108" t="str">
        <f aca="false">IF(OR($B243="",$AF243=""),"",IFERROR(VLOOKUP($AF243,'Application Portfolio'!$A$2:$AB$1000,28,FALSE()),""))</f>
        <v/>
      </c>
    </row>
    <row r="244" customFormat="false" ht="15.75" hidden="false" customHeight="true" outlineLevel="0" collapsed="false">
      <c r="A244" s="100"/>
      <c r="B244" s="101"/>
      <c r="C244" s="101"/>
      <c r="D244" s="101"/>
      <c r="E244" s="101"/>
      <c r="F244" s="102"/>
      <c r="G244" s="102"/>
      <c r="H244" s="102"/>
      <c r="I244" s="102"/>
      <c r="J244" s="102"/>
      <c r="K244" s="102"/>
      <c r="L244" s="103" t="str">
        <f aca="false">IF(OR($B244="", $H244="", $I244="", $J244="", $K244=""),"",ROUND((VLOOKUP($H244,Lists!$E$2:$F$5,2,FALSE())*VLOOKUP($I244,Lists!$H$2:$I$4,2,FALSE())*VLOOKUP($J244,Lists!$K$2:$L$4,2,FALSE()))/VLOOKUP($K244,Lists!$N$2:$O$6,2,FALSE()),2))</f>
        <v/>
      </c>
      <c r="M244" s="104" t="str">
        <f aca="false">IF($B244="","",IF($AC244&lt;&gt;"",$AC244,IF($H244="Critical","P0",IF(NOT(ISNUMBER($L244)),"",IF($L244&gt;=Lists!$AM$2,"P0",IF($L244&gt;=Lists!$AM$3,"P1",IF($L244&gt;=Lists!$AM$4,"P2","P3")))))))</f>
        <v/>
      </c>
      <c r="N244" s="102"/>
      <c r="O244" s="101"/>
      <c r="P244" s="102"/>
      <c r="Q244" s="105"/>
      <c r="R244" s="106" t="str">
        <f aca="true">IF($Q244="","", TODAY()-$Q244)</f>
        <v/>
      </c>
      <c r="S244" s="102"/>
      <c r="T244" s="105"/>
      <c r="U244" s="105"/>
      <c r="V244" s="101"/>
      <c r="W244" s="101"/>
      <c r="X244" s="101"/>
      <c r="Y244" s="96"/>
      <c r="Z244" s="96"/>
      <c r="AA244" s="96"/>
      <c r="AC244" s="102"/>
      <c r="AD244" s="107" t="str">
        <f aca="false">IF($B244="","",IF(ISNUMBER($T244),$T244,IF(OR(NOT(ISNUMBER($Q244)),$S244=""),"",IFERROR(IF(ISNUMBER(INDEX(Lists!$AJ$2:$AJ$7,MATCH($S244,Lists!$AI$2:$AI$7,0))),$Q244+INDEX(Lists!$AJ$2:$AJ$7,MATCH($S244,Lists!$AI$2:$AI$7,0)),""),""))))</f>
        <v/>
      </c>
      <c r="AE244" s="104" t="str">
        <f aca="true">IF($B244="","",IF(AND(ISNUMBER($AD244),N($AD244)&lt;TODAY(),$N244&lt;&gt;"Done",$N244&lt;&gt;"Won't Fix",$N244&lt;&gt;"Duplicate"),"Yes","No"))</f>
        <v/>
      </c>
      <c r="AF244" s="101"/>
      <c r="AG244" s="108" t="str">
        <f aca="false">IF($AF244="","",IFERROR(VLOOKUP($AF244,'Application Portfolio'!$A$2:$B$1000,2,FALSE()),"Unknown App ID"))</f>
        <v/>
      </c>
      <c r="AH244" s="108" t="str">
        <f aca="false">IF(OR($B244="",$AF244=""),"",IFERROR(VLOOKUP($AF244,'Application Portfolio'!$A$2:$AB$1000,28,FALSE()),""))</f>
        <v/>
      </c>
    </row>
    <row r="245" customFormat="false" ht="15.75" hidden="false" customHeight="true" outlineLevel="0" collapsed="false">
      <c r="A245" s="100"/>
      <c r="B245" s="101"/>
      <c r="C245" s="101"/>
      <c r="D245" s="101"/>
      <c r="E245" s="101"/>
      <c r="F245" s="102"/>
      <c r="G245" s="102"/>
      <c r="H245" s="102"/>
      <c r="I245" s="102"/>
      <c r="J245" s="102"/>
      <c r="K245" s="102"/>
      <c r="L245" s="103" t="str">
        <f aca="false">IF(OR($B245="", $H245="", $I245="", $J245="", $K245=""),"",ROUND((VLOOKUP($H245,Lists!$E$2:$F$5,2,FALSE())*VLOOKUP($I245,Lists!$H$2:$I$4,2,FALSE())*VLOOKUP($J245,Lists!$K$2:$L$4,2,FALSE()))/VLOOKUP($K245,Lists!$N$2:$O$6,2,FALSE()),2))</f>
        <v/>
      </c>
      <c r="M245" s="104" t="str">
        <f aca="false">IF($B245="","",IF($AC245&lt;&gt;"",$AC245,IF($H245="Critical","P0",IF(NOT(ISNUMBER($L245)),"",IF($L245&gt;=Lists!$AM$2,"P0",IF($L245&gt;=Lists!$AM$3,"P1",IF($L245&gt;=Lists!$AM$4,"P2","P3")))))))</f>
        <v/>
      </c>
      <c r="N245" s="102"/>
      <c r="O245" s="101"/>
      <c r="P245" s="102"/>
      <c r="Q245" s="105"/>
      <c r="R245" s="106" t="str">
        <f aca="true">IF($Q245="","", TODAY()-$Q245)</f>
        <v/>
      </c>
      <c r="S245" s="102"/>
      <c r="T245" s="105"/>
      <c r="U245" s="105"/>
      <c r="V245" s="101"/>
      <c r="W245" s="101"/>
      <c r="X245" s="101"/>
      <c r="Y245" s="96"/>
      <c r="Z245" s="96"/>
      <c r="AA245" s="96"/>
      <c r="AC245" s="102"/>
      <c r="AD245" s="107" t="str">
        <f aca="false">IF($B245="","",IF(ISNUMBER($T245),$T245,IF(OR(NOT(ISNUMBER($Q245)),$S245=""),"",IFERROR(IF(ISNUMBER(INDEX(Lists!$AJ$2:$AJ$7,MATCH($S245,Lists!$AI$2:$AI$7,0))),$Q245+INDEX(Lists!$AJ$2:$AJ$7,MATCH($S245,Lists!$AI$2:$AI$7,0)),""),""))))</f>
        <v/>
      </c>
      <c r="AE245" s="104" t="str">
        <f aca="true">IF($B245="","",IF(AND(ISNUMBER($AD245),N($AD245)&lt;TODAY(),$N245&lt;&gt;"Done",$N245&lt;&gt;"Won't Fix",$N245&lt;&gt;"Duplicate"),"Yes","No"))</f>
        <v/>
      </c>
      <c r="AF245" s="101"/>
      <c r="AG245" s="108" t="str">
        <f aca="false">IF($AF245="","",IFERROR(VLOOKUP($AF245,'Application Portfolio'!$A$2:$B$1000,2,FALSE()),"Unknown App ID"))</f>
        <v/>
      </c>
      <c r="AH245" s="108" t="str">
        <f aca="false">IF(OR($B245="",$AF245=""),"",IFERROR(VLOOKUP($AF245,'Application Portfolio'!$A$2:$AB$1000,28,FALSE()),""))</f>
        <v/>
      </c>
    </row>
    <row r="246" customFormat="false" ht="15.75" hidden="false" customHeight="true" outlineLevel="0" collapsed="false">
      <c r="A246" s="100"/>
      <c r="B246" s="101"/>
      <c r="C246" s="101"/>
      <c r="D246" s="101"/>
      <c r="E246" s="101"/>
      <c r="F246" s="102"/>
      <c r="G246" s="102"/>
      <c r="H246" s="102"/>
      <c r="I246" s="102"/>
      <c r="J246" s="102"/>
      <c r="K246" s="102"/>
      <c r="L246" s="103" t="str">
        <f aca="false">IF(OR($B246="", $H246="", $I246="", $J246="", $K246=""),"",ROUND((VLOOKUP($H246,Lists!$E$2:$F$5,2,FALSE())*VLOOKUP($I246,Lists!$H$2:$I$4,2,FALSE())*VLOOKUP($J246,Lists!$K$2:$L$4,2,FALSE()))/VLOOKUP($K246,Lists!$N$2:$O$6,2,FALSE()),2))</f>
        <v/>
      </c>
      <c r="M246" s="104" t="str">
        <f aca="false">IF($B246="","",IF($AC246&lt;&gt;"",$AC246,IF($H246="Critical","P0",IF(NOT(ISNUMBER($L246)),"",IF($L246&gt;=Lists!$AM$2,"P0",IF($L246&gt;=Lists!$AM$3,"P1",IF($L246&gt;=Lists!$AM$4,"P2","P3")))))))</f>
        <v/>
      </c>
      <c r="N246" s="102"/>
      <c r="O246" s="101"/>
      <c r="P246" s="102"/>
      <c r="Q246" s="105"/>
      <c r="R246" s="106" t="str">
        <f aca="true">IF($Q246="","", TODAY()-$Q246)</f>
        <v/>
      </c>
      <c r="S246" s="102"/>
      <c r="T246" s="105"/>
      <c r="U246" s="105"/>
      <c r="V246" s="101"/>
      <c r="W246" s="101"/>
      <c r="X246" s="101"/>
      <c r="Y246" s="96"/>
      <c r="Z246" s="96"/>
      <c r="AA246" s="96"/>
      <c r="AC246" s="102"/>
      <c r="AD246" s="107" t="str">
        <f aca="false">IF($B246="","",IF(ISNUMBER($T246),$T246,IF(OR(NOT(ISNUMBER($Q246)),$S246=""),"",IFERROR(IF(ISNUMBER(INDEX(Lists!$AJ$2:$AJ$7,MATCH($S246,Lists!$AI$2:$AI$7,0))),$Q246+INDEX(Lists!$AJ$2:$AJ$7,MATCH($S246,Lists!$AI$2:$AI$7,0)),""),""))))</f>
        <v/>
      </c>
      <c r="AE246" s="104" t="str">
        <f aca="true">IF($B246="","",IF(AND(ISNUMBER($AD246),N($AD246)&lt;TODAY(),$N246&lt;&gt;"Done",$N246&lt;&gt;"Won't Fix",$N246&lt;&gt;"Duplicate"),"Yes","No"))</f>
        <v/>
      </c>
      <c r="AF246" s="101"/>
      <c r="AG246" s="108" t="str">
        <f aca="false">IF($AF246="","",IFERROR(VLOOKUP($AF246,'Application Portfolio'!$A$2:$B$1000,2,FALSE()),"Unknown App ID"))</f>
        <v/>
      </c>
      <c r="AH246" s="108" t="str">
        <f aca="false">IF(OR($B246="",$AF246=""),"",IFERROR(VLOOKUP($AF246,'Application Portfolio'!$A$2:$AB$1000,28,FALSE()),""))</f>
        <v/>
      </c>
    </row>
    <row r="247" customFormat="false" ht="15.75" hidden="false" customHeight="true" outlineLevel="0" collapsed="false">
      <c r="A247" s="100"/>
      <c r="B247" s="101"/>
      <c r="C247" s="101"/>
      <c r="D247" s="101"/>
      <c r="E247" s="101"/>
      <c r="F247" s="102"/>
      <c r="G247" s="102"/>
      <c r="H247" s="102"/>
      <c r="I247" s="102"/>
      <c r="J247" s="102"/>
      <c r="K247" s="102"/>
      <c r="L247" s="103" t="str">
        <f aca="false">IF(OR($B247="", $H247="", $I247="", $J247="", $K247=""),"",ROUND((VLOOKUP($H247,Lists!$E$2:$F$5,2,FALSE())*VLOOKUP($I247,Lists!$H$2:$I$4,2,FALSE())*VLOOKUP($J247,Lists!$K$2:$L$4,2,FALSE()))/VLOOKUP($K247,Lists!$N$2:$O$6,2,FALSE()),2))</f>
        <v/>
      </c>
      <c r="M247" s="104" t="str">
        <f aca="false">IF($B247="","",IF($AC247&lt;&gt;"",$AC247,IF($H247="Critical","P0",IF(NOT(ISNUMBER($L247)),"",IF($L247&gt;=Lists!$AM$2,"P0",IF($L247&gt;=Lists!$AM$3,"P1",IF($L247&gt;=Lists!$AM$4,"P2","P3")))))))</f>
        <v/>
      </c>
      <c r="N247" s="102"/>
      <c r="O247" s="101"/>
      <c r="P247" s="102"/>
      <c r="Q247" s="105"/>
      <c r="R247" s="106" t="str">
        <f aca="true">IF($Q247="","", TODAY()-$Q247)</f>
        <v/>
      </c>
      <c r="S247" s="102"/>
      <c r="T247" s="105"/>
      <c r="U247" s="105"/>
      <c r="V247" s="101"/>
      <c r="W247" s="101"/>
      <c r="X247" s="101"/>
      <c r="Y247" s="96"/>
      <c r="Z247" s="96"/>
      <c r="AA247" s="96"/>
      <c r="AC247" s="102"/>
      <c r="AD247" s="107" t="str">
        <f aca="false">IF($B247="","",IF(ISNUMBER($T247),$T247,IF(OR(NOT(ISNUMBER($Q247)),$S247=""),"",IFERROR(IF(ISNUMBER(INDEX(Lists!$AJ$2:$AJ$7,MATCH($S247,Lists!$AI$2:$AI$7,0))),$Q247+INDEX(Lists!$AJ$2:$AJ$7,MATCH($S247,Lists!$AI$2:$AI$7,0)),""),""))))</f>
        <v/>
      </c>
      <c r="AE247" s="104" t="str">
        <f aca="true">IF($B247="","",IF(AND(ISNUMBER($AD247),N($AD247)&lt;TODAY(),$N247&lt;&gt;"Done",$N247&lt;&gt;"Won't Fix",$N247&lt;&gt;"Duplicate"),"Yes","No"))</f>
        <v/>
      </c>
      <c r="AF247" s="101"/>
      <c r="AG247" s="108" t="str">
        <f aca="false">IF($AF247="","",IFERROR(VLOOKUP($AF247,'Application Portfolio'!$A$2:$B$1000,2,FALSE()),"Unknown App ID"))</f>
        <v/>
      </c>
      <c r="AH247" s="108" t="str">
        <f aca="false">IF(OR($B247="",$AF247=""),"",IFERROR(VLOOKUP($AF247,'Application Portfolio'!$A$2:$AB$1000,28,FALSE()),""))</f>
        <v/>
      </c>
    </row>
    <row r="248" customFormat="false" ht="15.75" hidden="false" customHeight="true" outlineLevel="0" collapsed="false">
      <c r="A248" s="100"/>
      <c r="B248" s="101"/>
      <c r="C248" s="101"/>
      <c r="D248" s="101"/>
      <c r="E248" s="101"/>
      <c r="F248" s="102"/>
      <c r="G248" s="102"/>
      <c r="H248" s="102"/>
      <c r="I248" s="102"/>
      <c r="J248" s="102"/>
      <c r="K248" s="102"/>
      <c r="L248" s="103" t="str">
        <f aca="false">IF(OR($B248="", $H248="", $I248="", $J248="", $K248=""),"",ROUND((VLOOKUP($H248,Lists!$E$2:$F$5,2,FALSE())*VLOOKUP($I248,Lists!$H$2:$I$4,2,FALSE())*VLOOKUP($J248,Lists!$K$2:$L$4,2,FALSE()))/VLOOKUP($K248,Lists!$N$2:$O$6,2,FALSE()),2))</f>
        <v/>
      </c>
      <c r="M248" s="104" t="str">
        <f aca="false">IF($B248="","",IF($AC248&lt;&gt;"",$AC248,IF($H248="Critical","P0",IF(NOT(ISNUMBER($L248)),"",IF($L248&gt;=Lists!$AM$2,"P0",IF($L248&gt;=Lists!$AM$3,"P1",IF($L248&gt;=Lists!$AM$4,"P2","P3")))))))</f>
        <v/>
      </c>
      <c r="N248" s="102"/>
      <c r="O248" s="101"/>
      <c r="P248" s="102"/>
      <c r="Q248" s="105"/>
      <c r="R248" s="106" t="str">
        <f aca="true">IF($Q248="","", TODAY()-$Q248)</f>
        <v/>
      </c>
      <c r="S248" s="102"/>
      <c r="T248" s="105"/>
      <c r="U248" s="105"/>
      <c r="V248" s="101"/>
      <c r="W248" s="101"/>
      <c r="X248" s="101"/>
      <c r="Y248" s="96"/>
      <c r="Z248" s="96"/>
      <c r="AA248" s="96"/>
      <c r="AC248" s="102"/>
      <c r="AD248" s="107" t="str">
        <f aca="false">IF($B248="","",IF(ISNUMBER($T248),$T248,IF(OR(NOT(ISNUMBER($Q248)),$S248=""),"",IFERROR(IF(ISNUMBER(INDEX(Lists!$AJ$2:$AJ$7,MATCH($S248,Lists!$AI$2:$AI$7,0))),$Q248+INDEX(Lists!$AJ$2:$AJ$7,MATCH($S248,Lists!$AI$2:$AI$7,0)),""),""))))</f>
        <v/>
      </c>
      <c r="AE248" s="104" t="str">
        <f aca="true">IF($B248="","",IF(AND(ISNUMBER($AD248),N($AD248)&lt;TODAY(),$N248&lt;&gt;"Done",$N248&lt;&gt;"Won't Fix",$N248&lt;&gt;"Duplicate"),"Yes","No"))</f>
        <v/>
      </c>
      <c r="AF248" s="101"/>
      <c r="AG248" s="108" t="str">
        <f aca="false">IF($AF248="","",IFERROR(VLOOKUP($AF248,'Application Portfolio'!$A$2:$B$1000,2,FALSE()),"Unknown App ID"))</f>
        <v/>
      </c>
      <c r="AH248" s="108" t="str">
        <f aca="false">IF(OR($B248="",$AF248=""),"",IFERROR(VLOOKUP($AF248,'Application Portfolio'!$A$2:$AB$1000,28,FALSE()),""))</f>
        <v/>
      </c>
    </row>
    <row r="249" customFormat="false" ht="15.75" hidden="false" customHeight="true" outlineLevel="0" collapsed="false">
      <c r="A249" s="100"/>
      <c r="B249" s="101"/>
      <c r="C249" s="101"/>
      <c r="D249" s="101"/>
      <c r="E249" s="101"/>
      <c r="F249" s="102"/>
      <c r="G249" s="102"/>
      <c r="H249" s="102"/>
      <c r="I249" s="102"/>
      <c r="J249" s="102"/>
      <c r="K249" s="102"/>
      <c r="L249" s="103" t="str">
        <f aca="false">IF(OR($B249="", $H249="", $I249="", $J249="", $K249=""),"",ROUND((VLOOKUP($H249,Lists!$E$2:$F$5,2,FALSE())*VLOOKUP($I249,Lists!$H$2:$I$4,2,FALSE())*VLOOKUP($J249,Lists!$K$2:$L$4,2,FALSE()))/VLOOKUP($K249,Lists!$N$2:$O$6,2,FALSE()),2))</f>
        <v/>
      </c>
      <c r="M249" s="104" t="str">
        <f aca="false">IF($B249="","",IF($AC249&lt;&gt;"",$AC249,IF($H249="Critical","P0",IF(NOT(ISNUMBER($L249)),"",IF($L249&gt;=Lists!$AM$2,"P0",IF($L249&gt;=Lists!$AM$3,"P1",IF($L249&gt;=Lists!$AM$4,"P2","P3")))))))</f>
        <v/>
      </c>
      <c r="N249" s="102"/>
      <c r="O249" s="101"/>
      <c r="P249" s="102"/>
      <c r="Q249" s="105"/>
      <c r="R249" s="106" t="str">
        <f aca="true">IF($Q249="","", TODAY()-$Q249)</f>
        <v/>
      </c>
      <c r="S249" s="102"/>
      <c r="T249" s="105"/>
      <c r="U249" s="105"/>
      <c r="V249" s="101"/>
      <c r="W249" s="101"/>
      <c r="X249" s="101"/>
      <c r="Y249" s="96"/>
      <c r="Z249" s="96"/>
      <c r="AA249" s="96"/>
      <c r="AC249" s="102"/>
      <c r="AD249" s="107" t="str">
        <f aca="false">IF($B249="","",IF(ISNUMBER($T249),$T249,IF(OR(NOT(ISNUMBER($Q249)),$S249=""),"",IFERROR(IF(ISNUMBER(INDEX(Lists!$AJ$2:$AJ$7,MATCH($S249,Lists!$AI$2:$AI$7,0))),$Q249+INDEX(Lists!$AJ$2:$AJ$7,MATCH($S249,Lists!$AI$2:$AI$7,0)),""),""))))</f>
        <v/>
      </c>
      <c r="AE249" s="104" t="str">
        <f aca="true">IF($B249="","",IF(AND(ISNUMBER($AD249),N($AD249)&lt;TODAY(),$N249&lt;&gt;"Done",$N249&lt;&gt;"Won't Fix",$N249&lt;&gt;"Duplicate"),"Yes","No"))</f>
        <v/>
      </c>
      <c r="AF249" s="101"/>
      <c r="AG249" s="108" t="str">
        <f aca="false">IF($AF249="","",IFERROR(VLOOKUP($AF249,'Application Portfolio'!$A$2:$B$1000,2,FALSE()),"Unknown App ID"))</f>
        <v/>
      </c>
      <c r="AH249" s="108" t="str">
        <f aca="false">IF(OR($B249="",$AF249=""),"",IFERROR(VLOOKUP($AF249,'Application Portfolio'!$A$2:$AB$1000,28,FALSE()),""))</f>
        <v/>
      </c>
    </row>
    <row r="250" customFormat="false" ht="15.75" hidden="false" customHeight="true" outlineLevel="0" collapsed="false">
      <c r="A250" s="100"/>
      <c r="B250" s="101"/>
      <c r="C250" s="101"/>
      <c r="D250" s="101"/>
      <c r="E250" s="101"/>
      <c r="F250" s="102"/>
      <c r="G250" s="102"/>
      <c r="H250" s="102"/>
      <c r="I250" s="102"/>
      <c r="J250" s="102"/>
      <c r="K250" s="102"/>
      <c r="L250" s="103" t="str">
        <f aca="false">IF(OR($B250="", $H250="", $I250="", $J250="", $K250=""),"",ROUND((VLOOKUP($H250,Lists!$E$2:$F$5,2,FALSE())*VLOOKUP($I250,Lists!$H$2:$I$4,2,FALSE())*VLOOKUP($J250,Lists!$K$2:$L$4,2,FALSE()))/VLOOKUP($K250,Lists!$N$2:$O$6,2,FALSE()),2))</f>
        <v/>
      </c>
      <c r="M250" s="104" t="str">
        <f aca="false">IF($B250="","",IF($AC250&lt;&gt;"",$AC250,IF($H250="Critical","P0",IF(NOT(ISNUMBER($L250)),"",IF($L250&gt;=Lists!$AM$2,"P0",IF($L250&gt;=Lists!$AM$3,"P1",IF($L250&gt;=Lists!$AM$4,"P2","P3")))))))</f>
        <v/>
      </c>
      <c r="N250" s="102"/>
      <c r="O250" s="101"/>
      <c r="P250" s="102"/>
      <c r="Q250" s="105"/>
      <c r="R250" s="106" t="str">
        <f aca="true">IF($Q250="","", TODAY()-$Q250)</f>
        <v/>
      </c>
      <c r="S250" s="102"/>
      <c r="T250" s="105"/>
      <c r="U250" s="105"/>
      <c r="V250" s="101"/>
      <c r="W250" s="101"/>
      <c r="X250" s="101"/>
      <c r="Y250" s="96"/>
      <c r="Z250" s="96"/>
      <c r="AA250" s="96"/>
      <c r="AC250" s="102"/>
      <c r="AD250" s="107" t="str">
        <f aca="false">IF($B250="","",IF(ISNUMBER($T250),$T250,IF(OR(NOT(ISNUMBER($Q250)),$S250=""),"",IFERROR(IF(ISNUMBER(INDEX(Lists!$AJ$2:$AJ$7,MATCH($S250,Lists!$AI$2:$AI$7,0))),$Q250+INDEX(Lists!$AJ$2:$AJ$7,MATCH($S250,Lists!$AI$2:$AI$7,0)),""),""))))</f>
        <v/>
      </c>
      <c r="AE250" s="104" t="str">
        <f aca="true">IF($B250="","",IF(AND(ISNUMBER($AD250),N($AD250)&lt;TODAY(),$N250&lt;&gt;"Done",$N250&lt;&gt;"Won't Fix",$N250&lt;&gt;"Duplicate"),"Yes","No"))</f>
        <v/>
      </c>
      <c r="AF250" s="101"/>
      <c r="AG250" s="108" t="str">
        <f aca="false">IF($AF250="","",IFERROR(VLOOKUP($AF250,'Application Portfolio'!$A$2:$B$1000,2,FALSE()),"Unknown App ID"))</f>
        <v/>
      </c>
      <c r="AH250" s="108" t="str">
        <f aca="false">IF(OR($B250="",$AF250=""),"",IFERROR(VLOOKUP($AF250,'Application Portfolio'!$A$2:$AB$1000,28,FALSE()),""))</f>
        <v/>
      </c>
    </row>
    <row r="251" customFormat="false" ht="15.75" hidden="false" customHeight="true" outlineLevel="0" collapsed="false">
      <c r="A251" s="100"/>
      <c r="B251" s="101"/>
      <c r="C251" s="101"/>
      <c r="D251" s="101"/>
      <c r="E251" s="101"/>
      <c r="F251" s="102"/>
      <c r="G251" s="102"/>
      <c r="H251" s="102"/>
      <c r="I251" s="102"/>
      <c r="J251" s="102"/>
      <c r="K251" s="102"/>
      <c r="L251" s="103" t="str">
        <f aca="false">IF(OR($B251="", $H251="", $I251="", $J251="", $K251=""),"",ROUND((VLOOKUP($H251,Lists!$E$2:$F$5,2,FALSE())*VLOOKUP($I251,Lists!$H$2:$I$4,2,FALSE())*VLOOKUP($J251,Lists!$K$2:$L$4,2,FALSE()))/VLOOKUP($K251,Lists!$N$2:$O$6,2,FALSE()),2))</f>
        <v/>
      </c>
      <c r="M251" s="104" t="str">
        <f aca="false">IF($B251="","",IF($AC251&lt;&gt;"",$AC251,IF($H251="Critical","P0",IF(NOT(ISNUMBER($L251)),"",IF($L251&gt;=Lists!$AM$2,"P0",IF($L251&gt;=Lists!$AM$3,"P1",IF($L251&gt;=Lists!$AM$4,"P2","P3")))))))</f>
        <v/>
      </c>
      <c r="N251" s="102"/>
      <c r="O251" s="101"/>
      <c r="P251" s="102"/>
      <c r="Q251" s="105"/>
      <c r="R251" s="106" t="str">
        <f aca="true">IF($Q251="","", TODAY()-$Q251)</f>
        <v/>
      </c>
      <c r="S251" s="102"/>
      <c r="T251" s="105"/>
      <c r="U251" s="105"/>
      <c r="V251" s="101"/>
      <c r="W251" s="101"/>
      <c r="X251" s="101"/>
      <c r="Y251" s="96"/>
      <c r="Z251" s="96"/>
      <c r="AA251" s="96"/>
      <c r="AC251" s="102"/>
      <c r="AD251" s="107" t="str">
        <f aca="false">IF($B251="","",IF(ISNUMBER($T251),$T251,IF(OR(NOT(ISNUMBER($Q251)),$S251=""),"",IFERROR(IF(ISNUMBER(INDEX(Lists!$AJ$2:$AJ$7,MATCH($S251,Lists!$AI$2:$AI$7,0))),$Q251+INDEX(Lists!$AJ$2:$AJ$7,MATCH($S251,Lists!$AI$2:$AI$7,0)),""),""))))</f>
        <v/>
      </c>
      <c r="AE251" s="104" t="str">
        <f aca="true">IF($B251="","",IF(AND(ISNUMBER($AD251),N($AD251)&lt;TODAY(),$N251&lt;&gt;"Done",$N251&lt;&gt;"Won't Fix",$N251&lt;&gt;"Duplicate"),"Yes","No"))</f>
        <v/>
      </c>
      <c r="AF251" s="101"/>
      <c r="AG251" s="108" t="str">
        <f aca="false">IF($AF251="","",IFERROR(VLOOKUP($AF251,'Application Portfolio'!$A$2:$B$1000,2,FALSE()),"Unknown App ID"))</f>
        <v/>
      </c>
      <c r="AH251" s="108" t="str">
        <f aca="false">IF(OR($B251="",$AF251=""),"",IFERROR(VLOOKUP($AF251,'Application Portfolio'!$A$2:$AB$1000,28,FALSE()),""))</f>
        <v/>
      </c>
    </row>
    <row r="252" customFormat="false" ht="15.75" hidden="false" customHeight="true" outlineLevel="0" collapsed="false">
      <c r="A252" s="100"/>
      <c r="B252" s="101"/>
      <c r="C252" s="101"/>
      <c r="D252" s="101"/>
      <c r="E252" s="101"/>
      <c r="F252" s="102"/>
      <c r="G252" s="102"/>
      <c r="H252" s="102"/>
      <c r="I252" s="102"/>
      <c r="J252" s="102"/>
      <c r="K252" s="102"/>
      <c r="L252" s="103" t="str">
        <f aca="false">IF(OR($B252="", $H252="", $I252="", $J252="", $K252=""),"",ROUND((VLOOKUP($H252,Lists!$E$2:$F$5,2,FALSE())*VLOOKUP($I252,Lists!$H$2:$I$4,2,FALSE())*VLOOKUP($J252,Lists!$K$2:$L$4,2,FALSE()))/VLOOKUP($K252,Lists!$N$2:$O$6,2,FALSE()),2))</f>
        <v/>
      </c>
      <c r="M252" s="104" t="str">
        <f aca="false">IF($B252="","",IF($AC252&lt;&gt;"",$AC252,IF($H252="Critical","P0",IF(NOT(ISNUMBER($L252)),"",IF($L252&gt;=Lists!$AM$2,"P0",IF($L252&gt;=Lists!$AM$3,"P1",IF($L252&gt;=Lists!$AM$4,"P2","P3")))))))</f>
        <v/>
      </c>
      <c r="N252" s="102"/>
      <c r="O252" s="101"/>
      <c r="P252" s="102"/>
      <c r="Q252" s="105"/>
      <c r="R252" s="106" t="str">
        <f aca="true">IF($Q252="","", TODAY()-$Q252)</f>
        <v/>
      </c>
      <c r="S252" s="102"/>
      <c r="T252" s="105"/>
      <c r="U252" s="105"/>
      <c r="V252" s="101"/>
      <c r="W252" s="101"/>
      <c r="X252" s="101"/>
      <c r="Y252" s="96"/>
      <c r="Z252" s="96"/>
      <c r="AA252" s="96"/>
      <c r="AC252" s="102"/>
      <c r="AD252" s="107" t="str">
        <f aca="false">IF($B252="","",IF(ISNUMBER($T252),$T252,IF(OR(NOT(ISNUMBER($Q252)),$S252=""),"",IFERROR(IF(ISNUMBER(INDEX(Lists!$AJ$2:$AJ$7,MATCH($S252,Lists!$AI$2:$AI$7,0))),$Q252+INDEX(Lists!$AJ$2:$AJ$7,MATCH($S252,Lists!$AI$2:$AI$7,0)),""),""))))</f>
        <v/>
      </c>
      <c r="AE252" s="104" t="str">
        <f aca="true">IF($B252="","",IF(AND(ISNUMBER($AD252),N($AD252)&lt;TODAY(),$N252&lt;&gt;"Done",$N252&lt;&gt;"Won't Fix",$N252&lt;&gt;"Duplicate"),"Yes","No"))</f>
        <v/>
      </c>
      <c r="AF252" s="101"/>
      <c r="AG252" s="108" t="str">
        <f aca="false">IF($AF252="","",IFERROR(VLOOKUP($AF252,'Application Portfolio'!$A$2:$B$1000,2,FALSE()),"Unknown App ID"))</f>
        <v/>
      </c>
      <c r="AH252" s="108" t="str">
        <f aca="false">IF(OR($B252="",$AF252=""),"",IFERROR(VLOOKUP($AF252,'Application Portfolio'!$A$2:$AB$1000,28,FALSE()),""))</f>
        <v/>
      </c>
    </row>
    <row r="253" customFormat="false" ht="15.75" hidden="false" customHeight="true" outlineLevel="0" collapsed="false">
      <c r="A253" s="100"/>
      <c r="B253" s="101"/>
      <c r="C253" s="101"/>
      <c r="D253" s="101"/>
      <c r="E253" s="101"/>
      <c r="F253" s="102"/>
      <c r="G253" s="102"/>
      <c r="H253" s="102"/>
      <c r="I253" s="102"/>
      <c r="J253" s="102"/>
      <c r="K253" s="102"/>
      <c r="L253" s="103" t="str">
        <f aca="false">IF(OR($B253="", $H253="", $I253="", $J253="", $K253=""),"",ROUND((VLOOKUP($H253,Lists!$E$2:$F$5,2,FALSE())*VLOOKUP($I253,Lists!$H$2:$I$4,2,FALSE())*VLOOKUP($J253,Lists!$K$2:$L$4,2,FALSE()))/VLOOKUP($K253,Lists!$N$2:$O$6,2,FALSE()),2))</f>
        <v/>
      </c>
      <c r="M253" s="104" t="str">
        <f aca="false">IF($B253="","",IF($AC253&lt;&gt;"",$AC253,IF($H253="Critical","P0",IF(NOT(ISNUMBER($L253)),"",IF($L253&gt;=Lists!$AM$2,"P0",IF($L253&gt;=Lists!$AM$3,"P1",IF($L253&gt;=Lists!$AM$4,"P2","P3")))))))</f>
        <v/>
      </c>
      <c r="N253" s="102"/>
      <c r="O253" s="101"/>
      <c r="P253" s="102"/>
      <c r="Q253" s="105"/>
      <c r="R253" s="106" t="str">
        <f aca="true">IF($Q253="","", TODAY()-$Q253)</f>
        <v/>
      </c>
      <c r="S253" s="102"/>
      <c r="T253" s="105"/>
      <c r="U253" s="105"/>
      <c r="V253" s="101"/>
      <c r="W253" s="101"/>
      <c r="X253" s="101"/>
      <c r="Y253" s="96"/>
      <c r="Z253" s="96"/>
      <c r="AA253" s="96"/>
      <c r="AC253" s="102"/>
      <c r="AD253" s="107" t="str">
        <f aca="false">IF($B253="","",IF(ISNUMBER($T253),$T253,IF(OR(NOT(ISNUMBER($Q253)),$S253=""),"",IFERROR(IF(ISNUMBER(INDEX(Lists!$AJ$2:$AJ$7,MATCH($S253,Lists!$AI$2:$AI$7,0))),$Q253+INDEX(Lists!$AJ$2:$AJ$7,MATCH($S253,Lists!$AI$2:$AI$7,0)),""),""))))</f>
        <v/>
      </c>
      <c r="AE253" s="104" t="str">
        <f aca="true">IF($B253="","",IF(AND(ISNUMBER($AD253),N($AD253)&lt;TODAY(),$N253&lt;&gt;"Done",$N253&lt;&gt;"Won't Fix",$N253&lt;&gt;"Duplicate"),"Yes","No"))</f>
        <v/>
      </c>
      <c r="AF253" s="101"/>
      <c r="AG253" s="108" t="str">
        <f aca="false">IF($AF253="","",IFERROR(VLOOKUP($AF253,'Application Portfolio'!$A$2:$B$1000,2,FALSE()),"Unknown App ID"))</f>
        <v/>
      </c>
      <c r="AH253" s="108" t="str">
        <f aca="false">IF(OR($B253="",$AF253=""),"",IFERROR(VLOOKUP($AF253,'Application Portfolio'!$A$2:$AB$1000,28,FALSE()),""))</f>
        <v/>
      </c>
    </row>
    <row r="254" customFormat="false" ht="15.75" hidden="false" customHeight="true" outlineLevel="0" collapsed="false">
      <c r="A254" s="100"/>
      <c r="B254" s="101"/>
      <c r="C254" s="101"/>
      <c r="D254" s="101"/>
      <c r="E254" s="101"/>
      <c r="F254" s="102"/>
      <c r="G254" s="102"/>
      <c r="H254" s="102"/>
      <c r="I254" s="102"/>
      <c r="J254" s="102"/>
      <c r="K254" s="102"/>
      <c r="L254" s="103" t="str">
        <f aca="false">IF(OR($B254="", $H254="", $I254="", $J254="", $K254=""),"",ROUND((VLOOKUP($H254,Lists!$E$2:$F$5,2,FALSE())*VLOOKUP($I254,Lists!$H$2:$I$4,2,FALSE())*VLOOKUP($J254,Lists!$K$2:$L$4,2,FALSE()))/VLOOKUP($K254,Lists!$N$2:$O$6,2,FALSE()),2))</f>
        <v/>
      </c>
      <c r="M254" s="104" t="str">
        <f aca="false">IF($B254="","",IF($AC254&lt;&gt;"",$AC254,IF($H254="Critical","P0",IF(NOT(ISNUMBER($L254)),"",IF($L254&gt;=Lists!$AM$2,"P0",IF($L254&gt;=Lists!$AM$3,"P1",IF($L254&gt;=Lists!$AM$4,"P2","P3")))))))</f>
        <v/>
      </c>
      <c r="N254" s="102"/>
      <c r="O254" s="101"/>
      <c r="P254" s="102"/>
      <c r="Q254" s="105"/>
      <c r="R254" s="106" t="str">
        <f aca="true">IF($Q254="","", TODAY()-$Q254)</f>
        <v/>
      </c>
      <c r="S254" s="102"/>
      <c r="T254" s="105"/>
      <c r="U254" s="105"/>
      <c r="V254" s="101"/>
      <c r="W254" s="101"/>
      <c r="X254" s="101"/>
      <c r="Y254" s="96"/>
      <c r="Z254" s="96"/>
      <c r="AA254" s="96"/>
      <c r="AC254" s="102"/>
      <c r="AD254" s="107" t="str">
        <f aca="false">IF($B254="","",IF(ISNUMBER($T254),$T254,IF(OR(NOT(ISNUMBER($Q254)),$S254=""),"",IFERROR(IF(ISNUMBER(INDEX(Lists!$AJ$2:$AJ$7,MATCH($S254,Lists!$AI$2:$AI$7,0))),$Q254+INDEX(Lists!$AJ$2:$AJ$7,MATCH($S254,Lists!$AI$2:$AI$7,0)),""),""))))</f>
        <v/>
      </c>
      <c r="AE254" s="104" t="str">
        <f aca="true">IF($B254="","",IF(AND(ISNUMBER($AD254),N($AD254)&lt;TODAY(),$N254&lt;&gt;"Done",$N254&lt;&gt;"Won't Fix",$N254&lt;&gt;"Duplicate"),"Yes","No"))</f>
        <v/>
      </c>
      <c r="AF254" s="101"/>
      <c r="AG254" s="108" t="str">
        <f aca="false">IF($AF254="","",IFERROR(VLOOKUP($AF254,'Application Portfolio'!$A$2:$B$1000,2,FALSE()),"Unknown App ID"))</f>
        <v/>
      </c>
      <c r="AH254" s="108" t="str">
        <f aca="false">IF(OR($B254="",$AF254=""),"",IFERROR(VLOOKUP($AF254,'Application Portfolio'!$A$2:$AB$1000,28,FALSE()),""))</f>
        <v/>
      </c>
    </row>
    <row r="255" customFormat="false" ht="15.75" hidden="false" customHeight="true" outlineLevel="0" collapsed="false">
      <c r="A255" s="100"/>
      <c r="B255" s="101"/>
      <c r="C255" s="101"/>
      <c r="D255" s="101"/>
      <c r="E255" s="101"/>
      <c r="F255" s="102"/>
      <c r="G255" s="102"/>
      <c r="H255" s="102"/>
      <c r="I255" s="102"/>
      <c r="J255" s="102"/>
      <c r="K255" s="102"/>
      <c r="L255" s="103" t="str">
        <f aca="false">IF(OR($B255="", $H255="", $I255="", $J255="", $K255=""),"",ROUND((VLOOKUP($H255,Lists!$E$2:$F$5,2,FALSE())*VLOOKUP($I255,Lists!$H$2:$I$4,2,FALSE())*VLOOKUP($J255,Lists!$K$2:$L$4,2,FALSE()))/VLOOKUP($K255,Lists!$N$2:$O$6,2,FALSE()),2))</f>
        <v/>
      </c>
      <c r="M255" s="104" t="str">
        <f aca="false">IF($B255="","",IF($AC255&lt;&gt;"",$AC255,IF($H255="Critical","P0",IF(NOT(ISNUMBER($L255)),"",IF($L255&gt;=Lists!$AM$2,"P0",IF($L255&gt;=Lists!$AM$3,"P1",IF($L255&gt;=Lists!$AM$4,"P2","P3")))))))</f>
        <v/>
      </c>
      <c r="N255" s="102"/>
      <c r="O255" s="101"/>
      <c r="P255" s="102"/>
      <c r="Q255" s="105"/>
      <c r="R255" s="106" t="str">
        <f aca="true">IF($Q255="","", TODAY()-$Q255)</f>
        <v/>
      </c>
      <c r="S255" s="102"/>
      <c r="T255" s="105"/>
      <c r="U255" s="105"/>
      <c r="V255" s="101"/>
      <c r="W255" s="101"/>
      <c r="X255" s="101"/>
      <c r="Y255" s="96"/>
      <c r="Z255" s="96"/>
      <c r="AA255" s="96"/>
      <c r="AC255" s="102"/>
      <c r="AD255" s="107" t="str">
        <f aca="false">IF($B255="","",IF(ISNUMBER($T255),$T255,IF(OR(NOT(ISNUMBER($Q255)),$S255=""),"",IFERROR(IF(ISNUMBER(INDEX(Lists!$AJ$2:$AJ$7,MATCH($S255,Lists!$AI$2:$AI$7,0))),$Q255+INDEX(Lists!$AJ$2:$AJ$7,MATCH($S255,Lists!$AI$2:$AI$7,0)),""),""))))</f>
        <v/>
      </c>
      <c r="AE255" s="104" t="str">
        <f aca="true">IF($B255="","",IF(AND(ISNUMBER($AD255),N($AD255)&lt;TODAY(),$N255&lt;&gt;"Done",$N255&lt;&gt;"Won't Fix",$N255&lt;&gt;"Duplicate"),"Yes","No"))</f>
        <v/>
      </c>
      <c r="AF255" s="101"/>
      <c r="AG255" s="108" t="str">
        <f aca="false">IF($AF255="","",IFERROR(VLOOKUP($AF255,'Application Portfolio'!$A$2:$B$1000,2,FALSE()),"Unknown App ID"))</f>
        <v/>
      </c>
      <c r="AH255" s="108" t="str">
        <f aca="false">IF(OR($B255="",$AF255=""),"",IFERROR(VLOOKUP($AF255,'Application Portfolio'!$A$2:$AB$1000,28,FALSE()),""))</f>
        <v/>
      </c>
    </row>
    <row r="256" customFormat="false" ht="15.75" hidden="false" customHeight="true" outlineLevel="0" collapsed="false">
      <c r="A256" s="100"/>
      <c r="B256" s="101"/>
      <c r="C256" s="101"/>
      <c r="D256" s="101"/>
      <c r="E256" s="101"/>
      <c r="F256" s="102"/>
      <c r="G256" s="102"/>
      <c r="H256" s="102"/>
      <c r="I256" s="102"/>
      <c r="J256" s="102"/>
      <c r="K256" s="102"/>
      <c r="L256" s="103" t="str">
        <f aca="false">IF(OR($B256="", $H256="", $I256="", $J256="", $K256=""),"",ROUND((VLOOKUP($H256,Lists!$E$2:$F$5,2,FALSE())*VLOOKUP($I256,Lists!$H$2:$I$4,2,FALSE())*VLOOKUP($J256,Lists!$K$2:$L$4,2,FALSE()))/VLOOKUP($K256,Lists!$N$2:$O$6,2,FALSE()),2))</f>
        <v/>
      </c>
      <c r="M256" s="104" t="str">
        <f aca="false">IF($B256="","",IF($AC256&lt;&gt;"",$AC256,IF($H256="Critical","P0",IF(NOT(ISNUMBER($L256)),"",IF($L256&gt;=Lists!$AM$2,"P0",IF($L256&gt;=Lists!$AM$3,"P1",IF($L256&gt;=Lists!$AM$4,"P2","P3")))))))</f>
        <v/>
      </c>
      <c r="N256" s="102"/>
      <c r="O256" s="101"/>
      <c r="P256" s="102"/>
      <c r="Q256" s="105"/>
      <c r="R256" s="106" t="str">
        <f aca="true">IF($Q256="","", TODAY()-$Q256)</f>
        <v/>
      </c>
      <c r="S256" s="102"/>
      <c r="T256" s="105"/>
      <c r="U256" s="105"/>
      <c r="V256" s="101"/>
      <c r="W256" s="101"/>
      <c r="X256" s="101"/>
      <c r="Y256" s="96"/>
      <c r="Z256" s="96"/>
      <c r="AA256" s="96"/>
      <c r="AC256" s="102"/>
      <c r="AD256" s="107" t="str">
        <f aca="false">IF($B256="","",IF(ISNUMBER($T256),$T256,IF(OR(NOT(ISNUMBER($Q256)),$S256=""),"",IFERROR(IF(ISNUMBER(INDEX(Lists!$AJ$2:$AJ$7,MATCH($S256,Lists!$AI$2:$AI$7,0))),$Q256+INDEX(Lists!$AJ$2:$AJ$7,MATCH($S256,Lists!$AI$2:$AI$7,0)),""),""))))</f>
        <v/>
      </c>
      <c r="AE256" s="104" t="str">
        <f aca="true">IF($B256="","",IF(AND(ISNUMBER($AD256),N($AD256)&lt;TODAY(),$N256&lt;&gt;"Done",$N256&lt;&gt;"Won't Fix",$N256&lt;&gt;"Duplicate"),"Yes","No"))</f>
        <v/>
      </c>
      <c r="AF256" s="101"/>
      <c r="AG256" s="108" t="str">
        <f aca="false">IF($AF256="","",IFERROR(VLOOKUP($AF256,'Application Portfolio'!$A$2:$B$1000,2,FALSE()),"Unknown App ID"))</f>
        <v/>
      </c>
      <c r="AH256" s="108" t="str">
        <f aca="false">IF(OR($B256="",$AF256=""),"",IFERROR(VLOOKUP($AF256,'Application Portfolio'!$A$2:$AB$1000,28,FALSE()),""))</f>
        <v/>
      </c>
    </row>
    <row r="257" customFormat="false" ht="15.75" hidden="false" customHeight="true" outlineLevel="0" collapsed="false">
      <c r="A257" s="100"/>
      <c r="B257" s="101"/>
      <c r="C257" s="101"/>
      <c r="D257" s="101"/>
      <c r="E257" s="101"/>
      <c r="F257" s="102"/>
      <c r="G257" s="102"/>
      <c r="H257" s="102"/>
      <c r="I257" s="102"/>
      <c r="J257" s="102"/>
      <c r="K257" s="102"/>
      <c r="L257" s="103" t="str">
        <f aca="false">IF(OR($B257="", $H257="", $I257="", $J257="", $K257=""),"",ROUND((VLOOKUP($H257,Lists!$E$2:$F$5,2,FALSE())*VLOOKUP($I257,Lists!$H$2:$I$4,2,FALSE())*VLOOKUP($J257,Lists!$K$2:$L$4,2,FALSE()))/VLOOKUP($K257,Lists!$N$2:$O$6,2,FALSE()),2))</f>
        <v/>
      </c>
      <c r="M257" s="104" t="str">
        <f aca="false">IF($B257="","",IF($AC257&lt;&gt;"",$AC257,IF($H257="Critical","P0",IF(NOT(ISNUMBER($L257)),"",IF($L257&gt;=Lists!$AM$2,"P0",IF($L257&gt;=Lists!$AM$3,"P1",IF($L257&gt;=Lists!$AM$4,"P2","P3")))))))</f>
        <v/>
      </c>
      <c r="N257" s="102"/>
      <c r="O257" s="101"/>
      <c r="P257" s="102"/>
      <c r="Q257" s="105"/>
      <c r="R257" s="106" t="str">
        <f aca="true">IF($Q257="","", TODAY()-$Q257)</f>
        <v/>
      </c>
      <c r="S257" s="102"/>
      <c r="T257" s="105"/>
      <c r="U257" s="105"/>
      <c r="V257" s="101"/>
      <c r="W257" s="101"/>
      <c r="X257" s="101"/>
      <c r="Y257" s="96"/>
      <c r="Z257" s="96"/>
      <c r="AA257" s="96"/>
      <c r="AC257" s="102"/>
      <c r="AD257" s="107" t="str">
        <f aca="false">IF($B257="","",IF(ISNUMBER($T257),$T257,IF(OR(NOT(ISNUMBER($Q257)),$S257=""),"",IFERROR(IF(ISNUMBER(INDEX(Lists!$AJ$2:$AJ$7,MATCH($S257,Lists!$AI$2:$AI$7,0))),$Q257+INDEX(Lists!$AJ$2:$AJ$7,MATCH($S257,Lists!$AI$2:$AI$7,0)),""),""))))</f>
        <v/>
      </c>
      <c r="AE257" s="104" t="str">
        <f aca="true">IF($B257="","",IF(AND(ISNUMBER($AD257),N($AD257)&lt;TODAY(),$N257&lt;&gt;"Done",$N257&lt;&gt;"Won't Fix",$N257&lt;&gt;"Duplicate"),"Yes","No"))</f>
        <v/>
      </c>
      <c r="AF257" s="101"/>
      <c r="AG257" s="108" t="str">
        <f aca="false">IF($AF257="","",IFERROR(VLOOKUP($AF257,'Application Portfolio'!$A$2:$B$1000,2,FALSE()),"Unknown App ID"))</f>
        <v/>
      </c>
      <c r="AH257" s="108" t="str">
        <f aca="false">IF(OR($B257="",$AF257=""),"",IFERROR(VLOOKUP($AF257,'Application Portfolio'!$A$2:$AB$1000,28,FALSE()),""))</f>
        <v/>
      </c>
    </row>
    <row r="258" customFormat="false" ht="15.75" hidden="false" customHeight="true" outlineLevel="0" collapsed="false">
      <c r="A258" s="100"/>
      <c r="B258" s="101"/>
      <c r="C258" s="101"/>
      <c r="D258" s="101"/>
      <c r="E258" s="101"/>
      <c r="F258" s="102"/>
      <c r="G258" s="102"/>
      <c r="H258" s="102"/>
      <c r="I258" s="102"/>
      <c r="J258" s="102"/>
      <c r="K258" s="102"/>
      <c r="L258" s="103" t="str">
        <f aca="false">IF(OR($B258="", $H258="", $I258="", $J258="", $K258=""),"",ROUND((VLOOKUP($H258,Lists!$E$2:$F$5,2,FALSE())*VLOOKUP($I258,Lists!$H$2:$I$4,2,FALSE())*VLOOKUP($J258,Lists!$K$2:$L$4,2,FALSE()))/VLOOKUP($K258,Lists!$N$2:$O$6,2,FALSE()),2))</f>
        <v/>
      </c>
      <c r="M258" s="104" t="str">
        <f aca="false">IF($B258="","",IF($AC258&lt;&gt;"",$AC258,IF($H258="Critical","P0",IF(NOT(ISNUMBER($L258)),"",IF($L258&gt;=Lists!$AM$2,"P0",IF($L258&gt;=Lists!$AM$3,"P1",IF($L258&gt;=Lists!$AM$4,"P2","P3")))))))</f>
        <v/>
      </c>
      <c r="N258" s="102"/>
      <c r="O258" s="101"/>
      <c r="P258" s="102"/>
      <c r="Q258" s="105"/>
      <c r="R258" s="106" t="str">
        <f aca="true">IF($Q258="","", TODAY()-$Q258)</f>
        <v/>
      </c>
      <c r="S258" s="102"/>
      <c r="T258" s="105"/>
      <c r="U258" s="105"/>
      <c r="V258" s="101"/>
      <c r="W258" s="101"/>
      <c r="X258" s="101"/>
      <c r="Y258" s="96"/>
      <c r="Z258" s="96"/>
      <c r="AA258" s="96"/>
      <c r="AC258" s="102"/>
      <c r="AD258" s="107" t="str">
        <f aca="false">IF($B258="","",IF(ISNUMBER($T258),$T258,IF(OR(NOT(ISNUMBER($Q258)),$S258=""),"",IFERROR(IF(ISNUMBER(INDEX(Lists!$AJ$2:$AJ$7,MATCH($S258,Lists!$AI$2:$AI$7,0))),$Q258+INDEX(Lists!$AJ$2:$AJ$7,MATCH($S258,Lists!$AI$2:$AI$7,0)),""),""))))</f>
        <v/>
      </c>
      <c r="AE258" s="104" t="str">
        <f aca="true">IF($B258="","",IF(AND(ISNUMBER($AD258),N($AD258)&lt;TODAY(),$N258&lt;&gt;"Done",$N258&lt;&gt;"Won't Fix",$N258&lt;&gt;"Duplicate"),"Yes","No"))</f>
        <v/>
      </c>
      <c r="AF258" s="101"/>
      <c r="AG258" s="108" t="str">
        <f aca="false">IF($AF258="","",IFERROR(VLOOKUP($AF258,'Application Portfolio'!$A$2:$B$1000,2,FALSE()),"Unknown App ID"))</f>
        <v/>
      </c>
      <c r="AH258" s="108" t="str">
        <f aca="false">IF(OR($B258="",$AF258=""),"",IFERROR(VLOOKUP($AF258,'Application Portfolio'!$A$2:$AB$1000,28,FALSE()),""))</f>
        <v/>
      </c>
    </row>
    <row r="259" customFormat="false" ht="15.75" hidden="false" customHeight="true" outlineLevel="0" collapsed="false">
      <c r="A259" s="100"/>
      <c r="B259" s="101"/>
      <c r="C259" s="101"/>
      <c r="D259" s="101"/>
      <c r="E259" s="101"/>
      <c r="F259" s="102"/>
      <c r="G259" s="102"/>
      <c r="H259" s="102"/>
      <c r="I259" s="102"/>
      <c r="J259" s="102"/>
      <c r="K259" s="102"/>
      <c r="L259" s="103" t="str">
        <f aca="false">IF(OR($B259="", $H259="", $I259="", $J259="", $K259=""),"",ROUND((VLOOKUP($H259,Lists!$E$2:$F$5,2,FALSE())*VLOOKUP($I259,Lists!$H$2:$I$4,2,FALSE())*VLOOKUP($J259,Lists!$K$2:$L$4,2,FALSE()))/VLOOKUP($K259,Lists!$N$2:$O$6,2,FALSE()),2))</f>
        <v/>
      </c>
      <c r="M259" s="104" t="str">
        <f aca="false">IF($B259="","",IF($AC259&lt;&gt;"",$AC259,IF($H259="Critical","P0",IF(NOT(ISNUMBER($L259)),"",IF($L259&gt;=Lists!$AM$2,"P0",IF($L259&gt;=Lists!$AM$3,"P1",IF($L259&gt;=Lists!$AM$4,"P2","P3")))))))</f>
        <v/>
      </c>
      <c r="N259" s="102"/>
      <c r="O259" s="101"/>
      <c r="P259" s="102"/>
      <c r="Q259" s="105"/>
      <c r="R259" s="106" t="str">
        <f aca="true">IF($Q259="","", TODAY()-$Q259)</f>
        <v/>
      </c>
      <c r="S259" s="102"/>
      <c r="T259" s="105"/>
      <c r="U259" s="105"/>
      <c r="V259" s="101"/>
      <c r="W259" s="101"/>
      <c r="X259" s="101"/>
      <c r="Y259" s="96"/>
      <c r="Z259" s="96"/>
      <c r="AA259" s="96"/>
      <c r="AC259" s="102"/>
      <c r="AD259" s="107" t="str">
        <f aca="false">IF($B259="","",IF(ISNUMBER($T259),$T259,IF(OR(NOT(ISNUMBER($Q259)),$S259=""),"",IFERROR(IF(ISNUMBER(INDEX(Lists!$AJ$2:$AJ$7,MATCH($S259,Lists!$AI$2:$AI$7,0))),$Q259+INDEX(Lists!$AJ$2:$AJ$7,MATCH($S259,Lists!$AI$2:$AI$7,0)),""),""))))</f>
        <v/>
      </c>
      <c r="AE259" s="104" t="str">
        <f aca="true">IF($B259="","",IF(AND(ISNUMBER($AD259),N($AD259)&lt;TODAY(),$N259&lt;&gt;"Done",$N259&lt;&gt;"Won't Fix",$N259&lt;&gt;"Duplicate"),"Yes","No"))</f>
        <v/>
      </c>
      <c r="AF259" s="101"/>
      <c r="AG259" s="108" t="str">
        <f aca="false">IF($AF259="","",IFERROR(VLOOKUP($AF259,'Application Portfolio'!$A$2:$B$1000,2,FALSE()),"Unknown App ID"))</f>
        <v/>
      </c>
      <c r="AH259" s="108" t="str">
        <f aca="false">IF(OR($B259="",$AF259=""),"",IFERROR(VLOOKUP($AF259,'Application Portfolio'!$A$2:$AB$1000,28,FALSE()),""))</f>
        <v/>
      </c>
    </row>
    <row r="260" customFormat="false" ht="15.75" hidden="false" customHeight="true" outlineLevel="0" collapsed="false">
      <c r="A260" s="100"/>
      <c r="B260" s="101"/>
      <c r="C260" s="101"/>
      <c r="D260" s="101"/>
      <c r="E260" s="101"/>
      <c r="F260" s="102"/>
      <c r="G260" s="102"/>
      <c r="H260" s="102"/>
      <c r="I260" s="102"/>
      <c r="J260" s="102"/>
      <c r="K260" s="102"/>
      <c r="L260" s="103" t="str">
        <f aca="false">IF(OR($B260="", $H260="", $I260="", $J260="", $K260=""),"",ROUND((VLOOKUP($H260,Lists!$E$2:$F$5,2,FALSE())*VLOOKUP($I260,Lists!$H$2:$I$4,2,FALSE())*VLOOKUP($J260,Lists!$K$2:$L$4,2,FALSE()))/VLOOKUP($K260,Lists!$N$2:$O$6,2,FALSE()),2))</f>
        <v/>
      </c>
      <c r="M260" s="104" t="str">
        <f aca="false">IF($B260="","",IF($AC260&lt;&gt;"",$AC260,IF($H260="Critical","P0",IF(NOT(ISNUMBER($L260)),"",IF($L260&gt;=Lists!$AM$2,"P0",IF($L260&gt;=Lists!$AM$3,"P1",IF($L260&gt;=Lists!$AM$4,"P2","P3")))))))</f>
        <v/>
      </c>
      <c r="N260" s="102"/>
      <c r="O260" s="101"/>
      <c r="P260" s="102"/>
      <c r="Q260" s="105"/>
      <c r="R260" s="106" t="str">
        <f aca="true">IF($Q260="","", TODAY()-$Q260)</f>
        <v/>
      </c>
      <c r="S260" s="102"/>
      <c r="T260" s="105"/>
      <c r="U260" s="105"/>
      <c r="V260" s="101"/>
      <c r="W260" s="101"/>
      <c r="X260" s="101"/>
      <c r="Y260" s="96"/>
      <c r="Z260" s="96"/>
      <c r="AA260" s="96"/>
      <c r="AC260" s="102"/>
      <c r="AD260" s="107" t="str">
        <f aca="false">IF($B260="","",IF(ISNUMBER($T260),$T260,IF(OR(NOT(ISNUMBER($Q260)),$S260=""),"",IFERROR(IF(ISNUMBER(INDEX(Lists!$AJ$2:$AJ$7,MATCH($S260,Lists!$AI$2:$AI$7,0))),$Q260+INDEX(Lists!$AJ$2:$AJ$7,MATCH($S260,Lists!$AI$2:$AI$7,0)),""),""))))</f>
        <v/>
      </c>
      <c r="AE260" s="104" t="str">
        <f aca="true">IF($B260="","",IF(AND(ISNUMBER($AD260),N($AD260)&lt;TODAY(),$N260&lt;&gt;"Done",$N260&lt;&gt;"Won't Fix",$N260&lt;&gt;"Duplicate"),"Yes","No"))</f>
        <v/>
      </c>
      <c r="AF260" s="101"/>
      <c r="AG260" s="108" t="str">
        <f aca="false">IF($AF260="","",IFERROR(VLOOKUP($AF260,'Application Portfolio'!$A$2:$B$1000,2,FALSE()),"Unknown App ID"))</f>
        <v/>
      </c>
      <c r="AH260" s="108" t="str">
        <f aca="false">IF(OR($B260="",$AF260=""),"",IFERROR(VLOOKUP($AF260,'Application Portfolio'!$A$2:$AB$1000,28,FALSE()),""))</f>
        <v/>
      </c>
    </row>
    <row r="261" customFormat="false" ht="15.75" hidden="false" customHeight="true" outlineLevel="0" collapsed="false">
      <c r="A261" s="100"/>
      <c r="B261" s="101"/>
      <c r="C261" s="101"/>
      <c r="D261" s="101"/>
      <c r="E261" s="101"/>
      <c r="F261" s="102"/>
      <c r="G261" s="102"/>
      <c r="H261" s="102"/>
      <c r="I261" s="102"/>
      <c r="J261" s="102"/>
      <c r="K261" s="102"/>
      <c r="L261" s="103" t="str">
        <f aca="false">IF(OR($B261="", $H261="", $I261="", $J261="", $K261=""),"",ROUND((VLOOKUP($H261,Lists!$E$2:$F$5,2,FALSE())*VLOOKUP($I261,Lists!$H$2:$I$4,2,FALSE())*VLOOKUP($J261,Lists!$K$2:$L$4,2,FALSE()))/VLOOKUP($K261,Lists!$N$2:$O$6,2,FALSE()),2))</f>
        <v/>
      </c>
      <c r="M261" s="104" t="str">
        <f aca="false">IF($B261="","",IF($AC261&lt;&gt;"",$AC261,IF($H261="Critical","P0",IF(NOT(ISNUMBER($L261)),"",IF($L261&gt;=Lists!$AM$2,"P0",IF($L261&gt;=Lists!$AM$3,"P1",IF($L261&gt;=Lists!$AM$4,"P2","P3")))))))</f>
        <v/>
      </c>
      <c r="N261" s="102"/>
      <c r="O261" s="101"/>
      <c r="P261" s="102"/>
      <c r="Q261" s="105"/>
      <c r="R261" s="106" t="str">
        <f aca="true">IF($Q261="","", TODAY()-$Q261)</f>
        <v/>
      </c>
      <c r="S261" s="102"/>
      <c r="T261" s="105"/>
      <c r="U261" s="105"/>
      <c r="V261" s="101"/>
      <c r="W261" s="101"/>
      <c r="X261" s="101"/>
      <c r="Y261" s="96"/>
      <c r="Z261" s="96"/>
      <c r="AA261" s="96"/>
      <c r="AC261" s="102"/>
      <c r="AD261" s="107" t="str">
        <f aca="false">IF($B261="","",IF(ISNUMBER($T261),$T261,IF(OR(NOT(ISNUMBER($Q261)),$S261=""),"",IFERROR(IF(ISNUMBER(INDEX(Lists!$AJ$2:$AJ$7,MATCH($S261,Lists!$AI$2:$AI$7,0))),$Q261+INDEX(Lists!$AJ$2:$AJ$7,MATCH($S261,Lists!$AI$2:$AI$7,0)),""),""))))</f>
        <v/>
      </c>
      <c r="AE261" s="104" t="str">
        <f aca="true">IF($B261="","",IF(AND(ISNUMBER($AD261),N($AD261)&lt;TODAY(),$N261&lt;&gt;"Done",$N261&lt;&gt;"Won't Fix",$N261&lt;&gt;"Duplicate"),"Yes","No"))</f>
        <v/>
      </c>
      <c r="AF261" s="101"/>
      <c r="AG261" s="108" t="str">
        <f aca="false">IF($AF261="","",IFERROR(VLOOKUP($AF261,'Application Portfolio'!$A$2:$B$1000,2,FALSE()),"Unknown App ID"))</f>
        <v/>
      </c>
      <c r="AH261" s="108" t="str">
        <f aca="false">IF(OR($B261="",$AF261=""),"",IFERROR(VLOOKUP($AF261,'Application Portfolio'!$A$2:$AB$1000,28,FALSE()),""))</f>
        <v/>
      </c>
    </row>
    <row r="262" customFormat="false" ht="15.75" hidden="false" customHeight="true" outlineLevel="0" collapsed="false">
      <c r="A262" s="100"/>
      <c r="B262" s="101"/>
      <c r="C262" s="101"/>
      <c r="D262" s="101"/>
      <c r="E262" s="101"/>
      <c r="F262" s="102"/>
      <c r="G262" s="102"/>
      <c r="H262" s="102"/>
      <c r="I262" s="102"/>
      <c r="J262" s="102"/>
      <c r="K262" s="102"/>
      <c r="L262" s="103" t="str">
        <f aca="false">IF(OR($B262="", $H262="", $I262="", $J262="", $K262=""),"",ROUND((VLOOKUP($H262,Lists!$E$2:$F$5,2,FALSE())*VLOOKUP($I262,Lists!$H$2:$I$4,2,FALSE())*VLOOKUP($J262,Lists!$K$2:$L$4,2,FALSE()))/VLOOKUP($K262,Lists!$N$2:$O$6,2,FALSE()),2))</f>
        <v/>
      </c>
      <c r="M262" s="104" t="str">
        <f aca="false">IF($B262="","",IF($AC262&lt;&gt;"",$AC262,IF($H262="Critical","P0",IF(NOT(ISNUMBER($L262)),"",IF($L262&gt;=Lists!$AM$2,"P0",IF($L262&gt;=Lists!$AM$3,"P1",IF($L262&gt;=Lists!$AM$4,"P2","P3")))))))</f>
        <v/>
      </c>
      <c r="N262" s="102"/>
      <c r="O262" s="101"/>
      <c r="P262" s="102"/>
      <c r="Q262" s="105"/>
      <c r="R262" s="106" t="str">
        <f aca="true">IF($Q262="","", TODAY()-$Q262)</f>
        <v/>
      </c>
      <c r="S262" s="102"/>
      <c r="T262" s="105"/>
      <c r="U262" s="105"/>
      <c r="V262" s="101"/>
      <c r="W262" s="101"/>
      <c r="X262" s="101"/>
      <c r="Y262" s="96"/>
      <c r="Z262" s="96"/>
      <c r="AA262" s="96"/>
      <c r="AC262" s="102"/>
      <c r="AD262" s="107" t="str">
        <f aca="false">IF($B262="","",IF(ISNUMBER($T262),$T262,IF(OR(NOT(ISNUMBER($Q262)),$S262=""),"",IFERROR(IF(ISNUMBER(INDEX(Lists!$AJ$2:$AJ$7,MATCH($S262,Lists!$AI$2:$AI$7,0))),$Q262+INDEX(Lists!$AJ$2:$AJ$7,MATCH($S262,Lists!$AI$2:$AI$7,0)),""),""))))</f>
        <v/>
      </c>
      <c r="AE262" s="104" t="str">
        <f aca="true">IF($B262="","",IF(AND(ISNUMBER($AD262),N($AD262)&lt;TODAY(),$N262&lt;&gt;"Done",$N262&lt;&gt;"Won't Fix",$N262&lt;&gt;"Duplicate"),"Yes","No"))</f>
        <v/>
      </c>
      <c r="AF262" s="101"/>
      <c r="AG262" s="108" t="str">
        <f aca="false">IF($AF262="","",IFERROR(VLOOKUP($AF262,'Application Portfolio'!$A$2:$B$1000,2,FALSE()),"Unknown App ID"))</f>
        <v/>
      </c>
      <c r="AH262" s="108" t="str">
        <f aca="false">IF(OR($B262="",$AF262=""),"",IFERROR(VLOOKUP($AF262,'Application Portfolio'!$A$2:$AB$1000,28,FALSE()),""))</f>
        <v/>
      </c>
    </row>
    <row r="263" customFormat="false" ht="15.75" hidden="false" customHeight="true" outlineLevel="0" collapsed="false">
      <c r="A263" s="100"/>
      <c r="B263" s="101"/>
      <c r="C263" s="101"/>
      <c r="D263" s="101"/>
      <c r="E263" s="101"/>
      <c r="F263" s="102"/>
      <c r="G263" s="102"/>
      <c r="H263" s="102"/>
      <c r="I263" s="102"/>
      <c r="J263" s="102"/>
      <c r="K263" s="102"/>
      <c r="L263" s="103" t="str">
        <f aca="false">IF(OR($B263="", $H263="", $I263="", $J263="", $K263=""),"",ROUND((VLOOKUP($H263,Lists!$E$2:$F$5,2,FALSE())*VLOOKUP($I263,Lists!$H$2:$I$4,2,FALSE())*VLOOKUP($J263,Lists!$K$2:$L$4,2,FALSE()))/VLOOKUP($K263,Lists!$N$2:$O$6,2,FALSE()),2))</f>
        <v/>
      </c>
      <c r="M263" s="104" t="str">
        <f aca="false">IF($B263="","",IF($AC263&lt;&gt;"",$AC263,IF($H263="Critical","P0",IF(NOT(ISNUMBER($L263)),"",IF($L263&gt;=Lists!$AM$2,"P0",IF($L263&gt;=Lists!$AM$3,"P1",IF($L263&gt;=Lists!$AM$4,"P2","P3")))))))</f>
        <v/>
      </c>
      <c r="N263" s="102"/>
      <c r="O263" s="101"/>
      <c r="P263" s="102"/>
      <c r="Q263" s="105"/>
      <c r="R263" s="106" t="str">
        <f aca="true">IF($Q263="","", TODAY()-$Q263)</f>
        <v/>
      </c>
      <c r="S263" s="102"/>
      <c r="T263" s="105"/>
      <c r="U263" s="105"/>
      <c r="V263" s="101"/>
      <c r="W263" s="101"/>
      <c r="X263" s="101"/>
      <c r="Y263" s="96"/>
      <c r="Z263" s="96"/>
      <c r="AA263" s="96"/>
      <c r="AC263" s="102"/>
      <c r="AD263" s="107" t="str">
        <f aca="false">IF($B263="","",IF(ISNUMBER($T263),$T263,IF(OR(NOT(ISNUMBER($Q263)),$S263=""),"",IFERROR(IF(ISNUMBER(INDEX(Lists!$AJ$2:$AJ$7,MATCH($S263,Lists!$AI$2:$AI$7,0))),$Q263+INDEX(Lists!$AJ$2:$AJ$7,MATCH($S263,Lists!$AI$2:$AI$7,0)),""),""))))</f>
        <v/>
      </c>
      <c r="AE263" s="104" t="str">
        <f aca="true">IF($B263="","",IF(AND(ISNUMBER($AD263),N($AD263)&lt;TODAY(),$N263&lt;&gt;"Done",$N263&lt;&gt;"Won't Fix",$N263&lt;&gt;"Duplicate"),"Yes","No"))</f>
        <v/>
      </c>
      <c r="AF263" s="101"/>
      <c r="AG263" s="108" t="str">
        <f aca="false">IF($AF263="","",IFERROR(VLOOKUP($AF263,'Application Portfolio'!$A$2:$B$1000,2,FALSE()),"Unknown App ID"))</f>
        <v/>
      </c>
      <c r="AH263" s="108" t="str">
        <f aca="false">IF(OR($B263="",$AF263=""),"",IFERROR(VLOOKUP($AF263,'Application Portfolio'!$A$2:$AB$1000,28,FALSE()),""))</f>
        <v/>
      </c>
    </row>
    <row r="264" customFormat="false" ht="15.75" hidden="false" customHeight="true" outlineLevel="0" collapsed="false">
      <c r="A264" s="100"/>
      <c r="B264" s="101"/>
      <c r="C264" s="101"/>
      <c r="D264" s="101"/>
      <c r="E264" s="101"/>
      <c r="F264" s="102"/>
      <c r="G264" s="102"/>
      <c r="H264" s="102"/>
      <c r="I264" s="102"/>
      <c r="J264" s="102"/>
      <c r="K264" s="102"/>
      <c r="L264" s="103" t="str">
        <f aca="false">IF(OR($B264="", $H264="", $I264="", $J264="", $K264=""),"",ROUND((VLOOKUP($H264,Lists!$E$2:$F$5,2,FALSE())*VLOOKUP($I264,Lists!$H$2:$I$4,2,FALSE())*VLOOKUP($J264,Lists!$K$2:$L$4,2,FALSE()))/VLOOKUP($K264,Lists!$N$2:$O$6,2,FALSE()),2))</f>
        <v/>
      </c>
      <c r="M264" s="104" t="str">
        <f aca="false">IF($B264="","",IF($AC264&lt;&gt;"",$AC264,IF($H264="Critical","P0",IF(NOT(ISNUMBER($L264)),"",IF($L264&gt;=Lists!$AM$2,"P0",IF($L264&gt;=Lists!$AM$3,"P1",IF($L264&gt;=Lists!$AM$4,"P2","P3")))))))</f>
        <v/>
      </c>
      <c r="N264" s="102"/>
      <c r="O264" s="101"/>
      <c r="P264" s="102"/>
      <c r="Q264" s="105"/>
      <c r="R264" s="106" t="str">
        <f aca="true">IF($Q264="","", TODAY()-$Q264)</f>
        <v/>
      </c>
      <c r="S264" s="102"/>
      <c r="T264" s="105"/>
      <c r="U264" s="105"/>
      <c r="V264" s="101"/>
      <c r="W264" s="101"/>
      <c r="X264" s="101"/>
      <c r="Y264" s="96"/>
      <c r="Z264" s="96"/>
      <c r="AA264" s="96"/>
      <c r="AC264" s="102"/>
      <c r="AD264" s="107" t="str">
        <f aca="false">IF($B264="","",IF(ISNUMBER($T264),$T264,IF(OR(NOT(ISNUMBER($Q264)),$S264=""),"",IFERROR(IF(ISNUMBER(INDEX(Lists!$AJ$2:$AJ$7,MATCH($S264,Lists!$AI$2:$AI$7,0))),$Q264+INDEX(Lists!$AJ$2:$AJ$7,MATCH($S264,Lists!$AI$2:$AI$7,0)),""),""))))</f>
        <v/>
      </c>
      <c r="AE264" s="104" t="str">
        <f aca="true">IF($B264="","",IF(AND(ISNUMBER($AD264),N($AD264)&lt;TODAY(),$N264&lt;&gt;"Done",$N264&lt;&gt;"Won't Fix",$N264&lt;&gt;"Duplicate"),"Yes","No"))</f>
        <v/>
      </c>
      <c r="AF264" s="101"/>
      <c r="AG264" s="108" t="str">
        <f aca="false">IF($AF264="","",IFERROR(VLOOKUP($AF264,'Application Portfolio'!$A$2:$B$1000,2,FALSE()),"Unknown App ID"))</f>
        <v/>
      </c>
      <c r="AH264" s="108" t="str">
        <f aca="false">IF(OR($B264="",$AF264=""),"",IFERROR(VLOOKUP($AF264,'Application Portfolio'!$A$2:$AB$1000,28,FALSE()),""))</f>
        <v/>
      </c>
    </row>
    <row r="265" customFormat="false" ht="15.75" hidden="false" customHeight="true" outlineLevel="0" collapsed="false">
      <c r="A265" s="100"/>
      <c r="B265" s="101"/>
      <c r="C265" s="101"/>
      <c r="D265" s="101"/>
      <c r="E265" s="101"/>
      <c r="F265" s="102"/>
      <c r="G265" s="102"/>
      <c r="H265" s="102"/>
      <c r="I265" s="102"/>
      <c r="J265" s="102"/>
      <c r="K265" s="102"/>
      <c r="L265" s="103" t="str">
        <f aca="false">IF(OR($B265="", $H265="", $I265="", $J265="", $K265=""),"",ROUND((VLOOKUP($H265,Lists!$E$2:$F$5,2,FALSE())*VLOOKUP($I265,Lists!$H$2:$I$4,2,FALSE())*VLOOKUP($J265,Lists!$K$2:$L$4,2,FALSE()))/VLOOKUP($K265,Lists!$N$2:$O$6,2,FALSE()),2))</f>
        <v/>
      </c>
      <c r="M265" s="104" t="str">
        <f aca="false">IF($B265="","",IF($AC265&lt;&gt;"",$AC265,IF($H265="Critical","P0",IF(NOT(ISNUMBER($L265)),"",IF($L265&gt;=Lists!$AM$2,"P0",IF($L265&gt;=Lists!$AM$3,"P1",IF($L265&gt;=Lists!$AM$4,"P2","P3")))))))</f>
        <v/>
      </c>
      <c r="N265" s="102"/>
      <c r="O265" s="101"/>
      <c r="P265" s="102"/>
      <c r="Q265" s="105"/>
      <c r="R265" s="106" t="str">
        <f aca="true">IF($Q265="","", TODAY()-$Q265)</f>
        <v/>
      </c>
      <c r="S265" s="102"/>
      <c r="T265" s="105"/>
      <c r="U265" s="105"/>
      <c r="V265" s="101"/>
      <c r="W265" s="101"/>
      <c r="X265" s="101"/>
      <c r="Y265" s="96"/>
      <c r="Z265" s="96"/>
      <c r="AA265" s="96"/>
      <c r="AC265" s="102"/>
      <c r="AD265" s="107" t="str">
        <f aca="false">IF($B265="","",IF(ISNUMBER($T265),$T265,IF(OR(NOT(ISNUMBER($Q265)),$S265=""),"",IFERROR(IF(ISNUMBER(INDEX(Lists!$AJ$2:$AJ$7,MATCH($S265,Lists!$AI$2:$AI$7,0))),$Q265+INDEX(Lists!$AJ$2:$AJ$7,MATCH($S265,Lists!$AI$2:$AI$7,0)),""),""))))</f>
        <v/>
      </c>
      <c r="AE265" s="104" t="str">
        <f aca="true">IF($B265="","",IF(AND(ISNUMBER($AD265),N($AD265)&lt;TODAY(),$N265&lt;&gt;"Done",$N265&lt;&gt;"Won't Fix",$N265&lt;&gt;"Duplicate"),"Yes","No"))</f>
        <v/>
      </c>
      <c r="AF265" s="101"/>
      <c r="AG265" s="108" t="str">
        <f aca="false">IF($AF265="","",IFERROR(VLOOKUP($AF265,'Application Portfolio'!$A$2:$B$1000,2,FALSE()),"Unknown App ID"))</f>
        <v/>
      </c>
      <c r="AH265" s="108" t="str">
        <f aca="false">IF(OR($B265="",$AF265=""),"",IFERROR(VLOOKUP($AF265,'Application Portfolio'!$A$2:$AB$1000,28,FALSE()),""))</f>
        <v/>
      </c>
    </row>
    <row r="266" customFormat="false" ht="15.75" hidden="false" customHeight="true" outlineLevel="0" collapsed="false">
      <c r="A266" s="100"/>
      <c r="B266" s="101"/>
      <c r="C266" s="101"/>
      <c r="D266" s="101"/>
      <c r="E266" s="101"/>
      <c r="F266" s="102"/>
      <c r="G266" s="102"/>
      <c r="H266" s="102"/>
      <c r="I266" s="102"/>
      <c r="J266" s="102"/>
      <c r="K266" s="102"/>
      <c r="L266" s="103" t="str">
        <f aca="false">IF(OR($B266="", $H266="", $I266="", $J266="", $K266=""),"",ROUND((VLOOKUP($H266,Lists!$E$2:$F$5,2,FALSE())*VLOOKUP($I266,Lists!$H$2:$I$4,2,FALSE())*VLOOKUP($J266,Lists!$K$2:$L$4,2,FALSE()))/VLOOKUP($K266,Lists!$N$2:$O$6,2,FALSE()),2))</f>
        <v/>
      </c>
      <c r="M266" s="104" t="str">
        <f aca="false">IF($B266="","",IF($AC266&lt;&gt;"",$AC266,IF($H266="Critical","P0",IF(NOT(ISNUMBER($L266)),"",IF($L266&gt;=Lists!$AM$2,"P0",IF($L266&gt;=Lists!$AM$3,"P1",IF($L266&gt;=Lists!$AM$4,"P2","P3")))))))</f>
        <v/>
      </c>
      <c r="N266" s="102"/>
      <c r="O266" s="101"/>
      <c r="P266" s="102"/>
      <c r="Q266" s="105"/>
      <c r="R266" s="106" t="str">
        <f aca="true">IF($Q266="","", TODAY()-$Q266)</f>
        <v/>
      </c>
      <c r="S266" s="102"/>
      <c r="T266" s="105"/>
      <c r="U266" s="105"/>
      <c r="V266" s="101"/>
      <c r="W266" s="101"/>
      <c r="X266" s="101"/>
      <c r="Y266" s="96"/>
      <c r="Z266" s="96"/>
      <c r="AA266" s="96"/>
      <c r="AC266" s="102"/>
      <c r="AD266" s="107" t="str">
        <f aca="false">IF($B266="","",IF(ISNUMBER($T266),$T266,IF(OR(NOT(ISNUMBER($Q266)),$S266=""),"",IFERROR(IF(ISNUMBER(INDEX(Lists!$AJ$2:$AJ$7,MATCH($S266,Lists!$AI$2:$AI$7,0))),$Q266+INDEX(Lists!$AJ$2:$AJ$7,MATCH($S266,Lists!$AI$2:$AI$7,0)),""),""))))</f>
        <v/>
      </c>
      <c r="AE266" s="104" t="str">
        <f aca="true">IF($B266="","",IF(AND(ISNUMBER($AD266),N($AD266)&lt;TODAY(),$N266&lt;&gt;"Done",$N266&lt;&gt;"Won't Fix",$N266&lt;&gt;"Duplicate"),"Yes","No"))</f>
        <v/>
      </c>
      <c r="AF266" s="101"/>
      <c r="AG266" s="108" t="str">
        <f aca="false">IF($AF266="","",IFERROR(VLOOKUP($AF266,'Application Portfolio'!$A$2:$B$1000,2,FALSE()),"Unknown App ID"))</f>
        <v/>
      </c>
      <c r="AH266" s="108" t="str">
        <f aca="false">IF(OR($B266="",$AF266=""),"",IFERROR(VLOOKUP($AF266,'Application Portfolio'!$A$2:$AB$1000,28,FALSE()),""))</f>
        <v/>
      </c>
    </row>
    <row r="267" customFormat="false" ht="15.75" hidden="false" customHeight="true" outlineLevel="0" collapsed="false">
      <c r="A267" s="100"/>
      <c r="B267" s="101"/>
      <c r="C267" s="101"/>
      <c r="D267" s="101"/>
      <c r="E267" s="101"/>
      <c r="F267" s="102"/>
      <c r="G267" s="102"/>
      <c r="H267" s="102"/>
      <c r="I267" s="102"/>
      <c r="J267" s="102"/>
      <c r="K267" s="102"/>
      <c r="L267" s="103" t="str">
        <f aca="false">IF(OR($B267="", $H267="", $I267="", $J267="", $K267=""),"",ROUND((VLOOKUP($H267,Lists!$E$2:$F$5,2,FALSE())*VLOOKUP($I267,Lists!$H$2:$I$4,2,FALSE())*VLOOKUP($J267,Lists!$K$2:$L$4,2,FALSE()))/VLOOKUP($K267,Lists!$N$2:$O$6,2,FALSE()),2))</f>
        <v/>
      </c>
      <c r="M267" s="104" t="str">
        <f aca="false">IF($B267="","",IF($AC267&lt;&gt;"",$AC267,IF($H267="Critical","P0",IF(NOT(ISNUMBER($L267)),"",IF($L267&gt;=Lists!$AM$2,"P0",IF($L267&gt;=Lists!$AM$3,"P1",IF($L267&gt;=Lists!$AM$4,"P2","P3")))))))</f>
        <v/>
      </c>
      <c r="N267" s="102"/>
      <c r="O267" s="101"/>
      <c r="P267" s="102"/>
      <c r="Q267" s="105"/>
      <c r="R267" s="106" t="str">
        <f aca="true">IF($Q267="","", TODAY()-$Q267)</f>
        <v/>
      </c>
      <c r="S267" s="102"/>
      <c r="T267" s="105"/>
      <c r="U267" s="105"/>
      <c r="V267" s="101"/>
      <c r="W267" s="101"/>
      <c r="X267" s="101"/>
      <c r="Y267" s="96"/>
      <c r="Z267" s="96"/>
      <c r="AA267" s="96"/>
      <c r="AC267" s="102"/>
      <c r="AD267" s="107" t="str">
        <f aca="false">IF($B267="","",IF(ISNUMBER($T267),$T267,IF(OR(NOT(ISNUMBER($Q267)),$S267=""),"",IFERROR(IF(ISNUMBER(INDEX(Lists!$AJ$2:$AJ$7,MATCH($S267,Lists!$AI$2:$AI$7,0))),$Q267+INDEX(Lists!$AJ$2:$AJ$7,MATCH($S267,Lists!$AI$2:$AI$7,0)),""),""))))</f>
        <v/>
      </c>
      <c r="AE267" s="104" t="str">
        <f aca="true">IF($B267="","",IF(AND(ISNUMBER($AD267),N($AD267)&lt;TODAY(),$N267&lt;&gt;"Done",$N267&lt;&gt;"Won't Fix",$N267&lt;&gt;"Duplicate"),"Yes","No"))</f>
        <v/>
      </c>
      <c r="AF267" s="101"/>
      <c r="AG267" s="108" t="str">
        <f aca="false">IF($AF267="","",IFERROR(VLOOKUP($AF267,'Application Portfolio'!$A$2:$B$1000,2,FALSE()),"Unknown App ID"))</f>
        <v/>
      </c>
      <c r="AH267" s="108" t="str">
        <f aca="false">IF(OR($B267="",$AF267=""),"",IFERROR(VLOOKUP($AF267,'Application Portfolio'!$A$2:$AB$1000,28,FALSE()),""))</f>
        <v/>
      </c>
    </row>
    <row r="268" customFormat="false" ht="15.75" hidden="false" customHeight="true" outlineLevel="0" collapsed="false">
      <c r="A268" s="100"/>
      <c r="B268" s="101"/>
      <c r="C268" s="101"/>
      <c r="D268" s="101"/>
      <c r="E268" s="101"/>
      <c r="F268" s="102"/>
      <c r="G268" s="102"/>
      <c r="H268" s="102"/>
      <c r="I268" s="102"/>
      <c r="J268" s="102"/>
      <c r="K268" s="102"/>
      <c r="L268" s="103" t="str">
        <f aca="false">IF(OR($B268="", $H268="", $I268="", $J268="", $K268=""),"",ROUND((VLOOKUP($H268,Lists!$E$2:$F$5,2,FALSE())*VLOOKUP($I268,Lists!$H$2:$I$4,2,FALSE())*VLOOKUP($J268,Lists!$K$2:$L$4,2,FALSE()))/VLOOKUP($K268,Lists!$N$2:$O$6,2,FALSE()),2))</f>
        <v/>
      </c>
      <c r="M268" s="104" t="str">
        <f aca="false">IF($B268="","",IF($AC268&lt;&gt;"",$AC268,IF($H268="Critical","P0",IF(NOT(ISNUMBER($L268)),"",IF($L268&gt;=Lists!$AM$2,"P0",IF($L268&gt;=Lists!$AM$3,"P1",IF($L268&gt;=Lists!$AM$4,"P2","P3")))))))</f>
        <v/>
      </c>
      <c r="N268" s="102"/>
      <c r="O268" s="101"/>
      <c r="P268" s="102"/>
      <c r="Q268" s="105"/>
      <c r="R268" s="106" t="str">
        <f aca="true">IF($Q268="","", TODAY()-$Q268)</f>
        <v/>
      </c>
      <c r="S268" s="102"/>
      <c r="T268" s="105"/>
      <c r="U268" s="105"/>
      <c r="V268" s="101"/>
      <c r="W268" s="101"/>
      <c r="X268" s="101"/>
      <c r="Y268" s="96"/>
      <c r="Z268" s="96"/>
      <c r="AA268" s="96"/>
      <c r="AC268" s="102"/>
      <c r="AD268" s="107" t="str">
        <f aca="false">IF($B268="","",IF(ISNUMBER($T268),$T268,IF(OR(NOT(ISNUMBER($Q268)),$S268=""),"",IFERROR(IF(ISNUMBER(INDEX(Lists!$AJ$2:$AJ$7,MATCH($S268,Lists!$AI$2:$AI$7,0))),$Q268+INDEX(Lists!$AJ$2:$AJ$7,MATCH($S268,Lists!$AI$2:$AI$7,0)),""),""))))</f>
        <v/>
      </c>
      <c r="AE268" s="104" t="str">
        <f aca="true">IF($B268="","",IF(AND(ISNUMBER($AD268),N($AD268)&lt;TODAY(),$N268&lt;&gt;"Done",$N268&lt;&gt;"Won't Fix",$N268&lt;&gt;"Duplicate"),"Yes","No"))</f>
        <v/>
      </c>
      <c r="AF268" s="101"/>
      <c r="AG268" s="108" t="str">
        <f aca="false">IF($AF268="","",IFERROR(VLOOKUP($AF268,'Application Portfolio'!$A$2:$B$1000,2,FALSE()),"Unknown App ID"))</f>
        <v/>
      </c>
      <c r="AH268" s="108" t="str">
        <f aca="false">IF(OR($B268="",$AF268=""),"",IFERROR(VLOOKUP($AF268,'Application Portfolio'!$A$2:$AB$1000,28,FALSE()),""))</f>
        <v/>
      </c>
    </row>
    <row r="269" customFormat="false" ht="15.75" hidden="false" customHeight="true" outlineLevel="0" collapsed="false">
      <c r="A269" s="100"/>
      <c r="B269" s="101"/>
      <c r="C269" s="101"/>
      <c r="D269" s="101"/>
      <c r="E269" s="101"/>
      <c r="F269" s="102"/>
      <c r="G269" s="102"/>
      <c r="H269" s="102"/>
      <c r="I269" s="102"/>
      <c r="J269" s="102"/>
      <c r="K269" s="102"/>
      <c r="L269" s="103" t="str">
        <f aca="false">IF(OR($B269="", $H269="", $I269="", $J269="", $K269=""),"",ROUND((VLOOKUP($H269,Lists!$E$2:$F$5,2,FALSE())*VLOOKUP($I269,Lists!$H$2:$I$4,2,FALSE())*VLOOKUP($J269,Lists!$K$2:$L$4,2,FALSE()))/VLOOKUP($K269,Lists!$N$2:$O$6,2,FALSE()),2))</f>
        <v/>
      </c>
      <c r="M269" s="104" t="str">
        <f aca="false">IF($B269="","",IF($AC269&lt;&gt;"",$AC269,IF($H269="Critical","P0",IF(NOT(ISNUMBER($L269)),"",IF($L269&gt;=Lists!$AM$2,"P0",IF($L269&gt;=Lists!$AM$3,"P1",IF($L269&gt;=Lists!$AM$4,"P2","P3")))))))</f>
        <v/>
      </c>
      <c r="N269" s="102"/>
      <c r="O269" s="101"/>
      <c r="P269" s="102"/>
      <c r="Q269" s="105"/>
      <c r="R269" s="106" t="str">
        <f aca="true">IF($Q269="","", TODAY()-$Q269)</f>
        <v/>
      </c>
      <c r="S269" s="102"/>
      <c r="T269" s="105"/>
      <c r="U269" s="105"/>
      <c r="V269" s="101"/>
      <c r="W269" s="101"/>
      <c r="X269" s="101"/>
      <c r="Y269" s="96"/>
      <c r="Z269" s="96"/>
      <c r="AA269" s="96"/>
      <c r="AC269" s="102"/>
      <c r="AD269" s="107" t="str">
        <f aca="false">IF($B269="","",IF(ISNUMBER($T269),$T269,IF(OR(NOT(ISNUMBER($Q269)),$S269=""),"",IFERROR(IF(ISNUMBER(INDEX(Lists!$AJ$2:$AJ$7,MATCH($S269,Lists!$AI$2:$AI$7,0))),$Q269+INDEX(Lists!$AJ$2:$AJ$7,MATCH($S269,Lists!$AI$2:$AI$7,0)),""),""))))</f>
        <v/>
      </c>
      <c r="AE269" s="104" t="str">
        <f aca="true">IF($B269="","",IF(AND(ISNUMBER($AD269),N($AD269)&lt;TODAY(),$N269&lt;&gt;"Done",$N269&lt;&gt;"Won't Fix",$N269&lt;&gt;"Duplicate"),"Yes","No"))</f>
        <v/>
      </c>
      <c r="AF269" s="101"/>
      <c r="AG269" s="108" t="str">
        <f aca="false">IF($AF269="","",IFERROR(VLOOKUP($AF269,'Application Portfolio'!$A$2:$B$1000,2,FALSE()),"Unknown App ID"))</f>
        <v/>
      </c>
      <c r="AH269" s="108" t="str">
        <f aca="false">IF(OR($B269="",$AF269=""),"",IFERROR(VLOOKUP($AF269,'Application Portfolio'!$A$2:$AB$1000,28,FALSE()),""))</f>
        <v/>
      </c>
    </row>
    <row r="270" customFormat="false" ht="15.75" hidden="false" customHeight="true" outlineLevel="0" collapsed="false">
      <c r="A270" s="100"/>
      <c r="B270" s="101"/>
      <c r="C270" s="101"/>
      <c r="D270" s="101"/>
      <c r="E270" s="101"/>
      <c r="F270" s="102"/>
      <c r="G270" s="102"/>
      <c r="H270" s="102"/>
      <c r="I270" s="102"/>
      <c r="J270" s="102"/>
      <c r="K270" s="102"/>
      <c r="L270" s="103" t="str">
        <f aca="false">IF(OR($B270="", $H270="", $I270="", $J270="", $K270=""),"",ROUND((VLOOKUP($H270,Lists!$E$2:$F$5,2,FALSE())*VLOOKUP($I270,Lists!$H$2:$I$4,2,FALSE())*VLOOKUP($J270,Lists!$K$2:$L$4,2,FALSE()))/VLOOKUP($K270,Lists!$N$2:$O$6,2,FALSE()),2))</f>
        <v/>
      </c>
      <c r="M270" s="104" t="str">
        <f aca="false">IF($B270="","",IF($AC270&lt;&gt;"",$AC270,IF($H270="Critical","P0",IF(NOT(ISNUMBER($L270)),"",IF($L270&gt;=Lists!$AM$2,"P0",IF($L270&gt;=Lists!$AM$3,"P1",IF($L270&gt;=Lists!$AM$4,"P2","P3")))))))</f>
        <v/>
      </c>
      <c r="N270" s="102"/>
      <c r="O270" s="101"/>
      <c r="P270" s="102"/>
      <c r="Q270" s="105"/>
      <c r="R270" s="106" t="str">
        <f aca="true">IF($Q270="","", TODAY()-$Q270)</f>
        <v/>
      </c>
      <c r="S270" s="102"/>
      <c r="T270" s="105"/>
      <c r="U270" s="105"/>
      <c r="V270" s="101"/>
      <c r="W270" s="101"/>
      <c r="X270" s="101"/>
      <c r="Y270" s="96"/>
      <c r="Z270" s="96"/>
      <c r="AA270" s="96"/>
      <c r="AC270" s="102"/>
      <c r="AD270" s="107" t="str">
        <f aca="false">IF($B270="","",IF(ISNUMBER($T270),$T270,IF(OR(NOT(ISNUMBER($Q270)),$S270=""),"",IFERROR(IF(ISNUMBER(INDEX(Lists!$AJ$2:$AJ$7,MATCH($S270,Lists!$AI$2:$AI$7,0))),$Q270+INDEX(Lists!$AJ$2:$AJ$7,MATCH($S270,Lists!$AI$2:$AI$7,0)),""),""))))</f>
        <v/>
      </c>
      <c r="AE270" s="104" t="str">
        <f aca="true">IF($B270="","",IF(AND(ISNUMBER($AD270),N($AD270)&lt;TODAY(),$N270&lt;&gt;"Done",$N270&lt;&gt;"Won't Fix",$N270&lt;&gt;"Duplicate"),"Yes","No"))</f>
        <v/>
      </c>
      <c r="AF270" s="101"/>
      <c r="AG270" s="108" t="str">
        <f aca="false">IF($AF270="","",IFERROR(VLOOKUP($AF270,'Application Portfolio'!$A$2:$B$1000,2,FALSE()),"Unknown App ID"))</f>
        <v/>
      </c>
      <c r="AH270" s="108" t="str">
        <f aca="false">IF(OR($B270="",$AF270=""),"",IFERROR(VLOOKUP($AF270,'Application Portfolio'!$A$2:$AB$1000,28,FALSE()),""))</f>
        <v/>
      </c>
    </row>
    <row r="271" customFormat="false" ht="15.75" hidden="false" customHeight="true" outlineLevel="0" collapsed="false">
      <c r="A271" s="100"/>
      <c r="B271" s="101"/>
      <c r="C271" s="101"/>
      <c r="D271" s="101"/>
      <c r="E271" s="101"/>
      <c r="F271" s="102"/>
      <c r="G271" s="102"/>
      <c r="H271" s="102"/>
      <c r="I271" s="102"/>
      <c r="J271" s="102"/>
      <c r="K271" s="102"/>
      <c r="L271" s="103" t="str">
        <f aca="false">IF(OR($B271="", $H271="", $I271="", $J271="", $K271=""),"",ROUND((VLOOKUP($H271,Lists!$E$2:$F$5,2,FALSE())*VLOOKUP($I271,Lists!$H$2:$I$4,2,FALSE())*VLOOKUP($J271,Lists!$K$2:$L$4,2,FALSE()))/VLOOKUP($K271,Lists!$N$2:$O$6,2,FALSE()),2))</f>
        <v/>
      </c>
      <c r="M271" s="104" t="str">
        <f aca="false">IF($B271="","",IF($AC271&lt;&gt;"",$AC271,IF($H271="Critical","P0",IF(NOT(ISNUMBER($L271)),"",IF($L271&gt;=Lists!$AM$2,"P0",IF($L271&gt;=Lists!$AM$3,"P1",IF($L271&gt;=Lists!$AM$4,"P2","P3")))))))</f>
        <v/>
      </c>
      <c r="N271" s="102"/>
      <c r="O271" s="101"/>
      <c r="P271" s="102"/>
      <c r="Q271" s="105"/>
      <c r="R271" s="106" t="str">
        <f aca="true">IF($Q271="","", TODAY()-$Q271)</f>
        <v/>
      </c>
      <c r="S271" s="102"/>
      <c r="T271" s="105"/>
      <c r="U271" s="105"/>
      <c r="V271" s="101"/>
      <c r="W271" s="101"/>
      <c r="X271" s="101"/>
      <c r="Y271" s="96"/>
      <c r="Z271" s="96"/>
      <c r="AA271" s="96"/>
      <c r="AC271" s="102"/>
      <c r="AD271" s="107" t="str">
        <f aca="false">IF($B271="","",IF(ISNUMBER($T271),$T271,IF(OR(NOT(ISNUMBER($Q271)),$S271=""),"",IFERROR(IF(ISNUMBER(INDEX(Lists!$AJ$2:$AJ$7,MATCH($S271,Lists!$AI$2:$AI$7,0))),$Q271+INDEX(Lists!$AJ$2:$AJ$7,MATCH($S271,Lists!$AI$2:$AI$7,0)),""),""))))</f>
        <v/>
      </c>
      <c r="AE271" s="104" t="str">
        <f aca="true">IF($B271="","",IF(AND(ISNUMBER($AD271),N($AD271)&lt;TODAY(),$N271&lt;&gt;"Done",$N271&lt;&gt;"Won't Fix",$N271&lt;&gt;"Duplicate"),"Yes","No"))</f>
        <v/>
      </c>
      <c r="AF271" s="101"/>
      <c r="AG271" s="108" t="str">
        <f aca="false">IF($AF271="","",IFERROR(VLOOKUP($AF271,'Application Portfolio'!$A$2:$B$1000,2,FALSE()),"Unknown App ID"))</f>
        <v/>
      </c>
      <c r="AH271" s="108" t="str">
        <f aca="false">IF(OR($B271="",$AF271=""),"",IFERROR(VLOOKUP($AF271,'Application Portfolio'!$A$2:$AB$1000,28,FALSE()),""))</f>
        <v/>
      </c>
    </row>
    <row r="272" customFormat="false" ht="15.75" hidden="false" customHeight="true" outlineLevel="0" collapsed="false">
      <c r="A272" s="100"/>
      <c r="B272" s="101"/>
      <c r="C272" s="101"/>
      <c r="D272" s="101"/>
      <c r="E272" s="101"/>
      <c r="F272" s="102"/>
      <c r="G272" s="102"/>
      <c r="H272" s="102"/>
      <c r="I272" s="102"/>
      <c r="J272" s="102"/>
      <c r="K272" s="102"/>
      <c r="L272" s="103" t="str">
        <f aca="false">IF(OR($B272="", $H272="", $I272="", $J272="", $K272=""),"",ROUND((VLOOKUP($H272,Lists!$E$2:$F$5,2,FALSE())*VLOOKUP($I272,Lists!$H$2:$I$4,2,FALSE())*VLOOKUP($J272,Lists!$K$2:$L$4,2,FALSE()))/VLOOKUP($K272,Lists!$N$2:$O$6,2,FALSE()),2))</f>
        <v/>
      </c>
      <c r="M272" s="104" t="str">
        <f aca="false">IF($B272="","",IF($AC272&lt;&gt;"",$AC272,IF($H272="Critical","P0",IF(NOT(ISNUMBER($L272)),"",IF($L272&gt;=Lists!$AM$2,"P0",IF($L272&gt;=Lists!$AM$3,"P1",IF($L272&gt;=Lists!$AM$4,"P2","P3")))))))</f>
        <v/>
      </c>
      <c r="N272" s="102"/>
      <c r="O272" s="101"/>
      <c r="P272" s="102"/>
      <c r="Q272" s="105"/>
      <c r="R272" s="106" t="str">
        <f aca="true">IF($Q272="","", TODAY()-$Q272)</f>
        <v/>
      </c>
      <c r="S272" s="102"/>
      <c r="T272" s="105"/>
      <c r="U272" s="105"/>
      <c r="V272" s="101"/>
      <c r="W272" s="101"/>
      <c r="X272" s="101"/>
      <c r="Y272" s="96"/>
      <c r="Z272" s="96"/>
      <c r="AA272" s="96"/>
      <c r="AC272" s="102"/>
      <c r="AD272" s="107" t="str">
        <f aca="false">IF($B272="","",IF(ISNUMBER($T272),$T272,IF(OR(NOT(ISNUMBER($Q272)),$S272=""),"",IFERROR(IF(ISNUMBER(INDEX(Lists!$AJ$2:$AJ$7,MATCH($S272,Lists!$AI$2:$AI$7,0))),$Q272+INDEX(Lists!$AJ$2:$AJ$7,MATCH($S272,Lists!$AI$2:$AI$7,0)),""),""))))</f>
        <v/>
      </c>
      <c r="AE272" s="104" t="str">
        <f aca="true">IF($B272="","",IF(AND(ISNUMBER($AD272),N($AD272)&lt;TODAY(),$N272&lt;&gt;"Done",$N272&lt;&gt;"Won't Fix",$N272&lt;&gt;"Duplicate"),"Yes","No"))</f>
        <v/>
      </c>
      <c r="AF272" s="101"/>
      <c r="AG272" s="108" t="str">
        <f aca="false">IF($AF272="","",IFERROR(VLOOKUP($AF272,'Application Portfolio'!$A$2:$B$1000,2,FALSE()),"Unknown App ID"))</f>
        <v/>
      </c>
      <c r="AH272" s="108" t="str">
        <f aca="false">IF(OR($B272="",$AF272=""),"",IFERROR(VLOOKUP($AF272,'Application Portfolio'!$A$2:$AB$1000,28,FALSE()),""))</f>
        <v/>
      </c>
    </row>
    <row r="273" customFormat="false" ht="15.75" hidden="false" customHeight="true" outlineLevel="0" collapsed="false">
      <c r="A273" s="100"/>
      <c r="B273" s="101"/>
      <c r="C273" s="101"/>
      <c r="D273" s="101"/>
      <c r="E273" s="101"/>
      <c r="F273" s="102"/>
      <c r="G273" s="102"/>
      <c r="H273" s="102"/>
      <c r="I273" s="102"/>
      <c r="J273" s="102"/>
      <c r="K273" s="102"/>
      <c r="L273" s="103" t="str">
        <f aca="false">IF(OR($B273="", $H273="", $I273="", $J273="", $K273=""),"",ROUND((VLOOKUP($H273,Lists!$E$2:$F$5,2,FALSE())*VLOOKUP($I273,Lists!$H$2:$I$4,2,FALSE())*VLOOKUP($J273,Lists!$K$2:$L$4,2,FALSE()))/VLOOKUP($K273,Lists!$N$2:$O$6,2,FALSE()),2))</f>
        <v/>
      </c>
      <c r="M273" s="104" t="str">
        <f aca="false">IF($B273="","",IF($AC273&lt;&gt;"",$AC273,IF($H273="Critical","P0",IF(NOT(ISNUMBER($L273)),"",IF($L273&gt;=Lists!$AM$2,"P0",IF($L273&gt;=Lists!$AM$3,"P1",IF($L273&gt;=Lists!$AM$4,"P2","P3")))))))</f>
        <v/>
      </c>
      <c r="N273" s="102"/>
      <c r="O273" s="101"/>
      <c r="P273" s="102"/>
      <c r="Q273" s="105"/>
      <c r="R273" s="106" t="str">
        <f aca="true">IF($Q273="","", TODAY()-$Q273)</f>
        <v/>
      </c>
      <c r="S273" s="102"/>
      <c r="T273" s="105"/>
      <c r="U273" s="105"/>
      <c r="V273" s="101"/>
      <c r="W273" s="101"/>
      <c r="X273" s="101"/>
      <c r="Y273" s="96"/>
      <c r="Z273" s="96"/>
      <c r="AA273" s="96"/>
      <c r="AC273" s="102"/>
      <c r="AD273" s="107" t="str">
        <f aca="false">IF($B273="","",IF(ISNUMBER($T273),$T273,IF(OR(NOT(ISNUMBER($Q273)),$S273=""),"",IFERROR(IF(ISNUMBER(INDEX(Lists!$AJ$2:$AJ$7,MATCH($S273,Lists!$AI$2:$AI$7,0))),$Q273+INDEX(Lists!$AJ$2:$AJ$7,MATCH($S273,Lists!$AI$2:$AI$7,0)),""),""))))</f>
        <v/>
      </c>
      <c r="AE273" s="104" t="str">
        <f aca="true">IF($B273="","",IF(AND(ISNUMBER($AD273),N($AD273)&lt;TODAY(),$N273&lt;&gt;"Done",$N273&lt;&gt;"Won't Fix",$N273&lt;&gt;"Duplicate"),"Yes","No"))</f>
        <v/>
      </c>
      <c r="AF273" s="101"/>
      <c r="AG273" s="108" t="str">
        <f aca="false">IF($AF273="","",IFERROR(VLOOKUP($AF273,'Application Portfolio'!$A$2:$B$1000,2,FALSE()),"Unknown App ID"))</f>
        <v/>
      </c>
      <c r="AH273" s="108" t="str">
        <f aca="false">IF(OR($B273="",$AF273=""),"",IFERROR(VLOOKUP($AF273,'Application Portfolio'!$A$2:$AB$1000,28,FALSE()),""))</f>
        <v/>
      </c>
    </row>
    <row r="274" customFormat="false" ht="15.75" hidden="false" customHeight="true" outlineLevel="0" collapsed="false">
      <c r="A274" s="100"/>
      <c r="B274" s="101"/>
      <c r="C274" s="101"/>
      <c r="D274" s="101"/>
      <c r="E274" s="101"/>
      <c r="F274" s="102"/>
      <c r="G274" s="102"/>
      <c r="H274" s="102"/>
      <c r="I274" s="102"/>
      <c r="J274" s="102"/>
      <c r="K274" s="102"/>
      <c r="L274" s="103" t="str">
        <f aca="false">IF(OR($B274="", $H274="", $I274="", $J274="", $K274=""),"",ROUND((VLOOKUP($H274,Lists!$E$2:$F$5,2,FALSE())*VLOOKUP($I274,Lists!$H$2:$I$4,2,FALSE())*VLOOKUP($J274,Lists!$K$2:$L$4,2,FALSE()))/VLOOKUP($K274,Lists!$N$2:$O$6,2,FALSE()),2))</f>
        <v/>
      </c>
      <c r="M274" s="104" t="str">
        <f aca="false">IF($B274="","",IF($AC274&lt;&gt;"",$AC274,IF($H274="Critical","P0",IF(NOT(ISNUMBER($L274)),"",IF($L274&gt;=Lists!$AM$2,"P0",IF($L274&gt;=Lists!$AM$3,"P1",IF($L274&gt;=Lists!$AM$4,"P2","P3")))))))</f>
        <v/>
      </c>
      <c r="N274" s="102"/>
      <c r="O274" s="101"/>
      <c r="P274" s="102"/>
      <c r="Q274" s="105"/>
      <c r="R274" s="106" t="str">
        <f aca="true">IF($Q274="","", TODAY()-$Q274)</f>
        <v/>
      </c>
      <c r="S274" s="102"/>
      <c r="T274" s="105"/>
      <c r="U274" s="105"/>
      <c r="V274" s="101"/>
      <c r="W274" s="101"/>
      <c r="X274" s="101"/>
      <c r="Y274" s="96"/>
      <c r="Z274" s="96"/>
      <c r="AA274" s="96"/>
      <c r="AC274" s="102"/>
      <c r="AD274" s="107" t="str">
        <f aca="false">IF($B274="","",IF(ISNUMBER($T274),$T274,IF(OR(NOT(ISNUMBER($Q274)),$S274=""),"",IFERROR(IF(ISNUMBER(INDEX(Lists!$AJ$2:$AJ$7,MATCH($S274,Lists!$AI$2:$AI$7,0))),$Q274+INDEX(Lists!$AJ$2:$AJ$7,MATCH($S274,Lists!$AI$2:$AI$7,0)),""),""))))</f>
        <v/>
      </c>
      <c r="AE274" s="104" t="str">
        <f aca="true">IF($B274="","",IF(AND(ISNUMBER($AD274),N($AD274)&lt;TODAY(),$N274&lt;&gt;"Done",$N274&lt;&gt;"Won't Fix",$N274&lt;&gt;"Duplicate"),"Yes","No"))</f>
        <v/>
      </c>
      <c r="AF274" s="101"/>
      <c r="AG274" s="108" t="str">
        <f aca="false">IF($AF274="","",IFERROR(VLOOKUP($AF274,'Application Portfolio'!$A$2:$B$1000,2,FALSE()),"Unknown App ID"))</f>
        <v/>
      </c>
      <c r="AH274" s="108" t="str">
        <f aca="false">IF(OR($B274="",$AF274=""),"",IFERROR(VLOOKUP($AF274,'Application Portfolio'!$A$2:$AB$1000,28,FALSE()),""))</f>
        <v/>
      </c>
    </row>
    <row r="275" customFormat="false" ht="15.75" hidden="false" customHeight="true" outlineLevel="0" collapsed="false">
      <c r="A275" s="100"/>
      <c r="B275" s="101"/>
      <c r="C275" s="101"/>
      <c r="D275" s="101"/>
      <c r="E275" s="101"/>
      <c r="F275" s="102"/>
      <c r="G275" s="102"/>
      <c r="H275" s="102"/>
      <c r="I275" s="102"/>
      <c r="J275" s="102"/>
      <c r="K275" s="102"/>
      <c r="L275" s="103" t="str">
        <f aca="false">IF(OR($B275="", $H275="", $I275="", $J275="", $K275=""),"",ROUND((VLOOKUP($H275,Lists!$E$2:$F$5,2,FALSE())*VLOOKUP($I275,Lists!$H$2:$I$4,2,FALSE())*VLOOKUP($J275,Lists!$K$2:$L$4,2,FALSE()))/VLOOKUP($K275,Lists!$N$2:$O$6,2,FALSE()),2))</f>
        <v/>
      </c>
      <c r="M275" s="104" t="str">
        <f aca="false">IF($B275="","",IF($AC275&lt;&gt;"",$AC275,IF($H275="Critical","P0",IF(NOT(ISNUMBER($L275)),"",IF($L275&gt;=Lists!$AM$2,"P0",IF($L275&gt;=Lists!$AM$3,"P1",IF($L275&gt;=Lists!$AM$4,"P2","P3")))))))</f>
        <v/>
      </c>
      <c r="N275" s="102"/>
      <c r="O275" s="101"/>
      <c r="P275" s="102"/>
      <c r="Q275" s="105"/>
      <c r="R275" s="106" t="str">
        <f aca="true">IF($Q275="","", TODAY()-$Q275)</f>
        <v/>
      </c>
      <c r="S275" s="102"/>
      <c r="T275" s="105"/>
      <c r="U275" s="105"/>
      <c r="V275" s="101"/>
      <c r="W275" s="101"/>
      <c r="X275" s="101"/>
      <c r="Y275" s="96"/>
      <c r="Z275" s="96"/>
      <c r="AA275" s="96"/>
      <c r="AC275" s="102"/>
      <c r="AD275" s="107" t="str">
        <f aca="false">IF($B275="","",IF(ISNUMBER($T275),$T275,IF(OR(NOT(ISNUMBER($Q275)),$S275=""),"",IFERROR(IF(ISNUMBER(INDEX(Lists!$AJ$2:$AJ$7,MATCH($S275,Lists!$AI$2:$AI$7,0))),$Q275+INDEX(Lists!$AJ$2:$AJ$7,MATCH($S275,Lists!$AI$2:$AI$7,0)),""),""))))</f>
        <v/>
      </c>
      <c r="AE275" s="104" t="str">
        <f aca="true">IF($B275="","",IF(AND(ISNUMBER($AD275),N($AD275)&lt;TODAY(),$N275&lt;&gt;"Done",$N275&lt;&gt;"Won't Fix",$N275&lt;&gt;"Duplicate"),"Yes","No"))</f>
        <v/>
      </c>
      <c r="AF275" s="101"/>
      <c r="AG275" s="108" t="str">
        <f aca="false">IF($AF275="","",IFERROR(VLOOKUP($AF275,'Application Portfolio'!$A$2:$B$1000,2,FALSE()),"Unknown App ID"))</f>
        <v/>
      </c>
      <c r="AH275" s="108" t="str">
        <f aca="false">IF(OR($B275="",$AF275=""),"",IFERROR(VLOOKUP($AF275,'Application Portfolio'!$A$2:$AB$1000,28,FALSE()),""))</f>
        <v/>
      </c>
    </row>
    <row r="276" customFormat="false" ht="15.75" hidden="false" customHeight="true" outlineLevel="0" collapsed="false">
      <c r="A276" s="100"/>
      <c r="B276" s="101"/>
      <c r="C276" s="101"/>
      <c r="D276" s="101"/>
      <c r="E276" s="101"/>
      <c r="F276" s="102"/>
      <c r="G276" s="102"/>
      <c r="H276" s="102"/>
      <c r="I276" s="102"/>
      <c r="J276" s="102"/>
      <c r="K276" s="102"/>
      <c r="L276" s="103" t="str">
        <f aca="false">IF(OR($B276="", $H276="", $I276="", $J276="", $K276=""),"",ROUND((VLOOKUP($H276,Lists!$E$2:$F$5,2,FALSE())*VLOOKUP($I276,Lists!$H$2:$I$4,2,FALSE())*VLOOKUP($J276,Lists!$K$2:$L$4,2,FALSE()))/VLOOKUP($K276,Lists!$N$2:$O$6,2,FALSE()),2))</f>
        <v/>
      </c>
      <c r="M276" s="104" t="str">
        <f aca="false">IF($B276="","",IF($AC276&lt;&gt;"",$AC276,IF($H276="Critical","P0",IF(NOT(ISNUMBER($L276)),"",IF($L276&gt;=Lists!$AM$2,"P0",IF($L276&gt;=Lists!$AM$3,"P1",IF($L276&gt;=Lists!$AM$4,"P2","P3")))))))</f>
        <v/>
      </c>
      <c r="N276" s="102"/>
      <c r="O276" s="101"/>
      <c r="P276" s="102"/>
      <c r="Q276" s="105"/>
      <c r="R276" s="106" t="str">
        <f aca="true">IF($Q276="","", TODAY()-$Q276)</f>
        <v/>
      </c>
      <c r="S276" s="102"/>
      <c r="T276" s="105"/>
      <c r="U276" s="105"/>
      <c r="V276" s="101"/>
      <c r="W276" s="101"/>
      <c r="X276" s="101"/>
      <c r="Y276" s="96"/>
      <c r="Z276" s="96"/>
      <c r="AA276" s="96"/>
      <c r="AC276" s="102"/>
      <c r="AD276" s="107" t="str">
        <f aca="false">IF($B276="","",IF(ISNUMBER($T276),$T276,IF(OR(NOT(ISNUMBER($Q276)),$S276=""),"",IFERROR(IF(ISNUMBER(INDEX(Lists!$AJ$2:$AJ$7,MATCH($S276,Lists!$AI$2:$AI$7,0))),$Q276+INDEX(Lists!$AJ$2:$AJ$7,MATCH($S276,Lists!$AI$2:$AI$7,0)),""),""))))</f>
        <v/>
      </c>
      <c r="AE276" s="104" t="str">
        <f aca="true">IF($B276="","",IF(AND(ISNUMBER($AD276),N($AD276)&lt;TODAY(),$N276&lt;&gt;"Done",$N276&lt;&gt;"Won't Fix",$N276&lt;&gt;"Duplicate"),"Yes","No"))</f>
        <v/>
      </c>
      <c r="AF276" s="101"/>
      <c r="AG276" s="108" t="str">
        <f aca="false">IF($AF276="","",IFERROR(VLOOKUP($AF276,'Application Portfolio'!$A$2:$B$1000,2,FALSE()),"Unknown App ID"))</f>
        <v/>
      </c>
      <c r="AH276" s="108" t="str">
        <f aca="false">IF(OR($B276="",$AF276=""),"",IFERROR(VLOOKUP($AF276,'Application Portfolio'!$A$2:$AB$1000,28,FALSE()),""))</f>
        <v/>
      </c>
    </row>
    <row r="277" customFormat="false" ht="15.75" hidden="false" customHeight="true" outlineLevel="0" collapsed="false">
      <c r="A277" s="100"/>
      <c r="B277" s="101"/>
      <c r="C277" s="101"/>
      <c r="D277" s="101"/>
      <c r="E277" s="101"/>
      <c r="F277" s="102"/>
      <c r="G277" s="102"/>
      <c r="H277" s="102"/>
      <c r="I277" s="102"/>
      <c r="J277" s="102"/>
      <c r="K277" s="102"/>
      <c r="L277" s="103" t="str">
        <f aca="false">IF(OR($B277="", $H277="", $I277="", $J277="", $K277=""),"",ROUND((VLOOKUP($H277,Lists!$E$2:$F$5,2,FALSE())*VLOOKUP($I277,Lists!$H$2:$I$4,2,FALSE())*VLOOKUP($J277,Lists!$K$2:$L$4,2,FALSE()))/VLOOKUP($K277,Lists!$N$2:$O$6,2,FALSE()),2))</f>
        <v/>
      </c>
      <c r="M277" s="104" t="str">
        <f aca="false">IF($B277="","",IF($AC277&lt;&gt;"",$AC277,IF($H277="Critical","P0",IF(NOT(ISNUMBER($L277)),"",IF($L277&gt;=Lists!$AM$2,"P0",IF($L277&gt;=Lists!$AM$3,"P1",IF($L277&gt;=Lists!$AM$4,"P2","P3")))))))</f>
        <v/>
      </c>
      <c r="N277" s="102"/>
      <c r="O277" s="101"/>
      <c r="P277" s="102"/>
      <c r="Q277" s="105"/>
      <c r="R277" s="106" t="str">
        <f aca="true">IF($Q277="","", TODAY()-$Q277)</f>
        <v/>
      </c>
      <c r="S277" s="102"/>
      <c r="T277" s="105"/>
      <c r="U277" s="105"/>
      <c r="V277" s="101"/>
      <c r="W277" s="101"/>
      <c r="X277" s="101"/>
      <c r="Y277" s="96"/>
      <c r="Z277" s="96"/>
      <c r="AA277" s="96"/>
      <c r="AC277" s="102"/>
      <c r="AD277" s="107" t="str">
        <f aca="false">IF($B277="","",IF(ISNUMBER($T277),$T277,IF(OR(NOT(ISNUMBER($Q277)),$S277=""),"",IFERROR(IF(ISNUMBER(INDEX(Lists!$AJ$2:$AJ$7,MATCH($S277,Lists!$AI$2:$AI$7,0))),$Q277+INDEX(Lists!$AJ$2:$AJ$7,MATCH($S277,Lists!$AI$2:$AI$7,0)),""),""))))</f>
        <v/>
      </c>
      <c r="AE277" s="104" t="str">
        <f aca="true">IF($B277="","",IF(AND(ISNUMBER($AD277),N($AD277)&lt;TODAY(),$N277&lt;&gt;"Done",$N277&lt;&gt;"Won't Fix",$N277&lt;&gt;"Duplicate"),"Yes","No"))</f>
        <v/>
      </c>
      <c r="AF277" s="101"/>
      <c r="AG277" s="108" t="str">
        <f aca="false">IF($AF277="","",IFERROR(VLOOKUP($AF277,'Application Portfolio'!$A$2:$B$1000,2,FALSE()),"Unknown App ID"))</f>
        <v/>
      </c>
      <c r="AH277" s="108" t="str">
        <f aca="false">IF(OR($B277="",$AF277=""),"",IFERROR(VLOOKUP($AF277,'Application Portfolio'!$A$2:$AB$1000,28,FALSE()),""))</f>
        <v/>
      </c>
    </row>
    <row r="278" customFormat="false" ht="15.75" hidden="false" customHeight="true" outlineLevel="0" collapsed="false">
      <c r="A278" s="100"/>
      <c r="B278" s="101"/>
      <c r="C278" s="101"/>
      <c r="D278" s="101"/>
      <c r="E278" s="101"/>
      <c r="F278" s="102"/>
      <c r="G278" s="102"/>
      <c r="H278" s="102"/>
      <c r="I278" s="102"/>
      <c r="J278" s="102"/>
      <c r="K278" s="102"/>
      <c r="L278" s="103" t="str">
        <f aca="false">IF(OR($B278="", $H278="", $I278="", $J278="", $K278=""),"",ROUND((VLOOKUP($H278,Lists!$E$2:$F$5,2,FALSE())*VLOOKUP($I278,Lists!$H$2:$I$4,2,FALSE())*VLOOKUP($J278,Lists!$K$2:$L$4,2,FALSE()))/VLOOKUP($K278,Lists!$N$2:$O$6,2,FALSE()),2))</f>
        <v/>
      </c>
      <c r="M278" s="104" t="str">
        <f aca="false">IF($B278="","",IF($AC278&lt;&gt;"",$AC278,IF($H278="Critical","P0",IF(NOT(ISNUMBER($L278)),"",IF($L278&gt;=Lists!$AM$2,"P0",IF($L278&gt;=Lists!$AM$3,"P1",IF($L278&gt;=Lists!$AM$4,"P2","P3")))))))</f>
        <v/>
      </c>
      <c r="N278" s="102"/>
      <c r="O278" s="101"/>
      <c r="P278" s="102"/>
      <c r="Q278" s="105"/>
      <c r="R278" s="106" t="str">
        <f aca="true">IF($Q278="","", TODAY()-$Q278)</f>
        <v/>
      </c>
      <c r="S278" s="102"/>
      <c r="T278" s="105"/>
      <c r="U278" s="105"/>
      <c r="V278" s="101"/>
      <c r="W278" s="101"/>
      <c r="X278" s="101"/>
      <c r="Y278" s="96"/>
      <c r="Z278" s="96"/>
      <c r="AA278" s="96"/>
      <c r="AC278" s="102"/>
      <c r="AD278" s="107" t="str">
        <f aca="false">IF($B278="","",IF(ISNUMBER($T278),$T278,IF(OR(NOT(ISNUMBER($Q278)),$S278=""),"",IFERROR(IF(ISNUMBER(INDEX(Lists!$AJ$2:$AJ$7,MATCH($S278,Lists!$AI$2:$AI$7,0))),$Q278+INDEX(Lists!$AJ$2:$AJ$7,MATCH($S278,Lists!$AI$2:$AI$7,0)),""),""))))</f>
        <v/>
      </c>
      <c r="AE278" s="104" t="str">
        <f aca="true">IF($B278="","",IF(AND(ISNUMBER($AD278),N($AD278)&lt;TODAY(),$N278&lt;&gt;"Done",$N278&lt;&gt;"Won't Fix",$N278&lt;&gt;"Duplicate"),"Yes","No"))</f>
        <v/>
      </c>
      <c r="AF278" s="101"/>
      <c r="AG278" s="108" t="str">
        <f aca="false">IF($AF278="","",IFERROR(VLOOKUP($AF278,'Application Portfolio'!$A$2:$B$1000,2,FALSE()),"Unknown App ID"))</f>
        <v/>
      </c>
      <c r="AH278" s="108" t="str">
        <f aca="false">IF(OR($B278="",$AF278=""),"",IFERROR(VLOOKUP($AF278,'Application Portfolio'!$A$2:$AB$1000,28,FALSE()),""))</f>
        <v/>
      </c>
    </row>
    <row r="279" customFormat="false" ht="15.75" hidden="false" customHeight="true" outlineLevel="0" collapsed="false">
      <c r="A279" s="100"/>
      <c r="B279" s="101"/>
      <c r="C279" s="101"/>
      <c r="D279" s="101"/>
      <c r="E279" s="101"/>
      <c r="F279" s="102"/>
      <c r="G279" s="102"/>
      <c r="H279" s="102"/>
      <c r="I279" s="102"/>
      <c r="J279" s="102"/>
      <c r="K279" s="102"/>
      <c r="L279" s="103" t="str">
        <f aca="false">IF(OR($B279="", $H279="", $I279="", $J279="", $K279=""),"",ROUND((VLOOKUP($H279,Lists!$E$2:$F$5,2,FALSE())*VLOOKUP($I279,Lists!$H$2:$I$4,2,FALSE())*VLOOKUP($J279,Lists!$K$2:$L$4,2,FALSE()))/VLOOKUP($K279,Lists!$N$2:$O$6,2,FALSE()),2))</f>
        <v/>
      </c>
      <c r="M279" s="104" t="str">
        <f aca="false">IF($B279="","",IF($AC279&lt;&gt;"",$AC279,IF($H279="Critical","P0",IF(NOT(ISNUMBER($L279)),"",IF($L279&gt;=Lists!$AM$2,"P0",IF($L279&gt;=Lists!$AM$3,"P1",IF($L279&gt;=Lists!$AM$4,"P2","P3")))))))</f>
        <v/>
      </c>
      <c r="N279" s="102"/>
      <c r="O279" s="101"/>
      <c r="P279" s="102"/>
      <c r="Q279" s="105"/>
      <c r="R279" s="106" t="str">
        <f aca="true">IF($Q279="","", TODAY()-$Q279)</f>
        <v/>
      </c>
      <c r="S279" s="102"/>
      <c r="T279" s="105"/>
      <c r="U279" s="105"/>
      <c r="V279" s="101"/>
      <c r="W279" s="101"/>
      <c r="X279" s="101"/>
      <c r="Y279" s="96"/>
      <c r="Z279" s="96"/>
      <c r="AA279" s="96"/>
      <c r="AC279" s="102"/>
      <c r="AD279" s="107" t="str">
        <f aca="false">IF($B279="","",IF(ISNUMBER($T279),$T279,IF(OR(NOT(ISNUMBER($Q279)),$S279=""),"",IFERROR(IF(ISNUMBER(INDEX(Lists!$AJ$2:$AJ$7,MATCH($S279,Lists!$AI$2:$AI$7,0))),$Q279+INDEX(Lists!$AJ$2:$AJ$7,MATCH($S279,Lists!$AI$2:$AI$7,0)),""),""))))</f>
        <v/>
      </c>
      <c r="AE279" s="104" t="str">
        <f aca="true">IF($B279="","",IF(AND(ISNUMBER($AD279),N($AD279)&lt;TODAY(),$N279&lt;&gt;"Done",$N279&lt;&gt;"Won't Fix",$N279&lt;&gt;"Duplicate"),"Yes","No"))</f>
        <v/>
      </c>
      <c r="AF279" s="101"/>
      <c r="AG279" s="108" t="str">
        <f aca="false">IF($AF279="","",IFERROR(VLOOKUP($AF279,'Application Portfolio'!$A$2:$B$1000,2,FALSE()),"Unknown App ID"))</f>
        <v/>
      </c>
      <c r="AH279" s="108" t="str">
        <f aca="false">IF(OR($B279="",$AF279=""),"",IFERROR(VLOOKUP($AF279,'Application Portfolio'!$A$2:$AB$1000,28,FALSE()),""))</f>
        <v/>
      </c>
    </row>
    <row r="280" customFormat="false" ht="15.75" hidden="false" customHeight="true" outlineLevel="0" collapsed="false">
      <c r="A280" s="100"/>
      <c r="B280" s="101"/>
      <c r="C280" s="101"/>
      <c r="D280" s="101"/>
      <c r="E280" s="101"/>
      <c r="F280" s="102"/>
      <c r="G280" s="102"/>
      <c r="H280" s="102"/>
      <c r="I280" s="102"/>
      <c r="J280" s="102"/>
      <c r="K280" s="102"/>
      <c r="L280" s="103" t="str">
        <f aca="false">IF(OR($B280="", $H280="", $I280="", $J280="", $K280=""),"",ROUND((VLOOKUP($H280,Lists!$E$2:$F$5,2,FALSE())*VLOOKUP($I280,Lists!$H$2:$I$4,2,FALSE())*VLOOKUP($J280,Lists!$K$2:$L$4,2,FALSE()))/VLOOKUP($K280,Lists!$N$2:$O$6,2,FALSE()),2))</f>
        <v/>
      </c>
      <c r="M280" s="104" t="str">
        <f aca="false">IF($B280="","",IF($AC280&lt;&gt;"",$AC280,IF($H280="Critical","P0",IF(NOT(ISNUMBER($L280)),"",IF($L280&gt;=Lists!$AM$2,"P0",IF($L280&gt;=Lists!$AM$3,"P1",IF($L280&gt;=Lists!$AM$4,"P2","P3")))))))</f>
        <v/>
      </c>
      <c r="N280" s="102"/>
      <c r="O280" s="101"/>
      <c r="P280" s="102"/>
      <c r="Q280" s="105"/>
      <c r="R280" s="106" t="str">
        <f aca="true">IF($Q280="","", TODAY()-$Q280)</f>
        <v/>
      </c>
      <c r="S280" s="102"/>
      <c r="T280" s="105"/>
      <c r="U280" s="105"/>
      <c r="V280" s="101"/>
      <c r="W280" s="101"/>
      <c r="X280" s="101"/>
      <c r="Y280" s="96"/>
      <c r="Z280" s="96"/>
      <c r="AA280" s="96"/>
      <c r="AC280" s="102"/>
      <c r="AD280" s="107" t="str">
        <f aca="false">IF($B280="","",IF(ISNUMBER($T280),$T280,IF(OR(NOT(ISNUMBER($Q280)),$S280=""),"",IFERROR(IF(ISNUMBER(INDEX(Lists!$AJ$2:$AJ$7,MATCH($S280,Lists!$AI$2:$AI$7,0))),$Q280+INDEX(Lists!$AJ$2:$AJ$7,MATCH($S280,Lists!$AI$2:$AI$7,0)),""),""))))</f>
        <v/>
      </c>
      <c r="AE280" s="104" t="str">
        <f aca="true">IF($B280="","",IF(AND(ISNUMBER($AD280),N($AD280)&lt;TODAY(),$N280&lt;&gt;"Done",$N280&lt;&gt;"Won't Fix",$N280&lt;&gt;"Duplicate"),"Yes","No"))</f>
        <v/>
      </c>
      <c r="AF280" s="101"/>
      <c r="AG280" s="108" t="str">
        <f aca="false">IF($AF280="","",IFERROR(VLOOKUP($AF280,'Application Portfolio'!$A$2:$B$1000,2,FALSE()),"Unknown App ID"))</f>
        <v/>
      </c>
      <c r="AH280" s="108" t="str">
        <f aca="false">IF(OR($B280="",$AF280=""),"",IFERROR(VLOOKUP($AF280,'Application Portfolio'!$A$2:$AB$1000,28,FALSE()),""))</f>
        <v/>
      </c>
    </row>
    <row r="281" customFormat="false" ht="15.75" hidden="false" customHeight="true" outlineLevel="0" collapsed="false">
      <c r="A281" s="100"/>
      <c r="B281" s="101"/>
      <c r="C281" s="101"/>
      <c r="D281" s="101"/>
      <c r="E281" s="101"/>
      <c r="F281" s="102"/>
      <c r="G281" s="102"/>
      <c r="H281" s="102"/>
      <c r="I281" s="102"/>
      <c r="J281" s="102"/>
      <c r="K281" s="102"/>
      <c r="L281" s="103" t="str">
        <f aca="false">IF(OR($B281="", $H281="", $I281="", $J281="", $K281=""),"",ROUND((VLOOKUP($H281,Lists!$E$2:$F$5,2,FALSE())*VLOOKUP($I281,Lists!$H$2:$I$4,2,FALSE())*VLOOKUP($J281,Lists!$K$2:$L$4,2,FALSE()))/VLOOKUP($K281,Lists!$N$2:$O$6,2,FALSE()),2))</f>
        <v/>
      </c>
      <c r="M281" s="104" t="str">
        <f aca="false">IF($B281="","",IF($AC281&lt;&gt;"",$AC281,IF($H281="Critical","P0",IF(NOT(ISNUMBER($L281)),"",IF($L281&gt;=Lists!$AM$2,"P0",IF($L281&gt;=Lists!$AM$3,"P1",IF($L281&gt;=Lists!$AM$4,"P2","P3")))))))</f>
        <v/>
      </c>
      <c r="N281" s="102"/>
      <c r="O281" s="101"/>
      <c r="P281" s="102"/>
      <c r="Q281" s="105"/>
      <c r="R281" s="106" t="str">
        <f aca="true">IF($Q281="","", TODAY()-$Q281)</f>
        <v/>
      </c>
      <c r="S281" s="102"/>
      <c r="T281" s="105"/>
      <c r="U281" s="105"/>
      <c r="V281" s="101"/>
      <c r="W281" s="101"/>
      <c r="X281" s="101"/>
      <c r="Y281" s="96"/>
      <c r="Z281" s="96"/>
      <c r="AA281" s="96"/>
      <c r="AC281" s="102"/>
      <c r="AD281" s="107" t="str">
        <f aca="false">IF($B281="","",IF(ISNUMBER($T281),$T281,IF(OR(NOT(ISNUMBER($Q281)),$S281=""),"",IFERROR(IF(ISNUMBER(INDEX(Lists!$AJ$2:$AJ$7,MATCH($S281,Lists!$AI$2:$AI$7,0))),$Q281+INDEX(Lists!$AJ$2:$AJ$7,MATCH($S281,Lists!$AI$2:$AI$7,0)),""),""))))</f>
        <v/>
      </c>
      <c r="AE281" s="104" t="str">
        <f aca="true">IF($B281="","",IF(AND(ISNUMBER($AD281),N($AD281)&lt;TODAY(),$N281&lt;&gt;"Done",$N281&lt;&gt;"Won't Fix",$N281&lt;&gt;"Duplicate"),"Yes","No"))</f>
        <v/>
      </c>
      <c r="AF281" s="101"/>
      <c r="AG281" s="108" t="str">
        <f aca="false">IF($AF281="","",IFERROR(VLOOKUP($AF281,'Application Portfolio'!$A$2:$B$1000,2,FALSE()),"Unknown App ID"))</f>
        <v/>
      </c>
      <c r="AH281" s="108" t="str">
        <f aca="false">IF(OR($B281="",$AF281=""),"",IFERROR(VLOOKUP($AF281,'Application Portfolio'!$A$2:$AB$1000,28,FALSE()),""))</f>
        <v/>
      </c>
    </row>
    <row r="282" customFormat="false" ht="15.75" hidden="false" customHeight="true" outlineLevel="0" collapsed="false">
      <c r="A282" s="100"/>
      <c r="B282" s="101"/>
      <c r="C282" s="101"/>
      <c r="D282" s="101"/>
      <c r="E282" s="101"/>
      <c r="F282" s="102"/>
      <c r="G282" s="102"/>
      <c r="H282" s="102"/>
      <c r="I282" s="102"/>
      <c r="J282" s="102"/>
      <c r="K282" s="102"/>
      <c r="L282" s="103" t="str">
        <f aca="false">IF(OR($B282="", $H282="", $I282="", $J282="", $K282=""),"",ROUND((VLOOKUP($H282,Lists!$E$2:$F$5,2,FALSE())*VLOOKUP($I282,Lists!$H$2:$I$4,2,FALSE())*VLOOKUP($J282,Lists!$K$2:$L$4,2,FALSE()))/VLOOKUP($K282,Lists!$N$2:$O$6,2,FALSE()),2))</f>
        <v/>
      </c>
      <c r="M282" s="104" t="str">
        <f aca="false">IF($B282="","",IF($AC282&lt;&gt;"",$AC282,IF($H282="Critical","P0",IF(NOT(ISNUMBER($L282)),"",IF($L282&gt;=Lists!$AM$2,"P0",IF($L282&gt;=Lists!$AM$3,"P1",IF($L282&gt;=Lists!$AM$4,"P2","P3")))))))</f>
        <v/>
      </c>
      <c r="N282" s="102"/>
      <c r="O282" s="101"/>
      <c r="P282" s="102"/>
      <c r="Q282" s="105"/>
      <c r="R282" s="106" t="str">
        <f aca="true">IF($Q282="","", TODAY()-$Q282)</f>
        <v/>
      </c>
      <c r="S282" s="102"/>
      <c r="T282" s="105"/>
      <c r="U282" s="105"/>
      <c r="V282" s="101"/>
      <c r="W282" s="101"/>
      <c r="X282" s="101"/>
      <c r="Y282" s="96"/>
      <c r="Z282" s="96"/>
      <c r="AA282" s="96"/>
      <c r="AC282" s="102"/>
      <c r="AD282" s="107" t="str">
        <f aca="false">IF($B282="","",IF(ISNUMBER($T282),$T282,IF(OR(NOT(ISNUMBER($Q282)),$S282=""),"",IFERROR(IF(ISNUMBER(INDEX(Lists!$AJ$2:$AJ$7,MATCH($S282,Lists!$AI$2:$AI$7,0))),$Q282+INDEX(Lists!$AJ$2:$AJ$7,MATCH($S282,Lists!$AI$2:$AI$7,0)),""),""))))</f>
        <v/>
      </c>
      <c r="AE282" s="104" t="str">
        <f aca="true">IF($B282="","",IF(AND(ISNUMBER($AD282),N($AD282)&lt;TODAY(),$N282&lt;&gt;"Done",$N282&lt;&gt;"Won't Fix",$N282&lt;&gt;"Duplicate"),"Yes","No"))</f>
        <v/>
      </c>
      <c r="AF282" s="101"/>
      <c r="AG282" s="108" t="str">
        <f aca="false">IF($AF282="","",IFERROR(VLOOKUP($AF282,'Application Portfolio'!$A$2:$B$1000,2,FALSE()),"Unknown App ID"))</f>
        <v/>
      </c>
      <c r="AH282" s="108" t="str">
        <f aca="false">IF(OR($B282="",$AF282=""),"",IFERROR(VLOOKUP($AF282,'Application Portfolio'!$A$2:$AB$1000,28,FALSE()),""))</f>
        <v/>
      </c>
    </row>
    <row r="283" customFormat="false" ht="15.75" hidden="false" customHeight="true" outlineLevel="0" collapsed="false">
      <c r="A283" s="100"/>
      <c r="B283" s="101"/>
      <c r="C283" s="101"/>
      <c r="D283" s="101"/>
      <c r="E283" s="101"/>
      <c r="F283" s="102"/>
      <c r="G283" s="102"/>
      <c r="H283" s="102"/>
      <c r="I283" s="102"/>
      <c r="J283" s="102"/>
      <c r="K283" s="102"/>
      <c r="L283" s="103" t="str">
        <f aca="false">IF(OR($B283="", $H283="", $I283="", $J283="", $K283=""),"",ROUND((VLOOKUP($H283,Lists!$E$2:$F$5,2,FALSE())*VLOOKUP($I283,Lists!$H$2:$I$4,2,FALSE())*VLOOKUP($J283,Lists!$K$2:$L$4,2,FALSE()))/VLOOKUP($K283,Lists!$N$2:$O$6,2,FALSE()),2))</f>
        <v/>
      </c>
      <c r="M283" s="104" t="str">
        <f aca="false">IF($B283="","",IF($AC283&lt;&gt;"",$AC283,IF($H283="Critical","P0",IF(NOT(ISNUMBER($L283)),"",IF($L283&gt;=Lists!$AM$2,"P0",IF($L283&gt;=Lists!$AM$3,"P1",IF($L283&gt;=Lists!$AM$4,"P2","P3")))))))</f>
        <v/>
      </c>
      <c r="N283" s="102"/>
      <c r="O283" s="101"/>
      <c r="P283" s="102"/>
      <c r="Q283" s="105"/>
      <c r="R283" s="106" t="str">
        <f aca="true">IF($Q283="","", TODAY()-$Q283)</f>
        <v/>
      </c>
      <c r="S283" s="102"/>
      <c r="T283" s="105"/>
      <c r="U283" s="105"/>
      <c r="V283" s="101"/>
      <c r="W283" s="101"/>
      <c r="X283" s="101"/>
      <c r="Y283" s="96"/>
      <c r="Z283" s="96"/>
      <c r="AA283" s="96"/>
      <c r="AC283" s="102"/>
      <c r="AD283" s="107" t="str">
        <f aca="false">IF($B283="","",IF(ISNUMBER($T283),$T283,IF(OR(NOT(ISNUMBER($Q283)),$S283=""),"",IFERROR(IF(ISNUMBER(INDEX(Lists!$AJ$2:$AJ$7,MATCH($S283,Lists!$AI$2:$AI$7,0))),$Q283+INDEX(Lists!$AJ$2:$AJ$7,MATCH($S283,Lists!$AI$2:$AI$7,0)),""),""))))</f>
        <v/>
      </c>
      <c r="AE283" s="104" t="str">
        <f aca="true">IF($B283="","",IF(AND(ISNUMBER($AD283),N($AD283)&lt;TODAY(),$N283&lt;&gt;"Done",$N283&lt;&gt;"Won't Fix",$N283&lt;&gt;"Duplicate"),"Yes","No"))</f>
        <v/>
      </c>
      <c r="AF283" s="101"/>
      <c r="AG283" s="108" t="str">
        <f aca="false">IF($AF283="","",IFERROR(VLOOKUP($AF283,'Application Portfolio'!$A$2:$B$1000,2,FALSE()),"Unknown App ID"))</f>
        <v/>
      </c>
      <c r="AH283" s="108" t="str">
        <f aca="false">IF(OR($B283="",$AF283=""),"",IFERROR(VLOOKUP($AF283,'Application Portfolio'!$A$2:$AB$1000,28,FALSE()),""))</f>
        <v/>
      </c>
    </row>
    <row r="284" customFormat="false" ht="15.75" hidden="false" customHeight="true" outlineLevel="0" collapsed="false">
      <c r="A284" s="100"/>
      <c r="B284" s="101"/>
      <c r="C284" s="101"/>
      <c r="D284" s="101"/>
      <c r="E284" s="101"/>
      <c r="F284" s="102"/>
      <c r="G284" s="102"/>
      <c r="H284" s="102"/>
      <c r="I284" s="102"/>
      <c r="J284" s="102"/>
      <c r="K284" s="102"/>
      <c r="L284" s="103" t="str">
        <f aca="false">IF(OR($B284="", $H284="", $I284="", $J284="", $K284=""),"",ROUND((VLOOKUP($H284,Lists!$E$2:$F$5,2,FALSE())*VLOOKUP($I284,Lists!$H$2:$I$4,2,FALSE())*VLOOKUP($J284,Lists!$K$2:$L$4,2,FALSE()))/VLOOKUP($K284,Lists!$N$2:$O$6,2,FALSE()),2))</f>
        <v/>
      </c>
      <c r="M284" s="104" t="str">
        <f aca="false">IF($B284="","",IF($AC284&lt;&gt;"",$AC284,IF($H284="Critical","P0",IF(NOT(ISNUMBER($L284)),"",IF($L284&gt;=Lists!$AM$2,"P0",IF($L284&gt;=Lists!$AM$3,"P1",IF($L284&gt;=Lists!$AM$4,"P2","P3")))))))</f>
        <v/>
      </c>
      <c r="N284" s="102"/>
      <c r="O284" s="101"/>
      <c r="P284" s="102"/>
      <c r="Q284" s="105"/>
      <c r="R284" s="106" t="str">
        <f aca="true">IF($Q284="","", TODAY()-$Q284)</f>
        <v/>
      </c>
      <c r="S284" s="102"/>
      <c r="T284" s="105"/>
      <c r="U284" s="105"/>
      <c r="V284" s="101"/>
      <c r="W284" s="101"/>
      <c r="X284" s="101"/>
      <c r="Y284" s="96"/>
      <c r="Z284" s="96"/>
      <c r="AA284" s="96"/>
      <c r="AC284" s="102"/>
      <c r="AD284" s="107" t="str">
        <f aca="false">IF($B284="","",IF(ISNUMBER($T284),$T284,IF(OR(NOT(ISNUMBER($Q284)),$S284=""),"",IFERROR(IF(ISNUMBER(INDEX(Lists!$AJ$2:$AJ$7,MATCH($S284,Lists!$AI$2:$AI$7,0))),$Q284+INDEX(Lists!$AJ$2:$AJ$7,MATCH($S284,Lists!$AI$2:$AI$7,0)),""),""))))</f>
        <v/>
      </c>
      <c r="AE284" s="104" t="str">
        <f aca="true">IF($B284="","",IF(AND(ISNUMBER($AD284),N($AD284)&lt;TODAY(),$N284&lt;&gt;"Done",$N284&lt;&gt;"Won't Fix",$N284&lt;&gt;"Duplicate"),"Yes","No"))</f>
        <v/>
      </c>
      <c r="AF284" s="101"/>
      <c r="AG284" s="108" t="str">
        <f aca="false">IF($AF284="","",IFERROR(VLOOKUP($AF284,'Application Portfolio'!$A$2:$B$1000,2,FALSE()),"Unknown App ID"))</f>
        <v/>
      </c>
      <c r="AH284" s="108" t="str">
        <f aca="false">IF(OR($B284="",$AF284=""),"",IFERROR(VLOOKUP($AF284,'Application Portfolio'!$A$2:$AB$1000,28,FALSE()),""))</f>
        <v/>
      </c>
    </row>
    <row r="285" customFormat="false" ht="15.75" hidden="false" customHeight="true" outlineLevel="0" collapsed="false">
      <c r="A285" s="100"/>
      <c r="B285" s="101"/>
      <c r="C285" s="101"/>
      <c r="D285" s="101"/>
      <c r="E285" s="101"/>
      <c r="F285" s="102"/>
      <c r="G285" s="102"/>
      <c r="H285" s="102"/>
      <c r="I285" s="102"/>
      <c r="J285" s="102"/>
      <c r="K285" s="102"/>
      <c r="L285" s="103" t="str">
        <f aca="false">IF(OR($B285="", $H285="", $I285="", $J285="", $K285=""),"",ROUND((VLOOKUP($H285,Lists!$E$2:$F$5,2,FALSE())*VLOOKUP($I285,Lists!$H$2:$I$4,2,FALSE())*VLOOKUP($J285,Lists!$K$2:$L$4,2,FALSE()))/VLOOKUP($K285,Lists!$N$2:$O$6,2,FALSE()),2))</f>
        <v/>
      </c>
      <c r="M285" s="104" t="str">
        <f aca="false">IF($B285="","",IF($AC285&lt;&gt;"",$AC285,IF($H285="Critical","P0",IF(NOT(ISNUMBER($L285)),"",IF($L285&gt;=Lists!$AM$2,"P0",IF($L285&gt;=Lists!$AM$3,"P1",IF($L285&gt;=Lists!$AM$4,"P2","P3")))))))</f>
        <v/>
      </c>
      <c r="N285" s="102"/>
      <c r="O285" s="101"/>
      <c r="P285" s="102"/>
      <c r="Q285" s="105"/>
      <c r="R285" s="106" t="str">
        <f aca="true">IF($Q285="","", TODAY()-$Q285)</f>
        <v/>
      </c>
      <c r="S285" s="102"/>
      <c r="T285" s="105"/>
      <c r="U285" s="105"/>
      <c r="V285" s="101"/>
      <c r="W285" s="101"/>
      <c r="X285" s="101"/>
      <c r="Y285" s="96"/>
      <c r="Z285" s="96"/>
      <c r="AA285" s="96"/>
      <c r="AC285" s="102"/>
      <c r="AD285" s="107" t="str">
        <f aca="false">IF($B285="","",IF(ISNUMBER($T285),$T285,IF(OR(NOT(ISNUMBER($Q285)),$S285=""),"",IFERROR(IF(ISNUMBER(INDEX(Lists!$AJ$2:$AJ$7,MATCH($S285,Lists!$AI$2:$AI$7,0))),$Q285+INDEX(Lists!$AJ$2:$AJ$7,MATCH($S285,Lists!$AI$2:$AI$7,0)),""),""))))</f>
        <v/>
      </c>
      <c r="AE285" s="104" t="str">
        <f aca="true">IF($B285="","",IF(AND(ISNUMBER($AD285),N($AD285)&lt;TODAY(),$N285&lt;&gt;"Done",$N285&lt;&gt;"Won't Fix",$N285&lt;&gt;"Duplicate"),"Yes","No"))</f>
        <v/>
      </c>
      <c r="AF285" s="101"/>
      <c r="AG285" s="108" t="str">
        <f aca="false">IF($AF285="","",IFERROR(VLOOKUP($AF285,'Application Portfolio'!$A$2:$B$1000,2,FALSE()),"Unknown App ID"))</f>
        <v/>
      </c>
      <c r="AH285" s="108" t="str">
        <f aca="false">IF(OR($B285="",$AF285=""),"",IFERROR(VLOOKUP($AF285,'Application Portfolio'!$A$2:$AB$1000,28,FALSE()),""))</f>
        <v/>
      </c>
    </row>
    <row r="286" customFormat="false" ht="15.75" hidden="false" customHeight="true" outlineLevel="0" collapsed="false">
      <c r="A286" s="100"/>
      <c r="B286" s="101"/>
      <c r="C286" s="101"/>
      <c r="D286" s="101"/>
      <c r="E286" s="101"/>
      <c r="F286" s="102"/>
      <c r="G286" s="102"/>
      <c r="H286" s="102"/>
      <c r="I286" s="102"/>
      <c r="J286" s="102"/>
      <c r="K286" s="102"/>
      <c r="L286" s="103" t="str">
        <f aca="false">IF(OR($B286="", $H286="", $I286="", $J286="", $K286=""),"",ROUND((VLOOKUP($H286,Lists!$E$2:$F$5,2,FALSE())*VLOOKUP($I286,Lists!$H$2:$I$4,2,FALSE())*VLOOKUP($J286,Lists!$K$2:$L$4,2,FALSE()))/VLOOKUP($K286,Lists!$N$2:$O$6,2,FALSE()),2))</f>
        <v/>
      </c>
      <c r="M286" s="104" t="str">
        <f aca="false">IF($B286="","",IF($AC286&lt;&gt;"",$AC286,IF($H286="Critical","P0",IF(NOT(ISNUMBER($L286)),"",IF($L286&gt;=Lists!$AM$2,"P0",IF($L286&gt;=Lists!$AM$3,"P1",IF($L286&gt;=Lists!$AM$4,"P2","P3")))))))</f>
        <v/>
      </c>
      <c r="N286" s="102"/>
      <c r="O286" s="101"/>
      <c r="P286" s="102"/>
      <c r="Q286" s="105"/>
      <c r="R286" s="106" t="str">
        <f aca="true">IF($Q286="","", TODAY()-$Q286)</f>
        <v/>
      </c>
      <c r="S286" s="102"/>
      <c r="T286" s="105"/>
      <c r="U286" s="105"/>
      <c r="V286" s="101"/>
      <c r="W286" s="101"/>
      <c r="X286" s="101"/>
      <c r="Y286" s="96"/>
      <c r="Z286" s="96"/>
      <c r="AA286" s="96"/>
      <c r="AC286" s="102"/>
      <c r="AD286" s="107" t="str">
        <f aca="false">IF($B286="","",IF(ISNUMBER($T286),$T286,IF(OR(NOT(ISNUMBER($Q286)),$S286=""),"",IFERROR(IF(ISNUMBER(INDEX(Lists!$AJ$2:$AJ$7,MATCH($S286,Lists!$AI$2:$AI$7,0))),$Q286+INDEX(Lists!$AJ$2:$AJ$7,MATCH($S286,Lists!$AI$2:$AI$7,0)),""),""))))</f>
        <v/>
      </c>
      <c r="AE286" s="104" t="str">
        <f aca="true">IF($B286="","",IF(AND(ISNUMBER($AD286),N($AD286)&lt;TODAY(),$N286&lt;&gt;"Done",$N286&lt;&gt;"Won't Fix",$N286&lt;&gt;"Duplicate"),"Yes","No"))</f>
        <v/>
      </c>
      <c r="AF286" s="101"/>
      <c r="AG286" s="108" t="str">
        <f aca="false">IF($AF286="","",IFERROR(VLOOKUP($AF286,'Application Portfolio'!$A$2:$B$1000,2,FALSE()),"Unknown App ID"))</f>
        <v/>
      </c>
      <c r="AH286" s="108" t="str">
        <f aca="false">IF(OR($B286="",$AF286=""),"",IFERROR(VLOOKUP($AF286,'Application Portfolio'!$A$2:$AB$1000,28,FALSE()),""))</f>
        <v/>
      </c>
    </row>
    <row r="287" customFormat="false" ht="15.75" hidden="false" customHeight="true" outlineLevel="0" collapsed="false">
      <c r="A287" s="100"/>
      <c r="B287" s="101"/>
      <c r="C287" s="101"/>
      <c r="D287" s="101"/>
      <c r="E287" s="101"/>
      <c r="F287" s="102"/>
      <c r="G287" s="102"/>
      <c r="H287" s="102"/>
      <c r="I287" s="102"/>
      <c r="J287" s="102"/>
      <c r="K287" s="102"/>
      <c r="L287" s="103" t="str">
        <f aca="false">IF(OR($B287="", $H287="", $I287="", $J287="", $K287=""),"",ROUND((VLOOKUP($H287,Lists!$E$2:$F$5,2,FALSE())*VLOOKUP($I287,Lists!$H$2:$I$4,2,FALSE())*VLOOKUP($J287,Lists!$K$2:$L$4,2,FALSE()))/VLOOKUP($K287,Lists!$N$2:$O$6,2,FALSE()),2))</f>
        <v/>
      </c>
      <c r="M287" s="104" t="str">
        <f aca="false">IF($B287="","",IF($AC287&lt;&gt;"",$AC287,IF($H287="Critical","P0",IF(NOT(ISNUMBER($L287)),"",IF($L287&gt;=Lists!$AM$2,"P0",IF($L287&gt;=Lists!$AM$3,"P1",IF($L287&gt;=Lists!$AM$4,"P2","P3")))))))</f>
        <v/>
      </c>
      <c r="N287" s="102"/>
      <c r="O287" s="101"/>
      <c r="P287" s="102"/>
      <c r="Q287" s="105"/>
      <c r="R287" s="106" t="str">
        <f aca="true">IF($Q287="","", TODAY()-$Q287)</f>
        <v/>
      </c>
      <c r="S287" s="102"/>
      <c r="T287" s="105"/>
      <c r="U287" s="105"/>
      <c r="V287" s="101"/>
      <c r="W287" s="101"/>
      <c r="X287" s="101"/>
      <c r="Y287" s="96"/>
      <c r="Z287" s="96"/>
      <c r="AA287" s="96"/>
      <c r="AC287" s="102"/>
      <c r="AD287" s="107" t="str">
        <f aca="false">IF($B287="","",IF(ISNUMBER($T287),$T287,IF(OR(NOT(ISNUMBER($Q287)),$S287=""),"",IFERROR(IF(ISNUMBER(INDEX(Lists!$AJ$2:$AJ$7,MATCH($S287,Lists!$AI$2:$AI$7,0))),$Q287+INDEX(Lists!$AJ$2:$AJ$7,MATCH($S287,Lists!$AI$2:$AI$7,0)),""),""))))</f>
        <v/>
      </c>
      <c r="AE287" s="104" t="str">
        <f aca="true">IF($B287="","",IF(AND(ISNUMBER($AD287),N($AD287)&lt;TODAY(),$N287&lt;&gt;"Done",$N287&lt;&gt;"Won't Fix",$N287&lt;&gt;"Duplicate"),"Yes","No"))</f>
        <v/>
      </c>
      <c r="AF287" s="101"/>
      <c r="AG287" s="108" t="str">
        <f aca="false">IF($AF287="","",IFERROR(VLOOKUP($AF287,'Application Portfolio'!$A$2:$B$1000,2,FALSE()),"Unknown App ID"))</f>
        <v/>
      </c>
      <c r="AH287" s="108" t="str">
        <f aca="false">IF(OR($B287="",$AF287=""),"",IFERROR(VLOOKUP($AF287,'Application Portfolio'!$A$2:$AB$1000,28,FALSE()),""))</f>
        <v/>
      </c>
    </row>
    <row r="288" customFormat="false" ht="15.75" hidden="false" customHeight="true" outlineLevel="0" collapsed="false">
      <c r="A288" s="100"/>
      <c r="B288" s="101"/>
      <c r="C288" s="101"/>
      <c r="D288" s="101"/>
      <c r="E288" s="101"/>
      <c r="F288" s="102"/>
      <c r="G288" s="102"/>
      <c r="H288" s="102"/>
      <c r="I288" s="102"/>
      <c r="J288" s="102"/>
      <c r="K288" s="102"/>
      <c r="L288" s="103" t="str">
        <f aca="false">IF(OR($B288="", $H288="", $I288="", $J288="", $K288=""),"",ROUND((VLOOKUP($H288,Lists!$E$2:$F$5,2,FALSE())*VLOOKUP($I288,Lists!$H$2:$I$4,2,FALSE())*VLOOKUP($J288,Lists!$K$2:$L$4,2,FALSE()))/VLOOKUP($K288,Lists!$N$2:$O$6,2,FALSE()),2))</f>
        <v/>
      </c>
      <c r="M288" s="104" t="str">
        <f aca="false">IF($B288="","",IF($AC288&lt;&gt;"",$AC288,IF($H288="Critical","P0",IF(NOT(ISNUMBER($L288)),"",IF($L288&gt;=Lists!$AM$2,"P0",IF($L288&gt;=Lists!$AM$3,"P1",IF($L288&gt;=Lists!$AM$4,"P2","P3")))))))</f>
        <v/>
      </c>
      <c r="N288" s="102"/>
      <c r="O288" s="101"/>
      <c r="P288" s="102"/>
      <c r="Q288" s="105"/>
      <c r="R288" s="106" t="str">
        <f aca="true">IF($Q288="","", TODAY()-$Q288)</f>
        <v/>
      </c>
      <c r="S288" s="102"/>
      <c r="T288" s="105"/>
      <c r="U288" s="105"/>
      <c r="V288" s="101"/>
      <c r="W288" s="101"/>
      <c r="X288" s="101"/>
      <c r="Y288" s="96"/>
      <c r="Z288" s="96"/>
      <c r="AA288" s="96"/>
      <c r="AC288" s="102"/>
      <c r="AD288" s="107" t="str">
        <f aca="false">IF($B288="","",IF(ISNUMBER($T288),$T288,IF(OR(NOT(ISNUMBER($Q288)),$S288=""),"",IFERROR(IF(ISNUMBER(INDEX(Lists!$AJ$2:$AJ$7,MATCH($S288,Lists!$AI$2:$AI$7,0))),$Q288+INDEX(Lists!$AJ$2:$AJ$7,MATCH($S288,Lists!$AI$2:$AI$7,0)),""),""))))</f>
        <v/>
      </c>
      <c r="AE288" s="104" t="str">
        <f aca="true">IF($B288="","",IF(AND(ISNUMBER($AD288),N($AD288)&lt;TODAY(),$N288&lt;&gt;"Done",$N288&lt;&gt;"Won't Fix",$N288&lt;&gt;"Duplicate"),"Yes","No"))</f>
        <v/>
      </c>
      <c r="AF288" s="101"/>
      <c r="AG288" s="108" t="str">
        <f aca="false">IF($AF288="","",IFERROR(VLOOKUP($AF288,'Application Portfolio'!$A$2:$B$1000,2,FALSE()),"Unknown App ID"))</f>
        <v/>
      </c>
      <c r="AH288" s="108" t="str">
        <f aca="false">IF(OR($B288="",$AF288=""),"",IFERROR(VLOOKUP($AF288,'Application Portfolio'!$A$2:$AB$1000,28,FALSE()),""))</f>
        <v/>
      </c>
    </row>
    <row r="289" customFormat="false" ht="15.75" hidden="false" customHeight="true" outlineLevel="0" collapsed="false">
      <c r="A289" s="100"/>
      <c r="B289" s="101"/>
      <c r="C289" s="101"/>
      <c r="D289" s="101"/>
      <c r="E289" s="101"/>
      <c r="F289" s="102"/>
      <c r="G289" s="102"/>
      <c r="H289" s="102"/>
      <c r="I289" s="102"/>
      <c r="J289" s="102"/>
      <c r="K289" s="102"/>
      <c r="L289" s="103" t="str">
        <f aca="false">IF(OR($B289="", $H289="", $I289="", $J289="", $K289=""),"",ROUND((VLOOKUP($H289,Lists!$E$2:$F$5,2,FALSE())*VLOOKUP($I289,Lists!$H$2:$I$4,2,FALSE())*VLOOKUP($J289,Lists!$K$2:$L$4,2,FALSE()))/VLOOKUP($K289,Lists!$N$2:$O$6,2,FALSE()),2))</f>
        <v/>
      </c>
      <c r="M289" s="104" t="str">
        <f aca="false">IF($B289="","",IF($AC289&lt;&gt;"",$AC289,IF($H289="Critical","P0",IF(NOT(ISNUMBER($L289)),"",IF($L289&gt;=Lists!$AM$2,"P0",IF($L289&gt;=Lists!$AM$3,"P1",IF($L289&gt;=Lists!$AM$4,"P2","P3")))))))</f>
        <v/>
      </c>
      <c r="N289" s="102"/>
      <c r="O289" s="101"/>
      <c r="P289" s="102"/>
      <c r="Q289" s="105"/>
      <c r="R289" s="106" t="str">
        <f aca="true">IF($Q289="","", TODAY()-$Q289)</f>
        <v/>
      </c>
      <c r="S289" s="102"/>
      <c r="T289" s="105"/>
      <c r="U289" s="105"/>
      <c r="V289" s="101"/>
      <c r="W289" s="101"/>
      <c r="X289" s="101"/>
      <c r="Y289" s="96"/>
      <c r="Z289" s="96"/>
      <c r="AA289" s="96"/>
      <c r="AC289" s="102"/>
      <c r="AD289" s="107" t="str">
        <f aca="false">IF($B289="","",IF(ISNUMBER($T289),$T289,IF(OR(NOT(ISNUMBER($Q289)),$S289=""),"",IFERROR(IF(ISNUMBER(INDEX(Lists!$AJ$2:$AJ$7,MATCH($S289,Lists!$AI$2:$AI$7,0))),$Q289+INDEX(Lists!$AJ$2:$AJ$7,MATCH($S289,Lists!$AI$2:$AI$7,0)),""),""))))</f>
        <v/>
      </c>
      <c r="AE289" s="104" t="str">
        <f aca="true">IF($B289="","",IF(AND(ISNUMBER($AD289),N($AD289)&lt;TODAY(),$N289&lt;&gt;"Done",$N289&lt;&gt;"Won't Fix",$N289&lt;&gt;"Duplicate"),"Yes","No"))</f>
        <v/>
      </c>
      <c r="AF289" s="101"/>
      <c r="AG289" s="108" t="str">
        <f aca="false">IF($AF289="","",IFERROR(VLOOKUP($AF289,'Application Portfolio'!$A$2:$B$1000,2,FALSE()),"Unknown App ID"))</f>
        <v/>
      </c>
      <c r="AH289" s="108" t="str">
        <f aca="false">IF(OR($B289="",$AF289=""),"",IFERROR(VLOOKUP($AF289,'Application Portfolio'!$A$2:$AB$1000,28,FALSE()),""))</f>
        <v/>
      </c>
    </row>
    <row r="290" customFormat="false" ht="15.75" hidden="false" customHeight="true" outlineLevel="0" collapsed="false">
      <c r="A290" s="100"/>
      <c r="B290" s="101"/>
      <c r="C290" s="101"/>
      <c r="D290" s="101"/>
      <c r="E290" s="101"/>
      <c r="F290" s="102"/>
      <c r="G290" s="102"/>
      <c r="H290" s="102"/>
      <c r="I290" s="102"/>
      <c r="J290" s="102"/>
      <c r="K290" s="102"/>
      <c r="L290" s="103" t="str">
        <f aca="false">IF(OR($B290="", $H290="", $I290="", $J290="", $K290=""),"",ROUND((VLOOKUP($H290,Lists!$E$2:$F$5,2,FALSE())*VLOOKUP($I290,Lists!$H$2:$I$4,2,FALSE())*VLOOKUP($J290,Lists!$K$2:$L$4,2,FALSE()))/VLOOKUP($K290,Lists!$N$2:$O$6,2,FALSE()),2))</f>
        <v/>
      </c>
      <c r="M290" s="104" t="str">
        <f aca="false">IF($B290="","",IF($AC290&lt;&gt;"",$AC290,IF($H290="Critical","P0",IF(NOT(ISNUMBER($L290)),"",IF($L290&gt;=Lists!$AM$2,"P0",IF($L290&gt;=Lists!$AM$3,"P1",IF($L290&gt;=Lists!$AM$4,"P2","P3")))))))</f>
        <v/>
      </c>
      <c r="N290" s="102"/>
      <c r="O290" s="101"/>
      <c r="P290" s="102"/>
      <c r="Q290" s="105"/>
      <c r="R290" s="106" t="str">
        <f aca="true">IF($Q290="","", TODAY()-$Q290)</f>
        <v/>
      </c>
      <c r="S290" s="102"/>
      <c r="T290" s="105"/>
      <c r="U290" s="105"/>
      <c r="V290" s="101"/>
      <c r="W290" s="101"/>
      <c r="X290" s="101"/>
      <c r="Y290" s="96"/>
      <c r="Z290" s="96"/>
      <c r="AA290" s="96"/>
      <c r="AC290" s="102"/>
      <c r="AD290" s="107" t="str">
        <f aca="false">IF($B290="","",IF(ISNUMBER($T290),$T290,IF(OR(NOT(ISNUMBER($Q290)),$S290=""),"",IFERROR(IF(ISNUMBER(INDEX(Lists!$AJ$2:$AJ$7,MATCH($S290,Lists!$AI$2:$AI$7,0))),$Q290+INDEX(Lists!$AJ$2:$AJ$7,MATCH($S290,Lists!$AI$2:$AI$7,0)),""),""))))</f>
        <v/>
      </c>
      <c r="AE290" s="104" t="str">
        <f aca="true">IF($B290="","",IF(AND(ISNUMBER($AD290),N($AD290)&lt;TODAY(),$N290&lt;&gt;"Done",$N290&lt;&gt;"Won't Fix",$N290&lt;&gt;"Duplicate"),"Yes","No"))</f>
        <v/>
      </c>
      <c r="AF290" s="101"/>
      <c r="AG290" s="108" t="str">
        <f aca="false">IF($AF290="","",IFERROR(VLOOKUP($AF290,'Application Portfolio'!$A$2:$B$1000,2,FALSE()),"Unknown App ID"))</f>
        <v/>
      </c>
      <c r="AH290" s="108" t="str">
        <f aca="false">IF(OR($B290="",$AF290=""),"",IFERROR(VLOOKUP($AF290,'Application Portfolio'!$A$2:$AB$1000,28,FALSE()),""))</f>
        <v/>
      </c>
    </row>
    <row r="291" customFormat="false" ht="15.75" hidden="false" customHeight="true" outlineLevel="0" collapsed="false">
      <c r="A291" s="100"/>
      <c r="B291" s="101"/>
      <c r="C291" s="101"/>
      <c r="D291" s="101"/>
      <c r="E291" s="101"/>
      <c r="F291" s="102"/>
      <c r="G291" s="102"/>
      <c r="H291" s="102"/>
      <c r="I291" s="102"/>
      <c r="J291" s="102"/>
      <c r="K291" s="102"/>
      <c r="L291" s="103" t="str">
        <f aca="false">IF(OR($B291="", $H291="", $I291="", $J291="", $K291=""),"",ROUND((VLOOKUP($H291,Lists!$E$2:$F$5,2,FALSE())*VLOOKUP($I291,Lists!$H$2:$I$4,2,FALSE())*VLOOKUP($J291,Lists!$K$2:$L$4,2,FALSE()))/VLOOKUP($K291,Lists!$N$2:$O$6,2,FALSE()),2))</f>
        <v/>
      </c>
      <c r="M291" s="104" t="str">
        <f aca="false">IF($B291="","",IF($AC291&lt;&gt;"",$AC291,IF($H291="Critical","P0",IF(NOT(ISNUMBER($L291)),"",IF($L291&gt;=Lists!$AM$2,"P0",IF($L291&gt;=Lists!$AM$3,"P1",IF($L291&gt;=Lists!$AM$4,"P2","P3")))))))</f>
        <v/>
      </c>
      <c r="N291" s="102"/>
      <c r="O291" s="101"/>
      <c r="P291" s="102"/>
      <c r="Q291" s="105"/>
      <c r="R291" s="106" t="str">
        <f aca="true">IF($Q291="","", TODAY()-$Q291)</f>
        <v/>
      </c>
      <c r="S291" s="102"/>
      <c r="T291" s="105"/>
      <c r="U291" s="105"/>
      <c r="V291" s="101"/>
      <c r="W291" s="101"/>
      <c r="X291" s="101"/>
      <c r="Y291" s="96"/>
      <c r="Z291" s="96"/>
      <c r="AA291" s="96"/>
      <c r="AC291" s="102"/>
      <c r="AD291" s="107" t="str">
        <f aca="false">IF($B291="","",IF(ISNUMBER($T291),$T291,IF(OR(NOT(ISNUMBER($Q291)),$S291=""),"",IFERROR(IF(ISNUMBER(INDEX(Lists!$AJ$2:$AJ$7,MATCH($S291,Lists!$AI$2:$AI$7,0))),$Q291+INDEX(Lists!$AJ$2:$AJ$7,MATCH($S291,Lists!$AI$2:$AI$7,0)),""),""))))</f>
        <v/>
      </c>
      <c r="AE291" s="104" t="str">
        <f aca="true">IF($B291="","",IF(AND(ISNUMBER($AD291),N($AD291)&lt;TODAY(),$N291&lt;&gt;"Done",$N291&lt;&gt;"Won't Fix",$N291&lt;&gt;"Duplicate"),"Yes","No"))</f>
        <v/>
      </c>
      <c r="AF291" s="101"/>
      <c r="AG291" s="108" t="str">
        <f aca="false">IF($AF291="","",IFERROR(VLOOKUP($AF291,'Application Portfolio'!$A$2:$B$1000,2,FALSE()),"Unknown App ID"))</f>
        <v/>
      </c>
      <c r="AH291" s="108" t="str">
        <f aca="false">IF(OR($B291="",$AF291=""),"",IFERROR(VLOOKUP($AF291,'Application Portfolio'!$A$2:$AB$1000,28,FALSE()),""))</f>
        <v/>
      </c>
    </row>
    <row r="292" customFormat="false" ht="15.75" hidden="false" customHeight="true" outlineLevel="0" collapsed="false">
      <c r="A292" s="100"/>
      <c r="B292" s="101"/>
      <c r="C292" s="101"/>
      <c r="D292" s="101"/>
      <c r="E292" s="101"/>
      <c r="F292" s="102"/>
      <c r="G292" s="102"/>
      <c r="H292" s="102"/>
      <c r="I292" s="102"/>
      <c r="J292" s="102"/>
      <c r="K292" s="102"/>
      <c r="L292" s="103" t="str">
        <f aca="false">IF(OR($B292="", $H292="", $I292="", $J292="", $K292=""),"",ROUND((VLOOKUP($H292,Lists!$E$2:$F$5,2,FALSE())*VLOOKUP($I292,Lists!$H$2:$I$4,2,FALSE())*VLOOKUP($J292,Lists!$K$2:$L$4,2,FALSE()))/VLOOKUP($K292,Lists!$N$2:$O$6,2,FALSE()),2))</f>
        <v/>
      </c>
      <c r="M292" s="104" t="str">
        <f aca="false">IF($B292="","",IF($AC292&lt;&gt;"",$AC292,IF($H292="Critical","P0",IF(NOT(ISNUMBER($L292)),"",IF($L292&gt;=Lists!$AM$2,"P0",IF($L292&gt;=Lists!$AM$3,"P1",IF($L292&gt;=Lists!$AM$4,"P2","P3")))))))</f>
        <v/>
      </c>
      <c r="N292" s="102"/>
      <c r="O292" s="101"/>
      <c r="P292" s="102"/>
      <c r="Q292" s="105"/>
      <c r="R292" s="106" t="str">
        <f aca="true">IF($Q292="","", TODAY()-$Q292)</f>
        <v/>
      </c>
      <c r="S292" s="102"/>
      <c r="T292" s="105"/>
      <c r="U292" s="105"/>
      <c r="V292" s="101"/>
      <c r="W292" s="101"/>
      <c r="X292" s="101"/>
      <c r="Y292" s="96"/>
      <c r="Z292" s="96"/>
      <c r="AA292" s="96"/>
      <c r="AC292" s="102"/>
      <c r="AD292" s="107" t="str">
        <f aca="false">IF($B292="","",IF(ISNUMBER($T292),$T292,IF(OR(NOT(ISNUMBER($Q292)),$S292=""),"",IFERROR(IF(ISNUMBER(INDEX(Lists!$AJ$2:$AJ$7,MATCH($S292,Lists!$AI$2:$AI$7,0))),$Q292+INDEX(Lists!$AJ$2:$AJ$7,MATCH($S292,Lists!$AI$2:$AI$7,0)),""),""))))</f>
        <v/>
      </c>
      <c r="AE292" s="104" t="str">
        <f aca="true">IF($B292="","",IF(AND(ISNUMBER($AD292),N($AD292)&lt;TODAY(),$N292&lt;&gt;"Done",$N292&lt;&gt;"Won't Fix",$N292&lt;&gt;"Duplicate"),"Yes","No"))</f>
        <v/>
      </c>
      <c r="AF292" s="101"/>
      <c r="AG292" s="108" t="str">
        <f aca="false">IF($AF292="","",IFERROR(VLOOKUP($AF292,'Application Portfolio'!$A$2:$B$1000,2,FALSE()),"Unknown App ID"))</f>
        <v/>
      </c>
      <c r="AH292" s="108" t="str">
        <f aca="false">IF(OR($B292="",$AF292=""),"",IFERROR(VLOOKUP($AF292,'Application Portfolio'!$A$2:$AB$1000,28,FALSE()),""))</f>
        <v/>
      </c>
    </row>
    <row r="293" customFormat="false" ht="15.75" hidden="false" customHeight="true" outlineLevel="0" collapsed="false">
      <c r="A293" s="100"/>
      <c r="B293" s="101"/>
      <c r="C293" s="101"/>
      <c r="D293" s="101"/>
      <c r="E293" s="101"/>
      <c r="F293" s="102"/>
      <c r="G293" s="102"/>
      <c r="H293" s="102"/>
      <c r="I293" s="102"/>
      <c r="J293" s="102"/>
      <c r="K293" s="102"/>
      <c r="L293" s="103" t="str">
        <f aca="false">IF(OR($B293="", $H293="", $I293="", $J293="", $K293=""),"",ROUND((VLOOKUP($H293,Lists!$E$2:$F$5,2,FALSE())*VLOOKUP($I293,Lists!$H$2:$I$4,2,FALSE())*VLOOKUP($J293,Lists!$K$2:$L$4,2,FALSE()))/VLOOKUP($K293,Lists!$N$2:$O$6,2,FALSE()),2))</f>
        <v/>
      </c>
      <c r="M293" s="104" t="str">
        <f aca="false">IF($B293="","",IF($AC293&lt;&gt;"",$AC293,IF($H293="Critical","P0",IF(NOT(ISNUMBER($L293)),"",IF($L293&gt;=Lists!$AM$2,"P0",IF($L293&gt;=Lists!$AM$3,"P1",IF($L293&gt;=Lists!$AM$4,"P2","P3")))))))</f>
        <v/>
      </c>
      <c r="N293" s="102"/>
      <c r="O293" s="101"/>
      <c r="P293" s="102"/>
      <c r="Q293" s="105"/>
      <c r="R293" s="106" t="str">
        <f aca="true">IF($Q293="","", TODAY()-$Q293)</f>
        <v/>
      </c>
      <c r="S293" s="102"/>
      <c r="T293" s="105"/>
      <c r="U293" s="105"/>
      <c r="V293" s="101"/>
      <c r="W293" s="101"/>
      <c r="X293" s="101"/>
      <c r="Y293" s="96"/>
      <c r="Z293" s="96"/>
      <c r="AA293" s="96"/>
      <c r="AC293" s="102"/>
      <c r="AD293" s="107" t="str">
        <f aca="false">IF($B293="","",IF(ISNUMBER($T293),$T293,IF(OR(NOT(ISNUMBER($Q293)),$S293=""),"",IFERROR(IF(ISNUMBER(INDEX(Lists!$AJ$2:$AJ$7,MATCH($S293,Lists!$AI$2:$AI$7,0))),$Q293+INDEX(Lists!$AJ$2:$AJ$7,MATCH($S293,Lists!$AI$2:$AI$7,0)),""),""))))</f>
        <v/>
      </c>
      <c r="AE293" s="104" t="str">
        <f aca="true">IF($B293="","",IF(AND(ISNUMBER($AD293),N($AD293)&lt;TODAY(),$N293&lt;&gt;"Done",$N293&lt;&gt;"Won't Fix",$N293&lt;&gt;"Duplicate"),"Yes","No"))</f>
        <v/>
      </c>
      <c r="AF293" s="101"/>
      <c r="AG293" s="108" t="str">
        <f aca="false">IF($AF293="","",IFERROR(VLOOKUP($AF293,'Application Portfolio'!$A$2:$B$1000,2,FALSE()),"Unknown App ID"))</f>
        <v/>
      </c>
      <c r="AH293" s="108" t="str">
        <f aca="false">IF(OR($B293="",$AF293=""),"",IFERROR(VLOOKUP($AF293,'Application Portfolio'!$A$2:$AB$1000,28,FALSE()),""))</f>
        <v/>
      </c>
    </row>
    <row r="294" customFormat="false" ht="15.75" hidden="false" customHeight="true" outlineLevel="0" collapsed="false">
      <c r="A294" s="100"/>
      <c r="B294" s="101"/>
      <c r="C294" s="101"/>
      <c r="D294" s="101"/>
      <c r="E294" s="101"/>
      <c r="F294" s="102"/>
      <c r="G294" s="102"/>
      <c r="H294" s="102"/>
      <c r="I294" s="102"/>
      <c r="J294" s="102"/>
      <c r="K294" s="102"/>
      <c r="L294" s="103" t="str">
        <f aca="false">IF(OR($B294="", $H294="", $I294="", $J294="", $K294=""),"",ROUND((VLOOKUP($H294,Lists!$E$2:$F$5,2,FALSE())*VLOOKUP($I294,Lists!$H$2:$I$4,2,FALSE())*VLOOKUP($J294,Lists!$K$2:$L$4,2,FALSE()))/VLOOKUP($K294,Lists!$N$2:$O$6,2,FALSE()),2))</f>
        <v/>
      </c>
      <c r="M294" s="104" t="str">
        <f aca="false">IF($B294="","",IF($AC294&lt;&gt;"",$AC294,IF($H294="Critical","P0",IF(NOT(ISNUMBER($L294)),"",IF($L294&gt;=Lists!$AM$2,"P0",IF($L294&gt;=Lists!$AM$3,"P1",IF($L294&gt;=Lists!$AM$4,"P2","P3")))))))</f>
        <v/>
      </c>
      <c r="N294" s="102"/>
      <c r="O294" s="101"/>
      <c r="P294" s="102"/>
      <c r="Q294" s="105"/>
      <c r="R294" s="106" t="str">
        <f aca="true">IF($Q294="","", TODAY()-$Q294)</f>
        <v/>
      </c>
      <c r="S294" s="102"/>
      <c r="T294" s="105"/>
      <c r="U294" s="105"/>
      <c r="V294" s="101"/>
      <c r="W294" s="101"/>
      <c r="X294" s="101"/>
      <c r="Y294" s="96"/>
      <c r="Z294" s="96"/>
      <c r="AA294" s="96"/>
      <c r="AC294" s="102"/>
      <c r="AD294" s="107" t="str">
        <f aca="false">IF($B294="","",IF(ISNUMBER($T294),$T294,IF(OR(NOT(ISNUMBER($Q294)),$S294=""),"",IFERROR(IF(ISNUMBER(INDEX(Lists!$AJ$2:$AJ$7,MATCH($S294,Lists!$AI$2:$AI$7,0))),$Q294+INDEX(Lists!$AJ$2:$AJ$7,MATCH($S294,Lists!$AI$2:$AI$7,0)),""),""))))</f>
        <v/>
      </c>
      <c r="AE294" s="104" t="str">
        <f aca="true">IF($B294="","",IF(AND(ISNUMBER($AD294),N($AD294)&lt;TODAY(),$N294&lt;&gt;"Done",$N294&lt;&gt;"Won't Fix",$N294&lt;&gt;"Duplicate"),"Yes","No"))</f>
        <v/>
      </c>
      <c r="AF294" s="101"/>
      <c r="AG294" s="108" t="str">
        <f aca="false">IF($AF294="","",IFERROR(VLOOKUP($AF294,'Application Portfolio'!$A$2:$B$1000,2,FALSE()),"Unknown App ID"))</f>
        <v/>
      </c>
      <c r="AH294" s="108" t="str">
        <f aca="false">IF(OR($B294="",$AF294=""),"",IFERROR(VLOOKUP($AF294,'Application Portfolio'!$A$2:$AB$1000,28,FALSE()),""))</f>
        <v/>
      </c>
    </row>
    <row r="295" customFormat="false" ht="15.75" hidden="false" customHeight="true" outlineLevel="0" collapsed="false">
      <c r="A295" s="100"/>
      <c r="B295" s="101"/>
      <c r="C295" s="101"/>
      <c r="D295" s="101"/>
      <c r="E295" s="101"/>
      <c r="F295" s="102"/>
      <c r="G295" s="102"/>
      <c r="H295" s="102"/>
      <c r="I295" s="102"/>
      <c r="J295" s="102"/>
      <c r="K295" s="102"/>
      <c r="L295" s="103" t="str">
        <f aca="false">IF(OR($B295="", $H295="", $I295="", $J295="", $K295=""),"",ROUND((VLOOKUP($H295,Lists!$E$2:$F$5,2,FALSE())*VLOOKUP($I295,Lists!$H$2:$I$4,2,FALSE())*VLOOKUP($J295,Lists!$K$2:$L$4,2,FALSE()))/VLOOKUP($K295,Lists!$N$2:$O$6,2,FALSE()),2))</f>
        <v/>
      </c>
      <c r="M295" s="104" t="str">
        <f aca="false">IF($B295="","",IF($AC295&lt;&gt;"",$AC295,IF($H295="Critical","P0",IF(NOT(ISNUMBER($L295)),"",IF($L295&gt;=Lists!$AM$2,"P0",IF($L295&gt;=Lists!$AM$3,"P1",IF($L295&gt;=Lists!$AM$4,"P2","P3")))))))</f>
        <v/>
      </c>
      <c r="N295" s="102"/>
      <c r="O295" s="101"/>
      <c r="P295" s="102"/>
      <c r="Q295" s="105"/>
      <c r="R295" s="106" t="str">
        <f aca="true">IF($Q295="","", TODAY()-$Q295)</f>
        <v/>
      </c>
      <c r="S295" s="102"/>
      <c r="T295" s="105"/>
      <c r="U295" s="105"/>
      <c r="V295" s="101"/>
      <c r="W295" s="101"/>
      <c r="X295" s="101"/>
      <c r="Y295" s="96"/>
      <c r="Z295" s="96"/>
      <c r="AA295" s="96"/>
      <c r="AC295" s="102"/>
      <c r="AD295" s="107" t="str">
        <f aca="false">IF($B295="","",IF(ISNUMBER($T295),$T295,IF(OR(NOT(ISNUMBER($Q295)),$S295=""),"",IFERROR(IF(ISNUMBER(INDEX(Lists!$AJ$2:$AJ$7,MATCH($S295,Lists!$AI$2:$AI$7,0))),$Q295+INDEX(Lists!$AJ$2:$AJ$7,MATCH($S295,Lists!$AI$2:$AI$7,0)),""),""))))</f>
        <v/>
      </c>
      <c r="AE295" s="104" t="str">
        <f aca="true">IF($B295="","",IF(AND(ISNUMBER($AD295),N($AD295)&lt;TODAY(),$N295&lt;&gt;"Done",$N295&lt;&gt;"Won't Fix",$N295&lt;&gt;"Duplicate"),"Yes","No"))</f>
        <v/>
      </c>
      <c r="AF295" s="101"/>
      <c r="AG295" s="108" t="str">
        <f aca="false">IF($AF295="","",IFERROR(VLOOKUP($AF295,'Application Portfolio'!$A$2:$B$1000,2,FALSE()),"Unknown App ID"))</f>
        <v/>
      </c>
      <c r="AH295" s="108" t="str">
        <f aca="false">IF(OR($B295="",$AF295=""),"",IFERROR(VLOOKUP($AF295,'Application Portfolio'!$A$2:$AB$1000,28,FALSE()),""))</f>
        <v/>
      </c>
    </row>
    <row r="296" customFormat="false" ht="15.75" hidden="false" customHeight="true" outlineLevel="0" collapsed="false">
      <c r="A296" s="100"/>
      <c r="B296" s="101"/>
      <c r="C296" s="101"/>
      <c r="D296" s="101"/>
      <c r="E296" s="101"/>
      <c r="F296" s="102"/>
      <c r="G296" s="102"/>
      <c r="H296" s="102"/>
      <c r="I296" s="102"/>
      <c r="J296" s="102"/>
      <c r="K296" s="102"/>
      <c r="L296" s="103" t="str">
        <f aca="false">IF(OR($B296="", $H296="", $I296="", $J296="", $K296=""),"",ROUND((VLOOKUP($H296,Lists!$E$2:$F$5,2,FALSE())*VLOOKUP($I296,Lists!$H$2:$I$4,2,FALSE())*VLOOKUP($J296,Lists!$K$2:$L$4,2,FALSE()))/VLOOKUP($K296,Lists!$N$2:$O$6,2,FALSE()),2))</f>
        <v/>
      </c>
      <c r="M296" s="104" t="str">
        <f aca="false">IF($B296="","",IF($AC296&lt;&gt;"",$AC296,IF($H296="Critical","P0",IF(NOT(ISNUMBER($L296)),"",IF($L296&gt;=Lists!$AM$2,"P0",IF($L296&gt;=Lists!$AM$3,"P1",IF($L296&gt;=Lists!$AM$4,"P2","P3")))))))</f>
        <v/>
      </c>
      <c r="N296" s="102"/>
      <c r="O296" s="101"/>
      <c r="P296" s="102"/>
      <c r="Q296" s="105"/>
      <c r="R296" s="106" t="str">
        <f aca="true">IF($Q296="","", TODAY()-$Q296)</f>
        <v/>
      </c>
      <c r="S296" s="102"/>
      <c r="T296" s="105"/>
      <c r="U296" s="105"/>
      <c r="V296" s="101"/>
      <c r="W296" s="101"/>
      <c r="X296" s="101"/>
      <c r="Y296" s="96"/>
      <c r="Z296" s="96"/>
      <c r="AA296" s="96"/>
      <c r="AC296" s="102"/>
      <c r="AD296" s="107" t="str">
        <f aca="false">IF($B296="","",IF(ISNUMBER($T296),$T296,IF(OR(NOT(ISNUMBER($Q296)),$S296=""),"",IFERROR(IF(ISNUMBER(INDEX(Lists!$AJ$2:$AJ$7,MATCH($S296,Lists!$AI$2:$AI$7,0))),$Q296+INDEX(Lists!$AJ$2:$AJ$7,MATCH($S296,Lists!$AI$2:$AI$7,0)),""),""))))</f>
        <v/>
      </c>
      <c r="AE296" s="104" t="str">
        <f aca="true">IF($B296="","",IF(AND(ISNUMBER($AD296),N($AD296)&lt;TODAY(),$N296&lt;&gt;"Done",$N296&lt;&gt;"Won't Fix",$N296&lt;&gt;"Duplicate"),"Yes","No"))</f>
        <v/>
      </c>
      <c r="AF296" s="101"/>
      <c r="AG296" s="108" t="str">
        <f aca="false">IF($AF296="","",IFERROR(VLOOKUP($AF296,'Application Portfolio'!$A$2:$B$1000,2,FALSE()),"Unknown App ID"))</f>
        <v/>
      </c>
      <c r="AH296" s="108" t="str">
        <f aca="false">IF(OR($B296="",$AF296=""),"",IFERROR(VLOOKUP($AF296,'Application Portfolio'!$A$2:$AB$1000,28,FALSE()),""))</f>
        <v/>
      </c>
    </row>
    <row r="297" customFormat="false" ht="15.75" hidden="false" customHeight="true" outlineLevel="0" collapsed="false">
      <c r="A297" s="100"/>
      <c r="B297" s="101"/>
      <c r="C297" s="101"/>
      <c r="D297" s="101"/>
      <c r="E297" s="101"/>
      <c r="F297" s="102"/>
      <c r="G297" s="102"/>
      <c r="H297" s="102"/>
      <c r="I297" s="102"/>
      <c r="J297" s="102"/>
      <c r="K297" s="102"/>
      <c r="L297" s="103" t="str">
        <f aca="false">IF(OR($B297="", $H297="", $I297="", $J297="", $K297=""),"",ROUND((VLOOKUP($H297,Lists!$E$2:$F$5,2,FALSE())*VLOOKUP($I297,Lists!$H$2:$I$4,2,FALSE())*VLOOKUP($J297,Lists!$K$2:$L$4,2,FALSE()))/VLOOKUP($K297,Lists!$N$2:$O$6,2,FALSE()),2))</f>
        <v/>
      </c>
      <c r="M297" s="104" t="str">
        <f aca="false">IF($B297="","",IF($AC297&lt;&gt;"",$AC297,IF($H297="Critical","P0",IF(NOT(ISNUMBER($L297)),"",IF($L297&gt;=Lists!$AM$2,"P0",IF($L297&gt;=Lists!$AM$3,"P1",IF($L297&gt;=Lists!$AM$4,"P2","P3")))))))</f>
        <v/>
      </c>
      <c r="N297" s="102"/>
      <c r="O297" s="101"/>
      <c r="P297" s="102"/>
      <c r="Q297" s="105"/>
      <c r="R297" s="106" t="str">
        <f aca="true">IF($Q297="","", TODAY()-$Q297)</f>
        <v/>
      </c>
      <c r="S297" s="102"/>
      <c r="T297" s="105"/>
      <c r="U297" s="105"/>
      <c r="V297" s="101"/>
      <c r="W297" s="101"/>
      <c r="X297" s="101"/>
      <c r="Y297" s="96"/>
      <c r="Z297" s="96"/>
      <c r="AA297" s="96"/>
      <c r="AC297" s="102"/>
      <c r="AD297" s="107" t="str">
        <f aca="false">IF($B297="","",IF(ISNUMBER($T297),$T297,IF(OR(NOT(ISNUMBER($Q297)),$S297=""),"",IFERROR(IF(ISNUMBER(INDEX(Lists!$AJ$2:$AJ$7,MATCH($S297,Lists!$AI$2:$AI$7,0))),$Q297+INDEX(Lists!$AJ$2:$AJ$7,MATCH($S297,Lists!$AI$2:$AI$7,0)),""),""))))</f>
        <v/>
      </c>
      <c r="AE297" s="104" t="str">
        <f aca="true">IF($B297="","",IF(AND(ISNUMBER($AD297),N($AD297)&lt;TODAY(),$N297&lt;&gt;"Done",$N297&lt;&gt;"Won't Fix",$N297&lt;&gt;"Duplicate"),"Yes","No"))</f>
        <v/>
      </c>
      <c r="AF297" s="101"/>
      <c r="AG297" s="108" t="str">
        <f aca="false">IF($AF297="","",IFERROR(VLOOKUP($AF297,'Application Portfolio'!$A$2:$B$1000,2,FALSE()),"Unknown App ID"))</f>
        <v/>
      </c>
      <c r="AH297" s="108" t="str">
        <f aca="false">IF(OR($B297="",$AF297=""),"",IFERROR(VLOOKUP($AF297,'Application Portfolio'!$A$2:$AB$1000,28,FALSE()),""))</f>
        <v/>
      </c>
    </row>
    <row r="298" customFormat="false" ht="15.75" hidden="false" customHeight="true" outlineLevel="0" collapsed="false">
      <c r="A298" s="100"/>
      <c r="B298" s="101"/>
      <c r="C298" s="101"/>
      <c r="D298" s="101"/>
      <c r="E298" s="101"/>
      <c r="F298" s="102"/>
      <c r="G298" s="102"/>
      <c r="H298" s="102"/>
      <c r="I298" s="102"/>
      <c r="J298" s="102"/>
      <c r="K298" s="102"/>
      <c r="L298" s="103" t="str">
        <f aca="false">IF(OR($B298="", $H298="", $I298="", $J298="", $K298=""),"",ROUND((VLOOKUP($H298,Lists!$E$2:$F$5,2,FALSE())*VLOOKUP($I298,Lists!$H$2:$I$4,2,FALSE())*VLOOKUP($J298,Lists!$K$2:$L$4,2,FALSE()))/VLOOKUP($K298,Lists!$N$2:$O$6,2,FALSE()),2))</f>
        <v/>
      </c>
      <c r="M298" s="104" t="str">
        <f aca="false">IF($B298="","",IF($AC298&lt;&gt;"",$AC298,IF($H298="Critical","P0",IF(NOT(ISNUMBER($L298)),"",IF($L298&gt;=Lists!$AM$2,"P0",IF($L298&gt;=Lists!$AM$3,"P1",IF($L298&gt;=Lists!$AM$4,"P2","P3")))))))</f>
        <v/>
      </c>
      <c r="N298" s="102"/>
      <c r="O298" s="101"/>
      <c r="P298" s="102"/>
      <c r="Q298" s="105"/>
      <c r="R298" s="106" t="str">
        <f aca="true">IF($Q298="","", TODAY()-$Q298)</f>
        <v/>
      </c>
      <c r="S298" s="102"/>
      <c r="T298" s="105"/>
      <c r="U298" s="105"/>
      <c r="V298" s="101"/>
      <c r="W298" s="101"/>
      <c r="X298" s="101"/>
      <c r="Y298" s="96"/>
      <c r="Z298" s="96"/>
      <c r="AA298" s="96"/>
      <c r="AC298" s="102"/>
      <c r="AD298" s="107" t="str">
        <f aca="false">IF($B298="","",IF(ISNUMBER($T298),$T298,IF(OR(NOT(ISNUMBER($Q298)),$S298=""),"",IFERROR(IF(ISNUMBER(INDEX(Lists!$AJ$2:$AJ$7,MATCH($S298,Lists!$AI$2:$AI$7,0))),$Q298+INDEX(Lists!$AJ$2:$AJ$7,MATCH($S298,Lists!$AI$2:$AI$7,0)),""),""))))</f>
        <v/>
      </c>
      <c r="AE298" s="104" t="str">
        <f aca="true">IF($B298="","",IF(AND(ISNUMBER($AD298),N($AD298)&lt;TODAY(),$N298&lt;&gt;"Done",$N298&lt;&gt;"Won't Fix",$N298&lt;&gt;"Duplicate"),"Yes","No"))</f>
        <v/>
      </c>
      <c r="AF298" s="101"/>
      <c r="AG298" s="108" t="str">
        <f aca="false">IF($AF298="","",IFERROR(VLOOKUP($AF298,'Application Portfolio'!$A$2:$B$1000,2,FALSE()),"Unknown App ID"))</f>
        <v/>
      </c>
      <c r="AH298" s="108" t="str">
        <f aca="false">IF(OR($B298="",$AF298=""),"",IFERROR(VLOOKUP($AF298,'Application Portfolio'!$A$2:$AB$1000,28,FALSE()),""))</f>
        <v/>
      </c>
    </row>
    <row r="299" customFormat="false" ht="15.75" hidden="false" customHeight="true" outlineLevel="0" collapsed="false">
      <c r="A299" s="100"/>
      <c r="B299" s="101"/>
      <c r="C299" s="101"/>
      <c r="D299" s="101"/>
      <c r="E299" s="101"/>
      <c r="F299" s="102"/>
      <c r="G299" s="102"/>
      <c r="H299" s="102"/>
      <c r="I299" s="102"/>
      <c r="J299" s="102"/>
      <c r="K299" s="102"/>
      <c r="L299" s="103" t="str">
        <f aca="false">IF(OR($B299="", $H299="", $I299="", $J299="", $K299=""),"",ROUND((VLOOKUP($H299,Lists!$E$2:$F$5,2,FALSE())*VLOOKUP($I299,Lists!$H$2:$I$4,2,FALSE())*VLOOKUP($J299,Lists!$K$2:$L$4,2,FALSE()))/VLOOKUP($K299,Lists!$N$2:$O$6,2,FALSE()),2))</f>
        <v/>
      </c>
      <c r="M299" s="104" t="str">
        <f aca="false">IF($B299="","",IF($AC299&lt;&gt;"",$AC299,IF($H299="Critical","P0",IF(NOT(ISNUMBER($L299)),"",IF($L299&gt;=Lists!$AM$2,"P0",IF($L299&gt;=Lists!$AM$3,"P1",IF($L299&gt;=Lists!$AM$4,"P2","P3")))))))</f>
        <v/>
      </c>
      <c r="N299" s="102"/>
      <c r="O299" s="101"/>
      <c r="P299" s="102"/>
      <c r="Q299" s="105"/>
      <c r="R299" s="106" t="str">
        <f aca="true">IF($Q299="","", TODAY()-$Q299)</f>
        <v/>
      </c>
      <c r="S299" s="102"/>
      <c r="T299" s="105"/>
      <c r="U299" s="105"/>
      <c r="V299" s="101"/>
      <c r="W299" s="101"/>
      <c r="X299" s="101"/>
      <c r="Y299" s="96"/>
      <c r="Z299" s="96"/>
      <c r="AA299" s="96"/>
      <c r="AC299" s="102"/>
      <c r="AD299" s="107" t="str">
        <f aca="false">IF($B299="","",IF(ISNUMBER($T299),$T299,IF(OR(NOT(ISNUMBER($Q299)),$S299=""),"",IFERROR(IF(ISNUMBER(INDEX(Lists!$AJ$2:$AJ$7,MATCH($S299,Lists!$AI$2:$AI$7,0))),$Q299+INDEX(Lists!$AJ$2:$AJ$7,MATCH($S299,Lists!$AI$2:$AI$7,0)),""),""))))</f>
        <v/>
      </c>
      <c r="AE299" s="104" t="str">
        <f aca="true">IF($B299="","",IF(AND(ISNUMBER($AD299),N($AD299)&lt;TODAY(),$N299&lt;&gt;"Done",$N299&lt;&gt;"Won't Fix",$N299&lt;&gt;"Duplicate"),"Yes","No"))</f>
        <v/>
      </c>
      <c r="AF299" s="101"/>
      <c r="AG299" s="108" t="str">
        <f aca="false">IF($AF299="","",IFERROR(VLOOKUP($AF299,'Application Portfolio'!$A$2:$B$1000,2,FALSE()),"Unknown App ID"))</f>
        <v/>
      </c>
      <c r="AH299" s="108" t="str">
        <f aca="false">IF(OR($B299="",$AF299=""),"",IFERROR(VLOOKUP($AF299,'Application Portfolio'!$A$2:$AB$1000,28,FALSE()),""))</f>
        <v/>
      </c>
    </row>
    <row r="300" customFormat="false" ht="15.75" hidden="false" customHeight="true" outlineLevel="0" collapsed="false">
      <c r="A300" s="100"/>
      <c r="B300" s="101"/>
      <c r="C300" s="101"/>
      <c r="D300" s="101"/>
      <c r="E300" s="101"/>
      <c r="F300" s="102"/>
      <c r="G300" s="102"/>
      <c r="H300" s="102"/>
      <c r="I300" s="102"/>
      <c r="J300" s="102"/>
      <c r="K300" s="102"/>
      <c r="L300" s="103" t="str">
        <f aca="false">IF(OR($B300="", $H300="", $I300="", $J300="", $K300=""),"",ROUND((VLOOKUP($H300,Lists!$E$2:$F$5,2,FALSE())*VLOOKUP($I300,Lists!$H$2:$I$4,2,FALSE())*VLOOKUP($J300,Lists!$K$2:$L$4,2,FALSE()))/VLOOKUP($K300,Lists!$N$2:$O$6,2,FALSE()),2))</f>
        <v/>
      </c>
      <c r="M300" s="104" t="str">
        <f aca="false">IF($B300="","",IF($AC300&lt;&gt;"",$AC300,IF($H300="Critical","P0",IF(NOT(ISNUMBER($L300)),"",IF($L300&gt;=Lists!$AM$2,"P0",IF($L300&gt;=Lists!$AM$3,"P1",IF($L300&gt;=Lists!$AM$4,"P2","P3")))))))</f>
        <v/>
      </c>
      <c r="N300" s="102"/>
      <c r="O300" s="101"/>
      <c r="P300" s="102"/>
      <c r="Q300" s="105"/>
      <c r="R300" s="106" t="str">
        <f aca="true">IF($Q300="","", TODAY()-$Q300)</f>
        <v/>
      </c>
      <c r="S300" s="102"/>
      <c r="T300" s="105"/>
      <c r="U300" s="105"/>
      <c r="V300" s="101"/>
      <c r="W300" s="101"/>
      <c r="X300" s="101"/>
      <c r="Y300" s="96"/>
      <c r="Z300" s="96"/>
      <c r="AA300" s="96"/>
      <c r="AC300" s="102"/>
      <c r="AD300" s="107" t="str">
        <f aca="false">IF($B300="","",IF(ISNUMBER($T300),$T300,IF(OR(NOT(ISNUMBER($Q300)),$S300=""),"",IFERROR(IF(ISNUMBER(INDEX(Lists!$AJ$2:$AJ$7,MATCH($S300,Lists!$AI$2:$AI$7,0))),$Q300+INDEX(Lists!$AJ$2:$AJ$7,MATCH($S300,Lists!$AI$2:$AI$7,0)),""),""))))</f>
        <v/>
      </c>
      <c r="AE300" s="104" t="str">
        <f aca="true">IF($B300="","",IF(AND(ISNUMBER($AD300),N($AD300)&lt;TODAY(),$N300&lt;&gt;"Done",$N300&lt;&gt;"Won't Fix",$N300&lt;&gt;"Duplicate"),"Yes","No"))</f>
        <v/>
      </c>
      <c r="AF300" s="101"/>
      <c r="AG300" s="108" t="str">
        <f aca="false">IF($AF300="","",IFERROR(VLOOKUP($AF300,'Application Portfolio'!$A$2:$B$1000,2,FALSE()),"Unknown App ID"))</f>
        <v/>
      </c>
      <c r="AH300" s="108" t="str">
        <f aca="false">IF(OR($B300="",$AF300=""),"",IFERROR(VLOOKUP($AF300,'Application Portfolio'!$A$2:$AB$1000,28,FALSE()),""))</f>
        <v/>
      </c>
    </row>
    <row r="301" customFormat="false" ht="15.75" hidden="false" customHeight="true" outlineLevel="0" collapsed="false">
      <c r="A301" s="100"/>
      <c r="B301" s="101"/>
      <c r="C301" s="101"/>
      <c r="D301" s="101"/>
      <c r="E301" s="101"/>
      <c r="F301" s="102"/>
      <c r="G301" s="102"/>
      <c r="H301" s="102"/>
      <c r="I301" s="102"/>
      <c r="J301" s="102"/>
      <c r="K301" s="102"/>
      <c r="L301" s="103" t="str">
        <f aca="false">IF(OR($B301="", $H301="", $I301="", $J301="", $K301=""),"",ROUND((VLOOKUP($H301,Lists!$E$2:$F$5,2,FALSE())*VLOOKUP($I301,Lists!$H$2:$I$4,2,FALSE())*VLOOKUP($J301,Lists!$K$2:$L$4,2,FALSE()))/VLOOKUP($K301,Lists!$N$2:$O$6,2,FALSE()),2))</f>
        <v/>
      </c>
      <c r="M301" s="104" t="str">
        <f aca="false">IF($B301="","",IF($AC301&lt;&gt;"",$AC301,IF($H301="Critical","P0",IF(NOT(ISNUMBER($L301)),"",IF($L301&gt;=Lists!$AM$2,"P0",IF($L301&gt;=Lists!$AM$3,"P1",IF($L301&gt;=Lists!$AM$4,"P2","P3")))))))</f>
        <v/>
      </c>
      <c r="N301" s="102"/>
      <c r="O301" s="101"/>
      <c r="P301" s="102"/>
      <c r="Q301" s="105"/>
      <c r="R301" s="106" t="str">
        <f aca="true">IF($Q301="","", TODAY()-$Q301)</f>
        <v/>
      </c>
      <c r="S301" s="102"/>
      <c r="T301" s="105"/>
      <c r="U301" s="105"/>
      <c r="V301" s="101"/>
      <c r="W301" s="101"/>
      <c r="X301" s="101"/>
      <c r="Y301" s="96"/>
      <c r="Z301" s="96"/>
      <c r="AA301" s="96"/>
      <c r="AC301" s="102"/>
      <c r="AD301" s="107" t="str">
        <f aca="false">IF($B301="","",IF(ISNUMBER($T301),$T301,IF(OR(NOT(ISNUMBER($Q301)),$S301=""),"",IFERROR(IF(ISNUMBER(INDEX(Lists!$AJ$2:$AJ$7,MATCH($S301,Lists!$AI$2:$AI$7,0))),$Q301+INDEX(Lists!$AJ$2:$AJ$7,MATCH($S301,Lists!$AI$2:$AI$7,0)),""),""))))</f>
        <v/>
      </c>
      <c r="AE301" s="104" t="str">
        <f aca="true">IF($B301="","",IF(AND(ISNUMBER($AD301),N($AD301)&lt;TODAY(),$N301&lt;&gt;"Done",$N301&lt;&gt;"Won't Fix",$N301&lt;&gt;"Duplicate"),"Yes","No"))</f>
        <v/>
      </c>
      <c r="AF301" s="101"/>
      <c r="AG301" s="108" t="str">
        <f aca="false">IF($AF301="","",IFERROR(VLOOKUP($AF301,'Application Portfolio'!$A$2:$B$1000,2,FALSE()),"Unknown App ID"))</f>
        <v/>
      </c>
      <c r="AH301" s="108" t="str">
        <f aca="false">IF(OR($B301="",$AF301=""),"",IFERROR(VLOOKUP($AF301,'Application Portfolio'!$A$2:$AB$1000,28,FALSE()),""))</f>
        <v/>
      </c>
    </row>
    <row r="302" customFormat="false" ht="15.75" hidden="false" customHeight="true" outlineLevel="0" collapsed="false">
      <c r="A302" s="100"/>
      <c r="B302" s="101"/>
      <c r="C302" s="101"/>
      <c r="D302" s="101"/>
      <c r="E302" s="101"/>
      <c r="F302" s="102"/>
      <c r="G302" s="102"/>
      <c r="H302" s="102"/>
      <c r="I302" s="102"/>
      <c r="J302" s="102"/>
      <c r="K302" s="102"/>
      <c r="L302" s="103" t="str">
        <f aca="false">IF(OR($B302="", $H302="", $I302="", $J302="", $K302=""),"",ROUND((VLOOKUP($H302,Lists!$E$2:$F$5,2,FALSE())*VLOOKUP($I302,Lists!$H$2:$I$4,2,FALSE())*VLOOKUP($J302,Lists!$K$2:$L$4,2,FALSE()))/VLOOKUP($K302,Lists!$N$2:$O$6,2,FALSE()),2))</f>
        <v/>
      </c>
      <c r="M302" s="104" t="str">
        <f aca="false">IF($B302="","",IF($AC302&lt;&gt;"",$AC302,IF($H302="Critical","P0",IF(NOT(ISNUMBER($L302)),"",IF($L302&gt;=Lists!$AM$2,"P0",IF($L302&gt;=Lists!$AM$3,"P1",IF($L302&gt;=Lists!$AM$4,"P2","P3")))))))</f>
        <v/>
      </c>
      <c r="N302" s="102"/>
      <c r="O302" s="101"/>
      <c r="P302" s="102"/>
      <c r="Q302" s="105"/>
      <c r="R302" s="106" t="str">
        <f aca="true">IF($Q302="","", TODAY()-$Q302)</f>
        <v/>
      </c>
      <c r="S302" s="102"/>
      <c r="T302" s="105"/>
      <c r="U302" s="105"/>
      <c r="V302" s="101"/>
      <c r="W302" s="101"/>
      <c r="X302" s="101"/>
      <c r="Y302" s="96"/>
      <c r="Z302" s="96"/>
      <c r="AA302" s="96"/>
      <c r="AC302" s="102"/>
      <c r="AD302" s="107" t="str">
        <f aca="false">IF($B302="","",IF(ISNUMBER($T302),$T302,IF(OR(NOT(ISNUMBER($Q302)),$S302=""),"",IFERROR(IF(ISNUMBER(INDEX(Lists!$AJ$2:$AJ$7,MATCH($S302,Lists!$AI$2:$AI$7,0))),$Q302+INDEX(Lists!$AJ$2:$AJ$7,MATCH($S302,Lists!$AI$2:$AI$7,0)),""),""))))</f>
        <v/>
      </c>
      <c r="AE302" s="104" t="str">
        <f aca="true">IF($B302="","",IF(AND(ISNUMBER($AD302),N($AD302)&lt;TODAY(),$N302&lt;&gt;"Done",$N302&lt;&gt;"Won't Fix",$N302&lt;&gt;"Duplicate"),"Yes","No"))</f>
        <v/>
      </c>
      <c r="AF302" s="101"/>
      <c r="AG302" s="108" t="str">
        <f aca="false">IF($AF302="","",IFERROR(VLOOKUP($AF302,'Application Portfolio'!$A$2:$B$1000,2,FALSE()),"Unknown App ID"))</f>
        <v/>
      </c>
      <c r="AH302" s="108" t="str">
        <f aca="false">IF(OR($B302="",$AF302=""),"",IFERROR(VLOOKUP($AF302,'Application Portfolio'!$A$2:$AB$1000,28,FALSE()),""))</f>
        <v/>
      </c>
    </row>
    <row r="303" customFormat="false" ht="15.75" hidden="false" customHeight="true" outlineLevel="0" collapsed="false">
      <c r="A303" s="100"/>
      <c r="B303" s="101"/>
      <c r="C303" s="101"/>
      <c r="D303" s="101"/>
      <c r="E303" s="101"/>
      <c r="F303" s="102"/>
      <c r="G303" s="102"/>
      <c r="H303" s="102"/>
      <c r="I303" s="102"/>
      <c r="J303" s="102"/>
      <c r="K303" s="102"/>
      <c r="L303" s="103" t="str">
        <f aca="false">IF(OR($B303="", $H303="", $I303="", $J303="", $K303=""),"",ROUND((VLOOKUP($H303,Lists!$E$2:$F$5,2,FALSE())*VLOOKUP($I303,Lists!$H$2:$I$4,2,FALSE())*VLOOKUP($J303,Lists!$K$2:$L$4,2,FALSE()))/VLOOKUP($K303,Lists!$N$2:$O$6,2,FALSE()),2))</f>
        <v/>
      </c>
      <c r="M303" s="104" t="str">
        <f aca="false">IF($B303="","",IF($AC303&lt;&gt;"",$AC303,IF($H303="Critical","P0",IF(NOT(ISNUMBER($L303)),"",IF($L303&gt;=Lists!$AM$2,"P0",IF($L303&gt;=Lists!$AM$3,"P1",IF($L303&gt;=Lists!$AM$4,"P2","P3")))))))</f>
        <v/>
      </c>
      <c r="N303" s="102"/>
      <c r="O303" s="101"/>
      <c r="P303" s="102"/>
      <c r="Q303" s="105"/>
      <c r="R303" s="106" t="str">
        <f aca="true">IF($Q303="","", TODAY()-$Q303)</f>
        <v/>
      </c>
      <c r="S303" s="102"/>
      <c r="T303" s="105"/>
      <c r="U303" s="105"/>
      <c r="V303" s="101"/>
      <c r="W303" s="101"/>
      <c r="X303" s="101"/>
      <c r="Y303" s="96"/>
      <c r="Z303" s="96"/>
      <c r="AA303" s="96"/>
      <c r="AC303" s="102"/>
      <c r="AD303" s="107" t="str">
        <f aca="false">IF($B303="","",IF(ISNUMBER($T303),$T303,IF(OR(NOT(ISNUMBER($Q303)),$S303=""),"",IFERROR(IF(ISNUMBER(INDEX(Lists!$AJ$2:$AJ$7,MATCH($S303,Lists!$AI$2:$AI$7,0))),$Q303+INDEX(Lists!$AJ$2:$AJ$7,MATCH($S303,Lists!$AI$2:$AI$7,0)),""),""))))</f>
        <v/>
      </c>
      <c r="AE303" s="104" t="str">
        <f aca="true">IF($B303="","",IF(AND(ISNUMBER($AD303),N($AD303)&lt;TODAY(),$N303&lt;&gt;"Done",$N303&lt;&gt;"Won't Fix",$N303&lt;&gt;"Duplicate"),"Yes","No"))</f>
        <v/>
      </c>
      <c r="AF303" s="101"/>
      <c r="AG303" s="108" t="str">
        <f aca="false">IF($AF303="","",IFERROR(VLOOKUP($AF303,'Application Portfolio'!$A$2:$B$1000,2,FALSE()),"Unknown App ID"))</f>
        <v/>
      </c>
      <c r="AH303" s="108" t="str">
        <f aca="false">IF(OR($B303="",$AF303=""),"",IFERROR(VLOOKUP($AF303,'Application Portfolio'!$A$2:$AB$1000,28,FALSE()),""))</f>
        <v/>
      </c>
    </row>
    <row r="304" customFormat="false" ht="15.75" hidden="false" customHeight="true" outlineLevel="0" collapsed="false">
      <c r="A304" s="100"/>
      <c r="B304" s="101"/>
      <c r="C304" s="101"/>
      <c r="D304" s="101"/>
      <c r="E304" s="101"/>
      <c r="F304" s="102"/>
      <c r="G304" s="102"/>
      <c r="H304" s="102"/>
      <c r="I304" s="102"/>
      <c r="J304" s="102"/>
      <c r="K304" s="102"/>
      <c r="L304" s="103" t="str">
        <f aca="false">IF(OR($B304="", $H304="", $I304="", $J304="", $K304=""),"",ROUND((VLOOKUP($H304,Lists!$E$2:$F$5,2,FALSE())*VLOOKUP($I304,Lists!$H$2:$I$4,2,FALSE())*VLOOKUP($J304,Lists!$K$2:$L$4,2,FALSE()))/VLOOKUP($K304,Lists!$N$2:$O$6,2,FALSE()),2))</f>
        <v/>
      </c>
      <c r="M304" s="104" t="str">
        <f aca="false">IF($B304="","",IF($AC304&lt;&gt;"",$AC304,IF($H304="Critical","P0",IF(NOT(ISNUMBER($L304)),"",IF($L304&gt;=Lists!$AM$2,"P0",IF($L304&gt;=Lists!$AM$3,"P1",IF($L304&gt;=Lists!$AM$4,"P2","P3")))))))</f>
        <v/>
      </c>
      <c r="N304" s="102"/>
      <c r="O304" s="101"/>
      <c r="P304" s="102"/>
      <c r="Q304" s="105"/>
      <c r="R304" s="106" t="str">
        <f aca="true">IF($Q304="","", TODAY()-$Q304)</f>
        <v/>
      </c>
      <c r="S304" s="102"/>
      <c r="T304" s="105"/>
      <c r="U304" s="105"/>
      <c r="V304" s="101"/>
      <c r="W304" s="101"/>
      <c r="X304" s="101"/>
      <c r="Y304" s="96"/>
      <c r="Z304" s="96"/>
      <c r="AA304" s="96"/>
      <c r="AC304" s="102"/>
      <c r="AD304" s="107" t="str">
        <f aca="false">IF($B304="","",IF(ISNUMBER($T304),$T304,IF(OR(NOT(ISNUMBER($Q304)),$S304=""),"",IFERROR(IF(ISNUMBER(INDEX(Lists!$AJ$2:$AJ$7,MATCH($S304,Lists!$AI$2:$AI$7,0))),$Q304+INDEX(Lists!$AJ$2:$AJ$7,MATCH($S304,Lists!$AI$2:$AI$7,0)),""),""))))</f>
        <v/>
      </c>
      <c r="AE304" s="104" t="str">
        <f aca="true">IF($B304="","",IF(AND(ISNUMBER($AD304),N($AD304)&lt;TODAY(),$N304&lt;&gt;"Done",$N304&lt;&gt;"Won't Fix",$N304&lt;&gt;"Duplicate"),"Yes","No"))</f>
        <v/>
      </c>
      <c r="AF304" s="101"/>
      <c r="AG304" s="108" t="str">
        <f aca="false">IF($AF304="","",IFERROR(VLOOKUP($AF304,'Application Portfolio'!$A$2:$B$1000,2,FALSE()),"Unknown App ID"))</f>
        <v/>
      </c>
      <c r="AH304" s="108" t="str">
        <f aca="false">IF(OR($B304="",$AF304=""),"",IFERROR(VLOOKUP($AF304,'Application Portfolio'!$A$2:$AB$1000,28,FALSE()),""))</f>
        <v/>
      </c>
    </row>
    <row r="305" customFormat="false" ht="15.75" hidden="false" customHeight="true" outlineLevel="0" collapsed="false">
      <c r="A305" s="100"/>
      <c r="B305" s="101"/>
      <c r="C305" s="101"/>
      <c r="D305" s="101"/>
      <c r="E305" s="101"/>
      <c r="F305" s="102"/>
      <c r="G305" s="102"/>
      <c r="H305" s="102"/>
      <c r="I305" s="102"/>
      <c r="J305" s="102"/>
      <c r="K305" s="102"/>
      <c r="L305" s="103" t="str">
        <f aca="false">IF(OR($B305="", $H305="", $I305="", $J305="", $K305=""),"",ROUND((VLOOKUP($H305,Lists!$E$2:$F$5,2,FALSE())*VLOOKUP($I305,Lists!$H$2:$I$4,2,FALSE())*VLOOKUP($J305,Lists!$K$2:$L$4,2,FALSE()))/VLOOKUP($K305,Lists!$N$2:$O$6,2,FALSE()),2))</f>
        <v/>
      </c>
      <c r="M305" s="104" t="str">
        <f aca="false">IF($B305="","",IF($AC305&lt;&gt;"",$AC305,IF($H305="Critical","P0",IF(NOT(ISNUMBER($L305)),"",IF($L305&gt;=Lists!$AM$2,"P0",IF($L305&gt;=Lists!$AM$3,"P1",IF($L305&gt;=Lists!$AM$4,"P2","P3")))))))</f>
        <v/>
      </c>
      <c r="N305" s="102"/>
      <c r="O305" s="101"/>
      <c r="P305" s="102"/>
      <c r="Q305" s="105"/>
      <c r="R305" s="106" t="str">
        <f aca="true">IF($Q305="","", TODAY()-$Q305)</f>
        <v/>
      </c>
      <c r="S305" s="102"/>
      <c r="T305" s="105"/>
      <c r="U305" s="105"/>
      <c r="V305" s="101"/>
      <c r="W305" s="101"/>
      <c r="X305" s="101"/>
      <c r="Y305" s="96"/>
      <c r="Z305" s="96"/>
      <c r="AA305" s="96"/>
      <c r="AC305" s="102"/>
      <c r="AD305" s="107" t="str">
        <f aca="false">IF($B305="","",IF(ISNUMBER($T305),$T305,IF(OR(NOT(ISNUMBER($Q305)),$S305=""),"",IFERROR(IF(ISNUMBER(INDEX(Lists!$AJ$2:$AJ$7,MATCH($S305,Lists!$AI$2:$AI$7,0))),$Q305+INDEX(Lists!$AJ$2:$AJ$7,MATCH($S305,Lists!$AI$2:$AI$7,0)),""),""))))</f>
        <v/>
      </c>
      <c r="AE305" s="104" t="str">
        <f aca="true">IF($B305="","",IF(AND(ISNUMBER($AD305),N($AD305)&lt;TODAY(),$N305&lt;&gt;"Done",$N305&lt;&gt;"Won't Fix",$N305&lt;&gt;"Duplicate"),"Yes","No"))</f>
        <v/>
      </c>
      <c r="AF305" s="101"/>
      <c r="AG305" s="108" t="str">
        <f aca="false">IF($AF305="","",IFERROR(VLOOKUP($AF305,'Application Portfolio'!$A$2:$B$1000,2,FALSE()),"Unknown App ID"))</f>
        <v/>
      </c>
      <c r="AH305" s="108" t="str">
        <f aca="false">IF(OR($B305="",$AF305=""),"",IFERROR(VLOOKUP($AF305,'Application Portfolio'!$A$2:$AB$1000,28,FALSE()),""))</f>
        <v/>
      </c>
    </row>
    <row r="306" customFormat="false" ht="15.75" hidden="false" customHeight="true" outlineLevel="0" collapsed="false">
      <c r="A306" s="100"/>
      <c r="B306" s="101"/>
      <c r="C306" s="101"/>
      <c r="D306" s="101"/>
      <c r="E306" s="101"/>
      <c r="F306" s="102"/>
      <c r="G306" s="102"/>
      <c r="H306" s="102"/>
      <c r="I306" s="102"/>
      <c r="J306" s="102"/>
      <c r="K306" s="102"/>
      <c r="L306" s="103" t="str">
        <f aca="false">IF(OR($B306="", $H306="", $I306="", $J306="", $K306=""),"",ROUND((VLOOKUP($H306,Lists!$E$2:$F$5,2,FALSE())*VLOOKUP($I306,Lists!$H$2:$I$4,2,FALSE())*VLOOKUP($J306,Lists!$K$2:$L$4,2,FALSE()))/VLOOKUP($K306,Lists!$N$2:$O$6,2,FALSE()),2))</f>
        <v/>
      </c>
      <c r="M306" s="104" t="str">
        <f aca="false">IF($B306="","",IF($AC306&lt;&gt;"",$AC306,IF($H306="Critical","P0",IF(NOT(ISNUMBER($L306)),"",IF($L306&gt;=Lists!$AM$2,"P0",IF($L306&gt;=Lists!$AM$3,"P1",IF($L306&gt;=Lists!$AM$4,"P2","P3")))))))</f>
        <v/>
      </c>
      <c r="N306" s="102"/>
      <c r="O306" s="101"/>
      <c r="P306" s="102"/>
      <c r="Q306" s="105"/>
      <c r="R306" s="106" t="str">
        <f aca="true">IF($Q306="","", TODAY()-$Q306)</f>
        <v/>
      </c>
      <c r="S306" s="102"/>
      <c r="T306" s="105"/>
      <c r="U306" s="105"/>
      <c r="V306" s="101"/>
      <c r="W306" s="101"/>
      <c r="X306" s="101"/>
      <c r="Y306" s="96"/>
      <c r="Z306" s="96"/>
      <c r="AA306" s="96"/>
      <c r="AC306" s="102"/>
      <c r="AD306" s="107" t="str">
        <f aca="false">IF($B306="","",IF(ISNUMBER($T306),$T306,IF(OR(NOT(ISNUMBER($Q306)),$S306=""),"",IFERROR(IF(ISNUMBER(INDEX(Lists!$AJ$2:$AJ$7,MATCH($S306,Lists!$AI$2:$AI$7,0))),$Q306+INDEX(Lists!$AJ$2:$AJ$7,MATCH($S306,Lists!$AI$2:$AI$7,0)),""),""))))</f>
        <v/>
      </c>
      <c r="AE306" s="104" t="str">
        <f aca="true">IF($B306="","",IF(AND(ISNUMBER($AD306),N($AD306)&lt;TODAY(),$N306&lt;&gt;"Done",$N306&lt;&gt;"Won't Fix",$N306&lt;&gt;"Duplicate"),"Yes","No"))</f>
        <v/>
      </c>
      <c r="AF306" s="101"/>
      <c r="AG306" s="108" t="str">
        <f aca="false">IF($AF306="","",IFERROR(VLOOKUP($AF306,'Application Portfolio'!$A$2:$B$1000,2,FALSE()),"Unknown App ID"))</f>
        <v/>
      </c>
      <c r="AH306" s="108" t="str">
        <f aca="false">IF(OR($B306="",$AF306=""),"",IFERROR(VLOOKUP($AF306,'Application Portfolio'!$A$2:$AB$1000,28,FALSE()),""))</f>
        <v/>
      </c>
    </row>
    <row r="307" customFormat="false" ht="15.75" hidden="false" customHeight="true" outlineLevel="0" collapsed="false">
      <c r="A307" s="100"/>
      <c r="B307" s="101"/>
      <c r="C307" s="101"/>
      <c r="D307" s="101"/>
      <c r="E307" s="101"/>
      <c r="F307" s="102"/>
      <c r="G307" s="102"/>
      <c r="H307" s="102"/>
      <c r="I307" s="102"/>
      <c r="J307" s="102"/>
      <c r="K307" s="102"/>
      <c r="L307" s="103" t="str">
        <f aca="false">IF(OR($B307="", $H307="", $I307="", $J307="", $K307=""),"",ROUND((VLOOKUP($H307,Lists!$E$2:$F$5,2,FALSE())*VLOOKUP($I307,Lists!$H$2:$I$4,2,FALSE())*VLOOKUP($J307,Lists!$K$2:$L$4,2,FALSE()))/VLOOKUP($K307,Lists!$N$2:$O$6,2,FALSE()),2))</f>
        <v/>
      </c>
      <c r="M307" s="104" t="str">
        <f aca="false">IF($B307="","",IF($AC307&lt;&gt;"",$AC307,IF($H307="Critical","P0",IF(NOT(ISNUMBER($L307)),"",IF($L307&gt;=Lists!$AM$2,"P0",IF($L307&gt;=Lists!$AM$3,"P1",IF($L307&gt;=Lists!$AM$4,"P2","P3")))))))</f>
        <v/>
      </c>
      <c r="N307" s="102"/>
      <c r="O307" s="101"/>
      <c r="P307" s="102"/>
      <c r="Q307" s="105"/>
      <c r="R307" s="106" t="str">
        <f aca="true">IF($Q307="","", TODAY()-$Q307)</f>
        <v/>
      </c>
      <c r="S307" s="102"/>
      <c r="T307" s="105"/>
      <c r="U307" s="105"/>
      <c r="V307" s="101"/>
      <c r="W307" s="101"/>
      <c r="X307" s="101"/>
      <c r="Y307" s="96"/>
      <c r="Z307" s="96"/>
      <c r="AA307" s="96"/>
      <c r="AC307" s="102"/>
      <c r="AD307" s="107" t="str">
        <f aca="false">IF($B307="","",IF(ISNUMBER($T307),$T307,IF(OR(NOT(ISNUMBER($Q307)),$S307=""),"",IFERROR(IF(ISNUMBER(INDEX(Lists!$AJ$2:$AJ$7,MATCH($S307,Lists!$AI$2:$AI$7,0))),$Q307+INDEX(Lists!$AJ$2:$AJ$7,MATCH($S307,Lists!$AI$2:$AI$7,0)),""),""))))</f>
        <v/>
      </c>
      <c r="AE307" s="104" t="str">
        <f aca="true">IF($B307="","",IF(AND(ISNUMBER($AD307),N($AD307)&lt;TODAY(),$N307&lt;&gt;"Done",$N307&lt;&gt;"Won't Fix",$N307&lt;&gt;"Duplicate"),"Yes","No"))</f>
        <v/>
      </c>
      <c r="AF307" s="101"/>
      <c r="AG307" s="108" t="str">
        <f aca="false">IF($AF307="","",IFERROR(VLOOKUP($AF307,'Application Portfolio'!$A$2:$B$1000,2,FALSE()),"Unknown App ID"))</f>
        <v/>
      </c>
      <c r="AH307" s="108" t="str">
        <f aca="false">IF(OR($B307="",$AF307=""),"",IFERROR(VLOOKUP($AF307,'Application Portfolio'!$A$2:$AB$1000,28,FALSE()),""))</f>
        <v/>
      </c>
    </row>
    <row r="308" customFormat="false" ht="15.75" hidden="false" customHeight="true" outlineLevel="0" collapsed="false">
      <c r="A308" s="100"/>
      <c r="B308" s="101"/>
      <c r="C308" s="101"/>
      <c r="D308" s="101"/>
      <c r="E308" s="101"/>
      <c r="F308" s="102"/>
      <c r="G308" s="102"/>
      <c r="H308" s="102"/>
      <c r="I308" s="102"/>
      <c r="J308" s="102"/>
      <c r="K308" s="102"/>
      <c r="L308" s="103" t="str">
        <f aca="false">IF(OR($B308="", $H308="", $I308="", $J308="", $K308=""),"",ROUND((VLOOKUP($H308,Lists!$E$2:$F$5,2,FALSE())*VLOOKUP($I308,Lists!$H$2:$I$4,2,FALSE())*VLOOKUP($J308,Lists!$K$2:$L$4,2,FALSE()))/VLOOKUP($K308,Lists!$N$2:$O$6,2,FALSE()),2))</f>
        <v/>
      </c>
      <c r="M308" s="104" t="str">
        <f aca="false">IF($B308="","",IF($AC308&lt;&gt;"",$AC308,IF($H308="Critical","P0",IF(NOT(ISNUMBER($L308)),"",IF($L308&gt;=Lists!$AM$2,"P0",IF($L308&gt;=Lists!$AM$3,"P1",IF($L308&gt;=Lists!$AM$4,"P2","P3")))))))</f>
        <v/>
      </c>
      <c r="N308" s="102"/>
      <c r="O308" s="101"/>
      <c r="P308" s="102"/>
      <c r="Q308" s="105"/>
      <c r="R308" s="106" t="str">
        <f aca="true">IF($Q308="","", TODAY()-$Q308)</f>
        <v/>
      </c>
      <c r="S308" s="102"/>
      <c r="T308" s="105"/>
      <c r="U308" s="105"/>
      <c r="V308" s="101"/>
      <c r="W308" s="101"/>
      <c r="X308" s="101"/>
      <c r="Y308" s="96"/>
      <c r="Z308" s="96"/>
      <c r="AA308" s="96"/>
      <c r="AC308" s="102"/>
      <c r="AD308" s="107" t="str">
        <f aca="false">IF($B308="","",IF(ISNUMBER($T308),$T308,IF(OR(NOT(ISNUMBER($Q308)),$S308=""),"",IFERROR(IF(ISNUMBER(INDEX(Lists!$AJ$2:$AJ$7,MATCH($S308,Lists!$AI$2:$AI$7,0))),$Q308+INDEX(Lists!$AJ$2:$AJ$7,MATCH($S308,Lists!$AI$2:$AI$7,0)),""),""))))</f>
        <v/>
      </c>
      <c r="AE308" s="104" t="str">
        <f aca="true">IF($B308="","",IF(AND(ISNUMBER($AD308),N($AD308)&lt;TODAY(),$N308&lt;&gt;"Done",$N308&lt;&gt;"Won't Fix",$N308&lt;&gt;"Duplicate"),"Yes","No"))</f>
        <v/>
      </c>
      <c r="AF308" s="101"/>
      <c r="AG308" s="108" t="str">
        <f aca="false">IF($AF308="","",IFERROR(VLOOKUP($AF308,'Application Portfolio'!$A$2:$B$1000,2,FALSE()),"Unknown App ID"))</f>
        <v/>
      </c>
      <c r="AH308" s="108" t="str">
        <f aca="false">IF(OR($B308="",$AF308=""),"",IFERROR(VLOOKUP($AF308,'Application Portfolio'!$A$2:$AB$1000,28,FALSE()),""))</f>
        <v/>
      </c>
    </row>
    <row r="309" customFormat="false" ht="15.75" hidden="false" customHeight="true" outlineLevel="0" collapsed="false">
      <c r="A309" s="100"/>
      <c r="B309" s="101"/>
      <c r="C309" s="101"/>
      <c r="D309" s="101"/>
      <c r="E309" s="101"/>
      <c r="F309" s="102"/>
      <c r="G309" s="102"/>
      <c r="H309" s="102"/>
      <c r="I309" s="102"/>
      <c r="J309" s="102"/>
      <c r="K309" s="102"/>
      <c r="L309" s="103" t="str">
        <f aca="false">IF(OR($B309="", $H309="", $I309="", $J309="", $K309=""),"",ROUND((VLOOKUP($H309,Lists!$E$2:$F$5,2,FALSE())*VLOOKUP($I309,Lists!$H$2:$I$4,2,FALSE())*VLOOKUP($J309,Lists!$K$2:$L$4,2,FALSE()))/VLOOKUP($K309,Lists!$N$2:$O$6,2,FALSE()),2))</f>
        <v/>
      </c>
      <c r="M309" s="104" t="str">
        <f aca="false">IF($B309="","",IF($AC309&lt;&gt;"",$AC309,IF($H309="Critical","P0",IF(NOT(ISNUMBER($L309)),"",IF($L309&gt;=Lists!$AM$2,"P0",IF($L309&gt;=Lists!$AM$3,"P1",IF($L309&gt;=Lists!$AM$4,"P2","P3")))))))</f>
        <v/>
      </c>
      <c r="N309" s="102"/>
      <c r="O309" s="101"/>
      <c r="P309" s="102"/>
      <c r="Q309" s="105"/>
      <c r="R309" s="106" t="str">
        <f aca="true">IF($Q309="","", TODAY()-$Q309)</f>
        <v/>
      </c>
      <c r="S309" s="102"/>
      <c r="T309" s="105"/>
      <c r="U309" s="105"/>
      <c r="V309" s="101"/>
      <c r="W309" s="101"/>
      <c r="X309" s="101"/>
      <c r="Y309" s="96"/>
      <c r="Z309" s="96"/>
      <c r="AA309" s="96"/>
      <c r="AC309" s="102"/>
      <c r="AD309" s="107" t="str">
        <f aca="false">IF($B309="","",IF(ISNUMBER($T309),$T309,IF(OR(NOT(ISNUMBER($Q309)),$S309=""),"",IFERROR(IF(ISNUMBER(INDEX(Lists!$AJ$2:$AJ$7,MATCH($S309,Lists!$AI$2:$AI$7,0))),$Q309+INDEX(Lists!$AJ$2:$AJ$7,MATCH($S309,Lists!$AI$2:$AI$7,0)),""),""))))</f>
        <v/>
      </c>
      <c r="AE309" s="104" t="str">
        <f aca="true">IF($B309="","",IF(AND(ISNUMBER($AD309),N($AD309)&lt;TODAY(),$N309&lt;&gt;"Done",$N309&lt;&gt;"Won't Fix",$N309&lt;&gt;"Duplicate"),"Yes","No"))</f>
        <v/>
      </c>
      <c r="AF309" s="101"/>
      <c r="AG309" s="108" t="str">
        <f aca="false">IF($AF309="","",IFERROR(VLOOKUP($AF309,'Application Portfolio'!$A$2:$B$1000,2,FALSE()),"Unknown App ID"))</f>
        <v/>
      </c>
      <c r="AH309" s="108" t="str">
        <f aca="false">IF(OR($B309="",$AF309=""),"",IFERROR(VLOOKUP($AF309,'Application Portfolio'!$A$2:$AB$1000,28,FALSE()),""))</f>
        <v/>
      </c>
    </row>
    <row r="310" customFormat="false" ht="15.75" hidden="false" customHeight="true" outlineLevel="0" collapsed="false">
      <c r="A310" s="100"/>
      <c r="B310" s="101"/>
      <c r="C310" s="101"/>
      <c r="D310" s="101"/>
      <c r="E310" s="101"/>
      <c r="F310" s="102"/>
      <c r="G310" s="102"/>
      <c r="H310" s="102"/>
      <c r="I310" s="102"/>
      <c r="J310" s="102"/>
      <c r="K310" s="102"/>
      <c r="L310" s="103" t="str">
        <f aca="false">IF(OR($B310="", $H310="", $I310="", $J310="", $K310=""),"",ROUND((VLOOKUP($H310,Lists!$E$2:$F$5,2,FALSE())*VLOOKUP($I310,Lists!$H$2:$I$4,2,FALSE())*VLOOKUP($J310,Lists!$K$2:$L$4,2,FALSE()))/VLOOKUP($K310,Lists!$N$2:$O$6,2,FALSE()),2))</f>
        <v/>
      </c>
      <c r="M310" s="104" t="str">
        <f aca="false">IF($B310="","",IF($AC310&lt;&gt;"",$AC310,IF($H310="Critical","P0",IF(NOT(ISNUMBER($L310)),"",IF($L310&gt;=Lists!$AM$2,"P0",IF($L310&gt;=Lists!$AM$3,"P1",IF($L310&gt;=Lists!$AM$4,"P2","P3")))))))</f>
        <v/>
      </c>
      <c r="N310" s="102"/>
      <c r="O310" s="101"/>
      <c r="P310" s="102"/>
      <c r="Q310" s="105"/>
      <c r="R310" s="106" t="str">
        <f aca="true">IF($Q310="","", TODAY()-$Q310)</f>
        <v/>
      </c>
      <c r="S310" s="102"/>
      <c r="T310" s="105"/>
      <c r="U310" s="105"/>
      <c r="V310" s="101"/>
      <c r="W310" s="101"/>
      <c r="X310" s="101"/>
      <c r="Y310" s="96"/>
      <c r="Z310" s="96"/>
      <c r="AA310" s="96"/>
      <c r="AC310" s="102"/>
      <c r="AD310" s="107" t="str">
        <f aca="false">IF($B310="","",IF(ISNUMBER($T310),$T310,IF(OR(NOT(ISNUMBER($Q310)),$S310=""),"",IFERROR(IF(ISNUMBER(INDEX(Lists!$AJ$2:$AJ$7,MATCH($S310,Lists!$AI$2:$AI$7,0))),$Q310+INDEX(Lists!$AJ$2:$AJ$7,MATCH($S310,Lists!$AI$2:$AI$7,0)),""),""))))</f>
        <v/>
      </c>
      <c r="AE310" s="104" t="str">
        <f aca="true">IF($B310="","",IF(AND(ISNUMBER($AD310),N($AD310)&lt;TODAY(),$N310&lt;&gt;"Done",$N310&lt;&gt;"Won't Fix",$N310&lt;&gt;"Duplicate"),"Yes","No"))</f>
        <v/>
      </c>
      <c r="AF310" s="101"/>
      <c r="AG310" s="108" t="str">
        <f aca="false">IF($AF310="","",IFERROR(VLOOKUP($AF310,'Application Portfolio'!$A$2:$B$1000,2,FALSE()),"Unknown App ID"))</f>
        <v/>
      </c>
      <c r="AH310" s="108" t="str">
        <f aca="false">IF(OR($B310="",$AF310=""),"",IFERROR(VLOOKUP($AF310,'Application Portfolio'!$A$2:$AB$1000,28,FALSE()),""))</f>
        <v/>
      </c>
    </row>
    <row r="311" customFormat="false" ht="15.75" hidden="false" customHeight="true" outlineLevel="0" collapsed="false">
      <c r="A311" s="100"/>
      <c r="B311" s="101"/>
      <c r="C311" s="101"/>
      <c r="D311" s="101"/>
      <c r="E311" s="101"/>
      <c r="F311" s="102"/>
      <c r="G311" s="102"/>
      <c r="H311" s="102"/>
      <c r="I311" s="102"/>
      <c r="J311" s="102"/>
      <c r="K311" s="102"/>
      <c r="L311" s="103" t="str">
        <f aca="false">IF(OR($B311="", $H311="", $I311="", $J311="", $K311=""),"",ROUND((VLOOKUP($H311,Lists!$E$2:$F$5,2,FALSE())*VLOOKUP($I311,Lists!$H$2:$I$4,2,FALSE())*VLOOKUP($J311,Lists!$K$2:$L$4,2,FALSE()))/VLOOKUP($K311,Lists!$N$2:$O$6,2,FALSE()),2))</f>
        <v/>
      </c>
      <c r="M311" s="104" t="str">
        <f aca="false">IF($B311="","",IF($AC311&lt;&gt;"",$AC311,IF($H311="Critical","P0",IF(NOT(ISNUMBER($L311)),"",IF($L311&gt;=Lists!$AM$2,"P0",IF($L311&gt;=Lists!$AM$3,"P1",IF($L311&gt;=Lists!$AM$4,"P2","P3")))))))</f>
        <v/>
      </c>
      <c r="N311" s="102"/>
      <c r="O311" s="101"/>
      <c r="P311" s="102"/>
      <c r="Q311" s="105"/>
      <c r="R311" s="106" t="str">
        <f aca="true">IF($Q311="","", TODAY()-$Q311)</f>
        <v/>
      </c>
      <c r="S311" s="102"/>
      <c r="T311" s="105"/>
      <c r="U311" s="105"/>
      <c r="V311" s="101"/>
      <c r="W311" s="101"/>
      <c r="X311" s="101"/>
      <c r="Y311" s="96"/>
      <c r="Z311" s="96"/>
      <c r="AA311" s="96"/>
      <c r="AC311" s="102"/>
      <c r="AD311" s="107" t="str">
        <f aca="false">IF($B311="","",IF(ISNUMBER($T311),$T311,IF(OR(NOT(ISNUMBER($Q311)),$S311=""),"",IFERROR(IF(ISNUMBER(INDEX(Lists!$AJ$2:$AJ$7,MATCH($S311,Lists!$AI$2:$AI$7,0))),$Q311+INDEX(Lists!$AJ$2:$AJ$7,MATCH($S311,Lists!$AI$2:$AI$7,0)),""),""))))</f>
        <v/>
      </c>
      <c r="AE311" s="104" t="str">
        <f aca="true">IF($B311="","",IF(AND(ISNUMBER($AD311),N($AD311)&lt;TODAY(),$N311&lt;&gt;"Done",$N311&lt;&gt;"Won't Fix",$N311&lt;&gt;"Duplicate"),"Yes","No"))</f>
        <v/>
      </c>
      <c r="AF311" s="101"/>
      <c r="AG311" s="108" t="str">
        <f aca="false">IF($AF311="","",IFERROR(VLOOKUP($AF311,'Application Portfolio'!$A$2:$B$1000,2,FALSE()),"Unknown App ID"))</f>
        <v/>
      </c>
      <c r="AH311" s="108" t="str">
        <f aca="false">IF(OR($B311="",$AF311=""),"",IFERROR(VLOOKUP($AF311,'Application Portfolio'!$A$2:$AB$1000,28,FALSE()),""))</f>
        <v/>
      </c>
    </row>
    <row r="312" customFormat="false" ht="15.75" hidden="false" customHeight="true" outlineLevel="0" collapsed="false">
      <c r="A312" s="100"/>
      <c r="B312" s="101"/>
      <c r="C312" s="101"/>
      <c r="D312" s="101"/>
      <c r="E312" s="101"/>
      <c r="F312" s="102"/>
      <c r="G312" s="102"/>
      <c r="H312" s="102"/>
      <c r="I312" s="102"/>
      <c r="J312" s="102"/>
      <c r="K312" s="102"/>
      <c r="L312" s="103" t="str">
        <f aca="false">IF(OR($B312="", $H312="", $I312="", $J312="", $K312=""),"",ROUND((VLOOKUP($H312,Lists!$E$2:$F$5,2,FALSE())*VLOOKUP($I312,Lists!$H$2:$I$4,2,FALSE())*VLOOKUP($J312,Lists!$K$2:$L$4,2,FALSE()))/VLOOKUP($K312,Lists!$N$2:$O$6,2,FALSE()),2))</f>
        <v/>
      </c>
      <c r="M312" s="104" t="str">
        <f aca="false">IF($B312="","",IF($AC312&lt;&gt;"",$AC312,IF($H312="Critical","P0",IF(NOT(ISNUMBER($L312)),"",IF($L312&gt;=Lists!$AM$2,"P0",IF($L312&gt;=Lists!$AM$3,"P1",IF($L312&gt;=Lists!$AM$4,"P2","P3")))))))</f>
        <v/>
      </c>
      <c r="N312" s="102"/>
      <c r="O312" s="101"/>
      <c r="P312" s="102"/>
      <c r="Q312" s="105"/>
      <c r="R312" s="106" t="str">
        <f aca="true">IF($Q312="","", TODAY()-$Q312)</f>
        <v/>
      </c>
      <c r="S312" s="102"/>
      <c r="T312" s="105"/>
      <c r="U312" s="105"/>
      <c r="V312" s="101"/>
      <c r="W312" s="101"/>
      <c r="X312" s="101"/>
      <c r="Y312" s="96"/>
      <c r="Z312" s="96"/>
      <c r="AA312" s="96"/>
      <c r="AC312" s="102"/>
      <c r="AD312" s="107" t="str">
        <f aca="false">IF($B312="","",IF(ISNUMBER($T312),$T312,IF(OR(NOT(ISNUMBER($Q312)),$S312=""),"",IFERROR(IF(ISNUMBER(INDEX(Lists!$AJ$2:$AJ$7,MATCH($S312,Lists!$AI$2:$AI$7,0))),$Q312+INDEX(Lists!$AJ$2:$AJ$7,MATCH($S312,Lists!$AI$2:$AI$7,0)),""),""))))</f>
        <v/>
      </c>
      <c r="AE312" s="104" t="str">
        <f aca="true">IF($B312="","",IF(AND(ISNUMBER($AD312),N($AD312)&lt;TODAY(),$N312&lt;&gt;"Done",$N312&lt;&gt;"Won't Fix",$N312&lt;&gt;"Duplicate"),"Yes","No"))</f>
        <v/>
      </c>
      <c r="AF312" s="101"/>
      <c r="AG312" s="108" t="str">
        <f aca="false">IF($AF312="","",IFERROR(VLOOKUP($AF312,'Application Portfolio'!$A$2:$B$1000,2,FALSE()),"Unknown App ID"))</f>
        <v/>
      </c>
      <c r="AH312" s="108" t="str">
        <f aca="false">IF(OR($B312="",$AF312=""),"",IFERROR(VLOOKUP($AF312,'Application Portfolio'!$A$2:$AB$1000,28,FALSE()),""))</f>
        <v/>
      </c>
    </row>
    <row r="313" customFormat="false" ht="15.75" hidden="false" customHeight="true" outlineLevel="0" collapsed="false">
      <c r="A313" s="100"/>
      <c r="B313" s="101"/>
      <c r="C313" s="101"/>
      <c r="D313" s="101"/>
      <c r="E313" s="101"/>
      <c r="F313" s="102"/>
      <c r="G313" s="102"/>
      <c r="H313" s="102"/>
      <c r="I313" s="102"/>
      <c r="J313" s="102"/>
      <c r="K313" s="102"/>
      <c r="L313" s="103" t="str">
        <f aca="false">IF(OR($B313="", $H313="", $I313="", $J313="", $K313=""),"",ROUND((VLOOKUP($H313,Lists!$E$2:$F$5,2,FALSE())*VLOOKUP($I313,Lists!$H$2:$I$4,2,FALSE())*VLOOKUP($J313,Lists!$K$2:$L$4,2,FALSE()))/VLOOKUP($K313,Lists!$N$2:$O$6,2,FALSE()),2))</f>
        <v/>
      </c>
      <c r="M313" s="104" t="str">
        <f aca="false">IF($B313="","",IF($AC313&lt;&gt;"",$AC313,IF($H313="Critical","P0",IF(NOT(ISNUMBER($L313)),"",IF($L313&gt;=Lists!$AM$2,"P0",IF($L313&gt;=Lists!$AM$3,"P1",IF($L313&gt;=Lists!$AM$4,"P2","P3")))))))</f>
        <v/>
      </c>
      <c r="N313" s="102"/>
      <c r="O313" s="101"/>
      <c r="P313" s="102"/>
      <c r="Q313" s="105"/>
      <c r="R313" s="106" t="str">
        <f aca="true">IF($Q313="","", TODAY()-$Q313)</f>
        <v/>
      </c>
      <c r="S313" s="102"/>
      <c r="T313" s="105"/>
      <c r="U313" s="105"/>
      <c r="V313" s="101"/>
      <c r="W313" s="101"/>
      <c r="X313" s="101"/>
      <c r="Y313" s="96"/>
      <c r="Z313" s="96"/>
      <c r="AA313" s="96"/>
      <c r="AC313" s="102"/>
      <c r="AD313" s="107" t="str">
        <f aca="false">IF($B313="","",IF(ISNUMBER($T313),$T313,IF(OR(NOT(ISNUMBER($Q313)),$S313=""),"",IFERROR(IF(ISNUMBER(INDEX(Lists!$AJ$2:$AJ$7,MATCH($S313,Lists!$AI$2:$AI$7,0))),$Q313+INDEX(Lists!$AJ$2:$AJ$7,MATCH($S313,Lists!$AI$2:$AI$7,0)),""),""))))</f>
        <v/>
      </c>
      <c r="AE313" s="104" t="str">
        <f aca="true">IF($B313="","",IF(AND(ISNUMBER($AD313),N($AD313)&lt;TODAY(),$N313&lt;&gt;"Done",$N313&lt;&gt;"Won't Fix",$N313&lt;&gt;"Duplicate"),"Yes","No"))</f>
        <v/>
      </c>
      <c r="AF313" s="101"/>
      <c r="AG313" s="108" t="str">
        <f aca="false">IF($AF313="","",IFERROR(VLOOKUP($AF313,'Application Portfolio'!$A$2:$B$1000,2,FALSE()),"Unknown App ID"))</f>
        <v/>
      </c>
      <c r="AH313" s="108" t="str">
        <f aca="false">IF(OR($B313="",$AF313=""),"",IFERROR(VLOOKUP($AF313,'Application Portfolio'!$A$2:$AB$1000,28,FALSE()),""))</f>
        <v/>
      </c>
    </row>
    <row r="314" customFormat="false" ht="15.75" hidden="false" customHeight="true" outlineLevel="0" collapsed="false">
      <c r="A314" s="100"/>
      <c r="B314" s="101"/>
      <c r="C314" s="101"/>
      <c r="D314" s="101"/>
      <c r="E314" s="101"/>
      <c r="F314" s="102"/>
      <c r="G314" s="102"/>
      <c r="H314" s="102"/>
      <c r="I314" s="102"/>
      <c r="J314" s="102"/>
      <c r="K314" s="102"/>
      <c r="L314" s="103" t="str">
        <f aca="false">IF(OR($B314="", $H314="", $I314="", $J314="", $K314=""),"",ROUND((VLOOKUP($H314,Lists!$E$2:$F$5,2,FALSE())*VLOOKUP($I314,Lists!$H$2:$I$4,2,FALSE())*VLOOKUP($J314,Lists!$K$2:$L$4,2,FALSE()))/VLOOKUP($K314,Lists!$N$2:$O$6,2,FALSE()),2))</f>
        <v/>
      </c>
      <c r="M314" s="104" t="str">
        <f aca="false">IF($B314="","",IF($AC314&lt;&gt;"",$AC314,IF($H314="Critical","P0",IF(NOT(ISNUMBER($L314)),"",IF($L314&gt;=Lists!$AM$2,"P0",IF($L314&gt;=Lists!$AM$3,"P1",IF($L314&gt;=Lists!$AM$4,"P2","P3")))))))</f>
        <v/>
      </c>
      <c r="N314" s="102"/>
      <c r="O314" s="101"/>
      <c r="P314" s="102"/>
      <c r="Q314" s="105"/>
      <c r="R314" s="106" t="str">
        <f aca="true">IF($Q314="","", TODAY()-$Q314)</f>
        <v/>
      </c>
      <c r="S314" s="102"/>
      <c r="T314" s="105"/>
      <c r="U314" s="105"/>
      <c r="V314" s="101"/>
      <c r="W314" s="101"/>
      <c r="X314" s="101"/>
      <c r="Y314" s="96"/>
      <c r="Z314" s="96"/>
      <c r="AA314" s="96"/>
      <c r="AC314" s="102"/>
      <c r="AD314" s="107" t="str">
        <f aca="false">IF($B314="","",IF(ISNUMBER($T314),$T314,IF(OR(NOT(ISNUMBER($Q314)),$S314=""),"",IFERROR(IF(ISNUMBER(INDEX(Lists!$AJ$2:$AJ$7,MATCH($S314,Lists!$AI$2:$AI$7,0))),$Q314+INDEX(Lists!$AJ$2:$AJ$7,MATCH($S314,Lists!$AI$2:$AI$7,0)),""),""))))</f>
        <v/>
      </c>
      <c r="AE314" s="104" t="str">
        <f aca="true">IF($B314="","",IF(AND(ISNUMBER($AD314),N($AD314)&lt;TODAY(),$N314&lt;&gt;"Done",$N314&lt;&gt;"Won't Fix",$N314&lt;&gt;"Duplicate"),"Yes","No"))</f>
        <v/>
      </c>
      <c r="AF314" s="101"/>
      <c r="AG314" s="108" t="str">
        <f aca="false">IF($AF314="","",IFERROR(VLOOKUP($AF314,'Application Portfolio'!$A$2:$B$1000,2,FALSE()),"Unknown App ID"))</f>
        <v/>
      </c>
      <c r="AH314" s="108" t="str">
        <f aca="false">IF(OR($B314="",$AF314=""),"",IFERROR(VLOOKUP($AF314,'Application Portfolio'!$A$2:$AB$1000,28,FALSE()),""))</f>
        <v/>
      </c>
    </row>
    <row r="315" customFormat="false" ht="15.75" hidden="false" customHeight="true" outlineLevel="0" collapsed="false">
      <c r="A315" s="100"/>
      <c r="B315" s="101"/>
      <c r="C315" s="101"/>
      <c r="D315" s="101"/>
      <c r="E315" s="101"/>
      <c r="F315" s="102"/>
      <c r="G315" s="102"/>
      <c r="H315" s="102"/>
      <c r="I315" s="102"/>
      <c r="J315" s="102"/>
      <c r="K315" s="102"/>
      <c r="L315" s="103" t="str">
        <f aca="false">IF(OR($B315="", $H315="", $I315="", $J315="", $K315=""),"",ROUND((VLOOKUP($H315,Lists!$E$2:$F$5,2,FALSE())*VLOOKUP($I315,Lists!$H$2:$I$4,2,FALSE())*VLOOKUP($J315,Lists!$K$2:$L$4,2,FALSE()))/VLOOKUP($K315,Lists!$N$2:$O$6,2,FALSE()),2))</f>
        <v/>
      </c>
      <c r="M315" s="104" t="str">
        <f aca="false">IF($B315="","",IF($AC315&lt;&gt;"",$AC315,IF($H315="Critical","P0",IF(NOT(ISNUMBER($L315)),"",IF($L315&gt;=Lists!$AM$2,"P0",IF($L315&gt;=Lists!$AM$3,"P1",IF($L315&gt;=Lists!$AM$4,"P2","P3")))))))</f>
        <v/>
      </c>
      <c r="N315" s="102"/>
      <c r="O315" s="101"/>
      <c r="P315" s="102"/>
      <c r="Q315" s="105"/>
      <c r="R315" s="106" t="str">
        <f aca="true">IF($Q315="","", TODAY()-$Q315)</f>
        <v/>
      </c>
      <c r="S315" s="102"/>
      <c r="T315" s="105"/>
      <c r="U315" s="105"/>
      <c r="V315" s="101"/>
      <c r="W315" s="101"/>
      <c r="X315" s="101"/>
      <c r="Y315" s="96"/>
      <c r="Z315" s="96"/>
      <c r="AA315" s="96"/>
      <c r="AC315" s="102"/>
      <c r="AD315" s="107" t="str">
        <f aca="false">IF($B315="","",IF(ISNUMBER($T315),$T315,IF(OR(NOT(ISNUMBER($Q315)),$S315=""),"",IFERROR(IF(ISNUMBER(INDEX(Lists!$AJ$2:$AJ$7,MATCH($S315,Lists!$AI$2:$AI$7,0))),$Q315+INDEX(Lists!$AJ$2:$AJ$7,MATCH($S315,Lists!$AI$2:$AI$7,0)),""),""))))</f>
        <v/>
      </c>
      <c r="AE315" s="104" t="str">
        <f aca="true">IF($B315="","",IF(AND(ISNUMBER($AD315),N($AD315)&lt;TODAY(),$N315&lt;&gt;"Done",$N315&lt;&gt;"Won't Fix",$N315&lt;&gt;"Duplicate"),"Yes","No"))</f>
        <v/>
      </c>
      <c r="AF315" s="101"/>
      <c r="AG315" s="108" t="str">
        <f aca="false">IF($AF315="","",IFERROR(VLOOKUP($AF315,'Application Portfolio'!$A$2:$B$1000,2,FALSE()),"Unknown App ID"))</f>
        <v/>
      </c>
      <c r="AH315" s="108" t="str">
        <f aca="false">IF(OR($B315="",$AF315=""),"",IFERROR(VLOOKUP($AF315,'Application Portfolio'!$A$2:$AB$1000,28,FALSE()),""))</f>
        <v/>
      </c>
    </row>
    <row r="316" customFormat="false" ht="15.75" hidden="false" customHeight="true" outlineLevel="0" collapsed="false">
      <c r="A316" s="100"/>
      <c r="B316" s="101"/>
      <c r="C316" s="101"/>
      <c r="D316" s="101"/>
      <c r="E316" s="101"/>
      <c r="F316" s="102"/>
      <c r="G316" s="102"/>
      <c r="H316" s="102"/>
      <c r="I316" s="102"/>
      <c r="J316" s="102"/>
      <c r="K316" s="102"/>
      <c r="L316" s="103" t="str">
        <f aca="false">IF(OR($B316="", $H316="", $I316="", $J316="", $K316=""),"",ROUND((VLOOKUP($H316,Lists!$E$2:$F$5,2,FALSE())*VLOOKUP($I316,Lists!$H$2:$I$4,2,FALSE())*VLOOKUP($J316,Lists!$K$2:$L$4,2,FALSE()))/VLOOKUP($K316,Lists!$N$2:$O$6,2,FALSE()),2))</f>
        <v/>
      </c>
      <c r="M316" s="104" t="str">
        <f aca="false">IF($B316="","",IF($AC316&lt;&gt;"",$AC316,IF($H316="Critical","P0",IF(NOT(ISNUMBER($L316)),"",IF($L316&gt;=Lists!$AM$2,"P0",IF($L316&gt;=Lists!$AM$3,"P1",IF($L316&gt;=Lists!$AM$4,"P2","P3")))))))</f>
        <v/>
      </c>
      <c r="N316" s="102"/>
      <c r="O316" s="101"/>
      <c r="P316" s="102"/>
      <c r="Q316" s="105"/>
      <c r="R316" s="106" t="str">
        <f aca="true">IF($Q316="","", TODAY()-$Q316)</f>
        <v/>
      </c>
      <c r="S316" s="102"/>
      <c r="T316" s="105"/>
      <c r="U316" s="105"/>
      <c r="V316" s="101"/>
      <c r="W316" s="101"/>
      <c r="X316" s="101"/>
      <c r="Y316" s="96"/>
      <c r="Z316" s="96"/>
      <c r="AA316" s="96"/>
      <c r="AC316" s="102"/>
      <c r="AD316" s="107" t="str">
        <f aca="false">IF($B316="","",IF(ISNUMBER($T316),$T316,IF(OR(NOT(ISNUMBER($Q316)),$S316=""),"",IFERROR(IF(ISNUMBER(INDEX(Lists!$AJ$2:$AJ$7,MATCH($S316,Lists!$AI$2:$AI$7,0))),$Q316+INDEX(Lists!$AJ$2:$AJ$7,MATCH($S316,Lists!$AI$2:$AI$7,0)),""),""))))</f>
        <v/>
      </c>
      <c r="AE316" s="104" t="str">
        <f aca="true">IF($B316="","",IF(AND(ISNUMBER($AD316),N($AD316)&lt;TODAY(),$N316&lt;&gt;"Done",$N316&lt;&gt;"Won't Fix",$N316&lt;&gt;"Duplicate"),"Yes","No"))</f>
        <v/>
      </c>
      <c r="AF316" s="101"/>
      <c r="AG316" s="108" t="str">
        <f aca="false">IF($AF316="","",IFERROR(VLOOKUP($AF316,'Application Portfolio'!$A$2:$B$1000,2,FALSE()),"Unknown App ID"))</f>
        <v/>
      </c>
      <c r="AH316" s="108" t="str">
        <f aca="false">IF(OR($B316="",$AF316=""),"",IFERROR(VLOOKUP($AF316,'Application Portfolio'!$A$2:$AB$1000,28,FALSE()),""))</f>
        <v/>
      </c>
    </row>
    <row r="317" customFormat="false" ht="15.75" hidden="false" customHeight="true" outlineLevel="0" collapsed="false">
      <c r="A317" s="100"/>
      <c r="B317" s="101"/>
      <c r="C317" s="101"/>
      <c r="D317" s="101"/>
      <c r="E317" s="101"/>
      <c r="F317" s="102"/>
      <c r="G317" s="102"/>
      <c r="H317" s="102"/>
      <c r="I317" s="102"/>
      <c r="J317" s="102"/>
      <c r="K317" s="102"/>
      <c r="L317" s="103" t="str">
        <f aca="false">IF(OR($B317="", $H317="", $I317="", $J317="", $K317=""),"",ROUND((VLOOKUP($H317,Lists!$E$2:$F$5,2,FALSE())*VLOOKUP($I317,Lists!$H$2:$I$4,2,FALSE())*VLOOKUP($J317,Lists!$K$2:$L$4,2,FALSE()))/VLOOKUP($K317,Lists!$N$2:$O$6,2,FALSE()),2))</f>
        <v/>
      </c>
      <c r="M317" s="104" t="str">
        <f aca="false">IF($B317="","",IF($AC317&lt;&gt;"",$AC317,IF($H317="Critical","P0",IF(NOT(ISNUMBER($L317)),"",IF($L317&gt;=Lists!$AM$2,"P0",IF($L317&gt;=Lists!$AM$3,"P1",IF($L317&gt;=Lists!$AM$4,"P2","P3")))))))</f>
        <v/>
      </c>
      <c r="N317" s="102"/>
      <c r="O317" s="101"/>
      <c r="P317" s="102"/>
      <c r="Q317" s="105"/>
      <c r="R317" s="106" t="str">
        <f aca="true">IF($Q317="","", TODAY()-$Q317)</f>
        <v/>
      </c>
      <c r="S317" s="102"/>
      <c r="T317" s="105"/>
      <c r="U317" s="105"/>
      <c r="V317" s="101"/>
      <c r="W317" s="101"/>
      <c r="X317" s="101"/>
      <c r="Y317" s="96"/>
      <c r="Z317" s="96"/>
      <c r="AA317" s="96"/>
      <c r="AC317" s="102"/>
      <c r="AD317" s="107" t="str">
        <f aca="false">IF($B317="","",IF(ISNUMBER($T317),$T317,IF(OR(NOT(ISNUMBER($Q317)),$S317=""),"",IFERROR(IF(ISNUMBER(INDEX(Lists!$AJ$2:$AJ$7,MATCH($S317,Lists!$AI$2:$AI$7,0))),$Q317+INDEX(Lists!$AJ$2:$AJ$7,MATCH($S317,Lists!$AI$2:$AI$7,0)),""),""))))</f>
        <v/>
      </c>
      <c r="AE317" s="104" t="str">
        <f aca="true">IF($B317="","",IF(AND(ISNUMBER($AD317),N($AD317)&lt;TODAY(),$N317&lt;&gt;"Done",$N317&lt;&gt;"Won't Fix",$N317&lt;&gt;"Duplicate"),"Yes","No"))</f>
        <v/>
      </c>
      <c r="AF317" s="101"/>
      <c r="AG317" s="108" t="str">
        <f aca="false">IF($AF317="","",IFERROR(VLOOKUP($AF317,'Application Portfolio'!$A$2:$B$1000,2,FALSE()),"Unknown App ID"))</f>
        <v/>
      </c>
      <c r="AH317" s="108" t="str">
        <f aca="false">IF(OR($B317="",$AF317=""),"",IFERROR(VLOOKUP($AF317,'Application Portfolio'!$A$2:$AB$1000,28,FALSE()),""))</f>
        <v/>
      </c>
    </row>
    <row r="318" customFormat="false" ht="15.75" hidden="false" customHeight="true" outlineLevel="0" collapsed="false">
      <c r="A318" s="100"/>
      <c r="B318" s="101"/>
      <c r="C318" s="101"/>
      <c r="D318" s="101"/>
      <c r="E318" s="101"/>
      <c r="F318" s="102"/>
      <c r="G318" s="102"/>
      <c r="H318" s="102"/>
      <c r="I318" s="102"/>
      <c r="J318" s="102"/>
      <c r="K318" s="102"/>
      <c r="L318" s="103" t="str">
        <f aca="false">IF(OR($B318="", $H318="", $I318="", $J318="", $K318=""),"",ROUND((VLOOKUP($H318,Lists!$E$2:$F$5,2,FALSE())*VLOOKUP($I318,Lists!$H$2:$I$4,2,FALSE())*VLOOKUP($J318,Lists!$K$2:$L$4,2,FALSE()))/VLOOKUP($K318,Lists!$N$2:$O$6,2,FALSE()),2))</f>
        <v/>
      </c>
      <c r="M318" s="104" t="str">
        <f aca="false">IF($B318="","",IF($AC318&lt;&gt;"",$AC318,IF($H318="Critical","P0",IF(NOT(ISNUMBER($L318)),"",IF($L318&gt;=Lists!$AM$2,"P0",IF($L318&gt;=Lists!$AM$3,"P1",IF($L318&gt;=Lists!$AM$4,"P2","P3")))))))</f>
        <v/>
      </c>
      <c r="N318" s="102"/>
      <c r="O318" s="101"/>
      <c r="P318" s="102"/>
      <c r="Q318" s="105"/>
      <c r="R318" s="106" t="str">
        <f aca="true">IF($Q318="","", TODAY()-$Q318)</f>
        <v/>
      </c>
      <c r="S318" s="102"/>
      <c r="T318" s="105"/>
      <c r="U318" s="105"/>
      <c r="V318" s="101"/>
      <c r="W318" s="101"/>
      <c r="X318" s="101"/>
      <c r="Y318" s="96"/>
      <c r="Z318" s="96"/>
      <c r="AA318" s="96"/>
      <c r="AC318" s="102"/>
      <c r="AD318" s="107" t="str">
        <f aca="false">IF($B318="","",IF(ISNUMBER($T318),$T318,IF(OR(NOT(ISNUMBER($Q318)),$S318=""),"",IFERROR(IF(ISNUMBER(INDEX(Lists!$AJ$2:$AJ$7,MATCH($S318,Lists!$AI$2:$AI$7,0))),$Q318+INDEX(Lists!$AJ$2:$AJ$7,MATCH($S318,Lists!$AI$2:$AI$7,0)),""),""))))</f>
        <v/>
      </c>
      <c r="AE318" s="104" t="str">
        <f aca="true">IF($B318="","",IF(AND(ISNUMBER($AD318),N($AD318)&lt;TODAY(),$N318&lt;&gt;"Done",$N318&lt;&gt;"Won't Fix",$N318&lt;&gt;"Duplicate"),"Yes","No"))</f>
        <v/>
      </c>
      <c r="AF318" s="101"/>
      <c r="AG318" s="108" t="str">
        <f aca="false">IF($AF318="","",IFERROR(VLOOKUP($AF318,'Application Portfolio'!$A$2:$B$1000,2,FALSE()),"Unknown App ID"))</f>
        <v/>
      </c>
      <c r="AH318" s="108" t="str">
        <f aca="false">IF(OR($B318="",$AF318=""),"",IFERROR(VLOOKUP($AF318,'Application Portfolio'!$A$2:$AB$1000,28,FALSE()),""))</f>
        <v/>
      </c>
    </row>
    <row r="319" customFormat="false" ht="15.75" hidden="false" customHeight="true" outlineLevel="0" collapsed="false">
      <c r="A319" s="100"/>
      <c r="B319" s="101"/>
      <c r="C319" s="101"/>
      <c r="D319" s="101"/>
      <c r="E319" s="101"/>
      <c r="F319" s="102"/>
      <c r="G319" s="102"/>
      <c r="H319" s="102"/>
      <c r="I319" s="102"/>
      <c r="J319" s="102"/>
      <c r="K319" s="102"/>
      <c r="L319" s="103" t="str">
        <f aca="false">IF(OR($B319="", $H319="", $I319="", $J319="", $K319=""),"",ROUND((VLOOKUP($H319,Lists!$E$2:$F$5,2,FALSE())*VLOOKUP($I319,Lists!$H$2:$I$4,2,FALSE())*VLOOKUP($J319,Lists!$K$2:$L$4,2,FALSE()))/VLOOKUP($K319,Lists!$N$2:$O$6,2,FALSE()),2))</f>
        <v/>
      </c>
      <c r="M319" s="104" t="str">
        <f aca="false">IF($B319="","",IF($AC319&lt;&gt;"",$AC319,IF($H319="Critical","P0",IF(NOT(ISNUMBER($L319)),"",IF($L319&gt;=Lists!$AM$2,"P0",IF($L319&gt;=Lists!$AM$3,"P1",IF($L319&gt;=Lists!$AM$4,"P2","P3")))))))</f>
        <v/>
      </c>
      <c r="N319" s="102"/>
      <c r="O319" s="101"/>
      <c r="P319" s="102"/>
      <c r="Q319" s="105"/>
      <c r="R319" s="106" t="str">
        <f aca="true">IF($Q319="","", TODAY()-$Q319)</f>
        <v/>
      </c>
      <c r="S319" s="102"/>
      <c r="T319" s="105"/>
      <c r="U319" s="105"/>
      <c r="V319" s="101"/>
      <c r="W319" s="101"/>
      <c r="X319" s="101"/>
      <c r="Y319" s="96"/>
      <c r="Z319" s="96"/>
      <c r="AA319" s="96"/>
      <c r="AC319" s="102"/>
      <c r="AD319" s="107" t="str">
        <f aca="false">IF($B319="","",IF(ISNUMBER($T319),$T319,IF(OR(NOT(ISNUMBER($Q319)),$S319=""),"",IFERROR(IF(ISNUMBER(INDEX(Lists!$AJ$2:$AJ$7,MATCH($S319,Lists!$AI$2:$AI$7,0))),$Q319+INDEX(Lists!$AJ$2:$AJ$7,MATCH($S319,Lists!$AI$2:$AI$7,0)),""),""))))</f>
        <v/>
      </c>
      <c r="AE319" s="104" t="str">
        <f aca="true">IF($B319="","",IF(AND(ISNUMBER($AD319),N($AD319)&lt;TODAY(),$N319&lt;&gt;"Done",$N319&lt;&gt;"Won't Fix",$N319&lt;&gt;"Duplicate"),"Yes","No"))</f>
        <v/>
      </c>
      <c r="AF319" s="101"/>
      <c r="AG319" s="108" t="str">
        <f aca="false">IF($AF319="","",IFERROR(VLOOKUP($AF319,'Application Portfolio'!$A$2:$B$1000,2,FALSE()),"Unknown App ID"))</f>
        <v/>
      </c>
      <c r="AH319" s="108" t="str">
        <f aca="false">IF(OR($B319="",$AF319=""),"",IFERROR(VLOOKUP($AF319,'Application Portfolio'!$A$2:$AB$1000,28,FALSE()),""))</f>
        <v/>
      </c>
    </row>
    <row r="320" customFormat="false" ht="15.75" hidden="false" customHeight="true" outlineLevel="0" collapsed="false">
      <c r="A320" s="100"/>
      <c r="B320" s="101"/>
      <c r="C320" s="101"/>
      <c r="D320" s="101"/>
      <c r="E320" s="101"/>
      <c r="F320" s="102"/>
      <c r="G320" s="102"/>
      <c r="H320" s="102"/>
      <c r="I320" s="102"/>
      <c r="J320" s="102"/>
      <c r="K320" s="102"/>
      <c r="L320" s="103" t="str">
        <f aca="false">IF(OR($B320="", $H320="", $I320="", $J320="", $K320=""),"",ROUND((VLOOKUP($H320,Lists!$E$2:$F$5,2,FALSE())*VLOOKUP($I320,Lists!$H$2:$I$4,2,FALSE())*VLOOKUP($J320,Lists!$K$2:$L$4,2,FALSE()))/VLOOKUP($K320,Lists!$N$2:$O$6,2,FALSE()),2))</f>
        <v/>
      </c>
      <c r="M320" s="104" t="str">
        <f aca="false">IF($B320="","",IF($AC320&lt;&gt;"",$AC320,IF($H320="Critical","P0",IF(NOT(ISNUMBER($L320)),"",IF($L320&gt;=Lists!$AM$2,"P0",IF($L320&gt;=Lists!$AM$3,"P1",IF($L320&gt;=Lists!$AM$4,"P2","P3")))))))</f>
        <v/>
      </c>
      <c r="N320" s="102"/>
      <c r="O320" s="101"/>
      <c r="P320" s="102"/>
      <c r="Q320" s="105"/>
      <c r="R320" s="106" t="str">
        <f aca="true">IF($Q320="","", TODAY()-$Q320)</f>
        <v/>
      </c>
      <c r="S320" s="102"/>
      <c r="T320" s="105"/>
      <c r="U320" s="105"/>
      <c r="V320" s="101"/>
      <c r="W320" s="101"/>
      <c r="X320" s="101"/>
      <c r="Y320" s="96"/>
      <c r="Z320" s="96"/>
      <c r="AA320" s="96"/>
      <c r="AC320" s="102"/>
      <c r="AD320" s="107" t="str">
        <f aca="false">IF($B320="","",IF(ISNUMBER($T320),$T320,IF(OR(NOT(ISNUMBER($Q320)),$S320=""),"",IFERROR(IF(ISNUMBER(INDEX(Lists!$AJ$2:$AJ$7,MATCH($S320,Lists!$AI$2:$AI$7,0))),$Q320+INDEX(Lists!$AJ$2:$AJ$7,MATCH($S320,Lists!$AI$2:$AI$7,0)),""),""))))</f>
        <v/>
      </c>
      <c r="AE320" s="104" t="str">
        <f aca="true">IF($B320="","",IF(AND(ISNUMBER($AD320),N($AD320)&lt;TODAY(),$N320&lt;&gt;"Done",$N320&lt;&gt;"Won't Fix",$N320&lt;&gt;"Duplicate"),"Yes","No"))</f>
        <v/>
      </c>
      <c r="AF320" s="101"/>
      <c r="AG320" s="108" t="str">
        <f aca="false">IF($AF320="","",IFERROR(VLOOKUP($AF320,'Application Portfolio'!$A$2:$B$1000,2,FALSE()),"Unknown App ID"))</f>
        <v/>
      </c>
      <c r="AH320" s="108" t="str">
        <f aca="false">IF(OR($B320="",$AF320=""),"",IFERROR(VLOOKUP($AF320,'Application Portfolio'!$A$2:$AB$1000,28,FALSE()),""))</f>
        <v/>
      </c>
    </row>
    <row r="321" customFormat="false" ht="15.75" hidden="false" customHeight="true" outlineLevel="0" collapsed="false">
      <c r="A321" s="100"/>
      <c r="B321" s="101"/>
      <c r="C321" s="101"/>
      <c r="D321" s="101"/>
      <c r="E321" s="101"/>
      <c r="F321" s="102"/>
      <c r="G321" s="102"/>
      <c r="H321" s="102"/>
      <c r="I321" s="102"/>
      <c r="J321" s="102"/>
      <c r="K321" s="102"/>
      <c r="L321" s="103" t="str">
        <f aca="false">IF(OR($B321="", $H321="", $I321="", $J321="", $K321=""),"",ROUND((VLOOKUP($H321,Lists!$E$2:$F$5,2,FALSE())*VLOOKUP($I321,Lists!$H$2:$I$4,2,FALSE())*VLOOKUP($J321,Lists!$K$2:$L$4,2,FALSE()))/VLOOKUP($K321,Lists!$N$2:$O$6,2,FALSE()),2))</f>
        <v/>
      </c>
      <c r="M321" s="104" t="str">
        <f aca="false">IF($B321="","",IF($AC321&lt;&gt;"",$AC321,IF($H321="Critical","P0",IF(NOT(ISNUMBER($L321)),"",IF($L321&gt;=Lists!$AM$2,"P0",IF($L321&gt;=Lists!$AM$3,"P1",IF($L321&gt;=Lists!$AM$4,"P2","P3")))))))</f>
        <v/>
      </c>
      <c r="N321" s="102"/>
      <c r="O321" s="101"/>
      <c r="P321" s="102"/>
      <c r="Q321" s="105"/>
      <c r="R321" s="106" t="str">
        <f aca="true">IF($Q321="","", TODAY()-$Q321)</f>
        <v/>
      </c>
      <c r="S321" s="102"/>
      <c r="T321" s="105"/>
      <c r="U321" s="105"/>
      <c r="V321" s="101"/>
      <c r="W321" s="101"/>
      <c r="X321" s="101"/>
      <c r="Y321" s="96"/>
      <c r="Z321" s="96"/>
      <c r="AA321" s="96"/>
      <c r="AC321" s="102"/>
      <c r="AD321" s="107" t="str">
        <f aca="false">IF($B321="","",IF(ISNUMBER($T321),$T321,IF(OR(NOT(ISNUMBER($Q321)),$S321=""),"",IFERROR(IF(ISNUMBER(INDEX(Lists!$AJ$2:$AJ$7,MATCH($S321,Lists!$AI$2:$AI$7,0))),$Q321+INDEX(Lists!$AJ$2:$AJ$7,MATCH($S321,Lists!$AI$2:$AI$7,0)),""),""))))</f>
        <v/>
      </c>
      <c r="AE321" s="104" t="str">
        <f aca="true">IF($B321="","",IF(AND(ISNUMBER($AD321),N($AD321)&lt;TODAY(),$N321&lt;&gt;"Done",$N321&lt;&gt;"Won't Fix",$N321&lt;&gt;"Duplicate"),"Yes","No"))</f>
        <v/>
      </c>
      <c r="AF321" s="101"/>
      <c r="AG321" s="108" t="str">
        <f aca="false">IF($AF321="","",IFERROR(VLOOKUP($AF321,'Application Portfolio'!$A$2:$B$1000,2,FALSE()),"Unknown App ID"))</f>
        <v/>
      </c>
      <c r="AH321" s="108" t="str">
        <f aca="false">IF(OR($B321="",$AF321=""),"",IFERROR(VLOOKUP($AF321,'Application Portfolio'!$A$2:$AB$1000,28,FALSE()),""))</f>
        <v/>
      </c>
    </row>
    <row r="322" customFormat="false" ht="15.75" hidden="false" customHeight="true" outlineLevel="0" collapsed="false">
      <c r="A322" s="100"/>
      <c r="B322" s="101"/>
      <c r="C322" s="101"/>
      <c r="D322" s="101"/>
      <c r="E322" s="101"/>
      <c r="F322" s="102"/>
      <c r="G322" s="102"/>
      <c r="H322" s="102"/>
      <c r="I322" s="102"/>
      <c r="J322" s="102"/>
      <c r="K322" s="102"/>
      <c r="L322" s="103" t="str">
        <f aca="false">IF(OR($B322="", $H322="", $I322="", $J322="", $K322=""),"",ROUND((VLOOKUP($H322,Lists!$E$2:$F$5,2,FALSE())*VLOOKUP($I322,Lists!$H$2:$I$4,2,FALSE())*VLOOKUP($J322,Lists!$K$2:$L$4,2,FALSE()))/VLOOKUP($K322,Lists!$N$2:$O$6,2,FALSE()),2))</f>
        <v/>
      </c>
      <c r="M322" s="104" t="str">
        <f aca="false">IF($B322="","",IF($AC322&lt;&gt;"",$AC322,IF($H322="Critical","P0",IF(NOT(ISNUMBER($L322)),"",IF($L322&gt;=Lists!$AM$2,"P0",IF($L322&gt;=Lists!$AM$3,"P1",IF($L322&gt;=Lists!$AM$4,"P2","P3")))))))</f>
        <v/>
      </c>
      <c r="N322" s="102"/>
      <c r="O322" s="101"/>
      <c r="P322" s="102"/>
      <c r="Q322" s="105"/>
      <c r="R322" s="106" t="str">
        <f aca="true">IF($Q322="","", TODAY()-$Q322)</f>
        <v/>
      </c>
      <c r="S322" s="102"/>
      <c r="T322" s="105"/>
      <c r="U322" s="105"/>
      <c r="V322" s="101"/>
      <c r="W322" s="101"/>
      <c r="X322" s="101"/>
      <c r="Y322" s="96"/>
      <c r="Z322" s="96"/>
      <c r="AA322" s="96"/>
      <c r="AC322" s="102"/>
      <c r="AD322" s="107" t="str">
        <f aca="false">IF($B322="","",IF(ISNUMBER($T322),$T322,IF(OR(NOT(ISNUMBER($Q322)),$S322=""),"",IFERROR(IF(ISNUMBER(INDEX(Lists!$AJ$2:$AJ$7,MATCH($S322,Lists!$AI$2:$AI$7,0))),$Q322+INDEX(Lists!$AJ$2:$AJ$7,MATCH($S322,Lists!$AI$2:$AI$7,0)),""),""))))</f>
        <v/>
      </c>
      <c r="AE322" s="104" t="str">
        <f aca="true">IF($B322="","",IF(AND(ISNUMBER($AD322),N($AD322)&lt;TODAY(),$N322&lt;&gt;"Done",$N322&lt;&gt;"Won't Fix",$N322&lt;&gt;"Duplicate"),"Yes","No"))</f>
        <v/>
      </c>
      <c r="AF322" s="101"/>
      <c r="AG322" s="108" t="str">
        <f aca="false">IF($AF322="","",IFERROR(VLOOKUP($AF322,'Application Portfolio'!$A$2:$B$1000,2,FALSE()),"Unknown App ID"))</f>
        <v/>
      </c>
      <c r="AH322" s="108" t="str">
        <f aca="false">IF(OR($B322="",$AF322=""),"",IFERROR(VLOOKUP($AF322,'Application Portfolio'!$A$2:$AB$1000,28,FALSE()),""))</f>
        <v/>
      </c>
    </row>
    <row r="323" customFormat="false" ht="15.75" hidden="false" customHeight="true" outlineLevel="0" collapsed="false">
      <c r="A323" s="100"/>
      <c r="B323" s="101"/>
      <c r="C323" s="101"/>
      <c r="D323" s="101"/>
      <c r="E323" s="101"/>
      <c r="F323" s="102"/>
      <c r="G323" s="102"/>
      <c r="H323" s="102"/>
      <c r="I323" s="102"/>
      <c r="J323" s="102"/>
      <c r="K323" s="102"/>
      <c r="L323" s="103" t="str">
        <f aca="false">IF(OR($B323="", $H323="", $I323="", $J323="", $K323=""),"",ROUND((VLOOKUP($H323,Lists!$E$2:$F$5,2,FALSE())*VLOOKUP($I323,Lists!$H$2:$I$4,2,FALSE())*VLOOKUP($J323,Lists!$K$2:$L$4,2,FALSE()))/VLOOKUP($K323,Lists!$N$2:$O$6,2,FALSE()),2))</f>
        <v/>
      </c>
      <c r="M323" s="104" t="str">
        <f aca="false">IF($B323="","",IF($AC323&lt;&gt;"",$AC323,IF($H323="Critical","P0",IF(NOT(ISNUMBER($L323)),"",IF($L323&gt;=Lists!$AM$2,"P0",IF($L323&gt;=Lists!$AM$3,"P1",IF($L323&gt;=Lists!$AM$4,"P2","P3")))))))</f>
        <v/>
      </c>
      <c r="N323" s="102"/>
      <c r="O323" s="101"/>
      <c r="P323" s="102"/>
      <c r="Q323" s="105"/>
      <c r="R323" s="106" t="str">
        <f aca="true">IF($Q323="","", TODAY()-$Q323)</f>
        <v/>
      </c>
      <c r="S323" s="102"/>
      <c r="T323" s="105"/>
      <c r="U323" s="105"/>
      <c r="V323" s="101"/>
      <c r="W323" s="101"/>
      <c r="X323" s="101"/>
      <c r="Y323" s="96"/>
      <c r="Z323" s="96"/>
      <c r="AA323" s="96"/>
      <c r="AC323" s="102"/>
      <c r="AD323" s="107" t="str">
        <f aca="false">IF($B323="","",IF(ISNUMBER($T323),$T323,IF(OR(NOT(ISNUMBER($Q323)),$S323=""),"",IFERROR(IF(ISNUMBER(INDEX(Lists!$AJ$2:$AJ$7,MATCH($S323,Lists!$AI$2:$AI$7,0))),$Q323+INDEX(Lists!$AJ$2:$AJ$7,MATCH($S323,Lists!$AI$2:$AI$7,0)),""),""))))</f>
        <v/>
      </c>
      <c r="AE323" s="104" t="str">
        <f aca="true">IF($B323="","",IF(AND(ISNUMBER($AD323),N($AD323)&lt;TODAY(),$N323&lt;&gt;"Done",$N323&lt;&gt;"Won't Fix",$N323&lt;&gt;"Duplicate"),"Yes","No"))</f>
        <v/>
      </c>
      <c r="AF323" s="101"/>
      <c r="AG323" s="108" t="str">
        <f aca="false">IF($AF323="","",IFERROR(VLOOKUP($AF323,'Application Portfolio'!$A$2:$B$1000,2,FALSE()),"Unknown App ID"))</f>
        <v/>
      </c>
      <c r="AH323" s="108" t="str">
        <f aca="false">IF(OR($B323="",$AF323=""),"",IFERROR(VLOOKUP($AF323,'Application Portfolio'!$A$2:$AB$1000,28,FALSE()),""))</f>
        <v/>
      </c>
    </row>
    <row r="324" customFormat="false" ht="15.75" hidden="false" customHeight="true" outlineLevel="0" collapsed="false">
      <c r="A324" s="100"/>
      <c r="B324" s="101"/>
      <c r="C324" s="101"/>
      <c r="D324" s="101"/>
      <c r="E324" s="101"/>
      <c r="F324" s="102"/>
      <c r="G324" s="102"/>
      <c r="H324" s="102"/>
      <c r="I324" s="102"/>
      <c r="J324" s="102"/>
      <c r="K324" s="102"/>
      <c r="L324" s="103" t="str">
        <f aca="false">IF(OR($B324="", $H324="", $I324="", $J324="", $K324=""),"",ROUND((VLOOKUP($H324,Lists!$E$2:$F$5,2,FALSE())*VLOOKUP($I324,Lists!$H$2:$I$4,2,FALSE())*VLOOKUP($J324,Lists!$K$2:$L$4,2,FALSE()))/VLOOKUP($K324,Lists!$N$2:$O$6,2,FALSE()),2))</f>
        <v/>
      </c>
      <c r="M324" s="104" t="str">
        <f aca="false">IF($B324="","",IF($AC324&lt;&gt;"",$AC324,IF($H324="Critical","P0",IF(NOT(ISNUMBER($L324)),"",IF($L324&gt;=Lists!$AM$2,"P0",IF($L324&gt;=Lists!$AM$3,"P1",IF($L324&gt;=Lists!$AM$4,"P2","P3")))))))</f>
        <v/>
      </c>
      <c r="N324" s="102"/>
      <c r="O324" s="101"/>
      <c r="P324" s="102"/>
      <c r="Q324" s="105"/>
      <c r="R324" s="106" t="str">
        <f aca="true">IF($Q324="","", TODAY()-$Q324)</f>
        <v/>
      </c>
      <c r="S324" s="102"/>
      <c r="T324" s="105"/>
      <c r="U324" s="105"/>
      <c r="V324" s="101"/>
      <c r="W324" s="101"/>
      <c r="X324" s="101"/>
      <c r="Y324" s="96"/>
      <c r="Z324" s="96"/>
      <c r="AA324" s="96"/>
      <c r="AC324" s="102"/>
      <c r="AD324" s="107" t="str">
        <f aca="false">IF($B324="","",IF(ISNUMBER($T324),$T324,IF(OR(NOT(ISNUMBER($Q324)),$S324=""),"",IFERROR(IF(ISNUMBER(INDEX(Lists!$AJ$2:$AJ$7,MATCH($S324,Lists!$AI$2:$AI$7,0))),$Q324+INDEX(Lists!$AJ$2:$AJ$7,MATCH($S324,Lists!$AI$2:$AI$7,0)),""),""))))</f>
        <v/>
      </c>
      <c r="AE324" s="104" t="str">
        <f aca="true">IF($B324="","",IF(AND(ISNUMBER($AD324),N($AD324)&lt;TODAY(),$N324&lt;&gt;"Done",$N324&lt;&gt;"Won't Fix",$N324&lt;&gt;"Duplicate"),"Yes","No"))</f>
        <v/>
      </c>
      <c r="AF324" s="101"/>
      <c r="AG324" s="108" t="str">
        <f aca="false">IF($AF324="","",IFERROR(VLOOKUP($AF324,'Application Portfolio'!$A$2:$B$1000,2,FALSE()),"Unknown App ID"))</f>
        <v/>
      </c>
      <c r="AH324" s="108" t="str">
        <f aca="false">IF(OR($B324="",$AF324=""),"",IFERROR(VLOOKUP($AF324,'Application Portfolio'!$A$2:$AB$1000,28,FALSE()),""))</f>
        <v/>
      </c>
    </row>
    <row r="325" customFormat="false" ht="15.75" hidden="false" customHeight="true" outlineLevel="0" collapsed="false">
      <c r="A325" s="100"/>
      <c r="B325" s="101"/>
      <c r="C325" s="101"/>
      <c r="D325" s="101"/>
      <c r="E325" s="101"/>
      <c r="F325" s="102"/>
      <c r="G325" s="102"/>
      <c r="H325" s="102"/>
      <c r="I325" s="102"/>
      <c r="J325" s="102"/>
      <c r="K325" s="102"/>
      <c r="L325" s="103" t="str">
        <f aca="false">IF(OR($B325="", $H325="", $I325="", $J325="", $K325=""),"",ROUND((VLOOKUP($H325,Lists!$E$2:$F$5,2,FALSE())*VLOOKUP($I325,Lists!$H$2:$I$4,2,FALSE())*VLOOKUP($J325,Lists!$K$2:$L$4,2,FALSE()))/VLOOKUP($K325,Lists!$N$2:$O$6,2,FALSE()),2))</f>
        <v/>
      </c>
      <c r="M325" s="104" t="str">
        <f aca="false">IF($B325="","",IF($AC325&lt;&gt;"",$AC325,IF($H325="Critical","P0",IF(NOT(ISNUMBER($L325)),"",IF($L325&gt;=Lists!$AM$2,"P0",IF($L325&gt;=Lists!$AM$3,"P1",IF($L325&gt;=Lists!$AM$4,"P2","P3")))))))</f>
        <v/>
      </c>
      <c r="N325" s="102"/>
      <c r="O325" s="101"/>
      <c r="P325" s="102"/>
      <c r="Q325" s="105"/>
      <c r="R325" s="106" t="str">
        <f aca="true">IF($Q325="","", TODAY()-$Q325)</f>
        <v/>
      </c>
      <c r="S325" s="102"/>
      <c r="T325" s="105"/>
      <c r="U325" s="105"/>
      <c r="V325" s="101"/>
      <c r="W325" s="101"/>
      <c r="X325" s="101"/>
      <c r="Y325" s="96"/>
      <c r="Z325" s="96"/>
      <c r="AA325" s="96"/>
      <c r="AC325" s="102"/>
      <c r="AD325" s="107" t="str">
        <f aca="false">IF($B325="","",IF(ISNUMBER($T325),$T325,IF(OR(NOT(ISNUMBER($Q325)),$S325=""),"",IFERROR(IF(ISNUMBER(INDEX(Lists!$AJ$2:$AJ$7,MATCH($S325,Lists!$AI$2:$AI$7,0))),$Q325+INDEX(Lists!$AJ$2:$AJ$7,MATCH($S325,Lists!$AI$2:$AI$7,0)),""),""))))</f>
        <v/>
      </c>
      <c r="AE325" s="104" t="str">
        <f aca="true">IF($B325="","",IF(AND(ISNUMBER($AD325),N($AD325)&lt;TODAY(),$N325&lt;&gt;"Done",$N325&lt;&gt;"Won't Fix",$N325&lt;&gt;"Duplicate"),"Yes","No"))</f>
        <v/>
      </c>
      <c r="AF325" s="101"/>
      <c r="AG325" s="108" t="str">
        <f aca="false">IF($AF325="","",IFERROR(VLOOKUP($AF325,'Application Portfolio'!$A$2:$B$1000,2,FALSE()),"Unknown App ID"))</f>
        <v/>
      </c>
      <c r="AH325" s="108" t="str">
        <f aca="false">IF(OR($B325="",$AF325=""),"",IFERROR(VLOOKUP($AF325,'Application Portfolio'!$A$2:$AB$1000,28,FALSE()),""))</f>
        <v/>
      </c>
    </row>
    <row r="326" customFormat="false" ht="15.75" hidden="false" customHeight="true" outlineLevel="0" collapsed="false">
      <c r="A326" s="100"/>
      <c r="B326" s="101"/>
      <c r="C326" s="101"/>
      <c r="D326" s="101"/>
      <c r="E326" s="101"/>
      <c r="F326" s="102"/>
      <c r="G326" s="102"/>
      <c r="H326" s="102"/>
      <c r="I326" s="102"/>
      <c r="J326" s="102"/>
      <c r="K326" s="102"/>
      <c r="L326" s="103" t="str">
        <f aca="false">IF(OR($B326="", $H326="", $I326="", $J326="", $K326=""),"",ROUND((VLOOKUP($H326,Lists!$E$2:$F$5,2,FALSE())*VLOOKUP($I326,Lists!$H$2:$I$4,2,FALSE())*VLOOKUP($J326,Lists!$K$2:$L$4,2,FALSE()))/VLOOKUP($K326,Lists!$N$2:$O$6,2,FALSE()),2))</f>
        <v/>
      </c>
      <c r="M326" s="104" t="str">
        <f aca="false">IF($B326="","",IF($AC326&lt;&gt;"",$AC326,IF($H326="Critical","P0",IF(NOT(ISNUMBER($L326)),"",IF($L326&gt;=Lists!$AM$2,"P0",IF($L326&gt;=Lists!$AM$3,"P1",IF($L326&gt;=Lists!$AM$4,"P2","P3")))))))</f>
        <v/>
      </c>
      <c r="N326" s="102"/>
      <c r="O326" s="101"/>
      <c r="P326" s="102"/>
      <c r="Q326" s="105"/>
      <c r="R326" s="106" t="str">
        <f aca="true">IF($Q326="","", TODAY()-$Q326)</f>
        <v/>
      </c>
      <c r="S326" s="102"/>
      <c r="T326" s="105"/>
      <c r="U326" s="105"/>
      <c r="V326" s="101"/>
      <c r="W326" s="101"/>
      <c r="X326" s="101"/>
      <c r="Y326" s="96"/>
      <c r="Z326" s="96"/>
      <c r="AA326" s="96"/>
      <c r="AC326" s="102"/>
      <c r="AD326" s="107" t="str">
        <f aca="false">IF($B326="","",IF(ISNUMBER($T326),$T326,IF(OR(NOT(ISNUMBER($Q326)),$S326=""),"",IFERROR(IF(ISNUMBER(INDEX(Lists!$AJ$2:$AJ$7,MATCH($S326,Lists!$AI$2:$AI$7,0))),$Q326+INDEX(Lists!$AJ$2:$AJ$7,MATCH($S326,Lists!$AI$2:$AI$7,0)),""),""))))</f>
        <v/>
      </c>
      <c r="AE326" s="104" t="str">
        <f aca="true">IF($B326="","",IF(AND(ISNUMBER($AD326),N($AD326)&lt;TODAY(),$N326&lt;&gt;"Done",$N326&lt;&gt;"Won't Fix",$N326&lt;&gt;"Duplicate"),"Yes","No"))</f>
        <v/>
      </c>
      <c r="AF326" s="101"/>
      <c r="AG326" s="108" t="str">
        <f aca="false">IF($AF326="","",IFERROR(VLOOKUP($AF326,'Application Portfolio'!$A$2:$B$1000,2,FALSE()),"Unknown App ID"))</f>
        <v/>
      </c>
      <c r="AH326" s="108" t="str">
        <f aca="false">IF(OR($B326="",$AF326=""),"",IFERROR(VLOOKUP($AF326,'Application Portfolio'!$A$2:$AB$1000,28,FALSE()),""))</f>
        <v/>
      </c>
    </row>
    <row r="327" customFormat="false" ht="15.75" hidden="false" customHeight="true" outlineLevel="0" collapsed="false">
      <c r="A327" s="100"/>
      <c r="B327" s="101"/>
      <c r="C327" s="101"/>
      <c r="D327" s="101"/>
      <c r="E327" s="101"/>
      <c r="F327" s="102"/>
      <c r="G327" s="102"/>
      <c r="H327" s="102"/>
      <c r="I327" s="102"/>
      <c r="J327" s="102"/>
      <c r="K327" s="102"/>
      <c r="L327" s="103" t="str">
        <f aca="false">IF(OR($B327="", $H327="", $I327="", $J327="", $K327=""),"",ROUND((VLOOKUP($H327,Lists!$E$2:$F$5,2,FALSE())*VLOOKUP($I327,Lists!$H$2:$I$4,2,FALSE())*VLOOKUP($J327,Lists!$K$2:$L$4,2,FALSE()))/VLOOKUP($K327,Lists!$N$2:$O$6,2,FALSE()),2))</f>
        <v/>
      </c>
      <c r="M327" s="104" t="str">
        <f aca="false">IF($B327="","",IF($AC327&lt;&gt;"",$AC327,IF($H327="Critical","P0",IF(NOT(ISNUMBER($L327)),"",IF($L327&gt;=Lists!$AM$2,"P0",IF($L327&gt;=Lists!$AM$3,"P1",IF($L327&gt;=Lists!$AM$4,"P2","P3")))))))</f>
        <v/>
      </c>
      <c r="N327" s="102"/>
      <c r="O327" s="101"/>
      <c r="P327" s="102"/>
      <c r="Q327" s="105"/>
      <c r="R327" s="106" t="str">
        <f aca="true">IF($Q327="","", TODAY()-$Q327)</f>
        <v/>
      </c>
      <c r="S327" s="102"/>
      <c r="T327" s="105"/>
      <c r="U327" s="105"/>
      <c r="V327" s="101"/>
      <c r="W327" s="101"/>
      <c r="X327" s="101"/>
      <c r="Y327" s="96"/>
      <c r="Z327" s="96"/>
      <c r="AA327" s="96"/>
      <c r="AC327" s="102"/>
      <c r="AD327" s="107" t="str">
        <f aca="false">IF($B327="","",IF(ISNUMBER($T327),$T327,IF(OR(NOT(ISNUMBER($Q327)),$S327=""),"",IFERROR(IF(ISNUMBER(INDEX(Lists!$AJ$2:$AJ$7,MATCH($S327,Lists!$AI$2:$AI$7,0))),$Q327+INDEX(Lists!$AJ$2:$AJ$7,MATCH($S327,Lists!$AI$2:$AI$7,0)),""),""))))</f>
        <v/>
      </c>
      <c r="AE327" s="104" t="str">
        <f aca="true">IF($B327="","",IF(AND(ISNUMBER($AD327),N($AD327)&lt;TODAY(),$N327&lt;&gt;"Done",$N327&lt;&gt;"Won't Fix",$N327&lt;&gt;"Duplicate"),"Yes","No"))</f>
        <v/>
      </c>
      <c r="AF327" s="101"/>
      <c r="AG327" s="108" t="str">
        <f aca="false">IF($AF327="","",IFERROR(VLOOKUP($AF327,'Application Portfolio'!$A$2:$B$1000,2,FALSE()),"Unknown App ID"))</f>
        <v/>
      </c>
      <c r="AH327" s="108" t="str">
        <f aca="false">IF(OR($B327="",$AF327=""),"",IFERROR(VLOOKUP($AF327,'Application Portfolio'!$A$2:$AB$1000,28,FALSE()),""))</f>
        <v/>
      </c>
    </row>
    <row r="328" customFormat="false" ht="15.75" hidden="false" customHeight="true" outlineLevel="0" collapsed="false">
      <c r="A328" s="100"/>
      <c r="B328" s="101"/>
      <c r="C328" s="101"/>
      <c r="D328" s="101"/>
      <c r="E328" s="101"/>
      <c r="F328" s="102"/>
      <c r="G328" s="102"/>
      <c r="H328" s="102"/>
      <c r="I328" s="102"/>
      <c r="J328" s="102"/>
      <c r="K328" s="102"/>
      <c r="L328" s="103" t="str">
        <f aca="false">IF(OR($B328="", $H328="", $I328="", $J328="", $K328=""),"",ROUND((VLOOKUP($H328,Lists!$E$2:$F$5,2,FALSE())*VLOOKUP($I328,Lists!$H$2:$I$4,2,FALSE())*VLOOKUP($J328,Lists!$K$2:$L$4,2,FALSE()))/VLOOKUP($K328,Lists!$N$2:$O$6,2,FALSE()),2))</f>
        <v/>
      </c>
      <c r="M328" s="104" t="str">
        <f aca="false">IF($B328="","",IF($AC328&lt;&gt;"",$AC328,IF($H328="Critical","P0",IF(NOT(ISNUMBER($L328)),"",IF($L328&gt;=Lists!$AM$2,"P0",IF($L328&gt;=Lists!$AM$3,"P1",IF($L328&gt;=Lists!$AM$4,"P2","P3")))))))</f>
        <v/>
      </c>
      <c r="N328" s="102"/>
      <c r="O328" s="101"/>
      <c r="P328" s="102"/>
      <c r="Q328" s="105"/>
      <c r="R328" s="106" t="str">
        <f aca="true">IF($Q328="","", TODAY()-$Q328)</f>
        <v/>
      </c>
      <c r="S328" s="102"/>
      <c r="T328" s="105"/>
      <c r="U328" s="105"/>
      <c r="V328" s="101"/>
      <c r="W328" s="101"/>
      <c r="X328" s="101"/>
      <c r="Y328" s="96"/>
      <c r="Z328" s="96"/>
      <c r="AA328" s="96"/>
      <c r="AC328" s="102"/>
      <c r="AD328" s="107" t="str">
        <f aca="false">IF($B328="","",IF(ISNUMBER($T328),$T328,IF(OR(NOT(ISNUMBER($Q328)),$S328=""),"",IFERROR(IF(ISNUMBER(INDEX(Lists!$AJ$2:$AJ$7,MATCH($S328,Lists!$AI$2:$AI$7,0))),$Q328+INDEX(Lists!$AJ$2:$AJ$7,MATCH($S328,Lists!$AI$2:$AI$7,0)),""),""))))</f>
        <v/>
      </c>
      <c r="AE328" s="104" t="str">
        <f aca="true">IF($B328="","",IF(AND(ISNUMBER($AD328),N($AD328)&lt;TODAY(),$N328&lt;&gt;"Done",$N328&lt;&gt;"Won't Fix",$N328&lt;&gt;"Duplicate"),"Yes","No"))</f>
        <v/>
      </c>
      <c r="AF328" s="101"/>
      <c r="AG328" s="108" t="str">
        <f aca="false">IF($AF328="","",IFERROR(VLOOKUP($AF328,'Application Portfolio'!$A$2:$B$1000,2,FALSE()),"Unknown App ID"))</f>
        <v/>
      </c>
      <c r="AH328" s="108" t="str">
        <f aca="false">IF(OR($B328="",$AF328=""),"",IFERROR(VLOOKUP($AF328,'Application Portfolio'!$A$2:$AB$1000,28,FALSE()),""))</f>
        <v/>
      </c>
    </row>
    <row r="329" customFormat="false" ht="15.75" hidden="false" customHeight="true" outlineLevel="0" collapsed="false">
      <c r="A329" s="100"/>
      <c r="B329" s="101"/>
      <c r="C329" s="101"/>
      <c r="D329" s="101"/>
      <c r="E329" s="101"/>
      <c r="F329" s="102"/>
      <c r="G329" s="102"/>
      <c r="H329" s="102"/>
      <c r="I329" s="102"/>
      <c r="J329" s="102"/>
      <c r="K329" s="102"/>
      <c r="L329" s="103" t="str">
        <f aca="false">IF(OR($B329="", $H329="", $I329="", $J329="", $K329=""),"",ROUND((VLOOKUP($H329,Lists!$E$2:$F$5,2,FALSE())*VLOOKUP($I329,Lists!$H$2:$I$4,2,FALSE())*VLOOKUP($J329,Lists!$K$2:$L$4,2,FALSE()))/VLOOKUP($K329,Lists!$N$2:$O$6,2,FALSE()),2))</f>
        <v/>
      </c>
      <c r="M329" s="104" t="str">
        <f aca="false">IF($B329="","",IF($AC329&lt;&gt;"",$AC329,IF($H329="Critical","P0",IF(NOT(ISNUMBER($L329)),"",IF($L329&gt;=Lists!$AM$2,"P0",IF($L329&gt;=Lists!$AM$3,"P1",IF($L329&gt;=Lists!$AM$4,"P2","P3")))))))</f>
        <v/>
      </c>
      <c r="N329" s="102"/>
      <c r="O329" s="101"/>
      <c r="P329" s="102"/>
      <c r="Q329" s="105"/>
      <c r="R329" s="106" t="str">
        <f aca="true">IF($Q329="","", TODAY()-$Q329)</f>
        <v/>
      </c>
      <c r="S329" s="102"/>
      <c r="T329" s="105"/>
      <c r="U329" s="105"/>
      <c r="V329" s="101"/>
      <c r="W329" s="101"/>
      <c r="X329" s="101"/>
      <c r="Y329" s="96"/>
      <c r="Z329" s="96"/>
      <c r="AA329" s="96"/>
      <c r="AC329" s="102"/>
      <c r="AD329" s="107" t="str">
        <f aca="false">IF($B329="","",IF(ISNUMBER($T329),$T329,IF(OR(NOT(ISNUMBER($Q329)),$S329=""),"",IFERROR(IF(ISNUMBER(INDEX(Lists!$AJ$2:$AJ$7,MATCH($S329,Lists!$AI$2:$AI$7,0))),$Q329+INDEX(Lists!$AJ$2:$AJ$7,MATCH($S329,Lists!$AI$2:$AI$7,0)),""),""))))</f>
        <v/>
      </c>
      <c r="AE329" s="104" t="str">
        <f aca="true">IF($B329="","",IF(AND(ISNUMBER($AD329),N($AD329)&lt;TODAY(),$N329&lt;&gt;"Done",$N329&lt;&gt;"Won't Fix",$N329&lt;&gt;"Duplicate"),"Yes","No"))</f>
        <v/>
      </c>
      <c r="AF329" s="101"/>
      <c r="AG329" s="108" t="str">
        <f aca="false">IF($AF329="","",IFERROR(VLOOKUP($AF329,'Application Portfolio'!$A$2:$B$1000,2,FALSE()),"Unknown App ID"))</f>
        <v/>
      </c>
      <c r="AH329" s="108" t="str">
        <f aca="false">IF(OR($B329="",$AF329=""),"",IFERROR(VLOOKUP($AF329,'Application Portfolio'!$A$2:$AB$1000,28,FALSE()),""))</f>
        <v/>
      </c>
    </row>
    <row r="330" customFormat="false" ht="15.75" hidden="false" customHeight="true" outlineLevel="0" collapsed="false">
      <c r="A330" s="100"/>
      <c r="B330" s="101"/>
      <c r="C330" s="101"/>
      <c r="D330" s="101"/>
      <c r="E330" s="101"/>
      <c r="F330" s="102"/>
      <c r="G330" s="102"/>
      <c r="H330" s="102"/>
      <c r="I330" s="102"/>
      <c r="J330" s="102"/>
      <c r="K330" s="102"/>
      <c r="L330" s="103" t="str">
        <f aca="false">IF(OR($B330="", $H330="", $I330="", $J330="", $K330=""),"",ROUND((VLOOKUP($H330,Lists!$E$2:$F$5,2,FALSE())*VLOOKUP($I330,Lists!$H$2:$I$4,2,FALSE())*VLOOKUP($J330,Lists!$K$2:$L$4,2,FALSE()))/VLOOKUP($K330,Lists!$N$2:$O$6,2,FALSE()),2))</f>
        <v/>
      </c>
      <c r="M330" s="104" t="str">
        <f aca="false">IF($B330="","",IF($AC330&lt;&gt;"",$AC330,IF($H330="Critical","P0",IF(NOT(ISNUMBER($L330)),"",IF($L330&gt;=Lists!$AM$2,"P0",IF($L330&gt;=Lists!$AM$3,"P1",IF($L330&gt;=Lists!$AM$4,"P2","P3")))))))</f>
        <v/>
      </c>
      <c r="N330" s="102"/>
      <c r="O330" s="101"/>
      <c r="P330" s="102"/>
      <c r="Q330" s="105"/>
      <c r="R330" s="106" t="str">
        <f aca="true">IF($Q330="","", TODAY()-$Q330)</f>
        <v/>
      </c>
      <c r="S330" s="102"/>
      <c r="T330" s="105"/>
      <c r="U330" s="105"/>
      <c r="V330" s="101"/>
      <c r="W330" s="101"/>
      <c r="X330" s="101"/>
      <c r="Y330" s="96"/>
      <c r="Z330" s="96"/>
      <c r="AA330" s="96"/>
      <c r="AC330" s="102"/>
      <c r="AD330" s="107" t="str">
        <f aca="false">IF($B330="","",IF(ISNUMBER($T330),$T330,IF(OR(NOT(ISNUMBER($Q330)),$S330=""),"",IFERROR(IF(ISNUMBER(INDEX(Lists!$AJ$2:$AJ$7,MATCH($S330,Lists!$AI$2:$AI$7,0))),$Q330+INDEX(Lists!$AJ$2:$AJ$7,MATCH($S330,Lists!$AI$2:$AI$7,0)),""),""))))</f>
        <v/>
      </c>
      <c r="AE330" s="104" t="str">
        <f aca="true">IF($B330="","",IF(AND(ISNUMBER($AD330),N($AD330)&lt;TODAY(),$N330&lt;&gt;"Done",$N330&lt;&gt;"Won't Fix",$N330&lt;&gt;"Duplicate"),"Yes","No"))</f>
        <v/>
      </c>
      <c r="AF330" s="101"/>
      <c r="AG330" s="108" t="str">
        <f aca="false">IF($AF330="","",IFERROR(VLOOKUP($AF330,'Application Portfolio'!$A$2:$B$1000,2,FALSE()),"Unknown App ID"))</f>
        <v/>
      </c>
      <c r="AH330" s="108" t="str">
        <f aca="false">IF(OR($B330="",$AF330=""),"",IFERROR(VLOOKUP($AF330,'Application Portfolio'!$A$2:$AB$1000,28,FALSE()),""))</f>
        <v/>
      </c>
    </row>
    <row r="331" customFormat="false" ht="15.75" hidden="false" customHeight="true" outlineLevel="0" collapsed="false">
      <c r="A331" s="100"/>
      <c r="B331" s="101"/>
      <c r="C331" s="101"/>
      <c r="D331" s="101"/>
      <c r="E331" s="101"/>
      <c r="F331" s="102"/>
      <c r="G331" s="102"/>
      <c r="H331" s="102"/>
      <c r="I331" s="102"/>
      <c r="J331" s="102"/>
      <c r="K331" s="102"/>
      <c r="L331" s="103" t="str">
        <f aca="false">IF(OR($B331="", $H331="", $I331="", $J331="", $K331=""),"",ROUND((VLOOKUP($H331,Lists!$E$2:$F$5,2,FALSE())*VLOOKUP($I331,Lists!$H$2:$I$4,2,FALSE())*VLOOKUP($J331,Lists!$K$2:$L$4,2,FALSE()))/VLOOKUP($K331,Lists!$N$2:$O$6,2,FALSE()),2))</f>
        <v/>
      </c>
      <c r="M331" s="104" t="str">
        <f aca="false">IF($B331="","",IF($AC331&lt;&gt;"",$AC331,IF($H331="Critical","P0",IF(NOT(ISNUMBER($L331)),"",IF($L331&gt;=Lists!$AM$2,"P0",IF($L331&gt;=Lists!$AM$3,"P1",IF($L331&gt;=Lists!$AM$4,"P2","P3")))))))</f>
        <v/>
      </c>
      <c r="N331" s="102"/>
      <c r="O331" s="101"/>
      <c r="P331" s="102"/>
      <c r="Q331" s="105"/>
      <c r="R331" s="106" t="str">
        <f aca="true">IF($Q331="","", TODAY()-$Q331)</f>
        <v/>
      </c>
      <c r="S331" s="102"/>
      <c r="T331" s="105"/>
      <c r="U331" s="105"/>
      <c r="V331" s="101"/>
      <c r="W331" s="101"/>
      <c r="X331" s="101"/>
      <c r="Y331" s="96"/>
      <c r="Z331" s="96"/>
      <c r="AA331" s="96"/>
      <c r="AC331" s="102"/>
      <c r="AD331" s="107" t="str">
        <f aca="false">IF($B331="","",IF(ISNUMBER($T331),$T331,IF(OR(NOT(ISNUMBER($Q331)),$S331=""),"",IFERROR(IF(ISNUMBER(INDEX(Lists!$AJ$2:$AJ$7,MATCH($S331,Lists!$AI$2:$AI$7,0))),$Q331+INDEX(Lists!$AJ$2:$AJ$7,MATCH($S331,Lists!$AI$2:$AI$7,0)),""),""))))</f>
        <v/>
      </c>
      <c r="AE331" s="104" t="str">
        <f aca="true">IF($B331="","",IF(AND(ISNUMBER($AD331),N($AD331)&lt;TODAY(),$N331&lt;&gt;"Done",$N331&lt;&gt;"Won't Fix",$N331&lt;&gt;"Duplicate"),"Yes","No"))</f>
        <v/>
      </c>
      <c r="AF331" s="101"/>
      <c r="AG331" s="108" t="str">
        <f aca="false">IF($AF331="","",IFERROR(VLOOKUP($AF331,'Application Portfolio'!$A$2:$B$1000,2,FALSE()),"Unknown App ID"))</f>
        <v/>
      </c>
      <c r="AH331" s="108" t="str">
        <f aca="false">IF(OR($B331="",$AF331=""),"",IFERROR(VLOOKUP($AF331,'Application Portfolio'!$A$2:$AB$1000,28,FALSE()),""))</f>
        <v/>
      </c>
    </row>
    <row r="332" customFormat="false" ht="15.75" hidden="false" customHeight="true" outlineLevel="0" collapsed="false">
      <c r="A332" s="100"/>
      <c r="B332" s="101"/>
      <c r="C332" s="101"/>
      <c r="D332" s="101"/>
      <c r="E332" s="101"/>
      <c r="F332" s="102"/>
      <c r="G332" s="102"/>
      <c r="H332" s="102"/>
      <c r="I332" s="102"/>
      <c r="J332" s="102"/>
      <c r="K332" s="102"/>
      <c r="L332" s="103" t="str">
        <f aca="false">IF(OR($B332="", $H332="", $I332="", $J332="", $K332=""),"",ROUND((VLOOKUP($H332,Lists!$E$2:$F$5,2,FALSE())*VLOOKUP($I332,Lists!$H$2:$I$4,2,FALSE())*VLOOKUP($J332,Lists!$K$2:$L$4,2,FALSE()))/VLOOKUP($K332,Lists!$N$2:$O$6,2,FALSE()),2))</f>
        <v/>
      </c>
      <c r="M332" s="104" t="str">
        <f aca="false">IF($B332="","",IF($AC332&lt;&gt;"",$AC332,IF($H332="Critical","P0",IF(NOT(ISNUMBER($L332)),"",IF($L332&gt;=Lists!$AM$2,"P0",IF($L332&gt;=Lists!$AM$3,"P1",IF($L332&gt;=Lists!$AM$4,"P2","P3")))))))</f>
        <v/>
      </c>
      <c r="N332" s="102"/>
      <c r="O332" s="101"/>
      <c r="P332" s="102"/>
      <c r="Q332" s="105"/>
      <c r="R332" s="106" t="str">
        <f aca="true">IF($Q332="","", TODAY()-$Q332)</f>
        <v/>
      </c>
      <c r="S332" s="102"/>
      <c r="T332" s="105"/>
      <c r="U332" s="105"/>
      <c r="V332" s="101"/>
      <c r="W332" s="101"/>
      <c r="X332" s="101"/>
      <c r="Y332" s="96"/>
      <c r="Z332" s="96"/>
      <c r="AA332" s="96"/>
      <c r="AC332" s="102"/>
      <c r="AD332" s="107" t="str">
        <f aca="false">IF($B332="","",IF(ISNUMBER($T332),$T332,IF(OR(NOT(ISNUMBER($Q332)),$S332=""),"",IFERROR(IF(ISNUMBER(INDEX(Lists!$AJ$2:$AJ$7,MATCH($S332,Lists!$AI$2:$AI$7,0))),$Q332+INDEX(Lists!$AJ$2:$AJ$7,MATCH($S332,Lists!$AI$2:$AI$7,0)),""),""))))</f>
        <v/>
      </c>
      <c r="AE332" s="104" t="str">
        <f aca="true">IF($B332="","",IF(AND(ISNUMBER($AD332),N($AD332)&lt;TODAY(),$N332&lt;&gt;"Done",$N332&lt;&gt;"Won't Fix",$N332&lt;&gt;"Duplicate"),"Yes","No"))</f>
        <v/>
      </c>
      <c r="AF332" s="101"/>
      <c r="AG332" s="108" t="str">
        <f aca="false">IF($AF332="","",IFERROR(VLOOKUP($AF332,'Application Portfolio'!$A$2:$B$1000,2,FALSE()),"Unknown App ID"))</f>
        <v/>
      </c>
      <c r="AH332" s="108" t="str">
        <f aca="false">IF(OR($B332="",$AF332=""),"",IFERROR(VLOOKUP($AF332,'Application Portfolio'!$A$2:$AB$1000,28,FALSE()),""))</f>
        <v/>
      </c>
    </row>
    <row r="333" customFormat="false" ht="15.75" hidden="false" customHeight="true" outlineLevel="0" collapsed="false">
      <c r="A333" s="100"/>
      <c r="B333" s="101"/>
      <c r="C333" s="101"/>
      <c r="D333" s="101"/>
      <c r="E333" s="101"/>
      <c r="F333" s="102"/>
      <c r="G333" s="102"/>
      <c r="H333" s="102"/>
      <c r="I333" s="102"/>
      <c r="J333" s="102"/>
      <c r="K333" s="102"/>
      <c r="L333" s="103" t="str">
        <f aca="false">IF(OR($B333="", $H333="", $I333="", $J333="", $K333=""),"",ROUND((VLOOKUP($H333,Lists!$E$2:$F$5,2,FALSE())*VLOOKUP($I333,Lists!$H$2:$I$4,2,FALSE())*VLOOKUP($J333,Lists!$K$2:$L$4,2,FALSE()))/VLOOKUP($K333,Lists!$N$2:$O$6,2,FALSE()),2))</f>
        <v/>
      </c>
      <c r="M333" s="104" t="str">
        <f aca="false">IF($B333="","",IF($AC333&lt;&gt;"",$AC333,IF($H333="Critical","P0",IF(NOT(ISNUMBER($L333)),"",IF($L333&gt;=Lists!$AM$2,"P0",IF($L333&gt;=Lists!$AM$3,"P1",IF($L333&gt;=Lists!$AM$4,"P2","P3")))))))</f>
        <v/>
      </c>
      <c r="N333" s="102"/>
      <c r="O333" s="101"/>
      <c r="P333" s="102"/>
      <c r="Q333" s="105"/>
      <c r="R333" s="106" t="str">
        <f aca="true">IF($Q333="","", TODAY()-$Q333)</f>
        <v/>
      </c>
      <c r="S333" s="102"/>
      <c r="T333" s="105"/>
      <c r="U333" s="105"/>
      <c r="V333" s="101"/>
      <c r="W333" s="101"/>
      <c r="X333" s="101"/>
      <c r="Y333" s="96"/>
      <c r="Z333" s="96"/>
      <c r="AA333" s="96"/>
      <c r="AC333" s="102"/>
      <c r="AD333" s="107" t="str">
        <f aca="false">IF($B333="","",IF(ISNUMBER($T333),$T333,IF(OR(NOT(ISNUMBER($Q333)),$S333=""),"",IFERROR(IF(ISNUMBER(INDEX(Lists!$AJ$2:$AJ$7,MATCH($S333,Lists!$AI$2:$AI$7,0))),$Q333+INDEX(Lists!$AJ$2:$AJ$7,MATCH($S333,Lists!$AI$2:$AI$7,0)),""),""))))</f>
        <v/>
      </c>
      <c r="AE333" s="104" t="str">
        <f aca="true">IF($B333="","",IF(AND(ISNUMBER($AD333),N($AD333)&lt;TODAY(),$N333&lt;&gt;"Done",$N333&lt;&gt;"Won't Fix",$N333&lt;&gt;"Duplicate"),"Yes","No"))</f>
        <v/>
      </c>
      <c r="AF333" s="101"/>
      <c r="AG333" s="108" t="str">
        <f aca="false">IF($AF333="","",IFERROR(VLOOKUP($AF333,'Application Portfolio'!$A$2:$B$1000,2,FALSE()),"Unknown App ID"))</f>
        <v/>
      </c>
      <c r="AH333" s="108" t="str">
        <f aca="false">IF(OR($B333="",$AF333=""),"",IFERROR(VLOOKUP($AF333,'Application Portfolio'!$A$2:$AB$1000,28,FALSE()),""))</f>
        <v/>
      </c>
    </row>
    <row r="334" customFormat="false" ht="15.75" hidden="false" customHeight="true" outlineLevel="0" collapsed="false">
      <c r="A334" s="100"/>
      <c r="B334" s="101"/>
      <c r="C334" s="101"/>
      <c r="D334" s="101"/>
      <c r="E334" s="101"/>
      <c r="F334" s="102"/>
      <c r="G334" s="102"/>
      <c r="H334" s="102"/>
      <c r="I334" s="102"/>
      <c r="J334" s="102"/>
      <c r="K334" s="102"/>
      <c r="L334" s="103" t="str">
        <f aca="false">IF(OR($B334="", $H334="", $I334="", $J334="", $K334=""),"",ROUND((VLOOKUP($H334,Lists!$E$2:$F$5,2,FALSE())*VLOOKUP($I334,Lists!$H$2:$I$4,2,FALSE())*VLOOKUP($J334,Lists!$K$2:$L$4,2,FALSE()))/VLOOKUP($K334,Lists!$N$2:$O$6,2,FALSE()),2))</f>
        <v/>
      </c>
      <c r="M334" s="104" t="str">
        <f aca="false">IF($B334="","",IF($AC334&lt;&gt;"",$AC334,IF($H334="Critical","P0",IF(NOT(ISNUMBER($L334)),"",IF($L334&gt;=Lists!$AM$2,"P0",IF($L334&gt;=Lists!$AM$3,"P1",IF($L334&gt;=Lists!$AM$4,"P2","P3")))))))</f>
        <v/>
      </c>
      <c r="N334" s="102"/>
      <c r="O334" s="101"/>
      <c r="P334" s="102"/>
      <c r="Q334" s="105"/>
      <c r="R334" s="106" t="str">
        <f aca="true">IF($Q334="","", TODAY()-$Q334)</f>
        <v/>
      </c>
      <c r="S334" s="102"/>
      <c r="T334" s="105"/>
      <c r="U334" s="105"/>
      <c r="V334" s="101"/>
      <c r="W334" s="101"/>
      <c r="X334" s="101"/>
      <c r="Y334" s="96"/>
      <c r="Z334" s="96"/>
      <c r="AA334" s="96"/>
      <c r="AC334" s="102"/>
      <c r="AD334" s="107" t="str">
        <f aca="false">IF($B334="","",IF(ISNUMBER($T334),$T334,IF(OR(NOT(ISNUMBER($Q334)),$S334=""),"",IFERROR(IF(ISNUMBER(INDEX(Lists!$AJ$2:$AJ$7,MATCH($S334,Lists!$AI$2:$AI$7,0))),$Q334+INDEX(Lists!$AJ$2:$AJ$7,MATCH($S334,Lists!$AI$2:$AI$7,0)),""),""))))</f>
        <v/>
      </c>
      <c r="AE334" s="104" t="str">
        <f aca="true">IF($B334="","",IF(AND(ISNUMBER($AD334),N($AD334)&lt;TODAY(),$N334&lt;&gt;"Done",$N334&lt;&gt;"Won't Fix",$N334&lt;&gt;"Duplicate"),"Yes","No"))</f>
        <v/>
      </c>
      <c r="AF334" s="101"/>
      <c r="AG334" s="108" t="str">
        <f aca="false">IF($AF334="","",IFERROR(VLOOKUP($AF334,'Application Portfolio'!$A$2:$B$1000,2,FALSE()),"Unknown App ID"))</f>
        <v/>
      </c>
      <c r="AH334" s="108" t="str">
        <f aca="false">IF(OR($B334="",$AF334=""),"",IFERROR(VLOOKUP($AF334,'Application Portfolio'!$A$2:$AB$1000,28,FALSE()),""))</f>
        <v/>
      </c>
    </row>
    <row r="335" customFormat="false" ht="15.75" hidden="false" customHeight="true" outlineLevel="0" collapsed="false">
      <c r="A335" s="100"/>
      <c r="B335" s="101"/>
      <c r="C335" s="101"/>
      <c r="D335" s="101"/>
      <c r="E335" s="101"/>
      <c r="F335" s="102"/>
      <c r="G335" s="102"/>
      <c r="H335" s="102"/>
      <c r="I335" s="102"/>
      <c r="J335" s="102"/>
      <c r="K335" s="102"/>
      <c r="L335" s="103" t="str">
        <f aca="false">IF(OR($B335="", $H335="", $I335="", $J335="", $K335=""),"",ROUND((VLOOKUP($H335,Lists!$E$2:$F$5,2,FALSE())*VLOOKUP($I335,Lists!$H$2:$I$4,2,FALSE())*VLOOKUP($J335,Lists!$K$2:$L$4,2,FALSE()))/VLOOKUP($K335,Lists!$N$2:$O$6,2,FALSE()),2))</f>
        <v/>
      </c>
      <c r="M335" s="104" t="str">
        <f aca="false">IF($B335="","",IF($AC335&lt;&gt;"",$AC335,IF($H335="Critical","P0",IF(NOT(ISNUMBER($L335)),"",IF($L335&gt;=Lists!$AM$2,"P0",IF($L335&gt;=Lists!$AM$3,"P1",IF($L335&gt;=Lists!$AM$4,"P2","P3")))))))</f>
        <v/>
      </c>
      <c r="N335" s="102"/>
      <c r="O335" s="101"/>
      <c r="P335" s="102"/>
      <c r="Q335" s="105"/>
      <c r="R335" s="106" t="str">
        <f aca="true">IF($Q335="","", TODAY()-$Q335)</f>
        <v/>
      </c>
      <c r="S335" s="102"/>
      <c r="T335" s="105"/>
      <c r="U335" s="105"/>
      <c r="V335" s="101"/>
      <c r="W335" s="101"/>
      <c r="X335" s="101"/>
      <c r="Y335" s="96"/>
      <c r="Z335" s="96"/>
      <c r="AA335" s="96"/>
      <c r="AC335" s="102"/>
      <c r="AD335" s="107" t="str">
        <f aca="false">IF($B335="","",IF(ISNUMBER($T335),$T335,IF(OR(NOT(ISNUMBER($Q335)),$S335=""),"",IFERROR(IF(ISNUMBER(INDEX(Lists!$AJ$2:$AJ$7,MATCH($S335,Lists!$AI$2:$AI$7,0))),$Q335+INDEX(Lists!$AJ$2:$AJ$7,MATCH($S335,Lists!$AI$2:$AI$7,0)),""),""))))</f>
        <v/>
      </c>
      <c r="AE335" s="104" t="str">
        <f aca="true">IF($B335="","",IF(AND(ISNUMBER($AD335),N($AD335)&lt;TODAY(),$N335&lt;&gt;"Done",$N335&lt;&gt;"Won't Fix",$N335&lt;&gt;"Duplicate"),"Yes","No"))</f>
        <v/>
      </c>
      <c r="AF335" s="101"/>
      <c r="AG335" s="108" t="str">
        <f aca="false">IF($AF335="","",IFERROR(VLOOKUP($AF335,'Application Portfolio'!$A$2:$B$1000,2,FALSE()),"Unknown App ID"))</f>
        <v/>
      </c>
      <c r="AH335" s="108" t="str">
        <f aca="false">IF(OR($B335="",$AF335=""),"",IFERROR(VLOOKUP($AF335,'Application Portfolio'!$A$2:$AB$1000,28,FALSE()),""))</f>
        <v/>
      </c>
    </row>
    <row r="336" customFormat="false" ht="15.75" hidden="false" customHeight="true" outlineLevel="0" collapsed="false">
      <c r="A336" s="100"/>
      <c r="B336" s="101"/>
      <c r="C336" s="101"/>
      <c r="D336" s="101"/>
      <c r="E336" s="101"/>
      <c r="F336" s="102"/>
      <c r="G336" s="102"/>
      <c r="H336" s="102"/>
      <c r="I336" s="102"/>
      <c r="J336" s="102"/>
      <c r="K336" s="102"/>
      <c r="L336" s="103" t="str">
        <f aca="false">IF(OR($B336="", $H336="", $I336="", $J336="", $K336=""),"",ROUND((VLOOKUP($H336,Lists!$E$2:$F$5,2,FALSE())*VLOOKUP($I336,Lists!$H$2:$I$4,2,FALSE())*VLOOKUP($J336,Lists!$K$2:$L$4,2,FALSE()))/VLOOKUP($K336,Lists!$N$2:$O$6,2,FALSE()),2))</f>
        <v/>
      </c>
      <c r="M336" s="104" t="str">
        <f aca="false">IF($B336="","",IF($AC336&lt;&gt;"",$AC336,IF($H336="Critical","P0",IF(NOT(ISNUMBER($L336)),"",IF($L336&gt;=Lists!$AM$2,"P0",IF($L336&gt;=Lists!$AM$3,"P1",IF($L336&gt;=Lists!$AM$4,"P2","P3")))))))</f>
        <v/>
      </c>
      <c r="N336" s="102"/>
      <c r="O336" s="101"/>
      <c r="P336" s="102"/>
      <c r="Q336" s="105"/>
      <c r="R336" s="106" t="str">
        <f aca="true">IF($Q336="","", TODAY()-$Q336)</f>
        <v/>
      </c>
      <c r="S336" s="102"/>
      <c r="T336" s="105"/>
      <c r="U336" s="105"/>
      <c r="V336" s="101"/>
      <c r="W336" s="101"/>
      <c r="X336" s="101"/>
      <c r="Y336" s="96"/>
      <c r="Z336" s="96"/>
      <c r="AA336" s="96"/>
      <c r="AC336" s="102"/>
      <c r="AD336" s="107" t="str">
        <f aca="false">IF($B336="","",IF(ISNUMBER($T336),$T336,IF(OR(NOT(ISNUMBER($Q336)),$S336=""),"",IFERROR(IF(ISNUMBER(INDEX(Lists!$AJ$2:$AJ$7,MATCH($S336,Lists!$AI$2:$AI$7,0))),$Q336+INDEX(Lists!$AJ$2:$AJ$7,MATCH($S336,Lists!$AI$2:$AI$7,0)),""),""))))</f>
        <v/>
      </c>
      <c r="AE336" s="104" t="str">
        <f aca="true">IF($B336="","",IF(AND(ISNUMBER($AD336),N($AD336)&lt;TODAY(),$N336&lt;&gt;"Done",$N336&lt;&gt;"Won't Fix",$N336&lt;&gt;"Duplicate"),"Yes","No"))</f>
        <v/>
      </c>
      <c r="AF336" s="101"/>
      <c r="AG336" s="108" t="str">
        <f aca="false">IF($AF336="","",IFERROR(VLOOKUP($AF336,'Application Portfolio'!$A$2:$B$1000,2,FALSE()),"Unknown App ID"))</f>
        <v/>
      </c>
      <c r="AH336" s="108" t="str">
        <f aca="false">IF(OR($B336="",$AF336=""),"",IFERROR(VLOOKUP($AF336,'Application Portfolio'!$A$2:$AB$1000,28,FALSE()),""))</f>
        <v/>
      </c>
    </row>
    <row r="337" customFormat="false" ht="15.75" hidden="false" customHeight="true" outlineLevel="0" collapsed="false">
      <c r="A337" s="100"/>
      <c r="B337" s="101"/>
      <c r="C337" s="101"/>
      <c r="D337" s="101"/>
      <c r="E337" s="101"/>
      <c r="F337" s="102"/>
      <c r="G337" s="102"/>
      <c r="H337" s="102"/>
      <c r="I337" s="102"/>
      <c r="J337" s="102"/>
      <c r="K337" s="102"/>
      <c r="L337" s="103" t="str">
        <f aca="false">IF(OR($B337="", $H337="", $I337="", $J337="", $K337=""),"",ROUND((VLOOKUP($H337,Lists!$E$2:$F$5,2,FALSE())*VLOOKUP($I337,Lists!$H$2:$I$4,2,FALSE())*VLOOKUP($J337,Lists!$K$2:$L$4,2,FALSE()))/VLOOKUP($K337,Lists!$N$2:$O$6,2,FALSE()),2))</f>
        <v/>
      </c>
      <c r="M337" s="104" t="str">
        <f aca="false">IF($B337="","",IF($AC337&lt;&gt;"",$AC337,IF($H337="Critical","P0",IF(NOT(ISNUMBER($L337)),"",IF($L337&gt;=Lists!$AM$2,"P0",IF($L337&gt;=Lists!$AM$3,"P1",IF($L337&gt;=Lists!$AM$4,"P2","P3")))))))</f>
        <v/>
      </c>
      <c r="N337" s="102"/>
      <c r="O337" s="101"/>
      <c r="P337" s="102"/>
      <c r="Q337" s="105"/>
      <c r="R337" s="106" t="str">
        <f aca="true">IF($Q337="","", TODAY()-$Q337)</f>
        <v/>
      </c>
      <c r="S337" s="102"/>
      <c r="T337" s="105"/>
      <c r="U337" s="105"/>
      <c r="V337" s="101"/>
      <c r="W337" s="101"/>
      <c r="X337" s="101"/>
      <c r="Y337" s="96"/>
      <c r="Z337" s="96"/>
      <c r="AA337" s="96"/>
      <c r="AC337" s="102"/>
      <c r="AD337" s="107" t="str">
        <f aca="false">IF($B337="","",IF(ISNUMBER($T337),$T337,IF(OR(NOT(ISNUMBER($Q337)),$S337=""),"",IFERROR(IF(ISNUMBER(INDEX(Lists!$AJ$2:$AJ$7,MATCH($S337,Lists!$AI$2:$AI$7,0))),$Q337+INDEX(Lists!$AJ$2:$AJ$7,MATCH($S337,Lists!$AI$2:$AI$7,0)),""),""))))</f>
        <v/>
      </c>
      <c r="AE337" s="104" t="str">
        <f aca="true">IF($B337="","",IF(AND(ISNUMBER($AD337),N($AD337)&lt;TODAY(),$N337&lt;&gt;"Done",$N337&lt;&gt;"Won't Fix",$N337&lt;&gt;"Duplicate"),"Yes","No"))</f>
        <v/>
      </c>
      <c r="AF337" s="101"/>
      <c r="AG337" s="108" t="str">
        <f aca="false">IF($AF337="","",IFERROR(VLOOKUP($AF337,'Application Portfolio'!$A$2:$B$1000,2,FALSE()),"Unknown App ID"))</f>
        <v/>
      </c>
      <c r="AH337" s="108" t="str">
        <f aca="false">IF(OR($B337="",$AF337=""),"",IFERROR(VLOOKUP($AF337,'Application Portfolio'!$A$2:$AB$1000,28,FALSE()),""))</f>
        <v/>
      </c>
    </row>
    <row r="338" customFormat="false" ht="15.75" hidden="false" customHeight="true" outlineLevel="0" collapsed="false">
      <c r="A338" s="100"/>
      <c r="B338" s="101"/>
      <c r="C338" s="101"/>
      <c r="D338" s="101"/>
      <c r="E338" s="101"/>
      <c r="F338" s="102"/>
      <c r="G338" s="102"/>
      <c r="H338" s="102"/>
      <c r="I338" s="102"/>
      <c r="J338" s="102"/>
      <c r="K338" s="102"/>
      <c r="L338" s="103" t="str">
        <f aca="false">IF(OR($B338="", $H338="", $I338="", $J338="", $K338=""),"",ROUND((VLOOKUP($H338,Lists!$E$2:$F$5,2,FALSE())*VLOOKUP($I338,Lists!$H$2:$I$4,2,FALSE())*VLOOKUP($J338,Lists!$K$2:$L$4,2,FALSE()))/VLOOKUP($K338,Lists!$N$2:$O$6,2,FALSE()),2))</f>
        <v/>
      </c>
      <c r="M338" s="104" t="str">
        <f aca="false">IF($B338="","",IF($AC338&lt;&gt;"",$AC338,IF($H338="Critical","P0",IF(NOT(ISNUMBER($L338)),"",IF($L338&gt;=Lists!$AM$2,"P0",IF($L338&gt;=Lists!$AM$3,"P1",IF($L338&gt;=Lists!$AM$4,"P2","P3")))))))</f>
        <v/>
      </c>
      <c r="N338" s="102"/>
      <c r="O338" s="101"/>
      <c r="P338" s="102"/>
      <c r="Q338" s="105"/>
      <c r="R338" s="106" t="str">
        <f aca="true">IF($Q338="","", TODAY()-$Q338)</f>
        <v/>
      </c>
      <c r="S338" s="102"/>
      <c r="T338" s="105"/>
      <c r="U338" s="105"/>
      <c r="V338" s="101"/>
      <c r="W338" s="101"/>
      <c r="X338" s="101"/>
      <c r="Y338" s="96"/>
      <c r="Z338" s="96"/>
      <c r="AA338" s="96"/>
      <c r="AC338" s="102"/>
      <c r="AD338" s="107" t="str">
        <f aca="false">IF($B338="","",IF(ISNUMBER($T338),$T338,IF(OR(NOT(ISNUMBER($Q338)),$S338=""),"",IFERROR(IF(ISNUMBER(INDEX(Lists!$AJ$2:$AJ$7,MATCH($S338,Lists!$AI$2:$AI$7,0))),$Q338+INDEX(Lists!$AJ$2:$AJ$7,MATCH($S338,Lists!$AI$2:$AI$7,0)),""),""))))</f>
        <v/>
      </c>
      <c r="AE338" s="104" t="str">
        <f aca="true">IF($B338="","",IF(AND(ISNUMBER($AD338),N($AD338)&lt;TODAY(),$N338&lt;&gt;"Done",$N338&lt;&gt;"Won't Fix",$N338&lt;&gt;"Duplicate"),"Yes","No"))</f>
        <v/>
      </c>
      <c r="AF338" s="101"/>
      <c r="AG338" s="108" t="str">
        <f aca="false">IF($AF338="","",IFERROR(VLOOKUP($AF338,'Application Portfolio'!$A$2:$B$1000,2,FALSE()),"Unknown App ID"))</f>
        <v/>
      </c>
      <c r="AH338" s="108" t="str">
        <f aca="false">IF(OR($B338="",$AF338=""),"",IFERROR(VLOOKUP($AF338,'Application Portfolio'!$A$2:$AB$1000,28,FALSE()),""))</f>
        <v/>
      </c>
    </row>
    <row r="339" customFormat="false" ht="15.75" hidden="false" customHeight="true" outlineLevel="0" collapsed="false">
      <c r="A339" s="100"/>
      <c r="B339" s="101"/>
      <c r="C339" s="101"/>
      <c r="D339" s="101"/>
      <c r="E339" s="101"/>
      <c r="F339" s="102"/>
      <c r="G339" s="102"/>
      <c r="H339" s="102"/>
      <c r="I339" s="102"/>
      <c r="J339" s="102"/>
      <c r="K339" s="102"/>
      <c r="L339" s="103" t="str">
        <f aca="false">IF(OR($B339="", $H339="", $I339="", $J339="", $K339=""),"",ROUND((VLOOKUP($H339,Lists!$E$2:$F$5,2,FALSE())*VLOOKUP($I339,Lists!$H$2:$I$4,2,FALSE())*VLOOKUP($J339,Lists!$K$2:$L$4,2,FALSE()))/VLOOKUP($K339,Lists!$N$2:$O$6,2,FALSE()),2))</f>
        <v/>
      </c>
      <c r="M339" s="104" t="str">
        <f aca="false">IF($B339="","",IF($AC339&lt;&gt;"",$AC339,IF($H339="Critical","P0",IF(NOT(ISNUMBER($L339)),"",IF($L339&gt;=Lists!$AM$2,"P0",IF($L339&gt;=Lists!$AM$3,"P1",IF($L339&gt;=Lists!$AM$4,"P2","P3")))))))</f>
        <v/>
      </c>
      <c r="N339" s="102"/>
      <c r="O339" s="101"/>
      <c r="P339" s="102"/>
      <c r="Q339" s="105"/>
      <c r="R339" s="106" t="str">
        <f aca="true">IF($Q339="","", TODAY()-$Q339)</f>
        <v/>
      </c>
      <c r="S339" s="102"/>
      <c r="T339" s="105"/>
      <c r="U339" s="105"/>
      <c r="V339" s="101"/>
      <c r="W339" s="101"/>
      <c r="X339" s="101"/>
      <c r="Y339" s="96"/>
      <c r="Z339" s="96"/>
      <c r="AA339" s="96"/>
      <c r="AC339" s="102"/>
      <c r="AD339" s="107" t="str">
        <f aca="false">IF($B339="","",IF(ISNUMBER($T339),$T339,IF(OR(NOT(ISNUMBER($Q339)),$S339=""),"",IFERROR(IF(ISNUMBER(INDEX(Lists!$AJ$2:$AJ$7,MATCH($S339,Lists!$AI$2:$AI$7,0))),$Q339+INDEX(Lists!$AJ$2:$AJ$7,MATCH($S339,Lists!$AI$2:$AI$7,0)),""),""))))</f>
        <v/>
      </c>
      <c r="AE339" s="104" t="str">
        <f aca="true">IF($B339="","",IF(AND(ISNUMBER($AD339),N($AD339)&lt;TODAY(),$N339&lt;&gt;"Done",$N339&lt;&gt;"Won't Fix",$N339&lt;&gt;"Duplicate"),"Yes","No"))</f>
        <v/>
      </c>
      <c r="AF339" s="101"/>
      <c r="AG339" s="108" t="str">
        <f aca="false">IF($AF339="","",IFERROR(VLOOKUP($AF339,'Application Portfolio'!$A$2:$B$1000,2,FALSE()),"Unknown App ID"))</f>
        <v/>
      </c>
      <c r="AH339" s="108" t="str">
        <f aca="false">IF(OR($B339="",$AF339=""),"",IFERROR(VLOOKUP($AF339,'Application Portfolio'!$A$2:$AB$1000,28,FALSE()),""))</f>
        <v/>
      </c>
    </row>
    <row r="340" customFormat="false" ht="15.75" hidden="false" customHeight="true" outlineLevel="0" collapsed="false">
      <c r="A340" s="100"/>
      <c r="B340" s="101"/>
      <c r="C340" s="101"/>
      <c r="D340" s="101"/>
      <c r="E340" s="101"/>
      <c r="F340" s="102"/>
      <c r="G340" s="102"/>
      <c r="H340" s="102"/>
      <c r="I340" s="102"/>
      <c r="J340" s="102"/>
      <c r="K340" s="102"/>
      <c r="L340" s="103" t="str">
        <f aca="false">IF(OR($B340="", $H340="", $I340="", $J340="", $K340=""),"",ROUND((VLOOKUP($H340,Lists!$E$2:$F$5,2,FALSE())*VLOOKUP($I340,Lists!$H$2:$I$4,2,FALSE())*VLOOKUP($J340,Lists!$K$2:$L$4,2,FALSE()))/VLOOKUP($K340,Lists!$N$2:$O$6,2,FALSE()),2))</f>
        <v/>
      </c>
      <c r="M340" s="104" t="str">
        <f aca="false">IF($B340="","",IF($AC340&lt;&gt;"",$AC340,IF($H340="Critical","P0",IF(NOT(ISNUMBER($L340)),"",IF($L340&gt;=Lists!$AM$2,"P0",IF($L340&gt;=Lists!$AM$3,"P1",IF($L340&gt;=Lists!$AM$4,"P2","P3")))))))</f>
        <v/>
      </c>
      <c r="N340" s="102"/>
      <c r="O340" s="101"/>
      <c r="P340" s="102"/>
      <c r="Q340" s="105"/>
      <c r="R340" s="106" t="str">
        <f aca="true">IF($Q340="","", TODAY()-$Q340)</f>
        <v/>
      </c>
      <c r="S340" s="102"/>
      <c r="T340" s="105"/>
      <c r="U340" s="105"/>
      <c r="V340" s="101"/>
      <c r="W340" s="101"/>
      <c r="X340" s="101"/>
      <c r="Y340" s="96"/>
      <c r="Z340" s="96"/>
      <c r="AA340" s="96"/>
      <c r="AC340" s="102"/>
      <c r="AD340" s="107" t="str">
        <f aca="false">IF($B340="","",IF(ISNUMBER($T340),$T340,IF(OR(NOT(ISNUMBER($Q340)),$S340=""),"",IFERROR(IF(ISNUMBER(INDEX(Lists!$AJ$2:$AJ$7,MATCH($S340,Lists!$AI$2:$AI$7,0))),$Q340+INDEX(Lists!$AJ$2:$AJ$7,MATCH($S340,Lists!$AI$2:$AI$7,0)),""),""))))</f>
        <v/>
      </c>
      <c r="AE340" s="104" t="str">
        <f aca="true">IF($B340="","",IF(AND(ISNUMBER($AD340),N($AD340)&lt;TODAY(),$N340&lt;&gt;"Done",$N340&lt;&gt;"Won't Fix",$N340&lt;&gt;"Duplicate"),"Yes","No"))</f>
        <v/>
      </c>
      <c r="AF340" s="101"/>
      <c r="AG340" s="108" t="str">
        <f aca="false">IF($AF340="","",IFERROR(VLOOKUP($AF340,'Application Portfolio'!$A$2:$B$1000,2,FALSE()),"Unknown App ID"))</f>
        <v/>
      </c>
      <c r="AH340" s="108" t="str">
        <f aca="false">IF(OR($B340="",$AF340=""),"",IFERROR(VLOOKUP($AF340,'Application Portfolio'!$A$2:$AB$1000,28,FALSE()),""))</f>
        <v/>
      </c>
    </row>
    <row r="341" customFormat="false" ht="15.75" hidden="false" customHeight="true" outlineLevel="0" collapsed="false">
      <c r="A341" s="100"/>
      <c r="B341" s="101"/>
      <c r="C341" s="101"/>
      <c r="D341" s="101"/>
      <c r="E341" s="101"/>
      <c r="F341" s="102"/>
      <c r="G341" s="102"/>
      <c r="H341" s="102"/>
      <c r="I341" s="102"/>
      <c r="J341" s="102"/>
      <c r="K341" s="102"/>
      <c r="L341" s="103" t="str">
        <f aca="false">IF(OR($B341="", $H341="", $I341="", $J341="", $K341=""),"",ROUND((VLOOKUP($H341,Lists!$E$2:$F$5,2,FALSE())*VLOOKUP($I341,Lists!$H$2:$I$4,2,FALSE())*VLOOKUP($J341,Lists!$K$2:$L$4,2,FALSE()))/VLOOKUP($K341,Lists!$N$2:$O$6,2,FALSE()),2))</f>
        <v/>
      </c>
      <c r="M341" s="104" t="str">
        <f aca="false">IF($B341="","",IF($AC341&lt;&gt;"",$AC341,IF($H341="Critical","P0",IF(NOT(ISNUMBER($L341)),"",IF($L341&gt;=Lists!$AM$2,"P0",IF($L341&gt;=Lists!$AM$3,"P1",IF($L341&gt;=Lists!$AM$4,"P2","P3")))))))</f>
        <v/>
      </c>
      <c r="N341" s="102"/>
      <c r="O341" s="101"/>
      <c r="P341" s="102"/>
      <c r="Q341" s="105"/>
      <c r="R341" s="106" t="str">
        <f aca="true">IF($Q341="","", TODAY()-$Q341)</f>
        <v/>
      </c>
      <c r="S341" s="102"/>
      <c r="T341" s="105"/>
      <c r="U341" s="105"/>
      <c r="V341" s="101"/>
      <c r="W341" s="101"/>
      <c r="X341" s="101"/>
      <c r="Y341" s="96"/>
      <c r="Z341" s="96"/>
      <c r="AA341" s="96"/>
      <c r="AC341" s="102"/>
      <c r="AD341" s="107" t="str">
        <f aca="false">IF($B341="","",IF(ISNUMBER($T341),$T341,IF(OR(NOT(ISNUMBER($Q341)),$S341=""),"",IFERROR(IF(ISNUMBER(INDEX(Lists!$AJ$2:$AJ$7,MATCH($S341,Lists!$AI$2:$AI$7,0))),$Q341+INDEX(Lists!$AJ$2:$AJ$7,MATCH($S341,Lists!$AI$2:$AI$7,0)),""),""))))</f>
        <v/>
      </c>
      <c r="AE341" s="104" t="str">
        <f aca="true">IF($B341="","",IF(AND(ISNUMBER($AD341),N($AD341)&lt;TODAY(),$N341&lt;&gt;"Done",$N341&lt;&gt;"Won't Fix",$N341&lt;&gt;"Duplicate"),"Yes","No"))</f>
        <v/>
      </c>
      <c r="AF341" s="101"/>
      <c r="AG341" s="108" t="str">
        <f aca="false">IF($AF341="","",IFERROR(VLOOKUP($AF341,'Application Portfolio'!$A$2:$B$1000,2,FALSE()),"Unknown App ID"))</f>
        <v/>
      </c>
      <c r="AH341" s="108" t="str">
        <f aca="false">IF(OR($B341="",$AF341=""),"",IFERROR(VLOOKUP($AF341,'Application Portfolio'!$A$2:$AB$1000,28,FALSE()),""))</f>
        <v/>
      </c>
    </row>
    <row r="342" customFormat="false" ht="15.75" hidden="false" customHeight="true" outlineLevel="0" collapsed="false">
      <c r="A342" s="100"/>
      <c r="B342" s="101"/>
      <c r="C342" s="101"/>
      <c r="D342" s="101"/>
      <c r="E342" s="101"/>
      <c r="F342" s="102"/>
      <c r="G342" s="102"/>
      <c r="H342" s="102"/>
      <c r="I342" s="102"/>
      <c r="J342" s="102"/>
      <c r="K342" s="102"/>
      <c r="L342" s="103" t="str">
        <f aca="false">IF(OR($B342="", $H342="", $I342="", $J342="", $K342=""),"",ROUND((VLOOKUP($H342,Lists!$E$2:$F$5,2,FALSE())*VLOOKUP($I342,Lists!$H$2:$I$4,2,FALSE())*VLOOKUP($J342,Lists!$K$2:$L$4,2,FALSE()))/VLOOKUP($K342,Lists!$N$2:$O$6,2,FALSE()),2))</f>
        <v/>
      </c>
      <c r="M342" s="104" t="str">
        <f aca="false">IF($B342="","",IF($AC342&lt;&gt;"",$AC342,IF($H342="Critical","P0",IF(NOT(ISNUMBER($L342)),"",IF($L342&gt;=Lists!$AM$2,"P0",IF($L342&gt;=Lists!$AM$3,"P1",IF($L342&gt;=Lists!$AM$4,"P2","P3")))))))</f>
        <v/>
      </c>
      <c r="N342" s="102"/>
      <c r="O342" s="101"/>
      <c r="P342" s="102"/>
      <c r="Q342" s="105"/>
      <c r="R342" s="106" t="str">
        <f aca="true">IF($Q342="","", TODAY()-$Q342)</f>
        <v/>
      </c>
      <c r="S342" s="102"/>
      <c r="T342" s="105"/>
      <c r="U342" s="105"/>
      <c r="V342" s="101"/>
      <c r="W342" s="101"/>
      <c r="X342" s="101"/>
      <c r="Y342" s="96"/>
      <c r="Z342" s="96"/>
      <c r="AA342" s="96"/>
      <c r="AC342" s="102"/>
      <c r="AD342" s="107" t="str">
        <f aca="false">IF($B342="","",IF(ISNUMBER($T342),$T342,IF(OR(NOT(ISNUMBER($Q342)),$S342=""),"",IFERROR(IF(ISNUMBER(INDEX(Lists!$AJ$2:$AJ$7,MATCH($S342,Lists!$AI$2:$AI$7,0))),$Q342+INDEX(Lists!$AJ$2:$AJ$7,MATCH($S342,Lists!$AI$2:$AI$7,0)),""),""))))</f>
        <v/>
      </c>
      <c r="AE342" s="104" t="str">
        <f aca="true">IF($B342="","",IF(AND(ISNUMBER($AD342),N($AD342)&lt;TODAY(),$N342&lt;&gt;"Done",$N342&lt;&gt;"Won't Fix",$N342&lt;&gt;"Duplicate"),"Yes","No"))</f>
        <v/>
      </c>
      <c r="AF342" s="101"/>
      <c r="AG342" s="108" t="str">
        <f aca="false">IF($AF342="","",IFERROR(VLOOKUP($AF342,'Application Portfolio'!$A$2:$B$1000,2,FALSE()),"Unknown App ID"))</f>
        <v/>
      </c>
      <c r="AH342" s="108" t="str">
        <f aca="false">IF(OR($B342="",$AF342=""),"",IFERROR(VLOOKUP($AF342,'Application Portfolio'!$A$2:$AB$1000,28,FALSE()),""))</f>
        <v/>
      </c>
    </row>
    <row r="343" customFormat="false" ht="15.75" hidden="false" customHeight="true" outlineLevel="0" collapsed="false">
      <c r="A343" s="100"/>
      <c r="B343" s="101"/>
      <c r="C343" s="101"/>
      <c r="D343" s="101"/>
      <c r="E343" s="101"/>
      <c r="F343" s="102"/>
      <c r="G343" s="102"/>
      <c r="H343" s="102"/>
      <c r="I343" s="102"/>
      <c r="J343" s="102"/>
      <c r="K343" s="102"/>
      <c r="L343" s="103" t="str">
        <f aca="false">IF(OR($B343="", $H343="", $I343="", $J343="", $K343=""),"",ROUND((VLOOKUP($H343,Lists!$E$2:$F$5,2,FALSE())*VLOOKUP($I343,Lists!$H$2:$I$4,2,FALSE())*VLOOKUP($J343,Lists!$K$2:$L$4,2,FALSE()))/VLOOKUP($K343,Lists!$N$2:$O$6,2,FALSE()),2))</f>
        <v/>
      </c>
      <c r="M343" s="104" t="str">
        <f aca="false">IF($B343="","",IF($AC343&lt;&gt;"",$AC343,IF($H343="Critical","P0",IF(NOT(ISNUMBER($L343)),"",IF($L343&gt;=Lists!$AM$2,"P0",IF($L343&gt;=Lists!$AM$3,"P1",IF($L343&gt;=Lists!$AM$4,"P2","P3")))))))</f>
        <v/>
      </c>
      <c r="N343" s="102"/>
      <c r="O343" s="101"/>
      <c r="P343" s="102"/>
      <c r="Q343" s="105"/>
      <c r="R343" s="106" t="str">
        <f aca="true">IF($Q343="","", TODAY()-$Q343)</f>
        <v/>
      </c>
      <c r="S343" s="102"/>
      <c r="T343" s="105"/>
      <c r="U343" s="105"/>
      <c r="V343" s="101"/>
      <c r="W343" s="101"/>
      <c r="X343" s="101"/>
      <c r="Y343" s="96"/>
      <c r="Z343" s="96"/>
      <c r="AA343" s="96"/>
      <c r="AC343" s="102"/>
      <c r="AD343" s="107" t="str">
        <f aca="false">IF($B343="","",IF(ISNUMBER($T343),$T343,IF(OR(NOT(ISNUMBER($Q343)),$S343=""),"",IFERROR(IF(ISNUMBER(INDEX(Lists!$AJ$2:$AJ$7,MATCH($S343,Lists!$AI$2:$AI$7,0))),$Q343+INDEX(Lists!$AJ$2:$AJ$7,MATCH($S343,Lists!$AI$2:$AI$7,0)),""),""))))</f>
        <v/>
      </c>
      <c r="AE343" s="104" t="str">
        <f aca="true">IF($B343="","",IF(AND(ISNUMBER($AD343),N($AD343)&lt;TODAY(),$N343&lt;&gt;"Done",$N343&lt;&gt;"Won't Fix",$N343&lt;&gt;"Duplicate"),"Yes","No"))</f>
        <v/>
      </c>
      <c r="AF343" s="101"/>
      <c r="AG343" s="108" t="str">
        <f aca="false">IF($AF343="","",IFERROR(VLOOKUP($AF343,'Application Portfolio'!$A$2:$B$1000,2,FALSE()),"Unknown App ID"))</f>
        <v/>
      </c>
      <c r="AH343" s="108" t="str">
        <f aca="false">IF(OR($B343="",$AF343=""),"",IFERROR(VLOOKUP($AF343,'Application Portfolio'!$A$2:$AB$1000,28,FALSE()),""))</f>
        <v/>
      </c>
    </row>
    <row r="344" customFormat="false" ht="15.75" hidden="false" customHeight="true" outlineLevel="0" collapsed="false">
      <c r="A344" s="100"/>
      <c r="B344" s="101"/>
      <c r="C344" s="101"/>
      <c r="D344" s="101"/>
      <c r="E344" s="101"/>
      <c r="F344" s="102"/>
      <c r="G344" s="102"/>
      <c r="H344" s="102"/>
      <c r="I344" s="102"/>
      <c r="J344" s="102"/>
      <c r="K344" s="102"/>
      <c r="L344" s="103" t="str">
        <f aca="false">IF(OR($B344="", $H344="", $I344="", $J344="", $K344=""),"",ROUND((VLOOKUP($H344,Lists!$E$2:$F$5,2,FALSE())*VLOOKUP($I344,Lists!$H$2:$I$4,2,FALSE())*VLOOKUP($J344,Lists!$K$2:$L$4,2,FALSE()))/VLOOKUP($K344,Lists!$N$2:$O$6,2,FALSE()),2))</f>
        <v/>
      </c>
      <c r="M344" s="104" t="str">
        <f aca="false">IF($B344="","",IF($AC344&lt;&gt;"",$AC344,IF($H344="Critical","P0",IF(NOT(ISNUMBER($L344)),"",IF($L344&gt;=Lists!$AM$2,"P0",IF($L344&gt;=Lists!$AM$3,"P1",IF($L344&gt;=Lists!$AM$4,"P2","P3")))))))</f>
        <v/>
      </c>
      <c r="N344" s="102"/>
      <c r="O344" s="101"/>
      <c r="P344" s="102"/>
      <c r="Q344" s="105"/>
      <c r="R344" s="106" t="str">
        <f aca="true">IF($Q344="","", TODAY()-$Q344)</f>
        <v/>
      </c>
      <c r="S344" s="102"/>
      <c r="T344" s="105"/>
      <c r="U344" s="105"/>
      <c r="V344" s="101"/>
      <c r="W344" s="101"/>
      <c r="X344" s="101"/>
      <c r="Y344" s="96"/>
      <c r="Z344" s="96"/>
      <c r="AA344" s="96"/>
      <c r="AC344" s="102"/>
      <c r="AD344" s="107" t="str">
        <f aca="false">IF($B344="","",IF(ISNUMBER($T344),$T344,IF(OR(NOT(ISNUMBER($Q344)),$S344=""),"",IFERROR(IF(ISNUMBER(INDEX(Lists!$AJ$2:$AJ$7,MATCH($S344,Lists!$AI$2:$AI$7,0))),$Q344+INDEX(Lists!$AJ$2:$AJ$7,MATCH($S344,Lists!$AI$2:$AI$7,0)),""),""))))</f>
        <v/>
      </c>
      <c r="AE344" s="104" t="str">
        <f aca="true">IF($B344="","",IF(AND(ISNUMBER($AD344),N($AD344)&lt;TODAY(),$N344&lt;&gt;"Done",$N344&lt;&gt;"Won't Fix",$N344&lt;&gt;"Duplicate"),"Yes","No"))</f>
        <v/>
      </c>
      <c r="AF344" s="101"/>
      <c r="AG344" s="108" t="str">
        <f aca="false">IF($AF344="","",IFERROR(VLOOKUP($AF344,'Application Portfolio'!$A$2:$B$1000,2,FALSE()),"Unknown App ID"))</f>
        <v/>
      </c>
      <c r="AH344" s="108" t="str">
        <f aca="false">IF(OR($B344="",$AF344=""),"",IFERROR(VLOOKUP($AF344,'Application Portfolio'!$A$2:$AB$1000,28,FALSE()),""))</f>
        <v/>
      </c>
    </row>
    <row r="345" customFormat="false" ht="15.75" hidden="false" customHeight="true" outlineLevel="0" collapsed="false">
      <c r="A345" s="100"/>
      <c r="B345" s="101"/>
      <c r="C345" s="101"/>
      <c r="D345" s="101"/>
      <c r="E345" s="101"/>
      <c r="F345" s="102"/>
      <c r="G345" s="102"/>
      <c r="H345" s="102"/>
      <c r="I345" s="102"/>
      <c r="J345" s="102"/>
      <c r="K345" s="102"/>
      <c r="L345" s="103" t="str">
        <f aca="false">IF(OR($B345="", $H345="", $I345="", $J345="", $K345=""),"",ROUND((VLOOKUP($H345,Lists!$E$2:$F$5,2,FALSE())*VLOOKUP($I345,Lists!$H$2:$I$4,2,FALSE())*VLOOKUP($J345,Lists!$K$2:$L$4,2,FALSE()))/VLOOKUP($K345,Lists!$N$2:$O$6,2,FALSE()),2))</f>
        <v/>
      </c>
      <c r="M345" s="104" t="str">
        <f aca="false">IF($B345="","",IF($AC345&lt;&gt;"",$AC345,IF($H345="Critical","P0",IF(NOT(ISNUMBER($L345)),"",IF($L345&gt;=Lists!$AM$2,"P0",IF($L345&gt;=Lists!$AM$3,"P1",IF($L345&gt;=Lists!$AM$4,"P2","P3")))))))</f>
        <v/>
      </c>
      <c r="N345" s="102"/>
      <c r="O345" s="101"/>
      <c r="P345" s="102"/>
      <c r="Q345" s="105"/>
      <c r="R345" s="106" t="str">
        <f aca="true">IF($Q345="","", TODAY()-$Q345)</f>
        <v/>
      </c>
      <c r="S345" s="102"/>
      <c r="T345" s="105"/>
      <c r="U345" s="105"/>
      <c r="V345" s="101"/>
      <c r="W345" s="101"/>
      <c r="X345" s="101"/>
      <c r="Y345" s="96"/>
      <c r="Z345" s="96"/>
      <c r="AA345" s="96"/>
      <c r="AC345" s="102"/>
      <c r="AD345" s="107" t="str">
        <f aca="false">IF($B345="","",IF(ISNUMBER($T345),$T345,IF(OR(NOT(ISNUMBER($Q345)),$S345=""),"",IFERROR(IF(ISNUMBER(INDEX(Lists!$AJ$2:$AJ$7,MATCH($S345,Lists!$AI$2:$AI$7,0))),$Q345+INDEX(Lists!$AJ$2:$AJ$7,MATCH($S345,Lists!$AI$2:$AI$7,0)),""),""))))</f>
        <v/>
      </c>
      <c r="AE345" s="104" t="str">
        <f aca="true">IF($B345="","",IF(AND(ISNUMBER($AD345),N($AD345)&lt;TODAY(),$N345&lt;&gt;"Done",$N345&lt;&gt;"Won't Fix",$N345&lt;&gt;"Duplicate"),"Yes","No"))</f>
        <v/>
      </c>
      <c r="AF345" s="101"/>
      <c r="AG345" s="108" t="str">
        <f aca="false">IF($AF345="","",IFERROR(VLOOKUP($AF345,'Application Portfolio'!$A$2:$B$1000,2,FALSE()),"Unknown App ID"))</f>
        <v/>
      </c>
      <c r="AH345" s="108" t="str">
        <f aca="false">IF(OR($B345="",$AF345=""),"",IFERROR(VLOOKUP($AF345,'Application Portfolio'!$A$2:$AB$1000,28,FALSE()),""))</f>
        <v/>
      </c>
    </row>
    <row r="346" customFormat="false" ht="15.75" hidden="false" customHeight="true" outlineLevel="0" collapsed="false">
      <c r="A346" s="100"/>
      <c r="B346" s="101"/>
      <c r="C346" s="101"/>
      <c r="D346" s="101"/>
      <c r="E346" s="101"/>
      <c r="F346" s="102"/>
      <c r="G346" s="102"/>
      <c r="H346" s="102"/>
      <c r="I346" s="102"/>
      <c r="J346" s="102"/>
      <c r="K346" s="102"/>
      <c r="L346" s="103" t="str">
        <f aca="false">IF(OR($B346="", $H346="", $I346="", $J346="", $K346=""),"",ROUND((VLOOKUP($H346,Lists!$E$2:$F$5,2,FALSE())*VLOOKUP($I346,Lists!$H$2:$I$4,2,FALSE())*VLOOKUP($J346,Lists!$K$2:$L$4,2,FALSE()))/VLOOKUP($K346,Lists!$N$2:$O$6,2,FALSE()),2))</f>
        <v/>
      </c>
      <c r="M346" s="104" t="str">
        <f aca="false">IF($B346="","",IF($AC346&lt;&gt;"",$AC346,IF($H346="Critical","P0",IF(NOT(ISNUMBER($L346)),"",IF($L346&gt;=Lists!$AM$2,"P0",IF($L346&gt;=Lists!$AM$3,"P1",IF($L346&gt;=Lists!$AM$4,"P2","P3")))))))</f>
        <v/>
      </c>
      <c r="N346" s="102"/>
      <c r="O346" s="101"/>
      <c r="P346" s="102"/>
      <c r="Q346" s="105"/>
      <c r="R346" s="106" t="str">
        <f aca="true">IF($Q346="","", TODAY()-$Q346)</f>
        <v/>
      </c>
      <c r="S346" s="102"/>
      <c r="T346" s="105"/>
      <c r="U346" s="105"/>
      <c r="V346" s="101"/>
      <c r="W346" s="101"/>
      <c r="X346" s="101"/>
      <c r="Y346" s="96"/>
      <c r="Z346" s="96"/>
      <c r="AA346" s="96"/>
      <c r="AC346" s="102"/>
      <c r="AD346" s="107" t="str">
        <f aca="false">IF($B346="","",IF(ISNUMBER($T346),$T346,IF(OR(NOT(ISNUMBER($Q346)),$S346=""),"",IFERROR(IF(ISNUMBER(INDEX(Lists!$AJ$2:$AJ$7,MATCH($S346,Lists!$AI$2:$AI$7,0))),$Q346+INDEX(Lists!$AJ$2:$AJ$7,MATCH($S346,Lists!$AI$2:$AI$7,0)),""),""))))</f>
        <v/>
      </c>
      <c r="AE346" s="104" t="str">
        <f aca="true">IF($B346="","",IF(AND(ISNUMBER($AD346),N($AD346)&lt;TODAY(),$N346&lt;&gt;"Done",$N346&lt;&gt;"Won't Fix",$N346&lt;&gt;"Duplicate"),"Yes","No"))</f>
        <v/>
      </c>
      <c r="AF346" s="101"/>
      <c r="AG346" s="108" t="str">
        <f aca="false">IF($AF346="","",IFERROR(VLOOKUP($AF346,'Application Portfolio'!$A$2:$B$1000,2,FALSE()),"Unknown App ID"))</f>
        <v/>
      </c>
      <c r="AH346" s="108" t="str">
        <f aca="false">IF(OR($B346="",$AF346=""),"",IFERROR(VLOOKUP($AF346,'Application Portfolio'!$A$2:$AB$1000,28,FALSE()),""))</f>
        <v/>
      </c>
    </row>
    <row r="347" customFormat="false" ht="15.75" hidden="false" customHeight="true" outlineLevel="0" collapsed="false">
      <c r="A347" s="100"/>
      <c r="B347" s="101"/>
      <c r="C347" s="101"/>
      <c r="D347" s="101"/>
      <c r="E347" s="101"/>
      <c r="F347" s="102"/>
      <c r="G347" s="102"/>
      <c r="H347" s="102"/>
      <c r="I347" s="102"/>
      <c r="J347" s="102"/>
      <c r="K347" s="102"/>
      <c r="L347" s="103" t="str">
        <f aca="false">IF(OR($B347="", $H347="", $I347="", $J347="", $K347=""),"",ROUND((VLOOKUP($H347,Lists!$E$2:$F$5,2,FALSE())*VLOOKUP($I347,Lists!$H$2:$I$4,2,FALSE())*VLOOKUP($J347,Lists!$K$2:$L$4,2,FALSE()))/VLOOKUP($K347,Lists!$N$2:$O$6,2,FALSE()),2))</f>
        <v/>
      </c>
      <c r="M347" s="104" t="str">
        <f aca="false">IF($B347="","",IF($AC347&lt;&gt;"",$AC347,IF($H347="Critical","P0",IF(NOT(ISNUMBER($L347)),"",IF($L347&gt;=Lists!$AM$2,"P0",IF($L347&gt;=Lists!$AM$3,"P1",IF($L347&gt;=Lists!$AM$4,"P2","P3")))))))</f>
        <v/>
      </c>
      <c r="N347" s="102"/>
      <c r="O347" s="101"/>
      <c r="P347" s="102"/>
      <c r="Q347" s="105"/>
      <c r="R347" s="106" t="str">
        <f aca="true">IF($Q347="","", TODAY()-$Q347)</f>
        <v/>
      </c>
      <c r="S347" s="102"/>
      <c r="T347" s="105"/>
      <c r="U347" s="105"/>
      <c r="V347" s="101"/>
      <c r="W347" s="101"/>
      <c r="X347" s="101"/>
      <c r="Y347" s="96"/>
      <c r="Z347" s="96"/>
      <c r="AA347" s="96"/>
      <c r="AC347" s="102"/>
      <c r="AD347" s="107" t="str">
        <f aca="false">IF($B347="","",IF(ISNUMBER($T347),$T347,IF(OR(NOT(ISNUMBER($Q347)),$S347=""),"",IFERROR(IF(ISNUMBER(INDEX(Lists!$AJ$2:$AJ$7,MATCH($S347,Lists!$AI$2:$AI$7,0))),$Q347+INDEX(Lists!$AJ$2:$AJ$7,MATCH($S347,Lists!$AI$2:$AI$7,0)),""),""))))</f>
        <v/>
      </c>
      <c r="AE347" s="104" t="str">
        <f aca="true">IF($B347="","",IF(AND(ISNUMBER($AD347),N($AD347)&lt;TODAY(),$N347&lt;&gt;"Done",$N347&lt;&gt;"Won't Fix",$N347&lt;&gt;"Duplicate"),"Yes","No"))</f>
        <v/>
      </c>
      <c r="AF347" s="101"/>
      <c r="AG347" s="108" t="str">
        <f aca="false">IF($AF347="","",IFERROR(VLOOKUP($AF347,'Application Portfolio'!$A$2:$B$1000,2,FALSE()),"Unknown App ID"))</f>
        <v/>
      </c>
      <c r="AH347" s="108" t="str">
        <f aca="false">IF(OR($B347="",$AF347=""),"",IFERROR(VLOOKUP($AF347,'Application Portfolio'!$A$2:$AB$1000,28,FALSE()),""))</f>
        <v/>
      </c>
    </row>
    <row r="348" customFormat="false" ht="15.75" hidden="false" customHeight="true" outlineLevel="0" collapsed="false">
      <c r="A348" s="100"/>
      <c r="B348" s="101"/>
      <c r="C348" s="101"/>
      <c r="D348" s="101"/>
      <c r="E348" s="101"/>
      <c r="F348" s="102"/>
      <c r="G348" s="102"/>
      <c r="H348" s="102"/>
      <c r="I348" s="102"/>
      <c r="J348" s="102"/>
      <c r="K348" s="102"/>
      <c r="L348" s="103" t="str">
        <f aca="false">IF(OR($B348="", $H348="", $I348="", $J348="", $K348=""),"",ROUND((VLOOKUP($H348,Lists!$E$2:$F$5,2,FALSE())*VLOOKUP($I348,Lists!$H$2:$I$4,2,FALSE())*VLOOKUP($J348,Lists!$K$2:$L$4,2,FALSE()))/VLOOKUP($K348,Lists!$N$2:$O$6,2,FALSE()),2))</f>
        <v/>
      </c>
      <c r="M348" s="104" t="str">
        <f aca="false">IF($B348="","",IF($AC348&lt;&gt;"",$AC348,IF($H348="Critical","P0",IF(NOT(ISNUMBER($L348)),"",IF($L348&gt;=Lists!$AM$2,"P0",IF($L348&gt;=Lists!$AM$3,"P1",IF($L348&gt;=Lists!$AM$4,"P2","P3")))))))</f>
        <v/>
      </c>
      <c r="N348" s="102"/>
      <c r="O348" s="101"/>
      <c r="P348" s="102"/>
      <c r="Q348" s="105"/>
      <c r="R348" s="106" t="str">
        <f aca="true">IF($Q348="","", TODAY()-$Q348)</f>
        <v/>
      </c>
      <c r="S348" s="102"/>
      <c r="T348" s="105"/>
      <c r="U348" s="105"/>
      <c r="V348" s="101"/>
      <c r="W348" s="101"/>
      <c r="X348" s="101"/>
      <c r="Y348" s="96"/>
      <c r="Z348" s="96"/>
      <c r="AA348" s="96"/>
      <c r="AC348" s="102"/>
      <c r="AD348" s="107" t="str">
        <f aca="false">IF($B348="","",IF(ISNUMBER($T348),$T348,IF(OR(NOT(ISNUMBER($Q348)),$S348=""),"",IFERROR(IF(ISNUMBER(INDEX(Lists!$AJ$2:$AJ$7,MATCH($S348,Lists!$AI$2:$AI$7,0))),$Q348+INDEX(Lists!$AJ$2:$AJ$7,MATCH($S348,Lists!$AI$2:$AI$7,0)),""),""))))</f>
        <v/>
      </c>
      <c r="AE348" s="104" t="str">
        <f aca="true">IF($B348="","",IF(AND(ISNUMBER($AD348),N($AD348)&lt;TODAY(),$N348&lt;&gt;"Done",$N348&lt;&gt;"Won't Fix",$N348&lt;&gt;"Duplicate"),"Yes","No"))</f>
        <v/>
      </c>
      <c r="AF348" s="101"/>
      <c r="AG348" s="108" t="str">
        <f aca="false">IF($AF348="","",IFERROR(VLOOKUP($AF348,'Application Portfolio'!$A$2:$B$1000,2,FALSE()),"Unknown App ID"))</f>
        <v/>
      </c>
      <c r="AH348" s="108" t="str">
        <f aca="false">IF(OR($B348="",$AF348=""),"",IFERROR(VLOOKUP($AF348,'Application Portfolio'!$A$2:$AB$1000,28,FALSE()),""))</f>
        <v/>
      </c>
    </row>
    <row r="349" customFormat="false" ht="15.75" hidden="false" customHeight="true" outlineLevel="0" collapsed="false">
      <c r="A349" s="100"/>
      <c r="B349" s="101"/>
      <c r="C349" s="101"/>
      <c r="D349" s="101"/>
      <c r="E349" s="101"/>
      <c r="F349" s="102"/>
      <c r="G349" s="102"/>
      <c r="H349" s="102"/>
      <c r="I349" s="102"/>
      <c r="J349" s="102"/>
      <c r="K349" s="102"/>
      <c r="L349" s="103" t="str">
        <f aca="false">IF(OR($B349="", $H349="", $I349="", $J349="", $K349=""),"",ROUND((VLOOKUP($H349,Lists!$E$2:$F$5,2,FALSE())*VLOOKUP($I349,Lists!$H$2:$I$4,2,FALSE())*VLOOKUP($J349,Lists!$K$2:$L$4,2,FALSE()))/VLOOKUP($K349,Lists!$N$2:$O$6,2,FALSE()),2))</f>
        <v/>
      </c>
      <c r="M349" s="104" t="str">
        <f aca="false">IF($B349="","",IF($AC349&lt;&gt;"",$AC349,IF($H349="Critical","P0",IF(NOT(ISNUMBER($L349)),"",IF($L349&gt;=Lists!$AM$2,"P0",IF($L349&gt;=Lists!$AM$3,"P1",IF($L349&gt;=Lists!$AM$4,"P2","P3")))))))</f>
        <v/>
      </c>
      <c r="N349" s="102"/>
      <c r="O349" s="101"/>
      <c r="P349" s="102"/>
      <c r="Q349" s="105"/>
      <c r="R349" s="106" t="str">
        <f aca="true">IF($Q349="","", TODAY()-$Q349)</f>
        <v/>
      </c>
      <c r="S349" s="102"/>
      <c r="T349" s="105"/>
      <c r="U349" s="105"/>
      <c r="V349" s="101"/>
      <c r="W349" s="101"/>
      <c r="X349" s="101"/>
      <c r="Y349" s="96"/>
      <c r="Z349" s="96"/>
      <c r="AA349" s="96"/>
      <c r="AC349" s="102"/>
      <c r="AD349" s="107" t="str">
        <f aca="false">IF($B349="","",IF(ISNUMBER($T349),$T349,IF(OR(NOT(ISNUMBER($Q349)),$S349=""),"",IFERROR(IF(ISNUMBER(INDEX(Lists!$AJ$2:$AJ$7,MATCH($S349,Lists!$AI$2:$AI$7,0))),$Q349+INDEX(Lists!$AJ$2:$AJ$7,MATCH($S349,Lists!$AI$2:$AI$7,0)),""),""))))</f>
        <v/>
      </c>
      <c r="AE349" s="104" t="str">
        <f aca="true">IF($B349="","",IF(AND(ISNUMBER($AD349),N($AD349)&lt;TODAY(),$N349&lt;&gt;"Done",$N349&lt;&gt;"Won't Fix",$N349&lt;&gt;"Duplicate"),"Yes","No"))</f>
        <v/>
      </c>
      <c r="AF349" s="101"/>
      <c r="AG349" s="108" t="str">
        <f aca="false">IF($AF349="","",IFERROR(VLOOKUP($AF349,'Application Portfolio'!$A$2:$B$1000,2,FALSE()),"Unknown App ID"))</f>
        <v/>
      </c>
      <c r="AH349" s="108" t="str">
        <f aca="false">IF(OR($B349="",$AF349=""),"",IFERROR(VLOOKUP($AF349,'Application Portfolio'!$A$2:$AB$1000,28,FALSE()),""))</f>
        <v/>
      </c>
    </row>
    <row r="350" customFormat="false" ht="15.75" hidden="false" customHeight="true" outlineLevel="0" collapsed="false">
      <c r="A350" s="100"/>
      <c r="B350" s="101"/>
      <c r="C350" s="101"/>
      <c r="D350" s="101"/>
      <c r="E350" s="101"/>
      <c r="F350" s="102"/>
      <c r="G350" s="102"/>
      <c r="H350" s="102"/>
      <c r="I350" s="102"/>
      <c r="J350" s="102"/>
      <c r="K350" s="102"/>
      <c r="L350" s="103" t="str">
        <f aca="false">IF(OR($B350="", $H350="", $I350="", $J350="", $K350=""),"",ROUND((VLOOKUP($H350,Lists!$E$2:$F$5,2,FALSE())*VLOOKUP($I350,Lists!$H$2:$I$4,2,FALSE())*VLOOKUP($J350,Lists!$K$2:$L$4,2,FALSE()))/VLOOKUP($K350,Lists!$N$2:$O$6,2,FALSE()),2))</f>
        <v/>
      </c>
      <c r="M350" s="104" t="str">
        <f aca="false">IF($B350="","",IF($AC350&lt;&gt;"",$AC350,IF($H350="Critical","P0",IF(NOT(ISNUMBER($L350)),"",IF($L350&gt;=Lists!$AM$2,"P0",IF($L350&gt;=Lists!$AM$3,"P1",IF($L350&gt;=Lists!$AM$4,"P2","P3")))))))</f>
        <v/>
      </c>
      <c r="N350" s="102"/>
      <c r="O350" s="101"/>
      <c r="P350" s="102"/>
      <c r="Q350" s="105"/>
      <c r="R350" s="106" t="str">
        <f aca="true">IF($Q350="","", TODAY()-$Q350)</f>
        <v/>
      </c>
      <c r="S350" s="102"/>
      <c r="T350" s="105"/>
      <c r="U350" s="105"/>
      <c r="V350" s="101"/>
      <c r="W350" s="101"/>
      <c r="X350" s="101"/>
      <c r="Y350" s="96"/>
      <c r="Z350" s="96"/>
      <c r="AA350" s="96"/>
      <c r="AC350" s="102"/>
      <c r="AD350" s="107" t="str">
        <f aca="false">IF($B350="","",IF(ISNUMBER($T350),$T350,IF(OR(NOT(ISNUMBER($Q350)),$S350=""),"",IFERROR(IF(ISNUMBER(INDEX(Lists!$AJ$2:$AJ$7,MATCH($S350,Lists!$AI$2:$AI$7,0))),$Q350+INDEX(Lists!$AJ$2:$AJ$7,MATCH($S350,Lists!$AI$2:$AI$7,0)),""),""))))</f>
        <v/>
      </c>
      <c r="AE350" s="104" t="str">
        <f aca="true">IF($B350="","",IF(AND(ISNUMBER($AD350),N($AD350)&lt;TODAY(),$N350&lt;&gt;"Done",$N350&lt;&gt;"Won't Fix",$N350&lt;&gt;"Duplicate"),"Yes","No"))</f>
        <v/>
      </c>
      <c r="AF350" s="101"/>
      <c r="AG350" s="108" t="str">
        <f aca="false">IF($AF350="","",IFERROR(VLOOKUP($AF350,'Application Portfolio'!$A$2:$B$1000,2,FALSE()),"Unknown App ID"))</f>
        <v/>
      </c>
      <c r="AH350" s="108" t="str">
        <f aca="false">IF(OR($B350="",$AF350=""),"",IFERROR(VLOOKUP($AF350,'Application Portfolio'!$A$2:$AB$1000,28,FALSE()),""))</f>
        <v/>
      </c>
    </row>
    <row r="351" customFormat="false" ht="15.75" hidden="false" customHeight="true" outlineLevel="0" collapsed="false">
      <c r="A351" s="100"/>
      <c r="B351" s="101"/>
      <c r="C351" s="101"/>
      <c r="D351" s="101"/>
      <c r="E351" s="101"/>
      <c r="F351" s="102"/>
      <c r="G351" s="102"/>
      <c r="H351" s="102"/>
      <c r="I351" s="102"/>
      <c r="J351" s="102"/>
      <c r="K351" s="102"/>
      <c r="L351" s="103" t="str">
        <f aca="false">IF(OR($B351="", $H351="", $I351="", $J351="", $K351=""),"",ROUND((VLOOKUP($H351,Lists!$E$2:$F$5,2,FALSE())*VLOOKUP($I351,Lists!$H$2:$I$4,2,FALSE())*VLOOKUP($J351,Lists!$K$2:$L$4,2,FALSE()))/VLOOKUP($K351,Lists!$N$2:$O$6,2,FALSE()),2))</f>
        <v/>
      </c>
      <c r="M351" s="104" t="str">
        <f aca="false">IF($B351="","",IF($AC351&lt;&gt;"",$AC351,IF($H351="Critical","P0",IF(NOT(ISNUMBER($L351)),"",IF($L351&gt;=Lists!$AM$2,"P0",IF($L351&gt;=Lists!$AM$3,"P1",IF($L351&gt;=Lists!$AM$4,"P2","P3")))))))</f>
        <v/>
      </c>
      <c r="N351" s="102"/>
      <c r="O351" s="101"/>
      <c r="P351" s="102"/>
      <c r="Q351" s="105"/>
      <c r="R351" s="106" t="str">
        <f aca="true">IF($Q351="","", TODAY()-$Q351)</f>
        <v/>
      </c>
      <c r="S351" s="102"/>
      <c r="T351" s="105"/>
      <c r="U351" s="105"/>
      <c r="V351" s="101"/>
      <c r="W351" s="101"/>
      <c r="X351" s="101"/>
      <c r="Y351" s="96"/>
      <c r="Z351" s="96"/>
      <c r="AA351" s="96"/>
      <c r="AC351" s="102"/>
      <c r="AD351" s="107" t="str">
        <f aca="false">IF($B351="","",IF(ISNUMBER($T351),$T351,IF(OR(NOT(ISNUMBER($Q351)),$S351=""),"",IFERROR(IF(ISNUMBER(INDEX(Lists!$AJ$2:$AJ$7,MATCH($S351,Lists!$AI$2:$AI$7,0))),$Q351+INDEX(Lists!$AJ$2:$AJ$7,MATCH($S351,Lists!$AI$2:$AI$7,0)),""),""))))</f>
        <v/>
      </c>
      <c r="AE351" s="104" t="str">
        <f aca="true">IF($B351="","",IF(AND(ISNUMBER($AD351),N($AD351)&lt;TODAY(),$N351&lt;&gt;"Done",$N351&lt;&gt;"Won't Fix",$N351&lt;&gt;"Duplicate"),"Yes","No"))</f>
        <v/>
      </c>
      <c r="AF351" s="101"/>
      <c r="AG351" s="108" t="str">
        <f aca="false">IF($AF351="","",IFERROR(VLOOKUP($AF351,'Application Portfolio'!$A$2:$B$1000,2,FALSE()),"Unknown App ID"))</f>
        <v/>
      </c>
      <c r="AH351" s="108" t="str">
        <f aca="false">IF(OR($B351="",$AF351=""),"",IFERROR(VLOOKUP($AF351,'Application Portfolio'!$A$2:$AB$1000,28,FALSE()),""))</f>
        <v/>
      </c>
    </row>
    <row r="352" customFormat="false" ht="15.75" hidden="false" customHeight="true" outlineLevel="0" collapsed="false">
      <c r="A352" s="100"/>
      <c r="B352" s="101"/>
      <c r="C352" s="101"/>
      <c r="D352" s="101"/>
      <c r="E352" s="101"/>
      <c r="F352" s="102"/>
      <c r="G352" s="102"/>
      <c r="H352" s="102"/>
      <c r="I352" s="102"/>
      <c r="J352" s="102"/>
      <c r="K352" s="102"/>
      <c r="L352" s="103" t="str">
        <f aca="false">IF(OR($B352="", $H352="", $I352="", $J352="", $K352=""),"",ROUND((VLOOKUP($H352,Lists!$E$2:$F$5,2,FALSE())*VLOOKUP($I352,Lists!$H$2:$I$4,2,FALSE())*VLOOKUP($J352,Lists!$K$2:$L$4,2,FALSE()))/VLOOKUP($K352,Lists!$N$2:$O$6,2,FALSE()),2))</f>
        <v/>
      </c>
      <c r="M352" s="104" t="str">
        <f aca="false">IF($B352="","",IF($AC352&lt;&gt;"",$AC352,IF($H352="Critical","P0",IF(NOT(ISNUMBER($L352)),"",IF($L352&gt;=Lists!$AM$2,"P0",IF($L352&gt;=Lists!$AM$3,"P1",IF($L352&gt;=Lists!$AM$4,"P2","P3")))))))</f>
        <v/>
      </c>
      <c r="N352" s="102"/>
      <c r="O352" s="101"/>
      <c r="P352" s="102"/>
      <c r="Q352" s="105"/>
      <c r="R352" s="106" t="str">
        <f aca="true">IF($Q352="","", TODAY()-$Q352)</f>
        <v/>
      </c>
      <c r="S352" s="102"/>
      <c r="T352" s="105"/>
      <c r="U352" s="105"/>
      <c r="V352" s="101"/>
      <c r="W352" s="101"/>
      <c r="X352" s="101"/>
      <c r="Y352" s="96"/>
      <c r="Z352" s="96"/>
      <c r="AA352" s="96"/>
      <c r="AC352" s="102"/>
      <c r="AD352" s="107" t="str">
        <f aca="false">IF($B352="","",IF(ISNUMBER($T352),$T352,IF(OR(NOT(ISNUMBER($Q352)),$S352=""),"",IFERROR(IF(ISNUMBER(INDEX(Lists!$AJ$2:$AJ$7,MATCH($S352,Lists!$AI$2:$AI$7,0))),$Q352+INDEX(Lists!$AJ$2:$AJ$7,MATCH($S352,Lists!$AI$2:$AI$7,0)),""),""))))</f>
        <v/>
      </c>
      <c r="AE352" s="104" t="str">
        <f aca="true">IF($B352="","",IF(AND(ISNUMBER($AD352),N($AD352)&lt;TODAY(),$N352&lt;&gt;"Done",$N352&lt;&gt;"Won't Fix",$N352&lt;&gt;"Duplicate"),"Yes","No"))</f>
        <v/>
      </c>
      <c r="AF352" s="101"/>
      <c r="AG352" s="108" t="str">
        <f aca="false">IF($AF352="","",IFERROR(VLOOKUP($AF352,'Application Portfolio'!$A$2:$B$1000,2,FALSE()),"Unknown App ID"))</f>
        <v/>
      </c>
      <c r="AH352" s="108" t="str">
        <f aca="false">IF(OR($B352="",$AF352=""),"",IFERROR(VLOOKUP($AF352,'Application Portfolio'!$A$2:$AB$1000,28,FALSE()),""))</f>
        <v/>
      </c>
    </row>
    <row r="353" customFormat="false" ht="15.75" hidden="false" customHeight="true" outlineLevel="0" collapsed="false">
      <c r="A353" s="100"/>
      <c r="B353" s="101"/>
      <c r="C353" s="101"/>
      <c r="D353" s="101"/>
      <c r="E353" s="101"/>
      <c r="F353" s="102"/>
      <c r="G353" s="102"/>
      <c r="H353" s="102"/>
      <c r="I353" s="102"/>
      <c r="J353" s="102"/>
      <c r="K353" s="102"/>
      <c r="L353" s="103" t="str">
        <f aca="false">IF(OR($B353="", $H353="", $I353="", $J353="", $K353=""),"",ROUND((VLOOKUP($H353,Lists!$E$2:$F$5,2,FALSE())*VLOOKUP($I353,Lists!$H$2:$I$4,2,FALSE())*VLOOKUP($J353,Lists!$K$2:$L$4,2,FALSE()))/VLOOKUP($K353,Lists!$N$2:$O$6,2,FALSE()),2))</f>
        <v/>
      </c>
      <c r="M353" s="104" t="str">
        <f aca="false">IF($B353="","",IF($AC353&lt;&gt;"",$AC353,IF($H353="Critical","P0",IF(NOT(ISNUMBER($L353)),"",IF($L353&gt;=Lists!$AM$2,"P0",IF($L353&gt;=Lists!$AM$3,"P1",IF($L353&gt;=Lists!$AM$4,"P2","P3")))))))</f>
        <v/>
      </c>
      <c r="N353" s="102"/>
      <c r="O353" s="101"/>
      <c r="P353" s="102"/>
      <c r="Q353" s="105"/>
      <c r="R353" s="106" t="str">
        <f aca="true">IF($Q353="","", TODAY()-$Q353)</f>
        <v/>
      </c>
      <c r="S353" s="102"/>
      <c r="T353" s="105"/>
      <c r="U353" s="105"/>
      <c r="V353" s="101"/>
      <c r="W353" s="101"/>
      <c r="X353" s="101"/>
      <c r="Y353" s="96"/>
      <c r="Z353" s="96"/>
      <c r="AA353" s="96"/>
      <c r="AC353" s="102"/>
      <c r="AD353" s="107" t="str">
        <f aca="false">IF($B353="","",IF(ISNUMBER($T353),$T353,IF(OR(NOT(ISNUMBER($Q353)),$S353=""),"",IFERROR(IF(ISNUMBER(INDEX(Lists!$AJ$2:$AJ$7,MATCH($S353,Lists!$AI$2:$AI$7,0))),$Q353+INDEX(Lists!$AJ$2:$AJ$7,MATCH($S353,Lists!$AI$2:$AI$7,0)),""),""))))</f>
        <v/>
      </c>
      <c r="AE353" s="104" t="str">
        <f aca="true">IF($B353="","",IF(AND(ISNUMBER($AD353),N($AD353)&lt;TODAY(),$N353&lt;&gt;"Done",$N353&lt;&gt;"Won't Fix",$N353&lt;&gt;"Duplicate"),"Yes","No"))</f>
        <v/>
      </c>
      <c r="AF353" s="101"/>
      <c r="AG353" s="108" t="str">
        <f aca="false">IF($AF353="","",IFERROR(VLOOKUP($AF353,'Application Portfolio'!$A$2:$B$1000,2,FALSE()),"Unknown App ID"))</f>
        <v/>
      </c>
      <c r="AH353" s="108" t="str">
        <f aca="false">IF(OR($B353="",$AF353=""),"",IFERROR(VLOOKUP($AF353,'Application Portfolio'!$A$2:$AB$1000,28,FALSE()),""))</f>
        <v/>
      </c>
    </row>
    <row r="354" customFormat="false" ht="15.75" hidden="false" customHeight="true" outlineLevel="0" collapsed="false">
      <c r="A354" s="100"/>
      <c r="B354" s="101"/>
      <c r="C354" s="101"/>
      <c r="D354" s="101"/>
      <c r="E354" s="101"/>
      <c r="F354" s="102"/>
      <c r="G354" s="102"/>
      <c r="H354" s="102"/>
      <c r="I354" s="102"/>
      <c r="J354" s="102"/>
      <c r="K354" s="102"/>
      <c r="L354" s="103" t="str">
        <f aca="false">IF(OR($B354="", $H354="", $I354="", $J354="", $K354=""),"",ROUND((VLOOKUP($H354,Lists!$E$2:$F$5,2,FALSE())*VLOOKUP($I354,Lists!$H$2:$I$4,2,FALSE())*VLOOKUP($J354,Lists!$K$2:$L$4,2,FALSE()))/VLOOKUP($K354,Lists!$N$2:$O$6,2,FALSE()),2))</f>
        <v/>
      </c>
      <c r="M354" s="104" t="str">
        <f aca="false">IF($B354="","",IF($AC354&lt;&gt;"",$AC354,IF($H354="Critical","P0",IF(NOT(ISNUMBER($L354)),"",IF($L354&gt;=Lists!$AM$2,"P0",IF($L354&gt;=Lists!$AM$3,"P1",IF($L354&gt;=Lists!$AM$4,"P2","P3")))))))</f>
        <v/>
      </c>
      <c r="N354" s="102"/>
      <c r="O354" s="101"/>
      <c r="P354" s="102"/>
      <c r="Q354" s="105"/>
      <c r="R354" s="106" t="str">
        <f aca="true">IF($Q354="","", TODAY()-$Q354)</f>
        <v/>
      </c>
      <c r="S354" s="102"/>
      <c r="T354" s="105"/>
      <c r="U354" s="105"/>
      <c r="V354" s="101"/>
      <c r="W354" s="101"/>
      <c r="X354" s="101"/>
      <c r="Y354" s="96"/>
      <c r="Z354" s="96"/>
      <c r="AA354" s="96"/>
      <c r="AC354" s="102"/>
      <c r="AD354" s="107" t="str">
        <f aca="false">IF($B354="","",IF(ISNUMBER($T354),$T354,IF(OR(NOT(ISNUMBER($Q354)),$S354=""),"",IFERROR(IF(ISNUMBER(INDEX(Lists!$AJ$2:$AJ$7,MATCH($S354,Lists!$AI$2:$AI$7,0))),$Q354+INDEX(Lists!$AJ$2:$AJ$7,MATCH($S354,Lists!$AI$2:$AI$7,0)),""),""))))</f>
        <v/>
      </c>
      <c r="AE354" s="104" t="str">
        <f aca="true">IF($B354="","",IF(AND(ISNUMBER($AD354),N($AD354)&lt;TODAY(),$N354&lt;&gt;"Done",$N354&lt;&gt;"Won't Fix",$N354&lt;&gt;"Duplicate"),"Yes","No"))</f>
        <v/>
      </c>
      <c r="AF354" s="101"/>
      <c r="AG354" s="108" t="str">
        <f aca="false">IF($AF354="","",IFERROR(VLOOKUP($AF354,'Application Portfolio'!$A$2:$B$1000,2,FALSE()),"Unknown App ID"))</f>
        <v/>
      </c>
      <c r="AH354" s="108" t="str">
        <f aca="false">IF(OR($B354="",$AF354=""),"",IFERROR(VLOOKUP($AF354,'Application Portfolio'!$A$2:$AB$1000,28,FALSE()),""))</f>
        <v/>
      </c>
    </row>
    <row r="355" customFormat="false" ht="15.75" hidden="false" customHeight="true" outlineLevel="0" collapsed="false">
      <c r="A355" s="100"/>
      <c r="B355" s="101"/>
      <c r="C355" s="101"/>
      <c r="D355" s="101"/>
      <c r="E355" s="101"/>
      <c r="F355" s="102"/>
      <c r="G355" s="102"/>
      <c r="H355" s="102"/>
      <c r="I355" s="102"/>
      <c r="J355" s="102"/>
      <c r="K355" s="102"/>
      <c r="L355" s="103" t="str">
        <f aca="false">IF(OR($B355="", $H355="", $I355="", $J355="", $K355=""),"",ROUND((VLOOKUP($H355,Lists!$E$2:$F$5,2,FALSE())*VLOOKUP($I355,Lists!$H$2:$I$4,2,FALSE())*VLOOKUP($J355,Lists!$K$2:$L$4,2,FALSE()))/VLOOKUP($K355,Lists!$N$2:$O$6,2,FALSE()),2))</f>
        <v/>
      </c>
      <c r="M355" s="104" t="str">
        <f aca="false">IF($B355="","",IF($AC355&lt;&gt;"",$AC355,IF($H355="Critical","P0",IF(NOT(ISNUMBER($L355)),"",IF($L355&gt;=Lists!$AM$2,"P0",IF($L355&gt;=Lists!$AM$3,"P1",IF($L355&gt;=Lists!$AM$4,"P2","P3")))))))</f>
        <v/>
      </c>
      <c r="N355" s="102"/>
      <c r="O355" s="101"/>
      <c r="P355" s="102"/>
      <c r="Q355" s="105"/>
      <c r="R355" s="106" t="str">
        <f aca="true">IF($Q355="","", TODAY()-$Q355)</f>
        <v/>
      </c>
      <c r="S355" s="102"/>
      <c r="T355" s="105"/>
      <c r="U355" s="105"/>
      <c r="V355" s="101"/>
      <c r="W355" s="101"/>
      <c r="X355" s="101"/>
      <c r="Y355" s="96"/>
      <c r="Z355" s="96"/>
      <c r="AA355" s="96"/>
      <c r="AC355" s="102"/>
      <c r="AD355" s="107" t="str">
        <f aca="false">IF($B355="","",IF(ISNUMBER($T355),$T355,IF(OR(NOT(ISNUMBER($Q355)),$S355=""),"",IFERROR(IF(ISNUMBER(INDEX(Lists!$AJ$2:$AJ$7,MATCH($S355,Lists!$AI$2:$AI$7,0))),$Q355+INDEX(Lists!$AJ$2:$AJ$7,MATCH($S355,Lists!$AI$2:$AI$7,0)),""),""))))</f>
        <v/>
      </c>
      <c r="AE355" s="104" t="str">
        <f aca="true">IF($B355="","",IF(AND(ISNUMBER($AD355),N($AD355)&lt;TODAY(),$N355&lt;&gt;"Done",$N355&lt;&gt;"Won't Fix",$N355&lt;&gt;"Duplicate"),"Yes","No"))</f>
        <v/>
      </c>
      <c r="AF355" s="101"/>
      <c r="AG355" s="108" t="str">
        <f aca="false">IF($AF355="","",IFERROR(VLOOKUP($AF355,'Application Portfolio'!$A$2:$B$1000,2,FALSE()),"Unknown App ID"))</f>
        <v/>
      </c>
      <c r="AH355" s="108" t="str">
        <f aca="false">IF(OR($B355="",$AF355=""),"",IFERROR(VLOOKUP($AF355,'Application Portfolio'!$A$2:$AB$1000,28,FALSE()),""))</f>
        <v/>
      </c>
    </row>
    <row r="356" customFormat="false" ht="15.75" hidden="false" customHeight="true" outlineLevel="0" collapsed="false">
      <c r="A356" s="100"/>
      <c r="B356" s="101"/>
      <c r="C356" s="101"/>
      <c r="D356" s="101"/>
      <c r="E356" s="101"/>
      <c r="F356" s="102"/>
      <c r="G356" s="102"/>
      <c r="H356" s="102"/>
      <c r="I356" s="102"/>
      <c r="J356" s="102"/>
      <c r="K356" s="102"/>
      <c r="L356" s="103" t="str">
        <f aca="false">IF(OR($B356="", $H356="", $I356="", $J356="", $K356=""),"",ROUND((VLOOKUP($H356,Lists!$E$2:$F$5,2,FALSE())*VLOOKUP($I356,Lists!$H$2:$I$4,2,FALSE())*VLOOKUP($J356,Lists!$K$2:$L$4,2,FALSE()))/VLOOKUP($K356,Lists!$N$2:$O$6,2,FALSE()),2))</f>
        <v/>
      </c>
      <c r="M356" s="104" t="str">
        <f aca="false">IF($B356="","",IF($AC356&lt;&gt;"",$AC356,IF($H356="Critical","P0",IF(NOT(ISNUMBER($L356)),"",IF($L356&gt;=Lists!$AM$2,"P0",IF($L356&gt;=Lists!$AM$3,"P1",IF($L356&gt;=Lists!$AM$4,"P2","P3")))))))</f>
        <v/>
      </c>
      <c r="N356" s="102"/>
      <c r="O356" s="101"/>
      <c r="P356" s="102"/>
      <c r="Q356" s="105"/>
      <c r="R356" s="106" t="str">
        <f aca="true">IF($Q356="","", TODAY()-$Q356)</f>
        <v/>
      </c>
      <c r="S356" s="102"/>
      <c r="T356" s="105"/>
      <c r="U356" s="105"/>
      <c r="V356" s="101"/>
      <c r="W356" s="101"/>
      <c r="X356" s="101"/>
      <c r="Y356" s="96"/>
      <c r="Z356" s="96"/>
      <c r="AA356" s="96"/>
      <c r="AC356" s="102"/>
      <c r="AD356" s="107" t="str">
        <f aca="false">IF($B356="","",IF(ISNUMBER($T356),$T356,IF(OR(NOT(ISNUMBER($Q356)),$S356=""),"",IFERROR(IF(ISNUMBER(INDEX(Lists!$AJ$2:$AJ$7,MATCH($S356,Lists!$AI$2:$AI$7,0))),$Q356+INDEX(Lists!$AJ$2:$AJ$7,MATCH($S356,Lists!$AI$2:$AI$7,0)),""),""))))</f>
        <v/>
      </c>
      <c r="AE356" s="104" t="str">
        <f aca="true">IF($B356="","",IF(AND(ISNUMBER($AD356),N($AD356)&lt;TODAY(),$N356&lt;&gt;"Done",$N356&lt;&gt;"Won't Fix",$N356&lt;&gt;"Duplicate"),"Yes","No"))</f>
        <v/>
      </c>
      <c r="AF356" s="101"/>
      <c r="AG356" s="108" t="str">
        <f aca="false">IF($AF356="","",IFERROR(VLOOKUP($AF356,'Application Portfolio'!$A$2:$B$1000,2,FALSE()),"Unknown App ID"))</f>
        <v/>
      </c>
      <c r="AH356" s="108" t="str">
        <f aca="false">IF(OR($B356="",$AF356=""),"",IFERROR(VLOOKUP($AF356,'Application Portfolio'!$A$2:$AB$1000,28,FALSE()),""))</f>
        <v/>
      </c>
    </row>
    <row r="357" customFormat="false" ht="15.75" hidden="false" customHeight="true" outlineLevel="0" collapsed="false">
      <c r="A357" s="100"/>
      <c r="B357" s="101"/>
      <c r="C357" s="101"/>
      <c r="D357" s="101"/>
      <c r="E357" s="101"/>
      <c r="F357" s="102"/>
      <c r="G357" s="102"/>
      <c r="H357" s="102"/>
      <c r="I357" s="102"/>
      <c r="J357" s="102"/>
      <c r="K357" s="102"/>
      <c r="L357" s="103" t="str">
        <f aca="false">IF(OR($B357="", $H357="", $I357="", $J357="", $K357=""),"",ROUND((VLOOKUP($H357,Lists!$E$2:$F$5,2,FALSE())*VLOOKUP($I357,Lists!$H$2:$I$4,2,FALSE())*VLOOKUP($J357,Lists!$K$2:$L$4,2,FALSE()))/VLOOKUP($K357,Lists!$N$2:$O$6,2,FALSE()),2))</f>
        <v/>
      </c>
      <c r="M357" s="104" t="str">
        <f aca="false">IF($B357="","",IF($AC357&lt;&gt;"",$AC357,IF($H357="Critical","P0",IF(NOT(ISNUMBER($L357)),"",IF($L357&gt;=Lists!$AM$2,"P0",IF($L357&gt;=Lists!$AM$3,"P1",IF($L357&gt;=Lists!$AM$4,"P2","P3")))))))</f>
        <v/>
      </c>
      <c r="N357" s="102"/>
      <c r="O357" s="101"/>
      <c r="P357" s="102"/>
      <c r="Q357" s="105"/>
      <c r="R357" s="106" t="str">
        <f aca="true">IF($Q357="","", TODAY()-$Q357)</f>
        <v/>
      </c>
      <c r="S357" s="102"/>
      <c r="T357" s="105"/>
      <c r="U357" s="105"/>
      <c r="V357" s="101"/>
      <c r="W357" s="101"/>
      <c r="X357" s="101"/>
      <c r="Y357" s="96"/>
      <c r="Z357" s="96"/>
      <c r="AA357" s="96"/>
      <c r="AC357" s="102"/>
      <c r="AD357" s="107" t="str">
        <f aca="false">IF($B357="","",IF(ISNUMBER($T357),$T357,IF(OR(NOT(ISNUMBER($Q357)),$S357=""),"",IFERROR(IF(ISNUMBER(INDEX(Lists!$AJ$2:$AJ$7,MATCH($S357,Lists!$AI$2:$AI$7,0))),$Q357+INDEX(Lists!$AJ$2:$AJ$7,MATCH($S357,Lists!$AI$2:$AI$7,0)),""),""))))</f>
        <v/>
      </c>
      <c r="AE357" s="104" t="str">
        <f aca="true">IF($B357="","",IF(AND(ISNUMBER($AD357),N($AD357)&lt;TODAY(),$N357&lt;&gt;"Done",$N357&lt;&gt;"Won't Fix",$N357&lt;&gt;"Duplicate"),"Yes","No"))</f>
        <v/>
      </c>
      <c r="AF357" s="101"/>
      <c r="AG357" s="108" t="str">
        <f aca="false">IF($AF357="","",IFERROR(VLOOKUP($AF357,'Application Portfolio'!$A$2:$B$1000,2,FALSE()),"Unknown App ID"))</f>
        <v/>
      </c>
      <c r="AH357" s="108" t="str">
        <f aca="false">IF(OR($B357="",$AF357=""),"",IFERROR(VLOOKUP($AF357,'Application Portfolio'!$A$2:$AB$1000,28,FALSE()),""))</f>
        <v/>
      </c>
    </row>
    <row r="358" customFormat="false" ht="15.75" hidden="false" customHeight="true" outlineLevel="0" collapsed="false">
      <c r="A358" s="100"/>
      <c r="B358" s="101"/>
      <c r="C358" s="101"/>
      <c r="D358" s="101"/>
      <c r="E358" s="101"/>
      <c r="F358" s="102"/>
      <c r="G358" s="102"/>
      <c r="H358" s="102"/>
      <c r="I358" s="102"/>
      <c r="J358" s="102"/>
      <c r="K358" s="102"/>
      <c r="L358" s="103" t="str">
        <f aca="false">IF(OR($B358="", $H358="", $I358="", $J358="", $K358=""),"",ROUND((VLOOKUP($H358,Lists!$E$2:$F$5,2,FALSE())*VLOOKUP($I358,Lists!$H$2:$I$4,2,FALSE())*VLOOKUP($J358,Lists!$K$2:$L$4,2,FALSE()))/VLOOKUP($K358,Lists!$N$2:$O$6,2,FALSE()),2))</f>
        <v/>
      </c>
      <c r="M358" s="104" t="str">
        <f aca="false">IF($B358="","",IF($AC358&lt;&gt;"",$AC358,IF($H358="Critical","P0",IF(NOT(ISNUMBER($L358)),"",IF($L358&gt;=Lists!$AM$2,"P0",IF($L358&gt;=Lists!$AM$3,"P1",IF($L358&gt;=Lists!$AM$4,"P2","P3")))))))</f>
        <v/>
      </c>
      <c r="N358" s="102"/>
      <c r="O358" s="101"/>
      <c r="P358" s="102"/>
      <c r="Q358" s="105"/>
      <c r="R358" s="106" t="str">
        <f aca="true">IF($Q358="","", TODAY()-$Q358)</f>
        <v/>
      </c>
      <c r="S358" s="102"/>
      <c r="T358" s="105"/>
      <c r="U358" s="105"/>
      <c r="V358" s="101"/>
      <c r="W358" s="101"/>
      <c r="X358" s="101"/>
      <c r="Y358" s="96"/>
      <c r="Z358" s="96"/>
      <c r="AA358" s="96"/>
      <c r="AC358" s="102"/>
      <c r="AD358" s="107" t="str">
        <f aca="false">IF($B358="","",IF(ISNUMBER($T358),$T358,IF(OR(NOT(ISNUMBER($Q358)),$S358=""),"",IFERROR(IF(ISNUMBER(INDEX(Lists!$AJ$2:$AJ$7,MATCH($S358,Lists!$AI$2:$AI$7,0))),$Q358+INDEX(Lists!$AJ$2:$AJ$7,MATCH($S358,Lists!$AI$2:$AI$7,0)),""),""))))</f>
        <v/>
      </c>
      <c r="AE358" s="104" t="str">
        <f aca="true">IF($B358="","",IF(AND(ISNUMBER($AD358),N($AD358)&lt;TODAY(),$N358&lt;&gt;"Done",$N358&lt;&gt;"Won't Fix",$N358&lt;&gt;"Duplicate"),"Yes","No"))</f>
        <v/>
      </c>
      <c r="AF358" s="101"/>
      <c r="AG358" s="108" t="str">
        <f aca="false">IF($AF358="","",IFERROR(VLOOKUP($AF358,'Application Portfolio'!$A$2:$B$1000,2,FALSE()),"Unknown App ID"))</f>
        <v/>
      </c>
      <c r="AH358" s="108" t="str">
        <f aca="false">IF(OR($B358="",$AF358=""),"",IFERROR(VLOOKUP($AF358,'Application Portfolio'!$A$2:$AB$1000,28,FALSE()),""))</f>
        <v/>
      </c>
    </row>
    <row r="359" customFormat="false" ht="15.75" hidden="false" customHeight="true" outlineLevel="0" collapsed="false">
      <c r="A359" s="100"/>
      <c r="B359" s="101"/>
      <c r="C359" s="101"/>
      <c r="D359" s="101"/>
      <c r="E359" s="101"/>
      <c r="F359" s="102"/>
      <c r="G359" s="102"/>
      <c r="H359" s="102"/>
      <c r="I359" s="102"/>
      <c r="J359" s="102"/>
      <c r="K359" s="102"/>
      <c r="L359" s="103" t="str">
        <f aca="false">IF(OR($B359="", $H359="", $I359="", $J359="", $K359=""),"",ROUND((VLOOKUP($H359,Lists!$E$2:$F$5,2,FALSE())*VLOOKUP($I359,Lists!$H$2:$I$4,2,FALSE())*VLOOKUP($J359,Lists!$K$2:$L$4,2,FALSE()))/VLOOKUP($K359,Lists!$N$2:$O$6,2,FALSE()),2))</f>
        <v/>
      </c>
      <c r="M359" s="104" t="str">
        <f aca="false">IF($B359="","",IF($AC359&lt;&gt;"",$AC359,IF($H359="Critical","P0",IF(NOT(ISNUMBER($L359)),"",IF($L359&gt;=Lists!$AM$2,"P0",IF($L359&gt;=Lists!$AM$3,"P1",IF($L359&gt;=Lists!$AM$4,"P2","P3")))))))</f>
        <v/>
      </c>
      <c r="N359" s="102"/>
      <c r="O359" s="101"/>
      <c r="P359" s="102"/>
      <c r="Q359" s="105"/>
      <c r="R359" s="106" t="str">
        <f aca="true">IF($Q359="","", TODAY()-$Q359)</f>
        <v/>
      </c>
      <c r="S359" s="102"/>
      <c r="T359" s="105"/>
      <c r="U359" s="105"/>
      <c r="V359" s="101"/>
      <c r="W359" s="101"/>
      <c r="X359" s="101"/>
      <c r="Y359" s="96"/>
      <c r="Z359" s="96"/>
      <c r="AA359" s="96"/>
      <c r="AC359" s="102"/>
      <c r="AD359" s="107" t="str">
        <f aca="false">IF($B359="","",IF(ISNUMBER($T359),$T359,IF(OR(NOT(ISNUMBER($Q359)),$S359=""),"",IFERROR(IF(ISNUMBER(INDEX(Lists!$AJ$2:$AJ$7,MATCH($S359,Lists!$AI$2:$AI$7,0))),$Q359+INDEX(Lists!$AJ$2:$AJ$7,MATCH($S359,Lists!$AI$2:$AI$7,0)),""),""))))</f>
        <v/>
      </c>
      <c r="AE359" s="104" t="str">
        <f aca="true">IF($B359="","",IF(AND(ISNUMBER($AD359),N($AD359)&lt;TODAY(),$N359&lt;&gt;"Done",$N359&lt;&gt;"Won't Fix",$N359&lt;&gt;"Duplicate"),"Yes","No"))</f>
        <v/>
      </c>
      <c r="AF359" s="101"/>
      <c r="AG359" s="108" t="str">
        <f aca="false">IF($AF359="","",IFERROR(VLOOKUP($AF359,'Application Portfolio'!$A$2:$B$1000,2,FALSE()),"Unknown App ID"))</f>
        <v/>
      </c>
      <c r="AH359" s="108" t="str">
        <f aca="false">IF(OR($B359="",$AF359=""),"",IFERROR(VLOOKUP($AF359,'Application Portfolio'!$A$2:$AB$1000,28,FALSE()),""))</f>
        <v/>
      </c>
    </row>
    <row r="360" customFormat="false" ht="15.75" hidden="false" customHeight="true" outlineLevel="0" collapsed="false">
      <c r="A360" s="100"/>
      <c r="B360" s="101"/>
      <c r="C360" s="101"/>
      <c r="D360" s="101"/>
      <c r="E360" s="101"/>
      <c r="F360" s="102"/>
      <c r="G360" s="102"/>
      <c r="H360" s="102"/>
      <c r="I360" s="102"/>
      <c r="J360" s="102"/>
      <c r="K360" s="102"/>
      <c r="L360" s="103" t="str">
        <f aca="false">IF(OR($B360="", $H360="", $I360="", $J360="", $K360=""),"",ROUND((VLOOKUP($H360,Lists!$E$2:$F$5,2,FALSE())*VLOOKUP($I360,Lists!$H$2:$I$4,2,FALSE())*VLOOKUP($J360,Lists!$K$2:$L$4,2,FALSE()))/VLOOKUP($K360,Lists!$N$2:$O$6,2,FALSE()),2))</f>
        <v/>
      </c>
      <c r="M360" s="104" t="str">
        <f aca="false">IF($B360="","",IF($AC360&lt;&gt;"",$AC360,IF($H360="Critical","P0",IF(NOT(ISNUMBER($L360)),"",IF($L360&gt;=Lists!$AM$2,"P0",IF($L360&gt;=Lists!$AM$3,"P1",IF($L360&gt;=Lists!$AM$4,"P2","P3")))))))</f>
        <v/>
      </c>
      <c r="N360" s="102"/>
      <c r="O360" s="101"/>
      <c r="P360" s="102"/>
      <c r="Q360" s="105"/>
      <c r="R360" s="106" t="str">
        <f aca="true">IF($Q360="","", TODAY()-$Q360)</f>
        <v/>
      </c>
      <c r="S360" s="102"/>
      <c r="T360" s="105"/>
      <c r="U360" s="105"/>
      <c r="V360" s="101"/>
      <c r="W360" s="101"/>
      <c r="X360" s="101"/>
      <c r="Y360" s="96"/>
      <c r="Z360" s="96"/>
      <c r="AA360" s="96"/>
      <c r="AC360" s="102"/>
      <c r="AD360" s="107" t="str">
        <f aca="false">IF($B360="","",IF(ISNUMBER($T360),$T360,IF(OR(NOT(ISNUMBER($Q360)),$S360=""),"",IFERROR(IF(ISNUMBER(INDEX(Lists!$AJ$2:$AJ$7,MATCH($S360,Lists!$AI$2:$AI$7,0))),$Q360+INDEX(Lists!$AJ$2:$AJ$7,MATCH($S360,Lists!$AI$2:$AI$7,0)),""),""))))</f>
        <v/>
      </c>
      <c r="AE360" s="104" t="str">
        <f aca="true">IF($B360="","",IF(AND(ISNUMBER($AD360),N($AD360)&lt;TODAY(),$N360&lt;&gt;"Done",$N360&lt;&gt;"Won't Fix",$N360&lt;&gt;"Duplicate"),"Yes","No"))</f>
        <v/>
      </c>
      <c r="AF360" s="101"/>
      <c r="AG360" s="108" t="str">
        <f aca="false">IF($AF360="","",IFERROR(VLOOKUP($AF360,'Application Portfolio'!$A$2:$B$1000,2,FALSE()),"Unknown App ID"))</f>
        <v/>
      </c>
      <c r="AH360" s="108" t="str">
        <f aca="false">IF(OR($B360="",$AF360=""),"",IFERROR(VLOOKUP($AF360,'Application Portfolio'!$A$2:$AB$1000,28,FALSE()),""))</f>
        <v/>
      </c>
    </row>
    <row r="361" customFormat="false" ht="15.75" hidden="false" customHeight="true" outlineLevel="0" collapsed="false">
      <c r="A361" s="100"/>
      <c r="B361" s="101"/>
      <c r="C361" s="101"/>
      <c r="D361" s="101"/>
      <c r="E361" s="101"/>
      <c r="F361" s="102"/>
      <c r="G361" s="102"/>
      <c r="H361" s="102"/>
      <c r="I361" s="102"/>
      <c r="J361" s="102"/>
      <c r="K361" s="102"/>
      <c r="L361" s="103" t="str">
        <f aca="false">IF(OR($B361="", $H361="", $I361="", $J361="", $K361=""),"",ROUND((VLOOKUP($H361,Lists!$E$2:$F$5,2,FALSE())*VLOOKUP($I361,Lists!$H$2:$I$4,2,FALSE())*VLOOKUP($J361,Lists!$K$2:$L$4,2,FALSE()))/VLOOKUP($K361,Lists!$N$2:$O$6,2,FALSE()),2))</f>
        <v/>
      </c>
      <c r="M361" s="104" t="str">
        <f aca="false">IF($B361="","",IF($AC361&lt;&gt;"",$AC361,IF($H361="Critical","P0",IF(NOT(ISNUMBER($L361)),"",IF($L361&gt;=Lists!$AM$2,"P0",IF($L361&gt;=Lists!$AM$3,"P1",IF($L361&gt;=Lists!$AM$4,"P2","P3")))))))</f>
        <v/>
      </c>
      <c r="N361" s="102"/>
      <c r="O361" s="101"/>
      <c r="P361" s="102"/>
      <c r="Q361" s="105"/>
      <c r="R361" s="106" t="str">
        <f aca="true">IF($Q361="","", TODAY()-$Q361)</f>
        <v/>
      </c>
      <c r="S361" s="102"/>
      <c r="T361" s="105"/>
      <c r="U361" s="105"/>
      <c r="V361" s="101"/>
      <c r="W361" s="101"/>
      <c r="X361" s="101"/>
      <c r="Y361" s="96"/>
      <c r="Z361" s="96"/>
      <c r="AA361" s="96"/>
      <c r="AC361" s="102"/>
      <c r="AD361" s="107" t="str">
        <f aca="false">IF($B361="","",IF(ISNUMBER($T361),$T361,IF(OR(NOT(ISNUMBER($Q361)),$S361=""),"",IFERROR(IF(ISNUMBER(INDEX(Lists!$AJ$2:$AJ$7,MATCH($S361,Lists!$AI$2:$AI$7,0))),$Q361+INDEX(Lists!$AJ$2:$AJ$7,MATCH($S361,Lists!$AI$2:$AI$7,0)),""),""))))</f>
        <v/>
      </c>
      <c r="AE361" s="104" t="str">
        <f aca="true">IF($B361="","",IF(AND(ISNUMBER($AD361),N($AD361)&lt;TODAY(),$N361&lt;&gt;"Done",$N361&lt;&gt;"Won't Fix",$N361&lt;&gt;"Duplicate"),"Yes","No"))</f>
        <v/>
      </c>
      <c r="AF361" s="101"/>
      <c r="AG361" s="108" t="str">
        <f aca="false">IF($AF361="","",IFERROR(VLOOKUP($AF361,'Application Portfolio'!$A$2:$B$1000,2,FALSE()),"Unknown App ID"))</f>
        <v/>
      </c>
      <c r="AH361" s="108" t="str">
        <f aca="false">IF(OR($B361="",$AF361=""),"",IFERROR(VLOOKUP($AF361,'Application Portfolio'!$A$2:$AB$1000,28,FALSE()),""))</f>
        <v/>
      </c>
    </row>
    <row r="362" customFormat="false" ht="15.75" hidden="false" customHeight="true" outlineLevel="0" collapsed="false">
      <c r="A362" s="100"/>
      <c r="B362" s="101"/>
      <c r="C362" s="101"/>
      <c r="D362" s="101"/>
      <c r="E362" s="101"/>
      <c r="F362" s="102"/>
      <c r="G362" s="102"/>
      <c r="H362" s="102"/>
      <c r="I362" s="102"/>
      <c r="J362" s="102"/>
      <c r="K362" s="102"/>
      <c r="L362" s="103" t="str">
        <f aca="false">IF(OR($B362="", $H362="", $I362="", $J362="", $K362=""),"",ROUND((VLOOKUP($H362,Lists!$E$2:$F$5,2,FALSE())*VLOOKUP($I362,Lists!$H$2:$I$4,2,FALSE())*VLOOKUP($J362,Lists!$K$2:$L$4,2,FALSE()))/VLOOKUP($K362,Lists!$N$2:$O$6,2,FALSE()),2))</f>
        <v/>
      </c>
      <c r="M362" s="104" t="str">
        <f aca="false">IF($B362="","",IF($AC362&lt;&gt;"",$AC362,IF($H362="Critical","P0",IF(NOT(ISNUMBER($L362)),"",IF($L362&gt;=Lists!$AM$2,"P0",IF($L362&gt;=Lists!$AM$3,"P1",IF($L362&gt;=Lists!$AM$4,"P2","P3")))))))</f>
        <v/>
      </c>
      <c r="N362" s="102"/>
      <c r="O362" s="101"/>
      <c r="P362" s="102"/>
      <c r="Q362" s="105"/>
      <c r="R362" s="106" t="str">
        <f aca="true">IF($Q362="","", TODAY()-$Q362)</f>
        <v/>
      </c>
      <c r="S362" s="102"/>
      <c r="T362" s="105"/>
      <c r="U362" s="105"/>
      <c r="V362" s="101"/>
      <c r="W362" s="101"/>
      <c r="X362" s="101"/>
      <c r="Y362" s="96"/>
      <c r="Z362" s="96"/>
      <c r="AA362" s="96"/>
      <c r="AC362" s="102"/>
      <c r="AD362" s="107" t="str">
        <f aca="false">IF($B362="","",IF(ISNUMBER($T362),$T362,IF(OR(NOT(ISNUMBER($Q362)),$S362=""),"",IFERROR(IF(ISNUMBER(INDEX(Lists!$AJ$2:$AJ$7,MATCH($S362,Lists!$AI$2:$AI$7,0))),$Q362+INDEX(Lists!$AJ$2:$AJ$7,MATCH($S362,Lists!$AI$2:$AI$7,0)),""),""))))</f>
        <v/>
      </c>
      <c r="AE362" s="104" t="str">
        <f aca="true">IF($B362="","",IF(AND(ISNUMBER($AD362),N($AD362)&lt;TODAY(),$N362&lt;&gt;"Done",$N362&lt;&gt;"Won't Fix",$N362&lt;&gt;"Duplicate"),"Yes","No"))</f>
        <v/>
      </c>
      <c r="AF362" s="101"/>
      <c r="AG362" s="108" t="str">
        <f aca="false">IF($AF362="","",IFERROR(VLOOKUP($AF362,'Application Portfolio'!$A$2:$B$1000,2,FALSE()),"Unknown App ID"))</f>
        <v/>
      </c>
      <c r="AH362" s="108" t="str">
        <f aca="false">IF(OR($B362="",$AF362=""),"",IFERROR(VLOOKUP($AF362,'Application Portfolio'!$A$2:$AB$1000,28,FALSE()),""))</f>
        <v/>
      </c>
    </row>
    <row r="363" customFormat="false" ht="15.75" hidden="false" customHeight="true" outlineLevel="0" collapsed="false">
      <c r="A363" s="100"/>
      <c r="B363" s="101"/>
      <c r="C363" s="101"/>
      <c r="D363" s="101"/>
      <c r="E363" s="101"/>
      <c r="F363" s="102"/>
      <c r="G363" s="102"/>
      <c r="H363" s="102"/>
      <c r="I363" s="102"/>
      <c r="J363" s="102"/>
      <c r="K363" s="102"/>
      <c r="L363" s="103" t="str">
        <f aca="false">IF(OR($B363="", $H363="", $I363="", $J363="", $K363=""),"",ROUND((VLOOKUP($H363,Lists!$E$2:$F$5,2,FALSE())*VLOOKUP($I363,Lists!$H$2:$I$4,2,FALSE())*VLOOKUP($J363,Lists!$K$2:$L$4,2,FALSE()))/VLOOKUP($K363,Lists!$N$2:$O$6,2,FALSE()),2))</f>
        <v/>
      </c>
      <c r="M363" s="104" t="str">
        <f aca="false">IF($B363="","",IF($AC363&lt;&gt;"",$AC363,IF($H363="Critical","P0",IF(NOT(ISNUMBER($L363)),"",IF($L363&gt;=Lists!$AM$2,"P0",IF($L363&gt;=Lists!$AM$3,"P1",IF($L363&gt;=Lists!$AM$4,"P2","P3")))))))</f>
        <v/>
      </c>
      <c r="N363" s="102"/>
      <c r="O363" s="101"/>
      <c r="P363" s="102"/>
      <c r="Q363" s="105"/>
      <c r="R363" s="106" t="str">
        <f aca="true">IF($Q363="","", TODAY()-$Q363)</f>
        <v/>
      </c>
      <c r="S363" s="102"/>
      <c r="T363" s="105"/>
      <c r="U363" s="105"/>
      <c r="V363" s="101"/>
      <c r="W363" s="101"/>
      <c r="X363" s="101"/>
      <c r="Y363" s="96"/>
      <c r="Z363" s="96"/>
      <c r="AA363" s="96"/>
      <c r="AC363" s="102"/>
      <c r="AD363" s="107" t="str">
        <f aca="false">IF($B363="","",IF(ISNUMBER($T363),$T363,IF(OR(NOT(ISNUMBER($Q363)),$S363=""),"",IFERROR(IF(ISNUMBER(INDEX(Lists!$AJ$2:$AJ$7,MATCH($S363,Lists!$AI$2:$AI$7,0))),$Q363+INDEX(Lists!$AJ$2:$AJ$7,MATCH($S363,Lists!$AI$2:$AI$7,0)),""),""))))</f>
        <v/>
      </c>
      <c r="AE363" s="104" t="str">
        <f aca="true">IF($B363="","",IF(AND(ISNUMBER($AD363),N($AD363)&lt;TODAY(),$N363&lt;&gt;"Done",$N363&lt;&gt;"Won't Fix",$N363&lt;&gt;"Duplicate"),"Yes","No"))</f>
        <v/>
      </c>
      <c r="AF363" s="101"/>
      <c r="AG363" s="108" t="str">
        <f aca="false">IF($AF363="","",IFERROR(VLOOKUP($AF363,'Application Portfolio'!$A$2:$B$1000,2,FALSE()),"Unknown App ID"))</f>
        <v/>
      </c>
      <c r="AH363" s="108" t="str">
        <f aca="false">IF(OR($B363="",$AF363=""),"",IFERROR(VLOOKUP($AF363,'Application Portfolio'!$A$2:$AB$1000,28,FALSE()),""))</f>
        <v/>
      </c>
    </row>
    <row r="364" customFormat="false" ht="15.75" hidden="false" customHeight="true" outlineLevel="0" collapsed="false">
      <c r="A364" s="100"/>
      <c r="B364" s="101"/>
      <c r="C364" s="101"/>
      <c r="D364" s="101"/>
      <c r="E364" s="101"/>
      <c r="F364" s="102"/>
      <c r="G364" s="102"/>
      <c r="H364" s="102"/>
      <c r="I364" s="102"/>
      <c r="J364" s="102"/>
      <c r="K364" s="102"/>
      <c r="L364" s="103" t="str">
        <f aca="false">IF(OR($B364="", $H364="", $I364="", $J364="", $K364=""),"",ROUND((VLOOKUP($H364,Lists!$E$2:$F$5,2,FALSE())*VLOOKUP($I364,Lists!$H$2:$I$4,2,FALSE())*VLOOKUP($J364,Lists!$K$2:$L$4,2,FALSE()))/VLOOKUP($K364,Lists!$N$2:$O$6,2,FALSE()),2))</f>
        <v/>
      </c>
      <c r="M364" s="104" t="str">
        <f aca="false">IF($B364="","",IF($AC364&lt;&gt;"",$AC364,IF($H364="Critical","P0",IF(NOT(ISNUMBER($L364)),"",IF($L364&gt;=Lists!$AM$2,"P0",IF($L364&gt;=Lists!$AM$3,"P1",IF($L364&gt;=Lists!$AM$4,"P2","P3")))))))</f>
        <v/>
      </c>
      <c r="N364" s="102"/>
      <c r="O364" s="101"/>
      <c r="P364" s="102"/>
      <c r="Q364" s="105"/>
      <c r="R364" s="106" t="str">
        <f aca="true">IF($Q364="","", TODAY()-$Q364)</f>
        <v/>
      </c>
      <c r="S364" s="102"/>
      <c r="T364" s="105"/>
      <c r="U364" s="105"/>
      <c r="V364" s="101"/>
      <c r="W364" s="101"/>
      <c r="X364" s="101"/>
      <c r="Y364" s="96"/>
      <c r="Z364" s="96"/>
      <c r="AA364" s="96"/>
      <c r="AC364" s="102"/>
      <c r="AD364" s="107" t="str">
        <f aca="false">IF($B364="","",IF(ISNUMBER($T364),$T364,IF(OR(NOT(ISNUMBER($Q364)),$S364=""),"",IFERROR(IF(ISNUMBER(INDEX(Lists!$AJ$2:$AJ$7,MATCH($S364,Lists!$AI$2:$AI$7,0))),$Q364+INDEX(Lists!$AJ$2:$AJ$7,MATCH($S364,Lists!$AI$2:$AI$7,0)),""),""))))</f>
        <v/>
      </c>
      <c r="AE364" s="104" t="str">
        <f aca="true">IF($B364="","",IF(AND(ISNUMBER($AD364),N($AD364)&lt;TODAY(),$N364&lt;&gt;"Done",$N364&lt;&gt;"Won't Fix",$N364&lt;&gt;"Duplicate"),"Yes","No"))</f>
        <v/>
      </c>
      <c r="AF364" s="101"/>
      <c r="AG364" s="108" t="str">
        <f aca="false">IF($AF364="","",IFERROR(VLOOKUP($AF364,'Application Portfolio'!$A$2:$B$1000,2,FALSE()),"Unknown App ID"))</f>
        <v/>
      </c>
      <c r="AH364" s="108" t="str">
        <f aca="false">IF(OR($B364="",$AF364=""),"",IFERROR(VLOOKUP($AF364,'Application Portfolio'!$A$2:$AB$1000,28,FALSE()),""))</f>
        <v/>
      </c>
    </row>
    <row r="365" customFormat="false" ht="15.75" hidden="false" customHeight="true" outlineLevel="0" collapsed="false">
      <c r="A365" s="100"/>
      <c r="B365" s="101"/>
      <c r="C365" s="101"/>
      <c r="D365" s="101"/>
      <c r="E365" s="101"/>
      <c r="F365" s="102"/>
      <c r="G365" s="102"/>
      <c r="H365" s="102"/>
      <c r="I365" s="102"/>
      <c r="J365" s="102"/>
      <c r="K365" s="102"/>
      <c r="L365" s="103" t="str">
        <f aca="false">IF(OR($B365="", $H365="", $I365="", $J365="", $K365=""),"",ROUND((VLOOKUP($H365,Lists!$E$2:$F$5,2,FALSE())*VLOOKUP($I365,Lists!$H$2:$I$4,2,FALSE())*VLOOKUP($J365,Lists!$K$2:$L$4,2,FALSE()))/VLOOKUP($K365,Lists!$N$2:$O$6,2,FALSE()),2))</f>
        <v/>
      </c>
      <c r="M365" s="104" t="str">
        <f aca="false">IF($B365="","",IF($AC365&lt;&gt;"",$AC365,IF($H365="Critical","P0",IF(NOT(ISNUMBER($L365)),"",IF($L365&gt;=Lists!$AM$2,"P0",IF($L365&gt;=Lists!$AM$3,"P1",IF($L365&gt;=Lists!$AM$4,"P2","P3")))))))</f>
        <v/>
      </c>
      <c r="N365" s="102"/>
      <c r="O365" s="101"/>
      <c r="P365" s="102"/>
      <c r="Q365" s="105"/>
      <c r="R365" s="106" t="str">
        <f aca="true">IF($Q365="","", TODAY()-$Q365)</f>
        <v/>
      </c>
      <c r="S365" s="102"/>
      <c r="T365" s="105"/>
      <c r="U365" s="105"/>
      <c r="V365" s="101"/>
      <c r="W365" s="101"/>
      <c r="X365" s="101"/>
      <c r="Y365" s="96"/>
      <c r="Z365" s="96"/>
      <c r="AA365" s="96"/>
      <c r="AC365" s="102"/>
      <c r="AD365" s="107" t="str">
        <f aca="false">IF($B365="","",IF(ISNUMBER($T365),$T365,IF(OR(NOT(ISNUMBER($Q365)),$S365=""),"",IFERROR(IF(ISNUMBER(INDEX(Lists!$AJ$2:$AJ$7,MATCH($S365,Lists!$AI$2:$AI$7,0))),$Q365+INDEX(Lists!$AJ$2:$AJ$7,MATCH($S365,Lists!$AI$2:$AI$7,0)),""),""))))</f>
        <v/>
      </c>
      <c r="AE365" s="104" t="str">
        <f aca="true">IF($B365="","",IF(AND(ISNUMBER($AD365),N($AD365)&lt;TODAY(),$N365&lt;&gt;"Done",$N365&lt;&gt;"Won't Fix",$N365&lt;&gt;"Duplicate"),"Yes","No"))</f>
        <v/>
      </c>
      <c r="AF365" s="101"/>
      <c r="AG365" s="108" t="str">
        <f aca="false">IF($AF365="","",IFERROR(VLOOKUP($AF365,'Application Portfolio'!$A$2:$B$1000,2,FALSE()),"Unknown App ID"))</f>
        <v/>
      </c>
      <c r="AH365" s="108" t="str">
        <f aca="false">IF(OR($B365="",$AF365=""),"",IFERROR(VLOOKUP($AF365,'Application Portfolio'!$A$2:$AB$1000,28,FALSE()),""))</f>
        <v/>
      </c>
    </row>
    <row r="366" customFormat="false" ht="15.75" hidden="false" customHeight="true" outlineLevel="0" collapsed="false">
      <c r="A366" s="100"/>
      <c r="B366" s="101"/>
      <c r="C366" s="101"/>
      <c r="D366" s="101"/>
      <c r="E366" s="101"/>
      <c r="F366" s="102"/>
      <c r="G366" s="102"/>
      <c r="H366" s="102"/>
      <c r="I366" s="102"/>
      <c r="J366" s="102"/>
      <c r="K366" s="102"/>
      <c r="L366" s="103" t="str">
        <f aca="false">IF(OR($B366="", $H366="", $I366="", $J366="", $K366=""),"",ROUND((VLOOKUP($H366,Lists!$E$2:$F$5,2,FALSE())*VLOOKUP($I366,Lists!$H$2:$I$4,2,FALSE())*VLOOKUP($J366,Lists!$K$2:$L$4,2,FALSE()))/VLOOKUP($K366,Lists!$N$2:$O$6,2,FALSE()),2))</f>
        <v/>
      </c>
      <c r="M366" s="104" t="str">
        <f aca="false">IF($B366="","",IF($AC366&lt;&gt;"",$AC366,IF($H366="Critical","P0",IF(NOT(ISNUMBER($L366)),"",IF($L366&gt;=Lists!$AM$2,"P0",IF($L366&gt;=Lists!$AM$3,"P1",IF($L366&gt;=Lists!$AM$4,"P2","P3")))))))</f>
        <v/>
      </c>
      <c r="N366" s="102"/>
      <c r="O366" s="101"/>
      <c r="P366" s="102"/>
      <c r="Q366" s="105"/>
      <c r="R366" s="106" t="str">
        <f aca="true">IF($Q366="","", TODAY()-$Q366)</f>
        <v/>
      </c>
      <c r="S366" s="102"/>
      <c r="T366" s="105"/>
      <c r="U366" s="105"/>
      <c r="V366" s="101"/>
      <c r="W366" s="101"/>
      <c r="X366" s="101"/>
      <c r="Y366" s="96"/>
      <c r="Z366" s="96"/>
      <c r="AA366" s="96"/>
      <c r="AC366" s="102"/>
      <c r="AD366" s="107" t="str">
        <f aca="false">IF($B366="","",IF(ISNUMBER($T366),$T366,IF(OR(NOT(ISNUMBER($Q366)),$S366=""),"",IFERROR(IF(ISNUMBER(INDEX(Lists!$AJ$2:$AJ$7,MATCH($S366,Lists!$AI$2:$AI$7,0))),$Q366+INDEX(Lists!$AJ$2:$AJ$7,MATCH($S366,Lists!$AI$2:$AI$7,0)),""),""))))</f>
        <v/>
      </c>
      <c r="AE366" s="104" t="str">
        <f aca="true">IF($B366="","",IF(AND(ISNUMBER($AD366),N($AD366)&lt;TODAY(),$N366&lt;&gt;"Done",$N366&lt;&gt;"Won't Fix",$N366&lt;&gt;"Duplicate"),"Yes","No"))</f>
        <v/>
      </c>
      <c r="AF366" s="101"/>
      <c r="AG366" s="108" t="str">
        <f aca="false">IF($AF366="","",IFERROR(VLOOKUP($AF366,'Application Portfolio'!$A$2:$B$1000,2,FALSE()),"Unknown App ID"))</f>
        <v/>
      </c>
      <c r="AH366" s="108" t="str">
        <f aca="false">IF(OR($B366="",$AF366=""),"",IFERROR(VLOOKUP($AF366,'Application Portfolio'!$A$2:$AB$1000,28,FALSE()),""))</f>
        <v/>
      </c>
    </row>
    <row r="367" customFormat="false" ht="15.75" hidden="false" customHeight="true" outlineLevel="0" collapsed="false">
      <c r="A367" s="100"/>
      <c r="B367" s="101"/>
      <c r="C367" s="101"/>
      <c r="D367" s="101"/>
      <c r="E367" s="101"/>
      <c r="F367" s="102"/>
      <c r="G367" s="102"/>
      <c r="H367" s="102"/>
      <c r="I367" s="102"/>
      <c r="J367" s="102"/>
      <c r="K367" s="102"/>
      <c r="L367" s="103" t="str">
        <f aca="false">IF(OR($B367="", $H367="", $I367="", $J367="", $K367=""),"",ROUND((VLOOKUP($H367,Lists!$E$2:$F$5,2,FALSE())*VLOOKUP($I367,Lists!$H$2:$I$4,2,FALSE())*VLOOKUP($J367,Lists!$K$2:$L$4,2,FALSE()))/VLOOKUP($K367,Lists!$N$2:$O$6,2,FALSE()),2))</f>
        <v/>
      </c>
      <c r="M367" s="104" t="str">
        <f aca="false">IF($B367="","",IF($AC367&lt;&gt;"",$AC367,IF($H367="Critical","P0",IF(NOT(ISNUMBER($L367)),"",IF($L367&gt;=Lists!$AM$2,"P0",IF($L367&gt;=Lists!$AM$3,"P1",IF($L367&gt;=Lists!$AM$4,"P2","P3")))))))</f>
        <v/>
      </c>
      <c r="N367" s="102"/>
      <c r="O367" s="101"/>
      <c r="P367" s="102"/>
      <c r="Q367" s="105"/>
      <c r="R367" s="106" t="str">
        <f aca="true">IF($Q367="","", TODAY()-$Q367)</f>
        <v/>
      </c>
      <c r="S367" s="102"/>
      <c r="T367" s="105"/>
      <c r="U367" s="105"/>
      <c r="V367" s="101"/>
      <c r="W367" s="101"/>
      <c r="X367" s="101"/>
      <c r="Y367" s="96"/>
      <c r="Z367" s="96"/>
      <c r="AA367" s="96"/>
      <c r="AC367" s="102"/>
      <c r="AD367" s="107" t="str">
        <f aca="false">IF($B367="","",IF(ISNUMBER($T367),$T367,IF(OR(NOT(ISNUMBER($Q367)),$S367=""),"",IFERROR(IF(ISNUMBER(INDEX(Lists!$AJ$2:$AJ$7,MATCH($S367,Lists!$AI$2:$AI$7,0))),$Q367+INDEX(Lists!$AJ$2:$AJ$7,MATCH($S367,Lists!$AI$2:$AI$7,0)),""),""))))</f>
        <v/>
      </c>
      <c r="AE367" s="104" t="str">
        <f aca="true">IF($B367="","",IF(AND(ISNUMBER($AD367),N($AD367)&lt;TODAY(),$N367&lt;&gt;"Done",$N367&lt;&gt;"Won't Fix",$N367&lt;&gt;"Duplicate"),"Yes","No"))</f>
        <v/>
      </c>
      <c r="AF367" s="101"/>
      <c r="AG367" s="108" t="str">
        <f aca="false">IF($AF367="","",IFERROR(VLOOKUP($AF367,'Application Portfolio'!$A$2:$B$1000,2,FALSE()),"Unknown App ID"))</f>
        <v/>
      </c>
      <c r="AH367" s="108" t="str">
        <f aca="false">IF(OR($B367="",$AF367=""),"",IFERROR(VLOOKUP($AF367,'Application Portfolio'!$A$2:$AB$1000,28,FALSE()),""))</f>
        <v/>
      </c>
    </row>
    <row r="368" customFormat="false" ht="15.75" hidden="false" customHeight="true" outlineLevel="0" collapsed="false">
      <c r="A368" s="100"/>
      <c r="B368" s="101"/>
      <c r="C368" s="101"/>
      <c r="D368" s="101"/>
      <c r="E368" s="101"/>
      <c r="F368" s="102"/>
      <c r="G368" s="102"/>
      <c r="H368" s="102"/>
      <c r="I368" s="102"/>
      <c r="J368" s="102"/>
      <c r="K368" s="102"/>
      <c r="L368" s="103" t="str">
        <f aca="false">IF(OR($B368="", $H368="", $I368="", $J368="", $K368=""),"",ROUND((VLOOKUP($H368,Lists!$E$2:$F$5,2,FALSE())*VLOOKUP($I368,Lists!$H$2:$I$4,2,FALSE())*VLOOKUP($J368,Lists!$K$2:$L$4,2,FALSE()))/VLOOKUP($K368,Lists!$N$2:$O$6,2,FALSE()),2))</f>
        <v/>
      </c>
      <c r="M368" s="104" t="str">
        <f aca="false">IF($B368="","",IF($AC368&lt;&gt;"",$AC368,IF($H368="Critical","P0",IF(NOT(ISNUMBER($L368)),"",IF($L368&gt;=Lists!$AM$2,"P0",IF($L368&gt;=Lists!$AM$3,"P1",IF($L368&gt;=Lists!$AM$4,"P2","P3")))))))</f>
        <v/>
      </c>
      <c r="N368" s="102"/>
      <c r="O368" s="101"/>
      <c r="P368" s="102"/>
      <c r="Q368" s="105"/>
      <c r="R368" s="106" t="str">
        <f aca="true">IF($Q368="","", TODAY()-$Q368)</f>
        <v/>
      </c>
      <c r="S368" s="102"/>
      <c r="T368" s="105"/>
      <c r="U368" s="105"/>
      <c r="V368" s="101"/>
      <c r="W368" s="101"/>
      <c r="X368" s="101"/>
      <c r="Y368" s="96"/>
      <c r="Z368" s="96"/>
      <c r="AA368" s="96"/>
      <c r="AC368" s="102"/>
      <c r="AD368" s="107" t="str">
        <f aca="false">IF($B368="","",IF(ISNUMBER($T368),$T368,IF(OR(NOT(ISNUMBER($Q368)),$S368=""),"",IFERROR(IF(ISNUMBER(INDEX(Lists!$AJ$2:$AJ$7,MATCH($S368,Lists!$AI$2:$AI$7,0))),$Q368+INDEX(Lists!$AJ$2:$AJ$7,MATCH($S368,Lists!$AI$2:$AI$7,0)),""),""))))</f>
        <v/>
      </c>
      <c r="AE368" s="104" t="str">
        <f aca="true">IF($B368="","",IF(AND(ISNUMBER($AD368),N($AD368)&lt;TODAY(),$N368&lt;&gt;"Done",$N368&lt;&gt;"Won't Fix",$N368&lt;&gt;"Duplicate"),"Yes","No"))</f>
        <v/>
      </c>
      <c r="AF368" s="101"/>
      <c r="AG368" s="108" t="str">
        <f aca="false">IF($AF368="","",IFERROR(VLOOKUP($AF368,'Application Portfolio'!$A$2:$B$1000,2,FALSE()),"Unknown App ID"))</f>
        <v/>
      </c>
      <c r="AH368" s="108" t="str">
        <f aca="false">IF(OR($B368="",$AF368=""),"",IFERROR(VLOOKUP($AF368,'Application Portfolio'!$A$2:$AB$1000,28,FALSE()),""))</f>
        <v/>
      </c>
    </row>
    <row r="369" customFormat="false" ht="15.75" hidden="false" customHeight="true" outlineLevel="0" collapsed="false">
      <c r="A369" s="100"/>
      <c r="B369" s="101"/>
      <c r="C369" s="101"/>
      <c r="D369" s="101"/>
      <c r="E369" s="101"/>
      <c r="F369" s="102"/>
      <c r="G369" s="102"/>
      <c r="H369" s="102"/>
      <c r="I369" s="102"/>
      <c r="J369" s="102"/>
      <c r="K369" s="102"/>
      <c r="L369" s="103" t="str">
        <f aca="false">IF(OR($B369="", $H369="", $I369="", $J369="", $K369=""),"",ROUND((VLOOKUP($H369,Lists!$E$2:$F$5,2,FALSE())*VLOOKUP($I369,Lists!$H$2:$I$4,2,FALSE())*VLOOKUP($J369,Lists!$K$2:$L$4,2,FALSE()))/VLOOKUP($K369,Lists!$N$2:$O$6,2,FALSE()),2))</f>
        <v/>
      </c>
      <c r="M369" s="104" t="str">
        <f aca="false">IF($B369="","",IF($AC369&lt;&gt;"",$AC369,IF($H369="Critical","P0",IF(NOT(ISNUMBER($L369)),"",IF($L369&gt;=Lists!$AM$2,"P0",IF($L369&gt;=Lists!$AM$3,"P1",IF($L369&gt;=Lists!$AM$4,"P2","P3")))))))</f>
        <v/>
      </c>
      <c r="N369" s="102"/>
      <c r="O369" s="101"/>
      <c r="P369" s="102"/>
      <c r="Q369" s="105"/>
      <c r="R369" s="106" t="str">
        <f aca="true">IF($Q369="","", TODAY()-$Q369)</f>
        <v/>
      </c>
      <c r="S369" s="102"/>
      <c r="T369" s="105"/>
      <c r="U369" s="105"/>
      <c r="V369" s="101"/>
      <c r="W369" s="101"/>
      <c r="X369" s="101"/>
      <c r="Y369" s="96"/>
      <c r="Z369" s="96"/>
      <c r="AA369" s="96"/>
      <c r="AC369" s="102"/>
      <c r="AD369" s="107" t="str">
        <f aca="false">IF($B369="","",IF(ISNUMBER($T369),$T369,IF(OR(NOT(ISNUMBER($Q369)),$S369=""),"",IFERROR(IF(ISNUMBER(INDEX(Lists!$AJ$2:$AJ$7,MATCH($S369,Lists!$AI$2:$AI$7,0))),$Q369+INDEX(Lists!$AJ$2:$AJ$7,MATCH($S369,Lists!$AI$2:$AI$7,0)),""),""))))</f>
        <v/>
      </c>
      <c r="AE369" s="104" t="str">
        <f aca="true">IF($B369="","",IF(AND(ISNUMBER($AD369),N($AD369)&lt;TODAY(),$N369&lt;&gt;"Done",$N369&lt;&gt;"Won't Fix",$N369&lt;&gt;"Duplicate"),"Yes","No"))</f>
        <v/>
      </c>
      <c r="AF369" s="101"/>
      <c r="AG369" s="108" t="str">
        <f aca="false">IF($AF369="","",IFERROR(VLOOKUP($AF369,'Application Portfolio'!$A$2:$B$1000,2,FALSE()),"Unknown App ID"))</f>
        <v/>
      </c>
      <c r="AH369" s="108" t="str">
        <f aca="false">IF(OR($B369="",$AF369=""),"",IFERROR(VLOOKUP($AF369,'Application Portfolio'!$A$2:$AB$1000,28,FALSE()),""))</f>
        <v/>
      </c>
    </row>
    <row r="370" customFormat="false" ht="15.75" hidden="false" customHeight="true" outlineLevel="0" collapsed="false">
      <c r="A370" s="100"/>
      <c r="B370" s="101"/>
      <c r="C370" s="101"/>
      <c r="D370" s="101"/>
      <c r="E370" s="101"/>
      <c r="F370" s="102"/>
      <c r="G370" s="102"/>
      <c r="H370" s="102"/>
      <c r="I370" s="102"/>
      <c r="J370" s="102"/>
      <c r="K370" s="102"/>
      <c r="L370" s="103" t="str">
        <f aca="false">IF(OR($B370="", $H370="", $I370="", $J370="", $K370=""),"",ROUND((VLOOKUP($H370,Lists!$E$2:$F$5,2,FALSE())*VLOOKUP($I370,Lists!$H$2:$I$4,2,FALSE())*VLOOKUP($J370,Lists!$K$2:$L$4,2,FALSE()))/VLOOKUP($K370,Lists!$N$2:$O$6,2,FALSE()),2))</f>
        <v/>
      </c>
      <c r="M370" s="104" t="str">
        <f aca="false">IF($B370="","",IF($AC370&lt;&gt;"",$AC370,IF($H370="Critical","P0",IF(NOT(ISNUMBER($L370)),"",IF($L370&gt;=Lists!$AM$2,"P0",IF($L370&gt;=Lists!$AM$3,"P1",IF($L370&gt;=Lists!$AM$4,"P2","P3")))))))</f>
        <v/>
      </c>
      <c r="N370" s="102"/>
      <c r="O370" s="101"/>
      <c r="P370" s="102"/>
      <c r="Q370" s="105"/>
      <c r="R370" s="106" t="str">
        <f aca="true">IF($Q370="","", TODAY()-$Q370)</f>
        <v/>
      </c>
      <c r="S370" s="102"/>
      <c r="T370" s="105"/>
      <c r="U370" s="105"/>
      <c r="V370" s="101"/>
      <c r="W370" s="101"/>
      <c r="X370" s="101"/>
      <c r="Y370" s="96"/>
      <c r="Z370" s="96"/>
      <c r="AA370" s="96"/>
      <c r="AC370" s="102"/>
      <c r="AD370" s="107" t="str">
        <f aca="false">IF($B370="","",IF(ISNUMBER($T370),$T370,IF(OR(NOT(ISNUMBER($Q370)),$S370=""),"",IFERROR(IF(ISNUMBER(INDEX(Lists!$AJ$2:$AJ$7,MATCH($S370,Lists!$AI$2:$AI$7,0))),$Q370+INDEX(Lists!$AJ$2:$AJ$7,MATCH($S370,Lists!$AI$2:$AI$7,0)),""),""))))</f>
        <v/>
      </c>
      <c r="AE370" s="104" t="str">
        <f aca="true">IF($B370="","",IF(AND(ISNUMBER($AD370),N($AD370)&lt;TODAY(),$N370&lt;&gt;"Done",$N370&lt;&gt;"Won't Fix",$N370&lt;&gt;"Duplicate"),"Yes","No"))</f>
        <v/>
      </c>
      <c r="AF370" s="101"/>
      <c r="AG370" s="108" t="str">
        <f aca="false">IF($AF370="","",IFERROR(VLOOKUP($AF370,'Application Portfolio'!$A$2:$B$1000,2,FALSE()),"Unknown App ID"))</f>
        <v/>
      </c>
      <c r="AH370" s="108" t="str">
        <f aca="false">IF(OR($B370="",$AF370=""),"",IFERROR(VLOOKUP($AF370,'Application Portfolio'!$A$2:$AB$1000,28,FALSE()),""))</f>
        <v/>
      </c>
    </row>
    <row r="371" customFormat="false" ht="15.75" hidden="false" customHeight="true" outlineLevel="0" collapsed="false">
      <c r="A371" s="100"/>
      <c r="B371" s="101"/>
      <c r="C371" s="101"/>
      <c r="D371" s="101"/>
      <c r="E371" s="101"/>
      <c r="F371" s="102"/>
      <c r="G371" s="102"/>
      <c r="H371" s="102"/>
      <c r="I371" s="102"/>
      <c r="J371" s="102"/>
      <c r="K371" s="102"/>
      <c r="L371" s="103" t="str">
        <f aca="false">IF(OR($B371="", $H371="", $I371="", $J371="", $K371=""),"",ROUND((VLOOKUP($H371,Lists!$E$2:$F$5,2,FALSE())*VLOOKUP($I371,Lists!$H$2:$I$4,2,FALSE())*VLOOKUP($J371,Lists!$K$2:$L$4,2,FALSE()))/VLOOKUP($K371,Lists!$N$2:$O$6,2,FALSE()),2))</f>
        <v/>
      </c>
      <c r="M371" s="104" t="str">
        <f aca="false">IF($B371="","",IF($AC371&lt;&gt;"",$AC371,IF($H371="Critical","P0",IF(NOT(ISNUMBER($L371)),"",IF($L371&gt;=Lists!$AM$2,"P0",IF($L371&gt;=Lists!$AM$3,"P1",IF($L371&gt;=Lists!$AM$4,"P2","P3")))))))</f>
        <v/>
      </c>
      <c r="N371" s="102"/>
      <c r="O371" s="101"/>
      <c r="P371" s="102"/>
      <c r="Q371" s="105"/>
      <c r="R371" s="106" t="str">
        <f aca="true">IF($Q371="","", TODAY()-$Q371)</f>
        <v/>
      </c>
      <c r="S371" s="102"/>
      <c r="T371" s="105"/>
      <c r="U371" s="105"/>
      <c r="V371" s="101"/>
      <c r="W371" s="101"/>
      <c r="X371" s="101"/>
      <c r="Y371" s="96"/>
      <c r="Z371" s="96"/>
      <c r="AA371" s="96"/>
      <c r="AC371" s="102"/>
      <c r="AD371" s="107" t="str">
        <f aca="false">IF($B371="","",IF(ISNUMBER($T371),$T371,IF(OR(NOT(ISNUMBER($Q371)),$S371=""),"",IFERROR(IF(ISNUMBER(INDEX(Lists!$AJ$2:$AJ$7,MATCH($S371,Lists!$AI$2:$AI$7,0))),$Q371+INDEX(Lists!$AJ$2:$AJ$7,MATCH($S371,Lists!$AI$2:$AI$7,0)),""),""))))</f>
        <v/>
      </c>
      <c r="AE371" s="104" t="str">
        <f aca="true">IF($B371="","",IF(AND(ISNUMBER($AD371),N($AD371)&lt;TODAY(),$N371&lt;&gt;"Done",$N371&lt;&gt;"Won't Fix",$N371&lt;&gt;"Duplicate"),"Yes","No"))</f>
        <v/>
      </c>
      <c r="AF371" s="101"/>
      <c r="AG371" s="108" t="str">
        <f aca="false">IF($AF371="","",IFERROR(VLOOKUP($AF371,'Application Portfolio'!$A$2:$B$1000,2,FALSE()),"Unknown App ID"))</f>
        <v/>
      </c>
      <c r="AH371" s="108" t="str">
        <f aca="false">IF(OR($B371="",$AF371=""),"",IFERROR(VLOOKUP($AF371,'Application Portfolio'!$A$2:$AB$1000,28,FALSE()),""))</f>
        <v/>
      </c>
    </row>
    <row r="372" customFormat="false" ht="15.75" hidden="false" customHeight="true" outlineLevel="0" collapsed="false">
      <c r="A372" s="100"/>
      <c r="B372" s="101"/>
      <c r="C372" s="101"/>
      <c r="D372" s="101"/>
      <c r="E372" s="101"/>
      <c r="F372" s="102"/>
      <c r="G372" s="102"/>
      <c r="H372" s="102"/>
      <c r="I372" s="102"/>
      <c r="J372" s="102"/>
      <c r="K372" s="102"/>
      <c r="L372" s="103" t="str">
        <f aca="false">IF(OR($B372="", $H372="", $I372="", $J372="", $K372=""),"",ROUND((VLOOKUP($H372,Lists!$E$2:$F$5,2,FALSE())*VLOOKUP($I372,Lists!$H$2:$I$4,2,FALSE())*VLOOKUP($J372,Lists!$K$2:$L$4,2,FALSE()))/VLOOKUP($K372,Lists!$N$2:$O$6,2,FALSE()),2))</f>
        <v/>
      </c>
      <c r="M372" s="104" t="str">
        <f aca="false">IF($B372="","",IF($AC372&lt;&gt;"",$AC372,IF($H372="Critical","P0",IF(NOT(ISNUMBER($L372)),"",IF($L372&gt;=Lists!$AM$2,"P0",IF($L372&gt;=Lists!$AM$3,"P1",IF($L372&gt;=Lists!$AM$4,"P2","P3")))))))</f>
        <v/>
      </c>
      <c r="N372" s="102"/>
      <c r="O372" s="101"/>
      <c r="P372" s="102"/>
      <c r="Q372" s="105"/>
      <c r="R372" s="106" t="str">
        <f aca="true">IF($Q372="","", TODAY()-$Q372)</f>
        <v/>
      </c>
      <c r="S372" s="102"/>
      <c r="T372" s="105"/>
      <c r="U372" s="105"/>
      <c r="V372" s="101"/>
      <c r="W372" s="101"/>
      <c r="X372" s="101"/>
      <c r="Y372" s="96"/>
      <c r="Z372" s="96"/>
      <c r="AA372" s="96"/>
      <c r="AC372" s="102"/>
      <c r="AD372" s="107" t="str">
        <f aca="false">IF($B372="","",IF(ISNUMBER($T372),$T372,IF(OR(NOT(ISNUMBER($Q372)),$S372=""),"",IFERROR(IF(ISNUMBER(INDEX(Lists!$AJ$2:$AJ$7,MATCH($S372,Lists!$AI$2:$AI$7,0))),$Q372+INDEX(Lists!$AJ$2:$AJ$7,MATCH($S372,Lists!$AI$2:$AI$7,0)),""),""))))</f>
        <v/>
      </c>
      <c r="AE372" s="104" t="str">
        <f aca="true">IF($B372="","",IF(AND(ISNUMBER($AD372),N($AD372)&lt;TODAY(),$N372&lt;&gt;"Done",$N372&lt;&gt;"Won't Fix",$N372&lt;&gt;"Duplicate"),"Yes","No"))</f>
        <v/>
      </c>
      <c r="AF372" s="101"/>
      <c r="AG372" s="108" t="str">
        <f aca="false">IF($AF372="","",IFERROR(VLOOKUP($AF372,'Application Portfolio'!$A$2:$B$1000,2,FALSE()),"Unknown App ID"))</f>
        <v/>
      </c>
      <c r="AH372" s="108" t="str">
        <f aca="false">IF(OR($B372="",$AF372=""),"",IFERROR(VLOOKUP($AF372,'Application Portfolio'!$A$2:$AB$1000,28,FALSE()),""))</f>
        <v/>
      </c>
    </row>
    <row r="373" customFormat="false" ht="15.75" hidden="false" customHeight="true" outlineLevel="0" collapsed="false">
      <c r="A373" s="100"/>
      <c r="B373" s="101"/>
      <c r="C373" s="101"/>
      <c r="D373" s="101"/>
      <c r="E373" s="101"/>
      <c r="F373" s="102"/>
      <c r="G373" s="102"/>
      <c r="H373" s="102"/>
      <c r="I373" s="102"/>
      <c r="J373" s="102"/>
      <c r="K373" s="102"/>
      <c r="L373" s="103" t="str">
        <f aca="false">IF(OR($B373="", $H373="", $I373="", $J373="", $K373=""),"",ROUND((VLOOKUP($H373,Lists!$E$2:$F$5,2,FALSE())*VLOOKUP($I373,Lists!$H$2:$I$4,2,FALSE())*VLOOKUP($J373,Lists!$K$2:$L$4,2,FALSE()))/VLOOKUP($K373,Lists!$N$2:$O$6,2,FALSE()),2))</f>
        <v/>
      </c>
      <c r="M373" s="104" t="str">
        <f aca="false">IF($B373="","",IF($AC373&lt;&gt;"",$AC373,IF($H373="Critical","P0",IF(NOT(ISNUMBER($L373)),"",IF($L373&gt;=Lists!$AM$2,"P0",IF($L373&gt;=Lists!$AM$3,"P1",IF($L373&gt;=Lists!$AM$4,"P2","P3")))))))</f>
        <v/>
      </c>
      <c r="N373" s="102"/>
      <c r="O373" s="101"/>
      <c r="P373" s="102"/>
      <c r="Q373" s="105"/>
      <c r="R373" s="106" t="str">
        <f aca="true">IF($Q373="","", TODAY()-$Q373)</f>
        <v/>
      </c>
      <c r="S373" s="102"/>
      <c r="T373" s="105"/>
      <c r="U373" s="105"/>
      <c r="V373" s="101"/>
      <c r="W373" s="101"/>
      <c r="X373" s="101"/>
      <c r="Y373" s="96"/>
      <c r="Z373" s="96"/>
      <c r="AA373" s="96"/>
      <c r="AC373" s="102"/>
      <c r="AD373" s="107" t="str">
        <f aca="false">IF($B373="","",IF(ISNUMBER($T373),$T373,IF(OR(NOT(ISNUMBER($Q373)),$S373=""),"",IFERROR(IF(ISNUMBER(INDEX(Lists!$AJ$2:$AJ$7,MATCH($S373,Lists!$AI$2:$AI$7,0))),$Q373+INDEX(Lists!$AJ$2:$AJ$7,MATCH($S373,Lists!$AI$2:$AI$7,0)),""),""))))</f>
        <v/>
      </c>
      <c r="AE373" s="104" t="str">
        <f aca="true">IF($B373="","",IF(AND(ISNUMBER($AD373),N($AD373)&lt;TODAY(),$N373&lt;&gt;"Done",$N373&lt;&gt;"Won't Fix",$N373&lt;&gt;"Duplicate"),"Yes","No"))</f>
        <v/>
      </c>
      <c r="AF373" s="101"/>
      <c r="AG373" s="108" t="str">
        <f aca="false">IF($AF373="","",IFERROR(VLOOKUP($AF373,'Application Portfolio'!$A$2:$B$1000,2,FALSE()),"Unknown App ID"))</f>
        <v/>
      </c>
      <c r="AH373" s="108" t="str">
        <f aca="false">IF(OR($B373="",$AF373=""),"",IFERROR(VLOOKUP($AF373,'Application Portfolio'!$A$2:$AB$1000,28,FALSE()),""))</f>
        <v/>
      </c>
    </row>
    <row r="374" customFormat="false" ht="15.75" hidden="false" customHeight="true" outlineLevel="0" collapsed="false">
      <c r="A374" s="100"/>
      <c r="B374" s="101"/>
      <c r="C374" s="101"/>
      <c r="D374" s="101"/>
      <c r="E374" s="101"/>
      <c r="F374" s="102"/>
      <c r="G374" s="102"/>
      <c r="H374" s="102"/>
      <c r="I374" s="102"/>
      <c r="J374" s="102"/>
      <c r="K374" s="102"/>
      <c r="L374" s="103" t="str">
        <f aca="false">IF(OR($B374="", $H374="", $I374="", $J374="", $K374=""),"",ROUND((VLOOKUP($H374,Lists!$E$2:$F$5,2,FALSE())*VLOOKUP($I374,Lists!$H$2:$I$4,2,FALSE())*VLOOKUP($J374,Lists!$K$2:$L$4,2,FALSE()))/VLOOKUP($K374,Lists!$N$2:$O$6,2,FALSE()),2))</f>
        <v/>
      </c>
      <c r="M374" s="104" t="str">
        <f aca="false">IF($B374="","",IF($AC374&lt;&gt;"",$AC374,IF($H374="Critical","P0",IF(NOT(ISNUMBER($L374)),"",IF($L374&gt;=Lists!$AM$2,"P0",IF($L374&gt;=Lists!$AM$3,"P1",IF($L374&gt;=Lists!$AM$4,"P2","P3")))))))</f>
        <v/>
      </c>
      <c r="N374" s="102"/>
      <c r="O374" s="101"/>
      <c r="P374" s="102"/>
      <c r="Q374" s="105"/>
      <c r="R374" s="106" t="str">
        <f aca="true">IF($Q374="","", TODAY()-$Q374)</f>
        <v/>
      </c>
      <c r="S374" s="102"/>
      <c r="T374" s="105"/>
      <c r="U374" s="105"/>
      <c r="V374" s="101"/>
      <c r="W374" s="101"/>
      <c r="X374" s="101"/>
      <c r="Y374" s="96"/>
      <c r="Z374" s="96"/>
      <c r="AA374" s="96"/>
      <c r="AC374" s="102"/>
      <c r="AD374" s="107" t="str">
        <f aca="false">IF($B374="","",IF(ISNUMBER($T374),$T374,IF(OR(NOT(ISNUMBER($Q374)),$S374=""),"",IFERROR(IF(ISNUMBER(INDEX(Lists!$AJ$2:$AJ$7,MATCH($S374,Lists!$AI$2:$AI$7,0))),$Q374+INDEX(Lists!$AJ$2:$AJ$7,MATCH($S374,Lists!$AI$2:$AI$7,0)),""),""))))</f>
        <v/>
      </c>
      <c r="AE374" s="104" t="str">
        <f aca="true">IF($B374="","",IF(AND(ISNUMBER($AD374),N($AD374)&lt;TODAY(),$N374&lt;&gt;"Done",$N374&lt;&gt;"Won't Fix",$N374&lt;&gt;"Duplicate"),"Yes","No"))</f>
        <v/>
      </c>
      <c r="AF374" s="101"/>
      <c r="AG374" s="108" t="str">
        <f aca="false">IF($AF374="","",IFERROR(VLOOKUP($AF374,'Application Portfolio'!$A$2:$B$1000,2,FALSE()),"Unknown App ID"))</f>
        <v/>
      </c>
      <c r="AH374" s="108" t="str">
        <f aca="false">IF(OR($B374="",$AF374=""),"",IFERROR(VLOOKUP($AF374,'Application Portfolio'!$A$2:$AB$1000,28,FALSE()),""))</f>
        <v/>
      </c>
    </row>
    <row r="375" customFormat="false" ht="15.75" hidden="false" customHeight="true" outlineLevel="0" collapsed="false">
      <c r="A375" s="100"/>
      <c r="B375" s="101"/>
      <c r="C375" s="101"/>
      <c r="D375" s="101"/>
      <c r="E375" s="101"/>
      <c r="F375" s="102"/>
      <c r="G375" s="102"/>
      <c r="H375" s="102"/>
      <c r="I375" s="102"/>
      <c r="J375" s="102"/>
      <c r="K375" s="102"/>
      <c r="L375" s="103" t="str">
        <f aca="false">IF(OR($B375="", $H375="", $I375="", $J375="", $K375=""),"",ROUND((VLOOKUP($H375,Lists!$E$2:$F$5,2,FALSE())*VLOOKUP($I375,Lists!$H$2:$I$4,2,FALSE())*VLOOKUP($J375,Lists!$K$2:$L$4,2,FALSE()))/VLOOKUP($K375,Lists!$N$2:$O$6,2,FALSE()),2))</f>
        <v/>
      </c>
      <c r="M375" s="104" t="str">
        <f aca="false">IF($B375="","",IF($AC375&lt;&gt;"",$AC375,IF($H375="Critical","P0",IF(NOT(ISNUMBER($L375)),"",IF($L375&gt;=Lists!$AM$2,"P0",IF($L375&gt;=Lists!$AM$3,"P1",IF($L375&gt;=Lists!$AM$4,"P2","P3")))))))</f>
        <v/>
      </c>
      <c r="N375" s="102"/>
      <c r="O375" s="101"/>
      <c r="P375" s="102"/>
      <c r="Q375" s="105"/>
      <c r="R375" s="106" t="str">
        <f aca="true">IF($Q375="","", TODAY()-$Q375)</f>
        <v/>
      </c>
      <c r="S375" s="102"/>
      <c r="T375" s="105"/>
      <c r="U375" s="105"/>
      <c r="V375" s="101"/>
      <c r="W375" s="101"/>
      <c r="X375" s="101"/>
      <c r="Y375" s="96"/>
      <c r="Z375" s="96"/>
      <c r="AA375" s="96"/>
      <c r="AC375" s="102"/>
      <c r="AD375" s="107" t="str">
        <f aca="false">IF($B375="","",IF(ISNUMBER($T375),$T375,IF(OR(NOT(ISNUMBER($Q375)),$S375=""),"",IFERROR(IF(ISNUMBER(INDEX(Lists!$AJ$2:$AJ$7,MATCH($S375,Lists!$AI$2:$AI$7,0))),$Q375+INDEX(Lists!$AJ$2:$AJ$7,MATCH($S375,Lists!$AI$2:$AI$7,0)),""),""))))</f>
        <v/>
      </c>
      <c r="AE375" s="104" t="str">
        <f aca="true">IF($B375="","",IF(AND(ISNUMBER($AD375),N($AD375)&lt;TODAY(),$N375&lt;&gt;"Done",$N375&lt;&gt;"Won't Fix",$N375&lt;&gt;"Duplicate"),"Yes","No"))</f>
        <v/>
      </c>
      <c r="AF375" s="101"/>
      <c r="AG375" s="108" t="str">
        <f aca="false">IF($AF375="","",IFERROR(VLOOKUP($AF375,'Application Portfolio'!$A$2:$B$1000,2,FALSE()),"Unknown App ID"))</f>
        <v/>
      </c>
      <c r="AH375" s="108" t="str">
        <f aca="false">IF(OR($B375="",$AF375=""),"",IFERROR(VLOOKUP($AF375,'Application Portfolio'!$A$2:$AB$1000,28,FALSE()),""))</f>
        <v/>
      </c>
    </row>
    <row r="376" customFormat="false" ht="15.75" hidden="false" customHeight="true" outlineLevel="0" collapsed="false">
      <c r="A376" s="100"/>
      <c r="B376" s="101"/>
      <c r="C376" s="101"/>
      <c r="D376" s="101"/>
      <c r="E376" s="101"/>
      <c r="F376" s="102"/>
      <c r="G376" s="102"/>
      <c r="H376" s="102"/>
      <c r="I376" s="102"/>
      <c r="J376" s="102"/>
      <c r="K376" s="102"/>
      <c r="L376" s="103" t="str">
        <f aca="false">IF(OR($B376="", $H376="", $I376="", $J376="", $K376=""),"",ROUND((VLOOKUP($H376,Lists!$E$2:$F$5,2,FALSE())*VLOOKUP($I376,Lists!$H$2:$I$4,2,FALSE())*VLOOKUP($J376,Lists!$K$2:$L$4,2,FALSE()))/VLOOKUP($K376,Lists!$N$2:$O$6,2,FALSE()),2))</f>
        <v/>
      </c>
      <c r="M376" s="104" t="str">
        <f aca="false">IF($B376="","",IF($AC376&lt;&gt;"",$AC376,IF($H376="Critical","P0",IF(NOT(ISNUMBER($L376)),"",IF($L376&gt;=Lists!$AM$2,"P0",IF($L376&gt;=Lists!$AM$3,"P1",IF($L376&gt;=Lists!$AM$4,"P2","P3")))))))</f>
        <v/>
      </c>
      <c r="N376" s="102"/>
      <c r="O376" s="101"/>
      <c r="P376" s="102"/>
      <c r="Q376" s="105"/>
      <c r="R376" s="106" t="str">
        <f aca="true">IF($Q376="","", TODAY()-$Q376)</f>
        <v/>
      </c>
      <c r="S376" s="102"/>
      <c r="T376" s="105"/>
      <c r="U376" s="105"/>
      <c r="V376" s="101"/>
      <c r="W376" s="101"/>
      <c r="X376" s="101"/>
      <c r="Y376" s="96"/>
      <c r="Z376" s="96"/>
      <c r="AA376" s="96"/>
      <c r="AC376" s="102"/>
      <c r="AD376" s="107" t="str">
        <f aca="false">IF($B376="","",IF(ISNUMBER($T376),$T376,IF(OR(NOT(ISNUMBER($Q376)),$S376=""),"",IFERROR(IF(ISNUMBER(INDEX(Lists!$AJ$2:$AJ$7,MATCH($S376,Lists!$AI$2:$AI$7,0))),$Q376+INDEX(Lists!$AJ$2:$AJ$7,MATCH($S376,Lists!$AI$2:$AI$7,0)),""),""))))</f>
        <v/>
      </c>
      <c r="AE376" s="104" t="str">
        <f aca="true">IF($B376="","",IF(AND(ISNUMBER($AD376),N($AD376)&lt;TODAY(),$N376&lt;&gt;"Done",$N376&lt;&gt;"Won't Fix",$N376&lt;&gt;"Duplicate"),"Yes","No"))</f>
        <v/>
      </c>
      <c r="AF376" s="101"/>
      <c r="AG376" s="108" t="str">
        <f aca="false">IF($AF376="","",IFERROR(VLOOKUP($AF376,'Application Portfolio'!$A$2:$B$1000,2,FALSE()),"Unknown App ID"))</f>
        <v/>
      </c>
      <c r="AH376" s="108" t="str">
        <f aca="false">IF(OR($B376="",$AF376=""),"",IFERROR(VLOOKUP($AF376,'Application Portfolio'!$A$2:$AB$1000,28,FALSE()),""))</f>
        <v/>
      </c>
    </row>
    <row r="377" customFormat="false" ht="15.75" hidden="false" customHeight="true" outlineLevel="0" collapsed="false">
      <c r="A377" s="100"/>
      <c r="B377" s="101"/>
      <c r="C377" s="101"/>
      <c r="D377" s="101"/>
      <c r="E377" s="101"/>
      <c r="F377" s="102"/>
      <c r="G377" s="102"/>
      <c r="H377" s="102"/>
      <c r="I377" s="102"/>
      <c r="J377" s="102"/>
      <c r="K377" s="102"/>
      <c r="L377" s="103" t="str">
        <f aca="false">IF(OR($B377="", $H377="", $I377="", $J377="", $K377=""),"",ROUND((VLOOKUP($H377,Lists!$E$2:$F$5,2,FALSE())*VLOOKUP($I377,Lists!$H$2:$I$4,2,FALSE())*VLOOKUP($J377,Lists!$K$2:$L$4,2,FALSE()))/VLOOKUP($K377,Lists!$N$2:$O$6,2,FALSE()),2))</f>
        <v/>
      </c>
      <c r="M377" s="104" t="str">
        <f aca="false">IF($B377="","",IF($AC377&lt;&gt;"",$AC377,IF($H377="Critical","P0",IF(NOT(ISNUMBER($L377)),"",IF($L377&gt;=Lists!$AM$2,"P0",IF($L377&gt;=Lists!$AM$3,"P1",IF($L377&gt;=Lists!$AM$4,"P2","P3")))))))</f>
        <v/>
      </c>
      <c r="N377" s="102"/>
      <c r="O377" s="101"/>
      <c r="P377" s="102"/>
      <c r="Q377" s="105"/>
      <c r="R377" s="106" t="str">
        <f aca="true">IF($Q377="","", TODAY()-$Q377)</f>
        <v/>
      </c>
      <c r="S377" s="102"/>
      <c r="T377" s="105"/>
      <c r="U377" s="105"/>
      <c r="V377" s="101"/>
      <c r="W377" s="101"/>
      <c r="X377" s="101"/>
      <c r="Y377" s="96"/>
      <c r="Z377" s="96"/>
      <c r="AA377" s="96"/>
      <c r="AC377" s="102"/>
      <c r="AD377" s="107" t="str">
        <f aca="false">IF($B377="","",IF(ISNUMBER($T377),$T377,IF(OR(NOT(ISNUMBER($Q377)),$S377=""),"",IFERROR(IF(ISNUMBER(INDEX(Lists!$AJ$2:$AJ$7,MATCH($S377,Lists!$AI$2:$AI$7,0))),$Q377+INDEX(Lists!$AJ$2:$AJ$7,MATCH($S377,Lists!$AI$2:$AI$7,0)),""),""))))</f>
        <v/>
      </c>
      <c r="AE377" s="104" t="str">
        <f aca="true">IF($B377="","",IF(AND(ISNUMBER($AD377),N($AD377)&lt;TODAY(),$N377&lt;&gt;"Done",$N377&lt;&gt;"Won't Fix",$N377&lt;&gt;"Duplicate"),"Yes","No"))</f>
        <v/>
      </c>
      <c r="AF377" s="101"/>
      <c r="AG377" s="108" t="str">
        <f aca="false">IF($AF377="","",IFERROR(VLOOKUP($AF377,'Application Portfolio'!$A$2:$B$1000,2,FALSE()),"Unknown App ID"))</f>
        <v/>
      </c>
      <c r="AH377" s="108" t="str">
        <f aca="false">IF(OR($B377="",$AF377=""),"",IFERROR(VLOOKUP($AF377,'Application Portfolio'!$A$2:$AB$1000,28,FALSE()),""))</f>
        <v/>
      </c>
    </row>
    <row r="378" customFormat="false" ht="15.75" hidden="false" customHeight="true" outlineLevel="0" collapsed="false">
      <c r="A378" s="100"/>
      <c r="B378" s="101"/>
      <c r="C378" s="101"/>
      <c r="D378" s="101"/>
      <c r="E378" s="101"/>
      <c r="F378" s="102"/>
      <c r="G378" s="102"/>
      <c r="H378" s="102"/>
      <c r="I378" s="102"/>
      <c r="J378" s="102"/>
      <c r="K378" s="102"/>
      <c r="L378" s="103" t="str">
        <f aca="false">IF(OR($B378="", $H378="", $I378="", $J378="", $K378=""),"",ROUND((VLOOKUP($H378,Lists!$E$2:$F$5,2,FALSE())*VLOOKUP($I378,Lists!$H$2:$I$4,2,FALSE())*VLOOKUP($J378,Lists!$K$2:$L$4,2,FALSE()))/VLOOKUP($K378,Lists!$N$2:$O$6,2,FALSE()),2))</f>
        <v/>
      </c>
      <c r="M378" s="104" t="str">
        <f aca="false">IF($B378="","",IF($AC378&lt;&gt;"",$AC378,IF($H378="Critical","P0",IF(NOT(ISNUMBER($L378)),"",IF($L378&gt;=Lists!$AM$2,"P0",IF($L378&gt;=Lists!$AM$3,"P1",IF($L378&gt;=Lists!$AM$4,"P2","P3")))))))</f>
        <v/>
      </c>
      <c r="N378" s="102"/>
      <c r="O378" s="101"/>
      <c r="P378" s="102"/>
      <c r="Q378" s="105"/>
      <c r="R378" s="106" t="str">
        <f aca="true">IF($Q378="","", TODAY()-$Q378)</f>
        <v/>
      </c>
      <c r="S378" s="102"/>
      <c r="T378" s="105"/>
      <c r="U378" s="105"/>
      <c r="V378" s="101"/>
      <c r="W378" s="101"/>
      <c r="X378" s="101"/>
      <c r="Y378" s="96"/>
      <c r="Z378" s="96"/>
      <c r="AA378" s="96"/>
      <c r="AC378" s="102"/>
      <c r="AD378" s="107" t="str">
        <f aca="false">IF($B378="","",IF(ISNUMBER($T378),$T378,IF(OR(NOT(ISNUMBER($Q378)),$S378=""),"",IFERROR(IF(ISNUMBER(INDEX(Lists!$AJ$2:$AJ$7,MATCH($S378,Lists!$AI$2:$AI$7,0))),$Q378+INDEX(Lists!$AJ$2:$AJ$7,MATCH($S378,Lists!$AI$2:$AI$7,0)),""),""))))</f>
        <v/>
      </c>
      <c r="AE378" s="104" t="str">
        <f aca="true">IF($B378="","",IF(AND(ISNUMBER($AD378),N($AD378)&lt;TODAY(),$N378&lt;&gt;"Done",$N378&lt;&gt;"Won't Fix",$N378&lt;&gt;"Duplicate"),"Yes","No"))</f>
        <v/>
      </c>
      <c r="AF378" s="101"/>
      <c r="AG378" s="108" t="str">
        <f aca="false">IF($AF378="","",IFERROR(VLOOKUP($AF378,'Application Portfolio'!$A$2:$B$1000,2,FALSE()),"Unknown App ID"))</f>
        <v/>
      </c>
      <c r="AH378" s="108" t="str">
        <f aca="false">IF(OR($B378="",$AF378=""),"",IFERROR(VLOOKUP($AF378,'Application Portfolio'!$A$2:$AB$1000,28,FALSE()),""))</f>
        <v/>
      </c>
    </row>
    <row r="379" customFormat="false" ht="15.75" hidden="false" customHeight="true" outlineLevel="0" collapsed="false">
      <c r="A379" s="100"/>
      <c r="B379" s="101"/>
      <c r="C379" s="101"/>
      <c r="D379" s="101"/>
      <c r="E379" s="101"/>
      <c r="F379" s="102"/>
      <c r="G379" s="102"/>
      <c r="H379" s="102"/>
      <c r="I379" s="102"/>
      <c r="J379" s="102"/>
      <c r="K379" s="102"/>
      <c r="L379" s="103" t="str">
        <f aca="false">IF(OR($B379="", $H379="", $I379="", $J379="", $K379=""),"",ROUND((VLOOKUP($H379,Lists!$E$2:$F$5,2,FALSE())*VLOOKUP($I379,Lists!$H$2:$I$4,2,FALSE())*VLOOKUP($J379,Lists!$K$2:$L$4,2,FALSE()))/VLOOKUP($K379,Lists!$N$2:$O$6,2,FALSE()),2))</f>
        <v/>
      </c>
      <c r="M379" s="104" t="str">
        <f aca="false">IF($B379="","",IF($AC379&lt;&gt;"",$AC379,IF($H379="Critical","P0",IF(NOT(ISNUMBER($L379)),"",IF($L379&gt;=Lists!$AM$2,"P0",IF($L379&gt;=Lists!$AM$3,"P1",IF($L379&gt;=Lists!$AM$4,"P2","P3")))))))</f>
        <v/>
      </c>
      <c r="N379" s="102"/>
      <c r="O379" s="101"/>
      <c r="P379" s="102"/>
      <c r="Q379" s="105"/>
      <c r="R379" s="106" t="str">
        <f aca="true">IF($Q379="","", TODAY()-$Q379)</f>
        <v/>
      </c>
      <c r="S379" s="102"/>
      <c r="T379" s="105"/>
      <c r="U379" s="105"/>
      <c r="V379" s="101"/>
      <c r="W379" s="101"/>
      <c r="X379" s="101"/>
      <c r="Y379" s="96"/>
      <c r="Z379" s="96"/>
      <c r="AA379" s="96"/>
      <c r="AC379" s="102"/>
      <c r="AD379" s="107" t="str">
        <f aca="false">IF($B379="","",IF(ISNUMBER($T379),$T379,IF(OR(NOT(ISNUMBER($Q379)),$S379=""),"",IFERROR(IF(ISNUMBER(INDEX(Lists!$AJ$2:$AJ$7,MATCH($S379,Lists!$AI$2:$AI$7,0))),$Q379+INDEX(Lists!$AJ$2:$AJ$7,MATCH($S379,Lists!$AI$2:$AI$7,0)),""),""))))</f>
        <v/>
      </c>
      <c r="AE379" s="104" t="str">
        <f aca="true">IF($B379="","",IF(AND(ISNUMBER($AD379),N($AD379)&lt;TODAY(),$N379&lt;&gt;"Done",$N379&lt;&gt;"Won't Fix",$N379&lt;&gt;"Duplicate"),"Yes","No"))</f>
        <v/>
      </c>
      <c r="AF379" s="101"/>
      <c r="AG379" s="108" t="str">
        <f aca="false">IF($AF379="","",IFERROR(VLOOKUP($AF379,'Application Portfolio'!$A$2:$B$1000,2,FALSE()),"Unknown App ID"))</f>
        <v/>
      </c>
      <c r="AH379" s="108" t="str">
        <f aca="false">IF(OR($B379="",$AF379=""),"",IFERROR(VLOOKUP($AF379,'Application Portfolio'!$A$2:$AB$1000,28,FALSE()),""))</f>
        <v/>
      </c>
    </row>
    <row r="380" customFormat="false" ht="15.75" hidden="false" customHeight="true" outlineLevel="0" collapsed="false">
      <c r="A380" s="100"/>
      <c r="B380" s="101"/>
      <c r="C380" s="101"/>
      <c r="D380" s="101"/>
      <c r="E380" s="101"/>
      <c r="F380" s="102"/>
      <c r="G380" s="102"/>
      <c r="H380" s="102"/>
      <c r="I380" s="102"/>
      <c r="J380" s="102"/>
      <c r="K380" s="102"/>
      <c r="L380" s="103" t="str">
        <f aca="false">IF(OR($B380="", $H380="", $I380="", $J380="", $K380=""),"",ROUND((VLOOKUP($H380,Lists!$E$2:$F$5,2,FALSE())*VLOOKUP($I380,Lists!$H$2:$I$4,2,FALSE())*VLOOKUP($J380,Lists!$K$2:$L$4,2,FALSE()))/VLOOKUP($K380,Lists!$N$2:$O$6,2,FALSE()),2))</f>
        <v/>
      </c>
      <c r="M380" s="104" t="str">
        <f aca="false">IF($B380="","",IF($AC380&lt;&gt;"",$AC380,IF($H380="Critical","P0",IF(NOT(ISNUMBER($L380)),"",IF($L380&gt;=Lists!$AM$2,"P0",IF($L380&gt;=Lists!$AM$3,"P1",IF($L380&gt;=Lists!$AM$4,"P2","P3")))))))</f>
        <v/>
      </c>
      <c r="N380" s="102"/>
      <c r="O380" s="101"/>
      <c r="P380" s="102"/>
      <c r="Q380" s="105"/>
      <c r="R380" s="106" t="str">
        <f aca="true">IF($Q380="","", TODAY()-$Q380)</f>
        <v/>
      </c>
      <c r="S380" s="102"/>
      <c r="T380" s="105"/>
      <c r="U380" s="105"/>
      <c r="V380" s="101"/>
      <c r="W380" s="101"/>
      <c r="X380" s="101"/>
      <c r="Y380" s="96"/>
      <c r="Z380" s="96"/>
      <c r="AA380" s="96"/>
      <c r="AC380" s="102"/>
      <c r="AD380" s="107" t="str">
        <f aca="false">IF($B380="","",IF(ISNUMBER($T380),$T380,IF(OR(NOT(ISNUMBER($Q380)),$S380=""),"",IFERROR(IF(ISNUMBER(INDEX(Lists!$AJ$2:$AJ$7,MATCH($S380,Lists!$AI$2:$AI$7,0))),$Q380+INDEX(Lists!$AJ$2:$AJ$7,MATCH($S380,Lists!$AI$2:$AI$7,0)),""),""))))</f>
        <v/>
      </c>
      <c r="AE380" s="104" t="str">
        <f aca="true">IF($B380="","",IF(AND(ISNUMBER($AD380),N($AD380)&lt;TODAY(),$N380&lt;&gt;"Done",$N380&lt;&gt;"Won't Fix",$N380&lt;&gt;"Duplicate"),"Yes","No"))</f>
        <v/>
      </c>
      <c r="AF380" s="101"/>
      <c r="AG380" s="108" t="str">
        <f aca="false">IF($AF380="","",IFERROR(VLOOKUP($AF380,'Application Portfolio'!$A$2:$B$1000,2,FALSE()),"Unknown App ID"))</f>
        <v/>
      </c>
      <c r="AH380" s="108" t="str">
        <f aca="false">IF(OR($B380="",$AF380=""),"",IFERROR(VLOOKUP($AF380,'Application Portfolio'!$A$2:$AB$1000,28,FALSE()),""))</f>
        <v/>
      </c>
    </row>
    <row r="381" customFormat="false" ht="15.75" hidden="false" customHeight="true" outlineLevel="0" collapsed="false">
      <c r="A381" s="100"/>
      <c r="B381" s="101"/>
      <c r="C381" s="101"/>
      <c r="D381" s="101"/>
      <c r="E381" s="101"/>
      <c r="F381" s="102"/>
      <c r="G381" s="102"/>
      <c r="H381" s="102"/>
      <c r="I381" s="102"/>
      <c r="J381" s="102"/>
      <c r="K381" s="102"/>
      <c r="L381" s="103" t="str">
        <f aca="false">IF(OR($B381="", $H381="", $I381="", $J381="", $K381=""),"",ROUND((VLOOKUP($H381,Lists!$E$2:$F$5,2,FALSE())*VLOOKUP($I381,Lists!$H$2:$I$4,2,FALSE())*VLOOKUP($J381,Lists!$K$2:$L$4,2,FALSE()))/VLOOKUP($K381,Lists!$N$2:$O$6,2,FALSE()),2))</f>
        <v/>
      </c>
      <c r="M381" s="104" t="str">
        <f aca="false">IF($B381="","",IF($AC381&lt;&gt;"",$AC381,IF($H381="Critical","P0",IF(NOT(ISNUMBER($L381)),"",IF($L381&gt;=Lists!$AM$2,"P0",IF($L381&gt;=Lists!$AM$3,"P1",IF($L381&gt;=Lists!$AM$4,"P2","P3")))))))</f>
        <v/>
      </c>
      <c r="N381" s="102"/>
      <c r="O381" s="101"/>
      <c r="P381" s="102"/>
      <c r="Q381" s="105"/>
      <c r="R381" s="106" t="str">
        <f aca="true">IF($Q381="","", TODAY()-$Q381)</f>
        <v/>
      </c>
      <c r="S381" s="102"/>
      <c r="T381" s="105"/>
      <c r="U381" s="105"/>
      <c r="V381" s="101"/>
      <c r="W381" s="101"/>
      <c r="X381" s="101"/>
      <c r="Y381" s="96"/>
      <c r="Z381" s="96"/>
      <c r="AA381" s="96"/>
      <c r="AC381" s="102"/>
      <c r="AD381" s="107" t="str">
        <f aca="false">IF($B381="","",IF(ISNUMBER($T381),$T381,IF(OR(NOT(ISNUMBER($Q381)),$S381=""),"",IFERROR(IF(ISNUMBER(INDEX(Lists!$AJ$2:$AJ$7,MATCH($S381,Lists!$AI$2:$AI$7,0))),$Q381+INDEX(Lists!$AJ$2:$AJ$7,MATCH($S381,Lists!$AI$2:$AI$7,0)),""),""))))</f>
        <v/>
      </c>
      <c r="AE381" s="104" t="str">
        <f aca="true">IF($B381="","",IF(AND(ISNUMBER($AD381),N($AD381)&lt;TODAY(),$N381&lt;&gt;"Done",$N381&lt;&gt;"Won't Fix",$N381&lt;&gt;"Duplicate"),"Yes","No"))</f>
        <v/>
      </c>
      <c r="AF381" s="101"/>
      <c r="AG381" s="108" t="str">
        <f aca="false">IF($AF381="","",IFERROR(VLOOKUP($AF381,'Application Portfolio'!$A$2:$B$1000,2,FALSE()),"Unknown App ID"))</f>
        <v/>
      </c>
      <c r="AH381" s="108" t="str">
        <f aca="false">IF(OR($B381="",$AF381=""),"",IFERROR(VLOOKUP($AF381,'Application Portfolio'!$A$2:$AB$1000,28,FALSE()),""))</f>
        <v/>
      </c>
    </row>
    <row r="382" customFormat="false" ht="15.75" hidden="false" customHeight="true" outlineLevel="0" collapsed="false">
      <c r="A382" s="100"/>
      <c r="B382" s="101"/>
      <c r="C382" s="101"/>
      <c r="D382" s="101"/>
      <c r="E382" s="101"/>
      <c r="F382" s="102"/>
      <c r="G382" s="102"/>
      <c r="H382" s="102"/>
      <c r="I382" s="102"/>
      <c r="J382" s="102"/>
      <c r="K382" s="102"/>
      <c r="L382" s="103" t="str">
        <f aca="false">IF(OR($B382="", $H382="", $I382="", $J382="", $K382=""),"",ROUND((VLOOKUP($H382,Lists!$E$2:$F$5,2,FALSE())*VLOOKUP($I382,Lists!$H$2:$I$4,2,FALSE())*VLOOKUP($J382,Lists!$K$2:$L$4,2,FALSE()))/VLOOKUP($K382,Lists!$N$2:$O$6,2,FALSE()),2))</f>
        <v/>
      </c>
      <c r="M382" s="104" t="str">
        <f aca="false">IF($B382="","",IF($AC382&lt;&gt;"",$AC382,IF($H382="Critical","P0",IF(NOT(ISNUMBER($L382)),"",IF($L382&gt;=Lists!$AM$2,"P0",IF($L382&gt;=Lists!$AM$3,"P1",IF($L382&gt;=Lists!$AM$4,"P2","P3")))))))</f>
        <v/>
      </c>
      <c r="N382" s="102"/>
      <c r="O382" s="101"/>
      <c r="P382" s="102"/>
      <c r="Q382" s="105"/>
      <c r="R382" s="106" t="str">
        <f aca="true">IF($Q382="","", TODAY()-$Q382)</f>
        <v/>
      </c>
      <c r="S382" s="102"/>
      <c r="T382" s="105"/>
      <c r="U382" s="105"/>
      <c r="V382" s="101"/>
      <c r="W382" s="101"/>
      <c r="X382" s="101"/>
      <c r="Y382" s="96"/>
      <c r="Z382" s="96"/>
      <c r="AA382" s="96"/>
      <c r="AC382" s="102"/>
      <c r="AD382" s="107" t="str">
        <f aca="false">IF($B382="","",IF(ISNUMBER($T382),$T382,IF(OR(NOT(ISNUMBER($Q382)),$S382=""),"",IFERROR(IF(ISNUMBER(INDEX(Lists!$AJ$2:$AJ$7,MATCH($S382,Lists!$AI$2:$AI$7,0))),$Q382+INDEX(Lists!$AJ$2:$AJ$7,MATCH($S382,Lists!$AI$2:$AI$7,0)),""),""))))</f>
        <v/>
      </c>
      <c r="AE382" s="104" t="str">
        <f aca="true">IF($B382="","",IF(AND(ISNUMBER($AD382),N($AD382)&lt;TODAY(),$N382&lt;&gt;"Done",$N382&lt;&gt;"Won't Fix",$N382&lt;&gt;"Duplicate"),"Yes","No"))</f>
        <v/>
      </c>
      <c r="AF382" s="101"/>
      <c r="AG382" s="108" t="str">
        <f aca="false">IF($AF382="","",IFERROR(VLOOKUP($AF382,'Application Portfolio'!$A$2:$B$1000,2,FALSE()),"Unknown App ID"))</f>
        <v/>
      </c>
      <c r="AH382" s="108" t="str">
        <f aca="false">IF(OR($B382="",$AF382=""),"",IFERROR(VLOOKUP($AF382,'Application Portfolio'!$A$2:$AB$1000,28,FALSE()),""))</f>
        <v/>
      </c>
    </row>
    <row r="383" customFormat="false" ht="15.75" hidden="false" customHeight="true" outlineLevel="0" collapsed="false">
      <c r="A383" s="100"/>
      <c r="B383" s="101"/>
      <c r="C383" s="101"/>
      <c r="D383" s="101"/>
      <c r="E383" s="101"/>
      <c r="F383" s="102"/>
      <c r="G383" s="102"/>
      <c r="H383" s="102"/>
      <c r="I383" s="102"/>
      <c r="J383" s="102"/>
      <c r="K383" s="102"/>
      <c r="L383" s="103" t="str">
        <f aca="false">IF(OR($B383="", $H383="", $I383="", $J383="", $K383=""),"",ROUND((VLOOKUP($H383,Lists!$E$2:$F$5,2,FALSE())*VLOOKUP($I383,Lists!$H$2:$I$4,2,FALSE())*VLOOKUP($J383,Lists!$K$2:$L$4,2,FALSE()))/VLOOKUP($K383,Lists!$N$2:$O$6,2,FALSE()),2))</f>
        <v/>
      </c>
      <c r="M383" s="104" t="str">
        <f aca="false">IF($B383="","",IF($AC383&lt;&gt;"",$AC383,IF($H383="Critical","P0",IF(NOT(ISNUMBER($L383)),"",IF($L383&gt;=Lists!$AM$2,"P0",IF($L383&gt;=Lists!$AM$3,"P1",IF($L383&gt;=Lists!$AM$4,"P2","P3")))))))</f>
        <v/>
      </c>
      <c r="N383" s="102"/>
      <c r="O383" s="101"/>
      <c r="P383" s="102"/>
      <c r="Q383" s="105"/>
      <c r="R383" s="106" t="str">
        <f aca="true">IF($Q383="","", TODAY()-$Q383)</f>
        <v/>
      </c>
      <c r="S383" s="102"/>
      <c r="T383" s="105"/>
      <c r="U383" s="105"/>
      <c r="V383" s="101"/>
      <c r="W383" s="101"/>
      <c r="X383" s="101"/>
      <c r="Y383" s="96"/>
      <c r="Z383" s="96"/>
      <c r="AA383" s="96"/>
      <c r="AC383" s="102"/>
      <c r="AD383" s="107" t="str">
        <f aca="false">IF($B383="","",IF(ISNUMBER($T383),$T383,IF(OR(NOT(ISNUMBER($Q383)),$S383=""),"",IFERROR(IF(ISNUMBER(INDEX(Lists!$AJ$2:$AJ$7,MATCH($S383,Lists!$AI$2:$AI$7,0))),$Q383+INDEX(Lists!$AJ$2:$AJ$7,MATCH($S383,Lists!$AI$2:$AI$7,0)),""),""))))</f>
        <v/>
      </c>
      <c r="AE383" s="104" t="str">
        <f aca="true">IF($B383="","",IF(AND(ISNUMBER($AD383),N($AD383)&lt;TODAY(),$N383&lt;&gt;"Done",$N383&lt;&gt;"Won't Fix",$N383&lt;&gt;"Duplicate"),"Yes","No"))</f>
        <v/>
      </c>
      <c r="AF383" s="101"/>
      <c r="AG383" s="108" t="str">
        <f aca="false">IF($AF383="","",IFERROR(VLOOKUP($AF383,'Application Portfolio'!$A$2:$B$1000,2,FALSE()),"Unknown App ID"))</f>
        <v/>
      </c>
      <c r="AH383" s="108" t="str">
        <f aca="false">IF(OR($B383="",$AF383=""),"",IFERROR(VLOOKUP($AF383,'Application Portfolio'!$A$2:$AB$1000,28,FALSE()),""))</f>
        <v/>
      </c>
    </row>
    <row r="384" customFormat="false" ht="15.75" hidden="false" customHeight="true" outlineLevel="0" collapsed="false">
      <c r="A384" s="100"/>
      <c r="B384" s="101"/>
      <c r="C384" s="101"/>
      <c r="D384" s="101"/>
      <c r="E384" s="101"/>
      <c r="F384" s="102"/>
      <c r="G384" s="102"/>
      <c r="H384" s="102"/>
      <c r="I384" s="102"/>
      <c r="J384" s="102"/>
      <c r="K384" s="102"/>
      <c r="L384" s="103" t="str">
        <f aca="false">IF(OR($B384="", $H384="", $I384="", $J384="", $K384=""),"",ROUND((VLOOKUP($H384,Lists!$E$2:$F$5,2,FALSE())*VLOOKUP($I384,Lists!$H$2:$I$4,2,FALSE())*VLOOKUP($J384,Lists!$K$2:$L$4,2,FALSE()))/VLOOKUP($K384,Lists!$N$2:$O$6,2,FALSE()),2))</f>
        <v/>
      </c>
      <c r="M384" s="104" t="str">
        <f aca="false">IF($B384="","",IF($AC384&lt;&gt;"",$AC384,IF($H384="Critical","P0",IF(NOT(ISNUMBER($L384)),"",IF($L384&gt;=Lists!$AM$2,"P0",IF($L384&gt;=Lists!$AM$3,"P1",IF($L384&gt;=Lists!$AM$4,"P2","P3")))))))</f>
        <v/>
      </c>
      <c r="N384" s="102"/>
      <c r="O384" s="101"/>
      <c r="P384" s="102"/>
      <c r="Q384" s="105"/>
      <c r="R384" s="106" t="str">
        <f aca="true">IF($Q384="","", TODAY()-$Q384)</f>
        <v/>
      </c>
      <c r="S384" s="102"/>
      <c r="T384" s="105"/>
      <c r="U384" s="105"/>
      <c r="V384" s="101"/>
      <c r="W384" s="101"/>
      <c r="X384" s="101"/>
      <c r="Y384" s="96"/>
      <c r="Z384" s="96"/>
      <c r="AA384" s="96"/>
      <c r="AC384" s="102"/>
      <c r="AD384" s="107" t="str">
        <f aca="false">IF($B384="","",IF(ISNUMBER($T384),$T384,IF(OR(NOT(ISNUMBER($Q384)),$S384=""),"",IFERROR(IF(ISNUMBER(INDEX(Lists!$AJ$2:$AJ$7,MATCH($S384,Lists!$AI$2:$AI$7,0))),$Q384+INDEX(Lists!$AJ$2:$AJ$7,MATCH($S384,Lists!$AI$2:$AI$7,0)),""),""))))</f>
        <v/>
      </c>
      <c r="AE384" s="104" t="str">
        <f aca="true">IF($B384="","",IF(AND(ISNUMBER($AD384),N($AD384)&lt;TODAY(),$N384&lt;&gt;"Done",$N384&lt;&gt;"Won't Fix",$N384&lt;&gt;"Duplicate"),"Yes","No"))</f>
        <v/>
      </c>
      <c r="AF384" s="101"/>
      <c r="AG384" s="108" t="str">
        <f aca="false">IF($AF384="","",IFERROR(VLOOKUP($AF384,'Application Portfolio'!$A$2:$B$1000,2,FALSE()),"Unknown App ID"))</f>
        <v/>
      </c>
      <c r="AH384" s="108" t="str">
        <f aca="false">IF(OR($B384="",$AF384=""),"",IFERROR(VLOOKUP($AF384,'Application Portfolio'!$A$2:$AB$1000,28,FALSE()),""))</f>
        <v/>
      </c>
    </row>
    <row r="385" customFormat="false" ht="15.75" hidden="false" customHeight="true" outlineLevel="0" collapsed="false">
      <c r="A385" s="100"/>
      <c r="B385" s="101"/>
      <c r="C385" s="101"/>
      <c r="D385" s="101"/>
      <c r="E385" s="101"/>
      <c r="F385" s="102"/>
      <c r="G385" s="102"/>
      <c r="H385" s="102"/>
      <c r="I385" s="102"/>
      <c r="J385" s="102"/>
      <c r="K385" s="102"/>
      <c r="L385" s="103" t="str">
        <f aca="false">IF(OR($B385="", $H385="", $I385="", $J385="", $K385=""),"",ROUND((VLOOKUP($H385,Lists!$E$2:$F$5,2,FALSE())*VLOOKUP($I385,Lists!$H$2:$I$4,2,FALSE())*VLOOKUP($J385,Lists!$K$2:$L$4,2,FALSE()))/VLOOKUP($K385,Lists!$N$2:$O$6,2,FALSE()),2))</f>
        <v/>
      </c>
      <c r="M385" s="104" t="str">
        <f aca="false">IF($B385="","",IF($AC385&lt;&gt;"",$AC385,IF($H385="Critical","P0",IF(NOT(ISNUMBER($L385)),"",IF($L385&gt;=Lists!$AM$2,"P0",IF($L385&gt;=Lists!$AM$3,"P1",IF($L385&gt;=Lists!$AM$4,"P2","P3")))))))</f>
        <v/>
      </c>
      <c r="N385" s="102"/>
      <c r="O385" s="101"/>
      <c r="P385" s="102"/>
      <c r="Q385" s="105"/>
      <c r="R385" s="106" t="str">
        <f aca="true">IF($Q385="","", TODAY()-$Q385)</f>
        <v/>
      </c>
      <c r="S385" s="102"/>
      <c r="T385" s="105"/>
      <c r="U385" s="105"/>
      <c r="V385" s="101"/>
      <c r="W385" s="101"/>
      <c r="X385" s="101"/>
      <c r="Y385" s="96"/>
      <c r="Z385" s="96"/>
      <c r="AA385" s="96"/>
      <c r="AC385" s="102"/>
      <c r="AD385" s="107" t="str">
        <f aca="false">IF($B385="","",IF(ISNUMBER($T385),$T385,IF(OR(NOT(ISNUMBER($Q385)),$S385=""),"",IFERROR(IF(ISNUMBER(INDEX(Lists!$AJ$2:$AJ$7,MATCH($S385,Lists!$AI$2:$AI$7,0))),$Q385+INDEX(Lists!$AJ$2:$AJ$7,MATCH($S385,Lists!$AI$2:$AI$7,0)),""),""))))</f>
        <v/>
      </c>
      <c r="AE385" s="104" t="str">
        <f aca="true">IF($B385="","",IF(AND(ISNUMBER($AD385),N($AD385)&lt;TODAY(),$N385&lt;&gt;"Done",$N385&lt;&gt;"Won't Fix",$N385&lt;&gt;"Duplicate"),"Yes","No"))</f>
        <v/>
      </c>
      <c r="AF385" s="101"/>
      <c r="AG385" s="108" t="str">
        <f aca="false">IF($AF385="","",IFERROR(VLOOKUP($AF385,'Application Portfolio'!$A$2:$B$1000,2,FALSE()),"Unknown App ID"))</f>
        <v/>
      </c>
      <c r="AH385" s="108" t="str">
        <f aca="false">IF(OR($B385="",$AF385=""),"",IFERROR(VLOOKUP($AF385,'Application Portfolio'!$A$2:$AB$1000,28,FALSE()),""))</f>
        <v/>
      </c>
    </row>
    <row r="386" customFormat="false" ht="15.75" hidden="false" customHeight="true" outlineLevel="0" collapsed="false">
      <c r="A386" s="100"/>
      <c r="B386" s="101"/>
      <c r="C386" s="101"/>
      <c r="D386" s="101"/>
      <c r="E386" s="101"/>
      <c r="F386" s="102"/>
      <c r="G386" s="102"/>
      <c r="H386" s="102"/>
      <c r="I386" s="102"/>
      <c r="J386" s="102"/>
      <c r="K386" s="102"/>
      <c r="L386" s="103" t="str">
        <f aca="false">IF(OR($B386="", $H386="", $I386="", $J386="", $K386=""),"",ROUND((VLOOKUP($H386,Lists!$E$2:$F$5,2,FALSE())*VLOOKUP($I386,Lists!$H$2:$I$4,2,FALSE())*VLOOKUP($J386,Lists!$K$2:$L$4,2,FALSE()))/VLOOKUP($K386,Lists!$N$2:$O$6,2,FALSE()),2))</f>
        <v/>
      </c>
      <c r="M386" s="104" t="str">
        <f aca="false">IF($B386="","",IF($AC386&lt;&gt;"",$AC386,IF($H386="Critical","P0",IF(NOT(ISNUMBER($L386)),"",IF($L386&gt;=Lists!$AM$2,"P0",IF($L386&gt;=Lists!$AM$3,"P1",IF($L386&gt;=Lists!$AM$4,"P2","P3")))))))</f>
        <v/>
      </c>
      <c r="N386" s="102"/>
      <c r="O386" s="101"/>
      <c r="P386" s="102"/>
      <c r="Q386" s="105"/>
      <c r="R386" s="106" t="str">
        <f aca="true">IF($Q386="","", TODAY()-$Q386)</f>
        <v/>
      </c>
      <c r="S386" s="102"/>
      <c r="T386" s="105"/>
      <c r="U386" s="105"/>
      <c r="V386" s="101"/>
      <c r="W386" s="101"/>
      <c r="X386" s="101"/>
      <c r="Y386" s="96"/>
      <c r="Z386" s="96"/>
      <c r="AA386" s="96"/>
      <c r="AC386" s="102"/>
      <c r="AD386" s="107" t="str">
        <f aca="false">IF($B386="","",IF(ISNUMBER($T386),$T386,IF(OR(NOT(ISNUMBER($Q386)),$S386=""),"",IFERROR(IF(ISNUMBER(INDEX(Lists!$AJ$2:$AJ$7,MATCH($S386,Lists!$AI$2:$AI$7,0))),$Q386+INDEX(Lists!$AJ$2:$AJ$7,MATCH($S386,Lists!$AI$2:$AI$7,0)),""),""))))</f>
        <v/>
      </c>
      <c r="AE386" s="104" t="str">
        <f aca="true">IF($B386="","",IF(AND(ISNUMBER($AD386),N($AD386)&lt;TODAY(),$N386&lt;&gt;"Done",$N386&lt;&gt;"Won't Fix",$N386&lt;&gt;"Duplicate"),"Yes","No"))</f>
        <v/>
      </c>
      <c r="AF386" s="101"/>
      <c r="AG386" s="108" t="str">
        <f aca="false">IF($AF386="","",IFERROR(VLOOKUP($AF386,'Application Portfolio'!$A$2:$B$1000,2,FALSE()),"Unknown App ID"))</f>
        <v/>
      </c>
      <c r="AH386" s="108" t="str">
        <f aca="false">IF(OR($B386="",$AF386=""),"",IFERROR(VLOOKUP($AF386,'Application Portfolio'!$A$2:$AB$1000,28,FALSE()),""))</f>
        <v/>
      </c>
    </row>
    <row r="387" customFormat="false" ht="15.75" hidden="false" customHeight="true" outlineLevel="0" collapsed="false">
      <c r="A387" s="100"/>
      <c r="B387" s="101"/>
      <c r="C387" s="101"/>
      <c r="D387" s="101"/>
      <c r="E387" s="101"/>
      <c r="F387" s="102"/>
      <c r="G387" s="102"/>
      <c r="H387" s="102"/>
      <c r="I387" s="102"/>
      <c r="J387" s="102"/>
      <c r="K387" s="102"/>
      <c r="L387" s="103" t="str">
        <f aca="false">IF(OR($B387="", $H387="", $I387="", $J387="", $K387=""),"",ROUND((VLOOKUP($H387,Lists!$E$2:$F$5,2,FALSE())*VLOOKUP($I387,Lists!$H$2:$I$4,2,FALSE())*VLOOKUP($J387,Lists!$K$2:$L$4,2,FALSE()))/VLOOKUP($K387,Lists!$N$2:$O$6,2,FALSE()),2))</f>
        <v/>
      </c>
      <c r="M387" s="104" t="str">
        <f aca="false">IF($B387="","",IF($AC387&lt;&gt;"",$AC387,IF($H387="Critical","P0",IF(NOT(ISNUMBER($L387)),"",IF($L387&gt;=Lists!$AM$2,"P0",IF($L387&gt;=Lists!$AM$3,"P1",IF($L387&gt;=Lists!$AM$4,"P2","P3")))))))</f>
        <v/>
      </c>
      <c r="N387" s="102"/>
      <c r="O387" s="101"/>
      <c r="P387" s="102"/>
      <c r="Q387" s="105"/>
      <c r="R387" s="106" t="str">
        <f aca="true">IF($Q387="","", TODAY()-$Q387)</f>
        <v/>
      </c>
      <c r="S387" s="102"/>
      <c r="T387" s="105"/>
      <c r="U387" s="105"/>
      <c r="V387" s="101"/>
      <c r="W387" s="101"/>
      <c r="X387" s="101"/>
      <c r="Y387" s="96"/>
      <c r="Z387" s="96"/>
      <c r="AA387" s="96"/>
      <c r="AC387" s="102"/>
      <c r="AD387" s="107" t="str">
        <f aca="false">IF($B387="","",IF(ISNUMBER($T387),$T387,IF(OR(NOT(ISNUMBER($Q387)),$S387=""),"",IFERROR(IF(ISNUMBER(INDEX(Lists!$AJ$2:$AJ$7,MATCH($S387,Lists!$AI$2:$AI$7,0))),$Q387+INDEX(Lists!$AJ$2:$AJ$7,MATCH($S387,Lists!$AI$2:$AI$7,0)),""),""))))</f>
        <v/>
      </c>
      <c r="AE387" s="104" t="str">
        <f aca="true">IF($B387="","",IF(AND(ISNUMBER($AD387),N($AD387)&lt;TODAY(),$N387&lt;&gt;"Done",$N387&lt;&gt;"Won't Fix",$N387&lt;&gt;"Duplicate"),"Yes","No"))</f>
        <v/>
      </c>
      <c r="AF387" s="101"/>
      <c r="AG387" s="108" t="str">
        <f aca="false">IF($AF387="","",IFERROR(VLOOKUP($AF387,'Application Portfolio'!$A$2:$B$1000,2,FALSE()),"Unknown App ID"))</f>
        <v/>
      </c>
      <c r="AH387" s="108" t="str">
        <f aca="false">IF(OR($B387="",$AF387=""),"",IFERROR(VLOOKUP($AF387,'Application Portfolio'!$A$2:$AB$1000,28,FALSE()),""))</f>
        <v/>
      </c>
    </row>
    <row r="388" customFormat="false" ht="15.75" hidden="false" customHeight="true" outlineLevel="0" collapsed="false">
      <c r="A388" s="100"/>
      <c r="B388" s="101"/>
      <c r="C388" s="101"/>
      <c r="D388" s="101"/>
      <c r="E388" s="101"/>
      <c r="F388" s="102"/>
      <c r="G388" s="102"/>
      <c r="H388" s="102"/>
      <c r="I388" s="102"/>
      <c r="J388" s="102"/>
      <c r="K388" s="102"/>
      <c r="L388" s="103" t="str">
        <f aca="false">IF(OR($B388="", $H388="", $I388="", $J388="", $K388=""),"",ROUND((VLOOKUP($H388,Lists!$E$2:$F$5,2,FALSE())*VLOOKUP($I388,Lists!$H$2:$I$4,2,FALSE())*VLOOKUP($J388,Lists!$K$2:$L$4,2,FALSE()))/VLOOKUP($K388,Lists!$N$2:$O$6,2,FALSE()),2))</f>
        <v/>
      </c>
      <c r="M388" s="104" t="str">
        <f aca="false">IF($B388="","",IF($AC388&lt;&gt;"",$AC388,IF($H388="Critical","P0",IF(NOT(ISNUMBER($L388)),"",IF($L388&gt;=Lists!$AM$2,"P0",IF($L388&gt;=Lists!$AM$3,"P1",IF($L388&gt;=Lists!$AM$4,"P2","P3")))))))</f>
        <v/>
      </c>
      <c r="N388" s="102"/>
      <c r="O388" s="101"/>
      <c r="P388" s="102"/>
      <c r="Q388" s="105"/>
      <c r="R388" s="106" t="str">
        <f aca="true">IF($Q388="","", TODAY()-$Q388)</f>
        <v/>
      </c>
      <c r="S388" s="102"/>
      <c r="T388" s="105"/>
      <c r="U388" s="105"/>
      <c r="V388" s="101"/>
      <c r="W388" s="101"/>
      <c r="X388" s="101"/>
      <c r="Y388" s="96"/>
      <c r="Z388" s="96"/>
      <c r="AA388" s="96"/>
      <c r="AC388" s="102"/>
      <c r="AD388" s="107" t="str">
        <f aca="false">IF($B388="","",IF(ISNUMBER($T388),$T388,IF(OR(NOT(ISNUMBER($Q388)),$S388=""),"",IFERROR(IF(ISNUMBER(INDEX(Lists!$AJ$2:$AJ$7,MATCH($S388,Lists!$AI$2:$AI$7,0))),$Q388+INDEX(Lists!$AJ$2:$AJ$7,MATCH($S388,Lists!$AI$2:$AI$7,0)),""),""))))</f>
        <v/>
      </c>
      <c r="AE388" s="104" t="str">
        <f aca="true">IF($B388="","",IF(AND(ISNUMBER($AD388),N($AD388)&lt;TODAY(),$N388&lt;&gt;"Done",$N388&lt;&gt;"Won't Fix",$N388&lt;&gt;"Duplicate"),"Yes","No"))</f>
        <v/>
      </c>
      <c r="AF388" s="101"/>
      <c r="AG388" s="108" t="str">
        <f aca="false">IF($AF388="","",IFERROR(VLOOKUP($AF388,'Application Portfolio'!$A$2:$B$1000,2,FALSE()),"Unknown App ID"))</f>
        <v/>
      </c>
      <c r="AH388" s="108" t="str">
        <f aca="false">IF(OR($B388="",$AF388=""),"",IFERROR(VLOOKUP($AF388,'Application Portfolio'!$A$2:$AB$1000,28,FALSE()),""))</f>
        <v/>
      </c>
    </row>
    <row r="389" customFormat="false" ht="15.75" hidden="false" customHeight="true" outlineLevel="0" collapsed="false">
      <c r="A389" s="100"/>
      <c r="B389" s="101"/>
      <c r="C389" s="101"/>
      <c r="D389" s="101"/>
      <c r="E389" s="101"/>
      <c r="F389" s="102"/>
      <c r="G389" s="102"/>
      <c r="H389" s="102"/>
      <c r="I389" s="102"/>
      <c r="J389" s="102"/>
      <c r="K389" s="102"/>
      <c r="L389" s="103" t="str">
        <f aca="false">IF(OR($B389="", $H389="", $I389="", $J389="", $K389=""),"",ROUND((VLOOKUP($H389,Lists!$E$2:$F$5,2,FALSE())*VLOOKUP($I389,Lists!$H$2:$I$4,2,FALSE())*VLOOKUP($J389,Lists!$K$2:$L$4,2,FALSE()))/VLOOKUP($K389,Lists!$N$2:$O$6,2,FALSE()),2))</f>
        <v/>
      </c>
      <c r="M389" s="104" t="str">
        <f aca="false">IF($B389="","",IF($AC389&lt;&gt;"",$AC389,IF($H389="Critical","P0",IF(NOT(ISNUMBER($L389)),"",IF($L389&gt;=Lists!$AM$2,"P0",IF($L389&gt;=Lists!$AM$3,"P1",IF($L389&gt;=Lists!$AM$4,"P2","P3")))))))</f>
        <v/>
      </c>
      <c r="N389" s="102"/>
      <c r="O389" s="101"/>
      <c r="P389" s="102"/>
      <c r="Q389" s="105"/>
      <c r="R389" s="106" t="str">
        <f aca="true">IF($Q389="","", TODAY()-$Q389)</f>
        <v/>
      </c>
      <c r="S389" s="102"/>
      <c r="T389" s="105"/>
      <c r="U389" s="105"/>
      <c r="V389" s="101"/>
      <c r="W389" s="101"/>
      <c r="X389" s="101"/>
      <c r="Y389" s="96"/>
      <c r="Z389" s="96"/>
      <c r="AA389" s="96"/>
      <c r="AC389" s="102"/>
      <c r="AD389" s="107" t="str">
        <f aca="false">IF($B389="","",IF(ISNUMBER($T389),$T389,IF(OR(NOT(ISNUMBER($Q389)),$S389=""),"",IFERROR(IF(ISNUMBER(INDEX(Lists!$AJ$2:$AJ$7,MATCH($S389,Lists!$AI$2:$AI$7,0))),$Q389+INDEX(Lists!$AJ$2:$AJ$7,MATCH($S389,Lists!$AI$2:$AI$7,0)),""),""))))</f>
        <v/>
      </c>
      <c r="AE389" s="104" t="str">
        <f aca="true">IF($B389="","",IF(AND(ISNUMBER($AD389),N($AD389)&lt;TODAY(),$N389&lt;&gt;"Done",$N389&lt;&gt;"Won't Fix",$N389&lt;&gt;"Duplicate"),"Yes","No"))</f>
        <v/>
      </c>
      <c r="AF389" s="101"/>
      <c r="AG389" s="108" t="str">
        <f aca="false">IF($AF389="","",IFERROR(VLOOKUP($AF389,'Application Portfolio'!$A$2:$B$1000,2,FALSE()),"Unknown App ID"))</f>
        <v/>
      </c>
      <c r="AH389" s="108" t="str">
        <f aca="false">IF(OR($B389="",$AF389=""),"",IFERROR(VLOOKUP($AF389,'Application Portfolio'!$A$2:$AB$1000,28,FALSE()),""))</f>
        <v/>
      </c>
    </row>
    <row r="390" customFormat="false" ht="15.75" hidden="false" customHeight="true" outlineLevel="0" collapsed="false">
      <c r="A390" s="100"/>
      <c r="B390" s="101"/>
      <c r="C390" s="101"/>
      <c r="D390" s="101"/>
      <c r="E390" s="101"/>
      <c r="F390" s="102"/>
      <c r="G390" s="102"/>
      <c r="H390" s="102"/>
      <c r="I390" s="102"/>
      <c r="J390" s="102"/>
      <c r="K390" s="102"/>
      <c r="L390" s="103" t="str">
        <f aca="false">IF(OR($B390="", $H390="", $I390="", $J390="", $K390=""),"",ROUND((VLOOKUP($H390,Lists!$E$2:$F$5,2,FALSE())*VLOOKUP($I390,Lists!$H$2:$I$4,2,FALSE())*VLOOKUP($J390,Lists!$K$2:$L$4,2,FALSE()))/VLOOKUP($K390,Lists!$N$2:$O$6,2,FALSE()),2))</f>
        <v/>
      </c>
      <c r="M390" s="104" t="str">
        <f aca="false">IF($B390="","",IF($AC390&lt;&gt;"",$AC390,IF($H390="Critical","P0",IF(NOT(ISNUMBER($L390)),"",IF($L390&gt;=Lists!$AM$2,"P0",IF($L390&gt;=Lists!$AM$3,"P1",IF($L390&gt;=Lists!$AM$4,"P2","P3")))))))</f>
        <v/>
      </c>
      <c r="N390" s="102"/>
      <c r="O390" s="101"/>
      <c r="P390" s="102"/>
      <c r="Q390" s="105"/>
      <c r="R390" s="106" t="str">
        <f aca="true">IF($Q390="","", TODAY()-$Q390)</f>
        <v/>
      </c>
      <c r="S390" s="102"/>
      <c r="T390" s="105"/>
      <c r="U390" s="105"/>
      <c r="V390" s="101"/>
      <c r="W390" s="101"/>
      <c r="X390" s="101"/>
      <c r="Y390" s="96"/>
      <c r="Z390" s="96"/>
      <c r="AA390" s="96"/>
      <c r="AC390" s="102"/>
      <c r="AD390" s="107" t="str">
        <f aca="false">IF($B390="","",IF(ISNUMBER($T390),$T390,IF(OR(NOT(ISNUMBER($Q390)),$S390=""),"",IFERROR(IF(ISNUMBER(INDEX(Lists!$AJ$2:$AJ$7,MATCH($S390,Lists!$AI$2:$AI$7,0))),$Q390+INDEX(Lists!$AJ$2:$AJ$7,MATCH($S390,Lists!$AI$2:$AI$7,0)),""),""))))</f>
        <v/>
      </c>
      <c r="AE390" s="104" t="str">
        <f aca="true">IF($B390="","",IF(AND(ISNUMBER($AD390),N($AD390)&lt;TODAY(),$N390&lt;&gt;"Done",$N390&lt;&gt;"Won't Fix",$N390&lt;&gt;"Duplicate"),"Yes","No"))</f>
        <v/>
      </c>
      <c r="AF390" s="101"/>
      <c r="AG390" s="108" t="str">
        <f aca="false">IF($AF390="","",IFERROR(VLOOKUP($AF390,'Application Portfolio'!$A$2:$B$1000,2,FALSE()),"Unknown App ID"))</f>
        <v/>
      </c>
      <c r="AH390" s="108" t="str">
        <f aca="false">IF(OR($B390="",$AF390=""),"",IFERROR(VLOOKUP($AF390,'Application Portfolio'!$A$2:$AB$1000,28,FALSE()),""))</f>
        <v/>
      </c>
    </row>
    <row r="391" customFormat="false" ht="15.75" hidden="false" customHeight="true" outlineLevel="0" collapsed="false">
      <c r="A391" s="100"/>
      <c r="B391" s="101"/>
      <c r="C391" s="101"/>
      <c r="D391" s="101"/>
      <c r="E391" s="101"/>
      <c r="F391" s="102"/>
      <c r="G391" s="102"/>
      <c r="H391" s="102"/>
      <c r="I391" s="102"/>
      <c r="J391" s="102"/>
      <c r="K391" s="102"/>
      <c r="L391" s="103" t="str">
        <f aca="false">IF(OR($B391="", $H391="", $I391="", $J391="", $K391=""),"",ROUND((VLOOKUP($H391,Lists!$E$2:$F$5,2,FALSE())*VLOOKUP($I391,Lists!$H$2:$I$4,2,FALSE())*VLOOKUP($J391,Lists!$K$2:$L$4,2,FALSE()))/VLOOKUP($K391,Lists!$N$2:$O$6,2,FALSE()),2))</f>
        <v/>
      </c>
      <c r="M391" s="104" t="str">
        <f aca="false">IF($B391="","",IF($AC391&lt;&gt;"",$AC391,IF($H391="Critical","P0",IF(NOT(ISNUMBER($L391)),"",IF($L391&gt;=Lists!$AM$2,"P0",IF($L391&gt;=Lists!$AM$3,"P1",IF($L391&gt;=Lists!$AM$4,"P2","P3")))))))</f>
        <v/>
      </c>
      <c r="N391" s="102"/>
      <c r="O391" s="101"/>
      <c r="P391" s="102"/>
      <c r="Q391" s="105"/>
      <c r="R391" s="106" t="str">
        <f aca="true">IF($Q391="","", TODAY()-$Q391)</f>
        <v/>
      </c>
      <c r="S391" s="102"/>
      <c r="T391" s="105"/>
      <c r="U391" s="105"/>
      <c r="V391" s="101"/>
      <c r="W391" s="101"/>
      <c r="X391" s="101"/>
      <c r="Y391" s="96"/>
      <c r="Z391" s="96"/>
      <c r="AA391" s="96"/>
      <c r="AC391" s="102"/>
      <c r="AD391" s="107" t="str">
        <f aca="false">IF($B391="","",IF(ISNUMBER($T391),$T391,IF(OR(NOT(ISNUMBER($Q391)),$S391=""),"",IFERROR(IF(ISNUMBER(INDEX(Lists!$AJ$2:$AJ$7,MATCH($S391,Lists!$AI$2:$AI$7,0))),$Q391+INDEX(Lists!$AJ$2:$AJ$7,MATCH($S391,Lists!$AI$2:$AI$7,0)),""),""))))</f>
        <v/>
      </c>
      <c r="AE391" s="104" t="str">
        <f aca="true">IF($B391="","",IF(AND(ISNUMBER($AD391),N($AD391)&lt;TODAY(),$N391&lt;&gt;"Done",$N391&lt;&gt;"Won't Fix",$N391&lt;&gt;"Duplicate"),"Yes","No"))</f>
        <v/>
      </c>
      <c r="AF391" s="101"/>
      <c r="AG391" s="108" t="str">
        <f aca="false">IF($AF391="","",IFERROR(VLOOKUP($AF391,'Application Portfolio'!$A$2:$B$1000,2,FALSE()),"Unknown App ID"))</f>
        <v/>
      </c>
      <c r="AH391" s="108" t="str">
        <f aca="false">IF(OR($B391="",$AF391=""),"",IFERROR(VLOOKUP($AF391,'Application Portfolio'!$A$2:$AB$1000,28,FALSE()),""))</f>
        <v/>
      </c>
    </row>
    <row r="392" customFormat="false" ht="15.75" hidden="false" customHeight="true" outlineLevel="0" collapsed="false">
      <c r="A392" s="100"/>
      <c r="B392" s="101"/>
      <c r="C392" s="101"/>
      <c r="D392" s="101"/>
      <c r="E392" s="101"/>
      <c r="F392" s="102"/>
      <c r="G392" s="102"/>
      <c r="H392" s="102"/>
      <c r="I392" s="102"/>
      <c r="J392" s="102"/>
      <c r="K392" s="102"/>
      <c r="L392" s="103" t="str">
        <f aca="false">IF(OR($B392="", $H392="", $I392="", $J392="", $K392=""),"",ROUND((VLOOKUP($H392,Lists!$E$2:$F$5,2,FALSE())*VLOOKUP($I392,Lists!$H$2:$I$4,2,FALSE())*VLOOKUP($J392,Lists!$K$2:$L$4,2,FALSE()))/VLOOKUP($K392,Lists!$N$2:$O$6,2,FALSE()),2))</f>
        <v/>
      </c>
      <c r="M392" s="104" t="str">
        <f aca="false">IF($B392="","",IF($AC392&lt;&gt;"",$AC392,IF($H392="Critical","P0",IF(NOT(ISNUMBER($L392)),"",IF($L392&gt;=Lists!$AM$2,"P0",IF($L392&gt;=Lists!$AM$3,"P1",IF($L392&gt;=Lists!$AM$4,"P2","P3")))))))</f>
        <v/>
      </c>
      <c r="N392" s="102"/>
      <c r="O392" s="101"/>
      <c r="P392" s="102"/>
      <c r="Q392" s="105"/>
      <c r="R392" s="106" t="str">
        <f aca="true">IF($Q392="","", TODAY()-$Q392)</f>
        <v/>
      </c>
      <c r="S392" s="102"/>
      <c r="T392" s="105"/>
      <c r="U392" s="105"/>
      <c r="V392" s="101"/>
      <c r="W392" s="101"/>
      <c r="X392" s="101"/>
      <c r="Y392" s="96"/>
      <c r="Z392" s="96"/>
      <c r="AA392" s="96"/>
      <c r="AC392" s="102"/>
      <c r="AD392" s="107" t="str">
        <f aca="false">IF($B392="","",IF(ISNUMBER($T392),$T392,IF(OR(NOT(ISNUMBER($Q392)),$S392=""),"",IFERROR(IF(ISNUMBER(INDEX(Lists!$AJ$2:$AJ$7,MATCH($S392,Lists!$AI$2:$AI$7,0))),$Q392+INDEX(Lists!$AJ$2:$AJ$7,MATCH($S392,Lists!$AI$2:$AI$7,0)),""),""))))</f>
        <v/>
      </c>
      <c r="AE392" s="104" t="str">
        <f aca="true">IF($B392="","",IF(AND(ISNUMBER($AD392),N($AD392)&lt;TODAY(),$N392&lt;&gt;"Done",$N392&lt;&gt;"Won't Fix",$N392&lt;&gt;"Duplicate"),"Yes","No"))</f>
        <v/>
      </c>
      <c r="AF392" s="101"/>
      <c r="AG392" s="108" t="str">
        <f aca="false">IF($AF392="","",IFERROR(VLOOKUP($AF392,'Application Portfolio'!$A$2:$B$1000,2,FALSE()),"Unknown App ID"))</f>
        <v/>
      </c>
      <c r="AH392" s="108" t="str">
        <f aca="false">IF(OR($B392="",$AF392=""),"",IFERROR(VLOOKUP($AF392,'Application Portfolio'!$A$2:$AB$1000,28,FALSE()),""))</f>
        <v/>
      </c>
    </row>
    <row r="393" customFormat="false" ht="15.75" hidden="false" customHeight="true" outlineLevel="0" collapsed="false">
      <c r="A393" s="100"/>
      <c r="B393" s="101"/>
      <c r="C393" s="101"/>
      <c r="D393" s="101"/>
      <c r="E393" s="101"/>
      <c r="F393" s="102"/>
      <c r="G393" s="102"/>
      <c r="H393" s="102"/>
      <c r="I393" s="102"/>
      <c r="J393" s="102"/>
      <c r="K393" s="102"/>
      <c r="L393" s="103" t="str">
        <f aca="false">IF(OR($B393="", $H393="", $I393="", $J393="", $K393=""),"",ROUND((VLOOKUP($H393,Lists!$E$2:$F$5,2,FALSE())*VLOOKUP($I393,Lists!$H$2:$I$4,2,FALSE())*VLOOKUP($J393,Lists!$K$2:$L$4,2,FALSE()))/VLOOKUP($K393,Lists!$N$2:$O$6,2,FALSE()),2))</f>
        <v/>
      </c>
      <c r="M393" s="104" t="str">
        <f aca="false">IF($B393="","",IF($AC393&lt;&gt;"",$AC393,IF($H393="Critical","P0",IF(NOT(ISNUMBER($L393)),"",IF($L393&gt;=Lists!$AM$2,"P0",IF($L393&gt;=Lists!$AM$3,"P1",IF($L393&gt;=Lists!$AM$4,"P2","P3")))))))</f>
        <v/>
      </c>
      <c r="N393" s="102"/>
      <c r="O393" s="101"/>
      <c r="P393" s="102"/>
      <c r="Q393" s="105"/>
      <c r="R393" s="106" t="str">
        <f aca="true">IF($Q393="","", TODAY()-$Q393)</f>
        <v/>
      </c>
      <c r="S393" s="102"/>
      <c r="T393" s="105"/>
      <c r="U393" s="105"/>
      <c r="V393" s="101"/>
      <c r="W393" s="101"/>
      <c r="X393" s="101"/>
      <c r="Y393" s="96"/>
      <c r="Z393" s="96"/>
      <c r="AA393" s="96"/>
      <c r="AC393" s="102"/>
      <c r="AD393" s="107" t="str">
        <f aca="false">IF($B393="","",IF(ISNUMBER($T393),$T393,IF(OR(NOT(ISNUMBER($Q393)),$S393=""),"",IFERROR(IF(ISNUMBER(INDEX(Lists!$AJ$2:$AJ$7,MATCH($S393,Lists!$AI$2:$AI$7,0))),$Q393+INDEX(Lists!$AJ$2:$AJ$7,MATCH($S393,Lists!$AI$2:$AI$7,0)),""),""))))</f>
        <v/>
      </c>
      <c r="AE393" s="104" t="str">
        <f aca="true">IF($B393="","",IF(AND(ISNUMBER($AD393),N($AD393)&lt;TODAY(),$N393&lt;&gt;"Done",$N393&lt;&gt;"Won't Fix",$N393&lt;&gt;"Duplicate"),"Yes","No"))</f>
        <v/>
      </c>
      <c r="AF393" s="101"/>
      <c r="AG393" s="108" t="str">
        <f aca="false">IF($AF393="","",IFERROR(VLOOKUP($AF393,'Application Portfolio'!$A$2:$B$1000,2,FALSE()),"Unknown App ID"))</f>
        <v/>
      </c>
      <c r="AH393" s="108" t="str">
        <f aca="false">IF(OR($B393="",$AF393=""),"",IFERROR(VLOOKUP($AF393,'Application Portfolio'!$A$2:$AB$1000,28,FALSE()),""))</f>
        <v/>
      </c>
    </row>
    <row r="394" customFormat="false" ht="15.75" hidden="false" customHeight="true" outlineLevel="0" collapsed="false">
      <c r="A394" s="100"/>
      <c r="B394" s="101"/>
      <c r="C394" s="101"/>
      <c r="D394" s="101"/>
      <c r="E394" s="101"/>
      <c r="F394" s="102"/>
      <c r="G394" s="102"/>
      <c r="H394" s="102"/>
      <c r="I394" s="102"/>
      <c r="J394" s="102"/>
      <c r="K394" s="102"/>
      <c r="L394" s="103" t="str">
        <f aca="false">IF(OR($B394="", $H394="", $I394="", $J394="", $K394=""),"",ROUND((VLOOKUP($H394,Lists!$E$2:$F$5,2,FALSE())*VLOOKUP($I394,Lists!$H$2:$I$4,2,FALSE())*VLOOKUP($J394,Lists!$K$2:$L$4,2,FALSE()))/VLOOKUP($K394,Lists!$N$2:$O$6,2,FALSE()),2))</f>
        <v/>
      </c>
      <c r="M394" s="104" t="str">
        <f aca="false">IF($B394="","",IF($AC394&lt;&gt;"",$AC394,IF($H394="Critical","P0",IF(NOT(ISNUMBER($L394)),"",IF($L394&gt;=Lists!$AM$2,"P0",IF($L394&gt;=Lists!$AM$3,"P1",IF($L394&gt;=Lists!$AM$4,"P2","P3")))))))</f>
        <v/>
      </c>
      <c r="N394" s="102"/>
      <c r="O394" s="101"/>
      <c r="P394" s="102"/>
      <c r="Q394" s="105"/>
      <c r="R394" s="106" t="str">
        <f aca="true">IF($Q394="","", TODAY()-$Q394)</f>
        <v/>
      </c>
      <c r="S394" s="102"/>
      <c r="T394" s="105"/>
      <c r="U394" s="105"/>
      <c r="V394" s="101"/>
      <c r="W394" s="101"/>
      <c r="X394" s="101"/>
      <c r="Y394" s="96"/>
      <c r="Z394" s="96"/>
      <c r="AA394" s="96"/>
      <c r="AC394" s="102"/>
      <c r="AD394" s="107" t="str">
        <f aca="false">IF($B394="","",IF(ISNUMBER($T394),$T394,IF(OR(NOT(ISNUMBER($Q394)),$S394=""),"",IFERROR(IF(ISNUMBER(INDEX(Lists!$AJ$2:$AJ$7,MATCH($S394,Lists!$AI$2:$AI$7,0))),$Q394+INDEX(Lists!$AJ$2:$AJ$7,MATCH($S394,Lists!$AI$2:$AI$7,0)),""),""))))</f>
        <v/>
      </c>
      <c r="AE394" s="104" t="str">
        <f aca="true">IF($B394="","",IF(AND(ISNUMBER($AD394),N($AD394)&lt;TODAY(),$N394&lt;&gt;"Done",$N394&lt;&gt;"Won't Fix",$N394&lt;&gt;"Duplicate"),"Yes","No"))</f>
        <v/>
      </c>
      <c r="AF394" s="101"/>
      <c r="AG394" s="108" t="str">
        <f aca="false">IF($AF394="","",IFERROR(VLOOKUP($AF394,'Application Portfolio'!$A$2:$B$1000,2,FALSE()),"Unknown App ID"))</f>
        <v/>
      </c>
      <c r="AH394" s="108" t="str">
        <f aca="false">IF(OR($B394="",$AF394=""),"",IFERROR(VLOOKUP($AF394,'Application Portfolio'!$A$2:$AB$1000,28,FALSE()),""))</f>
        <v/>
      </c>
    </row>
    <row r="395" customFormat="false" ht="15.75" hidden="false" customHeight="true" outlineLevel="0" collapsed="false">
      <c r="A395" s="100"/>
      <c r="B395" s="101"/>
      <c r="C395" s="101"/>
      <c r="D395" s="101"/>
      <c r="E395" s="101"/>
      <c r="F395" s="102"/>
      <c r="G395" s="102"/>
      <c r="H395" s="102"/>
      <c r="I395" s="102"/>
      <c r="J395" s="102"/>
      <c r="K395" s="102"/>
      <c r="L395" s="103" t="str">
        <f aca="false">IF(OR($B395="", $H395="", $I395="", $J395="", $K395=""),"",ROUND((VLOOKUP($H395,Lists!$E$2:$F$5,2,FALSE())*VLOOKUP($I395,Lists!$H$2:$I$4,2,FALSE())*VLOOKUP($J395,Lists!$K$2:$L$4,2,FALSE()))/VLOOKUP($K395,Lists!$N$2:$O$6,2,FALSE()),2))</f>
        <v/>
      </c>
      <c r="M395" s="104" t="str">
        <f aca="false">IF($B395="","",IF($AC395&lt;&gt;"",$AC395,IF($H395="Critical","P0",IF(NOT(ISNUMBER($L395)),"",IF($L395&gt;=Lists!$AM$2,"P0",IF($L395&gt;=Lists!$AM$3,"P1",IF($L395&gt;=Lists!$AM$4,"P2","P3")))))))</f>
        <v/>
      </c>
      <c r="N395" s="102"/>
      <c r="O395" s="101"/>
      <c r="P395" s="102"/>
      <c r="Q395" s="105"/>
      <c r="R395" s="106" t="str">
        <f aca="true">IF($Q395="","", TODAY()-$Q395)</f>
        <v/>
      </c>
      <c r="S395" s="102"/>
      <c r="T395" s="105"/>
      <c r="U395" s="105"/>
      <c r="V395" s="101"/>
      <c r="W395" s="101"/>
      <c r="X395" s="101"/>
      <c r="Y395" s="96"/>
      <c r="Z395" s="96"/>
      <c r="AA395" s="96"/>
      <c r="AC395" s="102"/>
      <c r="AD395" s="107" t="str">
        <f aca="false">IF($B395="","",IF(ISNUMBER($T395),$T395,IF(OR(NOT(ISNUMBER($Q395)),$S395=""),"",IFERROR(IF(ISNUMBER(INDEX(Lists!$AJ$2:$AJ$7,MATCH($S395,Lists!$AI$2:$AI$7,0))),$Q395+INDEX(Lists!$AJ$2:$AJ$7,MATCH($S395,Lists!$AI$2:$AI$7,0)),""),""))))</f>
        <v/>
      </c>
      <c r="AE395" s="104" t="str">
        <f aca="true">IF($B395="","",IF(AND(ISNUMBER($AD395),N($AD395)&lt;TODAY(),$N395&lt;&gt;"Done",$N395&lt;&gt;"Won't Fix",$N395&lt;&gt;"Duplicate"),"Yes","No"))</f>
        <v/>
      </c>
      <c r="AF395" s="101"/>
      <c r="AG395" s="108" t="str">
        <f aca="false">IF($AF395="","",IFERROR(VLOOKUP($AF395,'Application Portfolio'!$A$2:$B$1000,2,FALSE()),"Unknown App ID"))</f>
        <v/>
      </c>
      <c r="AH395" s="108" t="str">
        <f aca="false">IF(OR($B395="",$AF395=""),"",IFERROR(VLOOKUP($AF395,'Application Portfolio'!$A$2:$AB$1000,28,FALSE()),""))</f>
        <v/>
      </c>
    </row>
    <row r="396" customFormat="false" ht="15.75" hidden="false" customHeight="true" outlineLevel="0" collapsed="false">
      <c r="A396" s="100"/>
      <c r="B396" s="101"/>
      <c r="C396" s="101"/>
      <c r="D396" s="101"/>
      <c r="E396" s="101"/>
      <c r="F396" s="102"/>
      <c r="G396" s="102"/>
      <c r="H396" s="102"/>
      <c r="I396" s="102"/>
      <c r="J396" s="102"/>
      <c r="K396" s="102"/>
      <c r="L396" s="103" t="str">
        <f aca="false">IF(OR($B396="", $H396="", $I396="", $J396="", $K396=""),"",ROUND((VLOOKUP($H396,Lists!$E$2:$F$5,2,FALSE())*VLOOKUP($I396,Lists!$H$2:$I$4,2,FALSE())*VLOOKUP($J396,Lists!$K$2:$L$4,2,FALSE()))/VLOOKUP($K396,Lists!$N$2:$O$6,2,FALSE()),2))</f>
        <v/>
      </c>
      <c r="M396" s="104" t="str">
        <f aca="false">IF($B396="","",IF($AC396&lt;&gt;"",$AC396,IF($H396="Critical","P0",IF(NOT(ISNUMBER($L396)),"",IF($L396&gt;=Lists!$AM$2,"P0",IF($L396&gt;=Lists!$AM$3,"P1",IF($L396&gt;=Lists!$AM$4,"P2","P3")))))))</f>
        <v/>
      </c>
      <c r="N396" s="102"/>
      <c r="O396" s="101"/>
      <c r="P396" s="102"/>
      <c r="Q396" s="105"/>
      <c r="R396" s="106" t="str">
        <f aca="true">IF($Q396="","", TODAY()-$Q396)</f>
        <v/>
      </c>
      <c r="S396" s="102"/>
      <c r="T396" s="105"/>
      <c r="U396" s="105"/>
      <c r="V396" s="101"/>
      <c r="W396" s="101"/>
      <c r="X396" s="101"/>
      <c r="Y396" s="96"/>
      <c r="Z396" s="96"/>
      <c r="AA396" s="96"/>
      <c r="AC396" s="102"/>
      <c r="AD396" s="107" t="str">
        <f aca="false">IF($B396="","",IF(ISNUMBER($T396),$T396,IF(OR(NOT(ISNUMBER($Q396)),$S396=""),"",IFERROR(IF(ISNUMBER(INDEX(Lists!$AJ$2:$AJ$7,MATCH($S396,Lists!$AI$2:$AI$7,0))),$Q396+INDEX(Lists!$AJ$2:$AJ$7,MATCH($S396,Lists!$AI$2:$AI$7,0)),""),""))))</f>
        <v/>
      </c>
      <c r="AE396" s="104" t="str">
        <f aca="true">IF($B396="","",IF(AND(ISNUMBER($AD396),N($AD396)&lt;TODAY(),$N396&lt;&gt;"Done",$N396&lt;&gt;"Won't Fix",$N396&lt;&gt;"Duplicate"),"Yes","No"))</f>
        <v/>
      </c>
      <c r="AF396" s="101"/>
      <c r="AG396" s="108" t="str">
        <f aca="false">IF($AF396="","",IFERROR(VLOOKUP($AF396,'Application Portfolio'!$A$2:$B$1000,2,FALSE()),"Unknown App ID"))</f>
        <v/>
      </c>
      <c r="AH396" s="108" t="str">
        <f aca="false">IF(OR($B396="",$AF396=""),"",IFERROR(VLOOKUP($AF396,'Application Portfolio'!$A$2:$AB$1000,28,FALSE()),""))</f>
        <v/>
      </c>
    </row>
    <row r="397" customFormat="false" ht="15.75" hidden="false" customHeight="true" outlineLevel="0" collapsed="false">
      <c r="A397" s="100"/>
      <c r="B397" s="101"/>
      <c r="C397" s="101"/>
      <c r="D397" s="101"/>
      <c r="E397" s="101"/>
      <c r="F397" s="102"/>
      <c r="G397" s="102"/>
      <c r="H397" s="102"/>
      <c r="I397" s="102"/>
      <c r="J397" s="102"/>
      <c r="K397" s="102"/>
      <c r="L397" s="103" t="str">
        <f aca="false">IF(OR($B397="", $H397="", $I397="", $J397="", $K397=""),"",ROUND((VLOOKUP($H397,Lists!$E$2:$F$5,2,FALSE())*VLOOKUP($I397,Lists!$H$2:$I$4,2,FALSE())*VLOOKUP($J397,Lists!$K$2:$L$4,2,FALSE()))/VLOOKUP($K397,Lists!$N$2:$O$6,2,FALSE()),2))</f>
        <v/>
      </c>
      <c r="M397" s="104" t="str">
        <f aca="false">IF($B397="","",IF($AC397&lt;&gt;"",$AC397,IF($H397="Critical","P0",IF(NOT(ISNUMBER($L397)),"",IF($L397&gt;=Lists!$AM$2,"P0",IF($L397&gt;=Lists!$AM$3,"P1",IF($L397&gt;=Lists!$AM$4,"P2","P3")))))))</f>
        <v/>
      </c>
      <c r="N397" s="102"/>
      <c r="O397" s="101"/>
      <c r="P397" s="102"/>
      <c r="Q397" s="105"/>
      <c r="R397" s="106" t="str">
        <f aca="true">IF($Q397="","", TODAY()-$Q397)</f>
        <v/>
      </c>
      <c r="S397" s="102"/>
      <c r="T397" s="105"/>
      <c r="U397" s="105"/>
      <c r="V397" s="101"/>
      <c r="W397" s="101"/>
      <c r="X397" s="101"/>
      <c r="Y397" s="96"/>
      <c r="Z397" s="96"/>
      <c r="AA397" s="96"/>
      <c r="AC397" s="102"/>
      <c r="AD397" s="107" t="str">
        <f aca="false">IF($B397="","",IF(ISNUMBER($T397),$T397,IF(OR(NOT(ISNUMBER($Q397)),$S397=""),"",IFERROR(IF(ISNUMBER(INDEX(Lists!$AJ$2:$AJ$7,MATCH($S397,Lists!$AI$2:$AI$7,0))),$Q397+INDEX(Lists!$AJ$2:$AJ$7,MATCH($S397,Lists!$AI$2:$AI$7,0)),""),""))))</f>
        <v/>
      </c>
      <c r="AE397" s="104" t="str">
        <f aca="true">IF($B397="","",IF(AND(ISNUMBER($AD397),N($AD397)&lt;TODAY(),$N397&lt;&gt;"Done",$N397&lt;&gt;"Won't Fix",$N397&lt;&gt;"Duplicate"),"Yes","No"))</f>
        <v/>
      </c>
      <c r="AF397" s="101"/>
      <c r="AG397" s="108" t="str">
        <f aca="false">IF($AF397="","",IFERROR(VLOOKUP($AF397,'Application Portfolio'!$A$2:$B$1000,2,FALSE()),"Unknown App ID"))</f>
        <v/>
      </c>
      <c r="AH397" s="108" t="str">
        <f aca="false">IF(OR($B397="",$AF397=""),"",IFERROR(VLOOKUP($AF397,'Application Portfolio'!$A$2:$AB$1000,28,FALSE()),""))</f>
        <v/>
      </c>
    </row>
    <row r="398" customFormat="false" ht="15.75" hidden="false" customHeight="true" outlineLevel="0" collapsed="false">
      <c r="A398" s="100"/>
      <c r="B398" s="101"/>
      <c r="C398" s="101"/>
      <c r="D398" s="101"/>
      <c r="E398" s="101"/>
      <c r="F398" s="102"/>
      <c r="G398" s="102"/>
      <c r="H398" s="102"/>
      <c r="I398" s="102"/>
      <c r="J398" s="102"/>
      <c r="K398" s="102"/>
      <c r="L398" s="103" t="str">
        <f aca="false">IF(OR($B398="", $H398="", $I398="", $J398="", $K398=""),"",ROUND((VLOOKUP($H398,Lists!$E$2:$F$5,2,FALSE())*VLOOKUP($I398,Lists!$H$2:$I$4,2,FALSE())*VLOOKUP($J398,Lists!$K$2:$L$4,2,FALSE()))/VLOOKUP($K398,Lists!$N$2:$O$6,2,FALSE()),2))</f>
        <v/>
      </c>
      <c r="M398" s="104" t="str">
        <f aca="false">IF($B398="","",IF($AC398&lt;&gt;"",$AC398,IF($H398="Critical","P0",IF(NOT(ISNUMBER($L398)),"",IF($L398&gt;=Lists!$AM$2,"P0",IF($L398&gt;=Lists!$AM$3,"P1",IF($L398&gt;=Lists!$AM$4,"P2","P3")))))))</f>
        <v/>
      </c>
      <c r="N398" s="102"/>
      <c r="O398" s="101"/>
      <c r="P398" s="102"/>
      <c r="Q398" s="105"/>
      <c r="R398" s="106" t="str">
        <f aca="true">IF($Q398="","", TODAY()-$Q398)</f>
        <v/>
      </c>
      <c r="S398" s="102"/>
      <c r="T398" s="105"/>
      <c r="U398" s="105"/>
      <c r="V398" s="101"/>
      <c r="W398" s="101"/>
      <c r="X398" s="101"/>
      <c r="Y398" s="96"/>
      <c r="Z398" s="96"/>
      <c r="AA398" s="96"/>
      <c r="AC398" s="102"/>
      <c r="AD398" s="107" t="str">
        <f aca="false">IF($B398="","",IF(ISNUMBER($T398),$T398,IF(OR(NOT(ISNUMBER($Q398)),$S398=""),"",IFERROR(IF(ISNUMBER(INDEX(Lists!$AJ$2:$AJ$7,MATCH($S398,Lists!$AI$2:$AI$7,0))),$Q398+INDEX(Lists!$AJ$2:$AJ$7,MATCH($S398,Lists!$AI$2:$AI$7,0)),""),""))))</f>
        <v/>
      </c>
      <c r="AE398" s="104" t="str">
        <f aca="true">IF($B398="","",IF(AND(ISNUMBER($AD398),N($AD398)&lt;TODAY(),$N398&lt;&gt;"Done",$N398&lt;&gt;"Won't Fix",$N398&lt;&gt;"Duplicate"),"Yes","No"))</f>
        <v/>
      </c>
      <c r="AF398" s="101"/>
      <c r="AG398" s="108" t="str">
        <f aca="false">IF($AF398="","",IFERROR(VLOOKUP($AF398,'Application Portfolio'!$A$2:$B$1000,2,FALSE()),"Unknown App ID"))</f>
        <v/>
      </c>
      <c r="AH398" s="108" t="str">
        <f aca="false">IF(OR($B398="",$AF398=""),"",IFERROR(VLOOKUP($AF398,'Application Portfolio'!$A$2:$AB$1000,28,FALSE()),""))</f>
        <v/>
      </c>
    </row>
    <row r="399" customFormat="false" ht="15.75" hidden="false" customHeight="true" outlineLevel="0" collapsed="false">
      <c r="A399" s="100"/>
      <c r="B399" s="101"/>
      <c r="C399" s="101"/>
      <c r="D399" s="101"/>
      <c r="E399" s="101"/>
      <c r="F399" s="102"/>
      <c r="G399" s="102"/>
      <c r="H399" s="102"/>
      <c r="I399" s="102"/>
      <c r="J399" s="102"/>
      <c r="K399" s="102"/>
      <c r="L399" s="103" t="str">
        <f aca="false">IF(OR($B399="", $H399="", $I399="", $J399="", $K399=""),"",ROUND((VLOOKUP($H399,Lists!$E$2:$F$5,2,FALSE())*VLOOKUP($I399,Lists!$H$2:$I$4,2,FALSE())*VLOOKUP($J399,Lists!$K$2:$L$4,2,FALSE()))/VLOOKUP($K399,Lists!$N$2:$O$6,2,FALSE()),2))</f>
        <v/>
      </c>
      <c r="M399" s="104" t="str">
        <f aca="false">IF($B399="","",IF($AC399&lt;&gt;"",$AC399,IF($H399="Critical","P0",IF(NOT(ISNUMBER($L399)),"",IF($L399&gt;=Lists!$AM$2,"P0",IF($L399&gt;=Lists!$AM$3,"P1",IF($L399&gt;=Lists!$AM$4,"P2","P3")))))))</f>
        <v/>
      </c>
      <c r="N399" s="102"/>
      <c r="O399" s="101"/>
      <c r="P399" s="102"/>
      <c r="Q399" s="105"/>
      <c r="R399" s="106" t="str">
        <f aca="true">IF($Q399="","", TODAY()-$Q399)</f>
        <v/>
      </c>
      <c r="S399" s="102"/>
      <c r="T399" s="105"/>
      <c r="U399" s="105"/>
      <c r="V399" s="101"/>
      <c r="W399" s="101"/>
      <c r="X399" s="101"/>
      <c r="Y399" s="96"/>
      <c r="Z399" s="96"/>
      <c r="AA399" s="96"/>
      <c r="AC399" s="102"/>
      <c r="AD399" s="107" t="str">
        <f aca="false">IF($B399="","",IF(ISNUMBER($T399),$T399,IF(OR(NOT(ISNUMBER($Q399)),$S399=""),"",IFERROR(IF(ISNUMBER(INDEX(Lists!$AJ$2:$AJ$7,MATCH($S399,Lists!$AI$2:$AI$7,0))),$Q399+INDEX(Lists!$AJ$2:$AJ$7,MATCH($S399,Lists!$AI$2:$AI$7,0)),""),""))))</f>
        <v/>
      </c>
      <c r="AE399" s="104" t="str">
        <f aca="true">IF($B399="","",IF(AND(ISNUMBER($AD399),N($AD399)&lt;TODAY(),$N399&lt;&gt;"Done",$N399&lt;&gt;"Won't Fix",$N399&lt;&gt;"Duplicate"),"Yes","No"))</f>
        <v/>
      </c>
      <c r="AF399" s="101"/>
      <c r="AG399" s="108" t="str">
        <f aca="false">IF($AF399="","",IFERROR(VLOOKUP($AF399,'Application Portfolio'!$A$2:$B$1000,2,FALSE()),"Unknown App ID"))</f>
        <v/>
      </c>
      <c r="AH399" s="108" t="str">
        <f aca="false">IF(OR($B399="",$AF399=""),"",IFERROR(VLOOKUP($AF399,'Application Portfolio'!$A$2:$AB$1000,28,FALSE()),""))</f>
        <v/>
      </c>
    </row>
    <row r="400" customFormat="false" ht="15.75" hidden="false" customHeight="true" outlineLevel="0" collapsed="false">
      <c r="A400" s="100"/>
      <c r="B400" s="101"/>
      <c r="C400" s="101"/>
      <c r="D400" s="101"/>
      <c r="E400" s="101"/>
      <c r="F400" s="102"/>
      <c r="G400" s="102"/>
      <c r="H400" s="102"/>
      <c r="I400" s="102"/>
      <c r="J400" s="102"/>
      <c r="K400" s="102"/>
      <c r="L400" s="103" t="str">
        <f aca="false">IF(OR($B400="", $H400="", $I400="", $J400="", $K400=""),"",ROUND((VLOOKUP($H400,Lists!$E$2:$F$5,2,FALSE())*VLOOKUP($I400,Lists!$H$2:$I$4,2,FALSE())*VLOOKUP($J400,Lists!$K$2:$L$4,2,FALSE()))/VLOOKUP($K400,Lists!$N$2:$O$6,2,FALSE()),2))</f>
        <v/>
      </c>
      <c r="M400" s="104" t="str">
        <f aca="false">IF($B400="","",IF($AC400&lt;&gt;"",$AC400,IF($H400="Critical","P0",IF(NOT(ISNUMBER($L400)),"",IF($L400&gt;=Lists!$AM$2,"P0",IF($L400&gt;=Lists!$AM$3,"P1",IF($L400&gt;=Lists!$AM$4,"P2","P3")))))))</f>
        <v/>
      </c>
      <c r="N400" s="102"/>
      <c r="O400" s="101"/>
      <c r="P400" s="102"/>
      <c r="Q400" s="105"/>
      <c r="R400" s="106" t="str">
        <f aca="true">IF($Q400="","", TODAY()-$Q400)</f>
        <v/>
      </c>
      <c r="S400" s="102"/>
      <c r="T400" s="105"/>
      <c r="U400" s="105"/>
      <c r="V400" s="101"/>
      <c r="W400" s="101"/>
      <c r="X400" s="101"/>
      <c r="Y400" s="96"/>
      <c r="Z400" s="96"/>
      <c r="AA400" s="96"/>
      <c r="AC400" s="102"/>
      <c r="AD400" s="107" t="str">
        <f aca="false">IF($B400="","",IF(ISNUMBER($T400),$T400,IF(OR(NOT(ISNUMBER($Q400)),$S400=""),"",IFERROR(IF(ISNUMBER(INDEX(Lists!$AJ$2:$AJ$7,MATCH($S400,Lists!$AI$2:$AI$7,0))),$Q400+INDEX(Lists!$AJ$2:$AJ$7,MATCH($S400,Lists!$AI$2:$AI$7,0)),""),""))))</f>
        <v/>
      </c>
      <c r="AE400" s="104" t="str">
        <f aca="true">IF($B400="","",IF(AND(ISNUMBER($AD400),N($AD400)&lt;TODAY(),$N400&lt;&gt;"Done",$N400&lt;&gt;"Won't Fix",$N400&lt;&gt;"Duplicate"),"Yes","No"))</f>
        <v/>
      </c>
      <c r="AF400" s="101"/>
      <c r="AG400" s="108" t="str">
        <f aca="false">IF($AF400="","",IFERROR(VLOOKUP($AF400,'Application Portfolio'!$A$2:$B$1000,2,FALSE()),"Unknown App ID"))</f>
        <v/>
      </c>
      <c r="AH400" s="108" t="str">
        <f aca="false">IF(OR($B400="",$AF400=""),"",IFERROR(VLOOKUP($AF400,'Application Portfolio'!$A$2:$AB$1000,28,FALSE()),""))</f>
        <v/>
      </c>
    </row>
    <row r="401" customFormat="false" ht="15.75" hidden="false" customHeight="true" outlineLevel="0" collapsed="false">
      <c r="A401" s="100"/>
      <c r="B401" s="101"/>
      <c r="C401" s="101"/>
      <c r="D401" s="101"/>
      <c r="E401" s="101"/>
      <c r="F401" s="102"/>
      <c r="G401" s="102"/>
      <c r="H401" s="102"/>
      <c r="I401" s="102"/>
      <c r="J401" s="102"/>
      <c r="K401" s="102"/>
      <c r="L401" s="103" t="str">
        <f aca="false">IF(OR($B401="", $H401="", $I401="", $J401="", $K401=""),"",ROUND((VLOOKUP($H401,Lists!$E$2:$F$5,2,FALSE())*VLOOKUP($I401,Lists!$H$2:$I$4,2,FALSE())*VLOOKUP($J401,Lists!$K$2:$L$4,2,FALSE()))/VLOOKUP($K401,Lists!$N$2:$O$6,2,FALSE()),2))</f>
        <v/>
      </c>
      <c r="M401" s="104" t="str">
        <f aca="false">IF($B401="","",IF($AC401&lt;&gt;"",$AC401,IF($H401="Critical","P0",IF(NOT(ISNUMBER($L401)),"",IF($L401&gt;=Lists!$AM$2,"P0",IF($L401&gt;=Lists!$AM$3,"P1",IF($L401&gt;=Lists!$AM$4,"P2","P3")))))))</f>
        <v/>
      </c>
      <c r="N401" s="102"/>
      <c r="O401" s="101"/>
      <c r="P401" s="102"/>
      <c r="Q401" s="105"/>
      <c r="R401" s="106" t="str">
        <f aca="true">IF($Q401="","", TODAY()-$Q401)</f>
        <v/>
      </c>
      <c r="S401" s="102"/>
      <c r="T401" s="105"/>
      <c r="U401" s="105"/>
      <c r="V401" s="101"/>
      <c r="W401" s="101"/>
      <c r="X401" s="101"/>
      <c r="Y401" s="96"/>
      <c r="Z401" s="96"/>
      <c r="AA401" s="96"/>
      <c r="AC401" s="102"/>
      <c r="AD401" s="107" t="str">
        <f aca="false">IF($B401="","",IF(ISNUMBER($T401),$T401,IF(OR(NOT(ISNUMBER($Q401)),$S401=""),"",IFERROR(IF(ISNUMBER(INDEX(Lists!$AJ$2:$AJ$7,MATCH($S401,Lists!$AI$2:$AI$7,0))),$Q401+INDEX(Lists!$AJ$2:$AJ$7,MATCH($S401,Lists!$AI$2:$AI$7,0)),""),""))))</f>
        <v/>
      </c>
      <c r="AE401" s="104" t="str">
        <f aca="true">IF($B401="","",IF(AND(ISNUMBER($AD401),N($AD401)&lt;TODAY(),$N401&lt;&gt;"Done",$N401&lt;&gt;"Won't Fix",$N401&lt;&gt;"Duplicate"),"Yes","No"))</f>
        <v/>
      </c>
      <c r="AF401" s="101"/>
      <c r="AG401" s="108" t="str">
        <f aca="false">IF($AF401="","",IFERROR(VLOOKUP($AF401,'Application Portfolio'!$A$2:$B$1000,2,FALSE()),"Unknown App ID"))</f>
        <v/>
      </c>
      <c r="AH401" s="108" t="str">
        <f aca="false">IF(OR($B401="",$AF401=""),"",IFERROR(VLOOKUP($AF401,'Application Portfolio'!$A$2:$AB$1000,28,FALSE()),""))</f>
        <v/>
      </c>
    </row>
    <row r="402" customFormat="false" ht="15.75" hidden="false" customHeight="true" outlineLevel="0" collapsed="false">
      <c r="A402" s="100"/>
      <c r="B402" s="101"/>
      <c r="C402" s="101"/>
      <c r="D402" s="101"/>
      <c r="E402" s="101"/>
      <c r="F402" s="102"/>
      <c r="G402" s="102"/>
      <c r="H402" s="102"/>
      <c r="I402" s="102"/>
      <c r="J402" s="102"/>
      <c r="K402" s="102"/>
      <c r="L402" s="103" t="str">
        <f aca="false">IF(OR($B402="", $H402="", $I402="", $J402="", $K402=""),"",ROUND((VLOOKUP($H402,Lists!$E$2:$F$5,2,FALSE())*VLOOKUP($I402,Lists!$H$2:$I$4,2,FALSE())*VLOOKUP($J402,Lists!$K$2:$L$4,2,FALSE()))/VLOOKUP($K402,Lists!$N$2:$O$6,2,FALSE()),2))</f>
        <v/>
      </c>
      <c r="M402" s="104" t="str">
        <f aca="false">IF($B402="","",IF($AC402&lt;&gt;"",$AC402,IF($H402="Critical","P0",IF(NOT(ISNUMBER($L402)),"",IF($L402&gt;=Lists!$AM$2,"P0",IF($L402&gt;=Lists!$AM$3,"P1",IF($L402&gt;=Lists!$AM$4,"P2","P3")))))))</f>
        <v/>
      </c>
      <c r="N402" s="102"/>
      <c r="O402" s="101"/>
      <c r="P402" s="102"/>
      <c r="Q402" s="105"/>
      <c r="R402" s="106" t="str">
        <f aca="true">IF($Q402="","", TODAY()-$Q402)</f>
        <v/>
      </c>
      <c r="S402" s="102"/>
      <c r="T402" s="105"/>
      <c r="U402" s="105"/>
      <c r="V402" s="101"/>
      <c r="W402" s="101"/>
      <c r="X402" s="101"/>
      <c r="Y402" s="96"/>
      <c r="Z402" s="96"/>
      <c r="AA402" s="96"/>
      <c r="AC402" s="102"/>
      <c r="AD402" s="107" t="str">
        <f aca="false">IF($B402="","",IF(ISNUMBER($T402),$T402,IF(OR(NOT(ISNUMBER($Q402)),$S402=""),"",IFERROR(IF(ISNUMBER(INDEX(Lists!$AJ$2:$AJ$7,MATCH($S402,Lists!$AI$2:$AI$7,0))),$Q402+INDEX(Lists!$AJ$2:$AJ$7,MATCH($S402,Lists!$AI$2:$AI$7,0)),""),""))))</f>
        <v/>
      </c>
      <c r="AE402" s="104" t="str">
        <f aca="true">IF($B402="","",IF(AND(ISNUMBER($AD402),N($AD402)&lt;TODAY(),$N402&lt;&gt;"Done",$N402&lt;&gt;"Won't Fix",$N402&lt;&gt;"Duplicate"),"Yes","No"))</f>
        <v/>
      </c>
      <c r="AF402" s="101"/>
      <c r="AG402" s="108" t="str">
        <f aca="false">IF($AF402="","",IFERROR(VLOOKUP($AF402,'Application Portfolio'!$A$2:$B$1000,2,FALSE()),"Unknown App ID"))</f>
        <v/>
      </c>
      <c r="AH402" s="108" t="str">
        <f aca="false">IF(OR($B402="",$AF402=""),"",IFERROR(VLOOKUP($AF402,'Application Portfolio'!$A$2:$AB$1000,28,FALSE()),""))</f>
        <v/>
      </c>
    </row>
    <row r="403" customFormat="false" ht="15.75" hidden="false" customHeight="true" outlineLevel="0" collapsed="false">
      <c r="A403" s="100"/>
      <c r="B403" s="101"/>
      <c r="C403" s="101"/>
      <c r="D403" s="101"/>
      <c r="E403" s="101"/>
      <c r="F403" s="102"/>
      <c r="G403" s="102"/>
      <c r="H403" s="102"/>
      <c r="I403" s="102"/>
      <c r="J403" s="102"/>
      <c r="K403" s="102"/>
      <c r="L403" s="103" t="str">
        <f aca="false">IF(OR($B403="", $H403="", $I403="", $J403="", $K403=""),"",ROUND((VLOOKUP($H403,Lists!$E$2:$F$5,2,FALSE())*VLOOKUP($I403,Lists!$H$2:$I$4,2,FALSE())*VLOOKUP($J403,Lists!$K$2:$L$4,2,FALSE()))/VLOOKUP($K403,Lists!$N$2:$O$6,2,FALSE()),2))</f>
        <v/>
      </c>
      <c r="M403" s="104" t="str">
        <f aca="false">IF($B403="","",IF($AC403&lt;&gt;"",$AC403,IF($H403="Critical","P0",IF(NOT(ISNUMBER($L403)),"",IF($L403&gt;=Lists!$AM$2,"P0",IF($L403&gt;=Lists!$AM$3,"P1",IF($L403&gt;=Lists!$AM$4,"P2","P3")))))))</f>
        <v/>
      </c>
      <c r="N403" s="102"/>
      <c r="O403" s="101"/>
      <c r="P403" s="102"/>
      <c r="Q403" s="105"/>
      <c r="R403" s="106" t="str">
        <f aca="true">IF($Q403="","", TODAY()-$Q403)</f>
        <v/>
      </c>
      <c r="S403" s="102"/>
      <c r="T403" s="105"/>
      <c r="U403" s="105"/>
      <c r="V403" s="101"/>
      <c r="W403" s="101"/>
      <c r="X403" s="101"/>
      <c r="Y403" s="96"/>
      <c r="Z403" s="96"/>
      <c r="AA403" s="96"/>
      <c r="AC403" s="102"/>
      <c r="AD403" s="107" t="str">
        <f aca="false">IF($B403="","",IF(ISNUMBER($T403),$T403,IF(OR(NOT(ISNUMBER($Q403)),$S403=""),"",IFERROR(IF(ISNUMBER(INDEX(Lists!$AJ$2:$AJ$7,MATCH($S403,Lists!$AI$2:$AI$7,0))),$Q403+INDEX(Lists!$AJ$2:$AJ$7,MATCH($S403,Lists!$AI$2:$AI$7,0)),""),""))))</f>
        <v/>
      </c>
      <c r="AE403" s="104" t="str">
        <f aca="true">IF($B403="","",IF(AND(ISNUMBER($AD403),N($AD403)&lt;TODAY(),$N403&lt;&gt;"Done",$N403&lt;&gt;"Won't Fix",$N403&lt;&gt;"Duplicate"),"Yes","No"))</f>
        <v/>
      </c>
      <c r="AF403" s="101"/>
      <c r="AG403" s="108" t="str">
        <f aca="false">IF($AF403="","",IFERROR(VLOOKUP($AF403,'Application Portfolio'!$A$2:$B$1000,2,FALSE()),"Unknown App ID"))</f>
        <v/>
      </c>
      <c r="AH403" s="108" t="str">
        <f aca="false">IF(OR($B403="",$AF403=""),"",IFERROR(VLOOKUP($AF403,'Application Portfolio'!$A$2:$AB$1000,28,FALSE()),""))</f>
        <v/>
      </c>
    </row>
    <row r="404" customFormat="false" ht="15.75" hidden="false" customHeight="true" outlineLevel="0" collapsed="false">
      <c r="A404" s="100"/>
      <c r="B404" s="101"/>
      <c r="C404" s="101"/>
      <c r="D404" s="101"/>
      <c r="E404" s="101"/>
      <c r="F404" s="102"/>
      <c r="G404" s="102"/>
      <c r="H404" s="102"/>
      <c r="I404" s="102"/>
      <c r="J404" s="102"/>
      <c r="K404" s="102"/>
      <c r="L404" s="103" t="str">
        <f aca="false">IF(OR($B404="", $H404="", $I404="", $J404="", $K404=""),"",ROUND((VLOOKUP($H404,Lists!$E$2:$F$5,2,FALSE())*VLOOKUP($I404,Lists!$H$2:$I$4,2,FALSE())*VLOOKUP($J404,Lists!$K$2:$L$4,2,FALSE()))/VLOOKUP($K404,Lists!$N$2:$O$6,2,FALSE()),2))</f>
        <v/>
      </c>
      <c r="M404" s="104" t="str">
        <f aca="false">IF($B404="","",IF($AC404&lt;&gt;"",$AC404,IF($H404="Critical","P0",IF(NOT(ISNUMBER($L404)),"",IF($L404&gt;=Lists!$AM$2,"P0",IF($L404&gt;=Lists!$AM$3,"P1",IF($L404&gt;=Lists!$AM$4,"P2","P3")))))))</f>
        <v/>
      </c>
      <c r="N404" s="102"/>
      <c r="O404" s="101"/>
      <c r="P404" s="102"/>
      <c r="Q404" s="105"/>
      <c r="R404" s="106" t="str">
        <f aca="true">IF($Q404="","", TODAY()-$Q404)</f>
        <v/>
      </c>
      <c r="S404" s="102"/>
      <c r="T404" s="105"/>
      <c r="U404" s="105"/>
      <c r="V404" s="101"/>
      <c r="W404" s="101"/>
      <c r="X404" s="101"/>
      <c r="Y404" s="96"/>
      <c r="Z404" s="96"/>
      <c r="AA404" s="96"/>
      <c r="AC404" s="102"/>
      <c r="AD404" s="107" t="str">
        <f aca="false">IF($B404="","",IF(ISNUMBER($T404),$T404,IF(OR(NOT(ISNUMBER($Q404)),$S404=""),"",IFERROR(IF(ISNUMBER(INDEX(Lists!$AJ$2:$AJ$7,MATCH($S404,Lists!$AI$2:$AI$7,0))),$Q404+INDEX(Lists!$AJ$2:$AJ$7,MATCH($S404,Lists!$AI$2:$AI$7,0)),""),""))))</f>
        <v/>
      </c>
      <c r="AE404" s="104" t="str">
        <f aca="true">IF($B404="","",IF(AND(ISNUMBER($AD404),N($AD404)&lt;TODAY(),$N404&lt;&gt;"Done",$N404&lt;&gt;"Won't Fix",$N404&lt;&gt;"Duplicate"),"Yes","No"))</f>
        <v/>
      </c>
      <c r="AF404" s="101"/>
      <c r="AG404" s="108" t="str">
        <f aca="false">IF($AF404="","",IFERROR(VLOOKUP($AF404,'Application Portfolio'!$A$2:$B$1000,2,FALSE()),"Unknown App ID"))</f>
        <v/>
      </c>
      <c r="AH404" s="108" t="str">
        <f aca="false">IF(OR($B404="",$AF404=""),"",IFERROR(VLOOKUP($AF404,'Application Portfolio'!$A$2:$AB$1000,28,FALSE()),""))</f>
        <v/>
      </c>
    </row>
    <row r="405" customFormat="false" ht="15.75" hidden="false" customHeight="true" outlineLevel="0" collapsed="false">
      <c r="A405" s="100"/>
      <c r="B405" s="101"/>
      <c r="C405" s="101"/>
      <c r="D405" s="101"/>
      <c r="E405" s="101"/>
      <c r="F405" s="102"/>
      <c r="G405" s="102"/>
      <c r="H405" s="102"/>
      <c r="I405" s="102"/>
      <c r="J405" s="102"/>
      <c r="K405" s="102"/>
      <c r="L405" s="103" t="str">
        <f aca="false">IF(OR($B405="", $H405="", $I405="", $J405="", $K405=""),"",ROUND((VLOOKUP($H405,Lists!$E$2:$F$5,2,FALSE())*VLOOKUP($I405,Lists!$H$2:$I$4,2,FALSE())*VLOOKUP($J405,Lists!$K$2:$L$4,2,FALSE()))/VLOOKUP($K405,Lists!$N$2:$O$6,2,FALSE()),2))</f>
        <v/>
      </c>
      <c r="M405" s="104" t="str">
        <f aca="false">IF($B405="","",IF($AC405&lt;&gt;"",$AC405,IF($H405="Critical","P0",IF(NOT(ISNUMBER($L405)),"",IF($L405&gt;=Lists!$AM$2,"P0",IF($L405&gt;=Lists!$AM$3,"P1",IF($L405&gt;=Lists!$AM$4,"P2","P3")))))))</f>
        <v/>
      </c>
      <c r="N405" s="102"/>
      <c r="O405" s="101"/>
      <c r="P405" s="102"/>
      <c r="Q405" s="105"/>
      <c r="R405" s="106" t="str">
        <f aca="true">IF($Q405="","", TODAY()-$Q405)</f>
        <v/>
      </c>
      <c r="S405" s="102"/>
      <c r="T405" s="105"/>
      <c r="U405" s="105"/>
      <c r="V405" s="101"/>
      <c r="W405" s="101"/>
      <c r="X405" s="101"/>
      <c r="Y405" s="96"/>
      <c r="Z405" s="96"/>
      <c r="AA405" s="96"/>
      <c r="AC405" s="102"/>
      <c r="AD405" s="107" t="str">
        <f aca="false">IF($B405="","",IF(ISNUMBER($T405),$T405,IF(OR(NOT(ISNUMBER($Q405)),$S405=""),"",IFERROR(IF(ISNUMBER(INDEX(Lists!$AJ$2:$AJ$7,MATCH($S405,Lists!$AI$2:$AI$7,0))),$Q405+INDEX(Lists!$AJ$2:$AJ$7,MATCH($S405,Lists!$AI$2:$AI$7,0)),""),""))))</f>
        <v/>
      </c>
      <c r="AE405" s="104" t="str">
        <f aca="true">IF($B405="","",IF(AND(ISNUMBER($AD405),N($AD405)&lt;TODAY(),$N405&lt;&gt;"Done",$N405&lt;&gt;"Won't Fix",$N405&lt;&gt;"Duplicate"),"Yes","No"))</f>
        <v/>
      </c>
      <c r="AF405" s="101"/>
      <c r="AG405" s="108" t="str">
        <f aca="false">IF($AF405="","",IFERROR(VLOOKUP($AF405,'Application Portfolio'!$A$2:$B$1000,2,FALSE()),"Unknown App ID"))</f>
        <v/>
      </c>
      <c r="AH405" s="108" t="str">
        <f aca="false">IF(OR($B405="",$AF405=""),"",IFERROR(VLOOKUP($AF405,'Application Portfolio'!$A$2:$AB$1000,28,FALSE()),""))</f>
        <v/>
      </c>
    </row>
    <row r="406" customFormat="false" ht="15.75" hidden="false" customHeight="true" outlineLevel="0" collapsed="false">
      <c r="A406" s="100"/>
      <c r="B406" s="101"/>
      <c r="C406" s="101"/>
      <c r="D406" s="101"/>
      <c r="E406" s="101"/>
      <c r="F406" s="102"/>
      <c r="G406" s="102"/>
      <c r="H406" s="102"/>
      <c r="I406" s="102"/>
      <c r="J406" s="102"/>
      <c r="K406" s="102"/>
      <c r="L406" s="103" t="str">
        <f aca="false">IF(OR($B406="", $H406="", $I406="", $J406="", $K406=""),"",ROUND((VLOOKUP($H406,Lists!$E$2:$F$5,2,FALSE())*VLOOKUP($I406,Lists!$H$2:$I$4,2,FALSE())*VLOOKUP($J406,Lists!$K$2:$L$4,2,FALSE()))/VLOOKUP($K406,Lists!$N$2:$O$6,2,FALSE()),2))</f>
        <v/>
      </c>
      <c r="M406" s="104" t="str">
        <f aca="false">IF($B406="","",IF($AC406&lt;&gt;"",$AC406,IF($H406="Critical","P0",IF(NOT(ISNUMBER($L406)),"",IF($L406&gt;=Lists!$AM$2,"P0",IF($L406&gt;=Lists!$AM$3,"P1",IF($L406&gt;=Lists!$AM$4,"P2","P3")))))))</f>
        <v/>
      </c>
      <c r="N406" s="102"/>
      <c r="O406" s="101"/>
      <c r="P406" s="102"/>
      <c r="Q406" s="105"/>
      <c r="R406" s="106" t="str">
        <f aca="true">IF($Q406="","", TODAY()-$Q406)</f>
        <v/>
      </c>
      <c r="S406" s="102"/>
      <c r="T406" s="105"/>
      <c r="U406" s="105"/>
      <c r="V406" s="101"/>
      <c r="W406" s="101"/>
      <c r="X406" s="101"/>
      <c r="Y406" s="96"/>
      <c r="Z406" s="96"/>
      <c r="AA406" s="96"/>
      <c r="AC406" s="102"/>
      <c r="AD406" s="107" t="str">
        <f aca="false">IF($B406="","",IF(ISNUMBER($T406),$T406,IF(OR(NOT(ISNUMBER($Q406)),$S406=""),"",IFERROR(IF(ISNUMBER(INDEX(Lists!$AJ$2:$AJ$7,MATCH($S406,Lists!$AI$2:$AI$7,0))),$Q406+INDEX(Lists!$AJ$2:$AJ$7,MATCH($S406,Lists!$AI$2:$AI$7,0)),""),""))))</f>
        <v/>
      </c>
      <c r="AE406" s="104" t="str">
        <f aca="true">IF($B406="","",IF(AND(ISNUMBER($AD406),N($AD406)&lt;TODAY(),$N406&lt;&gt;"Done",$N406&lt;&gt;"Won't Fix",$N406&lt;&gt;"Duplicate"),"Yes","No"))</f>
        <v/>
      </c>
      <c r="AF406" s="101"/>
      <c r="AG406" s="108" t="str">
        <f aca="false">IF($AF406="","",IFERROR(VLOOKUP($AF406,'Application Portfolio'!$A$2:$B$1000,2,FALSE()),"Unknown App ID"))</f>
        <v/>
      </c>
      <c r="AH406" s="108" t="str">
        <f aca="false">IF(OR($B406="",$AF406=""),"",IFERROR(VLOOKUP($AF406,'Application Portfolio'!$A$2:$AB$1000,28,FALSE()),""))</f>
        <v/>
      </c>
    </row>
    <row r="407" customFormat="false" ht="15.75" hidden="false" customHeight="true" outlineLevel="0" collapsed="false">
      <c r="A407" s="100"/>
      <c r="B407" s="101"/>
      <c r="C407" s="101"/>
      <c r="D407" s="101"/>
      <c r="E407" s="101"/>
      <c r="F407" s="102"/>
      <c r="G407" s="102"/>
      <c r="H407" s="102"/>
      <c r="I407" s="102"/>
      <c r="J407" s="102"/>
      <c r="K407" s="102"/>
      <c r="L407" s="103" t="str">
        <f aca="false">IF(OR($B407="", $H407="", $I407="", $J407="", $K407=""),"",ROUND((VLOOKUP($H407,Lists!$E$2:$F$5,2,FALSE())*VLOOKUP($I407,Lists!$H$2:$I$4,2,FALSE())*VLOOKUP($J407,Lists!$K$2:$L$4,2,FALSE()))/VLOOKUP($K407,Lists!$N$2:$O$6,2,FALSE()),2))</f>
        <v/>
      </c>
      <c r="M407" s="104" t="str">
        <f aca="false">IF($B407="","",IF($AC407&lt;&gt;"",$AC407,IF($H407="Critical","P0",IF(NOT(ISNUMBER($L407)),"",IF($L407&gt;=Lists!$AM$2,"P0",IF($L407&gt;=Lists!$AM$3,"P1",IF($L407&gt;=Lists!$AM$4,"P2","P3")))))))</f>
        <v/>
      </c>
      <c r="N407" s="102"/>
      <c r="O407" s="101"/>
      <c r="P407" s="102"/>
      <c r="Q407" s="105"/>
      <c r="R407" s="106" t="str">
        <f aca="true">IF($Q407="","", TODAY()-$Q407)</f>
        <v/>
      </c>
      <c r="S407" s="102"/>
      <c r="T407" s="105"/>
      <c r="U407" s="105"/>
      <c r="V407" s="101"/>
      <c r="W407" s="101"/>
      <c r="X407" s="101"/>
      <c r="Y407" s="96"/>
      <c r="Z407" s="96"/>
      <c r="AA407" s="96"/>
      <c r="AC407" s="102"/>
      <c r="AD407" s="107" t="str">
        <f aca="false">IF($B407="","",IF(ISNUMBER($T407),$T407,IF(OR(NOT(ISNUMBER($Q407)),$S407=""),"",IFERROR(IF(ISNUMBER(INDEX(Lists!$AJ$2:$AJ$7,MATCH($S407,Lists!$AI$2:$AI$7,0))),$Q407+INDEX(Lists!$AJ$2:$AJ$7,MATCH($S407,Lists!$AI$2:$AI$7,0)),""),""))))</f>
        <v/>
      </c>
      <c r="AE407" s="104" t="str">
        <f aca="true">IF($B407="","",IF(AND(ISNUMBER($AD407),N($AD407)&lt;TODAY(),$N407&lt;&gt;"Done",$N407&lt;&gt;"Won't Fix",$N407&lt;&gt;"Duplicate"),"Yes","No"))</f>
        <v/>
      </c>
      <c r="AF407" s="101"/>
      <c r="AG407" s="108" t="str">
        <f aca="false">IF($AF407="","",IFERROR(VLOOKUP($AF407,'Application Portfolio'!$A$2:$B$1000,2,FALSE()),"Unknown App ID"))</f>
        <v/>
      </c>
      <c r="AH407" s="108" t="str">
        <f aca="false">IF(OR($B407="",$AF407=""),"",IFERROR(VLOOKUP($AF407,'Application Portfolio'!$A$2:$AB$1000,28,FALSE()),""))</f>
        <v/>
      </c>
    </row>
    <row r="408" customFormat="false" ht="15.75" hidden="false" customHeight="true" outlineLevel="0" collapsed="false">
      <c r="A408" s="100"/>
      <c r="B408" s="101"/>
      <c r="C408" s="101"/>
      <c r="D408" s="101"/>
      <c r="E408" s="101"/>
      <c r="F408" s="102"/>
      <c r="G408" s="102"/>
      <c r="H408" s="102"/>
      <c r="I408" s="102"/>
      <c r="J408" s="102"/>
      <c r="K408" s="102"/>
      <c r="L408" s="103" t="str">
        <f aca="false">IF(OR($B408="", $H408="", $I408="", $J408="", $K408=""),"",ROUND((VLOOKUP($H408,Lists!$E$2:$F$5,2,FALSE())*VLOOKUP($I408,Lists!$H$2:$I$4,2,FALSE())*VLOOKUP($J408,Lists!$K$2:$L$4,2,FALSE()))/VLOOKUP($K408,Lists!$N$2:$O$6,2,FALSE()),2))</f>
        <v/>
      </c>
      <c r="M408" s="104" t="str">
        <f aca="false">IF($B408="","",IF($AC408&lt;&gt;"",$AC408,IF($H408="Critical","P0",IF(NOT(ISNUMBER($L408)),"",IF($L408&gt;=Lists!$AM$2,"P0",IF($L408&gt;=Lists!$AM$3,"P1",IF($L408&gt;=Lists!$AM$4,"P2","P3")))))))</f>
        <v/>
      </c>
      <c r="N408" s="102"/>
      <c r="O408" s="101"/>
      <c r="P408" s="102"/>
      <c r="Q408" s="105"/>
      <c r="R408" s="106" t="str">
        <f aca="true">IF($Q408="","", TODAY()-$Q408)</f>
        <v/>
      </c>
      <c r="S408" s="102"/>
      <c r="T408" s="105"/>
      <c r="U408" s="105"/>
      <c r="V408" s="101"/>
      <c r="W408" s="101"/>
      <c r="X408" s="101"/>
      <c r="Y408" s="96"/>
      <c r="Z408" s="96"/>
      <c r="AA408" s="96"/>
      <c r="AC408" s="102"/>
      <c r="AD408" s="107" t="str">
        <f aca="false">IF($B408="","",IF(ISNUMBER($T408),$T408,IF(OR(NOT(ISNUMBER($Q408)),$S408=""),"",IFERROR(IF(ISNUMBER(INDEX(Lists!$AJ$2:$AJ$7,MATCH($S408,Lists!$AI$2:$AI$7,0))),$Q408+INDEX(Lists!$AJ$2:$AJ$7,MATCH($S408,Lists!$AI$2:$AI$7,0)),""),""))))</f>
        <v/>
      </c>
      <c r="AE408" s="104" t="str">
        <f aca="true">IF($B408="","",IF(AND(ISNUMBER($AD408),N($AD408)&lt;TODAY(),$N408&lt;&gt;"Done",$N408&lt;&gt;"Won't Fix",$N408&lt;&gt;"Duplicate"),"Yes","No"))</f>
        <v/>
      </c>
      <c r="AF408" s="101"/>
      <c r="AG408" s="108" t="str">
        <f aca="false">IF($AF408="","",IFERROR(VLOOKUP($AF408,'Application Portfolio'!$A$2:$B$1000,2,FALSE()),"Unknown App ID"))</f>
        <v/>
      </c>
      <c r="AH408" s="108" t="str">
        <f aca="false">IF(OR($B408="",$AF408=""),"",IFERROR(VLOOKUP($AF408,'Application Portfolio'!$A$2:$AB$1000,28,FALSE()),""))</f>
        <v/>
      </c>
    </row>
    <row r="409" customFormat="false" ht="15.75" hidden="false" customHeight="true" outlineLevel="0" collapsed="false">
      <c r="A409" s="100"/>
      <c r="B409" s="101"/>
      <c r="C409" s="101"/>
      <c r="D409" s="101"/>
      <c r="E409" s="101"/>
      <c r="F409" s="102"/>
      <c r="G409" s="102"/>
      <c r="H409" s="102"/>
      <c r="I409" s="102"/>
      <c r="J409" s="102"/>
      <c r="K409" s="102"/>
      <c r="L409" s="103" t="str">
        <f aca="false">IF(OR($B409="", $H409="", $I409="", $J409="", $K409=""),"",ROUND((VLOOKUP($H409,Lists!$E$2:$F$5,2,FALSE())*VLOOKUP($I409,Lists!$H$2:$I$4,2,FALSE())*VLOOKUP($J409,Lists!$K$2:$L$4,2,FALSE()))/VLOOKUP($K409,Lists!$N$2:$O$6,2,FALSE()),2))</f>
        <v/>
      </c>
      <c r="M409" s="104" t="str">
        <f aca="false">IF($B409="","",IF($AC409&lt;&gt;"",$AC409,IF($H409="Critical","P0",IF(NOT(ISNUMBER($L409)),"",IF($L409&gt;=Lists!$AM$2,"P0",IF($L409&gt;=Lists!$AM$3,"P1",IF($L409&gt;=Lists!$AM$4,"P2","P3")))))))</f>
        <v/>
      </c>
      <c r="N409" s="102"/>
      <c r="O409" s="101"/>
      <c r="P409" s="102"/>
      <c r="Q409" s="105"/>
      <c r="R409" s="106" t="str">
        <f aca="true">IF($Q409="","", TODAY()-$Q409)</f>
        <v/>
      </c>
      <c r="S409" s="102"/>
      <c r="T409" s="105"/>
      <c r="U409" s="105"/>
      <c r="V409" s="101"/>
      <c r="W409" s="101"/>
      <c r="X409" s="101"/>
      <c r="Y409" s="96"/>
      <c r="Z409" s="96"/>
      <c r="AA409" s="96"/>
      <c r="AC409" s="102"/>
      <c r="AD409" s="107" t="str">
        <f aca="false">IF($B409="","",IF(ISNUMBER($T409),$T409,IF(OR(NOT(ISNUMBER($Q409)),$S409=""),"",IFERROR(IF(ISNUMBER(INDEX(Lists!$AJ$2:$AJ$7,MATCH($S409,Lists!$AI$2:$AI$7,0))),$Q409+INDEX(Lists!$AJ$2:$AJ$7,MATCH($S409,Lists!$AI$2:$AI$7,0)),""),""))))</f>
        <v/>
      </c>
      <c r="AE409" s="104" t="str">
        <f aca="true">IF($B409="","",IF(AND(ISNUMBER($AD409),N($AD409)&lt;TODAY(),$N409&lt;&gt;"Done",$N409&lt;&gt;"Won't Fix",$N409&lt;&gt;"Duplicate"),"Yes","No"))</f>
        <v/>
      </c>
      <c r="AF409" s="101"/>
      <c r="AG409" s="108" t="str">
        <f aca="false">IF($AF409="","",IFERROR(VLOOKUP($AF409,'Application Portfolio'!$A$2:$B$1000,2,FALSE()),"Unknown App ID"))</f>
        <v/>
      </c>
      <c r="AH409" s="108" t="str">
        <f aca="false">IF(OR($B409="",$AF409=""),"",IFERROR(VLOOKUP($AF409,'Application Portfolio'!$A$2:$AB$1000,28,FALSE()),""))</f>
        <v/>
      </c>
    </row>
    <row r="410" customFormat="false" ht="15.75" hidden="false" customHeight="true" outlineLevel="0" collapsed="false">
      <c r="A410" s="100"/>
      <c r="B410" s="101"/>
      <c r="C410" s="101"/>
      <c r="D410" s="101"/>
      <c r="E410" s="101"/>
      <c r="F410" s="102"/>
      <c r="G410" s="102"/>
      <c r="H410" s="102"/>
      <c r="I410" s="102"/>
      <c r="J410" s="102"/>
      <c r="K410" s="102"/>
      <c r="L410" s="103" t="str">
        <f aca="false">IF(OR($B410="", $H410="", $I410="", $J410="", $K410=""),"",ROUND((VLOOKUP($H410,Lists!$E$2:$F$5,2,FALSE())*VLOOKUP($I410,Lists!$H$2:$I$4,2,FALSE())*VLOOKUP($J410,Lists!$K$2:$L$4,2,FALSE()))/VLOOKUP($K410,Lists!$N$2:$O$6,2,FALSE()),2))</f>
        <v/>
      </c>
      <c r="M410" s="104" t="str">
        <f aca="false">IF($B410="","",IF($AC410&lt;&gt;"",$AC410,IF($H410="Critical","P0",IF(NOT(ISNUMBER($L410)),"",IF($L410&gt;=Lists!$AM$2,"P0",IF($L410&gt;=Lists!$AM$3,"P1",IF($L410&gt;=Lists!$AM$4,"P2","P3")))))))</f>
        <v/>
      </c>
      <c r="N410" s="102"/>
      <c r="O410" s="101"/>
      <c r="P410" s="102"/>
      <c r="Q410" s="105"/>
      <c r="R410" s="106" t="str">
        <f aca="true">IF($Q410="","", TODAY()-$Q410)</f>
        <v/>
      </c>
      <c r="S410" s="102"/>
      <c r="T410" s="105"/>
      <c r="U410" s="105"/>
      <c r="V410" s="101"/>
      <c r="W410" s="101"/>
      <c r="X410" s="101"/>
      <c r="Y410" s="96"/>
      <c r="Z410" s="96"/>
      <c r="AA410" s="96"/>
      <c r="AC410" s="102"/>
      <c r="AD410" s="107" t="str">
        <f aca="false">IF($B410="","",IF(ISNUMBER($T410),$T410,IF(OR(NOT(ISNUMBER($Q410)),$S410=""),"",IFERROR(IF(ISNUMBER(INDEX(Lists!$AJ$2:$AJ$7,MATCH($S410,Lists!$AI$2:$AI$7,0))),$Q410+INDEX(Lists!$AJ$2:$AJ$7,MATCH($S410,Lists!$AI$2:$AI$7,0)),""),""))))</f>
        <v/>
      </c>
      <c r="AE410" s="104" t="str">
        <f aca="true">IF($B410="","",IF(AND(ISNUMBER($AD410),N($AD410)&lt;TODAY(),$N410&lt;&gt;"Done",$N410&lt;&gt;"Won't Fix",$N410&lt;&gt;"Duplicate"),"Yes","No"))</f>
        <v/>
      </c>
      <c r="AF410" s="101"/>
      <c r="AG410" s="108" t="str">
        <f aca="false">IF($AF410="","",IFERROR(VLOOKUP($AF410,'Application Portfolio'!$A$2:$B$1000,2,FALSE()),"Unknown App ID"))</f>
        <v/>
      </c>
      <c r="AH410" s="108" t="str">
        <f aca="false">IF(OR($B410="",$AF410=""),"",IFERROR(VLOOKUP($AF410,'Application Portfolio'!$A$2:$AB$1000,28,FALSE()),""))</f>
        <v/>
      </c>
    </row>
    <row r="411" customFormat="false" ht="15.75" hidden="false" customHeight="true" outlineLevel="0" collapsed="false">
      <c r="A411" s="100"/>
      <c r="B411" s="101"/>
      <c r="C411" s="101"/>
      <c r="D411" s="101"/>
      <c r="E411" s="101"/>
      <c r="F411" s="102"/>
      <c r="G411" s="102"/>
      <c r="H411" s="102"/>
      <c r="I411" s="102"/>
      <c r="J411" s="102"/>
      <c r="K411" s="102"/>
      <c r="L411" s="103" t="str">
        <f aca="false">IF(OR($B411="", $H411="", $I411="", $J411="", $K411=""),"",ROUND((VLOOKUP($H411,Lists!$E$2:$F$5,2,FALSE())*VLOOKUP($I411,Lists!$H$2:$I$4,2,FALSE())*VLOOKUP($J411,Lists!$K$2:$L$4,2,FALSE()))/VLOOKUP($K411,Lists!$N$2:$O$6,2,FALSE()),2))</f>
        <v/>
      </c>
      <c r="M411" s="104" t="str">
        <f aca="false">IF($B411="","",IF($AC411&lt;&gt;"",$AC411,IF($H411="Critical","P0",IF(NOT(ISNUMBER($L411)),"",IF($L411&gt;=Lists!$AM$2,"P0",IF($L411&gt;=Lists!$AM$3,"P1",IF($L411&gt;=Lists!$AM$4,"P2","P3")))))))</f>
        <v/>
      </c>
      <c r="N411" s="102"/>
      <c r="O411" s="101"/>
      <c r="P411" s="102"/>
      <c r="Q411" s="105"/>
      <c r="R411" s="106" t="str">
        <f aca="true">IF($Q411="","", TODAY()-$Q411)</f>
        <v/>
      </c>
      <c r="S411" s="102"/>
      <c r="T411" s="105"/>
      <c r="U411" s="105"/>
      <c r="V411" s="101"/>
      <c r="W411" s="101"/>
      <c r="X411" s="101"/>
      <c r="Y411" s="96"/>
      <c r="Z411" s="96"/>
      <c r="AA411" s="96"/>
      <c r="AC411" s="102"/>
      <c r="AD411" s="107" t="str">
        <f aca="false">IF($B411="","",IF(ISNUMBER($T411),$T411,IF(OR(NOT(ISNUMBER($Q411)),$S411=""),"",IFERROR(IF(ISNUMBER(INDEX(Lists!$AJ$2:$AJ$7,MATCH($S411,Lists!$AI$2:$AI$7,0))),$Q411+INDEX(Lists!$AJ$2:$AJ$7,MATCH($S411,Lists!$AI$2:$AI$7,0)),""),""))))</f>
        <v/>
      </c>
      <c r="AE411" s="104" t="str">
        <f aca="true">IF($B411="","",IF(AND(ISNUMBER($AD411),N($AD411)&lt;TODAY(),$N411&lt;&gt;"Done",$N411&lt;&gt;"Won't Fix",$N411&lt;&gt;"Duplicate"),"Yes","No"))</f>
        <v/>
      </c>
      <c r="AF411" s="101"/>
      <c r="AG411" s="108" t="str">
        <f aca="false">IF($AF411="","",IFERROR(VLOOKUP($AF411,'Application Portfolio'!$A$2:$B$1000,2,FALSE()),"Unknown App ID"))</f>
        <v/>
      </c>
      <c r="AH411" s="108" t="str">
        <f aca="false">IF(OR($B411="",$AF411=""),"",IFERROR(VLOOKUP($AF411,'Application Portfolio'!$A$2:$AB$1000,28,FALSE()),""))</f>
        <v/>
      </c>
    </row>
    <row r="412" customFormat="false" ht="15.75" hidden="false" customHeight="true" outlineLevel="0" collapsed="false">
      <c r="A412" s="100"/>
      <c r="B412" s="101"/>
      <c r="C412" s="101"/>
      <c r="D412" s="101"/>
      <c r="E412" s="101"/>
      <c r="F412" s="102"/>
      <c r="G412" s="102"/>
      <c r="H412" s="102"/>
      <c r="I412" s="102"/>
      <c r="J412" s="102"/>
      <c r="K412" s="102"/>
      <c r="L412" s="103" t="str">
        <f aca="false">IF(OR($B412="", $H412="", $I412="", $J412="", $K412=""),"",ROUND((VLOOKUP($H412,Lists!$E$2:$F$5,2,FALSE())*VLOOKUP($I412,Lists!$H$2:$I$4,2,FALSE())*VLOOKUP($J412,Lists!$K$2:$L$4,2,FALSE()))/VLOOKUP($K412,Lists!$N$2:$O$6,2,FALSE()),2))</f>
        <v/>
      </c>
      <c r="M412" s="104" t="str">
        <f aca="false">IF($B412="","",IF($AC412&lt;&gt;"",$AC412,IF($H412="Critical","P0",IF(NOT(ISNUMBER($L412)),"",IF($L412&gt;=Lists!$AM$2,"P0",IF($L412&gt;=Lists!$AM$3,"P1",IF($L412&gt;=Lists!$AM$4,"P2","P3")))))))</f>
        <v/>
      </c>
      <c r="N412" s="102"/>
      <c r="O412" s="101"/>
      <c r="P412" s="102"/>
      <c r="Q412" s="105"/>
      <c r="R412" s="106" t="str">
        <f aca="true">IF($Q412="","", TODAY()-$Q412)</f>
        <v/>
      </c>
      <c r="S412" s="102"/>
      <c r="T412" s="105"/>
      <c r="U412" s="105"/>
      <c r="V412" s="101"/>
      <c r="W412" s="101"/>
      <c r="X412" s="101"/>
      <c r="Y412" s="96"/>
      <c r="Z412" s="96"/>
      <c r="AA412" s="96"/>
      <c r="AC412" s="102"/>
      <c r="AD412" s="107" t="str">
        <f aca="false">IF($B412="","",IF(ISNUMBER($T412),$T412,IF(OR(NOT(ISNUMBER($Q412)),$S412=""),"",IFERROR(IF(ISNUMBER(INDEX(Lists!$AJ$2:$AJ$7,MATCH($S412,Lists!$AI$2:$AI$7,0))),$Q412+INDEX(Lists!$AJ$2:$AJ$7,MATCH($S412,Lists!$AI$2:$AI$7,0)),""),""))))</f>
        <v/>
      </c>
      <c r="AE412" s="104" t="str">
        <f aca="true">IF($B412="","",IF(AND(ISNUMBER($AD412),N($AD412)&lt;TODAY(),$N412&lt;&gt;"Done",$N412&lt;&gt;"Won't Fix",$N412&lt;&gt;"Duplicate"),"Yes","No"))</f>
        <v/>
      </c>
      <c r="AF412" s="101"/>
      <c r="AG412" s="108" t="str">
        <f aca="false">IF($AF412="","",IFERROR(VLOOKUP($AF412,'Application Portfolio'!$A$2:$B$1000,2,FALSE()),"Unknown App ID"))</f>
        <v/>
      </c>
      <c r="AH412" s="108" t="str">
        <f aca="false">IF(OR($B412="",$AF412=""),"",IFERROR(VLOOKUP($AF412,'Application Portfolio'!$A$2:$AB$1000,28,FALSE()),""))</f>
        <v/>
      </c>
    </row>
    <row r="413" customFormat="false" ht="15.75" hidden="false" customHeight="true" outlineLevel="0" collapsed="false">
      <c r="A413" s="100"/>
      <c r="B413" s="101"/>
      <c r="C413" s="101"/>
      <c r="D413" s="101"/>
      <c r="E413" s="101"/>
      <c r="F413" s="102"/>
      <c r="G413" s="102"/>
      <c r="H413" s="102"/>
      <c r="I413" s="102"/>
      <c r="J413" s="102"/>
      <c r="K413" s="102"/>
      <c r="L413" s="103" t="str">
        <f aca="false">IF(OR($B413="", $H413="", $I413="", $J413="", $K413=""),"",ROUND((VLOOKUP($H413,Lists!$E$2:$F$5,2,FALSE())*VLOOKUP($I413,Lists!$H$2:$I$4,2,FALSE())*VLOOKUP($J413,Lists!$K$2:$L$4,2,FALSE()))/VLOOKUP($K413,Lists!$N$2:$O$6,2,FALSE()),2))</f>
        <v/>
      </c>
      <c r="M413" s="104" t="str">
        <f aca="false">IF($B413="","",IF($AC413&lt;&gt;"",$AC413,IF($H413="Critical","P0",IF(NOT(ISNUMBER($L413)),"",IF($L413&gt;=Lists!$AM$2,"P0",IF($L413&gt;=Lists!$AM$3,"P1",IF($L413&gt;=Lists!$AM$4,"P2","P3")))))))</f>
        <v/>
      </c>
      <c r="N413" s="102"/>
      <c r="O413" s="101"/>
      <c r="P413" s="102"/>
      <c r="Q413" s="105"/>
      <c r="R413" s="106" t="str">
        <f aca="true">IF($Q413="","", TODAY()-$Q413)</f>
        <v/>
      </c>
      <c r="S413" s="102"/>
      <c r="T413" s="105"/>
      <c r="U413" s="105"/>
      <c r="V413" s="101"/>
      <c r="W413" s="101"/>
      <c r="X413" s="101"/>
      <c r="Y413" s="96"/>
      <c r="Z413" s="96"/>
      <c r="AA413" s="96"/>
      <c r="AC413" s="102"/>
      <c r="AD413" s="107" t="str">
        <f aca="false">IF($B413="","",IF(ISNUMBER($T413),$T413,IF(OR(NOT(ISNUMBER($Q413)),$S413=""),"",IFERROR(IF(ISNUMBER(INDEX(Lists!$AJ$2:$AJ$7,MATCH($S413,Lists!$AI$2:$AI$7,0))),$Q413+INDEX(Lists!$AJ$2:$AJ$7,MATCH($S413,Lists!$AI$2:$AI$7,0)),""),""))))</f>
        <v/>
      </c>
      <c r="AE413" s="104" t="str">
        <f aca="true">IF($B413="","",IF(AND(ISNUMBER($AD413),N($AD413)&lt;TODAY(),$N413&lt;&gt;"Done",$N413&lt;&gt;"Won't Fix",$N413&lt;&gt;"Duplicate"),"Yes","No"))</f>
        <v/>
      </c>
      <c r="AF413" s="101"/>
      <c r="AG413" s="108" t="str">
        <f aca="false">IF($AF413="","",IFERROR(VLOOKUP($AF413,'Application Portfolio'!$A$2:$B$1000,2,FALSE()),"Unknown App ID"))</f>
        <v/>
      </c>
      <c r="AH413" s="108" t="str">
        <f aca="false">IF(OR($B413="",$AF413=""),"",IFERROR(VLOOKUP($AF413,'Application Portfolio'!$A$2:$AB$1000,28,FALSE()),""))</f>
        <v/>
      </c>
    </row>
    <row r="414" customFormat="false" ht="15.75" hidden="false" customHeight="true" outlineLevel="0" collapsed="false">
      <c r="A414" s="100"/>
      <c r="B414" s="101"/>
      <c r="C414" s="101"/>
      <c r="D414" s="101"/>
      <c r="E414" s="101"/>
      <c r="F414" s="102"/>
      <c r="G414" s="102"/>
      <c r="H414" s="102"/>
      <c r="I414" s="102"/>
      <c r="J414" s="102"/>
      <c r="K414" s="102"/>
      <c r="L414" s="103" t="str">
        <f aca="false">IF(OR($B414="", $H414="", $I414="", $J414="", $K414=""),"",ROUND((VLOOKUP($H414,Lists!$E$2:$F$5,2,FALSE())*VLOOKUP($I414,Lists!$H$2:$I$4,2,FALSE())*VLOOKUP($J414,Lists!$K$2:$L$4,2,FALSE()))/VLOOKUP($K414,Lists!$N$2:$O$6,2,FALSE()),2))</f>
        <v/>
      </c>
      <c r="M414" s="104" t="str">
        <f aca="false">IF($B414="","",IF($AC414&lt;&gt;"",$AC414,IF($H414="Critical","P0",IF(NOT(ISNUMBER($L414)),"",IF($L414&gt;=Lists!$AM$2,"P0",IF($L414&gt;=Lists!$AM$3,"P1",IF($L414&gt;=Lists!$AM$4,"P2","P3")))))))</f>
        <v/>
      </c>
      <c r="N414" s="102"/>
      <c r="O414" s="101"/>
      <c r="P414" s="102"/>
      <c r="Q414" s="105"/>
      <c r="R414" s="106" t="str">
        <f aca="true">IF($Q414="","", TODAY()-$Q414)</f>
        <v/>
      </c>
      <c r="S414" s="102"/>
      <c r="T414" s="105"/>
      <c r="U414" s="105"/>
      <c r="V414" s="101"/>
      <c r="W414" s="101"/>
      <c r="X414" s="101"/>
      <c r="Y414" s="96"/>
      <c r="Z414" s="96"/>
      <c r="AA414" s="96"/>
      <c r="AC414" s="102"/>
      <c r="AD414" s="107" t="str">
        <f aca="false">IF($B414="","",IF(ISNUMBER($T414),$T414,IF(OR(NOT(ISNUMBER($Q414)),$S414=""),"",IFERROR(IF(ISNUMBER(INDEX(Lists!$AJ$2:$AJ$7,MATCH($S414,Lists!$AI$2:$AI$7,0))),$Q414+INDEX(Lists!$AJ$2:$AJ$7,MATCH($S414,Lists!$AI$2:$AI$7,0)),""),""))))</f>
        <v/>
      </c>
      <c r="AE414" s="104" t="str">
        <f aca="true">IF($B414="","",IF(AND(ISNUMBER($AD414),N($AD414)&lt;TODAY(),$N414&lt;&gt;"Done",$N414&lt;&gt;"Won't Fix",$N414&lt;&gt;"Duplicate"),"Yes","No"))</f>
        <v/>
      </c>
      <c r="AF414" s="101"/>
      <c r="AG414" s="108" t="str">
        <f aca="false">IF($AF414="","",IFERROR(VLOOKUP($AF414,'Application Portfolio'!$A$2:$B$1000,2,FALSE()),"Unknown App ID"))</f>
        <v/>
      </c>
      <c r="AH414" s="108" t="str">
        <f aca="false">IF(OR($B414="",$AF414=""),"",IFERROR(VLOOKUP($AF414,'Application Portfolio'!$A$2:$AB$1000,28,FALSE()),""))</f>
        <v/>
      </c>
    </row>
    <row r="415" customFormat="false" ht="15.75" hidden="false" customHeight="true" outlineLevel="0" collapsed="false">
      <c r="A415" s="100"/>
      <c r="B415" s="101"/>
      <c r="C415" s="101"/>
      <c r="D415" s="101"/>
      <c r="E415" s="101"/>
      <c r="F415" s="102"/>
      <c r="G415" s="102"/>
      <c r="H415" s="102"/>
      <c r="I415" s="102"/>
      <c r="J415" s="102"/>
      <c r="K415" s="102"/>
      <c r="L415" s="103" t="str">
        <f aca="false">IF(OR($B415="", $H415="", $I415="", $J415="", $K415=""),"",ROUND((VLOOKUP($H415,Lists!$E$2:$F$5,2,FALSE())*VLOOKUP($I415,Lists!$H$2:$I$4,2,FALSE())*VLOOKUP($J415,Lists!$K$2:$L$4,2,FALSE()))/VLOOKUP($K415,Lists!$N$2:$O$6,2,FALSE()),2))</f>
        <v/>
      </c>
      <c r="M415" s="104" t="str">
        <f aca="false">IF($B415="","",IF($AC415&lt;&gt;"",$AC415,IF($H415="Critical","P0",IF(NOT(ISNUMBER($L415)),"",IF($L415&gt;=Lists!$AM$2,"P0",IF($L415&gt;=Lists!$AM$3,"P1",IF($L415&gt;=Lists!$AM$4,"P2","P3")))))))</f>
        <v/>
      </c>
      <c r="N415" s="102"/>
      <c r="O415" s="101"/>
      <c r="P415" s="102"/>
      <c r="Q415" s="105"/>
      <c r="R415" s="106" t="str">
        <f aca="true">IF($Q415="","", TODAY()-$Q415)</f>
        <v/>
      </c>
      <c r="S415" s="102"/>
      <c r="T415" s="105"/>
      <c r="U415" s="105"/>
      <c r="V415" s="101"/>
      <c r="W415" s="101"/>
      <c r="X415" s="101"/>
      <c r="Y415" s="96"/>
      <c r="Z415" s="96"/>
      <c r="AA415" s="96"/>
      <c r="AC415" s="102"/>
      <c r="AD415" s="107" t="str">
        <f aca="false">IF($B415="","",IF(ISNUMBER($T415),$T415,IF(OR(NOT(ISNUMBER($Q415)),$S415=""),"",IFERROR(IF(ISNUMBER(INDEX(Lists!$AJ$2:$AJ$7,MATCH($S415,Lists!$AI$2:$AI$7,0))),$Q415+INDEX(Lists!$AJ$2:$AJ$7,MATCH($S415,Lists!$AI$2:$AI$7,0)),""),""))))</f>
        <v/>
      </c>
      <c r="AE415" s="104" t="str">
        <f aca="true">IF($B415="","",IF(AND(ISNUMBER($AD415),N($AD415)&lt;TODAY(),$N415&lt;&gt;"Done",$N415&lt;&gt;"Won't Fix",$N415&lt;&gt;"Duplicate"),"Yes","No"))</f>
        <v/>
      </c>
      <c r="AF415" s="101"/>
      <c r="AG415" s="108" t="str">
        <f aca="false">IF($AF415="","",IFERROR(VLOOKUP($AF415,'Application Portfolio'!$A$2:$B$1000,2,FALSE()),"Unknown App ID"))</f>
        <v/>
      </c>
      <c r="AH415" s="108" t="str">
        <f aca="false">IF(OR($B415="",$AF415=""),"",IFERROR(VLOOKUP($AF415,'Application Portfolio'!$A$2:$AB$1000,28,FALSE()),""))</f>
        <v/>
      </c>
    </row>
    <row r="416" customFormat="false" ht="15.75" hidden="false" customHeight="true" outlineLevel="0" collapsed="false">
      <c r="A416" s="100"/>
      <c r="B416" s="101"/>
      <c r="C416" s="101"/>
      <c r="D416" s="101"/>
      <c r="E416" s="101"/>
      <c r="F416" s="102"/>
      <c r="G416" s="102"/>
      <c r="H416" s="102"/>
      <c r="I416" s="102"/>
      <c r="J416" s="102"/>
      <c r="K416" s="102"/>
      <c r="L416" s="103" t="str">
        <f aca="false">IF(OR($B416="", $H416="", $I416="", $J416="", $K416=""),"",ROUND((VLOOKUP($H416,Lists!$E$2:$F$5,2,FALSE())*VLOOKUP($I416,Lists!$H$2:$I$4,2,FALSE())*VLOOKUP($J416,Lists!$K$2:$L$4,2,FALSE()))/VLOOKUP($K416,Lists!$N$2:$O$6,2,FALSE()),2))</f>
        <v/>
      </c>
      <c r="M416" s="104" t="str">
        <f aca="false">IF($B416="","",IF($AC416&lt;&gt;"",$AC416,IF($H416="Critical","P0",IF(NOT(ISNUMBER($L416)),"",IF($L416&gt;=Lists!$AM$2,"P0",IF($L416&gt;=Lists!$AM$3,"P1",IF($L416&gt;=Lists!$AM$4,"P2","P3")))))))</f>
        <v/>
      </c>
      <c r="N416" s="102"/>
      <c r="O416" s="101"/>
      <c r="P416" s="102"/>
      <c r="Q416" s="105"/>
      <c r="R416" s="106" t="str">
        <f aca="true">IF($Q416="","", TODAY()-$Q416)</f>
        <v/>
      </c>
      <c r="S416" s="102"/>
      <c r="T416" s="105"/>
      <c r="U416" s="105"/>
      <c r="V416" s="101"/>
      <c r="W416" s="101"/>
      <c r="X416" s="101"/>
      <c r="Y416" s="96"/>
      <c r="Z416" s="96"/>
      <c r="AA416" s="96"/>
      <c r="AC416" s="102"/>
      <c r="AD416" s="107" t="str">
        <f aca="false">IF($B416="","",IF(ISNUMBER($T416),$T416,IF(OR(NOT(ISNUMBER($Q416)),$S416=""),"",IFERROR(IF(ISNUMBER(INDEX(Lists!$AJ$2:$AJ$7,MATCH($S416,Lists!$AI$2:$AI$7,0))),$Q416+INDEX(Lists!$AJ$2:$AJ$7,MATCH($S416,Lists!$AI$2:$AI$7,0)),""),""))))</f>
        <v/>
      </c>
      <c r="AE416" s="104" t="str">
        <f aca="true">IF($B416="","",IF(AND(ISNUMBER($AD416),N($AD416)&lt;TODAY(),$N416&lt;&gt;"Done",$N416&lt;&gt;"Won't Fix",$N416&lt;&gt;"Duplicate"),"Yes","No"))</f>
        <v/>
      </c>
      <c r="AF416" s="101"/>
      <c r="AG416" s="108" t="str">
        <f aca="false">IF($AF416="","",IFERROR(VLOOKUP($AF416,'Application Portfolio'!$A$2:$B$1000,2,FALSE()),"Unknown App ID"))</f>
        <v/>
      </c>
      <c r="AH416" s="108" t="str">
        <f aca="false">IF(OR($B416="",$AF416=""),"",IFERROR(VLOOKUP($AF416,'Application Portfolio'!$A$2:$AB$1000,28,FALSE()),""))</f>
        <v/>
      </c>
    </row>
    <row r="417" customFormat="false" ht="15.75" hidden="false" customHeight="true" outlineLevel="0" collapsed="false">
      <c r="A417" s="100"/>
      <c r="B417" s="101"/>
      <c r="C417" s="101"/>
      <c r="D417" s="101"/>
      <c r="E417" s="101"/>
      <c r="F417" s="102"/>
      <c r="G417" s="102"/>
      <c r="H417" s="102"/>
      <c r="I417" s="102"/>
      <c r="J417" s="102"/>
      <c r="K417" s="102"/>
      <c r="L417" s="103" t="str">
        <f aca="false">IF(OR($B417="", $H417="", $I417="", $J417="", $K417=""),"",ROUND((VLOOKUP($H417,Lists!$E$2:$F$5,2,FALSE())*VLOOKUP($I417,Lists!$H$2:$I$4,2,FALSE())*VLOOKUP($J417,Lists!$K$2:$L$4,2,FALSE()))/VLOOKUP($K417,Lists!$N$2:$O$6,2,FALSE()),2))</f>
        <v/>
      </c>
      <c r="M417" s="104" t="str">
        <f aca="false">IF($B417="","",IF($AC417&lt;&gt;"",$AC417,IF($H417="Critical","P0",IF(NOT(ISNUMBER($L417)),"",IF($L417&gt;=Lists!$AM$2,"P0",IF($L417&gt;=Lists!$AM$3,"P1",IF($L417&gt;=Lists!$AM$4,"P2","P3")))))))</f>
        <v/>
      </c>
      <c r="N417" s="102"/>
      <c r="O417" s="101"/>
      <c r="P417" s="102"/>
      <c r="Q417" s="105"/>
      <c r="R417" s="106" t="str">
        <f aca="true">IF($Q417="","", TODAY()-$Q417)</f>
        <v/>
      </c>
      <c r="S417" s="102"/>
      <c r="T417" s="105"/>
      <c r="U417" s="105"/>
      <c r="V417" s="101"/>
      <c r="W417" s="101"/>
      <c r="X417" s="101"/>
      <c r="Y417" s="96"/>
      <c r="Z417" s="96"/>
      <c r="AA417" s="96"/>
      <c r="AC417" s="102"/>
      <c r="AD417" s="107" t="str">
        <f aca="false">IF($B417="","",IF(ISNUMBER($T417),$T417,IF(OR(NOT(ISNUMBER($Q417)),$S417=""),"",IFERROR(IF(ISNUMBER(INDEX(Lists!$AJ$2:$AJ$7,MATCH($S417,Lists!$AI$2:$AI$7,0))),$Q417+INDEX(Lists!$AJ$2:$AJ$7,MATCH($S417,Lists!$AI$2:$AI$7,0)),""),""))))</f>
        <v/>
      </c>
      <c r="AE417" s="104" t="str">
        <f aca="true">IF($B417="","",IF(AND(ISNUMBER($AD417),N($AD417)&lt;TODAY(),$N417&lt;&gt;"Done",$N417&lt;&gt;"Won't Fix",$N417&lt;&gt;"Duplicate"),"Yes","No"))</f>
        <v/>
      </c>
      <c r="AF417" s="101"/>
      <c r="AG417" s="108" t="str">
        <f aca="false">IF($AF417="","",IFERROR(VLOOKUP($AF417,'Application Portfolio'!$A$2:$B$1000,2,FALSE()),"Unknown App ID"))</f>
        <v/>
      </c>
      <c r="AH417" s="108" t="str">
        <f aca="false">IF(OR($B417="",$AF417=""),"",IFERROR(VLOOKUP($AF417,'Application Portfolio'!$A$2:$AB$1000,28,FALSE()),""))</f>
        <v/>
      </c>
    </row>
    <row r="418" customFormat="false" ht="15.75" hidden="false" customHeight="true" outlineLevel="0" collapsed="false">
      <c r="A418" s="100"/>
      <c r="B418" s="101"/>
      <c r="C418" s="101"/>
      <c r="D418" s="101"/>
      <c r="E418" s="101"/>
      <c r="F418" s="102"/>
      <c r="G418" s="102"/>
      <c r="H418" s="102"/>
      <c r="I418" s="102"/>
      <c r="J418" s="102"/>
      <c r="K418" s="102"/>
      <c r="L418" s="103" t="str">
        <f aca="false">IF(OR($B418="", $H418="", $I418="", $J418="", $K418=""),"",ROUND((VLOOKUP($H418,Lists!$E$2:$F$5,2,FALSE())*VLOOKUP($I418,Lists!$H$2:$I$4,2,FALSE())*VLOOKUP($J418,Lists!$K$2:$L$4,2,FALSE()))/VLOOKUP($K418,Lists!$N$2:$O$6,2,FALSE()),2))</f>
        <v/>
      </c>
      <c r="M418" s="104" t="str">
        <f aca="false">IF($B418="","",IF($AC418&lt;&gt;"",$AC418,IF($H418="Critical","P0",IF(NOT(ISNUMBER($L418)),"",IF($L418&gt;=Lists!$AM$2,"P0",IF($L418&gt;=Lists!$AM$3,"P1",IF($L418&gt;=Lists!$AM$4,"P2","P3")))))))</f>
        <v/>
      </c>
      <c r="N418" s="102"/>
      <c r="O418" s="101"/>
      <c r="P418" s="102"/>
      <c r="Q418" s="105"/>
      <c r="R418" s="106" t="str">
        <f aca="true">IF($Q418="","", TODAY()-$Q418)</f>
        <v/>
      </c>
      <c r="S418" s="102"/>
      <c r="T418" s="105"/>
      <c r="U418" s="105"/>
      <c r="V418" s="101"/>
      <c r="W418" s="101"/>
      <c r="X418" s="101"/>
      <c r="Y418" s="96"/>
      <c r="Z418" s="96"/>
      <c r="AA418" s="96"/>
      <c r="AC418" s="102"/>
      <c r="AD418" s="107" t="str">
        <f aca="false">IF($B418="","",IF(ISNUMBER($T418),$T418,IF(OR(NOT(ISNUMBER($Q418)),$S418=""),"",IFERROR(IF(ISNUMBER(INDEX(Lists!$AJ$2:$AJ$7,MATCH($S418,Lists!$AI$2:$AI$7,0))),$Q418+INDEX(Lists!$AJ$2:$AJ$7,MATCH($S418,Lists!$AI$2:$AI$7,0)),""),""))))</f>
        <v/>
      </c>
      <c r="AE418" s="104" t="str">
        <f aca="true">IF($B418="","",IF(AND(ISNUMBER($AD418),N($AD418)&lt;TODAY(),$N418&lt;&gt;"Done",$N418&lt;&gt;"Won't Fix",$N418&lt;&gt;"Duplicate"),"Yes","No"))</f>
        <v/>
      </c>
      <c r="AF418" s="101"/>
      <c r="AG418" s="108" t="str">
        <f aca="false">IF($AF418="","",IFERROR(VLOOKUP($AF418,'Application Portfolio'!$A$2:$B$1000,2,FALSE()),"Unknown App ID"))</f>
        <v/>
      </c>
      <c r="AH418" s="108" t="str">
        <f aca="false">IF(OR($B418="",$AF418=""),"",IFERROR(VLOOKUP($AF418,'Application Portfolio'!$A$2:$AB$1000,28,FALSE()),""))</f>
        <v/>
      </c>
    </row>
    <row r="419" customFormat="false" ht="15.75" hidden="false" customHeight="true" outlineLevel="0" collapsed="false">
      <c r="A419" s="100"/>
      <c r="B419" s="101"/>
      <c r="C419" s="101"/>
      <c r="D419" s="101"/>
      <c r="E419" s="101"/>
      <c r="F419" s="102"/>
      <c r="G419" s="102"/>
      <c r="H419" s="102"/>
      <c r="I419" s="102"/>
      <c r="J419" s="102"/>
      <c r="K419" s="102"/>
      <c r="L419" s="103" t="str">
        <f aca="false">IF(OR($B419="", $H419="", $I419="", $J419="", $K419=""),"",ROUND((VLOOKUP($H419,Lists!$E$2:$F$5,2,FALSE())*VLOOKUP($I419,Lists!$H$2:$I$4,2,FALSE())*VLOOKUP($J419,Lists!$K$2:$L$4,2,FALSE()))/VLOOKUP($K419,Lists!$N$2:$O$6,2,FALSE()),2))</f>
        <v/>
      </c>
      <c r="M419" s="104" t="str">
        <f aca="false">IF($B419="","",IF($AC419&lt;&gt;"",$AC419,IF($H419="Critical","P0",IF(NOT(ISNUMBER($L419)),"",IF($L419&gt;=Lists!$AM$2,"P0",IF($L419&gt;=Lists!$AM$3,"P1",IF($L419&gt;=Lists!$AM$4,"P2","P3")))))))</f>
        <v/>
      </c>
      <c r="N419" s="102"/>
      <c r="O419" s="101"/>
      <c r="P419" s="102"/>
      <c r="Q419" s="105"/>
      <c r="R419" s="106" t="str">
        <f aca="true">IF($Q419="","", TODAY()-$Q419)</f>
        <v/>
      </c>
      <c r="S419" s="102"/>
      <c r="T419" s="105"/>
      <c r="U419" s="105"/>
      <c r="V419" s="101"/>
      <c r="W419" s="101"/>
      <c r="X419" s="101"/>
      <c r="Y419" s="96"/>
      <c r="Z419" s="96"/>
      <c r="AA419" s="96"/>
      <c r="AC419" s="102"/>
      <c r="AD419" s="107" t="str">
        <f aca="false">IF($B419="","",IF(ISNUMBER($T419),$T419,IF(OR(NOT(ISNUMBER($Q419)),$S419=""),"",IFERROR(IF(ISNUMBER(INDEX(Lists!$AJ$2:$AJ$7,MATCH($S419,Lists!$AI$2:$AI$7,0))),$Q419+INDEX(Lists!$AJ$2:$AJ$7,MATCH($S419,Lists!$AI$2:$AI$7,0)),""),""))))</f>
        <v/>
      </c>
      <c r="AE419" s="104" t="str">
        <f aca="true">IF($B419="","",IF(AND(ISNUMBER($AD419),N($AD419)&lt;TODAY(),$N419&lt;&gt;"Done",$N419&lt;&gt;"Won't Fix",$N419&lt;&gt;"Duplicate"),"Yes","No"))</f>
        <v/>
      </c>
      <c r="AF419" s="101"/>
      <c r="AG419" s="108" t="str">
        <f aca="false">IF($AF419="","",IFERROR(VLOOKUP($AF419,'Application Portfolio'!$A$2:$B$1000,2,FALSE()),"Unknown App ID"))</f>
        <v/>
      </c>
      <c r="AH419" s="108" t="str">
        <f aca="false">IF(OR($B419="",$AF419=""),"",IFERROR(VLOOKUP($AF419,'Application Portfolio'!$A$2:$AB$1000,28,FALSE()),""))</f>
        <v/>
      </c>
    </row>
    <row r="420" customFormat="false" ht="15.75" hidden="false" customHeight="true" outlineLevel="0" collapsed="false">
      <c r="A420" s="100"/>
      <c r="B420" s="101"/>
      <c r="C420" s="101"/>
      <c r="D420" s="101"/>
      <c r="E420" s="101"/>
      <c r="F420" s="102"/>
      <c r="G420" s="102"/>
      <c r="H420" s="102"/>
      <c r="I420" s="102"/>
      <c r="J420" s="102"/>
      <c r="K420" s="102"/>
      <c r="L420" s="103" t="str">
        <f aca="false">IF(OR($B420="", $H420="", $I420="", $J420="", $K420=""),"",ROUND((VLOOKUP($H420,Lists!$E$2:$F$5,2,FALSE())*VLOOKUP($I420,Lists!$H$2:$I$4,2,FALSE())*VLOOKUP($J420,Lists!$K$2:$L$4,2,FALSE()))/VLOOKUP($K420,Lists!$N$2:$O$6,2,FALSE()),2))</f>
        <v/>
      </c>
      <c r="M420" s="104" t="str">
        <f aca="false">IF($B420="","",IF($AC420&lt;&gt;"",$AC420,IF($H420="Critical","P0",IF(NOT(ISNUMBER($L420)),"",IF($L420&gt;=Lists!$AM$2,"P0",IF($L420&gt;=Lists!$AM$3,"P1",IF($L420&gt;=Lists!$AM$4,"P2","P3")))))))</f>
        <v/>
      </c>
      <c r="N420" s="102"/>
      <c r="O420" s="101"/>
      <c r="P420" s="102"/>
      <c r="Q420" s="105"/>
      <c r="R420" s="106" t="str">
        <f aca="true">IF($Q420="","", TODAY()-$Q420)</f>
        <v/>
      </c>
      <c r="S420" s="102"/>
      <c r="T420" s="105"/>
      <c r="U420" s="105"/>
      <c r="V420" s="101"/>
      <c r="W420" s="101"/>
      <c r="X420" s="101"/>
      <c r="Y420" s="96"/>
      <c r="Z420" s="96"/>
      <c r="AA420" s="96"/>
      <c r="AC420" s="102"/>
      <c r="AD420" s="107" t="str">
        <f aca="false">IF($B420="","",IF(ISNUMBER($T420),$T420,IF(OR(NOT(ISNUMBER($Q420)),$S420=""),"",IFERROR(IF(ISNUMBER(INDEX(Lists!$AJ$2:$AJ$7,MATCH($S420,Lists!$AI$2:$AI$7,0))),$Q420+INDEX(Lists!$AJ$2:$AJ$7,MATCH($S420,Lists!$AI$2:$AI$7,0)),""),""))))</f>
        <v/>
      </c>
      <c r="AE420" s="104" t="str">
        <f aca="true">IF($B420="","",IF(AND(ISNUMBER($AD420),N($AD420)&lt;TODAY(),$N420&lt;&gt;"Done",$N420&lt;&gt;"Won't Fix",$N420&lt;&gt;"Duplicate"),"Yes","No"))</f>
        <v/>
      </c>
      <c r="AF420" s="101"/>
      <c r="AG420" s="108" t="str">
        <f aca="false">IF($AF420="","",IFERROR(VLOOKUP($AF420,'Application Portfolio'!$A$2:$B$1000,2,FALSE()),"Unknown App ID"))</f>
        <v/>
      </c>
      <c r="AH420" s="108" t="str">
        <f aca="false">IF(OR($B420="",$AF420=""),"",IFERROR(VLOOKUP($AF420,'Application Portfolio'!$A$2:$AB$1000,28,FALSE()),""))</f>
        <v/>
      </c>
    </row>
    <row r="421" customFormat="false" ht="15.75" hidden="false" customHeight="true" outlineLevel="0" collapsed="false">
      <c r="A421" s="100"/>
      <c r="B421" s="101"/>
      <c r="C421" s="101"/>
      <c r="D421" s="101"/>
      <c r="E421" s="101"/>
      <c r="F421" s="102"/>
      <c r="G421" s="102"/>
      <c r="H421" s="102"/>
      <c r="I421" s="102"/>
      <c r="J421" s="102"/>
      <c r="K421" s="102"/>
      <c r="L421" s="103" t="str">
        <f aca="false">IF(OR($B421="", $H421="", $I421="", $J421="", $K421=""),"",ROUND((VLOOKUP($H421,Lists!$E$2:$F$5,2,FALSE())*VLOOKUP($I421,Lists!$H$2:$I$4,2,FALSE())*VLOOKUP($J421,Lists!$K$2:$L$4,2,FALSE()))/VLOOKUP($K421,Lists!$N$2:$O$6,2,FALSE()),2))</f>
        <v/>
      </c>
      <c r="M421" s="104" t="str">
        <f aca="false">IF($B421="","",IF($AC421&lt;&gt;"",$AC421,IF($H421="Critical","P0",IF(NOT(ISNUMBER($L421)),"",IF($L421&gt;=Lists!$AM$2,"P0",IF($L421&gt;=Lists!$AM$3,"P1",IF($L421&gt;=Lists!$AM$4,"P2","P3")))))))</f>
        <v/>
      </c>
      <c r="N421" s="102"/>
      <c r="O421" s="101"/>
      <c r="P421" s="102"/>
      <c r="Q421" s="105"/>
      <c r="R421" s="106" t="str">
        <f aca="true">IF($Q421="","", TODAY()-$Q421)</f>
        <v/>
      </c>
      <c r="S421" s="102"/>
      <c r="T421" s="105"/>
      <c r="U421" s="105"/>
      <c r="V421" s="101"/>
      <c r="W421" s="101"/>
      <c r="X421" s="101"/>
      <c r="Y421" s="96"/>
      <c r="Z421" s="96"/>
      <c r="AA421" s="96"/>
      <c r="AC421" s="102"/>
      <c r="AD421" s="107" t="str">
        <f aca="false">IF($B421="","",IF(ISNUMBER($T421),$T421,IF(OR(NOT(ISNUMBER($Q421)),$S421=""),"",IFERROR(IF(ISNUMBER(INDEX(Lists!$AJ$2:$AJ$7,MATCH($S421,Lists!$AI$2:$AI$7,0))),$Q421+INDEX(Lists!$AJ$2:$AJ$7,MATCH($S421,Lists!$AI$2:$AI$7,0)),""),""))))</f>
        <v/>
      </c>
      <c r="AE421" s="104" t="str">
        <f aca="true">IF($B421="","",IF(AND(ISNUMBER($AD421),N($AD421)&lt;TODAY(),$N421&lt;&gt;"Done",$N421&lt;&gt;"Won't Fix",$N421&lt;&gt;"Duplicate"),"Yes","No"))</f>
        <v/>
      </c>
      <c r="AF421" s="101"/>
      <c r="AG421" s="108" t="str">
        <f aca="false">IF($AF421="","",IFERROR(VLOOKUP($AF421,'Application Portfolio'!$A$2:$B$1000,2,FALSE()),"Unknown App ID"))</f>
        <v/>
      </c>
      <c r="AH421" s="108" t="str">
        <f aca="false">IF(OR($B421="",$AF421=""),"",IFERROR(VLOOKUP($AF421,'Application Portfolio'!$A$2:$AB$1000,28,FALSE()),""))</f>
        <v/>
      </c>
    </row>
    <row r="422" customFormat="false" ht="15.75" hidden="false" customHeight="true" outlineLevel="0" collapsed="false">
      <c r="A422" s="100"/>
      <c r="B422" s="101"/>
      <c r="C422" s="101"/>
      <c r="D422" s="101"/>
      <c r="E422" s="101"/>
      <c r="F422" s="102"/>
      <c r="G422" s="102"/>
      <c r="H422" s="102"/>
      <c r="I422" s="102"/>
      <c r="J422" s="102"/>
      <c r="K422" s="102"/>
      <c r="L422" s="103" t="str">
        <f aca="false">IF(OR($B422="", $H422="", $I422="", $J422="", $K422=""),"",ROUND((VLOOKUP($H422,Lists!$E$2:$F$5,2,FALSE())*VLOOKUP($I422,Lists!$H$2:$I$4,2,FALSE())*VLOOKUP($J422,Lists!$K$2:$L$4,2,FALSE()))/VLOOKUP($K422,Lists!$N$2:$O$6,2,FALSE()),2))</f>
        <v/>
      </c>
      <c r="M422" s="104" t="str">
        <f aca="false">IF($B422="","",IF($AC422&lt;&gt;"",$AC422,IF($H422="Critical","P0",IF(NOT(ISNUMBER($L422)),"",IF($L422&gt;=Lists!$AM$2,"P0",IF($L422&gt;=Lists!$AM$3,"P1",IF($L422&gt;=Lists!$AM$4,"P2","P3")))))))</f>
        <v/>
      </c>
      <c r="N422" s="102"/>
      <c r="O422" s="101"/>
      <c r="P422" s="102"/>
      <c r="Q422" s="105"/>
      <c r="R422" s="106" t="str">
        <f aca="true">IF($Q422="","", TODAY()-$Q422)</f>
        <v/>
      </c>
      <c r="S422" s="102"/>
      <c r="T422" s="105"/>
      <c r="U422" s="105"/>
      <c r="V422" s="101"/>
      <c r="W422" s="101"/>
      <c r="X422" s="101"/>
      <c r="Y422" s="96"/>
      <c r="Z422" s="96"/>
      <c r="AA422" s="96"/>
      <c r="AC422" s="102"/>
      <c r="AD422" s="107" t="str">
        <f aca="false">IF($B422="","",IF(ISNUMBER($T422),$T422,IF(OR(NOT(ISNUMBER($Q422)),$S422=""),"",IFERROR(IF(ISNUMBER(INDEX(Lists!$AJ$2:$AJ$7,MATCH($S422,Lists!$AI$2:$AI$7,0))),$Q422+INDEX(Lists!$AJ$2:$AJ$7,MATCH($S422,Lists!$AI$2:$AI$7,0)),""),""))))</f>
        <v/>
      </c>
      <c r="AE422" s="104" t="str">
        <f aca="true">IF($B422="","",IF(AND(ISNUMBER($AD422),N($AD422)&lt;TODAY(),$N422&lt;&gt;"Done",$N422&lt;&gt;"Won't Fix",$N422&lt;&gt;"Duplicate"),"Yes","No"))</f>
        <v/>
      </c>
      <c r="AF422" s="101"/>
      <c r="AG422" s="108" t="str">
        <f aca="false">IF($AF422="","",IFERROR(VLOOKUP($AF422,'Application Portfolio'!$A$2:$B$1000,2,FALSE()),"Unknown App ID"))</f>
        <v/>
      </c>
      <c r="AH422" s="108" t="str">
        <f aca="false">IF(OR($B422="",$AF422=""),"",IFERROR(VLOOKUP($AF422,'Application Portfolio'!$A$2:$AB$1000,28,FALSE()),""))</f>
        <v/>
      </c>
    </row>
    <row r="423" customFormat="false" ht="15.75" hidden="false" customHeight="true" outlineLevel="0" collapsed="false">
      <c r="A423" s="100"/>
      <c r="B423" s="101"/>
      <c r="C423" s="101"/>
      <c r="D423" s="101"/>
      <c r="E423" s="101"/>
      <c r="F423" s="102"/>
      <c r="G423" s="102"/>
      <c r="H423" s="102"/>
      <c r="I423" s="102"/>
      <c r="J423" s="102"/>
      <c r="K423" s="102"/>
      <c r="L423" s="103" t="str">
        <f aca="false">IF(OR($B423="", $H423="", $I423="", $J423="", $K423=""),"",ROUND((VLOOKUP($H423,Lists!$E$2:$F$5,2,FALSE())*VLOOKUP($I423,Lists!$H$2:$I$4,2,FALSE())*VLOOKUP($J423,Lists!$K$2:$L$4,2,FALSE()))/VLOOKUP($K423,Lists!$N$2:$O$6,2,FALSE()),2))</f>
        <v/>
      </c>
      <c r="M423" s="104" t="str">
        <f aca="false">IF($B423="","",IF($AC423&lt;&gt;"",$AC423,IF($H423="Critical","P0",IF(NOT(ISNUMBER($L423)),"",IF($L423&gt;=Lists!$AM$2,"P0",IF($L423&gt;=Lists!$AM$3,"P1",IF($L423&gt;=Lists!$AM$4,"P2","P3")))))))</f>
        <v/>
      </c>
      <c r="N423" s="102"/>
      <c r="O423" s="101"/>
      <c r="P423" s="102"/>
      <c r="Q423" s="105"/>
      <c r="R423" s="106" t="str">
        <f aca="true">IF($Q423="","", TODAY()-$Q423)</f>
        <v/>
      </c>
      <c r="S423" s="102"/>
      <c r="T423" s="105"/>
      <c r="U423" s="105"/>
      <c r="V423" s="101"/>
      <c r="W423" s="101"/>
      <c r="X423" s="101"/>
      <c r="Y423" s="96"/>
      <c r="Z423" s="96"/>
      <c r="AA423" s="96"/>
      <c r="AC423" s="102"/>
      <c r="AD423" s="107" t="str">
        <f aca="false">IF($B423="","",IF(ISNUMBER($T423),$T423,IF(OR(NOT(ISNUMBER($Q423)),$S423=""),"",IFERROR(IF(ISNUMBER(INDEX(Lists!$AJ$2:$AJ$7,MATCH($S423,Lists!$AI$2:$AI$7,0))),$Q423+INDEX(Lists!$AJ$2:$AJ$7,MATCH($S423,Lists!$AI$2:$AI$7,0)),""),""))))</f>
        <v/>
      </c>
      <c r="AE423" s="104" t="str">
        <f aca="true">IF($B423="","",IF(AND(ISNUMBER($AD423),N($AD423)&lt;TODAY(),$N423&lt;&gt;"Done",$N423&lt;&gt;"Won't Fix",$N423&lt;&gt;"Duplicate"),"Yes","No"))</f>
        <v/>
      </c>
      <c r="AF423" s="101"/>
      <c r="AG423" s="108" t="str">
        <f aca="false">IF($AF423="","",IFERROR(VLOOKUP($AF423,'Application Portfolio'!$A$2:$B$1000,2,FALSE()),"Unknown App ID"))</f>
        <v/>
      </c>
      <c r="AH423" s="108" t="str">
        <f aca="false">IF(OR($B423="",$AF423=""),"",IFERROR(VLOOKUP($AF423,'Application Portfolio'!$A$2:$AB$1000,28,FALSE()),""))</f>
        <v/>
      </c>
    </row>
    <row r="424" customFormat="false" ht="15.75" hidden="false" customHeight="true" outlineLevel="0" collapsed="false">
      <c r="A424" s="100"/>
      <c r="B424" s="101"/>
      <c r="C424" s="101"/>
      <c r="D424" s="101"/>
      <c r="E424" s="101"/>
      <c r="F424" s="102"/>
      <c r="G424" s="102"/>
      <c r="H424" s="102"/>
      <c r="I424" s="102"/>
      <c r="J424" s="102"/>
      <c r="K424" s="102"/>
      <c r="L424" s="103" t="str">
        <f aca="false">IF(OR($B424="", $H424="", $I424="", $J424="", $K424=""),"",ROUND((VLOOKUP($H424,Lists!$E$2:$F$5,2,FALSE())*VLOOKUP($I424,Lists!$H$2:$I$4,2,FALSE())*VLOOKUP($J424,Lists!$K$2:$L$4,2,FALSE()))/VLOOKUP($K424,Lists!$N$2:$O$6,2,FALSE()),2))</f>
        <v/>
      </c>
      <c r="M424" s="104" t="str">
        <f aca="false">IF($B424="","",IF($AC424&lt;&gt;"",$AC424,IF($H424="Critical","P0",IF(NOT(ISNUMBER($L424)),"",IF($L424&gt;=Lists!$AM$2,"P0",IF($L424&gt;=Lists!$AM$3,"P1",IF($L424&gt;=Lists!$AM$4,"P2","P3")))))))</f>
        <v/>
      </c>
      <c r="N424" s="102"/>
      <c r="O424" s="101"/>
      <c r="P424" s="102"/>
      <c r="Q424" s="105"/>
      <c r="R424" s="106" t="str">
        <f aca="true">IF($Q424="","", TODAY()-$Q424)</f>
        <v/>
      </c>
      <c r="S424" s="102"/>
      <c r="T424" s="105"/>
      <c r="U424" s="105"/>
      <c r="V424" s="101"/>
      <c r="W424" s="101"/>
      <c r="X424" s="101"/>
      <c r="Y424" s="96"/>
      <c r="Z424" s="96"/>
      <c r="AA424" s="96"/>
      <c r="AC424" s="102"/>
      <c r="AD424" s="107" t="str">
        <f aca="false">IF($B424="","",IF(ISNUMBER($T424),$T424,IF(OR(NOT(ISNUMBER($Q424)),$S424=""),"",IFERROR(IF(ISNUMBER(INDEX(Lists!$AJ$2:$AJ$7,MATCH($S424,Lists!$AI$2:$AI$7,0))),$Q424+INDEX(Lists!$AJ$2:$AJ$7,MATCH($S424,Lists!$AI$2:$AI$7,0)),""),""))))</f>
        <v/>
      </c>
      <c r="AE424" s="104" t="str">
        <f aca="true">IF($B424="","",IF(AND(ISNUMBER($AD424),N($AD424)&lt;TODAY(),$N424&lt;&gt;"Done",$N424&lt;&gt;"Won't Fix",$N424&lt;&gt;"Duplicate"),"Yes","No"))</f>
        <v/>
      </c>
      <c r="AF424" s="101"/>
      <c r="AG424" s="108" t="str">
        <f aca="false">IF($AF424="","",IFERROR(VLOOKUP($AF424,'Application Portfolio'!$A$2:$B$1000,2,FALSE()),"Unknown App ID"))</f>
        <v/>
      </c>
      <c r="AH424" s="108" t="str">
        <f aca="false">IF(OR($B424="",$AF424=""),"",IFERROR(VLOOKUP($AF424,'Application Portfolio'!$A$2:$AB$1000,28,FALSE()),""))</f>
        <v/>
      </c>
    </row>
    <row r="425" customFormat="false" ht="15.75" hidden="false" customHeight="true" outlineLevel="0" collapsed="false">
      <c r="A425" s="100"/>
      <c r="B425" s="101"/>
      <c r="C425" s="101"/>
      <c r="D425" s="101"/>
      <c r="E425" s="101"/>
      <c r="F425" s="102"/>
      <c r="G425" s="102"/>
      <c r="H425" s="102"/>
      <c r="I425" s="102"/>
      <c r="J425" s="102"/>
      <c r="K425" s="102"/>
      <c r="L425" s="103" t="str">
        <f aca="false">IF(OR($B425="", $H425="", $I425="", $J425="", $K425=""),"",ROUND((VLOOKUP($H425,Lists!$E$2:$F$5,2,FALSE())*VLOOKUP($I425,Lists!$H$2:$I$4,2,FALSE())*VLOOKUP($J425,Lists!$K$2:$L$4,2,FALSE()))/VLOOKUP($K425,Lists!$N$2:$O$6,2,FALSE()),2))</f>
        <v/>
      </c>
      <c r="M425" s="104" t="str">
        <f aca="false">IF($B425="","",IF($AC425&lt;&gt;"",$AC425,IF($H425="Critical","P0",IF(NOT(ISNUMBER($L425)),"",IF($L425&gt;=Lists!$AM$2,"P0",IF($L425&gt;=Lists!$AM$3,"P1",IF($L425&gt;=Lists!$AM$4,"P2","P3")))))))</f>
        <v/>
      </c>
      <c r="N425" s="102"/>
      <c r="O425" s="101"/>
      <c r="P425" s="102"/>
      <c r="Q425" s="105"/>
      <c r="R425" s="106" t="str">
        <f aca="true">IF($Q425="","", TODAY()-$Q425)</f>
        <v/>
      </c>
      <c r="S425" s="102"/>
      <c r="T425" s="105"/>
      <c r="U425" s="105"/>
      <c r="V425" s="101"/>
      <c r="W425" s="101"/>
      <c r="X425" s="101"/>
      <c r="Y425" s="96"/>
      <c r="Z425" s="96"/>
      <c r="AA425" s="96"/>
      <c r="AC425" s="102"/>
      <c r="AD425" s="107" t="str">
        <f aca="false">IF($B425="","",IF(ISNUMBER($T425),$T425,IF(OR(NOT(ISNUMBER($Q425)),$S425=""),"",IFERROR(IF(ISNUMBER(INDEX(Lists!$AJ$2:$AJ$7,MATCH($S425,Lists!$AI$2:$AI$7,0))),$Q425+INDEX(Lists!$AJ$2:$AJ$7,MATCH($S425,Lists!$AI$2:$AI$7,0)),""),""))))</f>
        <v/>
      </c>
      <c r="AE425" s="104" t="str">
        <f aca="true">IF($B425="","",IF(AND(ISNUMBER($AD425),N($AD425)&lt;TODAY(),$N425&lt;&gt;"Done",$N425&lt;&gt;"Won't Fix",$N425&lt;&gt;"Duplicate"),"Yes","No"))</f>
        <v/>
      </c>
      <c r="AF425" s="101"/>
      <c r="AG425" s="108" t="str">
        <f aca="false">IF($AF425="","",IFERROR(VLOOKUP($AF425,'Application Portfolio'!$A$2:$B$1000,2,FALSE()),"Unknown App ID"))</f>
        <v/>
      </c>
      <c r="AH425" s="108" t="str">
        <f aca="false">IF(OR($B425="",$AF425=""),"",IFERROR(VLOOKUP($AF425,'Application Portfolio'!$A$2:$AB$1000,28,FALSE()),""))</f>
        <v/>
      </c>
    </row>
    <row r="426" customFormat="false" ht="15.75" hidden="false" customHeight="true" outlineLevel="0" collapsed="false">
      <c r="A426" s="100"/>
      <c r="B426" s="101"/>
      <c r="C426" s="101"/>
      <c r="D426" s="101"/>
      <c r="E426" s="101"/>
      <c r="F426" s="102"/>
      <c r="G426" s="102"/>
      <c r="H426" s="102"/>
      <c r="I426" s="102"/>
      <c r="J426" s="102"/>
      <c r="K426" s="102"/>
      <c r="L426" s="103" t="str">
        <f aca="false">IF(OR($B426="", $H426="", $I426="", $J426="", $K426=""),"",ROUND((VLOOKUP($H426,Lists!$E$2:$F$5,2,FALSE())*VLOOKUP($I426,Lists!$H$2:$I$4,2,FALSE())*VLOOKUP($J426,Lists!$K$2:$L$4,2,FALSE()))/VLOOKUP($K426,Lists!$N$2:$O$6,2,FALSE()),2))</f>
        <v/>
      </c>
      <c r="M426" s="104" t="str">
        <f aca="false">IF($B426="","",IF($AC426&lt;&gt;"",$AC426,IF($H426="Critical","P0",IF(NOT(ISNUMBER($L426)),"",IF($L426&gt;=Lists!$AM$2,"P0",IF($L426&gt;=Lists!$AM$3,"P1",IF($L426&gt;=Lists!$AM$4,"P2","P3")))))))</f>
        <v/>
      </c>
      <c r="N426" s="102"/>
      <c r="O426" s="101"/>
      <c r="P426" s="102"/>
      <c r="Q426" s="105"/>
      <c r="R426" s="106" t="str">
        <f aca="true">IF($Q426="","", TODAY()-$Q426)</f>
        <v/>
      </c>
      <c r="S426" s="102"/>
      <c r="T426" s="105"/>
      <c r="U426" s="105"/>
      <c r="V426" s="101"/>
      <c r="W426" s="101"/>
      <c r="X426" s="101"/>
      <c r="Y426" s="96"/>
      <c r="Z426" s="96"/>
      <c r="AA426" s="96"/>
      <c r="AC426" s="102"/>
      <c r="AD426" s="107" t="str">
        <f aca="false">IF($B426="","",IF(ISNUMBER($T426),$T426,IF(OR(NOT(ISNUMBER($Q426)),$S426=""),"",IFERROR(IF(ISNUMBER(INDEX(Lists!$AJ$2:$AJ$7,MATCH($S426,Lists!$AI$2:$AI$7,0))),$Q426+INDEX(Lists!$AJ$2:$AJ$7,MATCH($S426,Lists!$AI$2:$AI$7,0)),""),""))))</f>
        <v/>
      </c>
      <c r="AE426" s="104" t="str">
        <f aca="true">IF($B426="","",IF(AND(ISNUMBER($AD426),N($AD426)&lt;TODAY(),$N426&lt;&gt;"Done",$N426&lt;&gt;"Won't Fix",$N426&lt;&gt;"Duplicate"),"Yes","No"))</f>
        <v/>
      </c>
      <c r="AF426" s="101"/>
      <c r="AG426" s="108" t="str">
        <f aca="false">IF($AF426="","",IFERROR(VLOOKUP($AF426,'Application Portfolio'!$A$2:$B$1000,2,FALSE()),"Unknown App ID"))</f>
        <v/>
      </c>
      <c r="AH426" s="108" t="str">
        <f aca="false">IF(OR($B426="",$AF426=""),"",IFERROR(VLOOKUP($AF426,'Application Portfolio'!$A$2:$AB$1000,28,FALSE()),""))</f>
        <v/>
      </c>
    </row>
    <row r="427" customFormat="false" ht="15.75" hidden="false" customHeight="true" outlineLevel="0" collapsed="false">
      <c r="A427" s="100"/>
      <c r="B427" s="101"/>
      <c r="C427" s="101"/>
      <c r="D427" s="101"/>
      <c r="E427" s="101"/>
      <c r="F427" s="102"/>
      <c r="G427" s="102"/>
      <c r="H427" s="102"/>
      <c r="I427" s="102"/>
      <c r="J427" s="102"/>
      <c r="K427" s="102"/>
      <c r="L427" s="103" t="str">
        <f aca="false">IF(OR($B427="", $H427="", $I427="", $J427="", $K427=""),"",ROUND((VLOOKUP($H427,Lists!$E$2:$F$5,2,FALSE())*VLOOKUP($I427,Lists!$H$2:$I$4,2,FALSE())*VLOOKUP($J427,Lists!$K$2:$L$4,2,FALSE()))/VLOOKUP($K427,Lists!$N$2:$O$6,2,FALSE()),2))</f>
        <v/>
      </c>
      <c r="M427" s="104" t="str">
        <f aca="false">IF($B427="","",IF($AC427&lt;&gt;"",$AC427,IF($H427="Critical","P0",IF(NOT(ISNUMBER($L427)),"",IF($L427&gt;=Lists!$AM$2,"P0",IF($L427&gt;=Lists!$AM$3,"P1",IF($L427&gt;=Lists!$AM$4,"P2","P3")))))))</f>
        <v/>
      </c>
      <c r="N427" s="102"/>
      <c r="O427" s="101"/>
      <c r="P427" s="102"/>
      <c r="Q427" s="105"/>
      <c r="R427" s="106" t="str">
        <f aca="true">IF($Q427="","", TODAY()-$Q427)</f>
        <v/>
      </c>
      <c r="S427" s="102"/>
      <c r="T427" s="105"/>
      <c r="U427" s="105"/>
      <c r="V427" s="101"/>
      <c r="W427" s="101"/>
      <c r="X427" s="101"/>
      <c r="Y427" s="96"/>
      <c r="Z427" s="96"/>
      <c r="AA427" s="96"/>
      <c r="AC427" s="102"/>
      <c r="AD427" s="107" t="str">
        <f aca="false">IF($B427="","",IF(ISNUMBER($T427),$T427,IF(OR(NOT(ISNUMBER($Q427)),$S427=""),"",IFERROR(IF(ISNUMBER(INDEX(Lists!$AJ$2:$AJ$7,MATCH($S427,Lists!$AI$2:$AI$7,0))),$Q427+INDEX(Lists!$AJ$2:$AJ$7,MATCH($S427,Lists!$AI$2:$AI$7,0)),""),""))))</f>
        <v/>
      </c>
      <c r="AE427" s="104" t="str">
        <f aca="true">IF($B427="","",IF(AND(ISNUMBER($AD427),N($AD427)&lt;TODAY(),$N427&lt;&gt;"Done",$N427&lt;&gt;"Won't Fix",$N427&lt;&gt;"Duplicate"),"Yes","No"))</f>
        <v/>
      </c>
      <c r="AF427" s="101"/>
      <c r="AG427" s="108" t="str">
        <f aca="false">IF($AF427="","",IFERROR(VLOOKUP($AF427,'Application Portfolio'!$A$2:$B$1000,2,FALSE()),"Unknown App ID"))</f>
        <v/>
      </c>
      <c r="AH427" s="108" t="str">
        <f aca="false">IF(OR($B427="",$AF427=""),"",IFERROR(VLOOKUP($AF427,'Application Portfolio'!$A$2:$AB$1000,28,FALSE()),""))</f>
        <v/>
      </c>
    </row>
    <row r="428" customFormat="false" ht="15.75" hidden="false" customHeight="true" outlineLevel="0" collapsed="false">
      <c r="A428" s="100"/>
      <c r="B428" s="101"/>
      <c r="C428" s="101"/>
      <c r="D428" s="101"/>
      <c r="E428" s="101"/>
      <c r="F428" s="102"/>
      <c r="G428" s="102"/>
      <c r="H428" s="102"/>
      <c r="I428" s="102"/>
      <c r="J428" s="102"/>
      <c r="K428" s="102"/>
      <c r="L428" s="103" t="str">
        <f aca="false">IF(OR($B428="", $H428="", $I428="", $J428="", $K428=""),"",ROUND((VLOOKUP($H428,Lists!$E$2:$F$5,2,FALSE())*VLOOKUP($I428,Lists!$H$2:$I$4,2,FALSE())*VLOOKUP($J428,Lists!$K$2:$L$4,2,FALSE()))/VLOOKUP($K428,Lists!$N$2:$O$6,2,FALSE()),2))</f>
        <v/>
      </c>
      <c r="M428" s="104" t="str">
        <f aca="false">IF($B428="","",IF($AC428&lt;&gt;"",$AC428,IF($H428="Critical","P0",IF(NOT(ISNUMBER($L428)),"",IF($L428&gt;=Lists!$AM$2,"P0",IF($L428&gt;=Lists!$AM$3,"P1",IF($L428&gt;=Lists!$AM$4,"P2","P3")))))))</f>
        <v/>
      </c>
      <c r="N428" s="102"/>
      <c r="O428" s="101"/>
      <c r="P428" s="102"/>
      <c r="Q428" s="105"/>
      <c r="R428" s="106" t="str">
        <f aca="true">IF($Q428="","", TODAY()-$Q428)</f>
        <v/>
      </c>
      <c r="S428" s="102"/>
      <c r="T428" s="105"/>
      <c r="U428" s="105"/>
      <c r="V428" s="101"/>
      <c r="W428" s="101"/>
      <c r="X428" s="101"/>
      <c r="Y428" s="96"/>
      <c r="Z428" s="96"/>
      <c r="AA428" s="96"/>
      <c r="AC428" s="102"/>
      <c r="AD428" s="107" t="str">
        <f aca="false">IF($B428="","",IF(ISNUMBER($T428),$T428,IF(OR(NOT(ISNUMBER($Q428)),$S428=""),"",IFERROR(IF(ISNUMBER(INDEX(Lists!$AJ$2:$AJ$7,MATCH($S428,Lists!$AI$2:$AI$7,0))),$Q428+INDEX(Lists!$AJ$2:$AJ$7,MATCH($S428,Lists!$AI$2:$AI$7,0)),""),""))))</f>
        <v/>
      </c>
      <c r="AE428" s="104" t="str">
        <f aca="true">IF($B428="","",IF(AND(ISNUMBER($AD428),N($AD428)&lt;TODAY(),$N428&lt;&gt;"Done",$N428&lt;&gt;"Won't Fix",$N428&lt;&gt;"Duplicate"),"Yes","No"))</f>
        <v/>
      </c>
      <c r="AF428" s="101"/>
      <c r="AG428" s="108" t="str">
        <f aca="false">IF($AF428="","",IFERROR(VLOOKUP($AF428,'Application Portfolio'!$A$2:$B$1000,2,FALSE()),"Unknown App ID"))</f>
        <v/>
      </c>
      <c r="AH428" s="108" t="str">
        <f aca="false">IF(OR($B428="",$AF428=""),"",IFERROR(VLOOKUP($AF428,'Application Portfolio'!$A$2:$AB$1000,28,FALSE()),""))</f>
        <v/>
      </c>
    </row>
    <row r="429" customFormat="false" ht="15.75" hidden="false" customHeight="true" outlineLevel="0" collapsed="false">
      <c r="A429" s="100"/>
      <c r="B429" s="101"/>
      <c r="C429" s="101"/>
      <c r="D429" s="101"/>
      <c r="E429" s="101"/>
      <c r="F429" s="102"/>
      <c r="G429" s="102"/>
      <c r="H429" s="102"/>
      <c r="I429" s="102"/>
      <c r="J429" s="102"/>
      <c r="K429" s="102"/>
      <c r="L429" s="103" t="str">
        <f aca="false">IF(OR($B429="", $H429="", $I429="", $J429="", $K429=""),"",ROUND((VLOOKUP($H429,Lists!$E$2:$F$5,2,FALSE())*VLOOKUP($I429,Lists!$H$2:$I$4,2,FALSE())*VLOOKUP($J429,Lists!$K$2:$L$4,2,FALSE()))/VLOOKUP($K429,Lists!$N$2:$O$6,2,FALSE()),2))</f>
        <v/>
      </c>
      <c r="M429" s="104" t="str">
        <f aca="false">IF($B429="","",IF($AC429&lt;&gt;"",$AC429,IF($H429="Critical","P0",IF(NOT(ISNUMBER($L429)),"",IF($L429&gt;=Lists!$AM$2,"P0",IF($L429&gt;=Lists!$AM$3,"P1",IF($L429&gt;=Lists!$AM$4,"P2","P3")))))))</f>
        <v/>
      </c>
      <c r="N429" s="102"/>
      <c r="O429" s="101"/>
      <c r="P429" s="102"/>
      <c r="Q429" s="105"/>
      <c r="R429" s="106" t="str">
        <f aca="true">IF($Q429="","", TODAY()-$Q429)</f>
        <v/>
      </c>
      <c r="S429" s="102"/>
      <c r="T429" s="105"/>
      <c r="U429" s="105"/>
      <c r="V429" s="101"/>
      <c r="W429" s="101"/>
      <c r="X429" s="101"/>
      <c r="Y429" s="96"/>
      <c r="Z429" s="96"/>
      <c r="AA429" s="96"/>
      <c r="AC429" s="102"/>
      <c r="AD429" s="107" t="str">
        <f aca="false">IF($B429="","",IF(ISNUMBER($T429),$T429,IF(OR(NOT(ISNUMBER($Q429)),$S429=""),"",IFERROR(IF(ISNUMBER(INDEX(Lists!$AJ$2:$AJ$7,MATCH($S429,Lists!$AI$2:$AI$7,0))),$Q429+INDEX(Lists!$AJ$2:$AJ$7,MATCH($S429,Lists!$AI$2:$AI$7,0)),""),""))))</f>
        <v/>
      </c>
      <c r="AE429" s="104" t="str">
        <f aca="true">IF($B429="","",IF(AND(ISNUMBER($AD429),N($AD429)&lt;TODAY(),$N429&lt;&gt;"Done",$N429&lt;&gt;"Won't Fix",$N429&lt;&gt;"Duplicate"),"Yes","No"))</f>
        <v/>
      </c>
      <c r="AF429" s="101"/>
      <c r="AG429" s="108" t="str">
        <f aca="false">IF($AF429="","",IFERROR(VLOOKUP($AF429,'Application Portfolio'!$A$2:$B$1000,2,FALSE()),"Unknown App ID"))</f>
        <v/>
      </c>
      <c r="AH429" s="108" t="str">
        <f aca="false">IF(OR($B429="",$AF429=""),"",IFERROR(VLOOKUP($AF429,'Application Portfolio'!$A$2:$AB$1000,28,FALSE()),""))</f>
        <v/>
      </c>
    </row>
    <row r="430" customFormat="false" ht="15.75" hidden="false" customHeight="true" outlineLevel="0" collapsed="false">
      <c r="A430" s="100"/>
      <c r="B430" s="101"/>
      <c r="C430" s="101"/>
      <c r="D430" s="101"/>
      <c r="E430" s="101"/>
      <c r="F430" s="102"/>
      <c r="G430" s="102"/>
      <c r="H430" s="102"/>
      <c r="I430" s="102"/>
      <c r="J430" s="102"/>
      <c r="K430" s="102"/>
      <c r="L430" s="103" t="str">
        <f aca="false">IF(OR($B430="", $H430="", $I430="", $J430="", $K430=""),"",ROUND((VLOOKUP($H430,Lists!$E$2:$F$5,2,FALSE())*VLOOKUP($I430,Lists!$H$2:$I$4,2,FALSE())*VLOOKUP($J430,Lists!$K$2:$L$4,2,FALSE()))/VLOOKUP($K430,Lists!$N$2:$O$6,2,FALSE()),2))</f>
        <v/>
      </c>
      <c r="M430" s="104" t="str">
        <f aca="false">IF($B430="","",IF($AC430&lt;&gt;"",$AC430,IF($H430="Critical","P0",IF(NOT(ISNUMBER($L430)),"",IF($L430&gt;=Lists!$AM$2,"P0",IF($L430&gt;=Lists!$AM$3,"P1",IF($L430&gt;=Lists!$AM$4,"P2","P3")))))))</f>
        <v/>
      </c>
      <c r="N430" s="102"/>
      <c r="O430" s="101"/>
      <c r="P430" s="102"/>
      <c r="Q430" s="105"/>
      <c r="R430" s="106" t="str">
        <f aca="true">IF($Q430="","", TODAY()-$Q430)</f>
        <v/>
      </c>
      <c r="S430" s="102"/>
      <c r="T430" s="105"/>
      <c r="U430" s="105"/>
      <c r="V430" s="101"/>
      <c r="W430" s="101"/>
      <c r="X430" s="101"/>
      <c r="Y430" s="96"/>
      <c r="Z430" s="96"/>
      <c r="AA430" s="96"/>
      <c r="AC430" s="102"/>
      <c r="AD430" s="107" t="str">
        <f aca="false">IF($B430="","",IF(ISNUMBER($T430),$T430,IF(OR(NOT(ISNUMBER($Q430)),$S430=""),"",IFERROR(IF(ISNUMBER(INDEX(Lists!$AJ$2:$AJ$7,MATCH($S430,Lists!$AI$2:$AI$7,0))),$Q430+INDEX(Lists!$AJ$2:$AJ$7,MATCH($S430,Lists!$AI$2:$AI$7,0)),""),""))))</f>
        <v/>
      </c>
      <c r="AE430" s="104" t="str">
        <f aca="true">IF($B430="","",IF(AND(ISNUMBER($AD430),N($AD430)&lt;TODAY(),$N430&lt;&gt;"Done",$N430&lt;&gt;"Won't Fix",$N430&lt;&gt;"Duplicate"),"Yes","No"))</f>
        <v/>
      </c>
      <c r="AF430" s="101"/>
      <c r="AG430" s="108" t="str">
        <f aca="false">IF($AF430="","",IFERROR(VLOOKUP($AF430,'Application Portfolio'!$A$2:$B$1000,2,FALSE()),"Unknown App ID"))</f>
        <v/>
      </c>
      <c r="AH430" s="108" t="str">
        <f aca="false">IF(OR($B430="",$AF430=""),"",IFERROR(VLOOKUP($AF430,'Application Portfolio'!$A$2:$AB$1000,28,FALSE()),""))</f>
        <v/>
      </c>
    </row>
    <row r="431" customFormat="false" ht="15.75" hidden="false" customHeight="true" outlineLevel="0" collapsed="false">
      <c r="A431" s="100"/>
      <c r="B431" s="101"/>
      <c r="C431" s="101"/>
      <c r="D431" s="101"/>
      <c r="E431" s="101"/>
      <c r="F431" s="102"/>
      <c r="G431" s="102"/>
      <c r="H431" s="102"/>
      <c r="I431" s="102"/>
      <c r="J431" s="102"/>
      <c r="K431" s="102"/>
      <c r="L431" s="103" t="str">
        <f aca="false">IF(OR($B431="", $H431="", $I431="", $J431="", $K431=""),"",ROUND((VLOOKUP($H431,Lists!$E$2:$F$5,2,FALSE())*VLOOKUP($I431,Lists!$H$2:$I$4,2,FALSE())*VLOOKUP($J431,Lists!$K$2:$L$4,2,FALSE()))/VLOOKUP($K431,Lists!$N$2:$O$6,2,FALSE()),2))</f>
        <v/>
      </c>
      <c r="M431" s="104" t="str">
        <f aca="false">IF($B431="","",IF($AC431&lt;&gt;"",$AC431,IF($H431="Critical","P0",IF(NOT(ISNUMBER($L431)),"",IF($L431&gt;=Lists!$AM$2,"P0",IF($L431&gt;=Lists!$AM$3,"P1",IF($L431&gt;=Lists!$AM$4,"P2","P3")))))))</f>
        <v/>
      </c>
      <c r="N431" s="102"/>
      <c r="O431" s="101"/>
      <c r="P431" s="102"/>
      <c r="Q431" s="105"/>
      <c r="R431" s="106" t="str">
        <f aca="true">IF($Q431="","", TODAY()-$Q431)</f>
        <v/>
      </c>
      <c r="S431" s="102"/>
      <c r="T431" s="105"/>
      <c r="U431" s="105"/>
      <c r="V431" s="101"/>
      <c r="W431" s="101"/>
      <c r="X431" s="101"/>
      <c r="Y431" s="96"/>
      <c r="Z431" s="96"/>
      <c r="AA431" s="96"/>
      <c r="AC431" s="102"/>
      <c r="AD431" s="107" t="str">
        <f aca="false">IF($B431="","",IF(ISNUMBER($T431),$T431,IF(OR(NOT(ISNUMBER($Q431)),$S431=""),"",IFERROR(IF(ISNUMBER(INDEX(Lists!$AJ$2:$AJ$7,MATCH($S431,Lists!$AI$2:$AI$7,0))),$Q431+INDEX(Lists!$AJ$2:$AJ$7,MATCH($S431,Lists!$AI$2:$AI$7,0)),""),""))))</f>
        <v/>
      </c>
      <c r="AE431" s="104" t="str">
        <f aca="true">IF($B431="","",IF(AND(ISNUMBER($AD431),N($AD431)&lt;TODAY(),$N431&lt;&gt;"Done",$N431&lt;&gt;"Won't Fix",$N431&lt;&gt;"Duplicate"),"Yes","No"))</f>
        <v/>
      </c>
      <c r="AF431" s="101"/>
      <c r="AG431" s="108" t="str">
        <f aca="false">IF($AF431="","",IFERROR(VLOOKUP($AF431,'Application Portfolio'!$A$2:$B$1000,2,FALSE()),"Unknown App ID"))</f>
        <v/>
      </c>
      <c r="AH431" s="108" t="str">
        <f aca="false">IF(OR($B431="",$AF431=""),"",IFERROR(VLOOKUP($AF431,'Application Portfolio'!$A$2:$AB$1000,28,FALSE()),""))</f>
        <v/>
      </c>
    </row>
    <row r="432" customFormat="false" ht="15.75" hidden="false" customHeight="true" outlineLevel="0" collapsed="false">
      <c r="A432" s="100"/>
      <c r="B432" s="101"/>
      <c r="C432" s="101"/>
      <c r="D432" s="101"/>
      <c r="E432" s="101"/>
      <c r="F432" s="102"/>
      <c r="G432" s="102"/>
      <c r="H432" s="102"/>
      <c r="I432" s="102"/>
      <c r="J432" s="102"/>
      <c r="K432" s="102"/>
      <c r="L432" s="103" t="str">
        <f aca="false">IF(OR($B432="", $H432="", $I432="", $J432="", $K432=""),"",ROUND((VLOOKUP($H432,Lists!$E$2:$F$5,2,FALSE())*VLOOKUP($I432,Lists!$H$2:$I$4,2,FALSE())*VLOOKUP($J432,Lists!$K$2:$L$4,2,FALSE()))/VLOOKUP($K432,Lists!$N$2:$O$6,2,FALSE()),2))</f>
        <v/>
      </c>
      <c r="M432" s="104" t="str">
        <f aca="false">IF($B432="","",IF($AC432&lt;&gt;"",$AC432,IF($H432="Critical","P0",IF(NOT(ISNUMBER($L432)),"",IF($L432&gt;=Lists!$AM$2,"P0",IF($L432&gt;=Lists!$AM$3,"P1",IF($L432&gt;=Lists!$AM$4,"P2","P3")))))))</f>
        <v/>
      </c>
      <c r="N432" s="102"/>
      <c r="O432" s="101"/>
      <c r="P432" s="102"/>
      <c r="Q432" s="105"/>
      <c r="R432" s="106" t="str">
        <f aca="true">IF($Q432="","", TODAY()-$Q432)</f>
        <v/>
      </c>
      <c r="S432" s="102"/>
      <c r="T432" s="105"/>
      <c r="U432" s="105"/>
      <c r="V432" s="101"/>
      <c r="W432" s="101"/>
      <c r="X432" s="101"/>
      <c r="Y432" s="96"/>
      <c r="Z432" s="96"/>
      <c r="AA432" s="96"/>
      <c r="AC432" s="102"/>
      <c r="AD432" s="107" t="str">
        <f aca="false">IF($B432="","",IF(ISNUMBER($T432),$T432,IF(OR(NOT(ISNUMBER($Q432)),$S432=""),"",IFERROR(IF(ISNUMBER(INDEX(Lists!$AJ$2:$AJ$7,MATCH($S432,Lists!$AI$2:$AI$7,0))),$Q432+INDEX(Lists!$AJ$2:$AJ$7,MATCH($S432,Lists!$AI$2:$AI$7,0)),""),""))))</f>
        <v/>
      </c>
      <c r="AE432" s="104" t="str">
        <f aca="true">IF($B432="","",IF(AND(ISNUMBER($AD432),N($AD432)&lt;TODAY(),$N432&lt;&gt;"Done",$N432&lt;&gt;"Won't Fix",$N432&lt;&gt;"Duplicate"),"Yes","No"))</f>
        <v/>
      </c>
      <c r="AF432" s="101"/>
      <c r="AG432" s="108" t="str">
        <f aca="false">IF($AF432="","",IFERROR(VLOOKUP($AF432,'Application Portfolio'!$A$2:$B$1000,2,FALSE()),"Unknown App ID"))</f>
        <v/>
      </c>
      <c r="AH432" s="108" t="str">
        <f aca="false">IF(OR($B432="",$AF432=""),"",IFERROR(VLOOKUP($AF432,'Application Portfolio'!$A$2:$AB$1000,28,FALSE()),""))</f>
        <v/>
      </c>
    </row>
    <row r="433" customFormat="false" ht="15.75" hidden="false" customHeight="true" outlineLevel="0" collapsed="false">
      <c r="A433" s="100"/>
      <c r="B433" s="101"/>
      <c r="C433" s="101"/>
      <c r="D433" s="101"/>
      <c r="E433" s="101"/>
      <c r="F433" s="102"/>
      <c r="G433" s="102"/>
      <c r="H433" s="102"/>
      <c r="I433" s="102"/>
      <c r="J433" s="102"/>
      <c r="K433" s="102"/>
      <c r="L433" s="103" t="str">
        <f aca="false">IF(OR($B433="", $H433="", $I433="", $J433="", $K433=""),"",ROUND((VLOOKUP($H433,Lists!$E$2:$F$5,2,FALSE())*VLOOKUP($I433,Lists!$H$2:$I$4,2,FALSE())*VLOOKUP($J433,Lists!$K$2:$L$4,2,FALSE()))/VLOOKUP($K433,Lists!$N$2:$O$6,2,FALSE()),2))</f>
        <v/>
      </c>
      <c r="M433" s="104" t="str">
        <f aca="false">IF($B433="","",IF($AC433&lt;&gt;"",$AC433,IF($H433="Critical","P0",IF(NOT(ISNUMBER($L433)),"",IF($L433&gt;=Lists!$AM$2,"P0",IF($L433&gt;=Lists!$AM$3,"P1",IF($L433&gt;=Lists!$AM$4,"P2","P3")))))))</f>
        <v/>
      </c>
      <c r="N433" s="102"/>
      <c r="O433" s="101"/>
      <c r="P433" s="102"/>
      <c r="Q433" s="105"/>
      <c r="R433" s="106" t="str">
        <f aca="true">IF($Q433="","", TODAY()-$Q433)</f>
        <v/>
      </c>
      <c r="S433" s="102"/>
      <c r="T433" s="105"/>
      <c r="U433" s="105"/>
      <c r="V433" s="101"/>
      <c r="W433" s="101"/>
      <c r="X433" s="101"/>
      <c r="Y433" s="96"/>
      <c r="Z433" s="96"/>
      <c r="AA433" s="96"/>
      <c r="AC433" s="102"/>
      <c r="AD433" s="107" t="str">
        <f aca="false">IF($B433="","",IF(ISNUMBER($T433),$T433,IF(OR(NOT(ISNUMBER($Q433)),$S433=""),"",IFERROR(IF(ISNUMBER(INDEX(Lists!$AJ$2:$AJ$7,MATCH($S433,Lists!$AI$2:$AI$7,0))),$Q433+INDEX(Lists!$AJ$2:$AJ$7,MATCH($S433,Lists!$AI$2:$AI$7,0)),""),""))))</f>
        <v/>
      </c>
      <c r="AE433" s="104" t="str">
        <f aca="true">IF($B433="","",IF(AND(ISNUMBER($AD433),N($AD433)&lt;TODAY(),$N433&lt;&gt;"Done",$N433&lt;&gt;"Won't Fix",$N433&lt;&gt;"Duplicate"),"Yes","No"))</f>
        <v/>
      </c>
      <c r="AF433" s="101"/>
      <c r="AG433" s="108" t="str">
        <f aca="false">IF($AF433="","",IFERROR(VLOOKUP($AF433,'Application Portfolio'!$A$2:$B$1000,2,FALSE()),"Unknown App ID"))</f>
        <v/>
      </c>
      <c r="AH433" s="108" t="str">
        <f aca="false">IF(OR($B433="",$AF433=""),"",IFERROR(VLOOKUP($AF433,'Application Portfolio'!$A$2:$AB$1000,28,FALSE()),""))</f>
        <v/>
      </c>
    </row>
    <row r="434" customFormat="false" ht="15.75" hidden="false" customHeight="true" outlineLevel="0" collapsed="false">
      <c r="A434" s="100"/>
      <c r="B434" s="101"/>
      <c r="C434" s="101"/>
      <c r="D434" s="101"/>
      <c r="E434" s="101"/>
      <c r="F434" s="102"/>
      <c r="G434" s="102"/>
      <c r="H434" s="102"/>
      <c r="I434" s="102"/>
      <c r="J434" s="102"/>
      <c r="K434" s="102"/>
      <c r="L434" s="103" t="str">
        <f aca="false">IF(OR($B434="", $H434="", $I434="", $J434="", $K434=""),"",ROUND((VLOOKUP($H434,Lists!$E$2:$F$5,2,FALSE())*VLOOKUP($I434,Lists!$H$2:$I$4,2,FALSE())*VLOOKUP($J434,Lists!$K$2:$L$4,2,FALSE()))/VLOOKUP($K434,Lists!$N$2:$O$6,2,FALSE()),2))</f>
        <v/>
      </c>
      <c r="M434" s="104" t="str">
        <f aca="false">IF($B434="","",IF($AC434&lt;&gt;"",$AC434,IF($H434="Critical","P0",IF(NOT(ISNUMBER($L434)),"",IF($L434&gt;=Lists!$AM$2,"P0",IF($L434&gt;=Lists!$AM$3,"P1",IF($L434&gt;=Lists!$AM$4,"P2","P3")))))))</f>
        <v/>
      </c>
      <c r="N434" s="102"/>
      <c r="O434" s="101"/>
      <c r="P434" s="102"/>
      <c r="Q434" s="105"/>
      <c r="R434" s="106" t="str">
        <f aca="true">IF($Q434="","", TODAY()-$Q434)</f>
        <v/>
      </c>
      <c r="S434" s="102"/>
      <c r="T434" s="105"/>
      <c r="U434" s="105"/>
      <c r="V434" s="101"/>
      <c r="W434" s="101"/>
      <c r="X434" s="101"/>
      <c r="Y434" s="96"/>
      <c r="Z434" s="96"/>
      <c r="AA434" s="96"/>
      <c r="AC434" s="102"/>
      <c r="AD434" s="107" t="str">
        <f aca="false">IF($B434="","",IF(ISNUMBER($T434),$T434,IF(OR(NOT(ISNUMBER($Q434)),$S434=""),"",IFERROR(IF(ISNUMBER(INDEX(Lists!$AJ$2:$AJ$7,MATCH($S434,Lists!$AI$2:$AI$7,0))),$Q434+INDEX(Lists!$AJ$2:$AJ$7,MATCH($S434,Lists!$AI$2:$AI$7,0)),""),""))))</f>
        <v/>
      </c>
      <c r="AE434" s="104" t="str">
        <f aca="true">IF($B434="","",IF(AND(ISNUMBER($AD434),N($AD434)&lt;TODAY(),$N434&lt;&gt;"Done",$N434&lt;&gt;"Won't Fix",$N434&lt;&gt;"Duplicate"),"Yes","No"))</f>
        <v/>
      </c>
      <c r="AF434" s="101"/>
      <c r="AG434" s="108" t="str">
        <f aca="false">IF($AF434="","",IFERROR(VLOOKUP($AF434,'Application Portfolio'!$A$2:$B$1000,2,FALSE()),"Unknown App ID"))</f>
        <v/>
      </c>
      <c r="AH434" s="108" t="str">
        <f aca="false">IF(OR($B434="",$AF434=""),"",IFERROR(VLOOKUP($AF434,'Application Portfolio'!$A$2:$AB$1000,28,FALSE()),""))</f>
        <v/>
      </c>
    </row>
    <row r="435" customFormat="false" ht="15.75" hidden="false" customHeight="true" outlineLevel="0" collapsed="false">
      <c r="A435" s="100"/>
      <c r="B435" s="101"/>
      <c r="C435" s="101"/>
      <c r="D435" s="101"/>
      <c r="E435" s="101"/>
      <c r="F435" s="102"/>
      <c r="G435" s="102"/>
      <c r="H435" s="102"/>
      <c r="I435" s="102"/>
      <c r="J435" s="102"/>
      <c r="K435" s="102"/>
      <c r="L435" s="103" t="str">
        <f aca="false">IF(OR($B435="", $H435="", $I435="", $J435="", $K435=""),"",ROUND((VLOOKUP($H435,Lists!$E$2:$F$5,2,FALSE())*VLOOKUP($I435,Lists!$H$2:$I$4,2,FALSE())*VLOOKUP($J435,Lists!$K$2:$L$4,2,FALSE()))/VLOOKUP($K435,Lists!$N$2:$O$6,2,FALSE()),2))</f>
        <v/>
      </c>
      <c r="M435" s="104" t="str">
        <f aca="false">IF($B435="","",IF($AC435&lt;&gt;"",$AC435,IF($H435="Critical","P0",IF(NOT(ISNUMBER($L435)),"",IF($L435&gt;=Lists!$AM$2,"P0",IF($L435&gt;=Lists!$AM$3,"P1",IF($L435&gt;=Lists!$AM$4,"P2","P3")))))))</f>
        <v/>
      </c>
      <c r="N435" s="102"/>
      <c r="O435" s="101"/>
      <c r="P435" s="102"/>
      <c r="Q435" s="105"/>
      <c r="R435" s="106" t="str">
        <f aca="true">IF($Q435="","", TODAY()-$Q435)</f>
        <v/>
      </c>
      <c r="S435" s="102"/>
      <c r="T435" s="105"/>
      <c r="U435" s="105"/>
      <c r="V435" s="101"/>
      <c r="W435" s="101"/>
      <c r="X435" s="101"/>
      <c r="Y435" s="96"/>
      <c r="Z435" s="96"/>
      <c r="AA435" s="96"/>
      <c r="AC435" s="102"/>
      <c r="AD435" s="107" t="str">
        <f aca="false">IF($B435="","",IF(ISNUMBER($T435),$T435,IF(OR(NOT(ISNUMBER($Q435)),$S435=""),"",IFERROR(IF(ISNUMBER(INDEX(Lists!$AJ$2:$AJ$7,MATCH($S435,Lists!$AI$2:$AI$7,0))),$Q435+INDEX(Lists!$AJ$2:$AJ$7,MATCH($S435,Lists!$AI$2:$AI$7,0)),""),""))))</f>
        <v/>
      </c>
      <c r="AE435" s="104" t="str">
        <f aca="true">IF($B435="","",IF(AND(ISNUMBER($AD435),N($AD435)&lt;TODAY(),$N435&lt;&gt;"Done",$N435&lt;&gt;"Won't Fix",$N435&lt;&gt;"Duplicate"),"Yes","No"))</f>
        <v/>
      </c>
      <c r="AF435" s="101"/>
      <c r="AG435" s="108" t="str">
        <f aca="false">IF($AF435="","",IFERROR(VLOOKUP($AF435,'Application Portfolio'!$A$2:$B$1000,2,FALSE()),"Unknown App ID"))</f>
        <v/>
      </c>
      <c r="AH435" s="108" t="str">
        <f aca="false">IF(OR($B435="",$AF435=""),"",IFERROR(VLOOKUP($AF435,'Application Portfolio'!$A$2:$AB$1000,28,FALSE()),""))</f>
        <v/>
      </c>
    </row>
    <row r="436" customFormat="false" ht="15.75" hidden="false" customHeight="true" outlineLevel="0" collapsed="false">
      <c r="A436" s="100"/>
      <c r="B436" s="101"/>
      <c r="C436" s="101"/>
      <c r="D436" s="101"/>
      <c r="E436" s="101"/>
      <c r="F436" s="102"/>
      <c r="G436" s="102"/>
      <c r="H436" s="102"/>
      <c r="I436" s="102"/>
      <c r="J436" s="102"/>
      <c r="K436" s="102"/>
      <c r="L436" s="103" t="str">
        <f aca="false">IF(OR($B436="", $H436="", $I436="", $J436="", $K436=""),"",ROUND((VLOOKUP($H436,Lists!$E$2:$F$5,2,FALSE())*VLOOKUP($I436,Lists!$H$2:$I$4,2,FALSE())*VLOOKUP($J436,Lists!$K$2:$L$4,2,FALSE()))/VLOOKUP($K436,Lists!$N$2:$O$6,2,FALSE()),2))</f>
        <v/>
      </c>
      <c r="M436" s="104" t="str">
        <f aca="false">IF($B436="","",IF($AC436&lt;&gt;"",$AC436,IF($H436="Critical","P0",IF(NOT(ISNUMBER($L436)),"",IF($L436&gt;=Lists!$AM$2,"P0",IF($L436&gt;=Lists!$AM$3,"P1",IF($L436&gt;=Lists!$AM$4,"P2","P3")))))))</f>
        <v/>
      </c>
      <c r="N436" s="102"/>
      <c r="O436" s="101"/>
      <c r="P436" s="102"/>
      <c r="Q436" s="105"/>
      <c r="R436" s="106" t="str">
        <f aca="true">IF($Q436="","", TODAY()-$Q436)</f>
        <v/>
      </c>
      <c r="S436" s="102"/>
      <c r="T436" s="105"/>
      <c r="U436" s="105"/>
      <c r="V436" s="101"/>
      <c r="W436" s="101"/>
      <c r="X436" s="101"/>
      <c r="Y436" s="96"/>
      <c r="Z436" s="96"/>
      <c r="AA436" s="96"/>
      <c r="AC436" s="102"/>
      <c r="AD436" s="107" t="str">
        <f aca="false">IF($B436="","",IF(ISNUMBER($T436),$T436,IF(OR(NOT(ISNUMBER($Q436)),$S436=""),"",IFERROR(IF(ISNUMBER(INDEX(Lists!$AJ$2:$AJ$7,MATCH($S436,Lists!$AI$2:$AI$7,0))),$Q436+INDEX(Lists!$AJ$2:$AJ$7,MATCH($S436,Lists!$AI$2:$AI$7,0)),""),""))))</f>
        <v/>
      </c>
      <c r="AE436" s="104" t="str">
        <f aca="true">IF($B436="","",IF(AND(ISNUMBER($AD436),N($AD436)&lt;TODAY(),$N436&lt;&gt;"Done",$N436&lt;&gt;"Won't Fix",$N436&lt;&gt;"Duplicate"),"Yes","No"))</f>
        <v/>
      </c>
      <c r="AF436" s="101"/>
      <c r="AG436" s="108" t="str">
        <f aca="false">IF($AF436="","",IFERROR(VLOOKUP($AF436,'Application Portfolio'!$A$2:$B$1000,2,FALSE()),"Unknown App ID"))</f>
        <v/>
      </c>
      <c r="AH436" s="108" t="str">
        <f aca="false">IF(OR($B436="",$AF436=""),"",IFERROR(VLOOKUP($AF436,'Application Portfolio'!$A$2:$AB$1000,28,FALSE()),""))</f>
        <v/>
      </c>
    </row>
    <row r="437" customFormat="false" ht="15.75" hidden="false" customHeight="true" outlineLevel="0" collapsed="false">
      <c r="A437" s="100"/>
      <c r="B437" s="101"/>
      <c r="C437" s="101"/>
      <c r="D437" s="101"/>
      <c r="E437" s="101"/>
      <c r="F437" s="102"/>
      <c r="G437" s="102"/>
      <c r="H437" s="102"/>
      <c r="I437" s="102"/>
      <c r="J437" s="102"/>
      <c r="K437" s="102"/>
      <c r="L437" s="103" t="str">
        <f aca="false">IF(OR($B437="", $H437="", $I437="", $J437="", $K437=""),"",ROUND((VLOOKUP($H437,Lists!$E$2:$F$5,2,FALSE())*VLOOKUP($I437,Lists!$H$2:$I$4,2,FALSE())*VLOOKUP($J437,Lists!$K$2:$L$4,2,FALSE()))/VLOOKUP($K437,Lists!$N$2:$O$6,2,FALSE()),2))</f>
        <v/>
      </c>
      <c r="M437" s="104" t="str">
        <f aca="false">IF($B437="","",IF($AC437&lt;&gt;"",$AC437,IF($H437="Critical","P0",IF(NOT(ISNUMBER($L437)),"",IF($L437&gt;=Lists!$AM$2,"P0",IF($L437&gt;=Lists!$AM$3,"P1",IF($L437&gt;=Lists!$AM$4,"P2","P3")))))))</f>
        <v/>
      </c>
      <c r="N437" s="102"/>
      <c r="O437" s="101"/>
      <c r="P437" s="102"/>
      <c r="Q437" s="105"/>
      <c r="R437" s="106" t="str">
        <f aca="true">IF($Q437="","", TODAY()-$Q437)</f>
        <v/>
      </c>
      <c r="S437" s="102"/>
      <c r="T437" s="105"/>
      <c r="U437" s="105"/>
      <c r="V437" s="101"/>
      <c r="W437" s="101"/>
      <c r="X437" s="101"/>
      <c r="Y437" s="96"/>
      <c r="Z437" s="96"/>
      <c r="AA437" s="96"/>
      <c r="AC437" s="102"/>
      <c r="AD437" s="107" t="str">
        <f aca="false">IF($B437="","",IF(ISNUMBER($T437),$T437,IF(OR(NOT(ISNUMBER($Q437)),$S437=""),"",IFERROR(IF(ISNUMBER(INDEX(Lists!$AJ$2:$AJ$7,MATCH($S437,Lists!$AI$2:$AI$7,0))),$Q437+INDEX(Lists!$AJ$2:$AJ$7,MATCH($S437,Lists!$AI$2:$AI$7,0)),""),""))))</f>
        <v/>
      </c>
      <c r="AE437" s="104" t="str">
        <f aca="true">IF($B437="","",IF(AND(ISNUMBER($AD437),N($AD437)&lt;TODAY(),$N437&lt;&gt;"Done",$N437&lt;&gt;"Won't Fix",$N437&lt;&gt;"Duplicate"),"Yes","No"))</f>
        <v/>
      </c>
      <c r="AF437" s="101"/>
      <c r="AG437" s="108" t="str">
        <f aca="false">IF($AF437="","",IFERROR(VLOOKUP($AF437,'Application Portfolio'!$A$2:$B$1000,2,FALSE()),"Unknown App ID"))</f>
        <v/>
      </c>
      <c r="AH437" s="108" t="str">
        <f aca="false">IF(OR($B437="",$AF437=""),"",IFERROR(VLOOKUP($AF437,'Application Portfolio'!$A$2:$AB$1000,28,FALSE()),""))</f>
        <v/>
      </c>
    </row>
    <row r="438" customFormat="false" ht="15.75" hidden="false" customHeight="true" outlineLevel="0" collapsed="false">
      <c r="A438" s="100"/>
      <c r="B438" s="101"/>
      <c r="C438" s="101"/>
      <c r="D438" s="101"/>
      <c r="E438" s="101"/>
      <c r="F438" s="102"/>
      <c r="G438" s="102"/>
      <c r="H438" s="102"/>
      <c r="I438" s="102"/>
      <c r="J438" s="102"/>
      <c r="K438" s="102"/>
      <c r="L438" s="103" t="str">
        <f aca="false">IF(OR($B438="", $H438="", $I438="", $J438="", $K438=""),"",ROUND((VLOOKUP($H438,Lists!$E$2:$F$5,2,FALSE())*VLOOKUP($I438,Lists!$H$2:$I$4,2,FALSE())*VLOOKUP($J438,Lists!$K$2:$L$4,2,FALSE()))/VLOOKUP($K438,Lists!$N$2:$O$6,2,FALSE()),2))</f>
        <v/>
      </c>
      <c r="M438" s="104" t="str">
        <f aca="false">IF($B438="","",IF($AC438&lt;&gt;"",$AC438,IF($H438="Critical","P0",IF(NOT(ISNUMBER($L438)),"",IF($L438&gt;=Lists!$AM$2,"P0",IF($L438&gt;=Lists!$AM$3,"P1",IF($L438&gt;=Lists!$AM$4,"P2","P3")))))))</f>
        <v/>
      </c>
      <c r="N438" s="102"/>
      <c r="O438" s="101"/>
      <c r="P438" s="102"/>
      <c r="Q438" s="105"/>
      <c r="R438" s="106" t="str">
        <f aca="true">IF($Q438="","", TODAY()-$Q438)</f>
        <v/>
      </c>
      <c r="S438" s="102"/>
      <c r="T438" s="105"/>
      <c r="U438" s="105"/>
      <c r="V438" s="101"/>
      <c r="W438" s="101"/>
      <c r="X438" s="101"/>
      <c r="Y438" s="96"/>
      <c r="Z438" s="96"/>
      <c r="AA438" s="96"/>
      <c r="AC438" s="102"/>
      <c r="AD438" s="107" t="str">
        <f aca="false">IF($B438="","",IF(ISNUMBER($T438),$T438,IF(OR(NOT(ISNUMBER($Q438)),$S438=""),"",IFERROR(IF(ISNUMBER(INDEX(Lists!$AJ$2:$AJ$7,MATCH($S438,Lists!$AI$2:$AI$7,0))),$Q438+INDEX(Lists!$AJ$2:$AJ$7,MATCH($S438,Lists!$AI$2:$AI$7,0)),""),""))))</f>
        <v/>
      </c>
      <c r="AE438" s="104" t="str">
        <f aca="true">IF($B438="","",IF(AND(ISNUMBER($AD438),N($AD438)&lt;TODAY(),$N438&lt;&gt;"Done",$N438&lt;&gt;"Won't Fix",$N438&lt;&gt;"Duplicate"),"Yes","No"))</f>
        <v/>
      </c>
      <c r="AF438" s="101"/>
      <c r="AG438" s="108" t="str">
        <f aca="false">IF($AF438="","",IFERROR(VLOOKUP($AF438,'Application Portfolio'!$A$2:$B$1000,2,FALSE()),"Unknown App ID"))</f>
        <v/>
      </c>
      <c r="AH438" s="108" t="str">
        <f aca="false">IF(OR($B438="",$AF438=""),"",IFERROR(VLOOKUP($AF438,'Application Portfolio'!$A$2:$AB$1000,28,FALSE()),""))</f>
        <v/>
      </c>
    </row>
    <row r="439" customFormat="false" ht="15.75" hidden="false" customHeight="true" outlineLevel="0" collapsed="false">
      <c r="A439" s="100"/>
      <c r="B439" s="101"/>
      <c r="C439" s="101"/>
      <c r="D439" s="101"/>
      <c r="E439" s="101"/>
      <c r="F439" s="102"/>
      <c r="G439" s="102"/>
      <c r="H439" s="102"/>
      <c r="I439" s="102"/>
      <c r="J439" s="102"/>
      <c r="K439" s="102"/>
      <c r="L439" s="103" t="str">
        <f aca="false">IF(OR($B439="", $H439="", $I439="", $J439="", $K439=""),"",ROUND((VLOOKUP($H439,Lists!$E$2:$F$5,2,FALSE())*VLOOKUP($I439,Lists!$H$2:$I$4,2,FALSE())*VLOOKUP($J439,Lists!$K$2:$L$4,2,FALSE()))/VLOOKUP($K439,Lists!$N$2:$O$6,2,FALSE()),2))</f>
        <v/>
      </c>
      <c r="M439" s="104" t="str">
        <f aca="false">IF($B439="","",IF($AC439&lt;&gt;"",$AC439,IF($H439="Critical","P0",IF(NOT(ISNUMBER($L439)),"",IF($L439&gt;=Lists!$AM$2,"P0",IF($L439&gt;=Lists!$AM$3,"P1",IF($L439&gt;=Lists!$AM$4,"P2","P3")))))))</f>
        <v/>
      </c>
      <c r="N439" s="102"/>
      <c r="O439" s="101"/>
      <c r="P439" s="102"/>
      <c r="Q439" s="105"/>
      <c r="R439" s="106" t="str">
        <f aca="true">IF($Q439="","", TODAY()-$Q439)</f>
        <v/>
      </c>
      <c r="S439" s="102"/>
      <c r="T439" s="105"/>
      <c r="U439" s="105"/>
      <c r="V439" s="101"/>
      <c r="W439" s="101"/>
      <c r="X439" s="101"/>
      <c r="Y439" s="96"/>
      <c r="Z439" s="96"/>
      <c r="AA439" s="96"/>
      <c r="AC439" s="102"/>
      <c r="AD439" s="107" t="str">
        <f aca="false">IF($B439="","",IF(ISNUMBER($T439),$T439,IF(OR(NOT(ISNUMBER($Q439)),$S439=""),"",IFERROR(IF(ISNUMBER(INDEX(Lists!$AJ$2:$AJ$7,MATCH($S439,Lists!$AI$2:$AI$7,0))),$Q439+INDEX(Lists!$AJ$2:$AJ$7,MATCH($S439,Lists!$AI$2:$AI$7,0)),""),""))))</f>
        <v/>
      </c>
      <c r="AE439" s="104" t="str">
        <f aca="true">IF($B439="","",IF(AND(ISNUMBER($AD439),N($AD439)&lt;TODAY(),$N439&lt;&gt;"Done",$N439&lt;&gt;"Won't Fix",$N439&lt;&gt;"Duplicate"),"Yes","No"))</f>
        <v/>
      </c>
      <c r="AF439" s="101"/>
      <c r="AG439" s="108" t="str">
        <f aca="false">IF($AF439="","",IFERROR(VLOOKUP($AF439,'Application Portfolio'!$A$2:$B$1000,2,FALSE()),"Unknown App ID"))</f>
        <v/>
      </c>
      <c r="AH439" s="108" t="str">
        <f aca="false">IF(OR($B439="",$AF439=""),"",IFERROR(VLOOKUP($AF439,'Application Portfolio'!$A$2:$AB$1000,28,FALSE()),""))</f>
        <v/>
      </c>
    </row>
    <row r="440" customFormat="false" ht="15.75" hidden="false" customHeight="true" outlineLevel="0" collapsed="false">
      <c r="A440" s="100"/>
      <c r="B440" s="101"/>
      <c r="C440" s="101"/>
      <c r="D440" s="101"/>
      <c r="E440" s="101"/>
      <c r="F440" s="102"/>
      <c r="G440" s="102"/>
      <c r="H440" s="102"/>
      <c r="I440" s="102"/>
      <c r="J440" s="102"/>
      <c r="K440" s="102"/>
      <c r="L440" s="103" t="str">
        <f aca="false">IF(OR($B440="", $H440="", $I440="", $J440="", $K440=""),"",ROUND((VLOOKUP($H440,Lists!$E$2:$F$5,2,FALSE())*VLOOKUP($I440,Lists!$H$2:$I$4,2,FALSE())*VLOOKUP($J440,Lists!$K$2:$L$4,2,FALSE()))/VLOOKUP($K440,Lists!$N$2:$O$6,2,FALSE()),2))</f>
        <v/>
      </c>
      <c r="M440" s="104" t="str">
        <f aca="false">IF($B440="","",IF($AC440&lt;&gt;"",$AC440,IF($H440="Critical","P0",IF(NOT(ISNUMBER($L440)),"",IF($L440&gt;=Lists!$AM$2,"P0",IF($L440&gt;=Lists!$AM$3,"P1",IF($L440&gt;=Lists!$AM$4,"P2","P3")))))))</f>
        <v/>
      </c>
      <c r="N440" s="102"/>
      <c r="O440" s="101"/>
      <c r="P440" s="102"/>
      <c r="Q440" s="105"/>
      <c r="R440" s="106" t="str">
        <f aca="true">IF($Q440="","", TODAY()-$Q440)</f>
        <v/>
      </c>
      <c r="S440" s="102"/>
      <c r="T440" s="105"/>
      <c r="U440" s="105"/>
      <c r="V440" s="101"/>
      <c r="W440" s="101"/>
      <c r="X440" s="101"/>
      <c r="Y440" s="96"/>
      <c r="Z440" s="96"/>
      <c r="AA440" s="96"/>
      <c r="AC440" s="102"/>
      <c r="AD440" s="107" t="str">
        <f aca="false">IF($B440="","",IF(ISNUMBER($T440),$T440,IF(OR(NOT(ISNUMBER($Q440)),$S440=""),"",IFERROR(IF(ISNUMBER(INDEX(Lists!$AJ$2:$AJ$7,MATCH($S440,Lists!$AI$2:$AI$7,0))),$Q440+INDEX(Lists!$AJ$2:$AJ$7,MATCH($S440,Lists!$AI$2:$AI$7,0)),""),""))))</f>
        <v/>
      </c>
      <c r="AE440" s="104" t="str">
        <f aca="true">IF($B440="","",IF(AND(ISNUMBER($AD440),N($AD440)&lt;TODAY(),$N440&lt;&gt;"Done",$N440&lt;&gt;"Won't Fix",$N440&lt;&gt;"Duplicate"),"Yes","No"))</f>
        <v/>
      </c>
      <c r="AF440" s="101"/>
      <c r="AG440" s="108" t="str">
        <f aca="false">IF($AF440="","",IFERROR(VLOOKUP($AF440,'Application Portfolio'!$A$2:$B$1000,2,FALSE()),"Unknown App ID"))</f>
        <v/>
      </c>
      <c r="AH440" s="108" t="str">
        <f aca="false">IF(OR($B440="",$AF440=""),"",IFERROR(VLOOKUP($AF440,'Application Portfolio'!$A$2:$AB$1000,28,FALSE()),""))</f>
        <v/>
      </c>
    </row>
    <row r="441" customFormat="false" ht="15.75" hidden="false" customHeight="true" outlineLevel="0" collapsed="false">
      <c r="A441" s="100"/>
      <c r="B441" s="101"/>
      <c r="C441" s="101"/>
      <c r="D441" s="101"/>
      <c r="E441" s="101"/>
      <c r="F441" s="102"/>
      <c r="G441" s="102"/>
      <c r="H441" s="102"/>
      <c r="I441" s="102"/>
      <c r="J441" s="102"/>
      <c r="K441" s="102"/>
      <c r="L441" s="103" t="str">
        <f aca="false">IF(OR($B441="", $H441="", $I441="", $J441="", $K441=""),"",ROUND((VLOOKUP($H441,Lists!$E$2:$F$5,2,FALSE())*VLOOKUP($I441,Lists!$H$2:$I$4,2,FALSE())*VLOOKUP($J441,Lists!$K$2:$L$4,2,FALSE()))/VLOOKUP($K441,Lists!$N$2:$O$6,2,FALSE()),2))</f>
        <v/>
      </c>
      <c r="M441" s="104" t="str">
        <f aca="false">IF($B441="","",IF($AC441&lt;&gt;"",$AC441,IF($H441="Critical","P0",IF(NOT(ISNUMBER($L441)),"",IF($L441&gt;=Lists!$AM$2,"P0",IF($L441&gt;=Lists!$AM$3,"P1",IF($L441&gt;=Lists!$AM$4,"P2","P3")))))))</f>
        <v/>
      </c>
      <c r="N441" s="102"/>
      <c r="O441" s="101"/>
      <c r="P441" s="102"/>
      <c r="Q441" s="105"/>
      <c r="R441" s="106" t="str">
        <f aca="true">IF($Q441="","", TODAY()-$Q441)</f>
        <v/>
      </c>
      <c r="S441" s="102"/>
      <c r="T441" s="105"/>
      <c r="U441" s="105"/>
      <c r="V441" s="101"/>
      <c r="W441" s="101"/>
      <c r="X441" s="101"/>
      <c r="Y441" s="96"/>
      <c r="Z441" s="96"/>
      <c r="AA441" s="96"/>
      <c r="AC441" s="102"/>
      <c r="AD441" s="107" t="str">
        <f aca="false">IF($B441="","",IF(ISNUMBER($T441),$T441,IF(OR(NOT(ISNUMBER($Q441)),$S441=""),"",IFERROR(IF(ISNUMBER(INDEX(Lists!$AJ$2:$AJ$7,MATCH($S441,Lists!$AI$2:$AI$7,0))),$Q441+INDEX(Lists!$AJ$2:$AJ$7,MATCH($S441,Lists!$AI$2:$AI$7,0)),""),""))))</f>
        <v/>
      </c>
      <c r="AE441" s="104" t="str">
        <f aca="true">IF($B441="","",IF(AND(ISNUMBER($AD441),N($AD441)&lt;TODAY(),$N441&lt;&gt;"Done",$N441&lt;&gt;"Won't Fix",$N441&lt;&gt;"Duplicate"),"Yes","No"))</f>
        <v/>
      </c>
      <c r="AF441" s="101"/>
      <c r="AG441" s="108" t="str">
        <f aca="false">IF($AF441="","",IFERROR(VLOOKUP($AF441,'Application Portfolio'!$A$2:$B$1000,2,FALSE()),"Unknown App ID"))</f>
        <v/>
      </c>
      <c r="AH441" s="108" t="str">
        <f aca="false">IF(OR($B441="",$AF441=""),"",IFERROR(VLOOKUP($AF441,'Application Portfolio'!$A$2:$AB$1000,28,FALSE()),""))</f>
        <v/>
      </c>
    </row>
    <row r="442" customFormat="false" ht="15.75" hidden="false" customHeight="true" outlineLevel="0" collapsed="false">
      <c r="A442" s="100"/>
      <c r="B442" s="101"/>
      <c r="C442" s="101"/>
      <c r="D442" s="101"/>
      <c r="E442" s="101"/>
      <c r="F442" s="102"/>
      <c r="G442" s="102"/>
      <c r="H442" s="102"/>
      <c r="I442" s="102"/>
      <c r="J442" s="102"/>
      <c r="K442" s="102"/>
      <c r="L442" s="103" t="str">
        <f aca="false">IF(OR($B442="", $H442="", $I442="", $J442="", $K442=""),"",ROUND((VLOOKUP($H442,Lists!$E$2:$F$5,2,FALSE())*VLOOKUP($I442,Lists!$H$2:$I$4,2,FALSE())*VLOOKUP($J442,Lists!$K$2:$L$4,2,FALSE()))/VLOOKUP($K442,Lists!$N$2:$O$6,2,FALSE()),2))</f>
        <v/>
      </c>
      <c r="M442" s="104" t="str">
        <f aca="false">IF($B442="","",IF($AC442&lt;&gt;"",$AC442,IF($H442="Critical","P0",IF(NOT(ISNUMBER($L442)),"",IF($L442&gt;=Lists!$AM$2,"P0",IF($L442&gt;=Lists!$AM$3,"P1",IF($L442&gt;=Lists!$AM$4,"P2","P3")))))))</f>
        <v/>
      </c>
      <c r="N442" s="102"/>
      <c r="O442" s="101"/>
      <c r="P442" s="102"/>
      <c r="Q442" s="105"/>
      <c r="R442" s="106" t="str">
        <f aca="true">IF($Q442="","", TODAY()-$Q442)</f>
        <v/>
      </c>
      <c r="S442" s="102"/>
      <c r="T442" s="105"/>
      <c r="U442" s="105"/>
      <c r="V442" s="101"/>
      <c r="W442" s="101"/>
      <c r="X442" s="101"/>
      <c r="Y442" s="96"/>
      <c r="Z442" s="96"/>
      <c r="AA442" s="96"/>
      <c r="AC442" s="102"/>
      <c r="AD442" s="107" t="str">
        <f aca="false">IF($B442="","",IF(ISNUMBER($T442),$T442,IF(OR(NOT(ISNUMBER($Q442)),$S442=""),"",IFERROR(IF(ISNUMBER(INDEX(Lists!$AJ$2:$AJ$7,MATCH($S442,Lists!$AI$2:$AI$7,0))),$Q442+INDEX(Lists!$AJ$2:$AJ$7,MATCH($S442,Lists!$AI$2:$AI$7,0)),""),""))))</f>
        <v/>
      </c>
      <c r="AE442" s="104" t="str">
        <f aca="true">IF($B442="","",IF(AND(ISNUMBER($AD442),N($AD442)&lt;TODAY(),$N442&lt;&gt;"Done",$N442&lt;&gt;"Won't Fix",$N442&lt;&gt;"Duplicate"),"Yes","No"))</f>
        <v/>
      </c>
      <c r="AF442" s="101"/>
      <c r="AG442" s="108" t="str">
        <f aca="false">IF($AF442="","",IFERROR(VLOOKUP($AF442,'Application Portfolio'!$A$2:$B$1000,2,FALSE()),"Unknown App ID"))</f>
        <v/>
      </c>
      <c r="AH442" s="108" t="str">
        <f aca="false">IF(OR($B442="",$AF442=""),"",IFERROR(VLOOKUP($AF442,'Application Portfolio'!$A$2:$AB$1000,28,FALSE()),""))</f>
        <v/>
      </c>
    </row>
    <row r="443" customFormat="false" ht="15.75" hidden="false" customHeight="true" outlineLevel="0" collapsed="false">
      <c r="A443" s="100"/>
      <c r="B443" s="101"/>
      <c r="C443" s="101"/>
      <c r="D443" s="101"/>
      <c r="E443" s="101"/>
      <c r="F443" s="102"/>
      <c r="G443" s="102"/>
      <c r="H443" s="102"/>
      <c r="I443" s="102"/>
      <c r="J443" s="102"/>
      <c r="K443" s="102"/>
      <c r="L443" s="103" t="str">
        <f aca="false">IF(OR($B443="", $H443="", $I443="", $J443="", $K443=""),"",ROUND((VLOOKUP($H443,Lists!$E$2:$F$5,2,FALSE())*VLOOKUP($I443,Lists!$H$2:$I$4,2,FALSE())*VLOOKUP($J443,Lists!$K$2:$L$4,2,FALSE()))/VLOOKUP($K443,Lists!$N$2:$O$6,2,FALSE()),2))</f>
        <v/>
      </c>
      <c r="M443" s="104" t="str">
        <f aca="false">IF($B443="","",IF($AC443&lt;&gt;"",$AC443,IF($H443="Critical","P0",IF(NOT(ISNUMBER($L443)),"",IF($L443&gt;=Lists!$AM$2,"P0",IF($L443&gt;=Lists!$AM$3,"P1",IF($L443&gt;=Lists!$AM$4,"P2","P3")))))))</f>
        <v/>
      </c>
      <c r="N443" s="102"/>
      <c r="O443" s="101"/>
      <c r="P443" s="102"/>
      <c r="Q443" s="105"/>
      <c r="R443" s="106" t="str">
        <f aca="true">IF($Q443="","", TODAY()-$Q443)</f>
        <v/>
      </c>
      <c r="S443" s="102"/>
      <c r="T443" s="105"/>
      <c r="U443" s="105"/>
      <c r="V443" s="101"/>
      <c r="W443" s="101"/>
      <c r="X443" s="101"/>
      <c r="Y443" s="96"/>
      <c r="Z443" s="96"/>
      <c r="AA443" s="96"/>
      <c r="AC443" s="102"/>
      <c r="AD443" s="107" t="str">
        <f aca="false">IF($B443="","",IF(ISNUMBER($T443),$T443,IF(OR(NOT(ISNUMBER($Q443)),$S443=""),"",IFERROR(IF(ISNUMBER(INDEX(Lists!$AJ$2:$AJ$7,MATCH($S443,Lists!$AI$2:$AI$7,0))),$Q443+INDEX(Lists!$AJ$2:$AJ$7,MATCH($S443,Lists!$AI$2:$AI$7,0)),""),""))))</f>
        <v/>
      </c>
      <c r="AE443" s="104" t="str">
        <f aca="true">IF($B443="","",IF(AND(ISNUMBER($AD443),N($AD443)&lt;TODAY(),$N443&lt;&gt;"Done",$N443&lt;&gt;"Won't Fix",$N443&lt;&gt;"Duplicate"),"Yes","No"))</f>
        <v/>
      </c>
      <c r="AF443" s="101"/>
      <c r="AG443" s="108" t="str">
        <f aca="false">IF($AF443="","",IFERROR(VLOOKUP($AF443,'Application Portfolio'!$A$2:$B$1000,2,FALSE()),"Unknown App ID"))</f>
        <v/>
      </c>
      <c r="AH443" s="108" t="str">
        <f aca="false">IF(OR($B443="",$AF443=""),"",IFERROR(VLOOKUP($AF443,'Application Portfolio'!$A$2:$AB$1000,28,FALSE()),""))</f>
        <v/>
      </c>
    </row>
    <row r="444" customFormat="false" ht="15.75" hidden="false" customHeight="true" outlineLevel="0" collapsed="false">
      <c r="A444" s="100"/>
      <c r="B444" s="101"/>
      <c r="C444" s="101"/>
      <c r="D444" s="101"/>
      <c r="E444" s="101"/>
      <c r="F444" s="102"/>
      <c r="G444" s="102"/>
      <c r="H444" s="102"/>
      <c r="I444" s="102"/>
      <c r="J444" s="102"/>
      <c r="K444" s="102"/>
      <c r="L444" s="103" t="str">
        <f aca="false">IF(OR($B444="", $H444="", $I444="", $J444="", $K444=""),"",ROUND((VLOOKUP($H444,Lists!$E$2:$F$5,2,FALSE())*VLOOKUP($I444,Lists!$H$2:$I$4,2,FALSE())*VLOOKUP($J444,Lists!$K$2:$L$4,2,FALSE()))/VLOOKUP($K444,Lists!$N$2:$O$6,2,FALSE()),2))</f>
        <v/>
      </c>
      <c r="M444" s="104" t="str">
        <f aca="false">IF($B444="","",IF($AC444&lt;&gt;"",$AC444,IF($H444="Critical","P0",IF(NOT(ISNUMBER($L444)),"",IF($L444&gt;=Lists!$AM$2,"P0",IF($L444&gt;=Lists!$AM$3,"P1",IF($L444&gt;=Lists!$AM$4,"P2","P3")))))))</f>
        <v/>
      </c>
      <c r="N444" s="102"/>
      <c r="O444" s="101"/>
      <c r="P444" s="102"/>
      <c r="Q444" s="105"/>
      <c r="R444" s="106" t="str">
        <f aca="true">IF($Q444="","", TODAY()-$Q444)</f>
        <v/>
      </c>
      <c r="S444" s="102"/>
      <c r="T444" s="105"/>
      <c r="U444" s="105"/>
      <c r="V444" s="101"/>
      <c r="W444" s="101"/>
      <c r="X444" s="101"/>
      <c r="Y444" s="96"/>
      <c r="Z444" s="96"/>
      <c r="AA444" s="96"/>
      <c r="AC444" s="102"/>
      <c r="AD444" s="107" t="str">
        <f aca="false">IF($B444="","",IF(ISNUMBER($T444),$T444,IF(OR(NOT(ISNUMBER($Q444)),$S444=""),"",IFERROR(IF(ISNUMBER(INDEX(Lists!$AJ$2:$AJ$7,MATCH($S444,Lists!$AI$2:$AI$7,0))),$Q444+INDEX(Lists!$AJ$2:$AJ$7,MATCH($S444,Lists!$AI$2:$AI$7,0)),""),""))))</f>
        <v/>
      </c>
      <c r="AE444" s="104" t="str">
        <f aca="true">IF($B444="","",IF(AND(ISNUMBER($AD444),N($AD444)&lt;TODAY(),$N444&lt;&gt;"Done",$N444&lt;&gt;"Won't Fix",$N444&lt;&gt;"Duplicate"),"Yes","No"))</f>
        <v/>
      </c>
      <c r="AF444" s="101"/>
      <c r="AG444" s="108" t="str">
        <f aca="false">IF($AF444="","",IFERROR(VLOOKUP($AF444,'Application Portfolio'!$A$2:$B$1000,2,FALSE()),"Unknown App ID"))</f>
        <v/>
      </c>
      <c r="AH444" s="108" t="str">
        <f aca="false">IF(OR($B444="",$AF444=""),"",IFERROR(VLOOKUP($AF444,'Application Portfolio'!$A$2:$AB$1000,28,FALSE()),""))</f>
        <v/>
      </c>
    </row>
    <row r="445" customFormat="false" ht="15.75" hidden="false" customHeight="true" outlineLevel="0" collapsed="false">
      <c r="A445" s="100"/>
      <c r="B445" s="101"/>
      <c r="C445" s="101"/>
      <c r="D445" s="101"/>
      <c r="E445" s="101"/>
      <c r="F445" s="102"/>
      <c r="G445" s="102"/>
      <c r="H445" s="102"/>
      <c r="I445" s="102"/>
      <c r="J445" s="102"/>
      <c r="K445" s="102"/>
      <c r="L445" s="103" t="str">
        <f aca="false">IF(OR($B445="", $H445="", $I445="", $J445="", $K445=""),"",ROUND((VLOOKUP($H445,Lists!$E$2:$F$5,2,FALSE())*VLOOKUP($I445,Lists!$H$2:$I$4,2,FALSE())*VLOOKUP($J445,Lists!$K$2:$L$4,2,FALSE()))/VLOOKUP($K445,Lists!$N$2:$O$6,2,FALSE()),2))</f>
        <v/>
      </c>
      <c r="M445" s="104" t="str">
        <f aca="false">IF($B445="","",IF($AC445&lt;&gt;"",$AC445,IF($H445="Critical","P0",IF(NOT(ISNUMBER($L445)),"",IF($L445&gt;=Lists!$AM$2,"P0",IF($L445&gt;=Lists!$AM$3,"P1",IF($L445&gt;=Lists!$AM$4,"P2","P3")))))))</f>
        <v/>
      </c>
      <c r="N445" s="102"/>
      <c r="O445" s="101"/>
      <c r="P445" s="102"/>
      <c r="Q445" s="105"/>
      <c r="R445" s="106" t="str">
        <f aca="true">IF($Q445="","", TODAY()-$Q445)</f>
        <v/>
      </c>
      <c r="S445" s="102"/>
      <c r="T445" s="105"/>
      <c r="U445" s="105"/>
      <c r="V445" s="101"/>
      <c r="W445" s="101"/>
      <c r="X445" s="101"/>
      <c r="Y445" s="96"/>
      <c r="Z445" s="96"/>
      <c r="AA445" s="96"/>
      <c r="AC445" s="102"/>
      <c r="AD445" s="107" t="str">
        <f aca="false">IF($B445="","",IF(ISNUMBER($T445),$T445,IF(OR(NOT(ISNUMBER($Q445)),$S445=""),"",IFERROR(IF(ISNUMBER(INDEX(Lists!$AJ$2:$AJ$7,MATCH($S445,Lists!$AI$2:$AI$7,0))),$Q445+INDEX(Lists!$AJ$2:$AJ$7,MATCH($S445,Lists!$AI$2:$AI$7,0)),""),""))))</f>
        <v/>
      </c>
      <c r="AE445" s="104" t="str">
        <f aca="true">IF($B445="","",IF(AND(ISNUMBER($AD445),N($AD445)&lt;TODAY(),$N445&lt;&gt;"Done",$N445&lt;&gt;"Won't Fix",$N445&lt;&gt;"Duplicate"),"Yes","No"))</f>
        <v/>
      </c>
      <c r="AF445" s="101"/>
      <c r="AG445" s="108" t="str">
        <f aca="false">IF($AF445="","",IFERROR(VLOOKUP($AF445,'Application Portfolio'!$A$2:$B$1000,2,FALSE()),"Unknown App ID"))</f>
        <v/>
      </c>
      <c r="AH445" s="108" t="str">
        <f aca="false">IF(OR($B445="",$AF445=""),"",IFERROR(VLOOKUP($AF445,'Application Portfolio'!$A$2:$AB$1000,28,FALSE()),""))</f>
        <v/>
      </c>
    </row>
    <row r="446" customFormat="false" ht="15.75" hidden="false" customHeight="true" outlineLevel="0" collapsed="false">
      <c r="A446" s="100"/>
      <c r="B446" s="101"/>
      <c r="C446" s="101"/>
      <c r="D446" s="101"/>
      <c r="E446" s="101"/>
      <c r="F446" s="102"/>
      <c r="G446" s="102"/>
      <c r="H446" s="102"/>
      <c r="I446" s="102"/>
      <c r="J446" s="102"/>
      <c r="K446" s="102"/>
      <c r="L446" s="103" t="str">
        <f aca="false">IF(OR($B446="", $H446="", $I446="", $J446="", $K446=""),"",ROUND((VLOOKUP($H446,Lists!$E$2:$F$5,2,FALSE())*VLOOKUP($I446,Lists!$H$2:$I$4,2,FALSE())*VLOOKUP($J446,Lists!$K$2:$L$4,2,FALSE()))/VLOOKUP($K446,Lists!$N$2:$O$6,2,FALSE()),2))</f>
        <v/>
      </c>
      <c r="M446" s="104" t="str">
        <f aca="false">IF($B446="","",IF($AC446&lt;&gt;"",$AC446,IF($H446="Critical","P0",IF(NOT(ISNUMBER($L446)),"",IF($L446&gt;=Lists!$AM$2,"P0",IF($L446&gt;=Lists!$AM$3,"P1",IF($L446&gt;=Lists!$AM$4,"P2","P3")))))))</f>
        <v/>
      </c>
      <c r="N446" s="102"/>
      <c r="O446" s="101"/>
      <c r="P446" s="102"/>
      <c r="Q446" s="105"/>
      <c r="R446" s="106" t="str">
        <f aca="true">IF($Q446="","", TODAY()-$Q446)</f>
        <v/>
      </c>
      <c r="S446" s="102"/>
      <c r="T446" s="105"/>
      <c r="U446" s="105"/>
      <c r="V446" s="101"/>
      <c r="W446" s="101"/>
      <c r="X446" s="101"/>
      <c r="Y446" s="96"/>
      <c r="Z446" s="96"/>
      <c r="AA446" s="96"/>
      <c r="AC446" s="102"/>
      <c r="AD446" s="107" t="str">
        <f aca="false">IF($B446="","",IF(ISNUMBER($T446),$T446,IF(OR(NOT(ISNUMBER($Q446)),$S446=""),"",IFERROR(IF(ISNUMBER(INDEX(Lists!$AJ$2:$AJ$7,MATCH($S446,Lists!$AI$2:$AI$7,0))),$Q446+INDEX(Lists!$AJ$2:$AJ$7,MATCH($S446,Lists!$AI$2:$AI$7,0)),""),""))))</f>
        <v/>
      </c>
      <c r="AE446" s="104" t="str">
        <f aca="true">IF($B446="","",IF(AND(ISNUMBER($AD446),N($AD446)&lt;TODAY(),$N446&lt;&gt;"Done",$N446&lt;&gt;"Won't Fix",$N446&lt;&gt;"Duplicate"),"Yes","No"))</f>
        <v/>
      </c>
      <c r="AF446" s="101"/>
      <c r="AG446" s="108" t="str">
        <f aca="false">IF($AF446="","",IFERROR(VLOOKUP($AF446,'Application Portfolio'!$A$2:$B$1000,2,FALSE()),"Unknown App ID"))</f>
        <v/>
      </c>
      <c r="AH446" s="108" t="str">
        <f aca="false">IF(OR($B446="",$AF446=""),"",IFERROR(VLOOKUP($AF446,'Application Portfolio'!$A$2:$AB$1000,28,FALSE()),""))</f>
        <v/>
      </c>
    </row>
    <row r="447" customFormat="false" ht="15.75" hidden="false" customHeight="true" outlineLevel="0" collapsed="false">
      <c r="A447" s="100"/>
      <c r="B447" s="101"/>
      <c r="C447" s="101"/>
      <c r="D447" s="101"/>
      <c r="E447" s="101"/>
      <c r="F447" s="102"/>
      <c r="G447" s="102"/>
      <c r="H447" s="102"/>
      <c r="I447" s="102"/>
      <c r="J447" s="102"/>
      <c r="K447" s="102"/>
      <c r="L447" s="103" t="str">
        <f aca="false">IF(OR($B447="", $H447="", $I447="", $J447="", $K447=""),"",ROUND((VLOOKUP($H447,Lists!$E$2:$F$5,2,FALSE())*VLOOKUP($I447,Lists!$H$2:$I$4,2,FALSE())*VLOOKUP($J447,Lists!$K$2:$L$4,2,FALSE()))/VLOOKUP($K447,Lists!$N$2:$O$6,2,FALSE()),2))</f>
        <v/>
      </c>
      <c r="M447" s="104" t="str">
        <f aca="false">IF($B447="","",IF($AC447&lt;&gt;"",$AC447,IF($H447="Critical","P0",IF(NOT(ISNUMBER($L447)),"",IF($L447&gt;=Lists!$AM$2,"P0",IF($L447&gt;=Lists!$AM$3,"P1",IF($L447&gt;=Lists!$AM$4,"P2","P3")))))))</f>
        <v/>
      </c>
      <c r="N447" s="102"/>
      <c r="O447" s="101"/>
      <c r="P447" s="102"/>
      <c r="Q447" s="105"/>
      <c r="R447" s="106" t="str">
        <f aca="true">IF($Q447="","", TODAY()-$Q447)</f>
        <v/>
      </c>
      <c r="S447" s="102"/>
      <c r="T447" s="105"/>
      <c r="U447" s="105"/>
      <c r="V447" s="101"/>
      <c r="W447" s="101"/>
      <c r="X447" s="101"/>
      <c r="Y447" s="96"/>
      <c r="Z447" s="96"/>
      <c r="AA447" s="96"/>
      <c r="AC447" s="102"/>
      <c r="AD447" s="107" t="str">
        <f aca="false">IF($B447="","",IF(ISNUMBER($T447),$T447,IF(OR(NOT(ISNUMBER($Q447)),$S447=""),"",IFERROR(IF(ISNUMBER(INDEX(Lists!$AJ$2:$AJ$7,MATCH($S447,Lists!$AI$2:$AI$7,0))),$Q447+INDEX(Lists!$AJ$2:$AJ$7,MATCH($S447,Lists!$AI$2:$AI$7,0)),""),""))))</f>
        <v/>
      </c>
      <c r="AE447" s="104" t="str">
        <f aca="true">IF($B447="","",IF(AND(ISNUMBER($AD447),N($AD447)&lt;TODAY(),$N447&lt;&gt;"Done",$N447&lt;&gt;"Won't Fix",$N447&lt;&gt;"Duplicate"),"Yes","No"))</f>
        <v/>
      </c>
      <c r="AF447" s="101"/>
      <c r="AG447" s="108" t="str">
        <f aca="false">IF($AF447="","",IFERROR(VLOOKUP($AF447,'Application Portfolio'!$A$2:$B$1000,2,FALSE()),"Unknown App ID"))</f>
        <v/>
      </c>
      <c r="AH447" s="108" t="str">
        <f aca="false">IF(OR($B447="",$AF447=""),"",IFERROR(VLOOKUP($AF447,'Application Portfolio'!$A$2:$AB$1000,28,FALSE()),""))</f>
        <v/>
      </c>
    </row>
    <row r="448" customFormat="false" ht="15.75" hidden="false" customHeight="true" outlineLevel="0" collapsed="false">
      <c r="A448" s="100"/>
      <c r="B448" s="101"/>
      <c r="C448" s="101"/>
      <c r="D448" s="101"/>
      <c r="E448" s="101"/>
      <c r="F448" s="102"/>
      <c r="G448" s="102"/>
      <c r="H448" s="102"/>
      <c r="I448" s="102"/>
      <c r="J448" s="102"/>
      <c r="K448" s="102"/>
      <c r="L448" s="103" t="str">
        <f aca="false">IF(OR($B448="", $H448="", $I448="", $J448="", $K448=""),"",ROUND((VLOOKUP($H448,Lists!$E$2:$F$5,2,FALSE())*VLOOKUP($I448,Lists!$H$2:$I$4,2,FALSE())*VLOOKUP($J448,Lists!$K$2:$L$4,2,FALSE()))/VLOOKUP($K448,Lists!$N$2:$O$6,2,FALSE()),2))</f>
        <v/>
      </c>
      <c r="M448" s="104" t="str">
        <f aca="false">IF($B448="","",IF($AC448&lt;&gt;"",$AC448,IF($H448="Critical","P0",IF(NOT(ISNUMBER($L448)),"",IF($L448&gt;=Lists!$AM$2,"P0",IF($L448&gt;=Lists!$AM$3,"P1",IF($L448&gt;=Lists!$AM$4,"P2","P3")))))))</f>
        <v/>
      </c>
      <c r="N448" s="102"/>
      <c r="O448" s="101"/>
      <c r="P448" s="102"/>
      <c r="Q448" s="105"/>
      <c r="R448" s="106" t="str">
        <f aca="true">IF($Q448="","", TODAY()-$Q448)</f>
        <v/>
      </c>
      <c r="S448" s="102"/>
      <c r="T448" s="105"/>
      <c r="U448" s="105"/>
      <c r="V448" s="101"/>
      <c r="W448" s="101"/>
      <c r="X448" s="101"/>
      <c r="Y448" s="96"/>
      <c r="Z448" s="96"/>
      <c r="AA448" s="96"/>
      <c r="AC448" s="102"/>
      <c r="AD448" s="107" t="str">
        <f aca="false">IF($B448="","",IF(ISNUMBER($T448),$T448,IF(OR(NOT(ISNUMBER($Q448)),$S448=""),"",IFERROR(IF(ISNUMBER(INDEX(Lists!$AJ$2:$AJ$7,MATCH($S448,Lists!$AI$2:$AI$7,0))),$Q448+INDEX(Lists!$AJ$2:$AJ$7,MATCH($S448,Lists!$AI$2:$AI$7,0)),""),""))))</f>
        <v/>
      </c>
      <c r="AE448" s="104" t="str">
        <f aca="true">IF($B448="","",IF(AND(ISNUMBER($AD448),N($AD448)&lt;TODAY(),$N448&lt;&gt;"Done",$N448&lt;&gt;"Won't Fix",$N448&lt;&gt;"Duplicate"),"Yes","No"))</f>
        <v/>
      </c>
      <c r="AF448" s="101"/>
      <c r="AG448" s="108" t="str">
        <f aca="false">IF($AF448="","",IFERROR(VLOOKUP($AF448,'Application Portfolio'!$A$2:$B$1000,2,FALSE()),"Unknown App ID"))</f>
        <v/>
      </c>
      <c r="AH448" s="108" t="str">
        <f aca="false">IF(OR($B448="",$AF448=""),"",IFERROR(VLOOKUP($AF448,'Application Portfolio'!$A$2:$AB$1000,28,FALSE()),""))</f>
        <v/>
      </c>
    </row>
    <row r="449" customFormat="false" ht="15.75" hidden="false" customHeight="true" outlineLevel="0" collapsed="false">
      <c r="A449" s="100"/>
      <c r="B449" s="101"/>
      <c r="C449" s="101"/>
      <c r="D449" s="101"/>
      <c r="E449" s="101"/>
      <c r="F449" s="102"/>
      <c r="G449" s="102"/>
      <c r="H449" s="102"/>
      <c r="I449" s="102"/>
      <c r="J449" s="102"/>
      <c r="K449" s="102"/>
      <c r="L449" s="103" t="str">
        <f aca="false">IF(OR($B449="", $H449="", $I449="", $J449="", $K449=""),"",ROUND((VLOOKUP($H449,Lists!$E$2:$F$5,2,FALSE())*VLOOKUP($I449,Lists!$H$2:$I$4,2,FALSE())*VLOOKUP($J449,Lists!$K$2:$L$4,2,FALSE()))/VLOOKUP($K449,Lists!$N$2:$O$6,2,FALSE()),2))</f>
        <v/>
      </c>
      <c r="M449" s="104" t="str">
        <f aca="false">IF($B449="","",IF($AC449&lt;&gt;"",$AC449,IF($H449="Critical","P0",IF(NOT(ISNUMBER($L449)),"",IF($L449&gt;=Lists!$AM$2,"P0",IF($L449&gt;=Lists!$AM$3,"P1",IF($L449&gt;=Lists!$AM$4,"P2","P3")))))))</f>
        <v/>
      </c>
      <c r="N449" s="102"/>
      <c r="O449" s="101"/>
      <c r="P449" s="102"/>
      <c r="Q449" s="105"/>
      <c r="R449" s="106" t="str">
        <f aca="true">IF($Q449="","", TODAY()-$Q449)</f>
        <v/>
      </c>
      <c r="S449" s="102"/>
      <c r="T449" s="105"/>
      <c r="U449" s="105"/>
      <c r="V449" s="101"/>
      <c r="W449" s="101"/>
      <c r="X449" s="101"/>
      <c r="Y449" s="96"/>
      <c r="Z449" s="96"/>
      <c r="AA449" s="96"/>
      <c r="AC449" s="102"/>
      <c r="AD449" s="107" t="str">
        <f aca="false">IF($B449="","",IF(ISNUMBER($T449),$T449,IF(OR(NOT(ISNUMBER($Q449)),$S449=""),"",IFERROR(IF(ISNUMBER(INDEX(Lists!$AJ$2:$AJ$7,MATCH($S449,Lists!$AI$2:$AI$7,0))),$Q449+INDEX(Lists!$AJ$2:$AJ$7,MATCH($S449,Lists!$AI$2:$AI$7,0)),""),""))))</f>
        <v/>
      </c>
      <c r="AE449" s="104" t="str">
        <f aca="true">IF($B449="","",IF(AND(ISNUMBER($AD449),N($AD449)&lt;TODAY(),$N449&lt;&gt;"Done",$N449&lt;&gt;"Won't Fix",$N449&lt;&gt;"Duplicate"),"Yes","No"))</f>
        <v/>
      </c>
      <c r="AF449" s="101"/>
      <c r="AG449" s="108" t="str">
        <f aca="false">IF($AF449="","",IFERROR(VLOOKUP($AF449,'Application Portfolio'!$A$2:$B$1000,2,FALSE()),"Unknown App ID"))</f>
        <v/>
      </c>
      <c r="AH449" s="108" t="str">
        <f aca="false">IF(OR($B449="",$AF449=""),"",IFERROR(VLOOKUP($AF449,'Application Portfolio'!$A$2:$AB$1000,28,FALSE()),""))</f>
        <v/>
      </c>
    </row>
    <row r="450" customFormat="false" ht="15.75" hidden="false" customHeight="true" outlineLevel="0" collapsed="false">
      <c r="A450" s="100"/>
      <c r="B450" s="101"/>
      <c r="C450" s="101"/>
      <c r="D450" s="101"/>
      <c r="E450" s="101"/>
      <c r="F450" s="102"/>
      <c r="G450" s="102"/>
      <c r="H450" s="102"/>
      <c r="I450" s="102"/>
      <c r="J450" s="102"/>
      <c r="K450" s="102"/>
      <c r="L450" s="103" t="str">
        <f aca="false">IF(OR($B450="", $H450="", $I450="", $J450="", $K450=""),"",ROUND((VLOOKUP($H450,Lists!$E$2:$F$5,2,FALSE())*VLOOKUP($I450,Lists!$H$2:$I$4,2,FALSE())*VLOOKUP($J450,Lists!$K$2:$L$4,2,FALSE()))/VLOOKUP($K450,Lists!$N$2:$O$6,2,FALSE()),2))</f>
        <v/>
      </c>
      <c r="M450" s="104" t="str">
        <f aca="false">IF($B450="","",IF($AC450&lt;&gt;"",$AC450,IF($H450="Critical","P0",IF(NOT(ISNUMBER($L450)),"",IF($L450&gt;=Lists!$AM$2,"P0",IF($L450&gt;=Lists!$AM$3,"P1",IF($L450&gt;=Lists!$AM$4,"P2","P3")))))))</f>
        <v/>
      </c>
      <c r="N450" s="102"/>
      <c r="O450" s="101"/>
      <c r="P450" s="102"/>
      <c r="Q450" s="105"/>
      <c r="R450" s="106" t="str">
        <f aca="true">IF($Q450="","", TODAY()-$Q450)</f>
        <v/>
      </c>
      <c r="S450" s="102"/>
      <c r="T450" s="105"/>
      <c r="U450" s="105"/>
      <c r="V450" s="101"/>
      <c r="W450" s="101"/>
      <c r="X450" s="101"/>
      <c r="Y450" s="96"/>
      <c r="Z450" s="96"/>
      <c r="AA450" s="96"/>
      <c r="AC450" s="102"/>
      <c r="AD450" s="107" t="str">
        <f aca="false">IF($B450="","",IF(ISNUMBER($T450),$T450,IF(OR(NOT(ISNUMBER($Q450)),$S450=""),"",IFERROR(IF(ISNUMBER(INDEX(Lists!$AJ$2:$AJ$7,MATCH($S450,Lists!$AI$2:$AI$7,0))),$Q450+INDEX(Lists!$AJ$2:$AJ$7,MATCH($S450,Lists!$AI$2:$AI$7,0)),""),""))))</f>
        <v/>
      </c>
      <c r="AE450" s="104" t="str">
        <f aca="true">IF($B450="","",IF(AND(ISNUMBER($AD450),N($AD450)&lt;TODAY(),$N450&lt;&gt;"Done",$N450&lt;&gt;"Won't Fix",$N450&lt;&gt;"Duplicate"),"Yes","No"))</f>
        <v/>
      </c>
      <c r="AF450" s="101"/>
      <c r="AG450" s="108" t="str">
        <f aca="false">IF($AF450="","",IFERROR(VLOOKUP($AF450,'Application Portfolio'!$A$2:$B$1000,2,FALSE()),"Unknown App ID"))</f>
        <v/>
      </c>
      <c r="AH450" s="108" t="str">
        <f aca="false">IF(OR($B450="",$AF450=""),"",IFERROR(VLOOKUP($AF450,'Application Portfolio'!$A$2:$AB$1000,28,FALSE()),""))</f>
        <v/>
      </c>
    </row>
    <row r="451" customFormat="false" ht="15.75" hidden="false" customHeight="true" outlineLevel="0" collapsed="false">
      <c r="A451" s="100"/>
      <c r="B451" s="101"/>
      <c r="C451" s="101"/>
      <c r="D451" s="101"/>
      <c r="E451" s="101"/>
      <c r="F451" s="102"/>
      <c r="G451" s="102"/>
      <c r="H451" s="102"/>
      <c r="I451" s="102"/>
      <c r="J451" s="102"/>
      <c r="K451" s="102"/>
      <c r="L451" s="103" t="str">
        <f aca="false">IF(OR($B451="", $H451="", $I451="", $J451="", $K451=""),"",ROUND((VLOOKUP($H451,Lists!$E$2:$F$5,2,FALSE())*VLOOKUP($I451,Lists!$H$2:$I$4,2,FALSE())*VLOOKUP($J451,Lists!$K$2:$L$4,2,FALSE()))/VLOOKUP($K451,Lists!$N$2:$O$6,2,FALSE()),2))</f>
        <v/>
      </c>
      <c r="M451" s="104" t="str">
        <f aca="false">IF($B451="","",IF($AC451&lt;&gt;"",$AC451,IF($H451="Critical","P0",IF(NOT(ISNUMBER($L451)),"",IF($L451&gt;=Lists!$AM$2,"P0",IF($L451&gt;=Lists!$AM$3,"P1",IF($L451&gt;=Lists!$AM$4,"P2","P3")))))))</f>
        <v/>
      </c>
      <c r="N451" s="102"/>
      <c r="O451" s="101"/>
      <c r="P451" s="102"/>
      <c r="Q451" s="105"/>
      <c r="R451" s="106" t="str">
        <f aca="true">IF($Q451="","", TODAY()-$Q451)</f>
        <v/>
      </c>
      <c r="S451" s="102"/>
      <c r="T451" s="105"/>
      <c r="U451" s="105"/>
      <c r="V451" s="101"/>
      <c r="W451" s="101"/>
      <c r="X451" s="101"/>
      <c r="Y451" s="96"/>
      <c r="Z451" s="96"/>
      <c r="AA451" s="96"/>
      <c r="AC451" s="102"/>
      <c r="AD451" s="107" t="str">
        <f aca="false">IF($B451="","",IF(ISNUMBER($T451),$T451,IF(OR(NOT(ISNUMBER($Q451)),$S451=""),"",IFERROR(IF(ISNUMBER(INDEX(Lists!$AJ$2:$AJ$7,MATCH($S451,Lists!$AI$2:$AI$7,0))),$Q451+INDEX(Lists!$AJ$2:$AJ$7,MATCH($S451,Lists!$AI$2:$AI$7,0)),""),""))))</f>
        <v/>
      </c>
      <c r="AE451" s="104" t="str">
        <f aca="true">IF($B451="","",IF(AND(ISNUMBER($AD451),N($AD451)&lt;TODAY(),$N451&lt;&gt;"Done",$N451&lt;&gt;"Won't Fix",$N451&lt;&gt;"Duplicate"),"Yes","No"))</f>
        <v/>
      </c>
      <c r="AF451" s="101"/>
      <c r="AG451" s="108" t="str">
        <f aca="false">IF($AF451="","",IFERROR(VLOOKUP($AF451,'Application Portfolio'!$A$2:$B$1000,2,FALSE()),"Unknown App ID"))</f>
        <v/>
      </c>
      <c r="AH451" s="108" t="str">
        <f aca="false">IF(OR($B451="",$AF451=""),"",IFERROR(VLOOKUP($AF451,'Application Portfolio'!$A$2:$AB$1000,28,FALSE()),""))</f>
        <v/>
      </c>
    </row>
    <row r="452" customFormat="false" ht="15.75" hidden="false" customHeight="true" outlineLevel="0" collapsed="false">
      <c r="A452" s="100"/>
      <c r="B452" s="101"/>
      <c r="C452" s="101"/>
      <c r="D452" s="101"/>
      <c r="E452" s="101"/>
      <c r="F452" s="102"/>
      <c r="G452" s="102"/>
      <c r="H452" s="102"/>
      <c r="I452" s="102"/>
      <c r="J452" s="102"/>
      <c r="K452" s="102"/>
      <c r="L452" s="103" t="str">
        <f aca="false">IF(OR($B452="", $H452="", $I452="", $J452="", $K452=""),"",ROUND((VLOOKUP($H452,Lists!$E$2:$F$5,2,FALSE())*VLOOKUP($I452,Lists!$H$2:$I$4,2,FALSE())*VLOOKUP($J452,Lists!$K$2:$L$4,2,FALSE()))/VLOOKUP($K452,Lists!$N$2:$O$6,2,FALSE()),2))</f>
        <v/>
      </c>
      <c r="M452" s="104" t="str">
        <f aca="false">IF($B452="","",IF($AC452&lt;&gt;"",$AC452,IF($H452="Critical","P0",IF(NOT(ISNUMBER($L452)),"",IF($L452&gt;=Lists!$AM$2,"P0",IF($L452&gt;=Lists!$AM$3,"P1",IF($L452&gt;=Lists!$AM$4,"P2","P3")))))))</f>
        <v/>
      </c>
      <c r="N452" s="102"/>
      <c r="O452" s="101"/>
      <c r="P452" s="102"/>
      <c r="Q452" s="105"/>
      <c r="R452" s="106" t="str">
        <f aca="true">IF($Q452="","", TODAY()-$Q452)</f>
        <v/>
      </c>
      <c r="S452" s="102"/>
      <c r="T452" s="105"/>
      <c r="U452" s="105"/>
      <c r="V452" s="101"/>
      <c r="W452" s="101"/>
      <c r="X452" s="101"/>
      <c r="Y452" s="96"/>
      <c r="Z452" s="96"/>
      <c r="AA452" s="96"/>
      <c r="AC452" s="102"/>
      <c r="AD452" s="107" t="str">
        <f aca="false">IF($B452="","",IF(ISNUMBER($T452),$T452,IF(OR(NOT(ISNUMBER($Q452)),$S452=""),"",IFERROR(IF(ISNUMBER(INDEX(Lists!$AJ$2:$AJ$7,MATCH($S452,Lists!$AI$2:$AI$7,0))),$Q452+INDEX(Lists!$AJ$2:$AJ$7,MATCH($S452,Lists!$AI$2:$AI$7,0)),""),""))))</f>
        <v/>
      </c>
      <c r="AE452" s="104" t="str">
        <f aca="true">IF($B452="","",IF(AND(ISNUMBER($AD452),N($AD452)&lt;TODAY(),$N452&lt;&gt;"Done",$N452&lt;&gt;"Won't Fix",$N452&lt;&gt;"Duplicate"),"Yes","No"))</f>
        <v/>
      </c>
      <c r="AF452" s="101"/>
      <c r="AG452" s="108" t="str">
        <f aca="false">IF($AF452="","",IFERROR(VLOOKUP($AF452,'Application Portfolio'!$A$2:$B$1000,2,FALSE()),"Unknown App ID"))</f>
        <v/>
      </c>
      <c r="AH452" s="108" t="str">
        <f aca="false">IF(OR($B452="",$AF452=""),"",IFERROR(VLOOKUP($AF452,'Application Portfolio'!$A$2:$AB$1000,28,FALSE()),""))</f>
        <v/>
      </c>
    </row>
    <row r="453" customFormat="false" ht="15.75" hidden="false" customHeight="true" outlineLevel="0" collapsed="false">
      <c r="A453" s="100"/>
      <c r="B453" s="101"/>
      <c r="C453" s="101"/>
      <c r="D453" s="101"/>
      <c r="E453" s="101"/>
      <c r="F453" s="102"/>
      <c r="G453" s="102"/>
      <c r="H453" s="102"/>
      <c r="I453" s="102"/>
      <c r="J453" s="102"/>
      <c r="K453" s="102"/>
      <c r="L453" s="103" t="str">
        <f aca="false">IF(OR($B453="", $H453="", $I453="", $J453="", $K453=""),"",ROUND((VLOOKUP($H453,Lists!$E$2:$F$5,2,FALSE())*VLOOKUP($I453,Lists!$H$2:$I$4,2,FALSE())*VLOOKUP($J453,Lists!$K$2:$L$4,2,FALSE()))/VLOOKUP($K453,Lists!$N$2:$O$6,2,FALSE()),2))</f>
        <v/>
      </c>
      <c r="M453" s="104" t="str">
        <f aca="false">IF($B453="","",IF($AC453&lt;&gt;"",$AC453,IF($H453="Critical","P0",IF(NOT(ISNUMBER($L453)),"",IF($L453&gt;=Lists!$AM$2,"P0",IF($L453&gt;=Lists!$AM$3,"P1",IF($L453&gt;=Lists!$AM$4,"P2","P3")))))))</f>
        <v/>
      </c>
      <c r="N453" s="102"/>
      <c r="O453" s="101"/>
      <c r="P453" s="102"/>
      <c r="Q453" s="105"/>
      <c r="R453" s="106" t="str">
        <f aca="true">IF($Q453="","", TODAY()-$Q453)</f>
        <v/>
      </c>
      <c r="S453" s="102"/>
      <c r="T453" s="105"/>
      <c r="U453" s="105"/>
      <c r="V453" s="101"/>
      <c r="W453" s="101"/>
      <c r="X453" s="101"/>
      <c r="Y453" s="96"/>
      <c r="Z453" s="96"/>
      <c r="AA453" s="96"/>
      <c r="AC453" s="102"/>
      <c r="AD453" s="107" t="str">
        <f aca="false">IF($B453="","",IF(ISNUMBER($T453),$T453,IF(OR(NOT(ISNUMBER($Q453)),$S453=""),"",IFERROR(IF(ISNUMBER(INDEX(Lists!$AJ$2:$AJ$7,MATCH($S453,Lists!$AI$2:$AI$7,0))),$Q453+INDEX(Lists!$AJ$2:$AJ$7,MATCH($S453,Lists!$AI$2:$AI$7,0)),""),""))))</f>
        <v/>
      </c>
      <c r="AE453" s="104" t="str">
        <f aca="true">IF($B453="","",IF(AND(ISNUMBER($AD453),N($AD453)&lt;TODAY(),$N453&lt;&gt;"Done",$N453&lt;&gt;"Won't Fix",$N453&lt;&gt;"Duplicate"),"Yes","No"))</f>
        <v/>
      </c>
      <c r="AF453" s="101"/>
      <c r="AG453" s="108" t="str">
        <f aca="false">IF($AF453="","",IFERROR(VLOOKUP($AF453,'Application Portfolio'!$A$2:$B$1000,2,FALSE()),"Unknown App ID"))</f>
        <v/>
      </c>
      <c r="AH453" s="108" t="str">
        <f aca="false">IF(OR($B453="",$AF453=""),"",IFERROR(VLOOKUP($AF453,'Application Portfolio'!$A$2:$AB$1000,28,FALSE()),""))</f>
        <v/>
      </c>
    </row>
    <row r="454" customFormat="false" ht="15.75" hidden="false" customHeight="true" outlineLevel="0" collapsed="false">
      <c r="A454" s="100"/>
      <c r="B454" s="101"/>
      <c r="C454" s="101"/>
      <c r="D454" s="101"/>
      <c r="E454" s="101"/>
      <c r="F454" s="102"/>
      <c r="G454" s="102"/>
      <c r="H454" s="102"/>
      <c r="I454" s="102"/>
      <c r="J454" s="102"/>
      <c r="K454" s="102"/>
      <c r="L454" s="103" t="str">
        <f aca="false">IF(OR($B454="", $H454="", $I454="", $J454="", $K454=""),"",ROUND((VLOOKUP($H454,Lists!$E$2:$F$5,2,FALSE())*VLOOKUP($I454,Lists!$H$2:$I$4,2,FALSE())*VLOOKUP($J454,Lists!$K$2:$L$4,2,FALSE()))/VLOOKUP($K454,Lists!$N$2:$O$6,2,FALSE()),2))</f>
        <v/>
      </c>
      <c r="M454" s="104" t="str">
        <f aca="false">IF($B454="","",IF($AC454&lt;&gt;"",$AC454,IF($H454="Critical","P0",IF(NOT(ISNUMBER($L454)),"",IF($L454&gt;=Lists!$AM$2,"P0",IF($L454&gt;=Lists!$AM$3,"P1",IF($L454&gt;=Lists!$AM$4,"P2","P3")))))))</f>
        <v/>
      </c>
      <c r="N454" s="102"/>
      <c r="O454" s="101"/>
      <c r="P454" s="102"/>
      <c r="Q454" s="105"/>
      <c r="R454" s="106" t="str">
        <f aca="true">IF($Q454="","", TODAY()-$Q454)</f>
        <v/>
      </c>
      <c r="S454" s="102"/>
      <c r="T454" s="105"/>
      <c r="U454" s="105"/>
      <c r="V454" s="101"/>
      <c r="W454" s="101"/>
      <c r="X454" s="101"/>
      <c r="Y454" s="96"/>
      <c r="Z454" s="96"/>
      <c r="AA454" s="96"/>
      <c r="AC454" s="102"/>
      <c r="AD454" s="107" t="str">
        <f aca="false">IF($B454="","",IF(ISNUMBER($T454),$T454,IF(OR(NOT(ISNUMBER($Q454)),$S454=""),"",IFERROR(IF(ISNUMBER(INDEX(Lists!$AJ$2:$AJ$7,MATCH($S454,Lists!$AI$2:$AI$7,0))),$Q454+INDEX(Lists!$AJ$2:$AJ$7,MATCH($S454,Lists!$AI$2:$AI$7,0)),""),""))))</f>
        <v/>
      </c>
      <c r="AE454" s="104" t="str">
        <f aca="true">IF($B454="","",IF(AND(ISNUMBER($AD454),N($AD454)&lt;TODAY(),$N454&lt;&gt;"Done",$N454&lt;&gt;"Won't Fix",$N454&lt;&gt;"Duplicate"),"Yes","No"))</f>
        <v/>
      </c>
      <c r="AF454" s="101"/>
      <c r="AG454" s="108" t="str">
        <f aca="false">IF($AF454="","",IFERROR(VLOOKUP($AF454,'Application Portfolio'!$A$2:$B$1000,2,FALSE()),"Unknown App ID"))</f>
        <v/>
      </c>
      <c r="AH454" s="108" t="str">
        <f aca="false">IF(OR($B454="",$AF454=""),"",IFERROR(VLOOKUP($AF454,'Application Portfolio'!$A$2:$AB$1000,28,FALSE()),""))</f>
        <v/>
      </c>
    </row>
    <row r="455" customFormat="false" ht="15.75" hidden="false" customHeight="true" outlineLevel="0" collapsed="false">
      <c r="A455" s="100"/>
      <c r="B455" s="101"/>
      <c r="C455" s="101"/>
      <c r="D455" s="101"/>
      <c r="E455" s="101"/>
      <c r="F455" s="102"/>
      <c r="G455" s="102"/>
      <c r="H455" s="102"/>
      <c r="I455" s="102"/>
      <c r="J455" s="102"/>
      <c r="K455" s="102"/>
      <c r="L455" s="103" t="str">
        <f aca="false">IF(OR($B455="", $H455="", $I455="", $J455="", $K455=""),"",ROUND((VLOOKUP($H455,Lists!$E$2:$F$5,2,FALSE())*VLOOKUP($I455,Lists!$H$2:$I$4,2,FALSE())*VLOOKUP($J455,Lists!$K$2:$L$4,2,FALSE()))/VLOOKUP($K455,Lists!$N$2:$O$6,2,FALSE()),2))</f>
        <v/>
      </c>
      <c r="M455" s="104" t="str">
        <f aca="false">IF($B455="","",IF($AC455&lt;&gt;"",$AC455,IF($H455="Critical","P0",IF(NOT(ISNUMBER($L455)),"",IF($L455&gt;=Lists!$AM$2,"P0",IF($L455&gt;=Lists!$AM$3,"P1",IF($L455&gt;=Lists!$AM$4,"P2","P3")))))))</f>
        <v/>
      </c>
      <c r="N455" s="102"/>
      <c r="O455" s="101"/>
      <c r="P455" s="102"/>
      <c r="Q455" s="105"/>
      <c r="R455" s="106" t="str">
        <f aca="true">IF($Q455="","", TODAY()-$Q455)</f>
        <v/>
      </c>
      <c r="S455" s="102"/>
      <c r="T455" s="105"/>
      <c r="U455" s="105"/>
      <c r="V455" s="101"/>
      <c r="W455" s="101"/>
      <c r="X455" s="101"/>
      <c r="Y455" s="96"/>
      <c r="Z455" s="96"/>
      <c r="AA455" s="96"/>
      <c r="AC455" s="102"/>
      <c r="AD455" s="107" t="str">
        <f aca="false">IF($B455="","",IF(ISNUMBER($T455),$T455,IF(OR(NOT(ISNUMBER($Q455)),$S455=""),"",IFERROR(IF(ISNUMBER(INDEX(Lists!$AJ$2:$AJ$7,MATCH($S455,Lists!$AI$2:$AI$7,0))),$Q455+INDEX(Lists!$AJ$2:$AJ$7,MATCH($S455,Lists!$AI$2:$AI$7,0)),""),""))))</f>
        <v/>
      </c>
      <c r="AE455" s="104" t="str">
        <f aca="true">IF($B455="","",IF(AND(ISNUMBER($AD455),N($AD455)&lt;TODAY(),$N455&lt;&gt;"Done",$N455&lt;&gt;"Won't Fix",$N455&lt;&gt;"Duplicate"),"Yes","No"))</f>
        <v/>
      </c>
      <c r="AF455" s="101"/>
      <c r="AG455" s="108" t="str">
        <f aca="false">IF($AF455="","",IFERROR(VLOOKUP($AF455,'Application Portfolio'!$A$2:$B$1000,2,FALSE()),"Unknown App ID"))</f>
        <v/>
      </c>
      <c r="AH455" s="108" t="str">
        <f aca="false">IF(OR($B455="",$AF455=""),"",IFERROR(VLOOKUP($AF455,'Application Portfolio'!$A$2:$AB$1000,28,FALSE()),""))</f>
        <v/>
      </c>
    </row>
    <row r="456" customFormat="false" ht="15.75" hidden="false" customHeight="true" outlineLevel="0" collapsed="false">
      <c r="A456" s="100"/>
      <c r="B456" s="101"/>
      <c r="C456" s="101"/>
      <c r="D456" s="101"/>
      <c r="E456" s="101"/>
      <c r="F456" s="102"/>
      <c r="G456" s="102"/>
      <c r="H456" s="102"/>
      <c r="I456" s="102"/>
      <c r="J456" s="102"/>
      <c r="K456" s="102"/>
      <c r="L456" s="103" t="str">
        <f aca="false">IF(OR($B456="", $H456="", $I456="", $J456="", $K456=""),"",ROUND((VLOOKUP($H456,Lists!$E$2:$F$5,2,FALSE())*VLOOKUP($I456,Lists!$H$2:$I$4,2,FALSE())*VLOOKUP($J456,Lists!$K$2:$L$4,2,FALSE()))/VLOOKUP($K456,Lists!$N$2:$O$6,2,FALSE()),2))</f>
        <v/>
      </c>
      <c r="M456" s="104" t="str">
        <f aca="false">IF($B456="","",IF($AC456&lt;&gt;"",$AC456,IF($H456="Critical","P0",IF(NOT(ISNUMBER($L456)),"",IF($L456&gt;=Lists!$AM$2,"P0",IF($L456&gt;=Lists!$AM$3,"P1",IF($L456&gt;=Lists!$AM$4,"P2","P3")))))))</f>
        <v/>
      </c>
      <c r="N456" s="102"/>
      <c r="O456" s="101"/>
      <c r="P456" s="102"/>
      <c r="Q456" s="105"/>
      <c r="R456" s="106" t="str">
        <f aca="true">IF($Q456="","", TODAY()-$Q456)</f>
        <v/>
      </c>
      <c r="S456" s="102"/>
      <c r="T456" s="105"/>
      <c r="U456" s="105"/>
      <c r="V456" s="101"/>
      <c r="W456" s="101"/>
      <c r="X456" s="101"/>
      <c r="Y456" s="96"/>
      <c r="Z456" s="96"/>
      <c r="AA456" s="96"/>
      <c r="AC456" s="102"/>
      <c r="AD456" s="107" t="str">
        <f aca="false">IF($B456="","",IF(ISNUMBER($T456),$T456,IF(OR(NOT(ISNUMBER($Q456)),$S456=""),"",IFERROR(IF(ISNUMBER(INDEX(Lists!$AJ$2:$AJ$7,MATCH($S456,Lists!$AI$2:$AI$7,0))),$Q456+INDEX(Lists!$AJ$2:$AJ$7,MATCH($S456,Lists!$AI$2:$AI$7,0)),""),""))))</f>
        <v/>
      </c>
      <c r="AE456" s="104" t="str">
        <f aca="true">IF($B456="","",IF(AND(ISNUMBER($AD456),N($AD456)&lt;TODAY(),$N456&lt;&gt;"Done",$N456&lt;&gt;"Won't Fix",$N456&lt;&gt;"Duplicate"),"Yes","No"))</f>
        <v/>
      </c>
      <c r="AF456" s="101"/>
      <c r="AG456" s="108" t="str">
        <f aca="false">IF($AF456="","",IFERROR(VLOOKUP($AF456,'Application Portfolio'!$A$2:$B$1000,2,FALSE()),"Unknown App ID"))</f>
        <v/>
      </c>
      <c r="AH456" s="108" t="str">
        <f aca="false">IF(OR($B456="",$AF456=""),"",IFERROR(VLOOKUP($AF456,'Application Portfolio'!$A$2:$AB$1000,28,FALSE()),""))</f>
        <v/>
      </c>
    </row>
    <row r="457" customFormat="false" ht="15.75" hidden="false" customHeight="true" outlineLevel="0" collapsed="false">
      <c r="A457" s="100"/>
      <c r="B457" s="101"/>
      <c r="C457" s="101"/>
      <c r="D457" s="101"/>
      <c r="E457" s="101"/>
      <c r="F457" s="102"/>
      <c r="G457" s="102"/>
      <c r="H457" s="102"/>
      <c r="I457" s="102"/>
      <c r="J457" s="102"/>
      <c r="K457" s="102"/>
      <c r="L457" s="103" t="str">
        <f aca="false">IF(OR($B457="", $H457="", $I457="", $J457="", $K457=""),"",ROUND((VLOOKUP($H457,Lists!$E$2:$F$5,2,FALSE())*VLOOKUP($I457,Lists!$H$2:$I$4,2,FALSE())*VLOOKUP($J457,Lists!$K$2:$L$4,2,FALSE()))/VLOOKUP($K457,Lists!$N$2:$O$6,2,FALSE()),2))</f>
        <v/>
      </c>
      <c r="M457" s="104" t="str">
        <f aca="false">IF($B457="","",IF($AC457&lt;&gt;"",$AC457,IF($H457="Critical","P0",IF(NOT(ISNUMBER($L457)),"",IF($L457&gt;=Lists!$AM$2,"P0",IF($L457&gt;=Lists!$AM$3,"P1",IF($L457&gt;=Lists!$AM$4,"P2","P3")))))))</f>
        <v/>
      </c>
      <c r="N457" s="102"/>
      <c r="O457" s="101"/>
      <c r="P457" s="102"/>
      <c r="Q457" s="105"/>
      <c r="R457" s="106" t="str">
        <f aca="true">IF($Q457="","", TODAY()-$Q457)</f>
        <v/>
      </c>
      <c r="S457" s="102"/>
      <c r="T457" s="105"/>
      <c r="U457" s="105"/>
      <c r="V457" s="101"/>
      <c r="W457" s="101"/>
      <c r="X457" s="101"/>
      <c r="Y457" s="96"/>
      <c r="Z457" s="96"/>
      <c r="AA457" s="96"/>
      <c r="AC457" s="102"/>
      <c r="AD457" s="107" t="str">
        <f aca="false">IF($B457="","",IF(ISNUMBER($T457),$T457,IF(OR(NOT(ISNUMBER($Q457)),$S457=""),"",IFERROR(IF(ISNUMBER(INDEX(Lists!$AJ$2:$AJ$7,MATCH($S457,Lists!$AI$2:$AI$7,0))),$Q457+INDEX(Lists!$AJ$2:$AJ$7,MATCH($S457,Lists!$AI$2:$AI$7,0)),""),""))))</f>
        <v/>
      </c>
      <c r="AE457" s="104" t="str">
        <f aca="true">IF($B457="","",IF(AND(ISNUMBER($AD457),N($AD457)&lt;TODAY(),$N457&lt;&gt;"Done",$N457&lt;&gt;"Won't Fix",$N457&lt;&gt;"Duplicate"),"Yes","No"))</f>
        <v/>
      </c>
      <c r="AF457" s="101"/>
      <c r="AG457" s="108" t="str">
        <f aca="false">IF($AF457="","",IFERROR(VLOOKUP($AF457,'Application Portfolio'!$A$2:$B$1000,2,FALSE()),"Unknown App ID"))</f>
        <v/>
      </c>
      <c r="AH457" s="108" t="str">
        <f aca="false">IF(OR($B457="",$AF457=""),"",IFERROR(VLOOKUP($AF457,'Application Portfolio'!$A$2:$AB$1000,28,FALSE()),""))</f>
        <v/>
      </c>
    </row>
    <row r="458" customFormat="false" ht="15.75" hidden="false" customHeight="true" outlineLevel="0" collapsed="false">
      <c r="A458" s="100"/>
      <c r="B458" s="101"/>
      <c r="C458" s="101"/>
      <c r="D458" s="101"/>
      <c r="E458" s="101"/>
      <c r="F458" s="102"/>
      <c r="G458" s="102"/>
      <c r="H458" s="102"/>
      <c r="I458" s="102"/>
      <c r="J458" s="102"/>
      <c r="K458" s="102"/>
      <c r="L458" s="103" t="str">
        <f aca="false">IF(OR($B458="", $H458="", $I458="", $J458="", $K458=""),"",ROUND((VLOOKUP($H458,Lists!$E$2:$F$5,2,FALSE())*VLOOKUP($I458,Lists!$H$2:$I$4,2,FALSE())*VLOOKUP($J458,Lists!$K$2:$L$4,2,FALSE()))/VLOOKUP($K458,Lists!$N$2:$O$6,2,FALSE()),2))</f>
        <v/>
      </c>
      <c r="M458" s="104" t="str">
        <f aca="false">IF($B458="","",IF($AC458&lt;&gt;"",$AC458,IF($H458="Critical","P0",IF(NOT(ISNUMBER($L458)),"",IF($L458&gt;=Lists!$AM$2,"P0",IF($L458&gt;=Lists!$AM$3,"P1",IF($L458&gt;=Lists!$AM$4,"P2","P3")))))))</f>
        <v/>
      </c>
      <c r="N458" s="102"/>
      <c r="O458" s="101"/>
      <c r="P458" s="102"/>
      <c r="Q458" s="105"/>
      <c r="R458" s="106" t="str">
        <f aca="true">IF($Q458="","", TODAY()-$Q458)</f>
        <v/>
      </c>
      <c r="S458" s="102"/>
      <c r="T458" s="105"/>
      <c r="U458" s="105"/>
      <c r="V458" s="101"/>
      <c r="W458" s="101"/>
      <c r="X458" s="101"/>
      <c r="Y458" s="96"/>
      <c r="Z458" s="96"/>
      <c r="AA458" s="96"/>
      <c r="AC458" s="102"/>
      <c r="AD458" s="107" t="str">
        <f aca="false">IF($B458="","",IF(ISNUMBER($T458),$T458,IF(OR(NOT(ISNUMBER($Q458)),$S458=""),"",IFERROR(IF(ISNUMBER(INDEX(Lists!$AJ$2:$AJ$7,MATCH($S458,Lists!$AI$2:$AI$7,0))),$Q458+INDEX(Lists!$AJ$2:$AJ$7,MATCH($S458,Lists!$AI$2:$AI$7,0)),""),""))))</f>
        <v/>
      </c>
      <c r="AE458" s="104" t="str">
        <f aca="true">IF($B458="","",IF(AND(ISNUMBER($AD458),N($AD458)&lt;TODAY(),$N458&lt;&gt;"Done",$N458&lt;&gt;"Won't Fix",$N458&lt;&gt;"Duplicate"),"Yes","No"))</f>
        <v/>
      </c>
      <c r="AF458" s="101"/>
      <c r="AG458" s="108" t="str">
        <f aca="false">IF($AF458="","",IFERROR(VLOOKUP($AF458,'Application Portfolio'!$A$2:$B$1000,2,FALSE()),"Unknown App ID"))</f>
        <v/>
      </c>
      <c r="AH458" s="108" t="str">
        <f aca="false">IF(OR($B458="",$AF458=""),"",IFERROR(VLOOKUP($AF458,'Application Portfolio'!$A$2:$AB$1000,28,FALSE()),""))</f>
        <v/>
      </c>
    </row>
    <row r="459" customFormat="false" ht="15.75" hidden="false" customHeight="true" outlineLevel="0" collapsed="false">
      <c r="A459" s="100"/>
      <c r="B459" s="101"/>
      <c r="C459" s="101"/>
      <c r="D459" s="101"/>
      <c r="E459" s="101"/>
      <c r="F459" s="102"/>
      <c r="G459" s="102"/>
      <c r="H459" s="102"/>
      <c r="I459" s="102"/>
      <c r="J459" s="102"/>
      <c r="K459" s="102"/>
      <c r="L459" s="103" t="str">
        <f aca="false">IF(OR($B459="", $H459="", $I459="", $J459="", $K459=""),"",ROUND((VLOOKUP($H459,Lists!$E$2:$F$5,2,FALSE())*VLOOKUP($I459,Lists!$H$2:$I$4,2,FALSE())*VLOOKUP($J459,Lists!$K$2:$L$4,2,FALSE()))/VLOOKUP($K459,Lists!$N$2:$O$6,2,FALSE()),2))</f>
        <v/>
      </c>
      <c r="M459" s="104" t="str">
        <f aca="false">IF($B459="","",IF($AC459&lt;&gt;"",$AC459,IF($H459="Critical","P0",IF(NOT(ISNUMBER($L459)),"",IF($L459&gt;=Lists!$AM$2,"P0",IF($L459&gt;=Lists!$AM$3,"P1",IF($L459&gt;=Lists!$AM$4,"P2","P3")))))))</f>
        <v/>
      </c>
      <c r="N459" s="102"/>
      <c r="O459" s="101"/>
      <c r="P459" s="102"/>
      <c r="Q459" s="105"/>
      <c r="R459" s="106" t="str">
        <f aca="true">IF($Q459="","", TODAY()-$Q459)</f>
        <v/>
      </c>
      <c r="S459" s="102"/>
      <c r="T459" s="105"/>
      <c r="U459" s="105"/>
      <c r="V459" s="101"/>
      <c r="W459" s="101"/>
      <c r="X459" s="101"/>
      <c r="Y459" s="96"/>
      <c r="Z459" s="96"/>
      <c r="AA459" s="96"/>
      <c r="AC459" s="102"/>
      <c r="AD459" s="107" t="str">
        <f aca="false">IF($B459="","",IF(ISNUMBER($T459),$T459,IF(OR(NOT(ISNUMBER($Q459)),$S459=""),"",IFERROR(IF(ISNUMBER(INDEX(Lists!$AJ$2:$AJ$7,MATCH($S459,Lists!$AI$2:$AI$7,0))),$Q459+INDEX(Lists!$AJ$2:$AJ$7,MATCH($S459,Lists!$AI$2:$AI$7,0)),""),""))))</f>
        <v/>
      </c>
      <c r="AE459" s="104" t="str">
        <f aca="true">IF($B459="","",IF(AND(ISNUMBER($AD459),N($AD459)&lt;TODAY(),$N459&lt;&gt;"Done",$N459&lt;&gt;"Won't Fix",$N459&lt;&gt;"Duplicate"),"Yes","No"))</f>
        <v/>
      </c>
      <c r="AF459" s="101"/>
      <c r="AG459" s="108" t="str">
        <f aca="false">IF($AF459="","",IFERROR(VLOOKUP($AF459,'Application Portfolio'!$A$2:$B$1000,2,FALSE()),"Unknown App ID"))</f>
        <v/>
      </c>
      <c r="AH459" s="108" t="str">
        <f aca="false">IF(OR($B459="",$AF459=""),"",IFERROR(VLOOKUP($AF459,'Application Portfolio'!$A$2:$AB$1000,28,FALSE()),""))</f>
        <v/>
      </c>
    </row>
    <row r="460" customFormat="false" ht="15.75" hidden="false" customHeight="true" outlineLevel="0" collapsed="false">
      <c r="A460" s="100"/>
      <c r="B460" s="101"/>
      <c r="C460" s="101"/>
      <c r="D460" s="101"/>
      <c r="E460" s="101"/>
      <c r="F460" s="102"/>
      <c r="G460" s="102"/>
      <c r="H460" s="102"/>
      <c r="I460" s="102"/>
      <c r="J460" s="102"/>
      <c r="K460" s="102"/>
      <c r="L460" s="103" t="str">
        <f aca="false">IF(OR($B460="", $H460="", $I460="", $J460="", $K460=""),"",ROUND((VLOOKUP($H460,Lists!$E$2:$F$5,2,FALSE())*VLOOKUP($I460,Lists!$H$2:$I$4,2,FALSE())*VLOOKUP($J460,Lists!$K$2:$L$4,2,FALSE()))/VLOOKUP($K460,Lists!$N$2:$O$6,2,FALSE()),2))</f>
        <v/>
      </c>
      <c r="M460" s="104" t="str">
        <f aca="false">IF($B460="","",IF($AC460&lt;&gt;"",$AC460,IF($H460="Critical","P0",IF(NOT(ISNUMBER($L460)),"",IF($L460&gt;=Lists!$AM$2,"P0",IF($L460&gt;=Lists!$AM$3,"P1",IF($L460&gt;=Lists!$AM$4,"P2","P3")))))))</f>
        <v/>
      </c>
      <c r="N460" s="102"/>
      <c r="O460" s="101"/>
      <c r="P460" s="102"/>
      <c r="Q460" s="105"/>
      <c r="R460" s="106" t="str">
        <f aca="true">IF($Q460="","", TODAY()-$Q460)</f>
        <v/>
      </c>
      <c r="S460" s="102"/>
      <c r="T460" s="105"/>
      <c r="U460" s="105"/>
      <c r="V460" s="101"/>
      <c r="W460" s="101"/>
      <c r="X460" s="101"/>
      <c r="Y460" s="96"/>
      <c r="Z460" s="96"/>
      <c r="AA460" s="96"/>
      <c r="AC460" s="102"/>
      <c r="AD460" s="107" t="str">
        <f aca="false">IF($B460="","",IF(ISNUMBER($T460),$T460,IF(OR(NOT(ISNUMBER($Q460)),$S460=""),"",IFERROR(IF(ISNUMBER(INDEX(Lists!$AJ$2:$AJ$7,MATCH($S460,Lists!$AI$2:$AI$7,0))),$Q460+INDEX(Lists!$AJ$2:$AJ$7,MATCH($S460,Lists!$AI$2:$AI$7,0)),""),""))))</f>
        <v/>
      </c>
      <c r="AE460" s="104" t="str">
        <f aca="true">IF($B460="","",IF(AND(ISNUMBER($AD460),N($AD460)&lt;TODAY(),$N460&lt;&gt;"Done",$N460&lt;&gt;"Won't Fix",$N460&lt;&gt;"Duplicate"),"Yes","No"))</f>
        <v/>
      </c>
      <c r="AF460" s="101"/>
      <c r="AG460" s="108" t="str">
        <f aca="false">IF($AF460="","",IFERROR(VLOOKUP($AF460,'Application Portfolio'!$A$2:$B$1000,2,FALSE()),"Unknown App ID"))</f>
        <v/>
      </c>
      <c r="AH460" s="108" t="str">
        <f aca="false">IF(OR($B460="",$AF460=""),"",IFERROR(VLOOKUP($AF460,'Application Portfolio'!$A$2:$AB$1000,28,FALSE()),""))</f>
        <v/>
      </c>
    </row>
    <row r="461" customFormat="false" ht="15.75" hidden="false" customHeight="true" outlineLevel="0" collapsed="false">
      <c r="A461" s="100"/>
      <c r="B461" s="101"/>
      <c r="C461" s="101"/>
      <c r="D461" s="101"/>
      <c r="E461" s="101"/>
      <c r="F461" s="102"/>
      <c r="G461" s="102"/>
      <c r="H461" s="102"/>
      <c r="I461" s="102"/>
      <c r="J461" s="102"/>
      <c r="K461" s="102"/>
      <c r="L461" s="103" t="str">
        <f aca="false">IF(OR($B461="", $H461="", $I461="", $J461="", $K461=""),"",ROUND((VLOOKUP($H461,Lists!$E$2:$F$5,2,FALSE())*VLOOKUP($I461,Lists!$H$2:$I$4,2,FALSE())*VLOOKUP($J461,Lists!$K$2:$L$4,2,FALSE()))/VLOOKUP($K461,Lists!$N$2:$O$6,2,FALSE()),2))</f>
        <v/>
      </c>
      <c r="M461" s="104" t="str">
        <f aca="false">IF($B461="","",IF($AC461&lt;&gt;"",$AC461,IF($H461="Critical","P0",IF(NOT(ISNUMBER($L461)),"",IF($L461&gt;=Lists!$AM$2,"P0",IF($L461&gt;=Lists!$AM$3,"P1",IF($L461&gt;=Lists!$AM$4,"P2","P3")))))))</f>
        <v/>
      </c>
      <c r="N461" s="102"/>
      <c r="O461" s="101"/>
      <c r="P461" s="102"/>
      <c r="Q461" s="105"/>
      <c r="R461" s="106" t="str">
        <f aca="true">IF($Q461="","", TODAY()-$Q461)</f>
        <v/>
      </c>
      <c r="S461" s="102"/>
      <c r="T461" s="105"/>
      <c r="U461" s="105"/>
      <c r="V461" s="101"/>
      <c r="W461" s="101"/>
      <c r="X461" s="101"/>
      <c r="Y461" s="96"/>
      <c r="Z461" s="96"/>
      <c r="AA461" s="96"/>
      <c r="AC461" s="102"/>
      <c r="AD461" s="107" t="str">
        <f aca="false">IF($B461="","",IF(ISNUMBER($T461),$T461,IF(OR(NOT(ISNUMBER($Q461)),$S461=""),"",IFERROR(IF(ISNUMBER(INDEX(Lists!$AJ$2:$AJ$7,MATCH($S461,Lists!$AI$2:$AI$7,0))),$Q461+INDEX(Lists!$AJ$2:$AJ$7,MATCH($S461,Lists!$AI$2:$AI$7,0)),""),""))))</f>
        <v/>
      </c>
      <c r="AE461" s="104" t="str">
        <f aca="true">IF($B461="","",IF(AND(ISNUMBER($AD461),N($AD461)&lt;TODAY(),$N461&lt;&gt;"Done",$N461&lt;&gt;"Won't Fix",$N461&lt;&gt;"Duplicate"),"Yes","No"))</f>
        <v/>
      </c>
      <c r="AF461" s="101"/>
      <c r="AG461" s="108" t="str">
        <f aca="false">IF($AF461="","",IFERROR(VLOOKUP($AF461,'Application Portfolio'!$A$2:$B$1000,2,FALSE()),"Unknown App ID"))</f>
        <v/>
      </c>
      <c r="AH461" s="108" t="str">
        <f aca="false">IF(OR($B461="",$AF461=""),"",IFERROR(VLOOKUP($AF461,'Application Portfolio'!$A$2:$AB$1000,28,FALSE()),""))</f>
        <v/>
      </c>
    </row>
    <row r="462" customFormat="false" ht="15.75" hidden="false" customHeight="true" outlineLevel="0" collapsed="false">
      <c r="A462" s="100"/>
      <c r="B462" s="101"/>
      <c r="C462" s="101"/>
      <c r="D462" s="101"/>
      <c r="E462" s="101"/>
      <c r="F462" s="102"/>
      <c r="G462" s="102"/>
      <c r="H462" s="102"/>
      <c r="I462" s="102"/>
      <c r="J462" s="102"/>
      <c r="K462" s="102"/>
      <c r="L462" s="103" t="str">
        <f aca="false">IF(OR($B462="", $H462="", $I462="", $J462="", $K462=""),"",ROUND((VLOOKUP($H462,Lists!$E$2:$F$5,2,FALSE())*VLOOKUP($I462,Lists!$H$2:$I$4,2,FALSE())*VLOOKUP($J462,Lists!$K$2:$L$4,2,FALSE()))/VLOOKUP($K462,Lists!$N$2:$O$6,2,FALSE()),2))</f>
        <v/>
      </c>
      <c r="M462" s="104" t="str">
        <f aca="false">IF($B462="","",IF($AC462&lt;&gt;"",$AC462,IF($H462="Critical","P0",IF(NOT(ISNUMBER($L462)),"",IF($L462&gt;=Lists!$AM$2,"P0",IF($L462&gt;=Lists!$AM$3,"P1",IF($L462&gt;=Lists!$AM$4,"P2","P3")))))))</f>
        <v/>
      </c>
      <c r="N462" s="102"/>
      <c r="O462" s="101"/>
      <c r="P462" s="102"/>
      <c r="Q462" s="105"/>
      <c r="R462" s="106" t="str">
        <f aca="true">IF($Q462="","", TODAY()-$Q462)</f>
        <v/>
      </c>
      <c r="S462" s="102"/>
      <c r="T462" s="105"/>
      <c r="U462" s="105"/>
      <c r="V462" s="101"/>
      <c r="W462" s="101"/>
      <c r="X462" s="101"/>
      <c r="Y462" s="96"/>
      <c r="Z462" s="96"/>
      <c r="AA462" s="96"/>
      <c r="AC462" s="102"/>
      <c r="AD462" s="107" t="str">
        <f aca="false">IF($B462="","",IF(ISNUMBER($T462),$T462,IF(OR(NOT(ISNUMBER($Q462)),$S462=""),"",IFERROR(IF(ISNUMBER(INDEX(Lists!$AJ$2:$AJ$7,MATCH($S462,Lists!$AI$2:$AI$7,0))),$Q462+INDEX(Lists!$AJ$2:$AJ$7,MATCH($S462,Lists!$AI$2:$AI$7,0)),""),""))))</f>
        <v/>
      </c>
      <c r="AE462" s="104" t="str">
        <f aca="true">IF($B462="","",IF(AND(ISNUMBER($AD462),N($AD462)&lt;TODAY(),$N462&lt;&gt;"Done",$N462&lt;&gt;"Won't Fix",$N462&lt;&gt;"Duplicate"),"Yes","No"))</f>
        <v/>
      </c>
      <c r="AF462" s="101"/>
      <c r="AG462" s="108" t="str">
        <f aca="false">IF($AF462="","",IFERROR(VLOOKUP($AF462,'Application Portfolio'!$A$2:$B$1000,2,FALSE()),"Unknown App ID"))</f>
        <v/>
      </c>
      <c r="AH462" s="108" t="str">
        <f aca="false">IF(OR($B462="",$AF462=""),"",IFERROR(VLOOKUP($AF462,'Application Portfolio'!$A$2:$AB$1000,28,FALSE()),""))</f>
        <v/>
      </c>
    </row>
    <row r="463" customFormat="false" ht="15.75" hidden="false" customHeight="true" outlineLevel="0" collapsed="false">
      <c r="A463" s="100"/>
      <c r="B463" s="101"/>
      <c r="C463" s="101"/>
      <c r="D463" s="101"/>
      <c r="E463" s="101"/>
      <c r="F463" s="102"/>
      <c r="G463" s="102"/>
      <c r="H463" s="102"/>
      <c r="I463" s="102"/>
      <c r="J463" s="102"/>
      <c r="K463" s="102"/>
      <c r="L463" s="103" t="str">
        <f aca="false">IF(OR($B463="", $H463="", $I463="", $J463="", $K463=""),"",ROUND((VLOOKUP($H463,Lists!$E$2:$F$5,2,FALSE())*VLOOKUP($I463,Lists!$H$2:$I$4,2,FALSE())*VLOOKUP($J463,Lists!$K$2:$L$4,2,FALSE()))/VLOOKUP($K463,Lists!$N$2:$O$6,2,FALSE()),2))</f>
        <v/>
      </c>
      <c r="M463" s="104" t="str">
        <f aca="false">IF($B463="","",IF($AC463&lt;&gt;"",$AC463,IF($H463="Critical","P0",IF(NOT(ISNUMBER($L463)),"",IF($L463&gt;=Lists!$AM$2,"P0",IF($L463&gt;=Lists!$AM$3,"P1",IF($L463&gt;=Lists!$AM$4,"P2","P3")))))))</f>
        <v/>
      </c>
      <c r="N463" s="102"/>
      <c r="O463" s="101"/>
      <c r="P463" s="102"/>
      <c r="Q463" s="105"/>
      <c r="R463" s="106" t="str">
        <f aca="true">IF($Q463="","", TODAY()-$Q463)</f>
        <v/>
      </c>
      <c r="S463" s="102"/>
      <c r="T463" s="105"/>
      <c r="U463" s="105"/>
      <c r="V463" s="101"/>
      <c r="W463" s="101"/>
      <c r="X463" s="101"/>
      <c r="Y463" s="96"/>
      <c r="Z463" s="96"/>
      <c r="AA463" s="96"/>
      <c r="AC463" s="102"/>
      <c r="AD463" s="107" t="str">
        <f aca="false">IF($B463="","",IF(ISNUMBER($T463),$T463,IF(OR(NOT(ISNUMBER($Q463)),$S463=""),"",IFERROR(IF(ISNUMBER(INDEX(Lists!$AJ$2:$AJ$7,MATCH($S463,Lists!$AI$2:$AI$7,0))),$Q463+INDEX(Lists!$AJ$2:$AJ$7,MATCH($S463,Lists!$AI$2:$AI$7,0)),""),""))))</f>
        <v/>
      </c>
      <c r="AE463" s="104" t="str">
        <f aca="true">IF($B463="","",IF(AND(ISNUMBER($AD463),N($AD463)&lt;TODAY(),$N463&lt;&gt;"Done",$N463&lt;&gt;"Won't Fix",$N463&lt;&gt;"Duplicate"),"Yes","No"))</f>
        <v/>
      </c>
      <c r="AF463" s="101"/>
      <c r="AG463" s="108" t="str">
        <f aca="false">IF($AF463="","",IFERROR(VLOOKUP($AF463,'Application Portfolio'!$A$2:$B$1000,2,FALSE()),"Unknown App ID"))</f>
        <v/>
      </c>
      <c r="AH463" s="108" t="str">
        <f aca="false">IF(OR($B463="",$AF463=""),"",IFERROR(VLOOKUP($AF463,'Application Portfolio'!$A$2:$AB$1000,28,FALSE()),""))</f>
        <v/>
      </c>
    </row>
    <row r="464" customFormat="false" ht="15.75" hidden="false" customHeight="true" outlineLevel="0" collapsed="false">
      <c r="A464" s="100"/>
      <c r="B464" s="101"/>
      <c r="C464" s="101"/>
      <c r="D464" s="101"/>
      <c r="E464" s="101"/>
      <c r="F464" s="102"/>
      <c r="G464" s="102"/>
      <c r="H464" s="102"/>
      <c r="I464" s="102"/>
      <c r="J464" s="102"/>
      <c r="K464" s="102"/>
      <c r="L464" s="103" t="str">
        <f aca="false">IF(OR($B464="", $H464="", $I464="", $J464="", $K464=""),"",ROUND((VLOOKUP($H464,Lists!$E$2:$F$5,2,FALSE())*VLOOKUP($I464,Lists!$H$2:$I$4,2,FALSE())*VLOOKUP($J464,Lists!$K$2:$L$4,2,FALSE()))/VLOOKUP($K464,Lists!$N$2:$O$6,2,FALSE()),2))</f>
        <v/>
      </c>
      <c r="M464" s="104" t="str">
        <f aca="false">IF($B464="","",IF($AC464&lt;&gt;"",$AC464,IF($H464="Critical","P0",IF(NOT(ISNUMBER($L464)),"",IF($L464&gt;=Lists!$AM$2,"P0",IF($L464&gt;=Lists!$AM$3,"P1",IF($L464&gt;=Lists!$AM$4,"P2","P3")))))))</f>
        <v/>
      </c>
      <c r="N464" s="102"/>
      <c r="O464" s="101"/>
      <c r="P464" s="102"/>
      <c r="Q464" s="105"/>
      <c r="R464" s="106" t="str">
        <f aca="true">IF($Q464="","", TODAY()-$Q464)</f>
        <v/>
      </c>
      <c r="S464" s="102"/>
      <c r="T464" s="105"/>
      <c r="U464" s="105"/>
      <c r="V464" s="101"/>
      <c r="W464" s="101"/>
      <c r="X464" s="101"/>
      <c r="Y464" s="96"/>
      <c r="Z464" s="96"/>
      <c r="AA464" s="96"/>
      <c r="AC464" s="102"/>
      <c r="AD464" s="107" t="str">
        <f aca="false">IF($B464="","",IF(ISNUMBER($T464),$T464,IF(OR(NOT(ISNUMBER($Q464)),$S464=""),"",IFERROR(IF(ISNUMBER(INDEX(Lists!$AJ$2:$AJ$7,MATCH($S464,Lists!$AI$2:$AI$7,0))),$Q464+INDEX(Lists!$AJ$2:$AJ$7,MATCH($S464,Lists!$AI$2:$AI$7,0)),""),""))))</f>
        <v/>
      </c>
      <c r="AE464" s="104" t="str">
        <f aca="true">IF($B464="","",IF(AND(ISNUMBER($AD464),N($AD464)&lt;TODAY(),$N464&lt;&gt;"Done",$N464&lt;&gt;"Won't Fix",$N464&lt;&gt;"Duplicate"),"Yes","No"))</f>
        <v/>
      </c>
      <c r="AF464" s="101"/>
      <c r="AG464" s="108" t="str">
        <f aca="false">IF($AF464="","",IFERROR(VLOOKUP($AF464,'Application Portfolio'!$A$2:$B$1000,2,FALSE()),"Unknown App ID"))</f>
        <v/>
      </c>
      <c r="AH464" s="108" t="str">
        <f aca="false">IF(OR($B464="",$AF464=""),"",IFERROR(VLOOKUP($AF464,'Application Portfolio'!$A$2:$AB$1000,28,FALSE()),""))</f>
        <v/>
      </c>
    </row>
    <row r="465" customFormat="false" ht="15.75" hidden="false" customHeight="true" outlineLevel="0" collapsed="false">
      <c r="A465" s="100"/>
      <c r="B465" s="101"/>
      <c r="C465" s="101"/>
      <c r="D465" s="101"/>
      <c r="E465" s="101"/>
      <c r="F465" s="102"/>
      <c r="G465" s="102"/>
      <c r="H465" s="102"/>
      <c r="I465" s="102"/>
      <c r="J465" s="102"/>
      <c r="K465" s="102"/>
      <c r="L465" s="103" t="str">
        <f aca="false">IF(OR($B465="", $H465="", $I465="", $J465="", $K465=""),"",ROUND((VLOOKUP($H465,Lists!$E$2:$F$5,2,FALSE())*VLOOKUP($I465,Lists!$H$2:$I$4,2,FALSE())*VLOOKUP($J465,Lists!$K$2:$L$4,2,FALSE()))/VLOOKUP($K465,Lists!$N$2:$O$6,2,FALSE()),2))</f>
        <v/>
      </c>
      <c r="M465" s="104" t="str">
        <f aca="false">IF($B465="","",IF($AC465&lt;&gt;"",$AC465,IF($H465="Critical","P0",IF(NOT(ISNUMBER($L465)),"",IF($L465&gt;=Lists!$AM$2,"P0",IF($L465&gt;=Lists!$AM$3,"P1",IF($L465&gt;=Lists!$AM$4,"P2","P3")))))))</f>
        <v/>
      </c>
      <c r="N465" s="102"/>
      <c r="O465" s="101"/>
      <c r="P465" s="102"/>
      <c r="Q465" s="105"/>
      <c r="R465" s="106" t="str">
        <f aca="true">IF($Q465="","", TODAY()-$Q465)</f>
        <v/>
      </c>
      <c r="S465" s="102"/>
      <c r="T465" s="105"/>
      <c r="U465" s="105"/>
      <c r="V465" s="101"/>
      <c r="W465" s="101"/>
      <c r="X465" s="101"/>
      <c r="Y465" s="96"/>
      <c r="Z465" s="96"/>
      <c r="AA465" s="96"/>
      <c r="AC465" s="102"/>
      <c r="AD465" s="107" t="str">
        <f aca="false">IF($B465="","",IF(ISNUMBER($T465),$T465,IF(OR(NOT(ISNUMBER($Q465)),$S465=""),"",IFERROR(IF(ISNUMBER(INDEX(Lists!$AJ$2:$AJ$7,MATCH($S465,Lists!$AI$2:$AI$7,0))),$Q465+INDEX(Lists!$AJ$2:$AJ$7,MATCH($S465,Lists!$AI$2:$AI$7,0)),""),""))))</f>
        <v/>
      </c>
      <c r="AE465" s="104" t="str">
        <f aca="true">IF($B465="","",IF(AND(ISNUMBER($AD465),N($AD465)&lt;TODAY(),$N465&lt;&gt;"Done",$N465&lt;&gt;"Won't Fix",$N465&lt;&gt;"Duplicate"),"Yes","No"))</f>
        <v/>
      </c>
      <c r="AF465" s="101"/>
      <c r="AG465" s="108" t="str">
        <f aca="false">IF($AF465="","",IFERROR(VLOOKUP($AF465,'Application Portfolio'!$A$2:$B$1000,2,FALSE()),"Unknown App ID"))</f>
        <v/>
      </c>
      <c r="AH465" s="108" t="str">
        <f aca="false">IF(OR($B465="",$AF465=""),"",IFERROR(VLOOKUP($AF465,'Application Portfolio'!$A$2:$AB$1000,28,FALSE()),""))</f>
        <v/>
      </c>
    </row>
    <row r="466" customFormat="false" ht="15.75" hidden="false" customHeight="true" outlineLevel="0" collapsed="false">
      <c r="A466" s="100"/>
      <c r="B466" s="101"/>
      <c r="C466" s="101"/>
      <c r="D466" s="101"/>
      <c r="E466" s="101"/>
      <c r="F466" s="102"/>
      <c r="G466" s="102"/>
      <c r="H466" s="102"/>
      <c r="I466" s="102"/>
      <c r="J466" s="102"/>
      <c r="K466" s="102"/>
      <c r="L466" s="103" t="str">
        <f aca="false">IF(OR($B466="", $H466="", $I466="", $J466="", $K466=""),"",ROUND((VLOOKUP($H466,Lists!$E$2:$F$5,2,FALSE())*VLOOKUP($I466,Lists!$H$2:$I$4,2,FALSE())*VLOOKUP($J466,Lists!$K$2:$L$4,2,FALSE()))/VLOOKUP($K466,Lists!$N$2:$O$6,2,FALSE()),2))</f>
        <v/>
      </c>
      <c r="M466" s="104" t="str">
        <f aca="false">IF($B466="","",IF($AC466&lt;&gt;"",$AC466,IF($H466="Critical","P0",IF(NOT(ISNUMBER($L466)),"",IF($L466&gt;=Lists!$AM$2,"P0",IF($L466&gt;=Lists!$AM$3,"P1",IF($L466&gt;=Lists!$AM$4,"P2","P3")))))))</f>
        <v/>
      </c>
      <c r="N466" s="102"/>
      <c r="O466" s="101"/>
      <c r="P466" s="102"/>
      <c r="Q466" s="105"/>
      <c r="R466" s="106" t="str">
        <f aca="true">IF($Q466="","", TODAY()-$Q466)</f>
        <v/>
      </c>
      <c r="S466" s="102"/>
      <c r="T466" s="105"/>
      <c r="U466" s="105"/>
      <c r="V466" s="101"/>
      <c r="W466" s="101"/>
      <c r="X466" s="101"/>
      <c r="Y466" s="96"/>
      <c r="Z466" s="96"/>
      <c r="AA466" s="96"/>
      <c r="AC466" s="102"/>
      <c r="AD466" s="107" t="str">
        <f aca="false">IF($B466="","",IF(ISNUMBER($T466),$T466,IF(OR(NOT(ISNUMBER($Q466)),$S466=""),"",IFERROR(IF(ISNUMBER(INDEX(Lists!$AJ$2:$AJ$7,MATCH($S466,Lists!$AI$2:$AI$7,0))),$Q466+INDEX(Lists!$AJ$2:$AJ$7,MATCH($S466,Lists!$AI$2:$AI$7,0)),""),""))))</f>
        <v/>
      </c>
      <c r="AE466" s="104" t="str">
        <f aca="true">IF($B466="","",IF(AND(ISNUMBER($AD466),N($AD466)&lt;TODAY(),$N466&lt;&gt;"Done",$N466&lt;&gt;"Won't Fix",$N466&lt;&gt;"Duplicate"),"Yes","No"))</f>
        <v/>
      </c>
      <c r="AF466" s="101"/>
      <c r="AG466" s="108" t="str">
        <f aca="false">IF($AF466="","",IFERROR(VLOOKUP($AF466,'Application Portfolio'!$A$2:$B$1000,2,FALSE()),"Unknown App ID"))</f>
        <v/>
      </c>
      <c r="AH466" s="108" t="str">
        <f aca="false">IF(OR($B466="",$AF466=""),"",IFERROR(VLOOKUP($AF466,'Application Portfolio'!$A$2:$AB$1000,28,FALSE()),""))</f>
        <v/>
      </c>
    </row>
    <row r="467" customFormat="false" ht="15.75" hidden="false" customHeight="true" outlineLevel="0" collapsed="false">
      <c r="A467" s="100"/>
      <c r="B467" s="101"/>
      <c r="C467" s="101"/>
      <c r="D467" s="101"/>
      <c r="E467" s="101"/>
      <c r="F467" s="102"/>
      <c r="G467" s="102"/>
      <c r="H467" s="102"/>
      <c r="I467" s="102"/>
      <c r="J467" s="102"/>
      <c r="K467" s="102"/>
      <c r="L467" s="103" t="str">
        <f aca="false">IF(OR($B467="", $H467="", $I467="", $J467="", $K467=""),"",ROUND((VLOOKUP($H467,Lists!$E$2:$F$5,2,FALSE())*VLOOKUP($I467,Lists!$H$2:$I$4,2,FALSE())*VLOOKUP($J467,Lists!$K$2:$L$4,2,FALSE()))/VLOOKUP($K467,Lists!$N$2:$O$6,2,FALSE()),2))</f>
        <v/>
      </c>
      <c r="M467" s="104" t="str">
        <f aca="false">IF($B467="","",IF($AC467&lt;&gt;"",$AC467,IF($H467="Critical","P0",IF(NOT(ISNUMBER($L467)),"",IF($L467&gt;=Lists!$AM$2,"P0",IF($L467&gt;=Lists!$AM$3,"P1",IF($L467&gt;=Lists!$AM$4,"P2","P3")))))))</f>
        <v/>
      </c>
      <c r="N467" s="102"/>
      <c r="O467" s="101"/>
      <c r="P467" s="102"/>
      <c r="Q467" s="105"/>
      <c r="R467" s="106" t="str">
        <f aca="true">IF($Q467="","", TODAY()-$Q467)</f>
        <v/>
      </c>
      <c r="S467" s="102"/>
      <c r="T467" s="105"/>
      <c r="U467" s="105"/>
      <c r="V467" s="101"/>
      <c r="W467" s="101"/>
      <c r="X467" s="101"/>
      <c r="Y467" s="96"/>
      <c r="Z467" s="96"/>
      <c r="AA467" s="96"/>
      <c r="AC467" s="102"/>
      <c r="AD467" s="107" t="str">
        <f aca="false">IF($B467="","",IF(ISNUMBER($T467),$T467,IF(OR(NOT(ISNUMBER($Q467)),$S467=""),"",IFERROR(IF(ISNUMBER(INDEX(Lists!$AJ$2:$AJ$7,MATCH($S467,Lists!$AI$2:$AI$7,0))),$Q467+INDEX(Lists!$AJ$2:$AJ$7,MATCH($S467,Lists!$AI$2:$AI$7,0)),""),""))))</f>
        <v/>
      </c>
      <c r="AE467" s="104" t="str">
        <f aca="true">IF($B467="","",IF(AND(ISNUMBER($AD467),N($AD467)&lt;TODAY(),$N467&lt;&gt;"Done",$N467&lt;&gt;"Won't Fix",$N467&lt;&gt;"Duplicate"),"Yes","No"))</f>
        <v/>
      </c>
      <c r="AF467" s="101"/>
      <c r="AG467" s="108" t="str">
        <f aca="false">IF($AF467="","",IFERROR(VLOOKUP($AF467,'Application Portfolio'!$A$2:$B$1000,2,FALSE()),"Unknown App ID"))</f>
        <v/>
      </c>
      <c r="AH467" s="108" t="str">
        <f aca="false">IF(OR($B467="",$AF467=""),"",IFERROR(VLOOKUP($AF467,'Application Portfolio'!$A$2:$AB$1000,28,FALSE()),""))</f>
        <v/>
      </c>
    </row>
    <row r="468" customFormat="false" ht="15.75" hidden="false" customHeight="true" outlineLevel="0" collapsed="false">
      <c r="A468" s="100"/>
      <c r="B468" s="101"/>
      <c r="C468" s="101"/>
      <c r="D468" s="101"/>
      <c r="E468" s="101"/>
      <c r="F468" s="102"/>
      <c r="G468" s="102"/>
      <c r="H468" s="102"/>
      <c r="I468" s="102"/>
      <c r="J468" s="102"/>
      <c r="K468" s="102"/>
      <c r="L468" s="103" t="str">
        <f aca="false">IF(OR($B468="", $H468="", $I468="", $J468="", $K468=""),"",ROUND((VLOOKUP($H468,Lists!$E$2:$F$5,2,FALSE())*VLOOKUP($I468,Lists!$H$2:$I$4,2,FALSE())*VLOOKUP($J468,Lists!$K$2:$L$4,2,FALSE()))/VLOOKUP($K468,Lists!$N$2:$O$6,2,FALSE()),2))</f>
        <v/>
      </c>
      <c r="M468" s="104" t="str">
        <f aca="false">IF($B468="","",IF($AC468&lt;&gt;"",$AC468,IF($H468="Critical","P0",IF(NOT(ISNUMBER($L468)),"",IF($L468&gt;=Lists!$AM$2,"P0",IF($L468&gt;=Lists!$AM$3,"P1",IF($L468&gt;=Lists!$AM$4,"P2","P3")))))))</f>
        <v/>
      </c>
      <c r="N468" s="102"/>
      <c r="O468" s="101"/>
      <c r="P468" s="102"/>
      <c r="Q468" s="105"/>
      <c r="R468" s="106" t="str">
        <f aca="true">IF($Q468="","", TODAY()-$Q468)</f>
        <v/>
      </c>
      <c r="S468" s="102"/>
      <c r="T468" s="105"/>
      <c r="U468" s="105"/>
      <c r="V468" s="101"/>
      <c r="W468" s="101"/>
      <c r="X468" s="101"/>
      <c r="Y468" s="96"/>
      <c r="Z468" s="96"/>
      <c r="AA468" s="96"/>
      <c r="AC468" s="102"/>
      <c r="AD468" s="107" t="str">
        <f aca="false">IF($B468="","",IF(ISNUMBER($T468),$T468,IF(OR(NOT(ISNUMBER($Q468)),$S468=""),"",IFERROR(IF(ISNUMBER(INDEX(Lists!$AJ$2:$AJ$7,MATCH($S468,Lists!$AI$2:$AI$7,0))),$Q468+INDEX(Lists!$AJ$2:$AJ$7,MATCH($S468,Lists!$AI$2:$AI$7,0)),""),""))))</f>
        <v/>
      </c>
      <c r="AE468" s="104" t="str">
        <f aca="true">IF($B468="","",IF(AND(ISNUMBER($AD468),N($AD468)&lt;TODAY(),$N468&lt;&gt;"Done",$N468&lt;&gt;"Won't Fix",$N468&lt;&gt;"Duplicate"),"Yes","No"))</f>
        <v/>
      </c>
      <c r="AF468" s="101"/>
      <c r="AG468" s="108" t="str">
        <f aca="false">IF($AF468="","",IFERROR(VLOOKUP($AF468,'Application Portfolio'!$A$2:$B$1000,2,FALSE()),"Unknown App ID"))</f>
        <v/>
      </c>
      <c r="AH468" s="108" t="str">
        <f aca="false">IF(OR($B468="",$AF468=""),"",IFERROR(VLOOKUP($AF468,'Application Portfolio'!$A$2:$AB$1000,28,FALSE()),""))</f>
        <v/>
      </c>
    </row>
    <row r="469" customFormat="false" ht="15.75" hidden="false" customHeight="true" outlineLevel="0" collapsed="false">
      <c r="A469" s="100"/>
      <c r="B469" s="101"/>
      <c r="C469" s="101"/>
      <c r="D469" s="101"/>
      <c r="E469" s="101"/>
      <c r="F469" s="102"/>
      <c r="G469" s="102"/>
      <c r="H469" s="102"/>
      <c r="I469" s="102"/>
      <c r="J469" s="102"/>
      <c r="K469" s="102"/>
      <c r="L469" s="103" t="str">
        <f aca="false">IF(OR($B469="", $H469="", $I469="", $J469="", $K469=""),"",ROUND((VLOOKUP($H469,Lists!$E$2:$F$5,2,FALSE())*VLOOKUP($I469,Lists!$H$2:$I$4,2,FALSE())*VLOOKUP($J469,Lists!$K$2:$L$4,2,FALSE()))/VLOOKUP($K469,Lists!$N$2:$O$6,2,FALSE()),2))</f>
        <v/>
      </c>
      <c r="M469" s="104" t="str">
        <f aca="false">IF($B469="","",IF($AC469&lt;&gt;"",$AC469,IF($H469="Critical","P0",IF(NOT(ISNUMBER($L469)),"",IF($L469&gt;=Lists!$AM$2,"P0",IF($L469&gt;=Lists!$AM$3,"P1",IF($L469&gt;=Lists!$AM$4,"P2","P3")))))))</f>
        <v/>
      </c>
      <c r="N469" s="102"/>
      <c r="O469" s="101"/>
      <c r="P469" s="102"/>
      <c r="Q469" s="105"/>
      <c r="R469" s="106" t="str">
        <f aca="true">IF($Q469="","", TODAY()-$Q469)</f>
        <v/>
      </c>
      <c r="S469" s="102"/>
      <c r="T469" s="105"/>
      <c r="U469" s="105"/>
      <c r="V469" s="101"/>
      <c r="W469" s="101"/>
      <c r="X469" s="101"/>
      <c r="Y469" s="96"/>
      <c r="Z469" s="96"/>
      <c r="AA469" s="96"/>
      <c r="AC469" s="102"/>
      <c r="AD469" s="107" t="str">
        <f aca="false">IF($B469="","",IF(ISNUMBER($T469),$T469,IF(OR(NOT(ISNUMBER($Q469)),$S469=""),"",IFERROR(IF(ISNUMBER(INDEX(Lists!$AJ$2:$AJ$7,MATCH($S469,Lists!$AI$2:$AI$7,0))),$Q469+INDEX(Lists!$AJ$2:$AJ$7,MATCH($S469,Lists!$AI$2:$AI$7,0)),""),""))))</f>
        <v/>
      </c>
      <c r="AE469" s="104" t="str">
        <f aca="true">IF($B469="","",IF(AND(ISNUMBER($AD469),N($AD469)&lt;TODAY(),$N469&lt;&gt;"Done",$N469&lt;&gt;"Won't Fix",$N469&lt;&gt;"Duplicate"),"Yes","No"))</f>
        <v/>
      </c>
      <c r="AF469" s="101"/>
      <c r="AG469" s="108" t="str">
        <f aca="false">IF($AF469="","",IFERROR(VLOOKUP($AF469,'Application Portfolio'!$A$2:$B$1000,2,FALSE()),"Unknown App ID"))</f>
        <v/>
      </c>
      <c r="AH469" s="108" t="str">
        <f aca="false">IF(OR($B469="",$AF469=""),"",IFERROR(VLOOKUP($AF469,'Application Portfolio'!$A$2:$AB$1000,28,FALSE()),""))</f>
        <v/>
      </c>
    </row>
    <row r="470" customFormat="false" ht="15.75" hidden="false" customHeight="true" outlineLevel="0" collapsed="false">
      <c r="A470" s="100"/>
      <c r="B470" s="101"/>
      <c r="C470" s="101"/>
      <c r="D470" s="101"/>
      <c r="E470" s="101"/>
      <c r="F470" s="102"/>
      <c r="G470" s="102"/>
      <c r="H470" s="102"/>
      <c r="I470" s="102"/>
      <c r="J470" s="102"/>
      <c r="K470" s="102"/>
      <c r="L470" s="103" t="str">
        <f aca="false">IF(OR($B470="", $H470="", $I470="", $J470="", $K470=""),"",ROUND((VLOOKUP($H470,Lists!$E$2:$F$5,2,FALSE())*VLOOKUP($I470,Lists!$H$2:$I$4,2,FALSE())*VLOOKUP($J470,Lists!$K$2:$L$4,2,FALSE()))/VLOOKUP($K470,Lists!$N$2:$O$6,2,FALSE()),2))</f>
        <v/>
      </c>
      <c r="M470" s="104" t="str">
        <f aca="false">IF($B470="","",IF($AC470&lt;&gt;"",$AC470,IF($H470="Critical","P0",IF(NOT(ISNUMBER($L470)),"",IF($L470&gt;=Lists!$AM$2,"P0",IF($L470&gt;=Lists!$AM$3,"P1",IF($L470&gt;=Lists!$AM$4,"P2","P3")))))))</f>
        <v/>
      </c>
      <c r="N470" s="102"/>
      <c r="O470" s="101"/>
      <c r="P470" s="102"/>
      <c r="Q470" s="105"/>
      <c r="R470" s="106" t="str">
        <f aca="true">IF($Q470="","", TODAY()-$Q470)</f>
        <v/>
      </c>
      <c r="S470" s="102"/>
      <c r="T470" s="105"/>
      <c r="U470" s="105"/>
      <c r="V470" s="101"/>
      <c r="W470" s="101"/>
      <c r="X470" s="101"/>
      <c r="Y470" s="96"/>
      <c r="Z470" s="96"/>
      <c r="AA470" s="96"/>
      <c r="AC470" s="102"/>
      <c r="AD470" s="107" t="str">
        <f aca="false">IF($B470="","",IF(ISNUMBER($T470),$T470,IF(OR(NOT(ISNUMBER($Q470)),$S470=""),"",IFERROR(IF(ISNUMBER(INDEX(Lists!$AJ$2:$AJ$7,MATCH($S470,Lists!$AI$2:$AI$7,0))),$Q470+INDEX(Lists!$AJ$2:$AJ$7,MATCH($S470,Lists!$AI$2:$AI$7,0)),""),""))))</f>
        <v/>
      </c>
      <c r="AE470" s="104" t="str">
        <f aca="true">IF($B470="","",IF(AND(ISNUMBER($AD470),N($AD470)&lt;TODAY(),$N470&lt;&gt;"Done",$N470&lt;&gt;"Won't Fix",$N470&lt;&gt;"Duplicate"),"Yes","No"))</f>
        <v/>
      </c>
      <c r="AF470" s="101"/>
      <c r="AG470" s="108" t="str">
        <f aca="false">IF($AF470="","",IFERROR(VLOOKUP($AF470,'Application Portfolio'!$A$2:$B$1000,2,FALSE()),"Unknown App ID"))</f>
        <v/>
      </c>
      <c r="AH470" s="108" t="str">
        <f aca="false">IF(OR($B470="",$AF470=""),"",IFERROR(VLOOKUP($AF470,'Application Portfolio'!$A$2:$AB$1000,28,FALSE()),""))</f>
        <v/>
      </c>
    </row>
    <row r="471" customFormat="false" ht="15.75" hidden="false" customHeight="true" outlineLevel="0" collapsed="false">
      <c r="A471" s="100"/>
      <c r="B471" s="101"/>
      <c r="C471" s="101"/>
      <c r="D471" s="101"/>
      <c r="E471" s="101"/>
      <c r="F471" s="102"/>
      <c r="G471" s="102"/>
      <c r="H471" s="102"/>
      <c r="I471" s="102"/>
      <c r="J471" s="102"/>
      <c r="K471" s="102"/>
      <c r="L471" s="103" t="str">
        <f aca="false">IF(OR($B471="", $H471="", $I471="", $J471="", $K471=""),"",ROUND((VLOOKUP($H471,Lists!$E$2:$F$5,2,FALSE())*VLOOKUP($I471,Lists!$H$2:$I$4,2,FALSE())*VLOOKUP($J471,Lists!$K$2:$L$4,2,FALSE()))/VLOOKUP($K471,Lists!$N$2:$O$6,2,FALSE()),2))</f>
        <v/>
      </c>
      <c r="M471" s="104" t="str">
        <f aca="false">IF($B471="","",IF($AC471&lt;&gt;"",$AC471,IF($H471="Critical","P0",IF(NOT(ISNUMBER($L471)),"",IF($L471&gt;=Lists!$AM$2,"P0",IF($L471&gt;=Lists!$AM$3,"P1",IF($L471&gt;=Lists!$AM$4,"P2","P3")))))))</f>
        <v/>
      </c>
      <c r="N471" s="102"/>
      <c r="O471" s="101"/>
      <c r="P471" s="102"/>
      <c r="Q471" s="105"/>
      <c r="R471" s="106" t="str">
        <f aca="true">IF($Q471="","", TODAY()-$Q471)</f>
        <v/>
      </c>
      <c r="S471" s="102"/>
      <c r="T471" s="105"/>
      <c r="U471" s="105"/>
      <c r="V471" s="101"/>
      <c r="W471" s="101"/>
      <c r="X471" s="101"/>
      <c r="Y471" s="96"/>
      <c r="Z471" s="96"/>
      <c r="AA471" s="96"/>
      <c r="AC471" s="102"/>
      <c r="AD471" s="107" t="str">
        <f aca="false">IF($B471="","",IF(ISNUMBER($T471),$T471,IF(OR(NOT(ISNUMBER($Q471)),$S471=""),"",IFERROR(IF(ISNUMBER(INDEX(Lists!$AJ$2:$AJ$7,MATCH($S471,Lists!$AI$2:$AI$7,0))),$Q471+INDEX(Lists!$AJ$2:$AJ$7,MATCH($S471,Lists!$AI$2:$AI$7,0)),""),""))))</f>
        <v/>
      </c>
      <c r="AE471" s="104" t="str">
        <f aca="true">IF($B471="","",IF(AND(ISNUMBER($AD471),N($AD471)&lt;TODAY(),$N471&lt;&gt;"Done",$N471&lt;&gt;"Won't Fix",$N471&lt;&gt;"Duplicate"),"Yes","No"))</f>
        <v/>
      </c>
      <c r="AF471" s="101"/>
      <c r="AG471" s="108" t="str">
        <f aca="false">IF($AF471="","",IFERROR(VLOOKUP($AF471,'Application Portfolio'!$A$2:$B$1000,2,FALSE()),"Unknown App ID"))</f>
        <v/>
      </c>
      <c r="AH471" s="108" t="str">
        <f aca="false">IF(OR($B471="",$AF471=""),"",IFERROR(VLOOKUP($AF471,'Application Portfolio'!$A$2:$AB$1000,28,FALSE()),""))</f>
        <v/>
      </c>
    </row>
    <row r="472" customFormat="false" ht="15.75" hidden="false" customHeight="true" outlineLevel="0" collapsed="false">
      <c r="A472" s="100"/>
      <c r="B472" s="101"/>
      <c r="C472" s="101"/>
      <c r="D472" s="101"/>
      <c r="E472" s="101"/>
      <c r="F472" s="102"/>
      <c r="G472" s="102"/>
      <c r="H472" s="102"/>
      <c r="I472" s="102"/>
      <c r="J472" s="102"/>
      <c r="K472" s="102"/>
      <c r="L472" s="103" t="str">
        <f aca="false">IF(OR($B472="", $H472="", $I472="", $J472="", $K472=""),"",ROUND((VLOOKUP($H472,Lists!$E$2:$F$5,2,FALSE())*VLOOKUP($I472,Lists!$H$2:$I$4,2,FALSE())*VLOOKUP($J472,Lists!$K$2:$L$4,2,FALSE()))/VLOOKUP($K472,Lists!$N$2:$O$6,2,FALSE()),2))</f>
        <v/>
      </c>
      <c r="M472" s="104" t="str">
        <f aca="false">IF($B472="","",IF($AC472&lt;&gt;"",$AC472,IF($H472="Critical","P0",IF(NOT(ISNUMBER($L472)),"",IF($L472&gt;=Lists!$AM$2,"P0",IF($L472&gt;=Lists!$AM$3,"P1",IF($L472&gt;=Lists!$AM$4,"P2","P3")))))))</f>
        <v/>
      </c>
      <c r="N472" s="102"/>
      <c r="O472" s="101"/>
      <c r="P472" s="102"/>
      <c r="Q472" s="105"/>
      <c r="R472" s="106" t="str">
        <f aca="true">IF($Q472="","", TODAY()-$Q472)</f>
        <v/>
      </c>
      <c r="S472" s="102"/>
      <c r="T472" s="105"/>
      <c r="U472" s="105"/>
      <c r="V472" s="101"/>
      <c r="W472" s="101"/>
      <c r="X472" s="101"/>
      <c r="Y472" s="96"/>
      <c r="Z472" s="96"/>
      <c r="AA472" s="96"/>
      <c r="AC472" s="102"/>
      <c r="AD472" s="107" t="str">
        <f aca="false">IF($B472="","",IF(ISNUMBER($T472),$T472,IF(OR(NOT(ISNUMBER($Q472)),$S472=""),"",IFERROR(IF(ISNUMBER(INDEX(Lists!$AJ$2:$AJ$7,MATCH($S472,Lists!$AI$2:$AI$7,0))),$Q472+INDEX(Lists!$AJ$2:$AJ$7,MATCH($S472,Lists!$AI$2:$AI$7,0)),""),""))))</f>
        <v/>
      </c>
      <c r="AE472" s="104" t="str">
        <f aca="true">IF($B472="","",IF(AND(ISNUMBER($AD472),N($AD472)&lt;TODAY(),$N472&lt;&gt;"Done",$N472&lt;&gt;"Won't Fix",$N472&lt;&gt;"Duplicate"),"Yes","No"))</f>
        <v/>
      </c>
      <c r="AF472" s="101"/>
      <c r="AG472" s="108" t="str">
        <f aca="false">IF($AF472="","",IFERROR(VLOOKUP($AF472,'Application Portfolio'!$A$2:$B$1000,2,FALSE()),"Unknown App ID"))</f>
        <v/>
      </c>
      <c r="AH472" s="108" t="str">
        <f aca="false">IF(OR($B472="",$AF472=""),"",IFERROR(VLOOKUP($AF472,'Application Portfolio'!$A$2:$AB$1000,28,FALSE()),""))</f>
        <v/>
      </c>
    </row>
    <row r="473" customFormat="false" ht="15.75" hidden="false" customHeight="true" outlineLevel="0" collapsed="false">
      <c r="A473" s="100"/>
      <c r="B473" s="101"/>
      <c r="C473" s="101"/>
      <c r="D473" s="101"/>
      <c r="E473" s="101"/>
      <c r="F473" s="102"/>
      <c r="G473" s="102"/>
      <c r="H473" s="102"/>
      <c r="I473" s="102"/>
      <c r="J473" s="102"/>
      <c r="K473" s="102"/>
      <c r="L473" s="103" t="str">
        <f aca="false">IF(OR($B473="", $H473="", $I473="", $J473="", $K473=""),"",ROUND((VLOOKUP($H473,Lists!$E$2:$F$5,2,FALSE())*VLOOKUP($I473,Lists!$H$2:$I$4,2,FALSE())*VLOOKUP($J473,Lists!$K$2:$L$4,2,FALSE()))/VLOOKUP($K473,Lists!$N$2:$O$6,2,FALSE()),2))</f>
        <v/>
      </c>
      <c r="M473" s="104" t="str">
        <f aca="false">IF($B473="","",IF($AC473&lt;&gt;"",$AC473,IF($H473="Critical","P0",IF(NOT(ISNUMBER($L473)),"",IF($L473&gt;=Lists!$AM$2,"P0",IF($L473&gt;=Lists!$AM$3,"P1",IF($L473&gt;=Lists!$AM$4,"P2","P3")))))))</f>
        <v/>
      </c>
      <c r="N473" s="102"/>
      <c r="O473" s="101"/>
      <c r="P473" s="102"/>
      <c r="Q473" s="105"/>
      <c r="R473" s="106" t="str">
        <f aca="true">IF($Q473="","", TODAY()-$Q473)</f>
        <v/>
      </c>
      <c r="S473" s="102"/>
      <c r="T473" s="105"/>
      <c r="U473" s="105"/>
      <c r="V473" s="101"/>
      <c r="W473" s="101"/>
      <c r="X473" s="101"/>
      <c r="Y473" s="96"/>
      <c r="Z473" s="96"/>
      <c r="AA473" s="96"/>
      <c r="AC473" s="102"/>
      <c r="AD473" s="107" t="str">
        <f aca="false">IF($B473="","",IF(ISNUMBER($T473),$T473,IF(OR(NOT(ISNUMBER($Q473)),$S473=""),"",IFERROR(IF(ISNUMBER(INDEX(Lists!$AJ$2:$AJ$7,MATCH($S473,Lists!$AI$2:$AI$7,0))),$Q473+INDEX(Lists!$AJ$2:$AJ$7,MATCH($S473,Lists!$AI$2:$AI$7,0)),""),""))))</f>
        <v/>
      </c>
      <c r="AE473" s="104" t="str">
        <f aca="true">IF($B473="","",IF(AND(ISNUMBER($AD473),N($AD473)&lt;TODAY(),$N473&lt;&gt;"Done",$N473&lt;&gt;"Won't Fix",$N473&lt;&gt;"Duplicate"),"Yes","No"))</f>
        <v/>
      </c>
      <c r="AF473" s="101"/>
      <c r="AG473" s="108" t="str">
        <f aca="false">IF($AF473="","",IFERROR(VLOOKUP($AF473,'Application Portfolio'!$A$2:$B$1000,2,FALSE()),"Unknown App ID"))</f>
        <v/>
      </c>
      <c r="AH473" s="108" t="str">
        <f aca="false">IF(OR($B473="",$AF473=""),"",IFERROR(VLOOKUP($AF473,'Application Portfolio'!$A$2:$AB$1000,28,FALSE()),""))</f>
        <v/>
      </c>
    </row>
    <row r="474" customFormat="false" ht="15.75" hidden="false" customHeight="true" outlineLevel="0" collapsed="false">
      <c r="A474" s="100"/>
      <c r="B474" s="101"/>
      <c r="C474" s="101"/>
      <c r="D474" s="101"/>
      <c r="E474" s="101"/>
      <c r="F474" s="102"/>
      <c r="G474" s="102"/>
      <c r="H474" s="102"/>
      <c r="I474" s="102"/>
      <c r="J474" s="102"/>
      <c r="K474" s="102"/>
      <c r="L474" s="103" t="str">
        <f aca="false">IF(OR($B474="", $H474="", $I474="", $J474="", $K474=""),"",ROUND((VLOOKUP($H474,Lists!$E$2:$F$5,2,FALSE())*VLOOKUP($I474,Lists!$H$2:$I$4,2,FALSE())*VLOOKUP($J474,Lists!$K$2:$L$4,2,FALSE()))/VLOOKUP($K474,Lists!$N$2:$O$6,2,FALSE()),2))</f>
        <v/>
      </c>
      <c r="M474" s="104" t="str">
        <f aca="false">IF($B474="","",IF($AC474&lt;&gt;"",$AC474,IF($H474="Critical","P0",IF(NOT(ISNUMBER($L474)),"",IF($L474&gt;=Lists!$AM$2,"P0",IF($L474&gt;=Lists!$AM$3,"P1",IF($L474&gt;=Lists!$AM$4,"P2","P3")))))))</f>
        <v/>
      </c>
      <c r="N474" s="102"/>
      <c r="O474" s="101"/>
      <c r="P474" s="102"/>
      <c r="Q474" s="105"/>
      <c r="R474" s="106" t="str">
        <f aca="true">IF($Q474="","", TODAY()-$Q474)</f>
        <v/>
      </c>
      <c r="S474" s="102"/>
      <c r="T474" s="105"/>
      <c r="U474" s="105"/>
      <c r="V474" s="101"/>
      <c r="W474" s="101"/>
      <c r="X474" s="101"/>
      <c r="Y474" s="96"/>
      <c r="Z474" s="96"/>
      <c r="AA474" s="96"/>
      <c r="AC474" s="102"/>
      <c r="AD474" s="107" t="str">
        <f aca="false">IF($B474="","",IF(ISNUMBER($T474),$T474,IF(OR(NOT(ISNUMBER($Q474)),$S474=""),"",IFERROR(IF(ISNUMBER(INDEX(Lists!$AJ$2:$AJ$7,MATCH($S474,Lists!$AI$2:$AI$7,0))),$Q474+INDEX(Lists!$AJ$2:$AJ$7,MATCH($S474,Lists!$AI$2:$AI$7,0)),""),""))))</f>
        <v/>
      </c>
      <c r="AE474" s="104" t="str">
        <f aca="true">IF($B474="","",IF(AND(ISNUMBER($AD474),N($AD474)&lt;TODAY(),$N474&lt;&gt;"Done",$N474&lt;&gt;"Won't Fix",$N474&lt;&gt;"Duplicate"),"Yes","No"))</f>
        <v/>
      </c>
      <c r="AF474" s="101"/>
      <c r="AG474" s="108" t="str">
        <f aca="false">IF($AF474="","",IFERROR(VLOOKUP($AF474,'Application Portfolio'!$A$2:$B$1000,2,FALSE()),"Unknown App ID"))</f>
        <v/>
      </c>
      <c r="AH474" s="108" t="str">
        <f aca="false">IF(OR($B474="",$AF474=""),"",IFERROR(VLOOKUP($AF474,'Application Portfolio'!$A$2:$AB$1000,28,FALSE()),""))</f>
        <v/>
      </c>
    </row>
    <row r="475" customFormat="false" ht="15.75" hidden="false" customHeight="true" outlineLevel="0" collapsed="false">
      <c r="A475" s="100"/>
      <c r="B475" s="101"/>
      <c r="C475" s="101"/>
      <c r="D475" s="101"/>
      <c r="E475" s="101"/>
      <c r="F475" s="102"/>
      <c r="G475" s="102"/>
      <c r="H475" s="102"/>
      <c r="I475" s="102"/>
      <c r="J475" s="102"/>
      <c r="K475" s="102"/>
      <c r="L475" s="103" t="str">
        <f aca="false">IF(OR($B475="", $H475="", $I475="", $J475="", $K475=""),"",ROUND((VLOOKUP($H475,Lists!$E$2:$F$5,2,FALSE())*VLOOKUP($I475,Lists!$H$2:$I$4,2,FALSE())*VLOOKUP($J475,Lists!$K$2:$L$4,2,FALSE()))/VLOOKUP($K475,Lists!$N$2:$O$6,2,FALSE()),2))</f>
        <v/>
      </c>
      <c r="M475" s="104" t="str">
        <f aca="false">IF($B475="","",IF($AC475&lt;&gt;"",$AC475,IF($H475="Critical","P0",IF(NOT(ISNUMBER($L475)),"",IF($L475&gt;=Lists!$AM$2,"P0",IF($L475&gt;=Lists!$AM$3,"P1",IF($L475&gt;=Lists!$AM$4,"P2","P3")))))))</f>
        <v/>
      </c>
      <c r="N475" s="102"/>
      <c r="O475" s="101"/>
      <c r="P475" s="102"/>
      <c r="Q475" s="105"/>
      <c r="R475" s="106" t="str">
        <f aca="true">IF($Q475="","", TODAY()-$Q475)</f>
        <v/>
      </c>
      <c r="S475" s="102"/>
      <c r="T475" s="105"/>
      <c r="U475" s="105"/>
      <c r="V475" s="101"/>
      <c r="W475" s="101"/>
      <c r="X475" s="101"/>
      <c r="Y475" s="96"/>
      <c r="Z475" s="96"/>
      <c r="AA475" s="96"/>
      <c r="AC475" s="102"/>
      <c r="AD475" s="107" t="str">
        <f aca="false">IF($B475="","",IF(ISNUMBER($T475),$T475,IF(OR(NOT(ISNUMBER($Q475)),$S475=""),"",IFERROR(IF(ISNUMBER(INDEX(Lists!$AJ$2:$AJ$7,MATCH($S475,Lists!$AI$2:$AI$7,0))),$Q475+INDEX(Lists!$AJ$2:$AJ$7,MATCH($S475,Lists!$AI$2:$AI$7,0)),""),""))))</f>
        <v/>
      </c>
      <c r="AE475" s="104" t="str">
        <f aca="true">IF($B475="","",IF(AND(ISNUMBER($AD475),N($AD475)&lt;TODAY(),$N475&lt;&gt;"Done",$N475&lt;&gt;"Won't Fix",$N475&lt;&gt;"Duplicate"),"Yes","No"))</f>
        <v/>
      </c>
      <c r="AF475" s="101"/>
      <c r="AG475" s="108" t="str">
        <f aca="false">IF($AF475="","",IFERROR(VLOOKUP($AF475,'Application Portfolio'!$A$2:$B$1000,2,FALSE()),"Unknown App ID"))</f>
        <v/>
      </c>
      <c r="AH475" s="108" t="str">
        <f aca="false">IF(OR($B475="",$AF475=""),"",IFERROR(VLOOKUP($AF475,'Application Portfolio'!$A$2:$AB$1000,28,FALSE()),""))</f>
        <v/>
      </c>
    </row>
    <row r="476" customFormat="false" ht="15.75" hidden="false" customHeight="true" outlineLevel="0" collapsed="false">
      <c r="A476" s="100"/>
      <c r="B476" s="101"/>
      <c r="C476" s="101"/>
      <c r="D476" s="101"/>
      <c r="E476" s="101"/>
      <c r="F476" s="102"/>
      <c r="G476" s="102"/>
      <c r="H476" s="102"/>
      <c r="I476" s="102"/>
      <c r="J476" s="102"/>
      <c r="K476" s="102"/>
      <c r="L476" s="103" t="str">
        <f aca="false">IF(OR($B476="", $H476="", $I476="", $J476="", $K476=""),"",ROUND((VLOOKUP($H476,Lists!$E$2:$F$5,2,FALSE())*VLOOKUP($I476,Lists!$H$2:$I$4,2,FALSE())*VLOOKUP($J476,Lists!$K$2:$L$4,2,FALSE()))/VLOOKUP($K476,Lists!$N$2:$O$6,2,FALSE()),2))</f>
        <v/>
      </c>
      <c r="M476" s="104" t="str">
        <f aca="false">IF($B476="","",IF($AC476&lt;&gt;"",$AC476,IF($H476="Critical","P0",IF(NOT(ISNUMBER($L476)),"",IF($L476&gt;=Lists!$AM$2,"P0",IF($L476&gt;=Lists!$AM$3,"P1",IF($L476&gt;=Lists!$AM$4,"P2","P3")))))))</f>
        <v/>
      </c>
      <c r="N476" s="102"/>
      <c r="O476" s="101"/>
      <c r="P476" s="102"/>
      <c r="Q476" s="105"/>
      <c r="R476" s="106" t="str">
        <f aca="true">IF($Q476="","", TODAY()-$Q476)</f>
        <v/>
      </c>
      <c r="S476" s="102"/>
      <c r="T476" s="105"/>
      <c r="U476" s="105"/>
      <c r="V476" s="101"/>
      <c r="W476" s="101"/>
      <c r="X476" s="101"/>
      <c r="Y476" s="96"/>
      <c r="Z476" s="96"/>
      <c r="AA476" s="96"/>
      <c r="AC476" s="102"/>
      <c r="AD476" s="107" t="str">
        <f aca="false">IF($B476="","",IF(ISNUMBER($T476),$T476,IF(OR(NOT(ISNUMBER($Q476)),$S476=""),"",IFERROR(IF(ISNUMBER(INDEX(Lists!$AJ$2:$AJ$7,MATCH($S476,Lists!$AI$2:$AI$7,0))),$Q476+INDEX(Lists!$AJ$2:$AJ$7,MATCH($S476,Lists!$AI$2:$AI$7,0)),""),""))))</f>
        <v/>
      </c>
      <c r="AE476" s="104" t="str">
        <f aca="true">IF($B476="","",IF(AND(ISNUMBER($AD476),N($AD476)&lt;TODAY(),$N476&lt;&gt;"Done",$N476&lt;&gt;"Won't Fix",$N476&lt;&gt;"Duplicate"),"Yes","No"))</f>
        <v/>
      </c>
      <c r="AF476" s="101"/>
      <c r="AG476" s="108" t="str">
        <f aca="false">IF($AF476="","",IFERROR(VLOOKUP($AF476,'Application Portfolio'!$A$2:$B$1000,2,FALSE()),"Unknown App ID"))</f>
        <v/>
      </c>
      <c r="AH476" s="108" t="str">
        <f aca="false">IF(OR($B476="",$AF476=""),"",IFERROR(VLOOKUP($AF476,'Application Portfolio'!$A$2:$AB$1000,28,FALSE()),""))</f>
        <v/>
      </c>
    </row>
    <row r="477" customFormat="false" ht="15.75" hidden="false" customHeight="true" outlineLevel="0" collapsed="false">
      <c r="A477" s="100"/>
      <c r="B477" s="101"/>
      <c r="C477" s="101"/>
      <c r="D477" s="101"/>
      <c r="E477" s="101"/>
      <c r="F477" s="102"/>
      <c r="G477" s="102"/>
      <c r="H477" s="102"/>
      <c r="I477" s="102"/>
      <c r="J477" s="102"/>
      <c r="K477" s="102"/>
      <c r="L477" s="103" t="str">
        <f aca="false">IF(OR($B477="", $H477="", $I477="", $J477="", $K477=""),"",ROUND((VLOOKUP($H477,Lists!$E$2:$F$5,2,FALSE())*VLOOKUP($I477,Lists!$H$2:$I$4,2,FALSE())*VLOOKUP($J477,Lists!$K$2:$L$4,2,FALSE()))/VLOOKUP($K477,Lists!$N$2:$O$6,2,FALSE()),2))</f>
        <v/>
      </c>
      <c r="M477" s="104" t="str">
        <f aca="false">IF($B477="","",IF($AC477&lt;&gt;"",$AC477,IF($H477="Critical","P0",IF(NOT(ISNUMBER($L477)),"",IF($L477&gt;=Lists!$AM$2,"P0",IF($L477&gt;=Lists!$AM$3,"P1",IF($L477&gt;=Lists!$AM$4,"P2","P3")))))))</f>
        <v/>
      </c>
      <c r="N477" s="102"/>
      <c r="O477" s="101"/>
      <c r="P477" s="102"/>
      <c r="Q477" s="105"/>
      <c r="R477" s="106" t="str">
        <f aca="true">IF($Q477="","", TODAY()-$Q477)</f>
        <v/>
      </c>
      <c r="S477" s="102"/>
      <c r="T477" s="105"/>
      <c r="U477" s="105"/>
      <c r="V477" s="101"/>
      <c r="W477" s="101"/>
      <c r="X477" s="101"/>
      <c r="Y477" s="96"/>
      <c r="Z477" s="96"/>
      <c r="AA477" s="96"/>
      <c r="AC477" s="102"/>
      <c r="AD477" s="107" t="str">
        <f aca="false">IF($B477="","",IF(ISNUMBER($T477),$T477,IF(OR(NOT(ISNUMBER($Q477)),$S477=""),"",IFERROR(IF(ISNUMBER(INDEX(Lists!$AJ$2:$AJ$7,MATCH($S477,Lists!$AI$2:$AI$7,0))),$Q477+INDEX(Lists!$AJ$2:$AJ$7,MATCH($S477,Lists!$AI$2:$AI$7,0)),""),""))))</f>
        <v/>
      </c>
      <c r="AE477" s="104" t="str">
        <f aca="true">IF($B477="","",IF(AND(ISNUMBER($AD477),N($AD477)&lt;TODAY(),$N477&lt;&gt;"Done",$N477&lt;&gt;"Won't Fix",$N477&lt;&gt;"Duplicate"),"Yes","No"))</f>
        <v/>
      </c>
      <c r="AF477" s="101"/>
      <c r="AG477" s="108" t="str">
        <f aca="false">IF($AF477="","",IFERROR(VLOOKUP($AF477,'Application Portfolio'!$A$2:$B$1000,2,FALSE()),"Unknown App ID"))</f>
        <v/>
      </c>
      <c r="AH477" s="108" t="str">
        <f aca="false">IF(OR($B477="",$AF477=""),"",IFERROR(VLOOKUP($AF477,'Application Portfolio'!$A$2:$AB$1000,28,FALSE()),""))</f>
        <v/>
      </c>
    </row>
    <row r="478" customFormat="false" ht="15.75" hidden="false" customHeight="true" outlineLevel="0" collapsed="false">
      <c r="A478" s="100"/>
      <c r="B478" s="101"/>
      <c r="C478" s="101"/>
      <c r="D478" s="101"/>
      <c r="E478" s="101"/>
      <c r="F478" s="102"/>
      <c r="G478" s="102"/>
      <c r="H478" s="102"/>
      <c r="I478" s="102"/>
      <c r="J478" s="102"/>
      <c r="K478" s="102"/>
      <c r="L478" s="103" t="str">
        <f aca="false">IF(OR($B478="", $H478="", $I478="", $J478="", $K478=""),"",ROUND((VLOOKUP($H478,Lists!$E$2:$F$5,2,FALSE())*VLOOKUP($I478,Lists!$H$2:$I$4,2,FALSE())*VLOOKUP($J478,Lists!$K$2:$L$4,2,FALSE()))/VLOOKUP($K478,Lists!$N$2:$O$6,2,FALSE()),2))</f>
        <v/>
      </c>
      <c r="M478" s="104" t="str">
        <f aca="false">IF($B478="","",IF($AC478&lt;&gt;"",$AC478,IF($H478="Critical","P0",IF(NOT(ISNUMBER($L478)),"",IF($L478&gt;=Lists!$AM$2,"P0",IF($L478&gt;=Lists!$AM$3,"P1",IF($L478&gt;=Lists!$AM$4,"P2","P3")))))))</f>
        <v/>
      </c>
      <c r="N478" s="102"/>
      <c r="O478" s="101"/>
      <c r="P478" s="102"/>
      <c r="Q478" s="105"/>
      <c r="R478" s="106" t="str">
        <f aca="true">IF($Q478="","", TODAY()-$Q478)</f>
        <v/>
      </c>
      <c r="S478" s="102"/>
      <c r="T478" s="105"/>
      <c r="U478" s="105"/>
      <c r="V478" s="101"/>
      <c r="W478" s="101"/>
      <c r="X478" s="101"/>
      <c r="Y478" s="96"/>
      <c r="Z478" s="96"/>
      <c r="AA478" s="96"/>
      <c r="AC478" s="102"/>
      <c r="AD478" s="107" t="str">
        <f aca="false">IF($B478="","",IF(ISNUMBER($T478),$T478,IF(OR(NOT(ISNUMBER($Q478)),$S478=""),"",IFERROR(IF(ISNUMBER(INDEX(Lists!$AJ$2:$AJ$7,MATCH($S478,Lists!$AI$2:$AI$7,0))),$Q478+INDEX(Lists!$AJ$2:$AJ$7,MATCH($S478,Lists!$AI$2:$AI$7,0)),""),""))))</f>
        <v/>
      </c>
      <c r="AE478" s="104" t="str">
        <f aca="true">IF($B478="","",IF(AND(ISNUMBER($AD478),N($AD478)&lt;TODAY(),$N478&lt;&gt;"Done",$N478&lt;&gt;"Won't Fix",$N478&lt;&gt;"Duplicate"),"Yes","No"))</f>
        <v/>
      </c>
      <c r="AF478" s="101"/>
      <c r="AG478" s="108" t="str">
        <f aca="false">IF($AF478="","",IFERROR(VLOOKUP($AF478,'Application Portfolio'!$A$2:$B$1000,2,FALSE()),"Unknown App ID"))</f>
        <v/>
      </c>
      <c r="AH478" s="108" t="str">
        <f aca="false">IF(OR($B478="",$AF478=""),"",IFERROR(VLOOKUP($AF478,'Application Portfolio'!$A$2:$AB$1000,28,FALSE()),""))</f>
        <v/>
      </c>
    </row>
    <row r="479" customFormat="false" ht="15.75" hidden="false" customHeight="true" outlineLevel="0" collapsed="false">
      <c r="A479" s="100"/>
      <c r="B479" s="101"/>
      <c r="C479" s="101"/>
      <c r="D479" s="101"/>
      <c r="E479" s="101"/>
      <c r="F479" s="102"/>
      <c r="G479" s="102"/>
      <c r="H479" s="102"/>
      <c r="I479" s="102"/>
      <c r="J479" s="102"/>
      <c r="K479" s="102"/>
      <c r="L479" s="103" t="str">
        <f aca="false">IF(OR($B479="", $H479="", $I479="", $J479="", $K479=""),"",ROUND((VLOOKUP($H479,Lists!$E$2:$F$5,2,FALSE())*VLOOKUP($I479,Lists!$H$2:$I$4,2,FALSE())*VLOOKUP($J479,Lists!$K$2:$L$4,2,FALSE()))/VLOOKUP($K479,Lists!$N$2:$O$6,2,FALSE()),2))</f>
        <v/>
      </c>
      <c r="M479" s="104" t="str">
        <f aca="false">IF($B479="","",IF($AC479&lt;&gt;"",$AC479,IF($H479="Critical","P0",IF(NOT(ISNUMBER($L479)),"",IF($L479&gt;=Lists!$AM$2,"P0",IF($L479&gt;=Lists!$AM$3,"P1",IF($L479&gt;=Lists!$AM$4,"P2","P3")))))))</f>
        <v/>
      </c>
      <c r="N479" s="102"/>
      <c r="O479" s="101"/>
      <c r="P479" s="102"/>
      <c r="Q479" s="105"/>
      <c r="R479" s="106" t="str">
        <f aca="true">IF($Q479="","", TODAY()-$Q479)</f>
        <v/>
      </c>
      <c r="S479" s="102"/>
      <c r="T479" s="105"/>
      <c r="U479" s="105"/>
      <c r="V479" s="101"/>
      <c r="W479" s="101"/>
      <c r="X479" s="101"/>
      <c r="Y479" s="96"/>
      <c r="Z479" s="96"/>
      <c r="AA479" s="96"/>
      <c r="AC479" s="102"/>
      <c r="AD479" s="107" t="str">
        <f aca="false">IF($B479="","",IF(ISNUMBER($T479),$T479,IF(OR(NOT(ISNUMBER($Q479)),$S479=""),"",IFERROR(IF(ISNUMBER(INDEX(Lists!$AJ$2:$AJ$7,MATCH($S479,Lists!$AI$2:$AI$7,0))),$Q479+INDEX(Lists!$AJ$2:$AJ$7,MATCH($S479,Lists!$AI$2:$AI$7,0)),""),""))))</f>
        <v/>
      </c>
      <c r="AE479" s="104" t="str">
        <f aca="true">IF($B479="","",IF(AND(ISNUMBER($AD479),N($AD479)&lt;TODAY(),$N479&lt;&gt;"Done",$N479&lt;&gt;"Won't Fix",$N479&lt;&gt;"Duplicate"),"Yes","No"))</f>
        <v/>
      </c>
      <c r="AF479" s="101"/>
      <c r="AG479" s="108" t="str">
        <f aca="false">IF($AF479="","",IFERROR(VLOOKUP($AF479,'Application Portfolio'!$A$2:$B$1000,2,FALSE()),"Unknown App ID"))</f>
        <v/>
      </c>
      <c r="AH479" s="108" t="str">
        <f aca="false">IF(OR($B479="",$AF479=""),"",IFERROR(VLOOKUP($AF479,'Application Portfolio'!$A$2:$AB$1000,28,FALSE()),""))</f>
        <v/>
      </c>
    </row>
    <row r="480" customFormat="false" ht="15.75" hidden="false" customHeight="true" outlineLevel="0" collapsed="false">
      <c r="A480" s="100"/>
      <c r="B480" s="101"/>
      <c r="C480" s="101"/>
      <c r="D480" s="101"/>
      <c r="E480" s="101"/>
      <c r="F480" s="102"/>
      <c r="G480" s="102"/>
      <c r="H480" s="102"/>
      <c r="I480" s="102"/>
      <c r="J480" s="102"/>
      <c r="K480" s="102"/>
      <c r="L480" s="103" t="str">
        <f aca="false">IF(OR($B480="", $H480="", $I480="", $J480="", $K480=""),"",ROUND((VLOOKUP($H480,Lists!$E$2:$F$5,2,FALSE())*VLOOKUP($I480,Lists!$H$2:$I$4,2,FALSE())*VLOOKUP($J480,Lists!$K$2:$L$4,2,FALSE()))/VLOOKUP($K480,Lists!$N$2:$O$6,2,FALSE()),2))</f>
        <v/>
      </c>
      <c r="M480" s="104" t="str">
        <f aca="false">IF($B480="","",IF($AC480&lt;&gt;"",$AC480,IF($H480="Critical","P0",IF(NOT(ISNUMBER($L480)),"",IF($L480&gt;=Lists!$AM$2,"P0",IF($L480&gt;=Lists!$AM$3,"P1",IF($L480&gt;=Lists!$AM$4,"P2","P3")))))))</f>
        <v/>
      </c>
      <c r="N480" s="102"/>
      <c r="O480" s="101"/>
      <c r="P480" s="102"/>
      <c r="Q480" s="105"/>
      <c r="R480" s="106" t="str">
        <f aca="true">IF($Q480="","", TODAY()-$Q480)</f>
        <v/>
      </c>
      <c r="S480" s="102"/>
      <c r="T480" s="105"/>
      <c r="U480" s="105"/>
      <c r="V480" s="101"/>
      <c r="W480" s="101"/>
      <c r="X480" s="101"/>
      <c r="Y480" s="96"/>
      <c r="Z480" s="96"/>
      <c r="AA480" s="96"/>
      <c r="AC480" s="102"/>
      <c r="AD480" s="107" t="str">
        <f aca="false">IF($B480="","",IF(ISNUMBER($T480),$T480,IF(OR(NOT(ISNUMBER($Q480)),$S480=""),"",IFERROR(IF(ISNUMBER(INDEX(Lists!$AJ$2:$AJ$7,MATCH($S480,Lists!$AI$2:$AI$7,0))),$Q480+INDEX(Lists!$AJ$2:$AJ$7,MATCH($S480,Lists!$AI$2:$AI$7,0)),""),""))))</f>
        <v/>
      </c>
      <c r="AE480" s="104" t="str">
        <f aca="true">IF($B480="","",IF(AND(ISNUMBER($AD480),N($AD480)&lt;TODAY(),$N480&lt;&gt;"Done",$N480&lt;&gt;"Won't Fix",$N480&lt;&gt;"Duplicate"),"Yes","No"))</f>
        <v/>
      </c>
      <c r="AF480" s="101"/>
      <c r="AG480" s="108" t="str">
        <f aca="false">IF($AF480="","",IFERROR(VLOOKUP($AF480,'Application Portfolio'!$A$2:$B$1000,2,FALSE()),"Unknown App ID"))</f>
        <v/>
      </c>
      <c r="AH480" s="108" t="str">
        <f aca="false">IF(OR($B480="",$AF480=""),"",IFERROR(VLOOKUP($AF480,'Application Portfolio'!$A$2:$AB$1000,28,FALSE()),""))</f>
        <v/>
      </c>
    </row>
    <row r="481" customFormat="false" ht="15.75" hidden="false" customHeight="true" outlineLevel="0" collapsed="false">
      <c r="A481" s="100"/>
      <c r="B481" s="101"/>
      <c r="C481" s="101"/>
      <c r="D481" s="101"/>
      <c r="E481" s="101"/>
      <c r="F481" s="102"/>
      <c r="G481" s="102"/>
      <c r="H481" s="102"/>
      <c r="I481" s="102"/>
      <c r="J481" s="102"/>
      <c r="K481" s="102"/>
      <c r="L481" s="103" t="str">
        <f aca="false">IF(OR($B481="", $H481="", $I481="", $J481="", $K481=""),"",ROUND((VLOOKUP($H481,Lists!$E$2:$F$5,2,FALSE())*VLOOKUP($I481,Lists!$H$2:$I$4,2,FALSE())*VLOOKUP($J481,Lists!$K$2:$L$4,2,FALSE()))/VLOOKUP($K481,Lists!$N$2:$O$6,2,FALSE()),2))</f>
        <v/>
      </c>
      <c r="M481" s="104" t="str">
        <f aca="false">IF($B481="","",IF($AC481&lt;&gt;"",$AC481,IF($H481="Critical","P0",IF(NOT(ISNUMBER($L481)),"",IF($L481&gt;=Lists!$AM$2,"P0",IF($L481&gt;=Lists!$AM$3,"P1",IF($L481&gt;=Lists!$AM$4,"P2","P3")))))))</f>
        <v/>
      </c>
      <c r="N481" s="102"/>
      <c r="O481" s="101"/>
      <c r="P481" s="102"/>
      <c r="Q481" s="105"/>
      <c r="R481" s="106" t="str">
        <f aca="true">IF($Q481="","", TODAY()-$Q481)</f>
        <v/>
      </c>
      <c r="S481" s="102"/>
      <c r="T481" s="105"/>
      <c r="U481" s="105"/>
      <c r="V481" s="101"/>
      <c r="W481" s="101"/>
      <c r="X481" s="101"/>
      <c r="Y481" s="96"/>
      <c r="Z481" s="96"/>
      <c r="AA481" s="96"/>
      <c r="AC481" s="102"/>
      <c r="AD481" s="107" t="str">
        <f aca="false">IF($B481="","",IF(ISNUMBER($T481),$T481,IF(OR(NOT(ISNUMBER($Q481)),$S481=""),"",IFERROR(IF(ISNUMBER(INDEX(Lists!$AJ$2:$AJ$7,MATCH($S481,Lists!$AI$2:$AI$7,0))),$Q481+INDEX(Lists!$AJ$2:$AJ$7,MATCH($S481,Lists!$AI$2:$AI$7,0)),""),""))))</f>
        <v/>
      </c>
      <c r="AE481" s="104" t="str">
        <f aca="true">IF($B481="","",IF(AND(ISNUMBER($AD481),N($AD481)&lt;TODAY(),$N481&lt;&gt;"Done",$N481&lt;&gt;"Won't Fix",$N481&lt;&gt;"Duplicate"),"Yes","No"))</f>
        <v/>
      </c>
      <c r="AF481" s="101"/>
      <c r="AG481" s="108" t="str">
        <f aca="false">IF($AF481="","",IFERROR(VLOOKUP($AF481,'Application Portfolio'!$A$2:$B$1000,2,FALSE()),"Unknown App ID"))</f>
        <v/>
      </c>
      <c r="AH481" s="108" t="str">
        <f aca="false">IF(OR($B481="",$AF481=""),"",IFERROR(VLOOKUP($AF481,'Application Portfolio'!$A$2:$AB$1000,28,FALSE()),""))</f>
        <v/>
      </c>
    </row>
    <row r="482" customFormat="false" ht="15.75" hidden="false" customHeight="true" outlineLevel="0" collapsed="false">
      <c r="A482" s="100"/>
      <c r="B482" s="101"/>
      <c r="C482" s="101"/>
      <c r="D482" s="101"/>
      <c r="E482" s="101"/>
      <c r="F482" s="102"/>
      <c r="G482" s="102"/>
      <c r="H482" s="102"/>
      <c r="I482" s="102"/>
      <c r="J482" s="102"/>
      <c r="K482" s="102"/>
      <c r="L482" s="103" t="str">
        <f aca="false">IF(OR($B482="", $H482="", $I482="", $J482="", $K482=""),"",ROUND((VLOOKUP($H482,Lists!$E$2:$F$5,2,FALSE())*VLOOKUP($I482,Lists!$H$2:$I$4,2,FALSE())*VLOOKUP($J482,Lists!$K$2:$L$4,2,FALSE()))/VLOOKUP($K482,Lists!$N$2:$O$6,2,FALSE()),2))</f>
        <v/>
      </c>
      <c r="M482" s="104" t="str">
        <f aca="false">IF($B482="","",IF($AC482&lt;&gt;"",$AC482,IF($H482="Critical","P0",IF(NOT(ISNUMBER($L482)),"",IF($L482&gt;=Lists!$AM$2,"P0",IF($L482&gt;=Lists!$AM$3,"P1",IF($L482&gt;=Lists!$AM$4,"P2","P3")))))))</f>
        <v/>
      </c>
      <c r="N482" s="102"/>
      <c r="O482" s="101"/>
      <c r="P482" s="102"/>
      <c r="Q482" s="105"/>
      <c r="R482" s="106" t="str">
        <f aca="true">IF($Q482="","", TODAY()-$Q482)</f>
        <v/>
      </c>
      <c r="S482" s="102"/>
      <c r="T482" s="105"/>
      <c r="U482" s="105"/>
      <c r="V482" s="101"/>
      <c r="W482" s="101"/>
      <c r="X482" s="101"/>
      <c r="Y482" s="96"/>
      <c r="Z482" s="96"/>
      <c r="AA482" s="96"/>
      <c r="AC482" s="102"/>
      <c r="AD482" s="107" t="str">
        <f aca="false">IF($B482="","",IF(ISNUMBER($T482),$T482,IF(OR(NOT(ISNUMBER($Q482)),$S482=""),"",IFERROR(IF(ISNUMBER(INDEX(Lists!$AJ$2:$AJ$7,MATCH($S482,Lists!$AI$2:$AI$7,0))),$Q482+INDEX(Lists!$AJ$2:$AJ$7,MATCH($S482,Lists!$AI$2:$AI$7,0)),""),""))))</f>
        <v/>
      </c>
      <c r="AE482" s="104" t="str">
        <f aca="true">IF($B482="","",IF(AND(ISNUMBER($AD482),N($AD482)&lt;TODAY(),$N482&lt;&gt;"Done",$N482&lt;&gt;"Won't Fix",$N482&lt;&gt;"Duplicate"),"Yes","No"))</f>
        <v/>
      </c>
      <c r="AF482" s="101"/>
      <c r="AG482" s="108" t="str">
        <f aca="false">IF($AF482="","",IFERROR(VLOOKUP($AF482,'Application Portfolio'!$A$2:$B$1000,2,FALSE()),"Unknown App ID"))</f>
        <v/>
      </c>
      <c r="AH482" s="108" t="str">
        <f aca="false">IF(OR($B482="",$AF482=""),"",IFERROR(VLOOKUP($AF482,'Application Portfolio'!$A$2:$AB$1000,28,FALSE()),""))</f>
        <v/>
      </c>
    </row>
    <row r="483" customFormat="false" ht="15.75" hidden="false" customHeight="true" outlineLevel="0" collapsed="false">
      <c r="A483" s="100"/>
      <c r="B483" s="101"/>
      <c r="C483" s="101"/>
      <c r="D483" s="101"/>
      <c r="E483" s="101"/>
      <c r="F483" s="102"/>
      <c r="G483" s="102"/>
      <c r="H483" s="102"/>
      <c r="I483" s="102"/>
      <c r="J483" s="102"/>
      <c r="K483" s="102"/>
      <c r="L483" s="103" t="str">
        <f aca="false">IF(OR($B483="", $H483="", $I483="", $J483="", $K483=""),"",ROUND((VLOOKUP($H483,Lists!$E$2:$F$5,2,FALSE())*VLOOKUP($I483,Lists!$H$2:$I$4,2,FALSE())*VLOOKUP($J483,Lists!$K$2:$L$4,2,FALSE()))/VLOOKUP($K483,Lists!$N$2:$O$6,2,FALSE()),2))</f>
        <v/>
      </c>
      <c r="M483" s="104" t="str">
        <f aca="false">IF($B483="","",IF($AC483&lt;&gt;"",$AC483,IF($H483="Critical","P0",IF(NOT(ISNUMBER($L483)),"",IF($L483&gt;=Lists!$AM$2,"P0",IF($L483&gt;=Lists!$AM$3,"P1",IF($L483&gt;=Lists!$AM$4,"P2","P3")))))))</f>
        <v/>
      </c>
      <c r="N483" s="102"/>
      <c r="O483" s="101"/>
      <c r="P483" s="102"/>
      <c r="Q483" s="105"/>
      <c r="R483" s="106" t="str">
        <f aca="true">IF($Q483="","", TODAY()-$Q483)</f>
        <v/>
      </c>
      <c r="S483" s="102"/>
      <c r="T483" s="105"/>
      <c r="U483" s="105"/>
      <c r="V483" s="101"/>
      <c r="W483" s="101"/>
      <c r="X483" s="101"/>
      <c r="Y483" s="96"/>
      <c r="Z483" s="96"/>
      <c r="AA483" s="96"/>
      <c r="AC483" s="102"/>
      <c r="AD483" s="107" t="str">
        <f aca="false">IF($B483="","",IF(ISNUMBER($T483),$T483,IF(OR(NOT(ISNUMBER($Q483)),$S483=""),"",IFERROR(IF(ISNUMBER(INDEX(Lists!$AJ$2:$AJ$7,MATCH($S483,Lists!$AI$2:$AI$7,0))),$Q483+INDEX(Lists!$AJ$2:$AJ$7,MATCH($S483,Lists!$AI$2:$AI$7,0)),""),""))))</f>
        <v/>
      </c>
      <c r="AE483" s="104" t="str">
        <f aca="true">IF($B483="","",IF(AND(ISNUMBER($AD483),N($AD483)&lt;TODAY(),$N483&lt;&gt;"Done",$N483&lt;&gt;"Won't Fix",$N483&lt;&gt;"Duplicate"),"Yes","No"))</f>
        <v/>
      </c>
      <c r="AF483" s="101"/>
      <c r="AG483" s="108" t="str">
        <f aca="false">IF($AF483="","",IFERROR(VLOOKUP($AF483,'Application Portfolio'!$A$2:$B$1000,2,FALSE()),"Unknown App ID"))</f>
        <v/>
      </c>
      <c r="AH483" s="108" t="str">
        <f aca="false">IF(OR($B483="",$AF483=""),"",IFERROR(VLOOKUP($AF483,'Application Portfolio'!$A$2:$AB$1000,28,FALSE()),""))</f>
        <v/>
      </c>
    </row>
    <row r="484" customFormat="false" ht="15.75" hidden="false" customHeight="true" outlineLevel="0" collapsed="false">
      <c r="A484" s="100"/>
      <c r="B484" s="101"/>
      <c r="C484" s="101"/>
      <c r="D484" s="101"/>
      <c r="E484" s="101"/>
      <c r="F484" s="102"/>
      <c r="G484" s="102"/>
      <c r="H484" s="102"/>
      <c r="I484" s="102"/>
      <c r="J484" s="102"/>
      <c r="K484" s="102"/>
      <c r="L484" s="103" t="str">
        <f aca="false">IF(OR($B484="", $H484="", $I484="", $J484="", $K484=""),"",ROUND((VLOOKUP($H484,Lists!$E$2:$F$5,2,FALSE())*VLOOKUP($I484,Lists!$H$2:$I$4,2,FALSE())*VLOOKUP($J484,Lists!$K$2:$L$4,2,FALSE()))/VLOOKUP($K484,Lists!$N$2:$O$6,2,FALSE()),2))</f>
        <v/>
      </c>
      <c r="M484" s="104" t="str">
        <f aca="false">IF($B484="","",IF($AC484&lt;&gt;"",$AC484,IF($H484="Critical","P0",IF(NOT(ISNUMBER($L484)),"",IF($L484&gt;=Lists!$AM$2,"P0",IF($L484&gt;=Lists!$AM$3,"P1",IF($L484&gt;=Lists!$AM$4,"P2","P3")))))))</f>
        <v/>
      </c>
      <c r="N484" s="102"/>
      <c r="O484" s="101"/>
      <c r="P484" s="102"/>
      <c r="Q484" s="105"/>
      <c r="R484" s="106" t="str">
        <f aca="true">IF($Q484="","", TODAY()-$Q484)</f>
        <v/>
      </c>
      <c r="S484" s="102"/>
      <c r="T484" s="105"/>
      <c r="U484" s="105"/>
      <c r="V484" s="101"/>
      <c r="W484" s="101"/>
      <c r="X484" s="101"/>
      <c r="Y484" s="96"/>
      <c r="Z484" s="96"/>
      <c r="AA484" s="96"/>
      <c r="AC484" s="102"/>
      <c r="AD484" s="107" t="str">
        <f aca="false">IF($B484="","",IF(ISNUMBER($T484),$T484,IF(OR(NOT(ISNUMBER($Q484)),$S484=""),"",IFERROR(IF(ISNUMBER(INDEX(Lists!$AJ$2:$AJ$7,MATCH($S484,Lists!$AI$2:$AI$7,0))),$Q484+INDEX(Lists!$AJ$2:$AJ$7,MATCH($S484,Lists!$AI$2:$AI$7,0)),""),""))))</f>
        <v/>
      </c>
      <c r="AE484" s="104" t="str">
        <f aca="true">IF($B484="","",IF(AND(ISNUMBER($AD484),N($AD484)&lt;TODAY(),$N484&lt;&gt;"Done",$N484&lt;&gt;"Won't Fix",$N484&lt;&gt;"Duplicate"),"Yes","No"))</f>
        <v/>
      </c>
      <c r="AF484" s="101"/>
      <c r="AG484" s="108" t="str">
        <f aca="false">IF($AF484="","",IFERROR(VLOOKUP($AF484,'Application Portfolio'!$A$2:$B$1000,2,FALSE()),"Unknown App ID"))</f>
        <v/>
      </c>
      <c r="AH484" s="108" t="str">
        <f aca="false">IF(OR($B484="",$AF484=""),"",IFERROR(VLOOKUP($AF484,'Application Portfolio'!$A$2:$AB$1000,28,FALSE()),""))</f>
        <v/>
      </c>
    </row>
    <row r="485" customFormat="false" ht="15.75" hidden="false" customHeight="true" outlineLevel="0" collapsed="false">
      <c r="A485" s="100"/>
      <c r="B485" s="101"/>
      <c r="C485" s="101"/>
      <c r="D485" s="101"/>
      <c r="E485" s="101"/>
      <c r="F485" s="102"/>
      <c r="G485" s="102"/>
      <c r="H485" s="102"/>
      <c r="I485" s="102"/>
      <c r="J485" s="102"/>
      <c r="K485" s="102"/>
      <c r="L485" s="103" t="str">
        <f aca="false">IF(OR($B485="", $H485="", $I485="", $J485="", $K485=""),"",ROUND((VLOOKUP($H485,Lists!$E$2:$F$5,2,FALSE())*VLOOKUP($I485,Lists!$H$2:$I$4,2,FALSE())*VLOOKUP($J485,Lists!$K$2:$L$4,2,FALSE()))/VLOOKUP($K485,Lists!$N$2:$O$6,2,FALSE()),2))</f>
        <v/>
      </c>
      <c r="M485" s="104" t="str">
        <f aca="false">IF($B485="","",IF($AC485&lt;&gt;"",$AC485,IF($H485="Critical","P0",IF(NOT(ISNUMBER($L485)),"",IF($L485&gt;=Lists!$AM$2,"P0",IF($L485&gt;=Lists!$AM$3,"P1",IF($L485&gt;=Lists!$AM$4,"P2","P3")))))))</f>
        <v/>
      </c>
      <c r="N485" s="102"/>
      <c r="O485" s="101"/>
      <c r="P485" s="102"/>
      <c r="Q485" s="105"/>
      <c r="R485" s="106" t="str">
        <f aca="true">IF($Q485="","", TODAY()-$Q485)</f>
        <v/>
      </c>
      <c r="S485" s="102"/>
      <c r="T485" s="105"/>
      <c r="U485" s="105"/>
      <c r="V485" s="101"/>
      <c r="W485" s="101"/>
      <c r="X485" s="101"/>
      <c r="Y485" s="96"/>
      <c r="Z485" s="96"/>
      <c r="AA485" s="96"/>
      <c r="AC485" s="102"/>
      <c r="AD485" s="107" t="str">
        <f aca="false">IF($B485="","",IF(ISNUMBER($T485),$T485,IF(OR(NOT(ISNUMBER($Q485)),$S485=""),"",IFERROR(IF(ISNUMBER(INDEX(Lists!$AJ$2:$AJ$7,MATCH($S485,Lists!$AI$2:$AI$7,0))),$Q485+INDEX(Lists!$AJ$2:$AJ$7,MATCH($S485,Lists!$AI$2:$AI$7,0)),""),""))))</f>
        <v/>
      </c>
      <c r="AE485" s="104" t="str">
        <f aca="true">IF($B485="","",IF(AND(ISNUMBER($AD485),N($AD485)&lt;TODAY(),$N485&lt;&gt;"Done",$N485&lt;&gt;"Won't Fix",$N485&lt;&gt;"Duplicate"),"Yes","No"))</f>
        <v/>
      </c>
      <c r="AF485" s="101"/>
      <c r="AG485" s="108" t="str">
        <f aca="false">IF($AF485="","",IFERROR(VLOOKUP($AF485,'Application Portfolio'!$A$2:$B$1000,2,FALSE()),"Unknown App ID"))</f>
        <v/>
      </c>
      <c r="AH485" s="108" t="str">
        <f aca="false">IF(OR($B485="",$AF485=""),"",IFERROR(VLOOKUP($AF485,'Application Portfolio'!$A$2:$AB$1000,28,FALSE()),""))</f>
        <v/>
      </c>
    </row>
    <row r="486" customFormat="false" ht="15.75" hidden="false" customHeight="true" outlineLevel="0" collapsed="false">
      <c r="A486" s="100"/>
      <c r="B486" s="101"/>
      <c r="C486" s="101"/>
      <c r="D486" s="101"/>
      <c r="E486" s="101"/>
      <c r="F486" s="102"/>
      <c r="G486" s="102"/>
      <c r="H486" s="102"/>
      <c r="I486" s="102"/>
      <c r="J486" s="102"/>
      <c r="K486" s="102"/>
      <c r="L486" s="103" t="str">
        <f aca="false">IF(OR($B486="", $H486="", $I486="", $J486="", $K486=""),"",ROUND((VLOOKUP($H486,Lists!$E$2:$F$5,2,FALSE())*VLOOKUP($I486,Lists!$H$2:$I$4,2,FALSE())*VLOOKUP($J486,Lists!$K$2:$L$4,2,FALSE()))/VLOOKUP($K486,Lists!$N$2:$O$6,2,FALSE()),2))</f>
        <v/>
      </c>
      <c r="M486" s="104" t="str">
        <f aca="false">IF($B486="","",IF($AC486&lt;&gt;"",$AC486,IF($H486="Critical","P0",IF(NOT(ISNUMBER($L486)),"",IF($L486&gt;=Lists!$AM$2,"P0",IF($L486&gt;=Lists!$AM$3,"P1",IF($L486&gt;=Lists!$AM$4,"P2","P3")))))))</f>
        <v/>
      </c>
      <c r="N486" s="102"/>
      <c r="O486" s="101"/>
      <c r="P486" s="102"/>
      <c r="Q486" s="105"/>
      <c r="R486" s="106" t="str">
        <f aca="true">IF($Q486="","", TODAY()-$Q486)</f>
        <v/>
      </c>
      <c r="S486" s="102"/>
      <c r="T486" s="105"/>
      <c r="U486" s="105"/>
      <c r="V486" s="101"/>
      <c r="W486" s="101"/>
      <c r="X486" s="101"/>
      <c r="Y486" s="96"/>
      <c r="Z486" s="96"/>
      <c r="AA486" s="96"/>
      <c r="AC486" s="102"/>
      <c r="AD486" s="107" t="str">
        <f aca="false">IF($B486="","",IF(ISNUMBER($T486),$T486,IF(OR(NOT(ISNUMBER($Q486)),$S486=""),"",IFERROR(IF(ISNUMBER(INDEX(Lists!$AJ$2:$AJ$7,MATCH($S486,Lists!$AI$2:$AI$7,0))),$Q486+INDEX(Lists!$AJ$2:$AJ$7,MATCH($S486,Lists!$AI$2:$AI$7,0)),""),""))))</f>
        <v/>
      </c>
      <c r="AE486" s="104" t="str">
        <f aca="true">IF($B486="","",IF(AND(ISNUMBER($AD486),N($AD486)&lt;TODAY(),$N486&lt;&gt;"Done",$N486&lt;&gt;"Won't Fix",$N486&lt;&gt;"Duplicate"),"Yes","No"))</f>
        <v/>
      </c>
      <c r="AF486" s="101"/>
      <c r="AG486" s="108" t="str">
        <f aca="false">IF($AF486="","",IFERROR(VLOOKUP($AF486,'Application Portfolio'!$A$2:$B$1000,2,FALSE()),"Unknown App ID"))</f>
        <v/>
      </c>
      <c r="AH486" s="108" t="str">
        <f aca="false">IF(OR($B486="",$AF486=""),"",IFERROR(VLOOKUP($AF486,'Application Portfolio'!$A$2:$AB$1000,28,FALSE()),""))</f>
        <v/>
      </c>
    </row>
    <row r="487" customFormat="false" ht="15.75" hidden="false" customHeight="true" outlineLevel="0" collapsed="false">
      <c r="A487" s="100"/>
      <c r="B487" s="101"/>
      <c r="C487" s="101"/>
      <c r="D487" s="101"/>
      <c r="E487" s="101"/>
      <c r="F487" s="102"/>
      <c r="G487" s="102"/>
      <c r="H487" s="102"/>
      <c r="I487" s="102"/>
      <c r="J487" s="102"/>
      <c r="K487" s="102"/>
      <c r="L487" s="103" t="str">
        <f aca="false">IF(OR($B487="", $H487="", $I487="", $J487="", $K487=""),"",ROUND((VLOOKUP($H487,Lists!$E$2:$F$5,2,FALSE())*VLOOKUP($I487,Lists!$H$2:$I$4,2,FALSE())*VLOOKUP($J487,Lists!$K$2:$L$4,2,FALSE()))/VLOOKUP($K487,Lists!$N$2:$O$6,2,FALSE()),2))</f>
        <v/>
      </c>
      <c r="M487" s="104" t="str">
        <f aca="false">IF($B487="","",IF($AC487&lt;&gt;"",$AC487,IF($H487="Critical","P0",IF(NOT(ISNUMBER($L487)),"",IF($L487&gt;=Lists!$AM$2,"P0",IF($L487&gt;=Lists!$AM$3,"P1",IF($L487&gt;=Lists!$AM$4,"P2","P3")))))))</f>
        <v/>
      </c>
      <c r="N487" s="102"/>
      <c r="O487" s="101"/>
      <c r="P487" s="102"/>
      <c r="Q487" s="105"/>
      <c r="R487" s="106" t="str">
        <f aca="true">IF($Q487="","", TODAY()-$Q487)</f>
        <v/>
      </c>
      <c r="S487" s="102"/>
      <c r="T487" s="105"/>
      <c r="U487" s="105"/>
      <c r="V487" s="101"/>
      <c r="W487" s="101"/>
      <c r="X487" s="101"/>
      <c r="Y487" s="96"/>
      <c r="Z487" s="96"/>
      <c r="AA487" s="96"/>
      <c r="AC487" s="102"/>
      <c r="AD487" s="107" t="str">
        <f aca="false">IF($B487="","",IF(ISNUMBER($T487),$T487,IF(OR(NOT(ISNUMBER($Q487)),$S487=""),"",IFERROR(IF(ISNUMBER(INDEX(Lists!$AJ$2:$AJ$7,MATCH($S487,Lists!$AI$2:$AI$7,0))),$Q487+INDEX(Lists!$AJ$2:$AJ$7,MATCH($S487,Lists!$AI$2:$AI$7,0)),""),""))))</f>
        <v/>
      </c>
      <c r="AE487" s="104" t="str">
        <f aca="true">IF($B487="","",IF(AND(ISNUMBER($AD487),N($AD487)&lt;TODAY(),$N487&lt;&gt;"Done",$N487&lt;&gt;"Won't Fix",$N487&lt;&gt;"Duplicate"),"Yes","No"))</f>
        <v/>
      </c>
      <c r="AF487" s="101"/>
      <c r="AG487" s="108" t="str">
        <f aca="false">IF($AF487="","",IFERROR(VLOOKUP($AF487,'Application Portfolio'!$A$2:$B$1000,2,FALSE()),"Unknown App ID"))</f>
        <v/>
      </c>
      <c r="AH487" s="108" t="str">
        <f aca="false">IF(OR($B487="",$AF487=""),"",IFERROR(VLOOKUP($AF487,'Application Portfolio'!$A$2:$AB$1000,28,FALSE()),""))</f>
        <v/>
      </c>
    </row>
    <row r="488" customFormat="false" ht="15.75" hidden="false" customHeight="true" outlineLevel="0" collapsed="false">
      <c r="A488" s="100"/>
      <c r="B488" s="101"/>
      <c r="C488" s="101"/>
      <c r="D488" s="101"/>
      <c r="E488" s="101"/>
      <c r="F488" s="102"/>
      <c r="G488" s="102"/>
      <c r="H488" s="102"/>
      <c r="I488" s="102"/>
      <c r="J488" s="102"/>
      <c r="K488" s="102"/>
      <c r="L488" s="103" t="str">
        <f aca="false">IF(OR($B488="", $H488="", $I488="", $J488="", $K488=""),"",ROUND((VLOOKUP($H488,Lists!$E$2:$F$5,2,FALSE())*VLOOKUP($I488,Lists!$H$2:$I$4,2,FALSE())*VLOOKUP($J488,Lists!$K$2:$L$4,2,FALSE()))/VLOOKUP($K488,Lists!$N$2:$O$6,2,FALSE()),2))</f>
        <v/>
      </c>
      <c r="M488" s="104" t="str">
        <f aca="false">IF($B488="","",IF($AC488&lt;&gt;"",$AC488,IF($H488="Critical","P0",IF(NOT(ISNUMBER($L488)),"",IF($L488&gt;=Lists!$AM$2,"P0",IF($L488&gt;=Lists!$AM$3,"P1",IF($L488&gt;=Lists!$AM$4,"P2","P3")))))))</f>
        <v/>
      </c>
      <c r="N488" s="102"/>
      <c r="O488" s="101"/>
      <c r="P488" s="102"/>
      <c r="Q488" s="105"/>
      <c r="R488" s="106" t="str">
        <f aca="true">IF($Q488="","", TODAY()-$Q488)</f>
        <v/>
      </c>
      <c r="S488" s="102"/>
      <c r="T488" s="105"/>
      <c r="U488" s="105"/>
      <c r="V488" s="101"/>
      <c r="W488" s="101"/>
      <c r="X488" s="101"/>
      <c r="Y488" s="96"/>
      <c r="Z488" s="96"/>
      <c r="AA488" s="96"/>
      <c r="AC488" s="102"/>
      <c r="AD488" s="107" t="str">
        <f aca="false">IF($B488="","",IF(ISNUMBER($T488),$T488,IF(OR(NOT(ISNUMBER($Q488)),$S488=""),"",IFERROR(IF(ISNUMBER(INDEX(Lists!$AJ$2:$AJ$7,MATCH($S488,Lists!$AI$2:$AI$7,0))),$Q488+INDEX(Lists!$AJ$2:$AJ$7,MATCH($S488,Lists!$AI$2:$AI$7,0)),""),""))))</f>
        <v/>
      </c>
      <c r="AE488" s="104" t="str">
        <f aca="true">IF($B488="","",IF(AND(ISNUMBER($AD488),N($AD488)&lt;TODAY(),$N488&lt;&gt;"Done",$N488&lt;&gt;"Won't Fix",$N488&lt;&gt;"Duplicate"),"Yes","No"))</f>
        <v/>
      </c>
      <c r="AF488" s="101"/>
      <c r="AG488" s="108" t="str">
        <f aca="false">IF($AF488="","",IFERROR(VLOOKUP($AF488,'Application Portfolio'!$A$2:$B$1000,2,FALSE()),"Unknown App ID"))</f>
        <v/>
      </c>
      <c r="AH488" s="108" t="str">
        <f aca="false">IF(OR($B488="",$AF488=""),"",IFERROR(VLOOKUP($AF488,'Application Portfolio'!$A$2:$AB$1000,28,FALSE()),""))</f>
        <v/>
      </c>
    </row>
    <row r="489" customFormat="false" ht="15.75" hidden="false" customHeight="true" outlineLevel="0" collapsed="false">
      <c r="A489" s="100"/>
      <c r="B489" s="101"/>
      <c r="C489" s="101"/>
      <c r="D489" s="101"/>
      <c r="E489" s="101"/>
      <c r="F489" s="102"/>
      <c r="G489" s="102"/>
      <c r="H489" s="102"/>
      <c r="I489" s="102"/>
      <c r="J489" s="102"/>
      <c r="K489" s="102"/>
      <c r="L489" s="103" t="str">
        <f aca="false">IF(OR($B489="", $H489="", $I489="", $J489="", $K489=""),"",ROUND((VLOOKUP($H489,Lists!$E$2:$F$5,2,FALSE())*VLOOKUP($I489,Lists!$H$2:$I$4,2,FALSE())*VLOOKUP($J489,Lists!$K$2:$L$4,2,FALSE()))/VLOOKUP($K489,Lists!$N$2:$O$6,2,FALSE()),2))</f>
        <v/>
      </c>
      <c r="M489" s="104" t="str">
        <f aca="false">IF($B489="","",IF($AC489&lt;&gt;"",$AC489,IF($H489="Critical","P0",IF(NOT(ISNUMBER($L489)),"",IF($L489&gt;=Lists!$AM$2,"P0",IF($L489&gt;=Lists!$AM$3,"P1",IF($L489&gt;=Lists!$AM$4,"P2","P3")))))))</f>
        <v/>
      </c>
      <c r="N489" s="102"/>
      <c r="O489" s="101"/>
      <c r="P489" s="102"/>
      <c r="Q489" s="105"/>
      <c r="R489" s="106" t="str">
        <f aca="true">IF($Q489="","", TODAY()-$Q489)</f>
        <v/>
      </c>
      <c r="S489" s="102"/>
      <c r="T489" s="105"/>
      <c r="U489" s="105"/>
      <c r="V489" s="101"/>
      <c r="W489" s="101"/>
      <c r="X489" s="101"/>
      <c r="Y489" s="96"/>
      <c r="Z489" s="96"/>
      <c r="AA489" s="96"/>
      <c r="AC489" s="102"/>
      <c r="AD489" s="107" t="str">
        <f aca="false">IF($B489="","",IF(ISNUMBER($T489),$T489,IF(OR(NOT(ISNUMBER($Q489)),$S489=""),"",IFERROR(IF(ISNUMBER(INDEX(Lists!$AJ$2:$AJ$7,MATCH($S489,Lists!$AI$2:$AI$7,0))),$Q489+INDEX(Lists!$AJ$2:$AJ$7,MATCH($S489,Lists!$AI$2:$AI$7,0)),""),""))))</f>
        <v/>
      </c>
      <c r="AE489" s="104" t="str">
        <f aca="true">IF($B489="","",IF(AND(ISNUMBER($AD489),N($AD489)&lt;TODAY(),$N489&lt;&gt;"Done",$N489&lt;&gt;"Won't Fix",$N489&lt;&gt;"Duplicate"),"Yes","No"))</f>
        <v/>
      </c>
      <c r="AF489" s="101"/>
      <c r="AG489" s="108" t="str">
        <f aca="false">IF($AF489="","",IFERROR(VLOOKUP($AF489,'Application Portfolio'!$A$2:$B$1000,2,FALSE()),"Unknown App ID"))</f>
        <v/>
      </c>
      <c r="AH489" s="108" t="str">
        <f aca="false">IF(OR($B489="",$AF489=""),"",IFERROR(VLOOKUP($AF489,'Application Portfolio'!$A$2:$AB$1000,28,FALSE()),""))</f>
        <v/>
      </c>
    </row>
    <row r="490" customFormat="false" ht="15.75" hidden="false" customHeight="true" outlineLevel="0" collapsed="false">
      <c r="A490" s="100"/>
      <c r="B490" s="101"/>
      <c r="C490" s="101"/>
      <c r="D490" s="101"/>
      <c r="E490" s="101"/>
      <c r="F490" s="102"/>
      <c r="G490" s="102"/>
      <c r="H490" s="102"/>
      <c r="I490" s="102"/>
      <c r="J490" s="102"/>
      <c r="K490" s="102"/>
      <c r="L490" s="103" t="str">
        <f aca="false">IF(OR($B490="", $H490="", $I490="", $J490="", $K490=""),"",ROUND((VLOOKUP($H490,Lists!$E$2:$F$5,2,FALSE())*VLOOKUP($I490,Lists!$H$2:$I$4,2,FALSE())*VLOOKUP($J490,Lists!$K$2:$L$4,2,FALSE()))/VLOOKUP($K490,Lists!$N$2:$O$6,2,FALSE()),2))</f>
        <v/>
      </c>
      <c r="M490" s="104" t="str">
        <f aca="false">IF($B490="","",IF($AC490&lt;&gt;"",$AC490,IF($H490="Critical","P0",IF(NOT(ISNUMBER($L490)),"",IF($L490&gt;=Lists!$AM$2,"P0",IF($L490&gt;=Lists!$AM$3,"P1",IF($L490&gt;=Lists!$AM$4,"P2","P3")))))))</f>
        <v/>
      </c>
      <c r="N490" s="102"/>
      <c r="O490" s="101"/>
      <c r="P490" s="102"/>
      <c r="Q490" s="105"/>
      <c r="R490" s="106" t="str">
        <f aca="true">IF($Q490="","", TODAY()-$Q490)</f>
        <v/>
      </c>
      <c r="S490" s="102"/>
      <c r="T490" s="105"/>
      <c r="U490" s="105"/>
      <c r="V490" s="101"/>
      <c r="W490" s="101"/>
      <c r="X490" s="101"/>
      <c r="Y490" s="96"/>
      <c r="Z490" s="96"/>
      <c r="AA490" s="96"/>
      <c r="AC490" s="102"/>
      <c r="AD490" s="107" t="str">
        <f aca="false">IF($B490="","",IF(ISNUMBER($T490),$T490,IF(OR(NOT(ISNUMBER($Q490)),$S490=""),"",IFERROR(IF(ISNUMBER(INDEX(Lists!$AJ$2:$AJ$7,MATCH($S490,Lists!$AI$2:$AI$7,0))),$Q490+INDEX(Lists!$AJ$2:$AJ$7,MATCH($S490,Lists!$AI$2:$AI$7,0)),""),""))))</f>
        <v/>
      </c>
      <c r="AE490" s="104" t="str">
        <f aca="true">IF($B490="","",IF(AND(ISNUMBER($AD490),N($AD490)&lt;TODAY(),$N490&lt;&gt;"Done",$N490&lt;&gt;"Won't Fix",$N490&lt;&gt;"Duplicate"),"Yes","No"))</f>
        <v/>
      </c>
      <c r="AF490" s="101"/>
      <c r="AG490" s="108" t="str">
        <f aca="false">IF($AF490="","",IFERROR(VLOOKUP($AF490,'Application Portfolio'!$A$2:$B$1000,2,FALSE()),"Unknown App ID"))</f>
        <v/>
      </c>
      <c r="AH490" s="108" t="str">
        <f aca="false">IF(OR($B490="",$AF490=""),"",IFERROR(VLOOKUP($AF490,'Application Portfolio'!$A$2:$AB$1000,28,FALSE()),""))</f>
        <v/>
      </c>
    </row>
    <row r="491" customFormat="false" ht="15.75" hidden="false" customHeight="true" outlineLevel="0" collapsed="false">
      <c r="A491" s="100"/>
      <c r="B491" s="101"/>
      <c r="C491" s="101"/>
      <c r="D491" s="101"/>
      <c r="E491" s="101"/>
      <c r="F491" s="102"/>
      <c r="G491" s="102"/>
      <c r="H491" s="102"/>
      <c r="I491" s="102"/>
      <c r="J491" s="102"/>
      <c r="K491" s="102"/>
      <c r="L491" s="103" t="str">
        <f aca="false">IF(OR($B491="", $H491="", $I491="", $J491="", $K491=""),"",ROUND((VLOOKUP($H491,Lists!$E$2:$F$5,2,FALSE())*VLOOKUP($I491,Lists!$H$2:$I$4,2,FALSE())*VLOOKUP($J491,Lists!$K$2:$L$4,2,FALSE()))/VLOOKUP($K491,Lists!$N$2:$O$6,2,FALSE()),2))</f>
        <v/>
      </c>
      <c r="M491" s="104" t="str">
        <f aca="false">IF($B491="","",IF($AC491&lt;&gt;"",$AC491,IF($H491="Critical","P0",IF(NOT(ISNUMBER($L491)),"",IF($L491&gt;=Lists!$AM$2,"P0",IF($L491&gt;=Lists!$AM$3,"P1",IF($L491&gt;=Lists!$AM$4,"P2","P3")))))))</f>
        <v/>
      </c>
      <c r="N491" s="102"/>
      <c r="O491" s="101"/>
      <c r="P491" s="102"/>
      <c r="Q491" s="105"/>
      <c r="R491" s="106" t="str">
        <f aca="true">IF($Q491="","", TODAY()-$Q491)</f>
        <v/>
      </c>
      <c r="S491" s="102"/>
      <c r="T491" s="105"/>
      <c r="U491" s="105"/>
      <c r="V491" s="101"/>
      <c r="W491" s="101"/>
      <c r="X491" s="101"/>
      <c r="Y491" s="96"/>
      <c r="Z491" s="96"/>
      <c r="AA491" s="96"/>
      <c r="AC491" s="102"/>
      <c r="AD491" s="107" t="str">
        <f aca="false">IF($B491="","",IF(ISNUMBER($T491),$T491,IF(OR(NOT(ISNUMBER($Q491)),$S491=""),"",IFERROR(IF(ISNUMBER(INDEX(Lists!$AJ$2:$AJ$7,MATCH($S491,Lists!$AI$2:$AI$7,0))),$Q491+INDEX(Lists!$AJ$2:$AJ$7,MATCH($S491,Lists!$AI$2:$AI$7,0)),""),""))))</f>
        <v/>
      </c>
      <c r="AE491" s="104" t="str">
        <f aca="true">IF($B491="","",IF(AND(ISNUMBER($AD491),N($AD491)&lt;TODAY(),$N491&lt;&gt;"Done",$N491&lt;&gt;"Won't Fix",$N491&lt;&gt;"Duplicate"),"Yes","No"))</f>
        <v/>
      </c>
      <c r="AF491" s="101"/>
      <c r="AG491" s="108" t="str">
        <f aca="false">IF($AF491="","",IFERROR(VLOOKUP($AF491,'Application Portfolio'!$A$2:$B$1000,2,FALSE()),"Unknown App ID"))</f>
        <v/>
      </c>
      <c r="AH491" s="108" t="str">
        <f aca="false">IF(OR($B491="",$AF491=""),"",IFERROR(VLOOKUP($AF491,'Application Portfolio'!$A$2:$AB$1000,28,FALSE()),""))</f>
        <v/>
      </c>
    </row>
    <row r="492" customFormat="false" ht="15.75" hidden="false" customHeight="true" outlineLevel="0" collapsed="false">
      <c r="A492" s="100"/>
      <c r="B492" s="101"/>
      <c r="C492" s="101"/>
      <c r="D492" s="101"/>
      <c r="E492" s="101"/>
      <c r="F492" s="102"/>
      <c r="G492" s="102"/>
      <c r="H492" s="102"/>
      <c r="I492" s="102"/>
      <c r="J492" s="102"/>
      <c r="K492" s="102"/>
      <c r="L492" s="103" t="str">
        <f aca="false">IF(OR($B492="", $H492="", $I492="", $J492="", $K492=""),"",ROUND((VLOOKUP($H492,Lists!$E$2:$F$5,2,FALSE())*VLOOKUP($I492,Lists!$H$2:$I$4,2,FALSE())*VLOOKUP($J492,Lists!$K$2:$L$4,2,FALSE()))/VLOOKUP($K492,Lists!$N$2:$O$6,2,FALSE()),2))</f>
        <v/>
      </c>
      <c r="M492" s="104" t="str">
        <f aca="false">IF($B492="","",IF($AC492&lt;&gt;"",$AC492,IF($H492="Critical","P0",IF(NOT(ISNUMBER($L492)),"",IF($L492&gt;=Lists!$AM$2,"P0",IF($L492&gt;=Lists!$AM$3,"P1",IF($L492&gt;=Lists!$AM$4,"P2","P3")))))))</f>
        <v/>
      </c>
      <c r="N492" s="102"/>
      <c r="O492" s="101"/>
      <c r="P492" s="102"/>
      <c r="Q492" s="105"/>
      <c r="R492" s="106" t="str">
        <f aca="true">IF($Q492="","", TODAY()-$Q492)</f>
        <v/>
      </c>
      <c r="S492" s="102"/>
      <c r="T492" s="105"/>
      <c r="U492" s="105"/>
      <c r="V492" s="101"/>
      <c r="W492" s="101"/>
      <c r="X492" s="101"/>
      <c r="Y492" s="96"/>
      <c r="Z492" s="96"/>
      <c r="AA492" s="96"/>
      <c r="AC492" s="102"/>
      <c r="AD492" s="107" t="str">
        <f aca="false">IF($B492="","",IF(ISNUMBER($T492),$T492,IF(OR(NOT(ISNUMBER($Q492)),$S492=""),"",IFERROR(IF(ISNUMBER(INDEX(Lists!$AJ$2:$AJ$7,MATCH($S492,Lists!$AI$2:$AI$7,0))),$Q492+INDEX(Lists!$AJ$2:$AJ$7,MATCH($S492,Lists!$AI$2:$AI$7,0)),""),""))))</f>
        <v/>
      </c>
      <c r="AE492" s="104" t="str">
        <f aca="true">IF($B492="","",IF(AND(ISNUMBER($AD492),N($AD492)&lt;TODAY(),$N492&lt;&gt;"Done",$N492&lt;&gt;"Won't Fix",$N492&lt;&gt;"Duplicate"),"Yes","No"))</f>
        <v/>
      </c>
      <c r="AF492" s="101"/>
      <c r="AG492" s="108" t="str">
        <f aca="false">IF($AF492="","",IFERROR(VLOOKUP($AF492,'Application Portfolio'!$A$2:$B$1000,2,FALSE()),"Unknown App ID"))</f>
        <v/>
      </c>
      <c r="AH492" s="108" t="str">
        <f aca="false">IF(OR($B492="",$AF492=""),"",IFERROR(VLOOKUP($AF492,'Application Portfolio'!$A$2:$AB$1000,28,FALSE()),""))</f>
        <v/>
      </c>
    </row>
    <row r="493" customFormat="false" ht="15.75" hidden="false" customHeight="true" outlineLevel="0" collapsed="false">
      <c r="A493" s="100"/>
      <c r="B493" s="101"/>
      <c r="C493" s="101"/>
      <c r="D493" s="101"/>
      <c r="E493" s="101"/>
      <c r="F493" s="102"/>
      <c r="G493" s="102"/>
      <c r="H493" s="102"/>
      <c r="I493" s="102"/>
      <c r="J493" s="102"/>
      <c r="K493" s="102"/>
      <c r="L493" s="103" t="str">
        <f aca="false">IF(OR($B493="", $H493="", $I493="", $J493="", $K493=""),"",ROUND((VLOOKUP($H493,Lists!$E$2:$F$5,2,FALSE())*VLOOKUP($I493,Lists!$H$2:$I$4,2,FALSE())*VLOOKUP($J493,Lists!$K$2:$L$4,2,FALSE()))/VLOOKUP($K493,Lists!$N$2:$O$6,2,FALSE()),2))</f>
        <v/>
      </c>
      <c r="M493" s="104" t="str">
        <f aca="false">IF($B493="","",IF($AC493&lt;&gt;"",$AC493,IF($H493="Critical","P0",IF(NOT(ISNUMBER($L493)),"",IF($L493&gt;=Lists!$AM$2,"P0",IF($L493&gt;=Lists!$AM$3,"P1",IF($L493&gt;=Lists!$AM$4,"P2","P3")))))))</f>
        <v/>
      </c>
      <c r="N493" s="102"/>
      <c r="O493" s="101"/>
      <c r="P493" s="102"/>
      <c r="Q493" s="105"/>
      <c r="R493" s="106" t="str">
        <f aca="true">IF($Q493="","", TODAY()-$Q493)</f>
        <v/>
      </c>
      <c r="S493" s="102"/>
      <c r="T493" s="105"/>
      <c r="U493" s="105"/>
      <c r="V493" s="101"/>
      <c r="W493" s="101"/>
      <c r="X493" s="101"/>
      <c r="Y493" s="96"/>
      <c r="Z493" s="96"/>
      <c r="AA493" s="96"/>
      <c r="AC493" s="102"/>
      <c r="AD493" s="107" t="str">
        <f aca="false">IF($B493="","",IF(ISNUMBER($T493),$T493,IF(OR(NOT(ISNUMBER($Q493)),$S493=""),"",IFERROR(IF(ISNUMBER(INDEX(Lists!$AJ$2:$AJ$7,MATCH($S493,Lists!$AI$2:$AI$7,0))),$Q493+INDEX(Lists!$AJ$2:$AJ$7,MATCH($S493,Lists!$AI$2:$AI$7,0)),""),""))))</f>
        <v/>
      </c>
      <c r="AE493" s="104" t="str">
        <f aca="true">IF($B493="","",IF(AND(ISNUMBER($AD493),N($AD493)&lt;TODAY(),$N493&lt;&gt;"Done",$N493&lt;&gt;"Won't Fix",$N493&lt;&gt;"Duplicate"),"Yes","No"))</f>
        <v/>
      </c>
      <c r="AF493" s="101"/>
      <c r="AG493" s="108" t="str">
        <f aca="false">IF($AF493="","",IFERROR(VLOOKUP($AF493,'Application Portfolio'!$A$2:$B$1000,2,FALSE()),"Unknown App ID"))</f>
        <v/>
      </c>
      <c r="AH493" s="108" t="str">
        <f aca="false">IF(OR($B493="",$AF493=""),"",IFERROR(VLOOKUP($AF493,'Application Portfolio'!$A$2:$AB$1000,28,FALSE()),""))</f>
        <v/>
      </c>
    </row>
    <row r="494" customFormat="false" ht="15.75" hidden="false" customHeight="true" outlineLevel="0" collapsed="false">
      <c r="A494" s="100"/>
      <c r="B494" s="101"/>
      <c r="C494" s="101"/>
      <c r="D494" s="101"/>
      <c r="E494" s="101"/>
      <c r="F494" s="102"/>
      <c r="G494" s="102"/>
      <c r="H494" s="102"/>
      <c r="I494" s="102"/>
      <c r="J494" s="102"/>
      <c r="K494" s="102"/>
      <c r="L494" s="103" t="str">
        <f aca="false">IF(OR($B494="", $H494="", $I494="", $J494="", $K494=""),"",ROUND((VLOOKUP($H494,Lists!$E$2:$F$5,2,FALSE())*VLOOKUP($I494,Lists!$H$2:$I$4,2,FALSE())*VLOOKUP($J494,Lists!$K$2:$L$4,2,FALSE()))/VLOOKUP($K494,Lists!$N$2:$O$6,2,FALSE()),2))</f>
        <v/>
      </c>
      <c r="M494" s="104" t="str">
        <f aca="false">IF($B494="","",IF($AC494&lt;&gt;"",$AC494,IF($H494="Critical","P0",IF(NOT(ISNUMBER($L494)),"",IF($L494&gt;=Lists!$AM$2,"P0",IF($L494&gt;=Lists!$AM$3,"P1",IF($L494&gt;=Lists!$AM$4,"P2","P3")))))))</f>
        <v/>
      </c>
      <c r="N494" s="102"/>
      <c r="O494" s="101"/>
      <c r="P494" s="102"/>
      <c r="Q494" s="105"/>
      <c r="R494" s="106" t="str">
        <f aca="true">IF($Q494="","", TODAY()-$Q494)</f>
        <v/>
      </c>
      <c r="S494" s="102"/>
      <c r="T494" s="105"/>
      <c r="U494" s="105"/>
      <c r="V494" s="101"/>
      <c r="W494" s="101"/>
      <c r="X494" s="101"/>
      <c r="Y494" s="96"/>
      <c r="Z494" s="96"/>
      <c r="AA494" s="96"/>
      <c r="AC494" s="102"/>
      <c r="AD494" s="107" t="str">
        <f aca="false">IF($B494="","",IF(ISNUMBER($T494),$T494,IF(OR(NOT(ISNUMBER($Q494)),$S494=""),"",IFERROR(IF(ISNUMBER(INDEX(Lists!$AJ$2:$AJ$7,MATCH($S494,Lists!$AI$2:$AI$7,0))),$Q494+INDEX(Lists!$AJ$2:$AJ$7,MATCH($S494,Lists!$AI$2:$AI$7,0)),""),""))))</f>
        <v/>
      </c>
      <c r="AE494" s="104" t="str">
        <f aca="true">IF($B494="","",IF(AND(ISNUMBER($AD494),N($AD494)&lt;TODAY(),$N494&lt;&gt;"Done",$N494&lt;&gt;"Won't Fix",$N494&lt;&gt;"Duplicate"),"Yes","No"))</f>
        <v/>
      </c>
      <c r="AF494" s="101"/>
      <c r="AG494" s="108" t="str">
        <f aca="false">IF($AF494="","",IFERROR(VLOOKUP($AF494,'Application Portfolio'!$A$2:$B$1000,2,FALSE()),"Unknown App ID"))</f>
        <v/>
      </c>
      <c r="AH494" s="108" t="str">
        <f aca="false">IF(OR($B494="",$AF494=""),"",IFERROR(VLOOKUP($AF494,'Application Portfolio'!$A$2:$AB$1000,28,FALSE()),""))</f>
        <v/>
      </c>
    </row>
    <row r="495" customFormat="false" ht="15.75" hidden="false" customHeight="true" outlineLevel="0" collapsed="false">
      <c r="A495" s="100"/>
      <c r="B495" s="101"/>
      <c r="C495" s="101"/>
      <c r="D495" s="101"/>
      <c r="E495" s="101"/>
      <c r="F495" s="102"/>
      <c r="G495" s="102"/>
      <c r="H495" s="102"/>
      <c r="I495" s="102"/>
      <c r="J495" s="102"/>
      <c r="K495" s="102"/>
      <c r="L495" s="103" t="str">
        <f aca="false">IF(OR($B495="", $H495="", $I495="", $J495="", $K495=""),"",ROUND((VLOOKUP($H495,Lists!$E$2:$F$5,2,FALSE())*VLOOKUP($I495,Lists!$H$2:$I$4,2,FALSE())*VLOOKUP($J495,Lists!$K$2:$L$4,2,FALSE()))/VLOOKUP($K495,Lists!$N$2:$O$6,2,FALSE()),2))</f>
        <v/>
      </c>
      <c r="M495" s="104" t="str">
        <f aca="false">IF($B495="","",IF($AC495&lt;&gt;"",$AC495,IF($H495="Critical","P0",IF(NOT(ISNUMBER($L495)),"",IF($L495&gt;=Lists!$AM$2,"P0",IF($L495&gt;=Lists!$AM$3,"P1",IF($L495&gt;=Lists!$AM$4,"P2","P3")))))))</f>
        <v/>
      </c>
      <c r="N495" s="102"/>
      <c r="O495" s="101"/>
      <c r="P495" s="102"/>
      <c r="Q495" s="105"/>
      <c r="R495" s="106" t="str">
        <f aca="true">IF($Q495="","", TODAY()-$Q495)</f>
        <v/>
      </c>
      <c r="S495" s="102"/>
      <c r="T495" s="105"/>
      <c r="U495" s="105"/>
      <c r="V495" s="101"/>
      <c r="W495" s="101"/>
      <c r="X495" s="101"/>
      <c r="Y495" s="96"/>
      <c r="Z495" s="96"/>
      <c r="AA495" s="96"/>
      <c r="AC495" s="102"/>
      <c r="AD495" s="107" t="str">
        <f aca="false">IF($B495="","",IF(ISNUMBER($T495),$T495,IF(OR(NOT(ISNUMBER($Q495)),$S495=""),"",IFERROR(IF(ISNUMBER(INDEX(Lists!$AJ$2:$AJ$7,MATCH($S495,Lists!$AI$2:$AI$7,0))),$Q495+INDEX(Lists!$AJ$2:$AJ$7,MATCH($S495,Lists!$AI$2:$AI$7,0)),""),""))))</f>
        <v/>
      </c>
      <c r="AE495" s="104" t="str">
        <f aca="true">IF($B495="","",IF(AND(ISNUMBER($AD495),N($AD495)&lt;TODAY(),$N495&lt;&gt;"Done",$N495&lt;&gt;"Won't Fix",$N495&lt;&gt;"Duplicate"),"Yes","No"))</f>
        <v/>
      </c>
      <c r="AF495" s="101"/>
      <c r="AG495" s="108" t="str">
        <f aca="false">IF($AF495="","",IFERROR(VLOOKUP($AF495,'Application Portfolio'!$A$2:$B$1000,2,FALSE()),"Unknown App ID"))</f>
        <v/>
      </c>
      <c r="AH495" s="108" t="str">
        <f aca="false">IF(OR($B495="",$AF495=""),"",IFERROR(VLOOKUP($AF495,'Application Portfolio'!$A$2:$AB$1000,28,FALSE()),""))</f>
        <v/>
      </c>
    </row>
    <row r="496" customFormat="false" ht="15.75" hidden="false" customHeight="true" outlineLevel="0" collapsed="false">
      <c r="A496" s="100"/>
      <c r="B496" s="101"/>
      <c r="C496" s="101"/>
      <c r="D496" s="101"/>
      <c r="E496" s="101"/>
      <c r="F496" s="102"/>
      <c r="G496" s="102"/>
      <c r="H496" s="102"/>
      <c r="I496" s="102"/>
      <c r="J496" s="102"/>
      <c r="K496" s="102"/>
      <c r="L496" s="103" t="str">
        <f aca="false">IF(OR($B496="", $H496="", $I496="", $J496="", $K496=""),"",ROUND((VLOOKUP($H496,Lists!$E$2:$F$5,2,FALSE())*VLOOKUP($I496,Lists!$H$2:$I$4,2,FALSE())*VLOOKUP($J496,Lists!$K$2:$L$4,2,FALSE()))/VLOOKUP($K496,Lists!$N$2:$O$6,2,FALSE()),2))</f>
        <v/>
      </c>
      <c r="M496" s="104" t="str">
        <f aca="false">IF($B496="","",IF($AC496&lt;&gt;"",$AC496,IF($H496="Critical","P0",IF(NOT(ISNUMBER($L496)),"",IF($L496&gt;=Lists!$AM$2,"P0",IF($L496&gt;=Lists!$AM$3,"P1",IF($L496&gt;=Lists!$AM$4,"P2","P3")))))))</f>
        <v/>
      </c>
      <c r="N496" s="102"/>
      <c r="O496" s="101"/>
      <c r="P496" s="102"/>
      <c r="Q496" s="105"/>
      <c r="R496" s="106" t="str">
        <f aca="true">IF($Q496="","", TODAY()-$Q496)</f>
        <v/>
      </c>
      <c r="S496" s="102"/>
      <c r="T496" s="105"/>
      <c r="U496" s="105"/>
      <c r="V496" s="101"/>
      <c r="W496" s="101"/>
      <c r="X496" s="101"/>
      <c r="Y496" s="96"/>
      <c r="Z496" s="96"/>
      <c r="AA496" s="96"/>
      <c r="AC496" s="102"/>
      <c r="AD496" s="107" t="str">
        <f aca="false">IF($B496="","",IF(ISNUMBER($T496),$T496,IF(OR(NOT(ISNUMBER($Q496)),$S496=""),"",IFERROR(IF(ISNUMBER(INDEX(Lists!$AJ$2:$AJ$7,MATCH($S496,Lists!$AI$2:$AI$7,0))),$Q496+INDEX(Lists!$AJ$2:$AJ$7,MATCH($S496,Lists!$AI$2:$AI$7,0)),""),""))))</f>
        <v/>
      </c>
      <c r="AE496" s="104" t="str">
        <f aca="true">IF($B496="","",IF(AND(ISNUMBER($AD496),N($AD496)&lt;TODAY(),$N496&lt;&gt;"Done",$N496&lt;&gt;"Won't Fix",$N496&lt;&gt;"Duplicate"),"Yes","No"))</f>
        <v/>
      </c>
      <c r="AF496" s="101"/>
      <c r="AG496" s="108" t="str">
        <f aca="false">IF($AF496="","",IFERROR(VLOOKUP($AF496,'Application Portfolio'!$A$2:$B$1000,2,FALSE()),"Unknown App ID"))</f>
        <v/>
      </c>
      <c r="AH496" s="108" t="str">
        <f aca="false">IF(OR($B496="",$AF496=""),"",IFERROR(VLOOKUP($AF496,'Application Portfolio'!$A$2:$AB$1000,28,FALSE()),""))</f>
        <v/>
      </c>
    </row>
    <row r="497" customFormat="false" ht="15.75" hidden="false" customHeight="true" outlineLevel="0" collapsed="false">
      <c r="A497" s="100"/>
      <c r="B497" s="101"/>
      <c r="C497" s="101"/>
      <c r="D497" s="101"/>
      <c r="E497" s="101"/>
      <c r="F497" s="102"/>
      <c r="G497" s="102"/>
      <c r="H497" s="102"/>
      <c r="I497" s="102"/>
      <c r="J497" s="102"/>
      <c r="K497" s="102"/>
      <c r="L497" s="103" t="str">
        <f aca="false">IF(OR($B497="", $H497="", $I497="", $J497="", $K497=""),"",ROUND((VLOOKUP($H497,Lists!$E$2:$F$5,2,FALSE())*VLOOKUP($I497,Lists!$H$2:$I$4,2,FALSE())*VLOOKUP($J497,Lists!$K$2:$L$4,2,FALSE()))/VLOOKUP($K497,Lists!$N$2:$O$6,2,FALSE()),2))</f>
        <v/>
      </c>
      <c r="M497" s="104" t="str">
        <f aca="false">IF($B497="","",IF($AC497&lt;&gt;"",$AC497,IF($H497="Critical","P0",IF(NOT(ISNUMBER($L497)),"",IF($L497&gt;=Lists!$AM$2,"P0",IF($L497&gt;=Lists!$AM$3,"P1",IF($L497&gt;=Lists!$AM$4,"P2","P3")))))))</f>
        <v/>
      </c>
      <c r="N497" s="102"/>
      <c r="O497" s="101"/>
      <c r="P497" s="102"/>
      <c r="Q497" s="105"/>
      <c r="R497" s="106" t="str">
        <f aca="true">IF($Q497="","", TODAY()-$Q497)</f>
        <v/>
      </c>
      <c r="S497" s="102"/>
      <c r="T497" s="105"/>
      <c r="U497" s="105"/>
      <c r="V497" s="101"/>
      <c r="W497" s="101"/>
      <c r="X497" s="101"/>
      <c r="Y497" s="96"/>
      <c r="Z497" s="96"/>
      <c r="AA497" s="96"/>
      <c r="AC497" s="102"/>
      <c r="AD497" s="107" t="str">
        <f aca="false">IF($B497="","",IF(ISNUMBER($T497),$T497,IF(OR(NOT(ISNUMBER($Q497)),$S497=""),"",IFERROR(IF(ISNUMBER(INDEX(Lists!$AJ$2:$AJ$7,MATCH($S497,Lists!$AI$2:$AI$7,0))),$Q497+INDEX(Lists!$AJ$2:$AJ$7,MATCH($S497,Lists!$AI$2:$AI$7,0)),""),""))))</f>
        <v/>
      </c>
      <c r="AE497" s="104" t="str">
        <f aca="true">IF($B497="","",IF(AND(ISNUMBER($AD497),N($AD497)&lt;TODAY(),$N497&lt;&gt;"Done",$N497&lt;&gt;"Won't Fix",$N497&lt;&gt;"Duplicate"),"Yes","No"))</f>
        <v/>
      </c>
      <c r="AF497" s="101"/>
      <c r="AG497" s="108" t="str">
        <f aca="false">IF($AF497="","",IFERROR(VLOOKUP($AF497,'Application Portfolio'!$A$2:$B$1000,2,FALSE()),"Unknown App ID"))</f>
        <v/>
      </c>
      <c r="AH497" s="108" t="str">
        <f aca="false">IF(OR($B497="",$AF497=""),"",IFERROR(VLOOKUP($AF497,'Application Portfolio'!$A$2:$AB$1000,28,FALSE()),""))</f>
        <v/>
      </c>
    </row>
    <row r="498" customFormat="false" ht="15.75" hidden="false" customHeight="true" outlineLevel="0" collapsed="false">
      <c r="A498" s="100"/>
      <c r="B498" s="101"/>
      <c r="C498" s="101"/>
      <c r="D498" s="101"/>
      <c r="E498" s="101"/>
      <c r="F498" s="102"/>
      <c r="G498" s="102"/>
      <c r="H498" s="102"/>
      <c r="I498" s="102"/>
      <c r="J498" s="102"/>
      <c r="K498" s="102"/>
      <c r="L498" s="103" t="str">
        <f aca="false">IF(OR($B498="", $H498="", $I498="", $J498="", $K498=""),"",ROUND((VLOOKUP($H498,Lists!$E$2:$F$5,2,FALSE())*VLOOKUP($I498,Lists!$H$2:$I$4,2,FALSE())*VLOOKUP($J498,Lists!$K$2:$L$4,2,FALSE()))/VLOOKUP($K498,Lists!$N$2:$O$6,2,FALSE()),2))</f>
        <v/>
      </c>
      <c r="M498" s="104" t="str">
        <f aca="false">IF($B498="","",IF($AC498&lt;&gt;"",$AC498,IF($H498="Critical","P0",IF(NOT(ISNUMBER($L498)),"",IF($L498&gt;=Lists!$AM$2,"P0",IF($L498&gt;=Lists!$AM$3,"P1",IF($L498&gt;=Lists!$AM$4,"P2","P3")))))))</f>
        <v/>
      </c>
      <c r="N498" s="102"/>
      <c r="O498" s="101"/>
      <c r="P498" s="102"/>
      <c r="Q498" s="105"/>
      <c r="R498" s="106" t="str">
        <f aca="true">IF($Q498="","", TODAY()-$Q498)</f>
        <v/>
      </c>
      <c r="S498" s="102"/>
      <c r="T498" s="105"/>
      <c r="U498" s="105"/>
      <c r="V498" s="101"/>
      <c r="W498" s="101"/>
      <c r="X498" s="101"/>
      <c r="Y498" s="96"/>
      <c r="Z498" s="96"/>
      <c r="AA498" s="96"/>
      <c r="AC498" s="102"/>
      <c r="AD498" s="107" t="str">
        <f aca="false">IF($B498="","",IF(ISNUMBER($T498),$T498,IF(OR(NOT(ISNUMBER($Q498)),$S498=""),"",IFERROR(IF(ISNUMBER(INDEX(Lists!$AJ$2:$AJ$7,MATCH($S498,Lists!$AI$2:$AI$7,0))),$Q498+INDEX(Lists!$AJ$2:$AJ$7,MATCH($S498,Lists!$AI$2:$AI$7,0)),""),""))))</f>
        <v/>
      </c>
      <c r="AE498" s="104" t="str">
        <f aca="true">IF($B498="","",IF(AND(ISNUMBER($AD498),N($AD498)&lt;TODAY(),$N498&lt;&gt;"Done",$N498&lt;&gt;"Won't Fix",$N498&lt;&gt;"Duplicate"),"Yes","No"))</f>
        <v/>
      </c>
      <c r="AF498" s="101"/>
      <c r="AG498" s="108" t="str">
        <f aca="false">IF($AF498="","",IFERROR(VLOOKUP($AF498,'Application Portfolio'!$A$2:$B$1000,2,FALSE()),"Unknown App ID"))</f>
        <v/>
      </c>
      <c r="AH498" s="108" t="str">
        <f aca="false">IF(OR($B498="",$AF498=""),"",IFERROR(VLOOKUP($AF498,'Application Portfolio'!$A$2:$AB$1000,28,FALSE()),""))</f>
        <v/>
      </c>
    </row>
    <row r="499" customFormat="false" ht="15.75" hidden="false" customHeight="true" outlineLevel="0" collapsed="false">
      <c r="A499" s="100"/>
      <c r="B499" s="101"/>
      <c r="C499" s="101"/>
      <c r="D499" s="101"/>
      <c r="E499" s="101"/>
      <c r="F499" s="102"/>
      <c r="G499" s="102"/>
      <c r="H499" s="102"/>
      <c r="I499" s="102"/>
      <c r="J499" s="102"/>
      <c r="K499" s="102"/>
      <c r="L499" s="103" t="str">
        <f aca="false">IF(OR($B499="", $H499="", $I499="", $J499="", $K499=""),"",ROUND((VLOOKUP($H499,Lists!$E$2:$F$5,2,FALSE())*VLOOKUP($I499,Lists!$H$2:$I$4,2,FALSE())*VLOOKUP($J499,Lists!$K$2:$L$4,2,FALSE()))/VLOOKUP($K499,Lists!$N$2:$O$6,2,FALSE()),2))</f>
        <v/>
      </c>
      <c r="M499" s="104" t="str">
        <f aca="false">IF($B499="","",IF($AC499&lt;&gt;"",$AC499,IF($H499="Critical","P0",IF(NOT(ISNUMBER($L499)),"",IF($L499&gt;=Lists!$AM$2,"P0",IF($L499&gt;=Lists!$AM$3,"P1",IF($L499&gt;=Lists!$AM$4,"P2","P3")))))))</f>
        <v/>
      </c>
      <c r="N499" s="102"/>
      <c r="O499" s="101"/>
      <c r="P499" s="102"/>
      <c r="Q499" s="105"/>
      <c r="R499" s="106" t="str">
        <f aca="true">IF($Q499="","", TODAY()-$Q499)</f>
        <v/>
      </c>
      <c r="S499" s="102"/>
      <c r="T499" s="105"/>
      <c r="U499" s="105"/>
      <c r="V499" s="101"/>
      <c r="W499" s="101"/>
      <c r="X499" s="101"/>
      <c r="Y499" s="96"/>
      <c r="Z499" s="96"/>
      <c r="AA499" s="96"/>
      <c r="AC499" s="102"/>
      <c r="AD499" s="107" t="str">
        <f aca="false">IF($B499="","",IF(ISNUMBER($T499),$T499,IF(OR(NOT(ISNUMBER($Q499)),$S499=""),"",IFERROR(IF(ISNUMBER(INDEX(Lists!$AJ$2:$AJ$7,MATCH($S499,Lists!$AI$2:$AI$7,0))),$Q499+INDEX(Lists!$AJ$2:$AJ$7,MATCH($S499,Lists!$AI$2:$AI$7,0)),""),""))))</f>
        <v/>
      </c>
      <c r="AE499" s="104" t="str">
        <f aca="true">IF($B499="","",IF(AND(ISNUMBER($AD499),N($AD499)&lt;TODAY(),$N499&lt;&gt;"Done",$N499&lt;&gt;"Won't Fix",$N499&lt;&gt;"Duplicate"),"Yes","No"))</f>
        <v/>
      </c>
      <c r="AF499" s="101"/>
      <c r="AG499" s="108" t="str">
        <f aca="false">IF($AF499="","",IFERROR(VLOOKUP($AF499,'Application Portfolio'!$A$2:$B$1000,2,FALSE()),"Unknown App ID"))</f>
        <v/>
      </c>
      <c r="AH499" s="108" t="str">
        <f aca="false">IF(OR($B499="",$AF499=""),"",IFERROR(VLOOKUP($AF499,'Application Portfolio'!$A$2:$AB$1000,28,FALSE()),""))</f>
        <v/>
      </c>
    </row>
    <row r="500" customFormat="false" ht="15.75" hidden="false" customHeight="true" outlineLevel="0" collapsed="false">
      <c r="A500" s="100"/>
      <c r="B500" s="101"/>
      <c r="C500" s="101"/>
      <c r="D500" s="101"/>
      <c r="E500" s="101"/>
      <c r="F500" s="102"/>
      <c r="G500" s="102"/>
      <c r="H500" s="102"/>
      <c r="I500" s="102"/>
      <c r="J500" s="102"/>
      <c r="K500" s="102"/>
      <c r="L500" s="103" t="str">
        <f aca="false">IF(OR($B500="", $H500="", $I500="", $J500="", $K500=""),"",ROUND((VLOOKUP($H500,Lists!$E$2:$F$5,2,FALSE())*VLOOKUP($I500,Lists!$H$2:$I$4,2,FALSE())*VLOOKUP($J500,Lists!$K$2:$L$4,2,FALSE()))/VLOOKUP($K500,Lists!$N$2:$O$6,2,FALSE()),2))</f>
        <v/>
      </c>
      <c r="M500" s="104" t="str">
        <f aca="false">IF($B500="","",IF($AC500&lt;&gt;"",$AC500,IF($H500="Critical","P0",IF(NOT(ISNUMBER($L500)),"",IF($L500&gt;=Lists!$AM$2,"P0",IF($L500&gt;=Lists!$AM$3,"P1",IF($L500&gt;=Lists!$AM$4,"P2","P3")))))))</f>
        <v/>
      </c>
      <c r="N500" s="102"/>
      <c r="O500" s="101"/>
      <c r="P500" s="102"/>
      <c r="Q500" s="105"/>
      <c r="R500" s="106" t="str">
        <f aca="true">IF($Q500="","", TODAY()-$Q500)</f>
        <v/>
      </c>
      <c r="S500" s="102"/>
      <c r="T500" s="105"/>
      <c r="U500" s="105"/>
      <c r="V500" s="101"/>
      <c r="W500" s="101"/>
      <c r="X500" s="101"/>
      <c r="Y500" s="96"/>
      <c r="Z500" s="96"/>
      <c r="AA500" s="96"/>
      <c r="AC500" s="102"/>
      <c r="AD500" s="107" t="str">
        <f aca="false">IF($B500="","",IF(ISNUMBER($T500),$T500,IF(OR(NOT(ISNUMBER($Q500)),$S500=""),"",IFERROR(IF(ISNUMBER(INDEX(Lists!$AJ$2:$AJ$7,MATCH($S500,Lists!$AI$2:$AI$7,0))),$Q500+INDEX(Lists!$AJ$2:$AJ$7,MATCH($S500,Lists!$AI$2:$AI$7,0)),""),""))))</f>
        <v/>
      </c>
      <c r="AE500" s="104" t="str">
        <f aca="true">IF($B500="","",IF(AND(ISNUMBER($AD500),N($AD500)&lt;TODAY(),$N500&lt;&gt;"Done",$N500&lt;&gt;"Won't Fix",$N500&lt;&gt;"Duplicate"),"Yes","No"))</f>
        <v/>
      </c>
      <c r="AF500" s="101"/>
      <c r="AG500" s="108" t="str">
        <f aca="false">IF($AF500="","",IFERROR(VLOOKUP($AF500,'Application Portfolio'!$A$2:$B$1000,2,FALSE()),"Unknown App ID"))</f>
        <v/>
      </c>
      <c r="AH500" s="108" t="str">
        <f aca="false">IF(OR($B500="",$AF500=""),"",IFERROR(VLOOKUP($AF500,'Application Portfolio'!$A$2:$AB$1000,28,FALSE()),""))</f>
        <v/>
      </c>
    </row>
    <row r="501" customFormat="false" ht="15.75" hidden="false" customHeight="true" outlineLevel="0" collapsed="false">
      <c r="A501" s="100"/>
      <c r="B501" s="101"/>
      <c r="C501" s="101"/>
      <c r="D501" s="101"/>
      <c r="E501" s="101"/>
      <c r="F501" s="102"/>
      <c r="G501" s="102"/>
      <c r="H501" s="102"/>
      <c r="I501" s="102"/>
      <c r="J501" s="102"/>
      <c r="K501" s="102"/>
      <c r="L501" s="103" t="str">
        <f aca="false">IF(OR($B501="", $H501="", $I501="", $J501="", $K501=""),"",ROUND((VLOOKUP($H501,Lists!$E$2:$F$5,2,FALSE())*VLOOKUP($I501,Lists!$H$2:$I$4,2,FALSE())*VLOOKUP($J501,Lists!$K$2:$L$4,2,FALSE()))/VLOOKUP($K501,Lists!$N$2:$O$6,2,FALSE()),2))</f>
        <v/>
      </c>
      <c r="M501" s="104" t="str">
        <f aca="false">IF($B501="","",IF($AC501&lt;&gt;"",$AC501,IF($H501="Critical","P0",IF(NOT(ISNUMBER($L501)),"",IF($L501&gt;=Lists!$AM$2,"P0",IF($L501&gt;=Lists!$AM$3,"P1",IF($L501&gt;=Lists!$AM$4,"P2","P3")))))))</f>
        <v/>
      </c>
      <c r="N501" s="102"/>
      <c r="O501" s="101"/>
      <c r="P501" s="102"/>
      <c r="Q501" s="105"/>
      <c r="R501" s="106" t="str">
        <f aca="true">IF($Q501="","", TODAY()-$Q501)</f>
        <v/>
      </c>
      <c r="S501" s="102"/>
      <c r="T501" s="105"/>
      <c r="U501" s="105"/>
      <c r="V501" s="101"/>
      <c r="W501" s="101"/>
      <c r="X501" s="101"/>
      <c r="Y501" s="96"/>
      <c r="Z501" s="96"/>
      <c r="AA501" s="96"/>
      <c r="AC501" s="102"/>
      <c r="AD501" s="107" t="str">
        <f aca="false">IF($B501="","",IF(ISNUMBER($T501),$T501,IF(OR(NOT(ISNUMBER($Q501)),$S501=""),"",IFERROR(IF(ISNUMBER(INDEX(Lists!$AJ$2:$AJ$7,MATCH($S501,Lists!$AI$2:$AI$7,0))),$Q501+INDEX(Lists!$AJ$2:$AJ$7,MATCH($S501,Lists!$AI$2:$AI$7,0)),""),""))))</f>
        <v/>
      </c>
      <c r="AE501" s="104" t="str">
        <f aca="true">IF($B501="","",IF(AND(ISNUMBER($AD501),N($AD501)&lt;TODAY(),$N501&lt;&gt;"Done",$N501&lt;&gt;"Won't Fix",$N501&lt;&gt;"Duplicate"),"Yes","No"))</f>
        <v/>
      </c>
      <c r="AF501" s="101"/>
      <c r="AG501" s="108" t="str">
        <f aca="false">IF($AF501="","",IFERROR(VLOOKUP($AF501,'Application Portfolio'!$A$2:$B$1000,2,FALSE()),"Unknown App ID"))</f>
        <v/>
      </c>
      <c r="AH501" s="108" t="str">
        <f aca="false">IF(OR($B501="",$AF501=""),"",IFERROR(VLOOKUP($AF501,'Application Portfolio'!$A$2:$AB$1000,28,FALSE()),""))</f>
        <v/>
      </c>
    </row>
    <row r="502" customFormat="false" ht="15.75" hidden="false" customHeight="true" outlineLevel="0" collapsed="false">
      <c r="A502" s="100"/>
      <c r="B502" s="101"/>
      <c r="C502" s="101"/>
      <c r="D502" s="101"/>
      <c r="E502" s="101"/>
      <c r="F502" s="102"/>
      <c r="G502" s="102"/>
      <c r="H502" s="102"/>
      <c r="I502" s="102"/>
      <c r="J502" s="102"/>
      <c r="K502" s="102"/>
      <c r="L502" s="103" t="str">
        <f aca="false">IF(OR($B502="", $H502="", $I502="", $J502="", $K502=""),"",ROUND((VLOOKUP($H502,Lists!$E$2:$F$5,2,FALSE())*VLOOKUP($I502,Lists!$H$2:$I$4,2,FALSE())*VLOOKUP($J502,Lists!$K$2:$L$4,2,FALSE()))/VLOOKUP($K502,Lists!$N$2:$O$6,2,FALSE()),2))</f>
        <v/>
      </c>
      <c r="M502" s="104" t="str">
        <f aca="false">IF($B502="","",IF($AC502&lt;&gt;"",$AC502,IF($H502="Critical","P0",IF(NOT(ISNUMBER($L502)),"",IF($L502&gt;=Lists!$AM$2,"P0",IF($L502&gt;=Lists!$AM$3,"P1",IF($L502&gt;=Lists!$AM$4,"P2","P3")))))))</f>
        <v/>
      </c>
      <c r="N502" s="102"/>
      <c r="O502" s="101"/>
      <c r="P502" s="102"/>
      <c r="Q502" s="105"/>
      <c r="R502" s="106" t="str">
        <f aca="true">IF($Q502="","", TODAY()-$Q502)</f>
        <v/>
      </c>
      <c r="S502" s="102"/>
      <c r="T502" s="105"/>
      <c r="U502" s="105"/>
      <c r="V502" s="101"/>
      <c r="W502" s="101"/>
      <c r="X502" s="101"/>
      <c r="Y502" s="96"/>
      <c r="Z502" s="96"/>
      <c r="AA502" s="96"/>
      <c r="AC502" s="102"/>
      <c r="AD502" s="107" t="str">
        <f aca="false">IF($B502="","",IF(ISNUMBER($T502),$T502,IF(OR(NOT(ISNUMBER($Q502)),$S502=""),"",IFERROR(IF(ISNUMBER(INDEX(Lists!$AJ$2:$AJ$7,MATCH($S502,Lists!$AI$2:$AI$7,0))),$Q502+INDEX(Lists!$AJ$2:$AJ$7,MATCH($S502,Lists!$AI$2:$AI$7,0)),""),""))))</f>
        <v/>
      </c>
      <c r="AE502" s="104" t="str">
        <f aca="true">IF($B502="","",IF(AND(ISNUMBER($AD502),N($AD502)&lt;TODAY(),$N502&lt;&gt;"Done",$N502&lt;&gt;"Won't Fix",$N502&lt;&gt;"Duplicate"),"Yes","No"))</f>
        <v/>
      </c>
      <c r="AF502" s="101"/>
      <c r="AG502" s="108" t="str">
        <f aca="false">IF($AF502="","",IFERROR(VLOOKUP($AF502,'Application Portfolio'!$A$2:$B$1000,2,FALSE()),"Unknown App ID"))</f>
        <v/>
      </c>
      <c r="AH502" s="108" t="str">
        <f aca="false">IF(OR($B502="",$AF502=""),"",IFERROR(VLOOKUP($AF502,'Application Portfolio'!$A$2:$AB$1000,28,FALSE()),""))</f>
        <v/>
      </c>
    </row>
    <row r="503" customFormat="false" ht="15.75" hidden="false" customHeight="true" outlineLevel="0" collapsed="false">
      <c r="A503" s="100"/>
      <c r="B503" s="101"/>
      <c r="C503" s="101"/>
      <c r="D503" s="101"/>
      <c r="E503" s="101"/>
      <c r="F503" s="102"/>
      <c r="G503" s="102"/>
      <c r="H503" s="102"/>
      <c r="I503" s="102"/>
      <c r="J503" s="102"/>
      <c r="K503" s="102"/>
      <c r="L503" s="103" t="str">
        <f aca="false">IF(OR($B503="", $H503="", $I503="", $J503="", $K503=""),"",ROUND((VLOOKUP($H503,Lists!$E$2:$F$5,2,FALSE())*VLOOKUP($I503,Lists!$H$2:$I$4,2,FALSE())*VLOOKUP($J503,Lists!$K$2:$L$4,2,FALSE()))/VLOOKUP($K503,Lists!$N$2:$O$6,2,FALSE()),2))</f>
        <v/>
      </c>
      <c r="M503" s="104" t="str">
        <f aca="false">IF($B503="","",IF($AC503&lt;&gt;"",$AC503,IF($H503="Critical","P0",IF(NOT(ISNUMBER($L503)),"",IF($L503&gt;=Lists!$AM$2,"P0",IF($L503&gt;=Lists!$AM$3,"P1",IF($L503&gt;=Lists!$AM$4,"P2","P3")))))))</f>
        <v/>
      </c>
      <c r="N503" s="102"/>
      <c r="O503" s="101"/>
      <c r="P503" s="102"/>
      <c r="Q503" s="105"/>
      <c r="R503" s="106" t="str">
        <f aca="true">IF($Q503="","", TODAY()-$Q503)</f>
        <v/>
      </c>
      <c r="S503" s="102"/>
      <c r="T503" s="105"/>
      <c r="U503" s="105"/>
      <c r="V503" s="101"/>
      <c r="W503" s="101"/>
      <c r="X503" s="101"/>
      <c r="Y503" s="96"/>
      <c r="Z503" s="96"/>
      <c r="AA503" s="96"/>
      <c r="AC503" s="102"/>
      <c r="AD503" s="107" t="str">
        <f aca="false">IF($B503="","",IF(ISNUMBER($T503),$T503,IF(OR(NOT(ISNUMBER($Q503)),$S503=""),"",IFERROR(IF(ISNUMBER(INDEX(Lists!$AJ$2:$AJ$7,MATCH($S503,Lists!$AI$2:$AI$7,0))),$Q503+INDEX(Lists!$AJ$2:$AJ$7,MATCH($S503,Lists!$AI$2:$AI$7,0)),""),""))))</f>
        <v/>
      </c>
      <c r="AE503" s="104" t="str">
        <f aca="true">IF($B503="","",IF(AND(ISNUMBER($AD503),N($AD503)&lt;TODAY(),$N503&lt;&gt;"Done",$N503&lt;&gt;"Won't Fix",$N503&lt;&gt;"Duplicate"),"Yes","No"))</f>
        <v/>
      </c>
      <c r="AF503" s="101"/>
      <c r="AG503" s="108" t="str">
        <f aca="false">IF($AF503="","",IFERROR(VLOOKUP($AF503,'Application Portfolio'!$A$2:$B$1000,2,FALSE()),"Unknown App ID"))</f>
        <v/>
      </c>
      <c r="AH503" s="108" t="str">
        <f aca="false">IF(OR($B503="",$AF503=""),"",IFERROR(VLOOKUP($AF503,'Application Portfolio'!$A$2:$AB$1000,28,FALSE()),""))</f>
        <v/>
      </c>
    </row>
    <row r="504" customFormat="false" ht="15.75" hidden="false" customHeight="true" outlineLevel="0" collapsed="false">
      <c r="A504" s="100"/>
      <c r="B504" s="101"/>
      <c r="C504" s="101"/>
      <c r="D504" s="101"/>
      <c r="E504" s="101"/>
      <c r="F504" s="102"/>
      <c r="G504" s="102"/>
      <c r="H504" s="102"/>
      <c r="I504" s="102"/>
      <c r="J504" s="102"/>
      <c r="K504" s="102"/>
      <c r="L504" s="103" t="str">
        <f aca="false">IF(OR($B504="", $H504="", $I504="", $J504="", $K504=""),"",ROUND((VLOOKUP($H504,Lists!$E$2:$F$5,2,FALSE())*VLOOKUP($I504,Lists!$H$2:$I$4,2,FALSE())*VLOOKUP($J504,Lists!$K$2:$L$4,2,FALSE()))/VLOOKUP($K504,Lists!$N$2:$O$6,2,FALSE()),2))</f>
        <v/>
      </c>
      <c r="M504" s="104" t="str">
        <f aca="false">IF($B504="","",IF($AC504&lt;&gt;"",$AC504,IF($H504="Critical","P0",IF(NOT(ISNUMBER($L504)),"",IF($L504&gt;=Lists!$AM$2,"P0",IF($L504&gt;=Lists!$AM$3,"P1",IF($L504&gt;=Lists!$AM$4,"P2","P3")))))))</f>
        <v/>
      </c>
      <c r="N504" s="102"/>
      <c r="O504" s="101"/>
      <c r="P504" s="102"/>
      <c r="Q504" s="105"/>
      <c r="R504" s="106" t="str">
        <f aca="true">IF($Q504="","", TODAY()-$Q504)</f>
        <v/>
      </c>
      <c r="S504" s="102"/>
      <c r="T504" s="105"/>
      <c r="U504" s="105"/>
      <c r="V504" s="101"/>
      <c r="W504" s="101"/>
      <c r="X504" s="101"/>
      <c r="Y504" s="96"/>
      <c r="Z504" s="96"/>
      <c r="AA504" s="96"/>
      <c r="AC504" s="102"/>
      <c r="AD504" s="107" t="str">
        <f aca="false">IF($B504="","",IF(ISNUMBER($T504),$T504,IF(OR(NOT(ISNUMBER($Q504)),$S504=""),"",IFERROR(IF(ISNUMBER(INDEX(Lists!$AJ$2:$AJ$7,MATCH($S504,Lists!$AI$2:$AI$7,0))),$Q504+INDEX(Lists!$AJ$2:$AJ$7,MATCH($S504,Lists!$AI$2:$AI$7,0)),""),""))))</f>
        <v/>
      </c>
      <c r="AE504" s="104" t="str">
        <f aca="true">IF($B504="","",IF(AND(ISNUMBER($AD504),N($AD504)&lt;TODAY(),$N504&lt;&gt;"Done",$N504&lt;&gt;"Won't Fix",$N504&lt;&gt;"Duplicate"),"Yes","No"))</f>
        <v/>
      </c>
      <c r="AF504" s="101"/>
      <c r="AG504" s="108" t="str">
        <f aca="false">IF($AF504="","",IFERROR(VLOOKUP($AF504,'Application Portfolio'!$A$2:$B$1000,2,FALSE()),"Unknown App ID"))</f>
        <v/>
      </c>
      <c r="AH504" s="108" t="str">
        <f aca="false">IF(OR($B504="",$AF504=""),"",IFERROR(VLOOKUP($AF504,'Application Portfolio'!$A$2:$AB$1000,28,FALSE()),""))</f>
        <v/>
      </c>
    </row>
    <row r="505" customFormat="false" ht="15.75" hidden="false" customHeight="true" outlineLevel="0" collapsed="false">
      <c r="A505" s="100"/>
      <c r="B505" s="101"/>
      <c r="C505" s="101"/>
      <c r="D505" s="101"/>
      <c r="E505" s="101"/>
      <c r="F505" s="102"/>
      <c r="G505" s="102"/>
      <c r="H505" s="102"/>
      <c r="I505" s="102"/>
      <c r="J505" s="102"/>
      <c r="K505" s="102"/>
      <c r="L505" s="103" t="str">
        <f aca="false">IF(OR($B505="", $H505="", $I505="", $J505="", $K505=""),"",ROUND((VLOOKUP($H505,Lists!$E$2:$F$5,2,FALSE())*VLOOKUP($I505,Lists!$H$2:$I$4,2,FALSE())*VLOOKUP($J505,Lists!$K$2:$L$4,2,FALSE()))/VLOOKUP($K505,Lists!$N$2:$O$6,2,FALSE()),2))</f>
        <v/>
      </c>
      <c r="M505" s="104" t="str">
        <f aca="false">IF($B505="","",IF($AC505&lt;&gt;"",$AC505,IF($H505="Critical","P0",IF(NOT(ISNUMBER($L505)),"",IF($L505&gt;=Lists!$AM$2,"P0",IF($L505&gt;=Lists!$AM$3,"P1",IF($L505&gt;=Lists!$AM$4,"P2","P3")))))))</f>
        <v/>
      </c>
      <c r="N505" s="102"/>
      <c r="O505" s="101"/>
      <c r="P505" s="102"/>
      <c r="Q505" s="105"/>
      <c r="R505" s="106" t="str">
        <f aca="true">IF($Q505="","", TODAY()-$Q505)</f>
        <v/>
      </c>
      <c r="S505" s="102"/>
      <c r="T505" s="105"/>
      <c r="U505" s="105"/>
      <c r="V505" s="101"/>
      <c r="W505" s="101"/>
      <c r="X505" s="101"/>
      <c r="Y505" s="96"/>
      <c r="Z505" s="96"/>
      <c r="AA505" s="96"/>
      <c r="AC505" s="102"/>
      <c r="AD505" s="107" t="str">
        <f aca="false">IF($B505="","",IF(ISNUMBER($T505),$T505,IF(OR(NOT(ISNUMBER($Q505)),$S505=""),"",IFERROR(IF(ISNUMBER(INDEX(Lists!$AJ$2:$AJ$7,MATCH($S505,Lists!$AI$2:$AI$7,0))),$Q505+INDEX(Lists!$AJ$2:$AJ$7,MATCH($S505,Lists!$AI$2:$AI$7,0)),""),""))))</f>
        <v/>
      </c>
      <c r="AE505" s="104" t="str">
        <f aca="true">IF($B505="","",IF(AND(ISNUMBER($AD505),N($AD505)&lt;TODAY(),$N505&lt;&gt;"Done",$N505&lt;&gt;"Won't Fix",$N505&lt;&gt;"Duplicate"),"Yes","No"))</f>
        <v/>
      </c>
      <c r="AF505" s="101"/>
      <c r="AG505" s="108" t="str">
        <f aca="false">IF($AF505="","",IFERROR(VLOOKUP($AF505,'Application Portfolio'!$A$2:$B$1000,2,FALSE()),"Unknown App ID"))</f>
        <v/>
      </c>
      <c r="AH505" s="108" t="str">
        <f aca="false">IF(OR($B505="",$AF505=""),"",IFERROR(VLOOKUP($AF505,'Application Portfolio'!$A$2:$AB$1000,28,FALSE()),""))</f>
        <v/>
      </c>
    </row>
    <row r="506" customFormat="false" ht="15.75" hidden="false" customHeight="true" outlineLevel="0" collapsed="false">
      <c r="A506" s="100"/>
      <c r="B506" s="101"/>
      <c r="C506" s="101"/>
      <c r="D506" s="101"/>
      <c r="E506" s="101"/>
      <c r="F506" s="102"/>
      <c r="G506" s="102"/>
      <c r="H506" s="102"/>
      <c r="I506" s="102"/>
      <c r="J506" s="102"/>
      <c r="K506" s="102"/>
      <c r="L506" s="103" t="str">
        <f aca="false">IF(OR($B506="", $H506="", $I506="", $J506="", $K506=""),"",ROUND((VLOOKUP($H506,Lists!$E$2:$F$5,2,FALSE())*VLOOKUP($I506,Lists!$H$2:$I$4,2,FALSE())*VLOOKUP($J506,Lists!$K$2:$L$4,2,FALSE()))/VLOOKUP($K506,Lists!$N$2:$O$6,2,FALSE()),2))</f>
        <v/>
      </c>
      <c r="M506" s="104" t="str">
        <f aca="false">IF($B506="","",IF($AC506&lt;&gt;"",$AC506,IF($H506="Critical","P0",IF(NOT(ISNUMBER($L506)),"",IF($L506&gt;=Lists!$AM$2,"P0",IF($L506&gt;=Lists!$AM$3,"P1",IF($L506&gt;=Lists!$AM$4,"P2","P3")))))))</f>
        <v/>
      </c>
      <c r="N506" s="102"/>
      <c r="O506" s="101"/>
      <c r="P506" s="102"/>
      <c r="Q506" s="105"/>
      <c r="R506" s="106" t="str">
        <f aca="true">IF($Q506="","", TODAY()-$Q506)</f>
        <v/>
      </c>
      <c r="S506" s="102"/>
      <c r="T506" s="105"/>
      <c r="U506" s="105"/>
      <c r="V506" s="101"/>
      <c r="W506" s="101"/>
      <c r="X506" s="101"/>
      <c r="Y506" s="96"/>
      <c r="Z506" s="96"/>
      <c r="AA506" s="96"/>
      <c r="AC506" s="102"/>
      <c r="AD506" s="107" t="str">
        <f aca="false">IF($B506="","",IF(ISNUMBER($T506),$T506,IF(OR(NOT(ISNUMBER($Q506)),$S506=""),"",IFERROR(IF(ISNUMBER(INDEX(Lists!$AJ$2:$AJ$7,MATCH($S506,Lists!$AI$2:$AI$7,0))),$Q506+INDEX(Lists!$AJ$2:$AJ$7,MATCH($S506,Lists!$AI$2:$AI$7,0)),""),""))))</f>
        <v/>
      </c>
      <c r="AE506" s="104" t="str">
        <f aca="true">IF($B506="","",IF(AND(ISNUMBER($AD506),N($AD506)&lt;TODAY(),$N506&lt;&gt;"Done",$N506&lt;&gt;"Won't Fix",$N506&lt;&gt;"Duplicate"),"Yes","No"))</f>
        <v/>
      </c>
      <c r="AF506" s="101"/>
      <c r="AG506" s="108" t="str">
        <f aca="false">IF($AF506="","",IFERROR(VLOOKUP($AF506,'Application Portfolio'!$A$2:$B$1000,2,FALSE()),"Unknown App ID"))</f>
        <v/>
      </c>
      <c r="AH506" s="108" t="str">
        <f aca="false">IF(OR($B506="",$AF506=""),"",IFERROR(VLOOKUP($AF506,'Application Portfolio'!$A$2:$AB$1000,28,FALSE()),""))</f>
        <v/>
      </c>
    </row>
    <row r="507" customFormat="false" ht="15.75" hidden="false" customHeight="true" outlineLevel="0" collapsed="false">
      <c r="A507" s="100"/>
      <c r="B507" s="101"/>
      <c r="C507" s="101"/>
      <c r="D507" s="101"/>
      <c r="E507" s="101"/>
      <c r="F507" s="102"/>
      <c r="G507" s="102"/>
      <c r="H507" s="102"/>
      <c r="I507" s="102"/>
      <c r="J507" s="102"/>
      <c r="K507" s="102"/>
      <c r="L507" s="103" t="str">
        <f aca="false">IF(OR($B507="", $H507="", $I507="", $J507="", $K507=""),"",ROUND((VLOOKUP($H507,Lists!$E$2:$F$5,2,FALSE())*VLOOKUP($I507,Lists!$H$2:$I$4,2,FALSE())*VLOOKUP($J507,Lists!$K$2:$L$4,2,FALSE()))/VLOOKUP($K507,Lists!$N$2:$O$6,2,FALSE()),2))</f>
        <v/>
      </c>
      <c r="M507" s="104" t="str">
        <f aca="false">IF($B507="","",IF($AC507&lt;&gt;"",$AC507,IF($H507="Critical","P0",IF(NOT(ISNUMBER($L507)),"",IF($L507&gt;=Lists!$AM$2,"P0",IF($L507&gt;=Lists!$AM$3,"P1",IF($L507&gt;=Lists!$AM$4,"P2","P3")))))))</f>
        <v/>
      </c>
      <c r="N507" s="102"/>
      <c r="O507" s="101"/>
      <c r="P507" s="102"/>
      <c r="Q507" s="105"/>
      <c r="R507" s="106" t="str">
        <f aca="true">IF($Q507="","", TODAY()-$Q507)</f>
        <v/>
      </c>
      <c r="S507" s="102"/>
      <c r="T507" s="105"/>
      <c r="U507" s="105"/>
      <c r="V507" s="101"/>
      <c r="W507" s="101"/>
      <c r="X507" s="101"/>
      <c r="Y507" s="96"/>
      <c r="Z507" s="96"/>
      <c r="AA507" s="96"/>
      <c r="AC507" s="102"/>
      <c r="AD507" s="107" t="str">
        <f aca="false">IF($B507="","",IF(ISNUMBER($T507),$T507,IF(OR(NOT(ISNUMBER($Q507)),$S507=""),"",IFERROR(IF(ISNUMBER(INDEX(Lists!$AJ$2:$AJ$7,MATCH($S507,Lists!$AI$2:$AI$7,0))),$Q507+INDEX(Lists!$AJ$2:$AJ$7,MATCH($S507,Lists!$AI$2:$AI$7,0)),""),""))))</f>
        <v/>
      </c>
      <c r="AE507" s="104" t="str">
        <f aca="true">IF($B507="","",IF(AND(ISNUMBER($AD507),N($AD507)&lt;TODAY(),$N507&lt;&gt;"Done",$N507&lt;&gt;"Won't Fix",$N507&lt;&gt;"Duplicate"),"Yes","No"))</f>
        <v/>
      </c>
      <c r="AF507" s="101"/>
      <c r="AG507" s="108" t="str">
        <f aca="false">IF($AF507="","",IFERROR(VLOOKUP($AF507,'Application Portfolio'!$A$2:$B$1000,2,FALSE()),"Unknown App ID"))</f>
        <v/>
      </c>
      <c r="AH507" s="108" t="str">
        <f aca="false">IF(OR($B507="",$AF507=""),"",IFERROR(VLOOKUP($AF507,'Application Portfolio'!$A$2:$AB$1000,28,FALSE()),""))</f>
        <v/>
      </c>
    </row>
    <row r="508" customFormat="false" ht="15.75" hidden="false" customHeight="true" outlineLevel="0" collapsed="false">
      <c r="A508" s="100"/>
      <c r="B508" s="101"/>
      <c r="C508" s="101"/>
      <c r="D508" s="101"/>
      <c r="E508" s="101"/>
      <c r="F508" s="102"/>
      <c r="G508" s="102"/>
      <c r="H508" s="102"/>
      <c r="I508" s="102"/>
      <c r="J508" s="102"/>
      <c r="K508" s="102"/>
      <c r="L508" s="103" t="str">
        <f aca="false">IF(OR($B508="", $H508="", $I508="", $J508="", $K508=""),"",ROUND((VLOOKUP($H508,Lists!$E$2:$F$5,2,FALSE())*VLOOKUP($I508,Lists!$H$2:$I$4,2,FALSE())*VLOOKUP($J508,Lists!$K$2:$L$4,2,FALSE()))/VLOOKUP($K508,Lists!$N$2:$O$6,2,FALSE()),2))</f>
        <v/>
      </c>
      <c r="M508" s="104" t="str">
        <f aca="false">IF($B508="","",IF($AC508&lt;&gt;"",$AC508,IF($H508="Critical","P0",IF(NOT(ISNUMBER($L508)),"",IF($L508&gt;=Lists!$AM$2,"P0",IF($L508&gt;=Lists!$AM$3,"P1",IF($L508&gt;=Lists!$AM$4,"P2","P3")))))))</f>
        <v/>
      </c>
      <c r="N508" s="102"/>
      <c r="O508" s="101"/>
      <c r="P508" s="102"/>
      <c r="Q508" s="105"/>
      <c r="R508" s="106" t="str">
        <f aca="true">IF($Q508="","", TODAY()-$Q508)</f>
        <v/>
      </c>
      <c r="S508" s="102"/>
      <c r="T508" s="105"/>
      <c r="U508" s="105"/>
      <c r="V508" s="101"/>
      <c r="W508" s="101"/>
      <c r="X508" s="101"/>
      <c r="Y508" s="96"/>
      <c r="Z508" s="96"/>
      <c r="AA508" s="96"/>
      <c r="AC508" s="102"/>
      <c r="AD508" s="107" t="str">
        <f aca="false">IF($B508="","",IF(ISNUMBER($T508),$T508,IF(OR(NOT(ISNUMBER($Q508)),$S508=""),"",IFERROR(IF(ISNUMBER(INDEX(Lists!$AJ$2:$AJ$7,MATCH($S508,Lists!$AI$2:$AI$7,0))),$Q508+INDEX(Lists!$AJ$2:$AJ$7,MATCH($S508,Lists!$AI$2:$AI$7,0)),""),""))))</f>
        <v/>
      </c>
      <c r="AE508" s="104" t="str">
        <f aca="true">IF($B508="","",IF(AND(ISNUMBER($AD508),N($AD508)&lt;TODAY(),$N508&lt;&gt;"Done",$N508&lt;&gt;"Won't Fix",$N508&lt;&gt;"Duplicate"),"Yes","No"))</f>
        <v/>
      </c>
      <c r="AF508" s="101"/>
      <c r="AG508" s="108" t="str">
        <f aca="false">IF($AF508="","",IFERROR(VLOOKUP($AF508,'Application Portfolio'!$A$2:$B$1000,2,FALSE()),"Unknown App ID"))</f>
        <v/>
      </c>
      <c r="AH508" s="108" t="str">
        <f aca="false">IF(OR($B508="",$AF508=""),"",IFERROR(VLOOKUP($AF508,'Application Portfolio'!$A$2:$AB$1000,28,FALSE()),""))</f>
        <v/>
      </c>
    </row>
    <row r="509" customFormat="false" ht="15.75" hidden="false" customHeight="true" outlineLevel="0" collapsed="false">
      <c r="A509" s="100"/>
      <c r="B509" s="101"/>
      <c r="C509" s="101"/>
      <c r="D509" s="101"/>
      <c r="E509" s="101"/>
      <c r="F509" s="102"/>
      <c r="G509" s="102"/>
      <c r="H509" s="102"/>
      <c r="I509" s="102"/>
      <c r="J509" s="102"/>
      <c r="K509" s="102"/>
      <c r="L509" s="103" t="str">
        <f aca="false">IF(OR($B509="", $H509="", $I509="", $J509="", $K509=""),"",ROUND((VLOOKUP($H509,Lists!$E$2:$F$5,2,FALSE())*VLOOKUP($I509,Lists!$H$2:$I$4,2,FALSE())*VLOOKUP($J509,Lists!$K$2:$L$4,2,FALSE()))/VLOOKUP($K509,Lists!$N$2:$O$6,2,FALSE()),2))</f>
        <v/>
      </c>
      <c r="M509" s="104" t="str">
        <f aca="false">IF($B509="","",IF($AC509&lt;&gt;"",$AC509,IF($H509="Critical","P0",IF(NOT(ISNUMBER($L509)),"",IF($L509&gt;=Lists!$AM$2,"P0",IF($L509&gt;=Lists!$AM$3,"P1",IF($L509&gt;=Lists!$AM$4,"P2","P3")))))))</f>
        <v/>
      </c>
      <c r="N509" s="102"/>
      <c r="O509" s="101"/>
      <c r="P509" s="102"/>
      <c r="Q509" s="105"/>
      <c r="R509" s="106" t="str">
        <f aca="true">IF($Q509="","", TODAY()-$Q509)</f>
        <v/>
      </c>
      <c r="S509" s="102"/>
      <c r="T509" s="105"/>
      <c r="U509" s="105"/>
      <c r="V509" s="101"/>
      <c r="W509" s="101"/>
      <c r="X509" s="101"/>
      <c r="Y509" s="96"/>
      <c r="Z509" s="96"/>
      <c r="AA509" s="96"/>
      <c r="AC509" s="102"/>
      <c r="AD509" s="107" t="str">
        <f aca="false">IF($B509="","",IF(ISNUMBER($T509),$T509,IF(OR(NOT(ISNUMBER($Q509)),$S509=""),"",IFERROR(IF(ISNUMBER(INDEX(Lists!$AJ$2:$AJ$7,MATCH($S509,Lists!$AI$2:$AI$7,0))),$Q509+INDEX(Lists!$AJ$2:$AJ$7,MATCH($S509,Lists!$AI$2:$AI$7,0)),""),""))))</f>
        <v/>
      </c>
      <c r="AE509" s="104" t="str">
        <f aca="true">IF($B509="","",IF(AND(ISNUMBER($AD509),N($AD509)&lt;TODAY(),$N509&lt;&gt;"Done",$N509&lt;&gt;"Won't Fix",$N509&lt;&gt;"Duplicate"),"Yes","No"))</f>
        <v/>
      </c>
      <c r="AF509" s="101"/>
      <c r="AG509" s="108" t="str">
        <f aca="false">IF($AF509="","",IFERROR(VLOOKUP($AF509,'Application Portfolio'!$A$2:$B$1000,2,FALSE()),"Unknown App ID"))</f>
        <v/>
      </c>
      <c r="AH509" s="108" t="str">
        <f aca="false">IF(OR($B509="",$AF509=""),"",IFERROR(VLOOKUP($AF509,'Application Portfolio'!$A$2:$AB$1000,28,FALSE()),""))</f>
        <v/>
      </c>
    </row>
    <row r="510" customFormat="false" ht="15.75" hidden="false" customHeight="true" outlineLevel="0" collapsed="false">
      <c r="A510" s="100"/>
      <c r="B510" s="101"/>
      <c r="C510" s="101"/>
      <c r="D510" s="101"/>
      <c r="E510" s="101"/>
      <c r="F510" s="102"/>
      <c r="G510" s="102"/>
      <c r="H510" s="102"/>
      <c r="I510" s="102"/>
      <c r="J510" s="102"/>
      <c r="K510" s="102"/>
      <c r="L510" s="103" t="str">
        <f aca="false">IF(OR($B510="", $H510="", $I510="", $J510="", $K510=""),"",ROUND((VLOOKUP($H510,Lists!$E$2:$F$5,2,FALSE())*VLOOKUP($I510,Lists!$H$2:$I$4,2,FALSE())*VLOOKUP($J510,Lists!$K$2:$L$4,2,FALSE()))/VLOOKUP($K510,Lists!$N$2:$O$6,2,FALSE()),2))</f>
        <v/>
      </c>
      <c r="M510" s="104" t="str">
        <f aca="false">IF($B510="","",IF($AC510&lt;&gt;"",$AC510,IF($H510="Critical","P0",IF(NOT(ISNUMBER($L510)),"",IF($L510&gt;=Lists!$AM$2,"P0",IF($L510&gt;=Lists!$AM$3,"P1",IF($L510&gt;=Lists!$AM$4,"P2","P3")))))))</f>
        <v/>
      </c>
      <c r="N510" s="102"/>
      <c r="O510" s="101"/>
      <c r="P510" s="102"/>
      <c r="Q510" s="105"/>
      <c r="R510" s="106" t="str">
        <f aca="true">IF($Q510="","", TODAY()-$Q510)</f>
        <v/>
      </c>
      <c r="S510" s="102"/>
      <c r="T510" s="105"/>
      <c r="U510" s="105"/>
      <c r="V510" s="101"/>
      <c r="W510" s="101"/>
      <c r="X510" s="101"/>
      <c r="Y510" s="96"/>
      <c r="Z510" s="96"/>
      <c r="AA510" s="96"/>
      <c r="AC510" s="102"/>
      <c r="AD510" s="107" t="str">
        <f aca="false">IF($B510="","",IF(ISNUMBER($T510),$T510,IF(OR(NOT(ISNUMBER($Q510)),$S510=""),"",IFERROR(IF(ISNUMBER(INDEX(Lists!$AJ$2:$AJ$7,MATCH($S510,Lists!$AI$2:$AI$7,0))),$Q510+INDEX(Lists!$AJ$2:$AJ$7,MATCH($S510,Lists!$AI$2:$AI$7,0)),""),""))))</f>
        <v/>
      </c>
      <c r="AE510" s="104" t="str">
        <f aca="true">IF($B510="","",IF(AND(ISNUMBER($AD510),N($AD510)&lt;TODAY(),$N510&lt;&gt;"Done",$N510&lt;&gt;"Won't Fix",$N510&lt;&gt;"Duplicate"),"Yes","No"))</f>
        <v/>
      </c>
      <c r="AF510" s="101"/>
      <c r="AG510" s="108" t="str">
        <f aca="false">IF($AF510="","",IFERROR(VLOOKUP($AF510,'Application Portfolio'!$A$2:$B$1000,2,FALSE()),"Unknown App ID"))</f>
        <v/>
      </c>
      <c r="AH510" s="108" t="str">
        <f aca="false">IF(OR($B510="",$AF510=""),"",IFERROR(VLOOKUP($AF510,'Application Portfolio'!$A$2:$AB$1000,28,FALSE()),""))</f>
        <v/>
      </c>
    </row>
    <row r="511" customFormat="false" ht="15.75" hidden="false" customHeight="true" outlineLevel="0" collapsed="false">
      <c r="A511" s="100"/>
      <c r="B511" s="101"/>
      <c r="C511" s="101"/>
      <c r="D511" s="101"/>
      <c r="E511" s="101"/>
      <c r="F511" s="102"/>
      <c r="G511" s="102"/>
      <c r="H511" s="102"/>
      <c r="I511" s="102"/>
      <c r="J511" s="102"/>
      <c r="K511" s="102"/>
      <c r="L511" s="103" t="str">
        <f aca="false">IF(OR($B511="", $H511="", $I511="", $J511="", $K511=""),"",ROUND((VLOOKUP($H511,Lists!$E$2:$F$5,2,FALSE())*VLOOKUP($I511,Lists!$H$2:$I$4,2,FALSE())*VLOOKUP($J511,Lists!$K$2:$L$4,2,FALSE()))/VLOOKUP($K511,Lists!$N$2:$O$6,2,FALSE()),2))</f>
        <v/>
      </c>
      <c r="M511" s="104" t="str">
        <f aca="false">IF($B511="","",IF($AC511&lt;&gt;"",$AC511,IF($H511="Critical","P0",IF(NOT(ISNUMBER($L511)),"",IF($L511&gt;=Lists!$AM$2,"P0",IF($L511&gt;=Lists!$AM$3,"P1",IF($L511&gt;=Lists!$AM$4,"P2","P3")))))))</f>
        <v/>
      </c>
      <c r="N511" s="102"/>
      <c r="O511" s="101"/>
      <c r="P511" s="102"/>
      <c r="Q511" s="105"/>
      <c r="R511" s="106" t="str">
        <f aca="true">IF($Q511="","", TODAY()-$Q511)</f>
        <v/>
      </c>
      <c r="S511" s="102"/>
      <c r="T511" s="105"/>
      <c r="U511" s="105"/>
      <c r="V511" s="101"/>
      <c r="W511" s="101"/>
      <c r="X511" s="101"/>
      <c r="Y511" s="96"/>
      <c r="Z511" s="96"/>
      <c r="AA511" s="96"/>
      <c r="AC511" s="102"/>
      <c r="AD511" s="107" t="str">
        <f aca="false">IF($B511="","",IF(ISNUMBER($T511),$T511,IF(OR(NOT(ISNUMBER($Q511)),$S511=""),"",IFERROR(IF(ISNUMBER(INDEX(Lists!$AJ$2:$AJ$7,MATCH($S511,Lists!$AI$2:$AI$7,0))),$Q511+INDEX(Lists!$AJ$2:$AJ$7,MATCH($S511,Lists!$AI$2:$AI$7,0)),""),""))))</f>
        <v/>
      </c>
      <c r="AE511" s="104" t="str">
        <f aca="true">IF($B511="","",IF(AND(ISNUMBER($AD511),N($AD511)&lt;TODAY(),$N511&lt;&gt;"Done",$N511&lt;&gt;"Won't Fix",$N511&lt;&gt;"Duplicate"),"Yes","No"))</f>
        <v/>
      </c>
      <c r="AF511" s="101"/>
      <c r="AG511" s="108" t="str">
        <f aca="false">IF($AF511="","",IFERROR(VLOOKUP($AF511,'Application Portfolio'!$A$2:$B$1000,2,FALSE()),"Unknown App ID"))</f>
        <v/>
      </c>
      <c r="AH511" s="108" t="str">
        <f aca="false">IF(OR($B511="",$AF511=""),"",IFERROR(VLOOKUP($AF511,'Application Portfolio'!$A$2:$AB$1000,28,FALSE()),""))</f>
        <v/>
      </c>
    </row>
    <row r="512" customFormat="false" ht="15.75" hidden="false" customHeight="true" outlineLevel="0" collapsed="false">
      <c r="A512" s="100"/>
      <c r="B512" s="101"/>
      <c r="C512" s="101"/>
      <c r="D512" s="101"/>
      <c r="E512" s="101"/>
      <c r="F512" s="102"/>
      <c r="G512" s="102"/>
      <c r="H512" s="102"/>
      <c r="I512" s="102"/>
      <c r="J512" s="102"/>
      <c r="K512" s="102"/>
      <c r="L512" s="103" t="str">
        <f aca="false">IF(OR($B512="", $H512="", $I512="", $J512="", $K512=""),"",ROUND((VLOOKUP($H512,Lists!$E$2:$F$5,2,FALSE())*VLOOKUP($I512,Lists!$H$2:$I$4,2,FALSE())*VLOOKUP($J512,Lists!$K$2:$L$4,2,FALSE()))/VLOOKUP($K512,Lists!$N$2:$O$6,2,FALSE()),2))</f>
        <v/>
      </c>
      <c r="M512" s="104" t="str">
        <f aca="false">IF($B512="","",IF($AC512&lt;&gt;"",$AC512,IF($H512="Critical","P0",IF(NOT(ISNUMBER($L512)),"",IF($L512&gt;=Lists!$AM$2,"P0",IF($L512&gt;=Lists!$AM$3,"P1",IF($L512&gt;=Lists!$AM$4,"P2","P3")))))))</f>
        <v/>
      </c>
      <c r="N512" s="102"/>
      <c r="O512" s="101"/>
      <c r="P512" s="102"/>
      <c r="Q512" s="105"/>
      <c r="R512" s="106" t="str">
        <f aca="true">IF($Q512="","", TODAY()-$Q512)</f>
        <v/>
      </c>
      <c r="S512" s="102"/>
      <c r="T512" s="105"/>
      <c r="U512" s="105"/>
      <c r="V512" s="101"/>
      <c r="W512" s="101"/>
      <c r="X512" s="101"/>
      <c r="Y512" s="96"/>
      <c r="Z512" s="96"/>
      <c r="AA512" s="96"/>
      <c r="AC512" s="102"/>
      <c r="AD512" s="107" t="str">
        <f aca="false">IF($B512="","",IF(ISNUMBER($T512),$T512,IF(OR(NOT(ISNUMBER($Q512)),$S512=""),"",IFERROR(IF(ISNUMBER(INDEX(Lists!$AJ$2:$AJ$7,MATCH($S512,Lists!$AI$2:$AI$7,0))),$Q512+INDEX(Lists!$AJ$2:$AJ$7,MATCH($S512,Lists!$AI$2:$AI$7,0)),""),""))))</f>
        <v/>
      </c>
      <c r="AE512" s="104" t="str">
        <f aca="true">IF($B512="","",IF(AND(ISNUMBER($AD512),N($AD512)&lt;TODAY(),$N512&lt;&gt;"Done",$N512&lt;&gt;"Won't Fix",$N512&lt;&gt;"Duplicate"),"Yes","No"))</f>
        <v/>
      </c>
      <c r="AF512" s="101"/>
      <c r="AG512" s="108" t="str">
        <f aca="false">IF($AF512="","",IFERROR(VLOOKUP($AF512,'Application Portfolio'!$A$2:$B$1000,2,FALSE()),"Unknown App ID"))</f>
        <v/>
      </c>
      <c r="AH512" s="108" t="str">
        <f aca="false">IF(OR($B512="",$AF512=""),"",IFERROR(VLOOKUP($AF512,'Application Portfolio'!$A$2:$AB$1000,28,FALSE()),""))</f>
        <v/>
      </c>
    </row>
    <row r="513" customFormat="false" ht="15.75" hidden="false" customHeight="true" outlineLevel="0" collapsed="false">
      <c r="A513" s="100"/>
      <c r="B513" s="101"/>
      <c r="C513" s="101"/>
      <c r="D513" s="101"/>
      <c r="E513" s="101"/>
      <c r="F513" s="102"/>
      <c r="G513" s="102"/>
      <c r="H513" s="102"/>
      <c r="I513" s="102"/>
      <c r="J513" s="102"/>
      <c r="K513" s="102"/>
      <c r="L513" s="103" t="str">
        <f aca="false">IF(OR($B513="", $H513="", $I513="", $J513="", $K513=""),"",ROUND((VLOOKUP($H513,Lists!$E$2:$F$5,2,FALSE())*VLOOKUP($I513,Lists!$H$2:$I$4,2,FALSE())*VLOOKUP($J513,Lists!$K$2:$L$4,2,FALSE()))/VLOOKUP($K513,Lists!$N$2:$O$6,2,FALSE()),2))</f>
        <v/>
      </c>
      <c r="M513" s="104" t="str">
        <f aca="false">IF($B513="","",IF($AC513&lt;&gt;"",$AC513,IF($H513="Critical","P0",IF(NOT(ISNUMBER($L513)),"",IF($L513&gt;=Lists!$AM$2,"P0",IF($L513&gt;=Lists!$AM$3,"P1",IF($L513&gt;=Lists!$AM$4,"P2","P3")))))))</f>
        <v/>
      </c>
      <c r="N513" s="102"/>
      <c r="O513" s="101"/>
      <c r="P513" s="102"/>
      <c r="Q513" s="105"/>
      <c r="R513" s="106" t="str">
        <f aca="true">IF($Q513="","", TODAY()-$Q513)</f>
        <v/>
      </c>
      <c r="S513" s="102"/>
      <c r="T513" s="105"/>
      <c r="U513" s="105"/>
      <c r="V513" s="101"/>
      <c r="W513" s="101"/>
      <c r="X513" s="101"/>
      <c r="Y513" s="96"/>
      <c r="Z513" s="96"/>
      <c r="AA513" s="96"/>
      <c r="AC513" s="102"/>
      <c r="AD513" s="107" t="str">
        <f aca="false">IF($B513="","",IF(ISNUMBER($T513),$T513,IF(OR(NOT(ISNUMBER($Q513)),$S513=""),"",IFERROR(IF(ISNUMBER(INDEX(Lists!$AJ$2:$AJ$7,MATCH($S513,Lists!$AI$2:$AI$7,0))),$Q513+INDEX(Lists!$AJ$2:$AJ$7,MATCH($S513,Lists!$AI$2:$AI$7,0)),""),""))))</f>
        <v/>
      </c>
      <c r="AE513" s="104" t="str">
        <f aca="true">IF($B513="","",IF(AND(ISNUMBER($AD513),N($AD513)&lt;TODAY(),$N513&lt;&gt;"Done",$N513&lt;&gt;"Won't Fix",$N513&lt;&gt;"Duplicate"),"Yes","No"))</f>
        <v/>
      </c>
      <c r="AF513" s="101"/>
      <c r="AG513" s="108" t="str">
        <f aca="false">IF($AF513="","",IFERROR(VLOOKUP($AF513,'Application Portfolio'!$A$2:$B$1000,2,FALSE()),"Unknown App ID"))</f>
        <v/>
      </c>
      <c r="AH513" s="108" t="str">
        <f aca="false">IF(OR($B513="",$AF513=""),"",IFERROR(VLOOKUP($AF513,'Application Portfolio'!$A$2:$AB$1000,28,FALSE()),""))</f>
        <v/>
      </c>
    </row>
    <row r="514" customFormat="false" ht="15.75" hidden="false" customHeight="true" outlineLevel="0" collapsed="false">
      <c r="A514" s="100"/>
      <c r="B514" s="101"/>
      <c r="C514" s="101"/>
      <c r="D514" s="101"/>
      <c r="E514" s="101"/>
      <c r="F514" s="102"/>
      <c r="G514" s="102"/>
      <c r="H514" s="102"/>
      <c r="I514" s="102"/>
      <c r="J514" s="102"/>
      <c r="K514" s="102"/>
      <c r="L514" s="103" t="str">
        <f aca="false">IF(OR($B514="", $H514="", $I514="", $J514="", $K514=""),"",ROUND((VLOOKUP($H514,Lists!$E$2:$F$5,2,FALSE())*VLOOKUP($I514,Lists!$H$2:$I$4,2,FALSE())*VLOOKUP($J514,Lists!$K$2:$L$4,2,FALSE()))/VLOOKUP($K514,Lists!$N$2:$O$6,2,FALSE()),2))</f>
        <v/>
      </c>
      <c r="M514" s="104" t="str">
        <f aca="false">IF($B514="","",IF($AC514&lt;&gt;"",$AC514,IF($H514="Critical","P0",IF(NOT(ISNUMBER($L514)),"",IF($L514&gt;=Lists!$AM$2,"P0",IF($L514&gt;=Lists!$AM$3,"P1",IF($L514&gt;=Lists!$AM$4,"P2","P3")))))))</f>
        <v/>
      </c>
      <c r="N514" s="102"/>
      <c r="O514" s="101"/>
      <c r="P514" s="102"/>
      <c r="Q514" s="105"/>
      <c r="R514" s="106" t="str">
        <f aca="true">IF($Q514="","", TODAY()-$Q514)</f>
        <v/>
      </c>
      <c r="S514" s="102"/>
      <c r="T514" s="105"/>
      <c r="U514" s="105"/>
      <c r="V514" s="101"/>
      <c r="W514" s="101"/>
      <c r="X514" s="101"/>
      <c r="Y514" s="96"/>
      <c r="Z514" s="96"/>
      <c r="AA514" s="96"/>
      <c r="AC514" s="102"/>
      <c r="AD514" s="107" t="str">
        <f aca="false">IF($B514="","",IF(ISNUMBER($T514),$T514,IF(OR(NOT(ISNUMBER($Q514)),$S514=""),"",IFERROR(IF(ISNUMBER(INDEX(Lists!$AJ$2:$AJ$7,MATCH($S514,Lists!$AI$2:$AI$7,0))),$Q514+INDEX(Lists!$AJ$2:$AJ$7,MATCH($S514,Lists!$AI$2:$AI$7,0)),""),""))))</f>
        <v/>
      </c>
      <c r="AE514" s="104" t="str">
        <f aca="true">IF($B514="","",IF(AND(ISNUMBER($AD514),N($AD514)&lt;TODAY(),$N514&lt;&gt;"Done",$N514&lt;&gt;"Won't Fix",$N514&lt;&gt;"Duplicate"),"Yes","No"))</f>
        <v/>
      </c>
      <c r="AF514" s="101"/>
      <c r="AG514" s="108" t="str">
        <f aca="false">IF($AF514="","",IFERROR(VLOOKUP($AF514,'Application Portfolio'!$A$2:$B$1000,2,FALSE()),"Unknown App ID"))</f>
        <v/>
      </c>
      <c r="AH514" s="108" t="str">
        <f aca="false">IF(OR($B514="",$AF514=""),"",IFERROR(VLOOKUP($AF514,'Application Portfolio'!$A$2:$AB$1000,28,FALSE()),""))</f>
        <v/>
      </c>
    </row>
    <row r="515" customFormat="false" ht="15.75" hidden="false" customHeight="true" outlineLevel="0" collapsed="false">
      <c r="A515" s="100"/>
      <c r="B515" s="101"/>
      <c r="C515" s="101"/>
      <c r="D515" s="101"/>
      <c r="E515" s="101"/>
      <c r="F515" s="102"/>
      <c r="G515" s="102"/>
      <c r="H515" s="102"/>
      <c r="I515" s="102"/>
      <c r="J515" s="102"/>
      <c r="K515" s="102"/>
      <c r="L515" s="103" t="str">
        <f aca="false">IF(OR($B515="", $H515="", $I515="", $J515="", $K515=""),"",ROUND((VLOOKUP($H515,Lists!$E$2:$F$5,2,FALSE())*VLOOKUP($I515,Lists!$H$2:$I$4,2,FALSE())*VLOOKUP($J515,Lists!$K$2:$L$4,2,FALSE()))/VLOOKUP($K515,Lists!$N$2:$O$6,2,FALSE()),2))</f>
        <v/>
      </c>
      <c r="M515" s="104" t="str">
        <f aca="false">IF($B515="","",IF($AC515&lt;&gt;"",$AC515,IF($H515="Critical","P0",IF(NOT(ISNUMBER($L515)),"",IF($L515&gt;=Lists!$AM$2,"P0",IF($L515&gt;=Lists!$AM$3,"P1",IF($L515&gt;=Lists!$AM$4,"P2","P3")))))))</f>
        <v/>
      </c>
      <c r="N515" s="102"/>
      <c r="O515" s="101"/>
      <c r="P515" s="102"/>
      <c r="Q515" s="105"/>
      <c r="R515" s="106" t="str">
        <f aca="true">IF($Q515="","", TODAY()-$Q515)</f>
        <v/>
      </c>
      <c r="S515" s="102"/>
      <c r="T515" s="105"/>
      <c r="U515" s="105"/>
      <c r="V515" s="101"/>
      <c r="W515" s="101"/>
      <c r="X515" s="101"/>
      <c r="Y515" s="96"/>
      <c r="Z515" s="96"/>
      <c r="AA515" s="96"/>
      <c r="AC515" s="102"/>
      <c r="AD515" s="107" t="str">
        <f aca="false">IF($B515="","",IF(ISNUMBER($T515),$T515,IF(OR(NOT(ISNUMBER($Q515)),$S515=""),"",IFERROR(IF(ISNUMBER(INDEX(Lists!$AJ$2:$AJ$7,MATCH($S515,Lists!$AI$2:$AI$7,0))),$Q515+INDEX(Lists!$AJ$2:$AJ$7,MATCH($S515,Lists!$AI$2:$AI$7,0)),""),""))))</f>
        <v/>
      </c>
      <c r="AE515" s="104" t="str">
        <f aca="true">IF($B515="","",IF(AND(ISNUMBER($AD515),N($AD515)&lt;TODAY(),$N515&lt;&gt;"Done",$N515&lt;&gt;"Won't Fix",$N515&lt;&gt;"Duplicate"),"Yes","No"))</f>
        <v/>
      </c>
      <c r="AF515" s="101"/>
      <c r="AG515" s="108" t="str">
        <f aca="false">IF($AF515="","",IFERROR(VLOOKUP($AF515,'Application Portfolio'!$A$2:$B$1000,2,FALSE()),"Unknown App ID"))</f>
        <v/>
      </c>
      <c r="AH515" s="108" t="str">
        <f aca="false">IF(OR($B515="",$AF515=""),"",IFERROR(VLOOKUP($AF515,'Application Portfolio'!$A$2:$AB$1000,28,FALSE()),""))</f>
        <v/>
      </c>
    </row>
    <row r="516" customFormat="false" ht="15.75" hidden="false" customHeight="true" outlineLevel="0" collapsed="false">
      <c r="A516" s="100"/>
      <c r="B516" s="101"/>
      <c r="C516" s="101"/>
      <c r="D516" s="101"/>
      <c r="E516" s="101"/>
      <c r="F516" s="102"/>
      <c r="G516" s="102"/>
      <c r="H516" s="102"/>
      <c r="I516" s="102"/>
      <c r="J516" s="102"/>
      <c r="K516" s="102"/>
      <c r="L516" s="103" t="str">
        <f aca="false">IF(OR($B516="", $H516="", $I516="", $J516="", $K516=""),"",ROUND((VLOOKUP($H516,Lists!$E$2:$F$5,2,FALSE())*VLOOKUP($I516,Lists!$H$2:$I$4,2,FALSE())*VLOOKUP($J516,Lists!$K$2:$L$4,2,FALSE()))/VLOOKUP($K516,Lists!$N$2:$O$6,2,FALSE()),2))</f>
        <v/>
      </c>
      <c r="M516" s="104" t="str">
        <f aca="false">IF($B516="","",IF($AC516&lt;&gt;"",$AC516,IF($H516="Critical","P0",IF(NOT(ISNUMBER($L516)),"",IF($L516&gt;=Lists!$AM$2,"P0",IF($L516&gt;=Lists!$AM$3,"P1",IF($L516&gt;=Lists!$AM$4,"P2","P3")))))))</f>
        <v/>
      </c>
      <c r="N516" s="102"/>
      <c r="O516" s="101"/>
      <c r="P516" s="102"/>
      <c r="Q516" s="105"/>
      <c r="R516" s="106" t="str">
        <f aca="true">IF($Q516="","", TODAY()-$Q516)</f>
        <v/>
      </c>
      <c r="S516" s="102"/>
      <c r="T516" s="105"/>
      <c r="U516" s="105"/>
      <c r="V516" s="101"/>
      <c r="W516" s="101"/>
      <c r="X516" s="101"/>
      <c r="Y516" s="96"/>
      <c r="Z516" s="96"/>
      <c r="AA516" s="96"/>
      <c r="AC516" s="102"/>
      <c r="AD516" s="107" t="str">
        <f aca="false">IF($B516="","",IF(ISNUMBER($T516),$T516,IF(OR(NOT(ISNUMBER($Q516)),$S516=""),"",IFERROR(IF(ISNUMBER(INDEX(Lists!$AJ$2:$AJ$7,MATCH($S516,Lists!$AI$2:$AI$7,0))),$Q516+INDEX(Lists!$AJ$2:$AJ$7,MATCH($S516,Lists!$AI$2:$AI$7,0)),""),""))))</f>
        <v/>
      </c>
      <c r="AE516" s="104" t="str">
        <f aca="true">IF($B516="","",IF(AND(ISNUMBER($AD516),N($AD516)&lt;TODAY(),$N516&lt;&gt;"Done",$N516&lt;&gt;"Won't Fix",$N516&lt;&gt;"Duplicate"),"Yes","No"))</f>
        <v/>
      </c>
      <c r="AF516" s="101"/>
      <c r="AG516" s="108" t="str">
        <f aca="false">IF($AF516="","",IFERROR(VLOOKUP($AF516,'Application Portfolio'!$A$2:$B$1000,2,FALSE()),"Unknown App ID"))</f>
        <v/>
      </c>
      <c r="AH516" s="108" t="str">
        <f aca="false">IF(OR($B516="",$AF516=""),"",IFERROR(VLOOKUP($AF516,'Application Portfolio'!$A$2:$AB$1000,28,FALSE()),""))</f>
        <v/>
      </c>
    </row>
    <row r="517" customFormat="false" ht="15.75" hidden="false" customHeight="true" outlineLevel="0" collapsed="false">
      <c r="A517" s="100"/>
      <c r="B517" s="101"/>
      <c r="C517" s="101"/>
      <c r="D517" s="101"/>
      <c r="E517" s="101"/>
      <c r="F517" s="102"/>
      <c r="G517" s="102"/>
      <c r="H517" s="102"/>
      <c r="I517" s="102"/>
      <c r="J517" s="102"/>
      <c r="K517" s="102"/>
      <c r="L517" s="103" t="str">
        <f aca="false">IF(OR($B517="", $H517="", $I517="", $J517="", $K517=""),"",ROUND((VLOOKUP($H517,Lists!$E$2:$F$5,2,FALSE())*VLOOKUP($I517,Lists!$H$2:$I$4,2,FALSE())*VLOOKUP($J517,Lists!$K$2:$L$4,2,FALSE()))/VLOOKUP($K517,Lists!$N$2:$O$6,2,FALSE()),2))</f>
        <v/>
      </c>
      <c r="M517" s="104" t="str">
        <f aca="false">IF($B517="","",IF($AC517&lt;&gt;"",$AC517,IF($H517="Critical","P0",IF(NOT(ISNUMBER($L517)),"",IF($L517&gt;=Lists!$AM$2,"P0",IF($L517&gt;=Lists!$AM$3,"P1",IF($L517&gt;=Lists!$AM$4,"P2","P3")))))))</f>
        <v/>
      </c>
      <c r="N517" s="102"/>
      <c r="O517" s="101"/>
      <c r="P517" s="102"/>
      <c r="Q517" s="105"/>
      <c r="R517" s="106" t="str">
        <f aca="true">IF($Q517="","", TODAY()-$Q517)</f>
        <v/>
      </c>
      <c r="S517" s="102"/>
      <c r="T517" s="105"/>
      <c r="U517" s="105"/>
      <c r="V517" s="101"/>
      <c r="W517" s="101"/>
      <c r="X517" s="101"/>
      <c r="Y517" s="96"/>
      <c r="Z517" s="96"/>
      <c r="AA517" s="96"/>
      <c r="AC517" s="102"/>
      <c r="AD517" s="107" t="str">
        <f aca="false">IF($B517="","",IF(ISNUMBER($T517),$T517,IF(OR(NOT(ISNUMBER($Q517)),$S517=""),"",IFERROR(IF(ISNUMBER(INDEX(Lists!$AJ$2:$AJ$7,MATCH($S517,Lists!$AI$2:$AI$7,0))),$Q517+INDEX(Lists!$AJ$2:$AJ$7,MATCH($S517,Lists!$AI$2:$AI$7,0)),""),""))))</f>
        <v/>
      </c>
      <c r="AE517" s="104" t="str">
        <f aca="true">IF($B517="","",IF(AND(ISNUMBER($AD517),N($AD517)&lt;TODAY(),$N517&lt;&gt;"Done",$N517&lt;&gt;"Won't Fix",$N517&lt;&gt;"Duplicate"),"Yes","No"))</f>
        <v/>
      </c>
      <c r="AF517" s="101"/>
      <c r="AG517" s="108" t="str">
        <f aca="false">IF($AF517="","",IFERROR(VLOOKUP($AF517,'Application Portfolio'!$A$2:$B$1000,2,FALSE()),"Unknown App ID"))</f>
        <v/>
      </c>
      <c r="AH517" s="108" t="str">
        <f aca="false">IF(OR($B517="",$AF517=""),"",IFERROR(VLOOKUP($AF517,'Application Portfolio'!$A$2:$AB$1000,28,FALSE()),""))</f>
        <v/>
      </c>
    </row>
    <row r="518" customFormat="false" ht="15.75" hidden="false" customHeight="true" outlineLevel="0" collapsed="false">
      <c r="A518" s="100"/>
      <c r="B518" s="101"/>
      <c r="C518" s="101"/>
      <c r="D518" s="101"/>
      <c r="E518" s="101"/>
      <c r="F518" s="102"/>
      <c r="G518" s="102"/>
      <c r="H518" s="102"/>
      <c r="I518" s="102"/>
      <c r="J518" s="102"/>
      <c r="K518" s="102"/>
      <c r="L518" s="103" t="str">
        <f aca="false">IF(OR($B518="", $H518="", $I518="", $J518="", $K518=""),"",ROUND((VLOOKUP($H518,Lists!$E$2:$F$5,2,FALSE())*VLOOKUP($I518,Lists!$H$2:$I$4,2,FALSE())*VLOOKUP($J518,Lists!$K$2:$L$4,2,FALSE()))/VLOOKUP($K518,Lists!$N$2:$O$6,2,FALSE()),2))</f>
        <v/>
      </c>
      <c r="M518" s="104" t="str">
        <f aca="false">IF($B518="","",IF($AC518&lt;&gt;"",$AC518,IF($H518="Critical","P0",IF(NOT(ISNUMBER($L518)),"",IF($L518&gt;=Lists!$AM$2,"P0",IF($L518&gt;=Lists!$AM$3,"P1",IF($L518&gt;=Lists!$AM$4,"P2","P3")))))))</f>
        <v/>
      </c>
      <c r="N518" s="102"/>
      <c r="O518" s="101"/>
      <c r="P518" s="102"/>
      <c r="Q518" s="105"/>
      <c r="R518" s="106" t="str">
        <f aca="true">IF($Q518="","", TODAY()-$Q518)</f>
        <v/>
      </c>
      <c r="S518" s="102"/>
      <c r="T518" s="105"/>
      <c r="U518" s="105"/>
      <c r="V518" s="101"/>
      <c r="W518" s="101"/>
      <c r="X518" s="101"/>
      <c r="Y518" s="96"/>
      <c r="Z518" s="96"/>
      <c r="AA518" s="96"/>
      <c r="AC518" s="102"/>
      <c r="AD518" s="107" t="str">
        <f aca="false">IF($B518="","",IF(ISNUMBER($T518),$T518,IF(OR(NOT(ISNUMBER($Q518)),$S518=""),"",IFERROR(IF(ISNUMBER(INDEX(Lists!$AJ$2:$AJ$7,MATCH($S518,Lists!$AI$2:$AI$7,0))),$Q518+INDEX(Lists!$AJ$2:$AJ$7,MATCH($S518,Lists!$AI$2:$AI$7,0)),""),""))))</f>
        <v/>
      </c>
      <c r="AE518" s="104" t="str">
        <f aca="true">IF($B518="","",IF(AND(ISNUMBER($AD518),N($AD518)&lt;TODAY(),$N518&lt;&gt;"Done",$N518&lt;&gt;"Won't Fix",$N518&lt;&gt;"Duplicate"),"Yes","No"))</f>
        <v/>
      </c>
      <c r="AF518" s="101"/>
      <c r="AG518" s="108" t="str">
        <f aca="false">IF($AF518="","",IFERROR(VLOOKUP($AF518,'Application Portfolio'!$A$2:$B$1000,2,FALSE()),"Unknown App ID"))</f>
        <v/>
      </c>
      <c r="AH518" s="108" t="str">
        <f aca="false">IF(OR($B518="",$AF518=""),"",IFERROR(VLOOKUP($AF518,'Application Portfolio'!$A$2:$AB$1000,28,FALSE()),""))</f>
        <v/>
      </c>
    </row>
    <row r="519" customFormat="false" ht="15.75" hidden="false" customHeight="true" outlineLevel="0" collapsed="false">
      <c r="A519" s="100"/>
      <c r="B519" s="101"/>
      <c r="C519" s="101"/>
      <c r="D519" s="101"/>
      <c r="E519" s="101"/>
      <c r="F519" s="102"/>
      <c r="G519" s="102"/>
      <c r="H519" s="102"/>
      <c r="I519" s="102"/>
      <c r="J519" s="102"/>
      <c r="K519" s="102"/>
      <c r="L519" s="103" t="str">
        <f aca="false">IF(OR($B519="", $H519="", $I519="", $J519="", $K519=""),"",ROUND((VLOOKUP($H519,Lists!$E$2:$F$5,2,FALSE())*VLOOKUP($I519,Lists!$H$2:$I$4,2,FALSE())*VLOOKUP($J519,Lists!$K$2:$L$4,2,FALSE()))/VLOOKUP($K519,Lists!$N$2:$O$6,2,FALSE()),2))</f>
        <v/>
      </c>
      <c r="M519" s="104" t="str">
        <f aca="false">IF($B519="","",IF($AC519&lt;&gt;"",$AC519,IF($H519="Critical","P0",IF(NOT(ISNUMBER($L519)),"",IF($L519&gt;=Lists!$AM$2,"P0",IF($L519&gt;=Lists!$AM$3,"P1",IF($L519&gt;=Lists!$AM$4,"P2","P3")))))))</f>
        <v/>
      </c>
      <c r="N519" s="102"/>
      <c r="O519" s="101"/>
      <c r="P519" s="102"/>
      <c r="Q519" s="105"/>
      <c r="R519" s="106" t="str">
        <f aca="true">IF($Q519="","", TODAY()-$Q519)</f>
        <v/>
      </c>
      <c r="S519" s="102"/>
      <c r="T519" s="105"/>
      <c r="U519" s="105"/>
      <c r="V519" s="101"/>
      <c r="W519" s="101"/>
      <c r="X519" s="101"/>
      <c r="Y519" s="96"/>
      <c r="Z519" s="96"/>
      <c r="AA519" s="96"/>
      <c r="AC519" s="102"/>
      <c r="AD519" s="107" t="str">
        <f aca="false">IF($B519="","",IF(ISNUMBER($T519),$T519,IF(OR(NOT(ISNUMBER($Q519)),$S519=""),"",IFERROR(IF(ISNUMBER(INDEX(Lists!$AJ$2:$AJ$7,MATCH($S519,Lists!$AI$2:$AI$7,0))),$Q519+INDEX(Lists!$AJ$2:$AJ$7,MATCH($S519,Lists!$AI$2:$AI$7,0)),""),""))))</f>
        <v/>
      </c>
      <c r="AE519" s="104" t="str">
        <f aca="true">IF($B519="","",IF(AND(ISNUMBER($AD519),N($AD519)&lt;TODAY(),$N519&lt;&gt;"Done",$N519&lt;&gt;"Won't Fix",$N519&lt;&gt;"Duplicate"),"Yes","No"))</f>
        <v/>
      </c>
      <c r="AF519" s="101"/>
      <c r="AG519" s="108" t="str">
        <f aca="false">IF($AF519="","",IFERROR(VLOOKUP($AF519,'Application Portfolio'!$A$2:$B$1000,2,FALSE()),"Unknown App ID"))</f>
        <v/>
      </c>
      <c r="AH519" s="108" t="str">
        <f aca="false">IF(OR($B519="",$AF519=""),"",IFERROR(VLOOKUP($AF519,'Application Portfolio'!$A$2:$AB$1000,28,FALSE()),""))</f>
        <v/>
      </c>
    </row>
    <row r="520" customFormat="false" ht="15.75" hidden="false" customHeight="true" outlineLevel="0" collapsed="false">
      <c r="A520" s="100"/>
      <c r="B520" s="101"/>
      <c r="C520" s="101"/>
      <c r="D520" s="101"/>
      <c r="E520" s="101"/>
      <c r="F520" s="102"/>
      <c r="G520" s="102"/>
      <c r="H520" s="102"/>
      <c r="I520" s="102"/>
      <c r="J520" s="102"/>
      <c r="K520" s="102"/>
      <c r="L520" s="103" t="str">
        <f aca="false">IF(OR($B520="", $H520="", $I520="", $J520="", $K520=""),"",ROUND((VLOOKUP($H520,Lists!$E$2:$F$5,2,FALSE())*VLOOKUP($I520,Lists!$H$2:$I$4,2,FALSE())*VLOOKUP($J520,Lists!$K$2:$L$4,2,FALSE()))/VLOOKUP($K520,Lists!$N$2:$O$6,2,FALSE()),2))</f>
        <v/>
      </c>
      <c r="M520" s="104" t="str">
        <f aca="false">IF($B520="","",IF($AC520&lt;&gt;"",$AC520,IF($H520="Critical","P0",IF(NOT(ISNUMBER($L520)),"",IF($L520&gt;=Lists!$AM$2,"P0",IF($L520&gt;=Lists!$AM$3,"P1",IF($L520&gt;=Lists!$AM$4,"P2","P3")))))))</f>
        <v/>
      </c>
      <c r="N520" s="102"/>
      <c r="O520" s="101"/>
      <c r="P520" s="102"/>
      <c r="Q520" s="105"/>
      <c r="R520" s="106" t="str">
        <f aca="true">IF($Q520="","", TODAY()-$Q520)</f>
        <v/>
      </c>
      <c r="S520" s="102"/>
      <c r="T520" s="105"/>
      <c r="U520" s="105"/>
      <c r="V520" s="101"/>
      <c r="W520" s="101"/>
      <c r="X520" s="101"/>
      <c r="Y520" s="96"/>
      <c r="Z520" s="96"/>
      <c r="AA520" s="96"/>
      <c r="AC520" s="102"/>
      <c r="AD520" s="107" t="str">
        <f aca="false">IF($B520="","",IF(ISNUMBER($T520),$T520,IF(OR(NOT(ISNUMBER($Q520)),$S520=""),"",IFERROR(IF(ISNUMBER(INDEX(Lists!$AJ$2:$AJ$7,MATCH($S520,Lists!$AI$2:$AI$7,0))),$Q520+INDEX(Lists!$AJ$2:$AJ$7,MATCH($S520,Lists!$AI$2:$AI$7,0)),""),""))))</f>
        <v/>
      </c>
      <c r="AE520" s="104" t="str">
        <f aca="true">IF($B520="","",IF(AND(ISNUMBER($AD520),N($AD520)&lt;TODAY(),$N520&lt;&gt;"Done",$N520&lt;&gt;"Won't Fix",$N520&lt;&gt;"Duplicate"),"Yes","No"))</f>
        <v/>
      </c>
      <c r="AF520" s="101"/>
      <c r="AG520" s="108" t="str">
        <f aca="false">IF($AF520="","",IFERROR(VLOOKUP($AF520,'Application Portfolio'!$A$2:$B$1000,2,FALSE()),"Unknown App ID"))</f>
        <v/>
      </c>
      <c r="AH520" s="108" t="str">
        <f aca="false">IF(OR($B520="",$AF520=""),"",IFERROR(VLOOKUP($AF520,'Application Portfolio'!$A$2:$AB$1000,28,FALSE()),""))</f>
        <v/>
      </c>
    </row>
    <row r="521" customFormat="false" ht="15.75" hidden="false" customHeight="true" outlineLevel="0" collapsed="false">
      <c r="A521" s="100"/>
      <c r="B521" s="101"/>
      <c r="C521" s="101"/>
      <c r="D521" s="101"/>
      <c r="E521" s="101"/>
      <c r="F521" s="102"/>
      <c r="G521" s="102"/>
      <c r="H521" s="102"/>
      <c r="I521" s="102"/>
      <c r="J521" s="102"/>
      <c r="K521" s="102"/>
      <c r="L521" s="103" t="str">
        <f aca="false">IF(OR($B521="", $H521="", $I521="", $J521="", $K521=""),"",ROUND((VLOOKUP($H521,Lists!$E$2:$F$5,2,FALSE())*VLOOKUP($I521,Lists!$H$2:$I$4,2,FALSE())*VLOOKUP($J521,Lists!$K$2:$L$4,2,FALSE()))/VLOOKUP($K521,Lists!$N$2:$O$6,2,FALSE()),2))</f>
        <v/>
      </c>
      <c r="M521" s="104" t="str">
        <f aca="false">IF($B521="","",IF($AC521&lt;&gt;"",$AC521,IF($H521="Critical","P0",IF(NOT(ISNUMBER($L521)),"",IF($L521&gt;=Lists!$AM$2,"P0",IF($L521&gt;=Lists!$AM$3,"P1",IF($L521&gt;=Lists!$AM$4,"P2","P3")))))))</f>
        <v/>
      </c>
      <c r="N521" s="102"/>
      <c r="O521" s="101"/>
      <c r="P521" s="102"/>
      <c r="Q521" s="105"/>
      <c r="R521" s="106" t="str">
        <f aca="true">IF($Q521="","", TODAY()-$Q521)</f>
        <v/>
      </c>
      <c r="S521" s="102"/>
      <c r="T521" s="105"/>
      <c r="U521" s="105"/>
      <c r="V521" s="101"/>
      <c r="W521" s="101"/>
      <c r="X521" s="101"/>
      <c r="Y521" s="96"/>
      <c r="Z521" s="96"/>
      <c r="AA521" s="96"/>
      <c r="AC521" s="102"/>
      <c r="AD521" s="107" t="str">
        <f aca="false">IF($B521="","",IF(ISNUMBER($T521),$T521,IF(OR(NOT(ISNUMBER($Q521)),$S521=""),"",IFERROR(IF(ISNUMBER(INDEX(Lists!$AJ$2:$AJ$7,MATCH($S521,Lists!$AI$2:$AI$7,0))),$Q521+INDEX(Lists!$AJ$2:$AJ$7,MATCH($S521,Lists!$AI$2:$AI$7,0)),""),""))))</f>
        <v/>
      </c>
      <c r="AE521" s="104" t="str">
        <f aca="true">IF($B521="","",IF(AND(ISNUMBER($AD521),N($AD521)&lt;TODAY(),$N521&lt;&gt;"Done",$N521&lt;&gt;"Won't Fix",$N521&lt;&gt;"Duplicate"),"Yes","No"))</f>
        <v/>
      </c>
      <c r="AF521" s="101"/>
      <c r="AG521" s="108" t="str">
        <f aca="false">IF($AF521="","",IFERROR(VLOOKUP($AF521,'Application Portfolio'!$A$2:$B$1000,2,FALSE()),"Unknown App ID"))</f>
        <v/>
      </c>
      <c r="AH521" s="108" t="str">
        <f aca="false">IF(OR($B521="",$AF521=""),"",IFERROR(VLOOKUP($AF521,'Application Portfolio'!$A$2:$AB$1000,28,FALSE()),""))</f>
        <v/>
      </c>
    </row>
    <row r="522" customFormat="false" ht="15.75" hidden="false" customHeight="true" outlineLevel="0" collapsed="false">
      <c r="A522" s="100"/>
      <c r="B522" s="101"/>
      <c r="C522" s="101"/>
      <c r="D522" s="101"/>
      <c r="E522" s="101"/>
      <c r="F522" s="102"/>
      <c r="G522" s="102"/>
      <c r="H522" s="102"/>
      <c r="I522" s="102"/>
      <c r="J522" s="102"/>
      <c r="K522" s="102"/>
      <c r="L522" s="103" t="str">
        <f aca="false">IF(OR($B522="", $H522="", $I522="", $J522="", $K522=""),"",ROUND((VLOOKUP($H522,Lists!$E$2:$F$5,2,FALSE())*VLOOKUP($I522,Lists!$H$2:$I$4,2,FALSE())*VLOOKUP($J522,Lists!$K$2:$L$4,2,FALSE()))/VLOOKUP($K522,Lists!$N$2:$O$6,2,FALSE()),2))</f>
        <v/>
      </c>
      <c r="M522" s="104" t="str">
        <f aca="false">IF($B522="","",IF($AC522&lt;&gt;"",$AC522,IF($H522="Critical","P0",IF(NOT(ISNUMBER($L522)),"",IF($L522&gt;=Lists!$AM$2,"P0",IF($L522&gt;=Lists!$AM$3,"P1",IF($L522&gt;=Lists!$AM$4,"P2","P3")))))))</f>
        <v/>
      </c>
      <c r="N522" s="102"/>
      <c r="O522" s="101"/>
      <c r="P522" s="102"/>
      <c r="Q522" s="105"/>
      <c r="R522" s="106" t="str">
        <f aca="true">IF($Q522="","", TODAY()-$Q522)</f>
        <v/>
      </c>
      <c r="S522" s="102"/>
      <c r="T522" s="105"/>
      <c r="U522" s="105"/>
      <c r="V522" s="101"/>
      <c r="W522" s="101"/>
      <c r="X522" s="101"/>
      <c r="Y522" s="96"/>
      <c r="Z522" s="96"/>
      <c r="AA522" s="96"/>
      <c r="AC522" s="102"/>
      <c r="AD522" s="107" t="str">
        <f aca="false">IF($B522="","",IF(ISNUMBER($T522),$T522,IF(OR(NOT(ISNUMBER($Q522)),$S522=""),"",IFERROR(IF(ISNUMBER(INDEX(Lists!$AJ$2:$AJ$7,MATCH($S522,Lists!$AI$2:$AI$7,0))),$Q522+INDEX(Lists!$AJ$2:$AJ$7,MATCH($S522,Lists!$AI$2:$AI$7,0)),""),""))))</f>
        <v/>
      </c>
      <c r="AE522" s="104" t="str">
        <f aca="true">IF($B522="","",IF(AND(ISNUMBER($AD522),N($AD522)&lt;TODAY(),$N522&lt;&gt;"Done",$N522&lt;&gt;"Won't Fix",$N522&lt;&gt;"Duplicate"),"Yes","No"))</f>
        <v/>
      </c>
      <c r="AF522" s="101"/>
      <c r="AG522" s="108" t="str">
        <f aca="false">IF($AF522="","",IFERROR(VLOOKUP($AF522,'Application Portfolio'!$A$2:$B$1000,2,FALSE()),"Unknown App ID"))</f>
        <v/>
      </c>
      <c r="AH522" s="108" t="str">
        <f aca="false">IF(OR($B522="",$AF522=""),"",IFERROR(VLOOKUP($AF522,'Application Portfolio'!$A$2:$AB$1000,28,FALSE()),""))</f>
        <v/>
      </c>
    </row>
    <row r="523" customFormat="false" ht="15.75" hidden="false" customHeight="true" outlineLevel="0" collapsed="false">
      <c r="A523" s="100"/>
      <c r="B523" s="101"/>
      <c r="C523" s="101"/>
      <c r="D523" s="101"/>
      <c r="E523" s="101"/>
      <c r="F523" s="102"/>
      <c r="G523" s="102"/>
      <c r="H523" s="102"/>
      <c r="I523" s="102"/>
      <c r="J523" s="102"/>
      <c r="K523" s="102"/>
      <c r="L523" s="103" t="str">
        <f aca="false">IF(OR($B523="", $H523="", $I523="", $J523="", $K523=""),"",ROUND((VLOOKUP($H523,Lists!$E$2:$F$5,2,FALSE())*VLOOKUP($I523,Lists!$H$2:$I$4,2,FALSE())*VLOOKUP($J523,Lists!$K$2:$L$4,2,FALSE()))/VLOOKUP($K523,Lists!$N$2:$O$6,2,FALSE()),2))</f>
        <v/>
      </c>
      <c r="M523" s="104" t="str">
        <f aca="false">IF($B523="","",IF($AC523&lt;&gt;"",$AC523,IF($H523="Critical","P0",IF(NOT(ISNUMBER($L523)),"",IF($L523&gt;=Lists!$AM$2,"P0",IF($L523&gt;=Lists!$AM$3,"P1",IF($L523&gt;=Lists!$AM$4,"P2","P3")))))))</f>
        <v/>
      </c>
      <c r="N523" s="102"/>
      <c r="O523" s="101"/>
      <c r="P523" s="102"/>
      <c r="Q523" s="105"/>
      <c r="R523" s="106" t="str">
        <f aca="true">IF($Q523="","", TODAY()-$Q523)</f>
        <v/>
      </c>
      <c r="S523" s="102"/>
      <c r="T523" s="105"/>
      <c r="U523" s="105"/>
      <c r="V523" s="101"/>
      <c r="W523" s="101"/>
      <c r="X523" s="101"/>
      <c r="Y523" s="96"/>
      <c r="Z523" s="96"/>
      <c r="AA523" s="96"/>
      <c r="AC523" s="102"/>
      <c r="AD523" s="107" t="str">
        <f aca="false">IF($B523="","",IF(ISNUMBER($T523),$T523,IF(OR(NOT(ISNUMBER($Q523)),$S523=""),"",IFERROR(IF(ISNUMBER(INDEX(Lists!$AJ$2:$AJ$7,MATCH($S523,Lists!$AI$2:$AI$7,0))),$Q523+INDEX(Lists!$AJ$2:$AJ$7,MATCH($S523,Lists!$AI$2:$AI$7,0)),""),""))))</f>
        <v/>
      </c>
      <c r="AE523" s="104" t="str">
        <f aca="true">IF($B523="","",IF(AND(ISNUMBER($AD523),N($AD523)&lt;TODAY(),$N523&lt;&gt;"Done",$N523&lt;&gt;"Won't Fix",$N523&lt;&gt;"Duplicate"),"Yes","No"))</f>
        <v/>
      </c>
      <c r="AF523" s="101"/>
      <c r="AG523" s="108" t="str">
        <f aca="false">IF($AF523="","",IFERROR(VLOOKUP($AF523,'Application Portfolio'!$A$2:$B$1000,2,FALSE()),"Unknown App ID"))</f>
        <v/>
      </c>
      <c r="AH523" s="108" t="str">
        <f aca="false">IF(OR($B523="",$AF523=""),"",IFERROR(VLOOKUP($AF523,'Application Portfolio'!$A$2:$AB$1000,28,FALSE()),""))</f>
        <v/>
      </c>
    </row>
    <row r="524" customFormat="false" ht="15.75" hidden="false" customHeight="true" outlineLevel="0" collapsed="false">
      <c r="A524" s="100"/>
      <c r="B524" s="101"/>
      <c r="C524" s="101"/>
      <c r="D524" s="101"/>
      <c r="E524" s="101"/>
      <c r="F524" s="102"/>
      <c r="G524" s="102"/>
      <c r="H524" s="102"/>
      <c r="I524" s="102"/>
      <c r="J524" s="102"/>
      <c r="K524" s="102"/>
      <c r="L524" s="103" t="str">
        <f aca="false">IF(OR($B524="", $H524="", $I524="", $J524="", $K524=""),"",ROUND((VLOOKUP($H524,Lists!$E$2:$F$5,2,FALSE())*VLOOKUP($I524,Lists!$H$2:$I$4,2,FALSE())*VLOOKUP($J524,Lists!$K$2:$L$4,2,FALSE()))/VLOOKUP($K524,Lists!$N$2:$O$6,2,FALSE()),2))</f>
        <v/>
      </c>
      <c r="M524" s="104" t="str">
        <f aca="false">IF($B524="","",IF($AC524&lt;&gt;"",$AC524,IF($H524="Critical","P0",IF(NOT(ISNUMBER($L524)),"",IF($L524&gt;=Lists!$AM$2,"P0",IF($L524&gt;=Lists!$AM$3,"P1",IF($L524&gt;=Lists!$AM$4,"P2","P3")))))))</f>
        <v/>
      </c>
      <c r="N524" s="102"/>
      <c r="O524" s="101"/>
      <c r="P524" s="102"/>
      <c r="Q524" s="105"/>
      <c r="R524" s="106" t="str">
        <f aca="true">IF($Q524="","", TODAY()-$Q524)</f>
        <v/>
      </c>
      <c r="S524" s="102"/>
      <c r="T524" s="105"/>
      <c r="U524" s="105"/>
      <c r="V524" s="101"/>
      <c r="W524" s="101"/>
      <c r="X524" s="101"/>
      <c r="Y524" s="96"/>
      <c r="Z524" s="96"/>
      <c r="AA524" s="96"/>
      <c r="AC524" s="102"/>
      <c r="AD524" s="107" t="str">
        <f aca="false">IF($B524="","",IF(ISNUMBER($T524),$T524,IF(OR(NOT(ISNUMBER($Q524)),$S524=""),"",IFERROR(IF(ISNUMBER(INDEX(Lists!$AJ$2:$AJ$7,MATCH($S524,Lists!$AI$2:$AI$7,0))),$Q524+INDEX(Lists!$AJ$2:$AJ$7,MATCH($S524,Lists!$AI$2:$AI$7,0)),""),""))))</f>
        <v/>
      </c>
      <c r="AE524" s="104" t="str">
        <f aca="true">IF($B524="","",IF(AND(ISNUMBER($AD524),N($AD524)&lt;TODAY(),$N524&lt;&gt;"Done",$N524&lt;&gt;"Won't Fix",$N524&lt;&gt;"Duplicate"),"Yes","No"))</f>
        <v/>
      </c>
      <c r="AF524" s="101"/>
      <c r="AG524" s="108" t="str">
        <f aca="false">IF($AF524="","",IFERROR(VLOOKUP($AF524,'Application Portfolio'!$A$2:$B$1000,2,FALSE()),"Unknown App ID"))</f>
        <v/>
      </c>
      <c r="AH524" s="108" t="str">
        <f aca="false">IF(OR($B524="",$AF524=""),"",IFERROR(VLOOKUP($AF524,'Application Portfolio'!$A$2:$AB$1000,28,FALSE()),""))</f>
        <v/>
      </c>
    </row>
    <row r="525" customFormat="false" ht="15.75" hidden="false" customHeight="true" outlineLevel="0" collapsed="false">
      <c r="A525" s="100"/>
      <c r="B525" s="101"/>
      <c r="C525" s="101"/>
      <c r="D525" s="101"/>
      <c r="E525" s="101"/>
      <c r="F525" s="102"/>
      <c r="G525" s="102"/>
      <c r="H525" s="102"/>
      <c r="I525" s="102"/>
      <c r="J525" s="102"/>
      <c r="K525" s="102"/>
      <c r="L525" s="103" t="str">
        <f aca="false">IF(OR($B525="", $H525="", $I525="", $J525="", $K525=""),"",ROUND((VLOOKUP($H525,Lists!$E$2:$F$5,2,FALSE())*VLOOKUP($I525,Lists!$H$2:$I$4,2,FALSE())*VLOOKUP($J525,Lists!$K$2:$L$4,2,FALSE()))/VLOOKUP($K525,Lists!$N$2:$O$6,2,FALSE()),2))</f>
        <v/>
      </c>
      <c r="M525" s="104" t="str">
        <f aca="false">IF($B525="","",IF($AC525&lt;&gt;"",$AC525,IF($H525="Critical","P0",IF(NOT(ISNUMBER($L525)),"",IF($L525&gt;=Lists!$AM$2,"P0",IF($L525&gt;=Lists!$AM$3,"P1",IF($L525&gt;=Lists!$AM$4,"P2","P3")))))))</f>
        <v/>
      </c>
      <c r="N525" s="102"/>
      <c r="O525" s="101"/>
      <c r="P525" s="102"/>
      <c r="Q525" s="105"/>
      <c r="R525" s="106" t="str">
        <f aca="true">IF($Q525="","", TODAY()-$Q525)</f>
        <v/>
      </c>
      <c r="S525" s="102"/>
      <c r="T525" s="105"/>
      <c r="U525" s="105"/>
      <c r="V525" s="101"/>
      <c r="W525" s="101"/>
      <c r="X525" s="101"/>
      <c r="Y525" s="96"/>
      <c r="Z525" s="96"/>
      <c r="AA525" s="96"/>
      <c r="AC525" s="102"/>
      <c r="AD525" s="107" t="str">
        <f aca="false">IF($B525="","",IF(ISNUMBER($T525),$T525,IF(OR(NOT(ISNUMBER($Q525)),$S525=""),"",IFERROR(IF(ISNUMBER(INDEX(Lists!$AJ$2:$AJ$7,MATCH($S525,Lists!$AI$2:$AI$7,0))),$Q525+INDEX(Lists!$AJ$2:$AJ$7,MATCH($S525,Lists!$AI$2:$AI$7,0)),""),""))))</f>
        <v/>
      </c>
      <c r="AE525" s="104" t="str">
        <f aca="true">IF($B525="","",IF(AND(ISNUMBER($AD525),N($AD525)&lt;TODAY(),$N525&lt;&gt;"Done",$N525&lt;&gt;"Won't Fix",$N525&lt;&gt;"Duplicate"),"Yes","No"))</f>
        <v/>
      </c>
      <c r="AF525" s="101"/>
      <c r="AG525" s="108" t="str">
        <f aca="false">IF($AF525="","",IFERROR(VLOOKUP($AF525,'Application Portfolio'!$A$2:$B$1000,2,FALSE()),"Unknown App ID"))</f>
        <v/>
      </c>
      <c r="AH525" s="108" t="str">
        <f aca="false">IF(OR($B525="",$AF525=""),"",IFERROR(VLOOKUP($AF525,'Application Portfolio'!$A$2:$AB$1000,28,FALSE()),""))</f>
        <v/>
      </c>
    </row>
    <row r="526" customFormat="false" ht="15.75" hidden="false" customHeight="true" outlineLevel="0" collapsed="false">
      <c r="A526" s="100"/>
      <c r="B526" s="101"/>
      <c r="C526" s="101"/>
      <c r="D526" s="101"/>
      <c r="E526" s="101"/>
      <c r="F526" s="102"/>
      <c r="G526" s="102"/>
      <c r="H526" s="102"/>
      <c r="I526" s="102"/>
      <c r="J526" s="102"/>
      <c r="K526" s="102"/>
      <c r="L526" s="103" t="str">
        <f aca="false">IF(OR($B526="", $H526="", $I526="", $J526="", $K526=""),"",ROUND((VLOOKUP($H526,Lists!$E$2:$F$5,2,FALSE())*VLOOKUP($I526,Lists!$H$2:$I$4,2,FALSE())*VLOOKUP($J526,Lists!$K$2:$L$4,2,FALSE()))/VLOOKUP($K526,Lists!$N$2:$O$6,2,FALSE()),2))</f>
        <v/>
      </c>
      <c r="M526" s="104" t="str">
        <f aca="false">IF($B526="","",IF($AC526&lt;&gt;"",$AC526,IF($H526="Critical","P0",IF(NOT(ISNUMBER($L526)),"",IF($L526&gt;=Lists!$AM$2,"P0",IF($L526&gt;=Lists!$AM$3,"P1",IF($L526&gt;=Lists!$AM$4,"P2","P3")))))))</f>
        <v/>
      </c>
      <c r="N526" s="102"/>
      <c r="O526" s="101"/>
      <c r="P526" s="102"/>
      <c r="Q526" s="105"/>
      <c r="R526" s="106" t="str">
        <f aca="true">IF($Q526="","", TODAY()-$Q526)</f>
        <v/>
      </c>
      <c r="S526" s="102"/>
      <c r="T526" s="105"/>
      <c r="U526" s="105"/>
      <c r="V526" s="101"/>
      <c r="W526" s="101"/>
      <c r="X526" s="101"/>
      <c r="Y526" s="96"/>
      <c r="Z526" s="96"/>
      <c r="AA526" s="96"/>
      <c r="AC526" s="102"/>
      <c r="AD526" s="107" t="str">
        <f aca="false">IF($B526="","",IF(ISNUMBER($T526),$T526,IF(OR(NOT(ISNUMBER($Q526)),$S526=""),"",IFERROR(IF(ISNUMBER(INDEX(Lists!$AJ$2:$AJ$7,MATCH($S526,Lists!$AI$2:$AI$7,0))),$Q526+INDEX(Lists!$AJ$2:$AJ$7,MATCH($S526,Lists!$AI$2:$AI$7,0)),""),""))))</f>
        <v/>
      </c>
      <c r="AE526" s="104" t="str">
        <f aca="true">IF($B526="","",IF(AND(ISNUMBER($AD526),N($AD526)&lt;TODAY(),$N526&lt;&gt;"Done",$N526&lt;&gt;"Won't Fix",$N526&lt;&gt;"Duplicate"),"Yes","No"))</f>
        <v/>
      </c>
      <c r="AF526" s="101"/>
      <c r="AG526" s="108" t="str">
        <f aca="false">IF($AF526="","",IFERROR(VLOOKUP($AF526,'Application Portfolio'!$A$2:$B$1000,2,FALSE()),"Unknown App ID"))</f>
        <v/>
      </c>
      <c r="AH526" s="108" t="str">
        <f aca="false">IF(OR($B526="",$AF526=""),"",IFERROR(VLOOKUP($AF526,'Application Portfolio'!$A$2:$AB$1000,28,FALSE()),""))</f>
        <v/>
      </c>
    </row>
    <row r="527" customFormat="false" ht="15.75" hidden="false" customHeight="true" outlineLevel="0" collapsed="false">
      <c r="A527" s="100"/>
      <c r="B527" s="101"/>
      <c r="C527" s="101"/>
      <c r="D527" s="101"/>
      <c r="E527" s="101"/>
      <c r="F527" s="102"/>
      <c r="G527" s="102"/>
      <c r="H527" s="102"/>
      <c r="I527" s="102"/>
      <c r="J527" s="102"/>
      <c r="K527" s="102"/>
      <c r="L527" s="103" t="str">
        <f aca="false">IF(OR($B527="", $H527="", $I527="", $J527="", $K527=""),"",ROUND((VLOOKUP($H527,Lists!$E$2:$F$5,2,FALSE())*VLOOKUP($I527,Lists!$H$2:$I$4,2,FALSE())*VLOOKUP($J527,Lists!$K$2:$L$4,2,FALSE()))/VLOOKUP($K527,Lists!$N$2:$O$6,2,FALSE()),2))</f>
        <v/>
      </c>
      <c r="M527" s="104" t="str">
        <f aca="false">IF($B527="","",IF($AC527&lt;&gt;"",$AC527,IF($H527="Critical","P0",IF(NOT(ISNUMBER($L527)),"",IF($L527&gt;=Lists!$AM$2,"P0",IF($L527&gt;=Lists!$AM$3,"P1",IF($L527&gt;=Lists!$AM$4,"P2","P3")))))))</f>
        <v/>
      </c>
      <c r="N527" s="102"/>
      <c r="O527" s="101"/>
      <c r="P527" s="102"/>
      <c r="Q527" s="105"/>
      <c r="R527" s="106" t="str">
        <f aca="true">IF($Q527="","", TODAY()-$Q527)</f>
        <v/>
      </c>
      <c r="S527" s="102"/>
      <c r="T527" s="105"/>
      <c r="U527" s="105"/>
      <c r="V527" s="101"/>
      <c r="W527" s="101"/>
      <c r="X527" s="101"/>
      <c r="Y527" s="96"/>
      <c r="Z527" s="96"/>
      <c r="AA527" s="96"/>
      <c r="AC527" s="102"/>
      <c r="AD527" s="107" t="str">
        <f aca="false">IF($B527="","",IF(ISNUMBER($T527),$T527,IF(OR(NOT(ISNUMBER($Q527)),$S527=""),"",IFERROR(IF(ISNUMBER(INDEX(Lists!$AJ$2:$AJ$7,MATCH($S527,Lists!$AI$2:$AI$7,0))),$Q527+INDEX(Lists!$AJ$2:$AJ$7,MATCH($S527,Lists!$AI$2:$AI$7,0)),""),""))))</f>
        <v/>
      </c>
      <c r="AE527" s="104" t="str">
        <f aca="true">IF($B527="","",IF(AND(ISNUMBER($AD527),N($AD527)&lt;TODAY(),$N527&lt;&gt;"Done",$N527&lt;&gt;"Won't Fix",$N527&lt;&gt;"Duplicate"),"Yes","No"))</f>
        <v/>
      </c>
      <c r="AF527" s="101"/>
      <c r="AG527" s="108" t="str">
        <f aca="false">IF($AF527="","",IFERROR(VLOOKUP($AF527,'Application Portfolio'!$A$2:$B$1000,2,FALSE()),"Unknown App ID"))</f>
        <v/>
      </c>
      <c r="AH527" s="108" t="str">
        <f aca="false">IF(OR($B527="",$AF527=""),"",IFERROR(VLOOKUP($AF527,'Application Portfolio'!$A$2:$AB$1000,28,FALSE()),""))</f>
        <v/>
      </c>
    </row>
    <row r="528" customFormat="false" ht="15.75" hidden="false" customHeight="true" outlineLevel="0" collapsed="false">
      <c r="A528" s="100"/>
      <c r="B528" s="101"/>
      <c r="C528" s="101"/>
      <c r="D528" s="101"/>
      <c r="E528" s="101"/>
      <c r="F528" s="102"/>
      <c r="G528" s="102"/>
      <c r="H528" s="102"/>
      <c r="I528" s="102"/>
      <c r="J528" s="102"/>
      <c r="K528" s="102"/>
      <c r="L528" s="103" t="str">
        <f aca="false">IF(OR($B528="", $H528="", $I528="", $J528="", $K528=""),"",ROUND((VLOOKUP($H528,Lists!$E$2:$F$5,2,FALSE())*VLOOKUP($I528,Lists!$H$2:$I$4,2,FALSE())*VLOOKUP($J528,Lists!$K$2:$L$4,2,FALSE()))/VLOOKUP($K528,Lists!$N$2:$O$6,2,FALSE()),2))</f>
        <v/>
      </c>
      <c r="M528" s="104" t="str">
        <f aca="false">IF($B528="","",IF($AC528&lt;&gt;"",$AC528,IF($H528="Critical","P0",IF(NOT(ISNUMBER($L528)),"",IF($L528&gt;=Lists!$AM$2,"P0",IF($L528&gt;=Lists!$AM$3,"P1",IF($L528&gt;=Lists!$AM$4,"P2","P3")))))))</f>
        <v/>
      </c>
      <c r="N528" s="102"/>
      <c r="O528" s="101"/>
      <c r="P528" s="102"/>
      <c r="Q528" s="105"/>
      <c r="R528" s="106" t="str">
        <f aca="true">IF($Q528="","", TODAY()-$Q528)</f>
        <v/>
      </c>
      <c r="S528" s="102"/>
      <c r="T528" s="105"/>
      <c r="U528" s="105"/>
      <c r="V528" s="101"/>
      <c r="W528" s="101"/>
      <c r="X528" s="101"/>
      <c r="Y528" s="96"/>
      <c r="Z528" s="96"/>
      <c r="AA528" s="96"/>
      <c r="AC528" s="102"/>
      <c r="AD528" s="107" t="str">
        <f aca="false">IF($B528="","",IF(ISNUMBER($T528),$T528,IF(OR(NOT(ISNUMBER($Q528)),$S528=""),"",IFERROR(IF(ISNUMBER(INDEX(Lists!$AJ$2:$AJ$7,MATCH($S528,Lists!$AI$2:$AI$7,0))),$Q528+INDEX(Lists!$AJ$2:$AJ$7,MATCH($S528,Lists!$AI$2:$AI$7,0)),""),""))))</f>
        <v/>
      </c>
      <c r="AE528" s="104" t="str">
        <f aca="true">IF($B528="","",IF(AND(ISNUMBER($AD528),N($AD528)&lt;TODAY(),$N528&lt;&gt;"Done",$N528&lt;&gt;"Won't Fix",$N528&lt;&gt;"Duplicate"),"Yes","No"))</f>
        <v/>
      </c>
      <c r="AF528" s="101"/>
      <c r="AG528" s="108" t="str">
        <f aca="false">IF($AF528="","",IFERROR(VLOOKUP($AF528,'Application Portfolio'!$A$2:$B$1000,2,FALSE()),"Unknown App ID"))</f>
        <v/>
      </c>
      <c r="AH528" s="108" t="str">
        <f aca="false">IF(OR($B528="",$AF528=""),"",IFERROR(VLOOKUP($AF528,'Application Portfolio'!$A$2:$AB$1000,28,FALSE()),""))</f>
        <v/>
      </c>
    </row>
    <row r="529" customFormat="false" ht="15.75" hidden="false" customHeight="true" outlineLevel="0" collapsed="false">
      <c r="A529" s="100"/>
      <c r="B529" s="101"/>
      <c r="C529" s="101"/>
      <c r="D529" s="101"/>
      <c r="E529" s="101"/>
      <c r="F529" s="102"/>
      <c r="G529" s="102"/>
      <c r="H529" s="102"/>
      <c r="I529" s="102"/>
      <c r="J529" s="102"/>
      <c r="K529" s="102"/>
      <c r="L529" s="103" t="str">
        <f aca="false">IF(OR($B529="", $H529="", $I529="", $J529="", $K529=""),"",ROUND((VLOOKUP($H529,Lists!$E$2:$F$5,2,FALSE())*VLOOKUP($I529,Lists!$H$2:$I$4,2,FALSE())*VLOOKUP($J529,Lists!$K$2:$L$4,2,FALSE()))/VLOOKUP($K529,Lists!$N$2:$O$6,2,FALSE()),2))</f>
        <v/>
      </c>
      <c r="M529" s="104" t="str">
        <f aca="false">IF($B529="","",IF($AC529&lt;&gt;"",$AC529,IF($H529="Critical","P0",IF(NOT(ISNUMBER($L529)),"",IF($L529&gt;=Lists!$AM$2,"P0",IF($L529&gt;=Lists!$AM$3,"P1",IF($L529&gt;=Lists!$AM$4,"P2","P3")))))))</f>
        <v/>
      </c>
      <c r="N529" s="102"/>
      <c r="O529" s="101"/>
      <c r="P529" s="102"/>
      <c r="Q529" s="105"/>
      <c r="R529" s="106" t="str">
        <f aca="true">IF($Q529="","", TODAY()-$Q529)</f>
        <v/>
      </c>
      <c r="S529" s="102"/>
      <c r="T529" s="105"/>
      <c r="U529" s="105"/>
      <c r="V529" s="101"/>
      <c r="W529" s="101"/>
      <c r="X529" s="101"/>
      <c r="Y529" s="96"/>
      <c r="Z529" s="96"/>
      <c r="AA529" s="96"/>
      <c r="AC529" s="102"/>
      <c r="AD529" s="107" t="str">
        <f aca="false">IF($B529="","",IF(ISNUMBER($T529),$T529,IF(OR(NOT(ISNUMBER($Q529)),$S529=""),"",IFERROR(IF(ISNUMBER(INDEX(Lists!$AJ$2:$AJ$7,MATCH($S529,Lists!$AI$2:$AI$7,0))),$Q529+INDEX(Lists!$AJ$2:$AJ$7,MATCH($S529,Lists!$AI$2:$AI$7,0)),""),""))))</f>
        <v/>
      </c>
      <c r="AE529" s="104" t="str">
        <f aca="true">IF($B529="","",IF(AND(ISNUMBER($AD529),N($AD529)&lt;TODAY(),$N529&lt;&gt;"Done",$N529&lt;&gt;"Won't Fix",$N529&lt;&gt;"Duplicate"),"Yes","No"))</f>
        <v/>
      </c>
      <c r="AF529" s="101"/>
      <c r="AG529" s="108" t="str">
        <f aca="false">IF($AF529="","",IFERROR(VLOOKUP($AF529,'Application Portfolio'!$A$2:$B$1000,2,FALSE()),"Unknown App ID"))</f>
        <v/>
      </c>
      <c r="AH529" s="108" t="str">
        <f aca="false">IF(OR($B529="",$AF529=""),"",IFERROR(VLOOKUP($AF529,'Application Portfolio'!$A$2:$AB$1000,28,FALSE()),""))</f>
        <v/>
      </c>
    </row>
    <row r="530" customFormat="false" ht="15.75" hidden="false" customHeight="true" outlineLevel="0" collapsed="false">
      <c r="A530" s="100"/>
      <c r="B530" s="101"/>
      <c r="C530" s="101"/>
      <c r="D530" s="101"/>
      <c r="E530" s="101"/>
      <c r="F530" s="102"/>
      <c r="G530" s="102"/>
      <c r="H530" s="102"/>
      <c r="I530" s="102"/>
      <c r="J530" s="102"/>
      <c r="K530" s="102"/>
      <c r="L530" s="103" t="str">
        <f aca="false">IF(OR($B530="", $H530="", $I530="", $J530="", $K530=""),"",ROUND((VLOOKUP($H530,Lists!$E$2:$F$5,2,FALSE())*VLOOKUP($I530,Lists!$H$2:$I$4,2,FALSE())*VLOOKUP($J530,Lists!$K$2:$L$4,2,FALSE()))/VLOOKUP($K530,Lists!$N$2:$O$6,2,FALSE()),2))</f>
        <v/>
      </c>
      <c r="M530" s="104" t="str">
        <f aca="false">IF($B530="","",IF($AC530&lt;&gt;"",$AC530,IF($H530="Critical","P0",IF(NOT(ISNUMBER($L530)),"",IF($L530&gt;=Lists!$AM$2,"P0",IF($L530&gt;=Lists!$AM$3,"P1",IF($L530&gt;=Lists!$AM$4,"P2","P3")))))))</f>
        <v/>
      </c>
      <c r="N530" s="102"/>
      <c r="O530" s="101"/>
      <c r="P530" s="102"/>
      <c r="Q530" s="105"/>
      <c r="R530" s="106" t="str">
        <f aca="true">IF($Q530="","", TODAY()-$Q530)</f>
        <v/>
      </c>
      <c r="S530" s="102"/>
      <c r="T530" s="105"/>
      <c r="U530" s="105"/>
      <c r="V530" s="101"/>
      <c r="W530" s="101"/>
      <c r="X530" s="101"/>
      <c r="Y530" s="96"/>
      <c r="Z530" s="96"/>
      <c r="AA530" s="96"/>
      <c r="AC530" s="102"/>
      <c r="AD530" s="107" t="str">
        <f aca="false">IF($B530="","",IF(ISNUMBER($T530),$T530,IF(OR(NOT(ISNUMBER($Q530)),$S530=""),"",IFERROR(IF(ISNUMBER(INDEX(Lists!$AJ$2:$AJ$7,MATCH($S530,Lists!$AI$2:$AI$7,0))),$Q530+INDEX(Lists!$AJ$2:$AJ$7,MATCH($S530,Lists!$AI$2:$AI$7,0)),""),""))))</f>
        <v/>
      </c>
      <c r="AE530" s="104" t="str">
        <f aca="true">IF($B530="","",IF(AND(ISNUMBER($AD530),N($AD530)&lt;TODAY(),$N530&lt;&gt;"Done",$N530&lt;&gt;"Won't Fix",$N530&lt;&gt;"Duplicate"),"Yes","No"))</f>
        <v/>
      </c>
      <c r="AF530" s="101"/>
      <c r="AG530" s="108" t="str">
        <f aca="false">IF($AF530="","",IFERROR(VLOOKUP($AF530,'Application Portfolio'!$A$2:$B$1000,2,FALSE()),"Unknown App ID"))</f>
        <v/>
      </c>
      <c r="AH530" s="108" t="str">
        <f aca="false">IF(OR($B530="",$AF530=""),"",IFERROR(VLOOKUP($AF530,'Application Portfolio'!$A$2:$AB$1000,28,FALSE()),""))</f>
        <v/>
      </c>
    </row>
    <row r="531" customFormat="false" ht="15.75" hidden="false" customHeight="true" outlineLevel="0" collapsed="false">
      <c r="A531" s="100"/>
      <c r="B531" s="101"/>
      <c r="C531" s="101"/>
      <c r="D531" s="101"/>
      <c r="E531" s="101"/>
      <c r="F531" s="102"/>
      <c r="G531" s="102"/>
      <c r="H531" s="102"/>
      <c r="I531" s="102"/>
      <c r="J531" s="102"/>
      <c r="K531" s="102"/>
      <c r="L531" s="103" t="str">
        <f aca="false">IF(OR($B531="", $H531="", $I531="", $J531="", $K531=""),"",ROUND((VLOOKUP($H531,Lists!$E$2:$F$5,2,FALSE())*VLOOKUP($I531,Lists!$H$2:$I$4,2,FALSE())*VLOOKUP($J531,Lists!$K$2:$L$4,2,FALSE()))/VLOOKUP($K531,Lists!$N$2:$O$6,2,FALSE()),2))</f>
        <v/>
      </c>
      <c r="M531" s="104" t="str">
        <f aca="false">IF($B531="","",IF($AC531&lt;&gt;"",$AC531,IF($H531="Critical","P0",IF(NOT(ISNUMBER($L531)),"",IF($L531&gt;=Lists!$AM$2,"P0",IF($L531&gt;=Lists!$AM$3,"P1",IF($L531&gt;=Lists!$AM$4,"P2","P3")))))))</f>
        <v/>
      </c>
      <c r="N531" s="102"/>
      <c r="O531" s="101"/>
      <c r="P531" s="102"/>
      <c r="Q531" s="105"/>
      <c r="R531" s="106" t="str">
        <f aca="true">IF($Q531="","", TODAY()-$Q531)</f>
        <v/>
      </c>
      <c r="S531" s="102"/>
      <c r="T531" s="105"/>
      <c r="U531" s="105"/>
      <c r="V531" s="101"/>
      <c r="W531" s="101"/>
      <c r="X531" s="101"/>
      <c r="Y531" s="96"/>
      <c r="Z531" s="96"/>
      <c r="AA531" s="96"/>
      <c r="AC531" s="102"/>
      <c r="AD531" s="107" t="str">
        <f aca="false">IF($B531="","",IF(ISNUMBER($T531),$T531,IF(OR(NOT(ISNUMBER($Q531)),$S531=""),"",IFERROR(IF(ISNUMBER(INDEX(Lists!$AJ$2:$AJ$7,MATCH($S531,Lists!$AI$2:$AI$7,0))),$Q531+INDEX(Lists!$AJ$2:$AJ$7,MATCH($S531,Lists!$AI$2:$AI$7,0)),""),""))))</f>
        <v/>
      </c>
      <c r="AE531" s="104" t="str">
        <f aca="true">IF($B531="","",IF(AND(ISNUMBER($AD531),N($AD531)&lt;TODAY(),$N531&lt;&gt;"Done",$N531&lt;&gt;"Won't Fix",$N531&lt;&gt;"Duplicate"),"Yes","No"))</f>
        <v/>
      </c>
      <c r="AF531" s="101"/>
      <c r="AG531" s="108" t="str">
        <f aca="false">IF($AF531="","",IFERROR(VLOOKUP($AF531,'Application Portfolio'!$A$2:$B$1000,2,FALSE()),"Unknown App ID"))</f>
        <v/>
      </c>
      <c r="AH531" s="108" t="str">
        <f aca="false">IF(OR($B531="",$AF531=""),"",IFERROR(VLOOKUP($AF531,'Application Portfolio'!$A$2:$AB$1000,28,FALSE()),""))</f>
        <v/>
      </c>
    </row>
    <row r="532" customFormat="false" ht="15.75" hidden="false" customHeight="true" outlineLevel="0" collapsed="false">
      <c r="A532" s="100"/>
      <c r="B532" s="101"/>
      <c r="C532" s="101"/>
      <c r="D532" s="101"/>
      <c r="E532" s="101"/>
      <c r="F532" s="102"/>
      <c r="G532" s="102"/>
      <c r="H532" s="102"/>
      <c r="I532" s="102"/>
      <c r="J532" s="102"/>
      <c r="K532" s="102"/>
      <c r="L532" s="103" t="str">
        <f aca="false">IF(OR($B532="", $H532="", $I532="", $J532="", $K532=""),"",ROUND((VLOOKUP($H532,Lists!$E$2:$F$5,2,FALSE())*VLOOKUP($I532,Lists!$H$2:$I$4,2,FALSE())*VLOOKUP($J532,Lists!$K$2:$L$4,2,FALSE()))/VLOOKUP($K532,Lists!$N$2:$O$6,2,FALSE()),2))</f>
        <v/>
      </c>
      <c r="M532" s="104" t="str">
        <f aca="false">IF($B532="","",IF($AC532&lt;&gt;"",$AC532,IF($H532="Critical","P0",IF(NOT(ISNUMBER($L532)),"",IF($L532&gt;=Lists!$AM$2,"P0",IF($L532&gt;=Lists!$AM$3,"P1",IF($L532&gt;=Lists!$AM$4,"P2","P3")))))))</f>
        <v/>
      </c>
      <c r="N532" s="102"/>
      <c r="O532" s="101"/>
      <c r="P532" s="102"/>
      <c r="Q532" s="105"/>
      <c r="R532" s="106" t="str">
        <f aca="true">IF($Q532="","", TODAY()-$Q532)</f>
        <v/>
      </c>
      <c r="S532" s="102"/>
      <c r="T532" s="105"/>
      <c r="U532" s="105"/>
      <c r="V532" s="101"/>
      <c r="W532" s="101"/>
      <c r="X532" s="101"/>
      <c r="Y532" s="96"/>
      <c r="Z532" s="96"/>
      <c r="AA532" s="96"/>
      <c r="AC532" s="102"/>
      <c r="AD532" s="107" t="str">
        <f aca="false">IF($B532="","",IF(ISNUMBER($T532),$T532,IF(OR(NOT(ISNUMBER($Q532)),$S532=""),"",IFERROR(IF(ISNUMBER(INDEX(Lists!$AJ$2:$AJ$7,MATCH($S532,Lists!$AI$2:$AI$7,0))),$Q532+INDEX(Lists!$AJ$2:$AJ$7,MATCH($S532,Lists!$AI$2:$AI$7,0)),""),""))))</f>
        <v/>
      </c>
      <c r="AE532" s="104" t="str">
        <f aca="true">IF($B532="","",IF(AND(ISNUMBER($AD532),N($AD532)&lt;TODAY(),$N532&lt;&gt;"Done",$N532&lt;&gt;"Won't Fix",$N532&lt;&gt;"Duplicate"),"Yes","No"))</f>
        <v/>
      </c>
      <c r="AF532" s="101"/>
      <c r="AG532" s="108" t="str">
        <f aca="false">IF($AF532="","",IFERROR(VLOOKUP($AF532,'Application Portfolio'!$A$2:$B$1000,2,FALSE()),"Unknown App ID"))</f>
        <v/>
      </c>
      <c r="AH532" s="108" t="str">
        <f aca="false">IF(OR($B532="",$AF532=""),"",IFERROR(VLOOKUP($AF532,'Application Portfolio'!$A$2:$AB$1000,28,FALSE()),""))</f>
        <v/>
      </c>
    </row>
    <row r="533" customFormat="false" ht="15.75" hidden="false" customHeight="true" outlineLevel="0" collapsed="false">
      <c r="A533" s="100"/>
      <c r="B533" s="101"/>
      <c r="C533" s="101"/>
      <c r="D533" s="101"/>
      <c r="E533" s="101"/>
      <c r="F533" s="102"/>
      <c r="G533" s="102"/>
      <c r="H533" s="102"/>
      <c r="I533" s="102"/>
      <c r="J533" s="102"/>
      <c r="K533" s="102"/>
      <c r="L533" s="103" t="str">
        <f aca="false">IF(OR($B533="", $H533="", $I533="", $J533="", $K533=""),"",ROUND((VLOOKUP($H533,Lists!$E$2:$F$5,2,FALSE())*VLOOKUP($I533,Lists!$H$2:$I$4,2,FALSE())*VLOOKUP($J533,Lists!$K$2:$L$4,2,FALSE()))/VLOOKUP($K533,Lists!$N$2:$O$6,2,FALSE()),2))</f>
        <v/>
      </c>
      <c r="M533" s="104" t="str">
        <f aca="false">IF($B533="","",IF($AC533&lt;&gt;"",$AC533,IF($H533="Critical","P0",IF(NOT(ISNUMBER($L533)),"",IF($L533&gt;=Lists!$AM$2,"P0",IF($L533&gt;=Lists!$AM$3,"P1",IF($L533&gt;=Lists!$AM$4,"P2","P3")))))))</f>
        <v/>
      </c>
      <c r="N533" s="102"/>
      <c r="O533" s="101"/>
      <c r="P533" s="102"/>
      <c r="Q533" s="105"/>
      <c r="R533" s="106" t="str">
        <f aca="true">IF($Q533="","", TODAY()-$Q533)</f>
        <v/>
      </c>
      <c r="S533" s="102"/>
      <c r="T533" s="105"/>
      <c r="U533" s="105"/>
      <c r="V533" s="101"/>
      <c r="W533" s="101"/>
      <c r="X533" s="101"/>
      <c r="Y533" s="96"/>
      <c r="Z533" s="96"/>
      <c r="AA533" s="96"/>
      <c r="AC533" s="102"/>
      <c r="AD533" s="107" t="str">
        <f aca="false">IF($B533="","",IF(ISNUMBER($T533),$T533,IF(OR(NOT(ISNUMBER($Q533)),$S533=""),"",IFERROR(IF(ISNUMBER(INDEX(Lists!$AJ$2:$AJ$7,MATCH($S533,Lists!$AI$2:$AI$7,0))),$Q533+INDEX(Lists!$AJ$2:$AJ$7,MATCH($S533,Lists!$AI$2:$AI$7,0)),""),""))))</f>
        <v/>
      </c>
      <c r="AE533" s="104" t="str">
        <f aca="true">IF($B533="","",IF(AND(ISNUMBER($AD533),N($AD533)&lt;TODAY(),$N533&lt;&gt;"Done",$N533&lt;&gt;"Won't Fix",$N533&lt;&gt;"Duplicate"),"Yes","No"))</f>
        <v/>
      </c>
      <c r="AF533" s="101"/>
      <c r="AG533" s="108" t="str">
        <f aca="false">IF($AF533="","",IFERROR(VLOOKUP($AF533,'Application Portfolio'!$A$2:$B$1000,2,FALSE()),"Unknown App ID"))</f>
        <v/>
      </c>
      <c r="AH533" s="108" t="str">
        <f aca="false">IF(OR($B533="",$AF533=""),"",IFERROR(VLOOKUP($AF533,'Application Portfolio'!$A$2:$AB$1000,28,FALSE()),""))</f>
        <v/>
      </c>
    </row>
    <row r="534" customFormat="false" ht="15.75" hidden="false" customHeight="true" outlineLevel="0" collapsed="false">
      <c r="A534" s="100"/>
      <c r="B534" s="101"/>
      <c r="C534" s="101"/>
      <c r="D534" s="101"/>
      <c r="E534" s="101"/>
      <c r="F534" s="102"/>
      <c r="G534" s="102"/>
      <c r="H534" s="102"/>
      <c r="I534" s="102"/>
      <c r="J534" s="102"/>
      <c r="K534" s="102"/>
      <c r="L534" s="103" t="str">
        <f aca="false">IF(OR($B534="", $H534="", $I534="", $J534="", $K534=""),"",ROUND((VLOOKUP($H534,Lists!$E$2:$F$5,2,FALSE())*VLOOKUP($I534,Lists!$H$2:$I$4,2,FALSE())*VLOOKUP($J534,Lists!$K$2:$L$4,2,FALSE()))/VLOOKUP($K534,Lists!$N$2:$O$6,2,FALSE()),2))</f>
        <v/>
      </c>
      <c r="M534" s="104" t="str">
        <f aca="false">IF($B534="","",IF($AC534&lt;&gt;"",$AC534,IF($H534="Critical","P0",IF(NOT(ISNUMBER($L534)),"",IF($L534&gt;=Lists!$AM$2,"P0",IF($L534&gt;=Lists!$AM$3,"P1",IF($L534&gt;=Lists!$AM$4,"P2","P3")))))))</f>
        <v/>
      </c>
      <c r="N534" s="102"/>
      <c r="O534" s="101"/>
      <c r="P534" s="102"/>
      <c r="Q534" s="105"/>
      <c r="R534" s="106" t="str">
        <f aca="true">IF($Q534="","", TODAY()-$Q534)</f>
        <v/>
      </c>
      <c r="S534" s="102"/>
      <c r="T534" s="105"/>
      <c r="U534" s="105"/>
      <c r="V534" s="101"/>
      <c r="W534" s="101"/>
      <c r="X534" s="101"/>
      <c r="Y534" s="96"/>
      <c r="Z534" s="96"/>
      <c r="AA534" s="96"/>
      <c r="AC534" s="102"/>
      <c r="AD534" s="107" t="str">
        <f aca="false">IF($B534="","",IF(ISNUMBER($T534),$T534,IF(OR(NOT(ISNUMBER($Q534)),$S534=""),"",IFERROR(IF(ISNUMBER(INDEX(Lists!$AJ$2:$AJ$7,MATCH($S534,Lists!$AI$2:$AI$7,0))),$Q534+INDEX(Lists!$AJ$2:$AJ$7,MATCH($S534,Lists!$AI$2:$AI$7,0)),""),""))))</f>
        <v/>
      </c>
      <c r="AE534" s="104" t="str">
        <f aca="true">IF($B534="","",IF(AND(ISNUMBER($AD534),N($AD534)&lt;TODAY(),$N534&lt;&gt;"Done",$N534&lt;&gt;"Won't Fix",$N534&lt;&gt;"Duplicate"),"Yes","No"))</f>
        <v/>
      </c>
      <c r="AF534" s="101"/>
      <c r="AG534" s="108" t="str">
        <f aca="false">IF($AF534="","",IFERROR(VLOOKUP($AF534,'Application Portfolio'!$A$2:$B$1000,2,FALSE()),"Unknown App ID"))</f>
        <v/>
      </c>
      <c r="AH534" s="108" t="str">
        <f aca="false">IF(OR($B534="",$AF534=""),"",IFERROR(VLOOKUP($AF534,'Application Portfolio'!$A$2:$AB$1000,28,FALSE()),""))</f>
        <v/>
      </c>
    </row>
    <row r="535" customFormat="false" ht="15.75" hidden="false" customHeight="true" outlineLevel="0" collapsed="false">
      <c r="A535" s="100"/>
      <c r="B535" s="101"/>
      <c r="C535" s="101"/>
      <c r="D535" s="101"/>
      <c r="E535" s="101"/>
      <c r="F535" s="102"/>
      <c r="G535" s="102"/>
      <c r="H535" s="102"/>
      <c r="I535" s="102"/>
      <c r="J535" s="102"/>
      <c r="K535" s="102"/>
      <c r="L535" s="103" t="str">
        <f aca="false">IF(OR($B535="", $H535="", $I535="", $J535="", $K535=""),"",ROUND((VLOOKUP($H535,Lists!$E$2:$F$5,2,FALSE())*VLOOKUP($I535,Lists!$H$2:$I$4,2,FALSE())*VLOOKUP($J535,Lists!$K$2:$L$4,2,FALSE()))/VLOOKUP($K535,Lists!$N$2:$O$6,2,FALSE()),2))</f>
        <v/>
      </c>
      <c r="M535" s="104" t="str">
        <f aca="false">IF($B535="","",IF($AC535&lt;&gt;"",$AC535,IF($H535="Critical","P0",IF(NOT(ISNUMBER($L535)),"",IF($L535&gt;=Lists!$AM$2,"P0",IF($L535&gt;=Lists!$AM$3,"P1",IF($L535&gt;=Lists!$AM$4,"P2","P3")))))))</f>
        <v/>
      </c>
      <c r="N535" s="102"/>
      <c r="O535" s="101"/>
      <c r="P535" s="102"/>
      <c r="Q535" s="105"/>
      <c r="R535" s="106" t="str">
        <f aca="true">IF($Q535="","", TODAY()-$Q535)</f>
        <v/>
      </c>
      <c r="S535" s="102"/>
      <c r="T535" s="105"/>
      <c r="U535" s="105"/>
      <c r="V535" s="101"/>
      <c r="W535" s="101"/>
      <c r="X535" s="101"/>
      <c r="Y535" s="96"/>
      <c r="Z535" s="96"/>
      <c r="AA535" s="96"/>
      <c r="AC535" s="102"/>
      <c r="AD535" s="107" t="str">
        <f aca="false">IF($B535="","",IF(ISNUMBER($T535),$T535,IF(OR(NOT(ISNUMBER($Q535)),$S535=""),"",IFERROR(IF(ISNUMBER(INDEX(Lists!$AJ$2:$AJ$7,MATCH($S535,Lists!$AI$2:$AI$7,0))),$Q535+INDEX(Lists!$AJ$2:$AJ$7,MATCH($S535,Lists!$AI$2:$AI$7,0)),""),""))))</f>
        <v/>
      </c>
      <c r="AE535" s="104" t="str">
        <f aca="true">IF($B535="","",IF(AND(ISNUMBER($AD535),N($AD535)&lt;TODAY(),$N535&lt;&gt;"Done",$N535&lt;&gt;"Won't Fix",$N535&lt;&gt;"Duplicate"),"Yes","No"))</f>
        <v/>
      </c>
      <c r="AF535" s="101"/>
      <c r="AG535" s="108" t="str">
        <f aca="false">IF($AF535="","",IFERROR(VLOOKUP($AF535,'Application Portfolio'!$A$2:$B$1000,2,FALSE()),"Unknown App ID"))</f>
        <v/>
      </c>
      <c r="AH535" s="108" t="str">
        <f aca="false">IF(OR($B535="",$AF535=""),"",IFERROR(VLOOKUP($AF535,'Application Portfolio'!$A$2:$AB$1000,28,FALSE()),""))</f>
        <v/>
      </c>
    </row>
    <row r="536" customFormat="false" ht="15.75" hidden="false" customHeight="true" outlineLevel="0" collapsed="false">
      <c r="A536" s="100"/>
      <c r="B536" s="101"/>
      <c r="C536" s="101"/>
      <c r="D536" s="101"/>
      <c r="E536" s="101"/>
      <c r="F536" s="102"/>
      <c r="G536" s="102"/>
      <c r="H536" s="102"/>
      <c r="I536" s="102"/>
      <c r="J536" s="102"/>
      <c r="K536" s="102"/>
      <c r="L536" s="103" t="str">
        <f aca="false">IF(OR($B536="", $H536="", $I536="", $J536="", $K536=""),"",ROUND((VLOOKUP($H536,Lists!$E$2:$F$5,2,FALSE())*VLOOKUP($I536,Lists!$H$2:$I$4,2,FALSE())*VLOOKUP($J536,Lists!$K$2:$L$4,2,FALSE()))/VLOOKUP($K536,Lists!$N$2:$O$6,2,FALSE()),2))</f>
        <v/>
      </c>
      <c r="M536" s="104" t="str">
        <f aca="false">IF($B536="","",IF($AC536&lt;&gt;"",$AC536,IF($H536="Critical","P0",IF(NOT(ISNUMBER($L536)),"",IF($L536&gt;=Lists!$AM$2,"P0",IF($L536&gt;=Lists!$AM$3,"P1",IF($L536&gt;=Lists!$AM$4,"P2","P3")))))))</f>
        <v/>
      </c>
      <c r="N536" s="102"/>
      <c r="O536" s="101"/>
      <c r="P536" s="102"/>
      <c r="Q536" s="105"/>
      <c r="R536" s="106" t="str">
        <f aca="true">IF($Q536="","", TODAY()-$Q536)</f>
        <v/>
      </c>
      <c r="S536" s="102"/>
      <c r="T536" s="105"/>
      <c r="U536" s="105"/>
      <c r="V536" s="101"/>
      <c r="W536" s="101"/>
      <c r="X536" s="101"/>
      <c r="Y536" s="96"/>
      <c r="Z536" s="96"/>
      <c r="AA536" s="96"/>
      <c r="AC536" s="102"/>
      <c r="AD536" s="107" t="str">
        <f aca="false">IF($B536="","",IF(ISNUMBER($T536),$T536,IF(OR(NOT(ISNUMBER($Q536)),$S536=""),"",IFERROR(IF(ISNUMBER(INDEX(Lists!$AJ$2:$AJ$7,MATCH($S536,Lists!$AI$2:$AI$7,0))),$Q536+INDEX(Lists!$AJ$2:$AJ$7,MATCH($S536,Lists!$AI$2:$AI$7,0)),""),""))))</f>
        <v/>
      </c>
      <c r="AE536" s="104" t="str">
        <f aca="true">IF($B536="","",IF(AND(ISNUMBER($AD536),N($AD536)&lt;TODAY(),$N536&lt;&gt;"Done",$N536&lt;&gt;"Won't Fix",$N536&lt;&gt;"Duplicate"),"Yes","No"))</f>
        <v/>
      </c>
      <c r="AF536" s="101"/>
      <c r="AG536" s="108" t="str">
        <f aca="false">IF($AF536="","",IFERROR(VLOOKUP($AF536,'Application Portfolio'!$A$2:$B$1000,2,FALSE()),"Unknown App ID"))</f>
        <v/>
      </c>
      <c r="AH536" s="108" t="str">
        <f aca="false">IF(OR($B536="",$AF536=""),"",IFERROR(VLOOKUP($AF536,'Application Portfolio'!$A$2:$AB$1000,28,FALSE()),""))</f>
        <v/>
      </c>
    </row>
    <row r="537" customFormat="false" ht="15.75" hidden="false" customHeight="true" outlineLevel="0" collapsed="false">
      <c r="A537" s="100"/>
      <c r="B537" s="101"/>
      <c r="C537" s="101"/>
      <c r="D537" s="101"/>
      <c r="E537" s="101"/>
      <c r="F537" s="102"/>
      <c r="G537" s="102"/>
      <c r="H537" s="102"/>
      <c r="I537" s="102"/>
      <c r="J537" s="102"/>
      <c r="K537" s="102"/>
      <c r="L537" s="103" t="str">
        <f aca="false">IF(OR($B537="", $H537="", $I537="", $J537="", $K537=""),"",ROUND((VLOOKUP($H537,Lists!$E$2:$F$5,2,FALSE())*VLOOKUP($I537,Lists!$H$2:$I$4,2,FALSE())*VLOOKUP($J537,Lists!$K$2:$L$4,2,FALSE()))/VLOOKUP($K537,Lists!$N$2:$O$6,2,FALSE()),2))</f>
        <v/>
      </c>
      <c r="M537" s="104" t="str">
        <f aca="false">IF($B537="","",IF($AC537&lt;&gt;"",$AC537,IF($H537="Critical","P0",IF(NOT(ISNUMBER($L537)),"",IF($L537&gt;=Lists!$AM$2,"P0",IF($L537&gt;=Lists!$AM$3,"P1",IF($L537&gt;=Lists!$AM$4,"P2","P3")))))))</f>
        <v/>
      </c>
      <c r="N537" s="102"/>
      <c r="O537" s="101"/>
      <c r="P537" s="102"/>
      <c r="Q537" s="105"/>
      <c r="R537" s="106" t="str">
        <f aca="true">IF($Q537="","", TODAY()-$Q537)</f>
        <v/>
      </c>
      <c r="S537" s="102"/>
      <c r="T537" s="105"/>
      <c r="U537" s="105"/>
      <c r="V537" s="101"/>
      <c r="W537" s="101"/>
      <c r="X537" s="101"/>
      <c r="Y537" s="96"/>
      <c r="Z537" s="96"/>
      <c r="AA537" s="96"/>
      <c r="AC537" s="102"/>
      <c r="AD537" s="107" t="str">
        <f aca="false">IF($B537="","",IF(ISNUMBER($T537),$T537,IF(OR(NOT(ISNUMBER($Q537)),$S537=""),"",IFERROR(IF(ISNUMBER(INDEX(Lists!$AJ$2:$AJ$7,MATCH($S537,Lists!$AI$2:$AI$7,0))),$Q537+INDEX(Lists!$AJ$2:$AJ$7,MATCH($S537,Lists!$AI$2:$AI$7,0)),""),""))))</f>
        <v/>
      </c>
      <c r="AE537" s="104" t="str">
        <f aca="true">IF($B537="","",IF(AND(ISNUMBER($AD537),N($AD537)&lt;TODAY(),$N537&lt;&gt;"Done",$N537&lt;&gt;"Won't Fix",$N537&lt;&gt;"Duplicate"),"Yes","No"))</f>
        <v/>
      </c>
      <c r="AF537" s="101"/>
      <c r="AG537" s="108" t="str">
        <f aca="false">IF($AF537="","",IFERROR(VLOOKUP($AF537,'Application Portfolio'!$A$2:$B$1000,2,FALSE()),"Unknown App ID"))</f>
        <v/>
      </c>
      <c r="AH537" s="108" t="str">
        <f aca="false">IF(OR($B537="",$AF537=""),"",IFERROR(VLOOKUP($AF537,'Application Portfolio'!$A$2:$AB$1000,28,FALSE()),""))</f>
        <v/>
      </c>
    </row>
    <row r="538" customFormat="false" ht="15.75" hidden="false" customHeight="true" outlineLevel="0" collapsed="false">
      <c r="A538" s="100"/>
      <c r="B538" s="101"/>
      <c r="C538" s="101"/>
      <c r="D538" s="101"/>
      <c r="E538" s="101"/>
      <c r="F538" s="102"/>
      <c r="G538" s="102"/>
      <c r="H538" s="102"/>
      <c r="I538" s="102"/>
      <c r="J538" s="102"/>
      <c r="K538" s="102"/>
      <c r="L538" s="103" t="str">
        <f aca="false">IF(OR($B538="", $H538="", $I538="", $J538="", $K538=""),"",ROUND((VLOOKUP($H538,Lists!$E$2:$F$5,2,FALSE())*VLOOKUP($I538,Lists!$H$2:$I$4,2,FALSE())*VLOOKUP($J538,Lists!$K$2:$L$4,2,FALSE()))/VLOOKUP($K538,Lists!$N$2:$O$6,2,FALSE()),2))</f>
        <v/>
      </c>
      <c r="M538" s="104" t="str">
        <f aca="false">IF($B538="","",IF($AC538&lt;&gt;"",$AC538,IF($H538="Critical","P0",IF(NOT(ISNUMBER($L538)),"",IF($L538&gt;=Lists!$AM$2,"P0",IF($L538&gt;=Lists!$AM$3,"P1",IF($L538&gt;=Lists!$AM$4,"P2","P3")))))))</f>
        <v/>
      </c>
      <c r="N538" s="102"/>
      <c r="O538" s="101"/>
      <c r="P538" s="102"/>
      <c r="Q538" s="105"/>
      <c r="R538" s="106" t="str">
        <f aca="true">IF($Q538="","", TODAY()-$Q538)</f>
        <v/>
      </c>
      <c r="S538" s="102"/>
      <c r="T538" s="105"/>
      <c r="U538" s="105"/>
      <c r="V538" s="101"/>
      <c r="W538" s="101"/>
      <c r="X538" s="101"/>
      <c r="Y538" s="96"/>
      <c r="Z538" s="96"/>
      <c r="AA538" s="96"/>
      <c r="AC538" s="102"/>
      <c r="AD538" s="107" t="str">
        <f aca="false">IF($B538="","",IF(ISNUMBER($T538),$T538,IF(OR(NOT(ISNUMBER($Q538)),$S538=""),"",IFERROR(IF(ISNUMBER(INDEX(Lists!$AJ$2:$AJ$7,MATCH($S538,Lists!$AI$2:$AI$7,0))),$Q538+INDEX(Lists!$AJ$2:$AJ$7,MATCH($S538,Lists!$AI$2:$AI$7,0)),""),""))))</f>
        <v/>
      </c>
      <c r="AE538" s="104" t="str">
        <f aca="true">IF($B538="","",IF(AND(ISNUMBER($AD538),N($AD538)&lt;TODAY(),$N538&lt;&gt;"Done",$N538&lt;&gt;"Won't Fix",$N538&lt;&gt;"Duplicate"),"Yes","No"))</f>
        <v/>
      </c>
      <c r="AF538" s="101"/>
      <c r="AG538" s="108" t="str">
        <f aca="false">IF($AF538="","",IFERROR(VLOOKUP($AF538,'Application Portfolio'!$A$2:$B$1000,2,FALSE()),"Unknown App ID"))</f>
        <v/>
      </c>
      <c r="AH538" s="108" t="str">
        <f aca="false">IF(OR($B538="",$AF538=""),"",IFERROR(VLOOKUP($AF538,'Application Portfolio'!$A$2:$AB$1000,28,FALSE()),""))</f>
        <v/>
      </c>
    </row>
    <row r="539" customFormat="false" ht="15.75" hidden="false" customHeight="true" outlineLevel="0" collapsed="false">
      <c r="A539" s="100"/>
      <c r="B539" s="101"/>
      <c r="C539" s="101"/>
      <c r="D539" s="101"/>
      <c r="E539" s="101"/>
      <c r="F539" s="102"/>
      <c r="G539" s="102"/>
      <c r="H539" s="102"/>
      <c r="I539" s="102"/>
      <c r="J539" s="102"/>
      <c r="K539" s="102"/>
      <c r="L539" s="103" t="str">
        <f aca="false">IF(OR($B539="", $H539="", $I539="", $J539="", $K539=""),"",ROUND((VLOOKUP($H539,Lists!$E$2:$F$5,2,FALSE())*VLOOKUP($I539,Lists!$H$2:$I$4,2,FALSE())*VLOOKUP($J539,Lists!$K$2:$L$4,2,FALSE()))/VLOOKUP($K539,Lists!$N$2:$O$6,2,FALSE()),2))</f>
        <v/>
      </c>
      <c r="M539" s="104" t="str">
        <f aca="false">IF($B539="","",IF($AC539&lt;&gt;"",$AC539,IF($H539="Critical","P0",IF(NOT(ISNUMBER($L539)),"",IF($L539&gt;=Lists!$AM$2,"P0",IF($L539&gt;=Lists!$AM$3,"P1",IF($L539&gt;=Lists!$AM$4,"P2","P3")))))))</f>
        <v/>
      </c>
      <c r="N539" s="102"/>
      <c r="O539" s="101"/>
      <c r="P539" s="102"/>
      <c r="Q539" s="105"/>
      <c r="R539" s="106" t="str">
        <f aca="true">IF($Q539="","", TODAY()-$Q539)</f>
        <v/>
      </c>
      <c r="S539" s="102"/>
      <c r="T539" s="105"/>
      <c r="U539" s="105"/>
      <c r="V539" s="101"/>
      <c r="W539" s="101"/>
      <c r="X539" s="101"/>
      <c r="Y539" s="96"/>
      <c r="Z539" s="96"/>
      <c r="AA539" s="96"/>
      <c r="AC539" s="102"/>
      <c r="AD539" s="107" t="str">
        <f aca="false">IF($B539="","",IF(ISNUMBER($T539),$T539,IF(OR(NOT(ISNUMBER($Q539)),$S539=""),"",IFERROR(IF(ISNUMBER(INDEX(Lists!$AJ$2:$AJ$7,MATCH($S539,Lists!$AI$2:$AI$7,0))),$Q539+INDEX(Lists!$AJ$2:$AJ$7,MATCH($S539,Lists!$AI$2:$AI$7,0)),""),""))))</f>
        <v/>
      </c>
      <c r="AE539" s="104" t="str">
        <f aca="true">IF($B539="","",IF(AND(ISNUMBER($AD539),N($AD539)&lt;TODAY(),$N539&lt;&gt;"Done",$N539&lt;&gt;"Won't Fix",$N539&lt;&gt;"Duplicate"),"Yes","No"))</f>
        <v/>
      </c>
      <c r="AF539" s="101"/>
      <c r="AG539" s="108" t="str">
        <f aca="false">IF($AF539="","",IFERROR(VLOOKUP($AF539,'Application Portfolio'!$A$2:$B$1000,2,FALSE()),"Unknown App ID"))</f>
        <v/>
      </c>
      <c r="AH539" s="108" t="str">
        <f aca="false">IF(OR($B539="",$AF539=""),"",IFERROR(VLOOKUP($AF539,'Application Portfolio'!$A$2:$AB$1000,28,FALSE()),""))</f>
        <v/>
      </c>
    </row>
    <row r="540" customFormat="false" ht="15.75" hidden="false" customHeight="true" outlineLevel="0" collapsed="false">
      <c r="A540" s="100"/>
      <c r="B540" s="101"/>
      <c r="C540" s="101"/>
      <c r="D540" s="101"/>
      <c r="E540" s="101"/>
      <c r="F540" s="102"/>
      <c r="G540" s="102"/>
      <c r="H540" s="102"/>
      <c r="I540" s="102"/>
      <c r="J540" s="102"/>
      <c r="K540" s="102"/>
      <c r="L540" s="103" t="str">
        <f aca="false">IF(OR($B540="", $H540="", $I540="", $J540="", $K540=""),"",ROUND((VLOOKUP($H540,Lists!$E$2:$F$5,2,FALSE())*VLOOKUP($I540,Lists!$H$2:$I$4,2,FALSE())*VLOOKUP($J540,Lists!$K$2:$L$4,2,FALSE()))/VLOOKUP($K540,Lists!$N$2:$O$6,2,FALSE()),2))</f>
        <v/>
      </c>
      <c r="M540" s="104" t="str">
        <f aca="false">IF($B540="","",IF($AC540&lt;&gt;"",$AC540,IF($H540="Critical","P0",IF(NOT(ISNUMBER($L540)),"",IF($L540&gt;=Lists!$AM$2,"P0",IF($L540&gt;=Lists!$AM$3,"P1",IF($L540&gt;=Lists!$AM$4,"P2","P3")))))))</f>
        <v/>
      </c>
      <c r="N540" s="102"/>
      <c r="O540" s="101"/>
      <c r="P540" s="102"/>
      <c r="Q540" s="105"/>
      <c r="R540" s="106" t="str">
        <f aca="true">IF($Q540="","", TODAY()-$Q540)</f>
        <v/>
      </c>
      <c r="S540" s="102"/>
      <c r="T540" s="105"/>
      <c r="U540" s="105"/>
      <c r="V540" s="101"/>
      <c r="W540" s="101"/>
      <c r="X540" s="101"/>
      <c r="Y540" s="96"/>
      <c r="Z540" s="96"/>
      <c r="AA540" s="96"/>
      <c r="AC540" s="102"/>
      <c r="AD540" s="107" t="str">
        <f aca="false">IF($B540="","",IF(ISNUMBER($T540),$T540,IF(OR(NOT(ISNUMBER($Q540)),$S540=""),"",IFERROR(IF(ISNUMBER(INDEX(Lists!$AJ$2:$AJ$7,MATCH($S540,Lists!$AI$2:$AI$7,0))),$Q540+INDEX(Lists!$AJ$2:$AJ$7,MATCH($S540,Lists!$AI$2:$AI$7,0)),""),""))))</f>
        <v/>
      </c>
      <c r="AE540" s="104" t="str">
        <f aca="true">IF($B540="","",IF(AND(ISNUMBER($AD540),N($AD540)&lt;TODAY(),$N540&lt;&gt;"Done",$N540&lt;&gt;"Won't Fix",$N540&lt;&gt;"Duplicate"),"Yes","No"))</f>
        <v/>
      </c>
      <c r="AF540" s="101"/>
      <c r="AG540" s="108" t="str">
        <f aca="false">IF($AF540="","",IFERROR(VLOOKUP($AF540,'Application Portfolio'!$A$2:$B$1000,2,FALSE()),"Unknown App ID"))</f>
        <v/>
      </c>
      <c r="AH540" s="108" t="str">
        <f aca="false">IF(OR($B540="",$AF540=""),"",IFERROR(VLOOKUP($AF540,'Application Portfolio'!$A$2:$AB$1000,28,FALSE()),""))</f>
        <v/>
      </c>
    </row>
    <row r="541" customFormat="false" ht="15.75" hidden="false" customHeight="true" outlineLevel="0" collapsed="false">
      <c r="A541" s="100"/>
      <c r="B541" s="101"/>
      <c r="C541" s="101"/>
      <c r="D541" s="101"/>
      <c r="E541" s="101"/>
      <c r="F541" s="102"/>
      <c r="G541" s="102"/>
      <c r="H541" s="102"/>
      <c r="I541" s="102"/>
      <c r="J541" s="102"/>
      <c r="K541" s="102"/>
      <c r="L541" s="103" t="str">
        <f aca="false">IF(OR($B541="", $H541="", $I541="", $J541="", $K541=""),"",ROUND((VLOOKUP($H541,Lists!$E$2:$F$5,2,FALSE())*VLOOKUP($I541,Lists!$H$2:$I$4,2,FALSE())*VLOOKUP($J541,Lists!$K$2:$L$4,2,FALSE()))/VLOOKUP($K541,Lists!$N$2:$O$6,2,FALSE()),2))</f>
        <v/>
      </c>
      <c r="M541" s="104" t="str">
        <f aca="false">IF($B541="","",IF($AC541&lt;&gt;"",$AC541,IF($H541="Critical","P0",IF(NOT(ISNUMBER($L541)),"",IF($L541&gt;=Lists!$AM$2,"P0",IF($L541&gt;=Lists!$AM$3,"P1",IF($L541&gt;=Lists!$AM$4,"P2","P3")))))))</f>
        <v/>
      </c>
      <c r="N541" s="102"/>
      <c r="O541" s="101"/>
      <c r="P541" s="102"/>
      <c r="Q541" s="105"/>
      <c r="R541" s="106" t="str">
        <f aca="true">IF($Q541="","", TODAY()-$Q541)</f>
        <v/>
      </c>
      <c r="S541" s="102"/>
      <c r="T541" s="105"/>
      <c r="U541" s="105"/>
      <c r="V541" s="101"/>
      <c r="W541" s="101"/>
      <c r="X541" s="101"/>
      <c r="Y541" s="96"/>
      <c r="Z541" s="96"/>
      <c r="AA541" s="96"/>
      <c r="AC541" s="102"/>
      <c r="AD541" s="107" t="str">
        <f aca="false">IF($B541="","",IF(ISNUMBER($T541),$T541,IF(OR(NOT(ISNUMBER($Q541)),$S541=""),"",IFERROR(IF(ISNUMBER(INDEX(Lists!$AJ$2:$AJ$7,MATCH($S541,Lists!$AI$2:$AI$7,0))),$Q541+INDEX(Lists!$AJ$2:$AJ$7,MATCH($S541,Lists!$AI$2:$AI$7,0)),""),""))))</f>
        <v/>
      </c>
      <c r="AE541" s="104" t="str">
        <f aca="true">IF($B541="","",IF(AND(ISNUMBER($AD541),N($AD541)&lt;TODAY(),$N541&lt;&gt;"Done",$N541&lt;&gt;"Won't Fix",$N541&lt;&gt;"Duplicate"),"Yes","No"))</f>
        <v/>
      </c>
      <c r="AF541" s="101"/>
      <c r="AG541" s="108" t="str">
        <f aca="false">IF($AF541="","",IFERROR(VLOOKUP($AF541,'Application Portfolio'!$A$2:$B$1000,2,FALSE()),"Unknown App ID"))</f>
        <v/>
      </c>
      <c r="AH541" s="108" t="str">
        <f aca="false">IF(OR($B541="",$AF541=""),"",IFERROR(VLOOKUP($AF541,'Application Portfolio'!$A$2:$AB$1000,28,FALSE()),""))</f>
        <v/>
      </c>
    </row>
    <row r="542" customFormat="false" ht="15.75" hidden="false" customHeight="true" outlineLevel="0" collapsed="false">
      <c r="A542" s="100"/>
      <c r="B542" s="101"/>
      <c r="C542" s="101"/>
      <c r="D542" s="101"/>
      <c r="E542" s="101"/>
      <c r="F542" s="102"/>
      <c r="G542" s="102"/>
      <c r="H542" s="102"/>
      <c r="I542" s="102"/>
      <c r="J542" s="102"/>
      <c r="K542" s="102"/>
      <c r="L542" s="103" t="str">
        <f aca="false">IF(OR($B542="", $H542="", $I542="", $J542="", $K542=""),"",ROUND((VLOOKUP($H542,Lists!$E$2:$F$5,2,FALSE())*VLOOKUP($I542,Lists!$H$2:$I$4,2,FALSE())*VLOOKUP($J542,Lists!$K$2:$L$4,2,FALSE()))/VLOOKUP($K542,Lists!$N$2:$O$6,2,FALSE()),2))</f>
        <v/>
      </c>
      <c r="M542" s="104" t="str">
        <f aca="false">IF($B542="","",IF($AC542&lt;&gt;"",$AC542,IF($H542="Critical","P0",IF(NOT(ISNUMBER($L542)),"",IF($L542&gt;=Lists!$AM$2,"P0",IF($L542&gt;=Lists!$AM$3,"P1",IF($L542&gt;=Lists!$AM$4,"P2","P3")))))))</f>
        <v/>
      </c>
      <c r="N542" s="102"/>
      <c r="O542" s="101"/>
      <c r="P542" s="102"/>
      <c r="Q542" s="105"/>
      <c r="R542" s="106" t="str">
        <f aca="true">IF($Q542="","", TODAY()-$Q542)</f>
        <v/>
      </c>
      <c r="S542" s="102"/>
      <c r="T542" s="105"/>
      <c r="U542" s="105"/>
      <c r="V542" s="101"/>
      <c r="W542" s="101"/>
      <c r="X542" s="101"/>
      <c r="Y542" s="96"/>
      <c r="Z542" s="96"/>
      <c r="AA542" s="96"/>
      <c r="AC542" s="102"/>
      <c r="AD542" s="107" t="str">
        <f aca="false">IF($B542="","",IF(ISNUMBER($T542),$T542,IF(OR(NOT(ISNUMBER($Q542)),$S542=""),"",IFERROR(IF(ISNUMBER(INDEX(Lists!$AJ$2:$AJ$7,MATCH($S542,Lists!$AI$2:$AI$7,0))),$Q542+INDEX(Lists!$AJ$2:$AJ$7,MATCH($S542,Lists!$AI$2:$AI$7,0)),""),""))))</f>
        <v/>
      </c>
      <c r="AE542" s="104" t="str">
        <f aca="true">IF($B542="","",IF(AND(ISNUMBER($AD542),N($AD542)&lt;TODAY(),$N542&lt;&gt;"Done",$N542&lt;&gt;"Won't Fix",$N542&lt;&gt;"Duplicate"),"Yes","No"))</f>
        <v/>
      </c>
      <c r="AF542" s="101"/>
      <c r="AG542" s="108" t="str">
        <f aca="false">IF($AF542="","",IFERROR(VLOOKUP($AF542,'Application Portfolio'!$A$2:$B$1000,2,FALSE()),"Unknown App ID"))</f>
        <v/>
      </c>
      <c r="AH542" s="108" t="str">
        <f aca="false">IF(OR($B542="",$AF542=""),"",IFERROR(VLOOKUP($AF542,'Application Portfolio'!$A$2:$AB$1000,28,FALSE()),""))</f>
        <v/>
      </c>
    </row>
    <row r="543" customFormat="false" ht="15.75" hidden="false" customHeight="true" outlineLevel="0" collapsed="false">
      <c r="A543" s="100"/>
      <c r="B543" s="101"/>
      <c r="C543" s="101"/>
      <c r="D543" s="101"/>
      <c r="E543" s="101"/>
      <c r="F543" s="102"/>
      <c r="G543" s="102"/>
      <c r="H543" s="102"/>
      <c r="I543" s="102"/>
      <c r="J543" s="102"/>
      <c r="K543" s="102"/>
      <c r="L543" s="103" t="str">
        <f aca="false">IF(OR($B543="", $H543="", $I543="", $J543="", $K543=""),"",ROUND((VLOOKUP($H543,Lists!$E$2:$F$5,2,FALSE())*VLOOKUP($I543,Lists!$H$2:$I$4,2,FALSE())*VLOOKUP($J543,Lists!$K$2:$L$4,2,FALSE()))/VLOOKUP($K543,Lists!$N$2:$O$6,2,FALSE()),2))</f>
        <v/>
      </c>
      <c r="M543" s="104" t="str">
        <f aca="false">IF($B543="","",IF($AC543&lt;&gt;"",$AC543,IF($H543="Critical","P0",IF(NOT(ISNUMBER($L543)),"",IF($L543&gt;=Lists!$AM$2,"P0",IF($L543&gt;=Lists!$AM$3,"P1",IF($L543&gt;=Lists!$AM$4,"P2","P3")))))))</f>
        <v/>
      </c>
      <c r="N543" s="102"/>
      <c r="O543" s="101"/>
      <c r="P543" s="102"/>
      <c r="Q543" s="105"/>
      <c r="R543" s="106" t="str">
        <f aca="true">IF($Q543="","", TODAY()-$Q543)</f>
        <v/>
      </c>
      <c r="S543" s="102"/>
      <c r="T543" s="105"/>
      <c r="U543" s="105"/>
      <c r="V543" s="101"/>
      <c r="W543" s="101"/>
      <c r="X543" s="101"/>
      <c r="Y543" s="96"/>
      <c r="Z543" s="96"/>
      <c r="AA543" s="96"/>
      <c r="AC543" s="102"/>
      <c r="AD543" s="107" t="str">
        <f aca="false">IF($B543="","",IF(ISNUMBER($T543),$T543,IF(OR(NOT(ISNUMBER($Q543)),$S543=""),"",IFERROR(IF(ISNUMBER(INDEX(Lists!$AJ$2:$AJ$7,MATCH($S543,Lists!$AI$2:$AI$7,0))),$Q543+INDEX(Lists!$AJ$2:$AJ$7,MATCH($S543,Lists!$AI$2:$AI$7,0)),""),""))))</f>
        <v/>
      </c>
      <c r="AE543" s="104" t="str">
        <f aca="true">IF($B543="","",IF(AND(ISNUMBER($AD543),N($AD543)&lt;TODAY(),$N543&lt;&gt;"Done",$N543&lt;&gt;"Won't Fix",$N543&lt;&gt;"Duplicate"),"Yes","No"))</f>
        <v/>
      </c>
      <c r="AF543" s="101"/>
      <c r="AG543" s="108" t="str">
        <f aca="false">IF($AF543="","",IFERROR(VLOOKUP($AF543,'Application Portfolio'!$A$2:$B$1000,2,FALSE()),"Unknown App ID"))</f>
        <v/>
      </c>
      <c r="AH543" s="108" t="str">
        <f aca="false">IF(OR($B543="",$AF543=""),"",IFERROR(VLOOKUP($AF543,'Application Portfolio'!$A$2:$AB$1000,28,FALSE()),""))</f>
        <v/>
      </c>
    </row>
    <row r="544" customFormat="false" ht="15.75" hidden="false" customHeight="true" outlineLevel="0" collapsed="false">
      <c r="A544" s="100"/>
      <c r="B544" s="101"/>
      <c r="C544" s="101"/>
      <c r="D544" s="101"/>
      <c r="E544" s="101"/>
      <c r="F544" s="102"/>
      <c r="G544" s="102"/>
      <c r="H544" s="102"/>
      <c r="I544" s="102"/>
      <c r="J544" s="102"/>
      <c r="K544" s="102"/>
      <c r="L544" s="103" t="str">
        <f aca="false">IF(OR($B544="", $H544="", $I544="", $J544="", $K544=""),"",ROUND((VLOOKUP($H544,Lists!$E$2:$F$5,2,FALSE())*VLOOKUP($I544,Lists!$H$2:$I$4,2,FALSE())*VLOOKUP($J544,Lists!$K$2:$L$4,2,FALSE()))/VLOOKUP($K544,Lists!$N$2:$O$6,2,FALSE()),2))</f>
        <v/>
      </c>
      <c r="M544" s="104" t="str">
        <f aca="false">IF($B544="","",IF($AC544&lt;&gt;"",$AC544,IF($H544="Critical","P0",IF(NOT(ISNUMBER($L544)),"",IF($L544&gt;=Lists!$AM$2,"P0",IF($L544&gt;=Lists!$AM$3,"P1",IF($L544&gt;=Lists!$AM$4,"P2","P3")))))))</f>
        <v/>
      </c>
      <c r="N544" s="102"/>
      <c r="O544" s="101"/>
      <c r="P544" s="102"/>
      <c r="Q544" s="105"/>
      <c r="R544" s="106" t="str">
        <f aca="true">IF($Q544="","", TODAY()-$Q544)</f>
        <v/>
      </c>
      <c r="S544" s="102"/>
      <c r="T544" s="105"/>
      <c r="U544" s="105"/>
      <c r="V544" s="101"/>
      <c r="W544" s="101"/>
      <c r="X544" s="101"/>
      <c r="Y544" s="96"/>
      <c r="Z544" s="96"/>
      <c r="AA544" s="96"/>
      <c r="AC544" s="102"/>
      <c r="AD544" s="107" t="str">
        <f aca="false">IF($B544="","",IF(ISNUMBER($T544),$T544,IF(OR(NOT(ISNUMBER($Q544)),$S544=""),"",IFERROR(IF(ISNUMBER(INDEX(Lists!$AJ$2:$AJ$7,MATCH($S544,Lists!$AI$2:$AI$7,0))),$Q544+INDEX(Lists!$AJ$2:$AJ$7,MATCH($S544,Lists!$AI$2:$AI$7,0)),""),""))))</f>
        <v/>
      </c>
      <c r="AE544" s="104" t="str">
        <f aca="true">IF($B544="","",IF(AND(ISNUMBER($AD544),N($AD544)&lt;TODAY(),$N544&lt;&gt;"Done",$N544&lt;&gt;"Won't Fix",$N544&lt;&gt;"Duplicate"),"Yes","No"))</f>
        <v/>
      </c>
      <c r="AF544" s="101"/>
      <c r="AG544" s="108" t="str">
        <f aca="false">IF($AF544="","",IFERROR(VLOOKUP($AF544,'Application Portfolio'!$A$2:$B$1000,2,FALSE()),"Unknown App ID"))</f>
        <v/>
      </c>
      <c r="AH544" s="108" t="str">
        <f aca="false">IF(OR($B544="",$AF544=""),"",IFERROR(VLOOKUP($AF544,'Application Portfolio'!$A$2:$AB$1000,28,FALSE()),""))</f>
        <v/>
      </c>
    </row>
    <row r="545" customFormat="false" ht="15.75" hidden="false" customHeight="true" outlineLevel="0" collapsed="false">
      <c r="A545" s="100"/>
      <c r="B545" s="101"/>
      <c r="C545" s="101"/>
      <c r="D545" s="101"/>
      <c r="E545" s="101"/>
      <c r="F545" s="102"/>
      <c r="G545" s="102"/>
      <c r="H545" s="102"/>
      <c r="I545" s="102"/>
      <c r="J545" s="102"/>
      <c r="K545" s="102"/>
      <c r="L545" s="103" t="str">
        <f aca="false">IF(OR($B545="", $H545="", $I545="", $J545="", $K545=""),"",ROUND((VLOOKUP($H545,Lists!$E$2:$F$5,2,FALSE())*VLOOKUP($I545,Lists!$H$2:$I$4,2,FALSE())*VLOOKUP($J545,Lists!$K$2:$L$4,2,FALSE()))/VLOOKUP($K545,Lists!$N$2:$O$6,2,FALSE()),2))</f>
        <v/>
      </c>
      <c r="M545" s="104" t="str">
        <f aca="false">IF($B545="","",IF($AC545&lt;&gt;"",$AC545,IF($H545="Critical","P0",IF(NOT(ISNUMBER($L545)),"",IF($L545&gt;=Lists!$AM$2,"P0",IF($L545&gt;=Lists!$AM$3,"P1",IF($L545&gt;=Lists!$AM$4,"P2","P3")))))))</f>
        <v/>
      </c>
      <c r="N545" s="102"/>
      <c r="O545" s="101"/>
      <c r="P545" s="102"/>
      <c r="Q545" s="105"/>
      <c r="R545" s="106" t="str">
        <f aca="true">IF($Q545="","", TODAY()-$Q545)</f>
        <v/>
      </c>
      <c r="S545" s="102"/>
      <c r="T545" s="105"/>
      <c r="U545" s="105"/>
      <c r="V545" s="101"/>
      <c r="W545" s="101"/>
      <c r="X545" s="101"/>
      <c r="Y545" s="96"/>
      <c r="Z545" s="96"/>
      <c r="AA545" s="96"/>
      <c r="AC545" s="102"/>
      <c r="AD545" s="107" t="str">
        <f aca="false">IF($B545="","",IF(ISNUMBER($T545),$T545,IF(OR(NOT(ISNUMBER($Q545)),$S545=""),"",IFERROR(IF(ISNUMBER(INDEX(Lists!$AJ$2:$AJ$7,MATCH($S545,Lists!$AI$2:$AI$7,0))),$Q545+INDEX(Lists!$AJ$2:$AJ$7,MATCH($S545,Lists!$AI$2:$AI$7,0)),""),""))))</f>
        <v/>
      </c>
      <c r="AE545" s="104" t="str">
        <f aca="true">IF($B545="","",IF(AND(ISNUMBER($AD545),N($AD545)&lt;TODAY(),$N545&lt;&gt;"Done",$N545&lt;&gt;"Won't Fix",$N545&lt;&gt;"Duplicate"),"Yes","No"))</f>
        <v/>
      </c>
      <c r="AF545" s="101"/>
      <c r="AG545" s="108" t="str">
        <f aca="false">IF($AF545="","",IFERROR(VLOOKUP($AF545,'Application Portfolio'!$A$2:$B$1000,2,FALSE()),"Unknown App ID"))</f>
        <v/>
      </c>
      <c r="AH545" s="108" t="str">
        <f aca="false">IF(OR($B545="",$AF545=""),"",IFERROR(VLOOKUP($AF545,'Application Portfolio'!$A$2:$AB$1000,28,FALSE()),""))</f>
        <v/>
      </c>
    </row>
    <row r="546" customFormat="false" ht="15.75" hidden="false" customHeight="true" outlineLevel="0" collapsed="false">
      <c r="A546" s="100"/>
      <c r="B546" s="101"/>
      <c r="C546" s="101"/>
      <c r="D546" s="101"/>
      <c r="E546" s="101"/>
      <c r="F546" s="102"/>
      <c r="G546" s="102"/>
      <c r="H546" s="102"/>
      <c r="I546" s="102"/>
      <c r="J546" s="102"/>
      <c r="K546" s="102"/>
      <c r="L546" s="103" t="str">
        <f aca="false">IF(OR($B546="", $H546="", $I546="", $J546="", $K546=""),"",ROUND((VLOOKUP($H546,Lists!$E$2:$F$5,2,FALSE())*VLOOKUP($I546,Lists!$H$2:$I$4,2,FALSE())*VLOOKUP($J546,Lists!$K$2:$L$4,2,FALSE()))/VLOOKUP($K546,Lists!$N$2:$O$6,2,FALSE()),2))</f>
        <v/>
      </c>
      <c r="M546" s="104" t="str">
        <f aca="false">IF($B546="","",IF($AC546&lt;&gt;"",$AC546,IF($H546="Critical","P0",IF(NOT(ISNUMBER($L546)),"",IF($L546&gt;=Lists!$AM$2,"P0",IF($L546&gt;=Lists!$AM$3,"P1",IF($L546&gt;=Lists!$AM$4,"P2","P3")))))))</f>
        <v/>
      </c>
      <c r="N546" s="102"/>
      <c r="O546" s="101"/>
      <c r="P546" s="102"/>
      <c r="Q546" s="105"/>
      <c r="R546" s="106" t="str">
        <f aca="true">IF($Q546="","", TODAY()-$Q546)</f>
        <v/>
      </c>
      <c r="S546" s="102"/>
      <c r="T546" s="105"/>
      <c r="U546" s="105"/>
      <c r="V546" s="101"/>
      <c r="W546" s="101"/>
      <c r="X546" s="101"/>
      <c r="Y546" s="96"/>
      <c r="Z546" s="96"/>
      <c r="AA546" s="96"/>
      <c r="AC546" s="102"/>
      <c r="AD546" s="107" t="str">
        <f aca="false">IF($B546="","",IF(ISNUMBER($T546),$T546,IF(OR(NOT(ISNUMBER($Q546)),$S546=""),"",IFERROR(IF(ISNUMBER(INDEX(Lists!$AJ$2:$AJ$7,MATCH($S546,Lists!$AI$2:$AI$7,0))),$Q546+INDEX(Lists!$AJ$2:$AJ$7,MATCH($S546,Lists!$AI$2:$AI$7,0)),""),""))))</f>
        <v/>
      </c>
      <c r="AE546" s="104" t="str">
        <f aca="true">IF($B546="","",IF(AND(ISNUMBER($AD546),N($AD546)&lt;TODAY(),$N546&lt;&gt;"Done",$N546&lt;&gt;"Won't Fix",$N546&lt;&gt;"Duplicate"),"Yes","No"))</f>
        <v/>
      </c>
      <c r="AF546" s="101"/>
      <c r="AG546" s="108" t="str">
        <f aca="false">IF($AF546="","",IFERROR(VLOOKUP($AF546,'Application Portfolio'!$A$2:$B$1000,2,FALSE()),"Unknown App ID"))</f>
        <v/>
      </c>
      <c r="AH546" s="108" t="str">
        <f aca="false">IF(OR($B546="",$AF546=""),"",IFERROR(VLOOKUP($AF546,'Application Portfolio'!$A$2:$AB$1000,28,FALSE()),""))</f>
        <v/>
      </c>
    </row>
    <row r="547" customFormat="false" ht="15.75" hidden="false" customHeight="true" outlineLevel="0" collapsed="false">
      <c r="A547" s="100"/>
      <c r="B547" s="101"/>
      <c r="C547" s="101"/>
      <c r="D547" s="101"/>
      <c r="E547" s="101"/>
      <c r="F547" s="102"/>
      <c r="G547" s="102"/>
      <c r="H547" s="102"/>
      <c r="I547" s="102"/>
      <c r="J547" s="102"/>
      <c r="K547" s="102"/>
      <c r="L547" s="103" t="str">
        <f aca="false">IF(OR($B547="", $H547="", $I547="", $J547="", $K547=""),"",ROUND((VLOOKUP($H547,Lists!$E$2:$F$5,2,FALSE())*VLOOKUP($I547,Lists!$H$2:$I$4,2,FALSE())*VLOOKUP($J547,Lists!$K$2:$L$4,2,FALSE()))/VLOOKUP($K547,Lists!$N$2:$O$6,2,FALSE()),2))</f>
        <v/>
      </c>
      <c r="M547" s="104" t="str">
        <f aca="false">IF($B547="","",IF($AC547&lt;&gt;"",$AC547,IF($H547="Critical","P0",IF(NOT(ISNUMBER($L547)),"",IF($L547&gt;=Lists!$AM$2,"P0",IF($L547&gt;=Lists!$AM$3,"P1",IF($L547&gt;=Lists!$AM$4,"P2","P3")))))))</f>
        <v/>
      </c>
      <c r="N547" s="102"/>
      <c r="O547" s="101"/>
      <c r="P547" s="102"/>
      <c r="Q547" s="105"/>
      <c r="R547" s="106" t="str">
        <f aca="true">IF($Q547="","", TODAY()-$Q547)</f>
        <v/>
      </c>
      <c r="S547" s="102"/>
      <c r="T547" s="105"/>
      <c r="U547" s="105"/>
      <c r="V547" s="101"/>
      <c r="W547" s="101"/>
      <c r="X547" s="101"/>
      <c r="Y547" s="96"/>
      <c r="Z547" s="96"/>
      <c r="AA547" s="96"/>
      <c r="AC547" s="102"/>
      <c r="AD547" s="107" t="str">
        <f aca="false">IF($B547="","",IF(ISNUMBER($T547),$T547,IF(OR(NOT(ISNUMBER($Q547)),$S547=""),"",IFERROR(IF(ISNUMBER(INDEX(Lists!$AJ$2:$AJ$7,MATCH($S547,Lists!$AI$2:$AI$7,0))),$Q547+INDEX(Lists!$AJ$2:$AJ$7,MATCH($S547,Lists!$AI$2:$AI$7,0)),""),""))))</f>
        <v/>
      </c>
      <c r="AE547" s="104" t="str">
        <f aca="true">IF($B547="","",IF(AND(ISNUMBER($AD547),N($AD547)&lt;TODAY(),$N547&lt;&gt;"Done",$N547&lt;&gt;"Won't Fix",$N547&lt;&gt;"Duplicate"),"Yes","No"))</f>
        <v/>
      </c>
      <c r="AF547" s="101"/>
      <c r="AG547" s="108" t="str">
        <f aca="false">IF($AF547="","",IFERROR(VLOOKUP($AF547,'Application Portfolio'!$A$2:$B$1000,2,FALSE()),"Unknown App ID"))</f>
        <v/>
      </c>
      <c r="AH547" s="108" t="str">
        <f aca="false">IF(OR($B547="",$AF547=""),"",IFERROR(VLOOKUP($AF547,'Application Portfolio'!$A$2:$AB$1000,28,FALSE()),""))</f>
        <v/>
      </c>
    </row>
    <row r="548" customFormat="false" ht="15.75" hidden="false" customHeight="true" outlineLevel="0" collapsed="false">
      <c r="A548" s="100"/>
      <c r="B548" s="101"/>
      <c r="C548" s="101"/>
      <c r="D548" s="101"/>
      <c r="E548" s="101"/>
      <c r="F548" s="102"/>
      <c r="G548" s="102"/>
      <c r="H548" s="102"/>
      <c r="I548" s="102"/>
      <c r="J548" s="102"/>
      <c r="K548" s="102"/>
      <c r="L548" s="103" t="str">
        <f aca="false">IF(OR($B548="", $H548="", $I548="", $J548="", $K548=""),"",ROUND((VLOOKUP($H548,Lists!$E$2:$F$5,2,FALSE())*VLOOKUP($I548,Lists!$H$2:$I$4,2,FALSE())*VLOOKUP($J548,Lists!$K$2:$L$4,2,FALSE()))/VLOOKUP($K548,Lists!$N$2:$O$6,2,FALSE()),2))</f>
        <v/>
      </c>
      <c r="M548" s="104" t="str">
        <f aca="false">IF($B548="","",IF($AC548&lt;&gt;"",$AC548,IF($H548="Critical","P0",IF(NOT(ISNUMBER($L548)),"",IF($L548&gt;=Lists!$AM$2,"P0",IF($L548&gt;=Lists!$AM$3,"P1",IF($L548&gt;=Lists!$AM$4,"P2","P3")))))))</f>
        <v/>
      </c>
      <c r="N548" s="102"/>
      <c r="O548" s="101"/>
      <c r="P548" s="102"/>
      <c r="Q548" s="105"/>
      <c r="R548" s="106" t="str">
        <f aca="true">IF($Q548="","", TODAY()-$Q548)</f>
        <v/>
      </c>
      <c r="S548" s="102"/>
      <c r="T548" s="105"/>
      <c r="U548" s="105"/>
      <c r="V548" s="101"/>
      <c r="W548" s="101"/>
      <c r="X548" s="101"/>
      <c r="Y548" s="96"/>
      <c r="Z548" s="96"/>
      <c r="AA548" s="96"/>
      <c r="AC548" s="102"/>
      <c r="AD548" s="107" t="str">
        <f aca="false">IF($B548="","",IF(ISNUMBER($T548),$T548,IF(OR(NOT(ISNUMBER($Q548)),$S548=""),"",IFERROR(IF(ISNUMBER(INDEX(Lists!$AJ$2:$AJ$7,MATCH($S548,Lists!$AI$2:$AI$7,0))),$Q548+INDEX(Lists!$AJ$2:$AJ$7,MATCH($S548,Lists!$AI$2:$AI$7,0)),""),""))))</f>
        <v/>
      </c>
      <c r="AE548" s="104" t="str">
        <f aca="true">IF($B548="","",IF(AND(ISNUMBER($AD548),N($AD548)&lt;TODAY(),$N548&lt;&gt;"Done",$N548&lt;&gt;"Won't Fix",$N548&lt;&gt;"Duplicate"),"Yes","No"))</f>
        <v/>
      </c>
      <c r="AF548" s="101"/>
      <c r="AG548" s="108" t="str">
        <f aca="false">IF($AF548="","",IFERROR(VLOOKUP($AF548,'Application Portfolio'!$A$2:$B$1000,2,FALSE()),"Unknown App ID"))</f>
        <v/>
      </c>
      <c r="AH548" s="108" t="str">
        <f aca="false">IF(OR($B548="",$AF548=""),"",IFERROR(VLOOKUP($AF548,'Application Portfolio'!$A$2:$AB$1000,28,FALSE()),""))</f>
        <v/>
      </c>
    </row>
    <row r="549" customFormat="false" ht="15.75" hidden="false" customHeight="true" outlineLevel="0" collapsed="false">
      <c r="A549" s="100"/>
      <c r="B549" s="101"/>
      <c r="C549" s="101"/>
      <c r="D549" s="101"/>
      <c r="E549" s="101"/>
      <c r="F549" s="102"/>
      <c r="G549" s="102"/>
      <c r="H549" s="102"/>
      <c r="I549" s="102"/>
      <c r="J549" s="102"/>
      <c r="K549" s="102"/>
      <c r="L549" s="103" t="str">
        <f aca="false">IF(OR($B549="", $H549="", $I549="", $J549="", $K549=""),"",ROUND((VLOOKUP($H549,Lists!$E$2:$F$5,2,FALSE())*VLOOKUP($I549,Lists!$H$2:$I$4,2,FALSE())*VLOOKUP($J549,Lists!$K$2:$L$4,2,FALSE()))/VLOOKUP($K549,Lists!$N$2:$O$6,2,FALSE()),2))</f>
        <v/>
      </c>
      <c r="M549" s="104" t="str">
        <f aca="false">IF($B549="","",IF($AC549&lt;&gt;"",$AC549,IF($H549="Critical","P0",IF(NOT(ISNUMBER($L549)),"",IF($L549&gt;=Lists!$AM$2,"P0",IF($L549&gt;=Lists!$AM$3,"P1",IF($L549&gt;=Lists!$AM$4,"P2","P3")))))))</f>
        <v/>
      </c>
      <c r="N549" s="102"/>
      <c r="O549" s="101"/>
      <c r="P549" s="102"/>
      <c r="Q549" s="105"/>
      <c r="R549" s="106" t="str">
        <f aca="true">IF($Q549="","", TODAY()-$Q549)</f>
        <v/>
      </c>
      <c r="S549" s="102"/>
      <c r="T549" s="105"/>
      <c r="U549" s="105"/>
      <c r="V549" s="101"/>
      <c r="W549" s="101"/>
      <c r="X549" s="101"/>
      <c r="Y549" s="96"/>
      <c r="Z549" s="96"/>
      <c r="AA549" s="96"/>
      <c r="AC549" s="102"/>
      <c r="AD549" s="107" t="str">
        <f aca="false">IF($B549="","",IF(ISNUMBER($T549),$T549,IF(OR(NOT(ISNUMBER($Q549)),$S549=""),"",IFERROR(IF(ISNUMBER(INDEX(Lists!$AJ$2:$AJ$7,MATCH($S549,Lists!$AI$2:$AI$7,0))),$Q549+INDEX(Lists!$AJ$2:$AJ$7,MATCH($S549,Lists!$AI$2:$AI$7,0)),""),""))))</f>
        <v/>
      </c>
      <c r="AE549" s="104" t="str">
        <f aca="true">IF($B549="","",IF(AND(ISNUMBER($AD549),N($AD549)&lt;TODAY(),$N549&lt;&gt;"Done",$N549&lt;&gt;"Won't Fix",$N549&lt;&gt;"Duplicate"),"Yes","No"))</f>
        <v/>
      </c>
      <c r="AF549" s="101"/>
      <c r="AG549" s="108" t="str">
        <f aca="false">IF($AF549="","",IFERROR(VLOOKUP($AF549,'Application Portfolio'!$A$2:$B$1000,2,FALSE()),"Unknown App ID"))</f>
        <v/>
      </c>
      <c r="AH549" s="108" t="str">
        <f aca="false">IF(OR($B549="",$AF549=""),"",IFERROR(VLOOKUP($AF549,'Application Portfolio'!$A$2:$AB$1000,28,FALSE()),""))</f>
        <v/>
      </c>
    </row>
    <row r="550" customFormat="false" ht="15.75" hidden="false" customHeight="true" outlineLevel="0" collapsed="false">
      <c r="A550" s="100"/>
      <c r="B550" s="101"/>
      <c r="C550" s="101"/>
      <c r="D550" s="101"/>
      <c r="E550" s="101"/>
      <c r="F550" s="102"/>
      <c r="G550" s="102"/>
      <c r="H550" s="102"/>
      <c r="I550" s="102"/>
      <c r="J550" s="102"/>
      <c r="K550" s="102"/>
      <c r="L550" s="103" t="str">
        <f aca="false">IF(OR($B550="", $H550="", $I550="", $J550="", $K550=""),"",ROUND((VLOOKUP($H550,Lists!$E$2:$F$5,2,FALSE())*VLOOKUP($I550,Lists!$H$2:$I$4,2,FALSE())*VLOOKUP($J550,Lists!$K$2:$L$4,2,FALSE()))/VLOOKUP($K550,Lists!$N$2:$O$6,2,FALSE()),2))</f>
        <v/>
      </c>
      <c r="M550" s="104" t="str">
        <f aca="false">IF($B550="","",IF($AC550&lt;&gt;"",$AC550,IF($H550="Critical","P0",IF(NOT(ISNUMBER($L550)),"",IF($L550&gt;=Lists!$AM$2,"P0",IF($L550&gt;=Lists!$AM$3,"P1",IF($L550&gt;=Lists!$AM$4,"P2","P3")))))))</f>
        <v/>
      </c>
      <c r="N550" s="102"/>
      <c r="O550" s="101"/>
      <c r="P550" s="102"/>
      <c r="Q550" s="105"/>
      <c r="R550" s="106" t="str">
        <f aca="true">IF($Q550="","", TODAY()-$Q550)</f>
        <v/>
      </c>
      <c r="S550" s="102"/>
      <c r="T550" s="105"/>
      <c r="U550" s="105"/>
      <c r="V550" s="101"/>
      <c r="W550" s="101"/>
      <c r="X550" s="101"/>
      <c r="Y550" s="96"/>
      <c r="Z550" s="96"/>
      <c r="AA550" s="96"/>
      <c r="AC550" s="102"/>
      <c r="AD550" s="107" t="str">
        <f aca="false">IF($B550="","",IF(ISNUMBER($T550),$T550,IF(OR(NOT(ISNUMBER($Q550)),$S550=""),"",IFERROR(IF(ISNUMBER(INDEX(Lists!$AJ$2:$AJ$7,MATCH($S550,Lists!$AI$2:$AI$7,0))),$Q550+INDEX(Lists!$AJ$2:$AJ$7,MATCH($S550,Lists!$AI$2:$AI$7,0)),""),""))))</f>
        <v/>
      </c>
      <c r="AE550" s="104" t="str">
        <f aca="true">IF($B550="","",IF(AND(ISNUMBER($AD550),N($AD550)&lt;TODAY(),$N550&lt;&gt;"Done",$N550&lt;&gt;"Won't Fix",$N550&lt;&gt;"Duplicate"),"Yes","No"))</f>
        <v/>
      </c>
      <c r="AF550" s="101"/>
      <c r="AG550" s="108" t="str">
        <f aca="false">IF($AF550="","",IFERROR(VLOOKUP($AF550,'Application Portfolio'!$A$2:$B$1000,2,FALSE()),"Unknown App ID"))</f>
        <v/>
      </c>
      <c r="AH550" s="108" t="str">
        <f aca="false">IF(OR($B550="",$AF550=""),"",IFERROR(VLOOKUP($AF550,'Application Portfolio'!$A$2:$AB$1000,28,FALSE()),""))</f>
        <v/>
      </c>
    </row>
    <row r="551" customFormat="false" ht="15.75" hidden="false" customHeight="true" outlineLevel="0" collapsed="false">
      <c r="A551" s="100"/>
      <c r="B551" s="101"/>
      <c r="C551" s="101"/>
      <c r="D551" s="101"/>
      <c r="E551" s="101"/>
      <c r="F551" s="102"/>
      <c r="G551" s="102"/>
      <c r="H551" s="102"/>
      <c r="I551" s="102"/>
      <c r="J551" s="102"/>
      <c r="K551" s="102"/>
      <c r="L551" s="103" t="str">
        <f aca="false">IF(OR($B551="", $H551="", $I551="", $J551="", $K551=""),"",ROUND((VLOOKUP($H551,Lists!$E$2:$F$5,2,FALSE())*VLOOKUP($I551,Lists!$H$2:$I$4,2,FALSE())*VLOOKUP($J551,Lists!$K$2:$L$4,2,FALSE()))/VLOOKUP($K551,Lists!$N$2:$O$6,2,FALSE()),2))</f>
        <v/>
      </c>
      <c r="M551" s="104" t="str">
        <f aca="false">IF($B551="","",IF($AC551&lt;&gt;"",$AC551,IF($H551="Critical","P0",IF(NOT(ISNUMBER($L551)),"",IF($L551&gt;=Lists!$AM$2,"P0",IF($L551&gt;=Lists!$AM$3,"P1",IF($L551&gt;=Lists!$AM$4,"P2","P3")))))))</f>
        <v/>
      </c>
      <c r="N551" s="102"/>
      <c r="O551" s="101"/>
      <c r="P551" s="102"/>
      <c r="Q551" s="105"/>
      <c r="R551" s="106" t="str">
        <f aca="true">IF($Q551="","", TODAY()-$Q551)</f>
        <v/>
      </c>
      <c r="S551" s="102"/>
      <c r="T551" s="105"/>
      <c r="U551" s="105"/>
      <c r="V551" s="101"/>
      <c r="W551" s="101"/>
      <c r="X551" s="101"/>
      <c r="Y551" s="96"/>
      <c r="Z551" s="96"/>
      <c r="AA551" s="96"/>
      <c r="AC551" s="102"/>
      <c r="AD551" s="107" t="str">
        <f aca="false">IF($B551="","",IF(ISNUMBER($T551),$T551,IF(OR(NOT(ISNUMBER($Q551)),$S551=""),"",IFERROR(IF(ISNUMBER(INDEX(Lists!$AJ$2:$AJ$7,MATCH($S551,Lists!$AI$2:$AI$7,0))),$Q551+INDEX(Lists!$AJ$2:$AJ$7,MATCH($S551,Lists!$AI$2:$AI$7,0)),""),""))))</f>
        <v/>
      </c>
      <c r="AE551" s="104" t="str">
        <f aca="true">IF($B551="","",IF(AND(ISNUMBER($AD551),N($AD551)&lt;TODAY(),$N551&lt;&gt;"Done",$N551&lt;&gt;"Won't Fix",$N551&lt;&gt;"Duplicate"),"Yes","No"))</f>
        <v/>
      </c>
      <c r="AF551" s="101"/>
      <c r="AG551" s="108" t="str">
        <f aca="false">IF($AF551="","",IFERROR(VLOOKUP($AF551,'Application Portfolio'!$A$2:$B$1000,2,FALSE()),"Unknown App ID"))</f>
        <v/>
      </c>
      <c r="AH551" s="108" t="str">
        <f aca="false">IF(OR($B551="",$AF551=""),"",IFERROR(VLOOKUP($AF551,'Application Portfolio'!$A$2:$AB$1000,28,FALSE()),""))</f>
        <v/>
      </c>
    </row>
    <row r="552" customFormat="false" ht="15.75" hidden="false" customHeight="true" outlineLevel="0" collapsed="false">
      <c r="A552" s="100"/>
      <c r="B552" s="101"/>
      <c r="C552" s="101"/>
      <c r="D552" s="101"/>
      <c r="E552" s="101"/>
      <c r="F552" s="102"/>
      <c r="G552" s="102"/>
      <c r="H552" s="102"/>
      <c r="I552" s="102"/>
      <c r="J552" s="102"/>
      <c r="K552" s="102"/>
      <c r="L552" s="103" t="str">
        <f aca="false">IF(OR($B552="", $H552="", $I552="", $J552="", $K552=""),"",ROUND((VLOOKUP($H552,Lists!$E$2:$F$5,2,FALSE())*VLOOKUP($I552,Lists!$H$2:$I$4,2,FALSE())*VLOOKUP($J552,Lists!$K$2:$L$4,2,FALSE()))/VLOOKUP($K552,Lists!$N$2:$O$6,2,FALSE()),2))</f>
        <v/>
      </c>
      <c r="M552" s="104" t="str">
        <f aca="false">IF($B552="","",IF($AC552&lt;&gt;"",$AC552,IF($H552="Critical","P0",IF(NOT(ISNUMBER($L552)),"",IF($L552&gt;=Lists!$AM$2,"P0",IF($L552&gt;=Lists!$AM$3,"P1",IF($L552&gt;=Lists!$AM$4,"P2","P3")))))))</f>
        <v/>
      </c>
      <c r="N552" s="102"/>
      <c r="O552" s="101"/>
      <c r="P552" s="102"/>
      <c r="Q552" s="105"/>
      <c r="R552" s="106" t="str">
        <f aca="true">IF($Q552="","", TODAY()-$Q552)</f>
        <v/>
      </c>
      <c r="S552" s="102"/>
      <c r="T552" s="105"/>
      <c r="U552" s="105"/>
      <c r="V552" s="101"/>
      <c r="W552" s="101"/>
      <c r="X552" s="101"/>
      <c r="Y552" s="96"/>
      <c r="Z552" s="96"/>
      <c r="AA552" s="96"/>
      <c r="AC552" s="102"/>
      <c r="AD552" s="107" t="str">
        <f aca="false">IF($B552="","",IF(ISNUMBER($T552),$T552,IF(OR(NOT(ISNUMBER($Q552)),$S552=""),"",IFERROR(IF(ISNUMBER(INDEX(Lists!$AJ$2:$AJ$7,MATCH($S552,Lists!$AI$2:$AI$7,0))),$Q552+INDEX(Lists!$AJ$2:$AJ$7,MATCH($S552,Lists!$AI$2:$AI$7,0)),""),""))))</f>
        <v/>
      </c>
      <c r="AE552" s="104" t="str">
        <f aca="true">IF($B552="","",IF(AND(ISNUMBER($AD552),N($AD552)&lt;TODAY(),$N552&lt;&gt;"Done",$N552&lt;&gt;"Won't Fix",$N552&lt;&gt;"Duplicate"),"Yes","No"))</f>
        <v/>
      </c>
      <c r="AF552" s="101"/>
      <c r="AG552" s="108" t="str">
        <f aca="false">IF($AF552="","",IFERROR(VLOOKUP($AF552,'Application Portfolio'!$A$2:$B$1000,2,FALSE()),"Unknown App ID"))</f>
        <v/>
      </c>
      <c r="AH552" s="108" t="str">
        <f aca="false">IF(OR($B552="",$AF552=""),"",IFERROR(VLOOKUP($AF552,'Application Portfolio'!$A$2:$AB$1000,28,FALSE()),""))</f>
        <v/>
      </c>
    </row>
    <row r="553" customFormat="false" ht="15.75" hidden="false" customHeight="true" outlineLevel="0" collapsed="false">
      <c r="A553" s="100"/>
      <c r="B553" s="101"/>
      <c r="C553" s="101"/>
      <c r="D553" s="101"/>
      <c r="E553" s="101"/>
      <c r="F553" s="102"/>
      <c r="G553" s="102"/>
      <c r="H553" s="102"/>
      <c r="I553" s="102"/>
      <c r="J553" s="102"/>
      <c r="K553" s="102"/>
      <c r="L553" s="103" t="str">
        <f aca="false">IF(OR($B553="", $H553="", $I553="", $J553="", $K553=""),"",ROUND((VLOOKUP($H553,Lists!$E$2:$F$5,2,FALSE())*VLOOKUP($I553,Lists!$H$2:$I$4,2,FALSE())*VLOOKUP($J553,Lists!$K$2:$L$4,2,FALSE()))/VLOOKUP($K553,Lists!$N$2:$O$6,2,FALSE()),2))</f>
        <v/>
      </c>
      <c r="M553" s="104" t="str">
        <f aca="false">IF($B553="","",IF($AC553&lt;&gt;"",$AC553,IF($H553="Critical","P0",IF(NOT(ISNUMBER($L553)),"",IF($L553&gt;=Lists!$AM$2,"P0",IF($L553&gt;=Lists!$AM$3,"P1",IF($L553&gt;=Lists!$AM$4,"P2","P3")))))))</f>
        <v/>
      </c>
      <c r="N553" s="102"/>
      <c r="O553" s="101"/>
      <c r="P553" s="102"/>
      <c r="Q553" s="105"/>
      <c r="R553" s="106" t="str">
        <f aca="true">IF($Q553="","", TODAY()-$Q553)</f>
        <v/>
      </c>
      <c r="S553" s="102"/>
      <c r="T553" s="105"/>
      <c r="U553" s="105"/>
      <c r="V553" s="101"/>
      <c r="W553" s="101"/>
      <c r="X553" s="101"/>
      <c r="Y553" s="96"/>
      <c r="Z553" s="96"/>
      <c r="AA553" s="96"/>
      <c r="AC553" s="102"/>
      <c r="AD553" s="107" t="str">
        <f aca="false">IF($B553="","",IF(ISNUMBER($T553),$T553,IF(OR(NOT(ISNUMBER($Q553)),$S553=""),"",IFERROR(IF(ISNUMBER(INDEX(Lists!$AJ$2:$AJ$7,MATCH($S553,Lists!$AI$2:$AI$7,0))),$Q553+INDEX(Lists!$AJ$2:$AJ$7,MATCH($S553,Lists!$AI$2:$AI$7,0)),""),""))))</f>
        <v/>
      </c>
      <c r="AE553" s="104" t="str">
        <f aca="true">IF($B553="","",IF(AND(ISNUMBER($AD553),N($AD553)&lt;TODAY(),$N553&lt;&gt;"Done",$N553&lt;&gt;"Won't Fix",$N553&lt;&gt;"Duplicate"),"Yes","No"))</f>
        <v/>
      </c>
      <c r="AF553" s="101"/>
      <c r="AG553" s="108" t="str">
        <f aca="false">IF($AF553="","",IFERROR(VLOOKUP($AF553,'Application Portfolio'!$A$2:$B$1000,2,FALSE()),"Unknown App ID"))</f>
        <v/>
      </c>
      <c r="AH553" s="108" t="str">
        <f aca="false">IF(OR($B553="",$AF553=""),"",IFERROR(VLOOKUP($AF553,'Application Portfolio'!$A$2:$AB$1000,28,FALSE()),""))</f>
        <v/>
      </c>
    </row>
    <row r="554" customFormat="false" ht="15.75" hidden="false" customHeight="true" outlineLevel="0" collapsed="false">
      <c r="A554" s="100"/>
      <c r="B554" s="101"/>
      <c r="C554" s="101"/>
      <c r="D554" s="101"/>
      <c r="E554" s="101"/>
      <c r="F554" s="102"/>
      <c r="G554" s="102"/>
      <c r="H554" s="102"/>
      <c r="I554" s="102"/>
      <c r="J554" s="102"/>
      <c r="K554" s="102"/>
      <c r="L554" s="103" t="str">
        <f aca="false">IF(OR($B554="", $H554="", $I554="", $J554="", $K554=""),"",ROUND((VLOOKUP($H554,Lists!$E$2:$F$5,2,FALSE())*VLOOKUP($I554,Lists!$H$2:$I$4,2,FALSE())*VLOOKUP($J554,Lists!$K$2:$L$4,2,FALSE()))/VLOOKUP($K554,Lists!$N$2:$O$6,2,FALSE()),2))</f>
        <v/>
      </c>
      <c r="M554" s="104" t="str">
        <f aca="false">IF($B554="","",IF($AC554&lt;&gt;"",$AC554,IF($H554="Critical","P0",IF(NOT(ISNUMBER($L554)),"",IF($L554&gt;=Lists!$AM$2,"P0",IF($L554&gt;=Lists!$AM$3,"P1",IF($L554&gt;=Lists!$AM$4,"P2","P3")))))))</f>
        <v/>
      </c>
      <c r="N554" s="102"/>
      <c r="O554" s="101"/>
      <c r="P554" s="102"/>
      <c r="Q554" s="105"/>
      <c r="R554" s="106" t="str">
        <f aca="true">IF($Q554="","", TODAY()-$Q554)</f>
        <v/>
      </c>
      <c r="S554" s="102"/>
      <c r="T554" s="105"/>
      <c r="U554" s="105"/>
      <c r="V554" s="101"/>
      <c r="W554" s="101"/>
      <c r="X554" s="101"/>
      <c r="Y554" s="96"/>
      <c r="Z554" s="96"/>
      <c r="AA554" s="96"/>
      <c r="AC554" s="102"/>
      <c r="AD554" s="107" t="str">
        <f aca="false">IF($B554="","",IF(ISNUMBER($T554),$T554,IF(OR(NOT(ISNUMBER($Q554)),$S554=""),"",IFERROR(IF(ISNUMBER(INDEX(Lists!$AJ$2:$AJ$7,MATCH($S554,Lists!$AI$2:$AI$7,0))),$Q554+INDEX(Lists!$AJ$2:$AJ$7,MATCH($S554,Lists!$AI$2:$AI$7,0)),""),""))))</f>
        <v/>
      </c>
      <c r="AE554" s="104" t="str">
        <f aca="true">IF($B554="","",IF(AND(ISNUMBER($AD554),N($AD554)&lt;TODAY(),$N554&lt;&gt;"Done",$N554&lt;&gt;"Won't Fix",$N554&lt;&gt;"Duplicate"),"Yes","No"))</f>
        <v/>
      </c>
      <c r="AF554" s="101"/>
      <c r="AG554" s="108" t="str">
        <f aca="false">IF($AF554="","",IFERROR(VLOOKUP($AF554,'Application Portfolio'!$A$2:$B$1000,2,FALSE()),"Unknown App ID"))</f>
        <v/>
      </c>
      <c r="AH554" s="108" t="str">
        <f aca="false">IF(OR($B554="",$AF554=""),"",IFERROR(VLOOKUP($AF554,'Application Portfolio'!$A$2:$AB$1000,28,FALSE()),""))</f>
        <v/>
      </c>
    </row>
    <row r="555" customFormat="false" ht="15.75" hidden="false" customHeight="true" outlineLevel="0" collapsed="false">
      <c r="A555" s="100"/>
      <c r="B555" s="101"/>
      <c r="C555" s="101"/>
      <c r="D555" s="101"/>
      <c r="E555" s="101"/>
      <c r="F555" s="102"/>
      <c r="G555" s="102"/>
      <c r="H555" s="102"/>
      <c r="I555" s="102"/>
      <c r="J555" s="102"/>
      <c r="K555" s="102"/>
      <c r="L555" s="103" t="str">
        <f aca="false">IF(OR($B555="", $H555="", $I555="", $J555="", $K555=""),"",ROUND((VLOOKUP($H555,Lists!$E$2:$F$5,2,FALSE())*VLOOKUP($I555,Lists!$H$2:$I$4,2,FALSE())*VLOOKUP($J555,Lists!$K$2:$L$4,2,FALSE()))/VLOOKUP($K555,Lists!$N$2:$O$6,2,FALSE()),2))</f>
        <v/>
      </c>
      <c r="M555" s="104" t="str">
        <f aca="false">IF($B555="","",IF($AC555&lt;&gt;"",$AC555,IF($H555="Critical","P0",IF(NOT(ISNUMBER($L555)),"",IF($L555&gt;=Lists!$AM$2,"P0",IF($L555&gt;=Lists!$AM$3,"P1",IF($L555&gt;=Lists!$AM$4,"P2","P3")))))))</f>
        <v/>
      </c>
      <c r="N555" s="102"/>
      <c r="O555" s="101"/>
      <c r="P555" s="102"/>
      <c r="Q555" s="105"/>
      <c r="R555" s="106" t="str">
        <f aca="true">IF($Q555="","", TODAY()-$Q555)</f>
        <v/>
      </c>
      <c r="S555" s="102"/>
      <c r="T555" s="105"/>
      <c r="U555" s="105"/>
      <c r="V555" s="101"/>
      <c r="W555" s="101"/>
      <c r="X555" s="101"/>
      <c r="Y555" s="96"/>
      <c r="Z555" s="96"/>
      <c r="AA555" s="96"/>
      <c r="AC555" s="102"/>
      <c r="AD555" s="107" t="str">
        <f aca="false">IF($B555="","",IF(ISNUMBER($T555),$T555,IF(OR(NOT(ISNUMBER($Q555)),$S555=""),"",IFERROR(IF(ISNUMBER(INDEX(Lists!$AJ$2:$AJ$7,MATCH($S555,Lists!$AI$2:$AI$7,0))),$Q555+INDEX(Lists!$AJ$2:$AJ$7,MATCH($S555,Lists!$AI$2:$AI$7,0)),""),""))))</f>
        <v/>
      </c>
      <c r="AE555" s="104" t="str">
        <f aca="true">IF($B555="","",IF(AND(ISNUMBER($AD555),N($AD555)&lt;TODAY(),$N555&lt;&gt;"Done",$N555&lt;&gt;"Won't Fix",$N555&lt;&gt;"Duplicate"),"Yes","No"))</f>
        <v/>
      </c>
      <c r="AF555" s="101"/>
      <c r="AG555" s="108" t="str">
        <f aca="false">IF($AF555="","",IFERROR(VLOOKUP($AF555,'Application Portfolio'!$A$2:$B$1000,2,FALSE()),"Unknown App ID"))</f>
        <v/>
      </c>
      <c r="AH555" s="108" t="str">
        <f aca="false">IF(OR($B555="",$AF555=""),"",IFERROR(VLOOKUP($AF555,'Application Portfolio'!$A$2:$AB$1000,28,FALSE()),""))</f>
        <v/>
      </c>
    </row>
    <row r="556" customFormat="false" ht="15.75" hidden="false" customHeight="true" outlineLevel="0" collapsed="false">
      <c r="A556" s="100"/>
      <c r="B556" s="101"/>
      <c r="C556" s="101"/>
      <c r="D556" s="101"/>
      <c r="E556" s="101"/>
      <c r="F556" s="102"/>
      <c r="G556" s="102"/>
      <c r="H556" s="102"/>
      <c r="I556" s="102"/>
      <c r="J556" s="102"/>
      <c r="K556" s="102"/>
      <c r="L556" s="103" t="str">
        <f aca="false">IF(OR($B556="", $H556="", $I556="", $J556="", $K556=""),"",ROUND((VLOOKUP($H556,Lists!$E$2:$F$5,2,FALSE())*VLOOKUP($I556,Lists!$H$2:$I$4,2,FALSE())*VLOOKUP($J556,Lists!$K$2:$L$4,2,FALSE()))/VLOOKUP($K556,Lists!$N$2:$O$6,2,FALSE()),2))</f>
        <v/>
      </c>
      <c r="M556" s="104" t="str">
        <f aca="false">IF($B556="","",IF($AC556&lt;&gt;"",$AC556,IF($H556="Critical","P0",IF(NOT(ISNUMBER($L556)),"",IF($L556&gt;=Lists!$AM$2,"P0",IF($L556&gt;=Lists!$AM$3,"P1",IF($L556&gt;=Lists!$AM$4,"P2","P3")))))))</f>
        <v/>
      </c>
      <c r="N556" s="102"/>
      <c r="O556" s="101"/>
      <c r="P556" s="102"/>
      <c r="Q556" s="105"/>
      <c r="R556" s="106" t="str">
        <f aca="true">IF($Q556="","", TODAY()-$Q556)</f>
        <v/>
      </c>
      <c r="S556" s="102"/>
      <c r="T556" s="105"/>
      <c r="U556" s="105"/>
      <c r="V556" s="101"/>
      <c r="W556" s="101"/>
      <c r="X556" s="101"/>
      <c r="Y556" s="96"/>
      <c r="Z556" s="96"/>
      <c r="AA556" s="96"/>
      <c r="AC556" s="102"/>
      <c r="AD556" s="107" t="str">
        <f aca="false">IF($B556="","",IF(ISNUMBER($T556),$T556,IF(OR(NOT(ISNUMBER($Q556)),$S556=""),"",IFERROR(IF(ISNUMBER(INDEX(Lists!$AJ$2:$AJ$7,MATCH($S556,Lists!$AI$2:$AI$7,0))),$Q556+INDEX(Lists!$AJ$2:$AJ$7,MATCH($S556,Lists!$AI$2:$AI$7,0)),""),""))))</f>
        <v/>
      </c>
      <c r="AE556" s="104" t="str">
        <f aca="true">IF($B556="","",IF(AND(ISNUMBER($AD556),N($AD556)&lt;TODAY(),$N556&lt;&gt;"Done",$N556&lt;&gt;"Won't Fix",$N556&lt;&gt;"Duplicate"),"Yes","No"))</f>
        <v/>
      </c>
      <c r="AF556" s="101"/>
      <c r="AG556" s="108" t="str">
        <f aca="false">IF($AF556="","",IFERROR(VLOOKUP($AF556,'Application Portfolio'!$A$2:$B$1000,2,FALSE()),"Unknown App ID"))</f>
        <v/>
      </c>
      <c r="AH556" s="108" t="str">
        <f aca="false">IF(OR($B556="",$AF556=""),"",IFERROR(VLOOKUP($AF556,'Application Portfolio'!$A$2:$AB$1000,28,FALSE()),""))</f>
        <v/>
      </c>
    </row>
    <row r="557" customFormat="false" ht="15.75" hidden="false" customHeight="true" outlineLevel="0" collapsed="false">
      <c r="A557" s="100"/>
      <c r="B557" s="101"/>
      <c r="C557" s="101"/>
      <c r="D557" s="101"/>
      <c r="E557" s="101"/>
      <c r="F557" s="102"/>
      <c r="G557" s="102"/>
      <c r="H557" s="102"/>
      <c r="I557" s="102"/>
      <c r="J557" s="102"/>
      <c r="K557" s="102"/>
      <c r="L557" s="103" t="str">
        <f aca="false">IF(OR($B557="", $H557="", $I557="", $J557="", $K557=""),"",ROUND((VLOOKUP($H557,Lists!$E$2:$F$5,2,FALSE())*VLOOKUP($I557,Lists!$H$2:$I$4,2,FALSE())*VLOOKUP($J557,Lists!$K$2:$L$4,2,FALSE()))/VLOOKUP($K557,Lists!$N$2:$O$6,2,FALSE()),2))</f>
        <v/>
      </c>
      <c r="M557" s="104" t="str">
        <f aca="false">IF($B557="","",IF($AC557&lt;&gt;"",$AC557,IF($H557="Critical","P0",IF(NOT(ISNUMBER($L557)),"",IF($L557&gt;=Lists!$AM$2,"P0",IF($L557&gt;=Lists!$AM$3,"P1",IF($L557&gt;=Lists!$AM$4,"P2","P3")))))))</f>
        <v/>
      </c>
      <c r="N557" s="102"/>
      <c r="O557" s="101"/>
      <c r="P557" s="102"/>
      <c r="Q557" s="105"/>
      <c r="R557" s="106" t="str">
        <f aca="true">IF($Q557="","", TODAY()-$Q557)</f>
        <v/>
      </c>
      <c r="S557" s="102"/>
      <c r="T557" s="105"/>
      <c r="U557" s="105"/>
      <c r="V557" s="101"/>
      <c r="W557" s="101"/>
      <c r="X557" s="101"/>
      <c r="Y557" s="96"/>
      <c r="Z557" s="96"/>
      <c r="AA557" s="96"/>
      <c r="AC557" s="102"/>
      <c r="AD557" s="107" t="str">
        <f aca="false">IF($B557="","",IF(ISNUMBER($T557),$T557,IF(OR(NOT(ISNUMBER($Q557)),$S557=""),"",IFERROR(IF(ISNUMBER(INDEX(Lists!$AJ$2:$AJ$7,MATCH($S557,Lists!$AI$2:$AI$7,0))),$Q557+INDEX(Lists!$AJ$2:$AJ$7,MATCH($S557,Lists!$AI$2:$AI$7,0)),""),""))))</f>
        <v/>
      </c>
      <c r="AE557" s="104" t="str">
        <f aca="true">IF($B557="","",IF(AND(ISNUMBER($AD557),N($AD557)&lt;TODAY(),$N557&lt;&gt;"Done",$N557&lt;&gt;"Won't Fix",$N557&lt;&gt;"Duplicate"),"Yes","No"))</f>
        <v/>
      </c>
      <c r="AF557" s="101"/>
      <c r="AG557" s="108" t="str">
        <f aca="false">IF($AF557="","",IFERROR(VLOOKUP($AF557,'Application Portfolio'!$A$2:$B$1000,2,FALSE()),"Unknown App ID"))</f>
        <v/>
      </c>
      <c r="AH557" s="108" t="str">
        <f aca="false">IF(OR($B557="",$AF557=""),"",IFERROR(VLOOKUP($AF557,'Application Portfolio'!$A$2:$AB$1000,28,FALSE()),""))</f>
        <v/>
      </c>
    </row>
    <row r="558" customFormat="false" ht="15.75" hidden="false" customHeight="true" outlineLevel="0" collapsed="false">
      <c r="A558" s="100"/>
      <c r="B558" s="101"/>
      <c r="C558" s="101"/>
      <c r="D558" s="101"/>
      <c r="E558" s="101"/>
      <c r="F558" s="102"/>
      <c r="G558" s="102"/>
      <c r="H558" s="102"/>
      <c r="I558" s="102"/>
      <c r="J558" s="102"/>
      <c r="K558" s="102"/>
      <c r="L558" s="103" t="str">
        <f aca="false">IF(OR($B558="", $H558="", $I558="", $J558="", $K558=""),"",ROUND((VLOOKUP($H558,Lists!$E$2:$F$5,2,FALSE())*VLOOKUP($I558,Lists!$H$2:$I$4,2,FALSE())*VLOOKUP($J558,Lists!$K$2:$L$4,2,FALSE()))/VLOOKUP($K558,Lists!$N$2:$O$6,2,FALSE()),2))</f>
        <v/>
      </c>
      <c r="M558" s="104" t="str">
        <f aca="false">IF($B558="","",IF($AC558&lt;&gt;"",$AC558,IF($H558="Critical","P0",IF(NOT(ISNUMBER($L558)),"",IF($L558&gt;=Lists!$AM$2,"P0",IF($L558&gt;=Lists!$AM$3,"P1",IF($L558&gt;=Lists!$AM$4,"P2","P3")))))))</f>
        <v/>
      </c>
      <c r="N558" s="102"/>
      <c r="O558" s="101"/>
      <c r="P558" s="102"/>
      <c r="Q558" s="105"/>
      <c r="R558" s="106" t="str">
        <f aca="true">IF($Q558="","", TODAY()-$Q558)</f>
        <v/>
      </c>
      <c r="S558" s="102"/>
      <c r="T558" s="105"/>
      <c r="U558" s="105"/>
      <c r="V558" s="101"/>
      <c r="W558" s="101"/>
      <c r="X558" s="101"/>
      <c r="Y558" s="96"/>
      <c r="Z558" s="96"/>
      <c r="AA558" s="96"/>
      <c r="AC558" s="102"/>
      <c r="AD558" s="107" t="str">
        <f aca="false">IF($B558="","",IF(ISNUMBER($T558),$T558,IF(OR(NOT(ISNUMBER($Q558)),$S558=""),"",IFERROR(IF(ISNUMBER(INDEX(Lists!$AJ$2:$AJ$7,MATCH($S558,Lists!$AI$2:$AI$7,0))),$Q558+INDEX(Lists!$AJ$2:$AJ$7,MATCH($S558,Lists!$AI$2:$AI$7,0)),""),""))))</f>
        <v/>
      </c>
      <c r="AE558" s="104" t="str">
        <f aca="true">IF($B558="","",IF(AND(ISNUMBER($AD558),N($AD558)&lt;TODAY(),$N558&lt;&gt;"Done",$N558&lt;&gt;"Won't Fix",$N558&lt;&gt;"Duplicate"),"Yes","No"))</f>
        <v/>
      </c>
      <c r="AF558" s="101"/>
      <c r="AG558" s="108" t="str">
        <f aca="false">IF($AF558="","",IFERROR(VLOOKUP($AF558,'Application Portfolio'!$A$2:$B$1000,2,FALSE()),"Unknown App ID"))</f>
        <v/>
      </c>
      <c r="AH558" s="108" t="str">
        <f aca="false">IF(OR($B558="",$AF558=""),"",IFERROR(VLOOKUP($AF558,'Application Portfolio'!$A$2:$AB$1000,28,FALSE()),""))</f>
        <v/>
      </c>
    </row>
    <row r="559" customFormat="false" ht="15.75" hidden="false" customHeight="true" outlineLevel="0" collapsed="false">
      <c r="A559" s="100"/>
      <c r="B559" s="101"/>
      <c r="C559" s="101"/>
      <c r="D559" s="101"/>
      <c r="E559" s="101"/>
      <c r="F559" s="102"/>
      <c r="G559" s="102"/>
      <c r="H559" s="102"/>
      <c r="I559" s="102"/>
      <c r="J559" s="102"/>
      <c r="K559" s="102"/>
      <c r="L559" s="103" t="str">
        <f aca="false">IF(OR($B559="", $H559="", $I559="", $J559="", $K559=""),"",ROUND((VLOOKUP($H559,Lists!$E$2:$F$5,2,FALSE())*VLOOKUP($I559,Lists!$H$2:$I$4,2,FALSE())*VLOOKUP($J559,Lists!$K$2:$L$4,2,FALSE()))/VLOOKUP($K559,Lists!$N$2:$O$6,2,FALSE()),2))</f>
        <v/>
      </c>
      <c r="M559" s="104" t="str">
        <f aca="false">IF($B559="","",IF($AC559&lt;&gt;"",$AC559,IF($H559="Critical","P0",IF(NOT(ISNUMBER($L559)),"",IF($L559&gt;=Lists!$AM$2,"P0",IF($L559&gt;=Lists!$AM$3,"P1",IF($L559&gt;=Lists!$AM$4,"P2","P3")))))))</f>
        <v/>
      </c>
      <c r="N559" s="102"/>
      <c r="O559" s="101"/>
      <c r="P559" s="102"/>
      <c r="Q559" s="105"/>
      <c r="R559" s="106" t="str">
        <f aca="true">IF($Q559="","", TODAY()-$Q559)</f>
        <v/>
      </c>
      <c r="S559" s="102"/>
      <c r="T559" s="105"/>
      <c r="U559" s="105"/>
      <c r="V559" s="101"/>
      <c r="W559" s="101"/>
      <c r="X559" s="101"/>
      <c r="Y559" s="96"/>
      <c r="Z559" s="96"/>
      <c r="AA559" s="96"/>
      <c r="AC559" s="102"/>
      <c r="AD559" s="107" t="str">
        <f aca="false">IF($B559="","",IF(ISNUMBER($T559),$T559,IF(OR(NOT(ISNUMBER($Q559)),$S559=""),"",IFERROR(IF(ISNUMBER(INDEX(Lists!$AJ$2:$AJ$7,MATCH($S559,Lists!$AI$2:$AI$7,0))),$Q559+INDEX(Lists!$AJ$2:$AJ$7,MATCH($S559,Lists!$AI$2:$AI$7,0)),""),""))))</f>
        <v/>
      </c>
      <c r="AE559" s="104" t="str">
        <f aca="true">IF($B559="","",IF(AND(ISNUMBER($AD559),N($AD559)&lt;TODAY(),$N559&lt;&gt;"Done",$N559&lt;&gt;"Won't Fix",$N559&lt;&gt;"Duplicate"),"Yes","No"))</f>
        <v/>
      </c>
      <c r="AF559" s="101"/>
      <c r="AG559" s="108" t="str">
        <f aca="false">IF($AF559="","",IFERROR(VLOOKUP($AF559,'Application Portfolio'!$A$2:$B$1000,2,FALSE()),"Unknown App ID"))</f>
        <v/>
      </c>
      <c r="AH559" s="108" t="str">
        <f aca="false">IF(OR($B559="",$AF559=""),"",IFERROR(VLOOKUP($AF559,'Application Portfolio'!$A$2:$AB$1000,28,FALSE()),""))</f>
        <v/>
      </c>
    </row>
    <row r="560" customFormat="false" ht="15.75" hidden="false" customHeight="true" outlineLevel="0" collapsed="false">
      <c r="A560" s="100"/>
      <c r="B560" s="101"/>
      <c r="C560" s="101"/>
      <c r="D560" s="101"/>
      <c r="E560" s="101"/>
      <c r="F560" s="102"/>
      <c r="G560" s="102"/>
      <c r="H560" s="102"/>
      <c r="I560" s="102"/>
      <c r="J560" s="102"/>
      <c r="K560" s="102"/>
      <c r="L560" s="103" t="str">
        <f aca="false">IF(OR($B560="", $H560="", $I560="", $J560="", $K560=""),"",ROUND((VLOOKUP($H560,Lists!$E$2:$F$5,2,FALSE())*VLOOKUP($I560,Lists!$H$2:$I$4,2,FALSE())*VLOOKUP($J560,Lists!$K$2:$L$4,2,FALSE()))/VLOOKUP($K560,Lists!$N$2:$O$6,2,FALSE()),2))</f>
        <v/>
      </c>
      <c r="M560" s="104" t="str">
        <f aca="false">IF($B560="","",IF($AC560&lt;&gt;"",$AC560,IF($H560="Critical","P0",IF(NOT(ISNUMBER($L560)),"",IF($L560&gt;=Lists!$AM$2,"P0",IF($L560&gt;=Lists!$AM$3,"P1",IF($L560&gt;=Lists!$AM$4,"P2","P3")))))))</f>
        <v/>
      </c>
      <c r="N560" s="102"/>
      <c r="O560" s="101"/>
      <c r="P560" s="102"/>
      <c r="Q560" s="105"/>
      <c r="R560" s="106" t="str">
        <f aca="true">IF($Q560="","", TODAY()-$Q560)</f>
        <v/>
      </c>
      <c r="S560" s="102"/>
      <c r="T560" s="105"/>
      <c r="U560" s="105"/>
      <c r="V560" s="101"/>
      <c r="W560" s="101"/>
      <c r="X560" s="101"/>
      <c r="Y560" s="96"/>
      <c r="Z560" s="96"/>
      <c r="AA560" s="96"/>
      <c r="AC560" s="102"/>
      <c r="AD560" s="107" t="str">
        <f aca="false">IF($B560="","",IF(ISNUMBER($T560),$T560,IF(OR(NOT(ISNUMBER($Q560)),$S560=""),"",IFERROR(IF(ISNUMBER(INDEX(Lists!$AJ$2:$AJ$7,MATCH($S560,Lists!$AI$2:$AI$7,0))),$Q560+INDEX(Lists!$AJ$2:$AJ$7,MATCH($S560,Lists!$AI$2:$AI$7,0)),""),""))))</f>
        <v/>
      </c>
      <c r="AE560" s="104" t="str">
        <f aca="true">IF($B560="","",IF(AND(ISNUMBER($AD560),N($AD560)&lt;TODAY(),$N560&lt;&gt;"Done",$N560&lt;&gt;"Won't Fix",$N560&lt;&gt;"Duplicate"),"Yes","No"))</f>
        <v/>
      </c>
      <c r="AF560" s="101"/>
      <c r="AG560" s="108" t="str">
        <f aca="false">IF($AF560="","",IFERROR(VLOOKUP($AF560,'Application Portfolio'!$A$2:$B$1000,2,FALSE()),"Unknown App ID"))</f>
        <v/>
      </c>
      <c r="AH560" s="108" t="str">
        <f aca="false">IF(OR($B560="",$AF560=""),"",IFERROR(VLOOKUP($AF560,'Application Portfolio'!$A$2:$AB$1000,28,FALSE()),""))</f>
        <v/>
      </c>
    </row>
    <row r="561" customFormat="false" ht="15.75" hidden="false" customHeight="true" outlineLevel="0" collapsed="false">
      <c r="A561" s="100"/>
      <c r="B561" s="101"/>
      <c r="C561" s="101"/>
      <c r="D561" s="101"/>
      <c r="E561" s="101"/>
      <c r="F561" s="102"/>
      <c r="G561" s="102"/>
      <c r="H561" s="102"/>
      <c r="I561" s="102"/>
      <c r="J561" s="102"/>
      <c r="K561" s="102"/>
      <c r="L561" s="103" t="str">
        <f aca="false">IF(OR($B561="", $H561="", $I561="", $J561="", $K561=""),"",ROUND((VLOOKUP($H561,Lists!$E$2:$F$5,2,FALSE())*VLOOKUP($I561,Lists!$H$2:$I$4,2,FALSE())*VLOOKUP($J561,Lists!$K$2:$L$4,2,FALSE()))/VLOOKUP($K561,Lists!$N$2:$O$6,2,FALSE()),2))</f>
        <v/>
      </c>
      <c r="M561" s="104" t="str">
        <f aca="false">IF($B561="","",IF($AC561&lt;&gt;"",$AC561,IF($H561="Critical","P0",IF(NOT(ISNUMBER($L561)),"",IF($L561&gt;=Lists!$AM$2,"P0",IF($L561&gt;=Lists!$AM$3,"P1",IF($L561&gt;=Lists!$AM$4,"P2","P3")))))))</f>
        <v/>
      </c>
      <c r="N561" s="102"/>
      <c r="O561" s="101"/>
      <c r="P561" s="102"/>
      <c r="Q561" s="105"/>
      <c r="R561" s="106" t="str">
        <f aca="true">IF($Q561="","", TODAY()-$Q561)</f>
        <v/>
      </c>
      <c r="S561" s="102"/>
      <c r="T561" s="105"/>
      <c r="U561" s="105"/>
      <c r="V561" s="101"/>
      <c r="W561" s="101"/>
      <c r="X561" s="101"/>
      <c r="Y561" s="96"/>
      <c r="Z561" s="96"/>
      <c r="AA561" s="96"/>
      <c r="AC561" s="102"/>
      <c r="AD561" s="107" t="str">
        <f aca="false">IF($B561="","",IF(ISNUMBER($T561),$T561,IF(OR(NOT(ISNUMBER($Q561)),$S561=""),"",IFERROR(IF(ISNUMBER(INDEX(Lists!$AJ$2:$AJ$7,MATCH($S561,Lists!$AI$2:$AI$7,0))),$Q561+INDEX(Lists!$AJ$2:$AJ$7,MATCH($S561,Lists!$AI$2:$AI$7,0)),""),""))))</f>
        <v/>
      </c>
      <c r="AE561" s="104" t="str">
        <f aca="true">IF($B561="","",IF(AND(ISNUMBER($AD561),N($AD561)&lt;TODAY(),$N561&lt;&gt;"Done",$N561&lt;&gt;"Won't Fix",$N561&lt;&gt;"Duplicate"),"Yes","No"))</f>
        <v/>
      </c>
      <c r="AF561" s="101"/>
      <c r="AG561" s="108" t="str">
        <f aca="false">IF($AF561="","",IFERROR(VLOOKUP($AF561,'Application Portfolio'!$A$2:$B$1000,2,FALSE()),"Unknown App ID"))</f>
        <v/>
      </c>
      <c r="AH561" s="108" t="str">
        <f aca="false">IF(OR($B561="",$AF561=""),"",IFERROR(VLOOKUP($AF561,'Application Portfolio'!$A$2:$AB$1000,28,FALSE()),""))</f>
        <v/>
      </c>
    </row>
    <row r="562" customFormat="false" ht="15.75" hidden="false" customHeight="true" outlineLevel="0" collapsed="false">
      <c r="A562" s="100"/>
      <c r="B562" s="101"/>
      <c r="C562" s="101"/>
      <c r="D562" s="101"/>
      <c r="E562" s="101"/>
      <c r="F562" s="102"/>
      <c r="G562" s="102"/>
      <c r="H562" s="102"/>
      <c r="I562" s="102"/>
      <c r="J562" s="102"/>
      <c r="K562" s="102"/>
      <c r="L562" s="103" t="str">
        <f aca="false">IF(OR($B562="", $H562="", $I562="", $J562="", $K562=""),"",ROUND((VLOOKUP($H562,Lists!$E$2:$F$5,2,FALSE())*VLOOKUP($I562,Lists!$H$2:$I$4,2,FALSE())*VLOOKUP($J562,Lists!$K$2:$L$4,2,FALSE()))/VLOOKUP($K562,Lists!$N$2:$O$6,2,FALSE()),2))</f>
        <v/>
      </c>
      <c r="M562" s="104" t="str">
        <f aca="false">IF($B562="","",IF($AC562&lt;&gt;"",$AC562,IF($H562="Critical","P0",IF(NOT(ISNUMBER($L562)),"",IF($L562&gt;=Lists!$AM$2,"P0",IF($L562&gt;=Lists!$AM$3,"P1",IF($L562&gt;=Lists!$AM$4,"P2","P3")))))))</f>
        <v/>
      </c>
      <c r="N562" s="102"/>
      <c r="O562" s="101"/>
      <c r="P562" s="102"/>
      <c r="Q562" s="105"/>
      <c r="R562" s="106" t="str">
        <f aca="true">IF($Q562="","", TODAY()-$Q562)</f>
        <v/>
      </c>
      <c r="S562" s="102"/>
      <c r="T562" s="105"/>
      <c r="U562" s="105"/>
      <c r="V562" s="101"/>
      <c r="W562" s="101"/>
      <c r="X562" s="101"/>
      <c r="Y562" s="96"/>
      <c r="Z562" s="96"/>
      <c r="AA562" s="96"/>
      <c r="AC562" s="102"/>
      <c r="AD562" s="107" t="str">
        <f aca="false">IF($B562="","",IF(ISNUMBER($T562),$T562,IF(OR(NOT(ISNUMBER($Q562)),$S562=""),"",IFERROR(IF(ISNUMBER(INDEX(Lists!$AJ$2:$AJ$7,MATCH($S562,Lists!$AI$2:$AI$7,0))),$Q562+INDEX(Lists!$AJ$2:$AJ$7,MATCH($S562,Lists!$AI$2:$AI$7,0)),""),""))))</f>
        <v/>
      </c>
      <c r="AE562" s="104" t="str">
        <f aca="true">IF($B562="","",IF(AND(ISNUMBER($AD562),N($AD562)&lt;TODAY(),$N562&lt;&gt;"Done",$N562&lt;&gt;"Won't Fix",$N562&lt;&gt;"Duplicate"),"Yes","No"))</f>
        <v/>
      </c>
      <c r="AF562" s="101"/>
      <c r="AG562" s="108" t="str">
        <f aca="false">IF($AF562="","",IFERROR(VLOOKUP($AF562,'Application Portfolio'!$A$2:$B$1000,2,FALSE()),"Unknown App ID"))</f>
        <v/>
      </c>
      <c r="AH562" s="108" t="str">
        <f aca="false">IF(OR($B562="",$AF562=""),"",IFERROR(VLOOKUP($AF562,'Application Portfolio'!$A$2:$AB$1000,28,FALSE()),""))</f>
        <v/>
      </c>
    </row>
    <row r="563" customFormat="false" ht="15.75" hidden="false" customHeight="true" outlineLevel="0" collapsed="false">
      <c r="A563" s="100"/>
      <c r="B563" s="101"/>
      <c r="C563" s="101"/>
      <c r="D563" s="101"/>
      <c r="E563" s="101"/>
      <c r="F563" s="102"/>
      <c r="G563" s="102"/>
      <c r="H563" s="102"/>
      <c r="I563" s="102"/>
      <c r="J563" s="102"/>
      <c r="K563" s="102"/>
      <c r="L563" s="103" t="str">
        <f aca="false">IF(OR($B563="", $H563="", $I563="", $J563="", $K563=""),"",ROUND((VLOOKUP($H563,Lists!$E$2:$F$5,2,FALSE())*VLOOKUP($I563,Lists!$H$2:$I$4,2,FALSE())*VLOOKUP($J563,Lists!$K$2:$L$4,2,FALSE()))/VLOOKUP($K563,Lists!$N$2:$O$6,2,FALSE()),2))</f>
        <v/>
      </c>
      <c r="M563" s="104" t="str">
        <f aca="false">IF($B563="","",IF($AC563&lt;&gt;"",$AC563,IF($H563="Critical","P0",IF(NOT(ISNUMBER($L563)),"",IF($L563&gt;=Lists!$AM$2,"P0",IF($L563&gt;=Lists!$AM$3,"P1",IF($L563&gt;=Lists!$AM$4,"P2","P3")))))))</f>
        <v/>
      </c>
      <c r="N563" s="102"/>
      <c r="O563" s="101"/>
      <c r="P563" s="102"/>
      <c r="Q563" s="105"/>
      <c r="R563" s="106" t="str">
        <f aca="true">IF($Q563="","", TODAY()-$Q563)</f>
        <v/>
      </c>
      <c r="S563" s="102"/>
      <c r="T563" s="105"/>
      <c r="U563" s="105"/>
      <c r="V563" s="101"/>
      <c r="W563" s="101"/>
      <c r="X563" s="101"/>
      <c r="Y563" s="96"/>
      <c r="Z563" s="96"/>
      <c r="AA563" s="96"/>
      <c r="AC563" s="102"/>
      <c r="AD563" s="107" t="str">
        <f aca="false">IF($B563="","",IF(ISNUMBER($T563),$T563,IF(OR(NOT(ISNUMBER($Q563)),$S563=""),"",IFERROR(IF(ISNUMBER(INDEX(Lists!$AJ$2:$AJ$7,MATCH($S563,Lists!$AI$2:$AI$7,0))),$Q563+INDEX(Lists!$AJ$2:$AJ$7,MATCH($S563,Lists!$AI$2:$AI$7,0)),""),""))))</f>
        <v/>
      </c>
      <c r="AE563" s="104" t="str">
        <f aca="true">IF($B563="","",IF(AND(ISNUMBER($AD563),N($AD563)&lt;TODAY(),$N563&lt;&gt;"Done",$N563&lt;&gt;"Won't Fix",$N563&lt;&gt;"Duplicate"),"Yes","No"))</f>
        <v/>
      </c>
      <c r="AF563" s="101"/>
      <c r="AG563" s="108" t="str">
        <f aca="false">IF($AF563="","",IFERROR(VLOOKUP($AF563,'Application Portfolio'!$A$2:$B$1000,2,FALSE()),"Unknown App ID"))</f>
        <v/>
      </c>
      <c r="AH563" s="108" t="str">
        <f aca="false">IF(OR($B563="",$AF563=""),"",IFERROR(VLOOKUP($AF563,'Application Portfolio'!$A$2:$AB$1000,28,FALSE()),""))</f>
        <v/>
      </c>
    </row>
    <row r="564" customFormat="false" ht="15.75" hidden="false" customHeight="true" outlineLevel="0" collapsed="false">
      <c r="A564" s="100"/>
      <c r="B564" s="101"/>
      <c r="C564" s="101"/>
      <c r="D564" s="101"/>
      <c r="E564" s="101"/>
      <c r="F564" s="102"/>
      <c r="G564" s="102"/>
      <c r="H564" s="102"/>
      <c r="I564" s="102"/>
      <c r="J564" s="102"/>
      <c r="K564" s="102"/>
      <c r="L564" s="103" t="str">
        <f aca="false">IF(OR($B564="", $H564="", $I564="", $J564="", $K564=""),"",ROUND((VLOOKUP($H564,Lists!$E$2:$F$5,2,FALSE())*VLOOKUP($I564,Lists!$H$2:$I$4,2,FALSE())*VLOOKUP($J564,Lists!$K$2:$L$4,2,FALSE()))/VLOOKUP($K564,Lists!$N$2:$O$6,2,FALSE()),2))</f>
        <v/>
      </c>
      <c r="M564" s="104" t="str">
        <f aca="false">IF($B564="","",IF($AC564&lt;&gt;"",$AC564,IF($H564="Critical","P0",IF(NOT(ISNUMBER($L564)),"",IF($L564&gt;=Lists!$AM$2,"P0",IF($L564&gt;=Lists!$AM$3,"P1",IF($L564&gt;=Lists!$AM$4,"P2","P3")))))))</f>
        <v/>
      </c>
      <c r="N564" s="102"/>
      <c r="O564" s="101"/>
      <c r="P564" s="102"/>
      <c r="Q564" s="105"/>
      <c r="R564" s="106" t="str">
        <f aca="true">IF($Q564="","", TODAY()-$Q564)</f>
        <v/>
      </c>
      <c r="S564" s="102"/>
      <c r="T564" s="105"/>
      <c r="U564" s="105"/>
      <c r="V564" s="101"/>
      <c r="W564" s="101"/>
      <c r="X564" s="101"/>
      <c r="Y564" s="96"/>
      <c r="Z564" s="96"/>
      <c r="AA564" s="96"/>
      <c r="AC564" s="102"/>
      <c r="AD564" s="107" t="str">
        <f aca="false">IF($B564="","",IF(ISNUMBER($T564),$T564,IF(OR(NOT(ISNUMBER($Q564)),$S564=""),"",IFERROR(IF(ISNUMBER(INDEX(Lists!$AJ$2:$AJ$7,MATCH($S564,Lists!$AI$2:$AI$7,0))),$Q564+INDEX(Lists!$AJ$2:$AJ$7,MATCH($S564,Lists!$AI$2:$AI$7,0)),""),""))))</f>
        <v/>
      </c>
      <c r="AE564" s="104" t="str">
        <f aca="true">IF($B564="","",IF(AND(ISNUMBER($AD564),N($AD564)&lt;TODAY(),$N564&lt;&gt;"Done",$N564&lt;&gt;"Won't Fix",$N564&lt;&gt;"Duplicate"),"Yes","No"))</f>
        <v/>
      </c>
      <c r="AF564" s="101"/>
      <c r="AG564" s="108" t="str">
        <f aca="false">IF($AF564="","",IFERROR(VLOOKUP($AF564,'Application Portfolio'!$A$2:$B$1000,2,FALSE()),"Unknown App ID"))</f>
        <v/>
      </c>
      <c r="AH564" s="108" t="str">
        <f aca="false">IF(OR($B564="",$AF564=""),"",IFERROR(VLOOKUP($AF564,'Application Portfolio'!$A$2:$AB$1000,28,FALSE()),""))</f>
        <v/>
      </c>
    </row>
    <row r="565" customFormat="false" ht="15.75" hidden="false" customHeight="true" outlineLevel="0" collapsed="false">
      <c r="A565" s="100"/>
      <c r="B565" s="101"/>
      <c r="C565" s="101"/>
      <c r="D565" s="101"/>
      <c r="E565" s="101"/>
      <c r="F565" s="102"/>
      <c r="G565" s="102"/>
      <c r="H565" s="102"/>
      <c r="I565" s="102"/>
      <c r="J565" s="102"/>
      <c r="K565" s="102"/>
      <c r="L565" s="103" t="str">
        <f aca="false">IF(OR($B565="", $H565="", $I565="", $J565="", $K565=""),"",ROUND((VLOOKUP($H565,Lists!$E$2:$F$5,2,FALSE())*VLOOKUP($I565,Lists!$H$2:$I$4,2,FALSE())*VLOOKUP($J565,Lists!$K$2:$L$4,2,FALSE()))/VLOOKUP($K565,Lists!$N$2:$O$6,2,FALSE()),2))</f>
        <v/>
      </c>
      <c r="M565" s="104" t="str">
        <f aca="false">IF($B565="","",IF($AC565&lt;&gt;"",$AC565,IF($H565="Critical","P0",IF(NOT(ISNUMBER($L565)),"",IF($L565&gt;=Lists!$AM$2,"P0",IF($L565&gt;=Lists!$AM$3,"P1",IF($L565&gt;=Lists!$AM$4,"P2","P3")))))))</f>
        <v/>
      </c>
      <c r="N565" s="102"/>
      <c r="O565" s="101"/>
      <c r="P565" s="102"/>
      <c r="Q565" s="105"/>
      <c r="R565" s="106" t="str">
        <f aca="true">IF($Q565="","", TODAY()-$Q565)</f>
        <v/>
      </c>
      <c r="S565" s="102"/>
      <c r="T565" s="105"/>
      <c r="U565" s="105"/>
      <c r="V565" s="101"/>
      <c r="W565" s="101"/>
      <c r="X565" s="101"/>
      <c r="Y565" s="96"/>
      <c r="Z565" s="96"/>
      <c r="AA565" s="96"/>
      <c r="AC565" s="102"/>
      <c r="AD565" s="107" t="str">
        <f aca="false">IF($B565="","",IF(ISNUMBER($T565),$T565,IF(OR(NOT(ISNUMBER($Q565)),$S565=""),"",IFERROR(IF(ISNUMBER(INDEX(Lists!$AJ$2:$AJ$7,MATCH($S565,Lists!$AI$2:$AI$7,0))),$Q565+INDEX(Lists!$AJ$2:$AJ$7,MATCH($S565,Lists!$AI$2:$AI$7,0)),""),""))))</f>
        <v/>
      </c>
      <c r="AE565" s="104" t="str">
        <f aca="true">IF($B565="","",IF(AND(ISNUMBER($AD565),N($AD565)&lt;TODAY(),$N565&lt;&gt;"Done",$N565&lt;&gt;"Won't Fix",$N565&lt;&gt;"Duplicate"),"Yes","No"))</f>
        <v/>
      </c>
      <c r="AF565" s="101"/>
      <c r="AG565" s="108" t="str">
        <f aca="false">IF($AF565="","",IFERROR(VLOOKUP($AF565,'Application Portfolio'!$A$2:$B$1000,2,FALSE()),"Unknown App ID"))</f>
        <v/>
      </c>
      <c r="AH565" s="108" t="str">
        <f aca="false">IF(OR($B565="",$AF565=""),"",IFERROR(VLOOKUP($AF565,'Application Portfolio'!$A$2:$AB$1000,28,FALSE()),""))</f>
        <v/>
      </c>
    </row>
    <row r="566" customFormat="false" ht="15.75" hidden="false" customHeight="true" outlineLevel="0" collapsed="false">
      <c r="A566" s="100"/>
      <c r="B566" s="101"/>
      <c r="C566" s="101"/>
      <c r="D566" s="101"/>
      <c r="E566" s="101"/>
      <c r="F566" s="102"/>
      <c r="G566" s="102"/>
      <c r="H566" s="102"/>
      <c r="I566" s="102"/>
      <c r="J566" s="102"/>
      <c r="K566" s="102"/>
      <c r="L566" s="103" t="str">
        <f aca="false">IF(OR($B566="", $H566="", $I566="", $J566="", $K566=""),"",ROUND((VLOOKUP($H566,Lists!$E$2:$F$5,2,FALSE())*VLOOKUP($I566,Lists!$H$2:$I$4,2,FALSE())*VLOOKUP($J566,Lists!$K$2:$L$4,2,FALSE()))/VLOOKUP($K566,Lists!$N$2:$O$6,2,FALSE()),2))</f>
        <v/>
      </c>
      <c r="M566" s="104" t="str">
        <f aca="false">IF($B566="","",IF($AC566&lt;&gt;"",$AC566,IF($H566="Critical","P0",IF(NOT(ISNUMBER($L566)),"",IF($L566&gt;=Lists!$AM$2,"P0",IF($L566&gt;=Lists!$AM$3,"P1",IF($L566&gt;=Lists!$AM$4,"P2","P3")))))))</f>
        <v/>
      </c>
      <c r="N566" s="102"/>
      <c r="O566" s="101"/>
      <c r="P566" s="102"/>
      <c r="Q566" s="105"/>
      <c r="R566" s="106" t="str">
        <f aca="true">IF($Q566="","", TODAY()-$Q566)</f>
        <v/>
      </c>
      <c r="S566" s="102"/>
      <c r="T566" s="105"/>
      <c r="U566" s="105"/>
      <c r="V566" s="101"/>
      <c r="W566" s="101"/>
      <c r="X566" s="101"/>
      <c r="Y566" s="96"/>
      <c r="Z566" s="96"/>
      <c r="AA566" s="96"/>
      <c r="AC566" s="102"/>
      <c r="AD566" s="107" t="str">
        <f aca="false">IF($B566="","",IF(ISNUMBER($T566),$T566,IF(OR(NOT(ISNUMBER($Q566)),$S566=""),"",IFERROR(IF(ISNUMBER(INDEX(Lists!$AJ$2:$AJ$7,MATCH($S566,Lists!$AI$2:$AI$7,0))),$Q566+INDEX(Lists!$AJ$2:$AJ$7,MATCH($S566,Lists!$AI$2:$AI$7,0)),""),""))))</f>
        <v/>
      </c>
      <c r="AE566" s="104" t="str">
        <f aca="true">IF($B566="","",IF(AND(ISNUMBER($AD566),N($AD566)&lt;TODAY(),$N566&lt;&gt;"Done",$N566&lt;&gt;"Won't Fix",$N566&lt;&gt;"Duplicate"),"Yes","No"))</f>
        <v/>
      </c>
      <c r="AF566" s="101"/>
      <c r="AG566" s="108" t="str">
        <f aca="false">IF($AF566="","",IFERROR(VLOOKUP($AF566,'Application Portfolio'!$A$2:$B$1000,2,FALSE()),"Unknown App ID"))</f>
        <v/>
      </c>
      <c r="AH566" s="108" t="str">
        <f aca="false">IF(OR($B566="",$AF566=""),"",IFERROR(VLOOKUP($AF566,'Application Portfolio'!$A$2:$AB$1000,28,FALSE()),""))</f>
        <v/>
      </c>
    </row>
    <row r="567" customFormat="false" ht="15.75" hidden="false" customHeight="true" outlineLevel="0" collapsed="false">
      <c r="A567" s="100"/>
      <c r="B567" s="101"/>
      <c r="C567" s="101"/>
      <c r="D567" s="101"/>
      <c r="E567" s="101"/>
      <c r="F567" s="102"/>
      <c r="G567" s="102"/>
      <c r="H567" s="102"/>
      <c r="I567" s="102"/>
      <c r="J567" s="102"/>
      <c r="K567" s="102"/>
      <c r="L567" s="103" t="str">
        <f aca="false">IF(OR($B567="", $H567="", $I567="", $J567="", $K567=""),"",ROUND((VLOOKUP($H567,Lists!$E$2:$F$5,2,FALSE())*VLOOKUP($I567,Lists!$H$2:$I$4,2,FALSE())*VLOOKUP($J567,Lists!$K$2:$L$4,2,FALSE()))/VLOOKUP($K567,Lists!$N$2:$O$6,2,FALSE()),2))</f>
        <v/>
      </c>
      <c r="M567" s="104" t="str">
        <f aca="false">IF($B567="","",IF($AC567&lt;&gt;"",$AC567,IF($H567="Critical","P0",IF(NOT(ISNUMBER($L567)),"",IF($L567&gt;=Lists!$AM$2,"P0",IF($L567&gt;=Lists!$AM$3,"P1",IF($L567&gt;=Lists!$AM$4,"P2","P3")))))))</f>
        <v/>
      </c>
      <c r="N567" s="102"/>
      <c r="O567" s="101"/>
      <c r="P567" s="102"/>
      <c r="Q567" s="105"/>
      <c r="R567" s="106" t="str">
        <f aca="true">IF($Q567="","", TODAY()-$Q567)</f>
        <v/>
      </c>
      <c r="S567" s="102"/>
      <c r="T567" s="105"/>
      <c r="U567" s="105"/>
      <c r="V567" s="101"/>
      <c r="W567" s="101"/>
      <c r="X567" s="101"/>
      <c r="Y567" s="96"/>
      <c r="Z567" s="96"/>
      <c r="AA567" s="96"/>
      <c r="AC567" s="102"/>
      <c r="AD567" s="107" t="str">
        <f aca="false">IF($B567="","",IF(ISNUMBER($T567),$T567,IF(OR(NOT(ISNUMBER($Q567)),$S567=""),"",IFERROR(IF(ISNUMBER(INDEX(Lists!$AJ$2:$AJ$7,MATCH($S567,Lists!$AI$2:$AI$7,0))),$Q567+INDEX(Lists!$AJ$2:$AJ$7,MATCH($S567,Lists!$AI$2:$AI$7,0)),""),""))))</f>
        <v/>
      </c>
      <c r="AE567" s="104" t="str">
        <f aca="true">IF($B567="","",IF(AND(ISNUMBER($AD567),N($AD567)&lt;TODAY(),$N567&lt;&gt;"Done",$N567&lt;&gt;"Won't Fix",$N567&lt;&gt;"Duplicate"),"Yes","No"))</f>
        <v/>
      </c>
      <c r="AF567" s="101"/>
      <c r="AG567" s="108" t="str">
        <f aca="false">IF($AF567="","",IFERROR(VLOOKUP($AF567,'Application Portfolio'!$A$2:$B$1000,2,FALSE()),"Unknown App ID"))</f>
        <v/>
      </c>
      <c r="AH567" s="108" t="str">
        <f aca="false">IF(OR($B567="",$AF567=""),"",IFERROR(VLOOKUP($AF567,'Application Portfolio'!$A$2:$AB$1000,28,FALSE()),""))</f>
        <v/>
      </c>
    </row>
    <row r="568" customFormat="false" ht="15.75" hidden="false" customHeight="true" outlineLevel="0" collapsed="false">
      <c r="A568" s="100"/>
      <c r="B568" s="101"/>
      <c r="C568" s="101"/>
      <c r="D568" s="101"/>
      <c r="E568" s="101"/>
      <c r="F568" s="102"/>
      <c r="G568" s="102"/>
      <c r="H568" s="102"/>
      <c r="I568" s="102"/>
      <c r="J568" s="102"/>
      <c r="K568" s="102"/>
      <c r="L568" s="103" t="str">
        <f aca="false">IF(OR($B568="", $H568="", $I568="", $J568="", $K568=""),"",ROUND((VLOOKUP($H568,Lists!$E$2:$F$5,2,FALSE())*VLOOKUP($I568,Lists!$H$2:$I$4,2,FALSE())*VLOOKUP($J568,Lists!$K$2:$L$4,2,FALSE()))/VLOOKUP($K568,Lists!$N$2:$O$6,2,FALSE()),2))</f>
        <v/>
      </c>
      <c r="M568" s="104" t="str">
        <f aca="false">IF($B568="","",IF($AC568&lt;&gt;"",$AC568,IF($H568="Critical","P0",IF(NOT(ISNUMBER($L568)),"",IF($L568&gt;=Lists!$AM$2,"P0",IF($L568&gt;=Lists!$AM$3,"P1",IF($L568&gt;=Lists!$AM$4,"P2","P3")))))))</f>
        <v/>
      </c>
      <c r="N568" s="102"/>
      <c r="O568" s="101"/>
      <c r="P568" s="102"/>
      <c r="Q568" s="105"/>
      <c r="R568" s="106" t="str">
        <f aca="true">IF($Q568="","", TODAY()-$Q568)</f>
        <v/>
      </c>
      <c r="S568" s="102"/>
      <c r="T568" s="105"/>
      <c r="U568" s="105"/>
      <c r="V568" s="101"/>
      <c r="W568" s="101"/>
      <c r="X568" s="101"/>
      <c r="Y568" s="96"/>
      <c r="Z568" s="96"/>
      <c r="AA568" s="96"/>
      <c r="AC568" s="102"/>
      <c r="AD568" s="107" t="str">
        <f aca="false">IF($B568="","",IF(ISNUMBER($T568),$T568,IF(OR(NOT(ISNUMBER($Q568)),$S568=""),"",IFERROR(IF(ISNUMBER(INDEX(Lists!$AJ$2:$AJ$7,MATCH($S568,Lists!$AI$2:$AI$7,0))),$Q568+INDEX(Lists!$AJ$2:$AJ$7,MATCH($S568,Lists!$AI$2:$AI$7,0)),""),""))))</f>
        <v/>
      </c>
      <c r="AE568" s="104" t="str">
        <f aca="true">IF($B568="","",IF(AND(ISNUMBER($AD568),N($AD568)&lt;TODAY(),$N568&lt;&gt;"Done",$N568&lt;&gt;"Won't Fix",$N568&lt;&gt;"Duplicate"),"Yes","No"))</f>
        <v/>
      </c>
      <c r="AF568" s="101"/>
      <c r="AG568" s="108" t="str">
        <f aca="false">IF($AF568="","",IFERROR(VLOOKUP($AF568,'Application Portfolio'!$A$2:$B$1000,2,FALSE()),"Unknown App ID"))</f>
        <v/>
      </c>
      <c r="AH568" s="108" t="str">
        <f aca="false">IF(OR($B568="",$AF568=""),"",IFERROR(VLOOKUP($AF568,'Application Portfolio'!$A$2:$AB$1000,28,FALSE()),""))</f>
        <v/>
      </c>
    </row>
    <row r="569" customFormat="false" ht="15.75" hidden="false" customHeight="true" outlineLevel="0" collapsed="false">
      <c r="A569" s="100"/>
      <c r="B569" s="101"/>
      <c r="C569" s="101"/>
      <c r="D569" s="101"/>
      <c r="E569" s="101"/>
      <c r="F569" s="102"/>
      <c r="G569" s="102"/>
      <c r="H569" s="102"/>
      <c r="I569" s="102"/>
      <c r="J569" s="102"/>
      <c r="K569" s="102"/>
      <c r="L569" s="103" t="str">
        <f aca="false">IF(OR($B569="", $H569="", $I569="", $J569="", $K569=""),"",ROUND((VLOOKUP($H569,Lists!$E$2:$F$5,2,FALSE())*VLOOKUP($I569,Lists!$H$2:$I$4,2,FALSE())*VLOOKUP($J569,Lists!$K$2:$L$4,2,FALSE()))/VLOOKUP($K569,Lists!$N$2:$O$6,2,FALSE()),2))</f>
        <v/>
      </c>
      <c r="M569" s="104" t="str">
        <f aca="false">IF($B569="","",IF($AC569&lt;&gt;"",$AC569,IF($H569="Critical","P0",IF(NOT(ISNUMBER($L569)),"",IF($L569&gt;=Lists!$AM$2,"P0",IF($L569&gt;=Lists!$AM$3,"P1",IF($L569&gt;=Lists!$AM$4,"P2","P3")))))))</f>
        <v/>
      </c>
      <c r="N569" s="102"/>
      <c r="O569" s="101"/>
      <c r="P569" s="102"/>
      <c r="Q569" s="105"/>
      <c r="R569" s="106" t="str">
        <f aca="true">IF($Q569="","", TODAY()-$Q569)</f>
        <v/>
      </c>
      <c r="S569" s="102"/>
      <c r="T569" s="105"/>
      <c r="U569" s="105"/>
      <c r="V569" s="101"/>
      <c r="W569" s="101"/>
      <c r="X569" s="101"/>
      <c r="Y569" s="96"/>
      <c r="Z569" s="96"/>
      <c r="AA569" s="96"/>
      <c r="AC569" s="102"/>
      <c r="AD569" s="107" t="str">
        <f aca="false">IF($B569="","",IF(ISNUMBER($T569),$T569,IF(OR(NOT(ISNUMBER($Q569)),$S569=""),"",IFERROR(IF(ISNUMBER(INDEX(Lists!$AJ$2:$AJ$7,MATCH($S569,Lists!$AI$2:$AI$7,0))),$Q569+INDEX(Lists!$AJ$2:$AJ$7,MATCH($S569,Lists!$AI$2:$AI$7,0)),""),""))))</f>
        <v/>
      </c>
      <c r="AE569" s="104" t="str">
        <f aca="true">IF($B569="","",IF(AND(ISNUMBER($AD569),N($AD569)&lt;TODAY(),$N569&lt;&gt;"Done",$N569&lt;&gt;"Won't Fix",$N569&lt;&gt;"Duplicate"),"Yes","No"))</f>
        <v/>
      </c>
      <c r="AF569" s="101"/>
      <c r="AG569" s="108" t="str">
        <f aca="false">IF($AF569="","",IFERROR(VLOOKUP($AF569,'Application Portfolio'!$A$2:$B$1000,2,FALSE()),"Unknown App ID"))</f>
        <v/>
      </c>
      <c r="AH569" s="108" t="str">
        <f aca="false">IF(OR($B569="",$AF569=""),"",IFERROR(VLOOKUP($AF569,'Application Portfolio'!$A$2:$AB$1000,28,FALSE()),""))</f>
        <v/>
      </c>
    </row>
    <row r="570" customFormat="false" ht="15.75" hidden="false" customHeight="true" outlineLevel="0" collapsed="false">
      <c r="A570" s="100"/>
      <c r="B570" s="101"/>
      <c r="C570" s="101"/>
      <c r="D570" s="101"/>
      <c r="E570" s="101"/>
      <c r="F570" s="102"/>
      <c r="G570" s="102"/>
      <c r="H570" s="102"/>
      <c r="I570" s="102"/>
      <c r="J570" s="102"/>
      <c r="K570" s="102"/>
      <c r="L570" s="103" t="str">
        <f aca="false">IF(OR($B570="", $H570="", $I570="", $J570="", $K570=""),"",ROUND((VLOOKUP($H570,Lists!$E$2:$F$5,2,FALSE())*VLOOKUP($I570,Lists!$H$2:$I$4,2,FALSE())*VLOOKUP($J570,Lists!$K$2:$L$4,2,FALSE()))/VLOOKUP($K570,Lists!$N$2:$O$6,2,FALSE()),2))</f>
        <v/>
      </c>
      <c r="M570" s="104" t="str">
        <f aca="false">IF($B570="","",IF($AC570&lt;&gt;"",$AC570,IF($H570="Critical","P0",IF(NOT(ISNUMBER($L570)),"",IF($L570&gt;=Lists!$AM$2,"P0",IF($L570&gt;=Lists!$AM$3,"P1",IF($L570&gt;=Lists!$AM$4,"P2","P3")))))))</f>
        <v/>
      </c>
      <c r="N570" s="102"/>
      <c r="O570" s="101"/>
      <c r="P570" s="102"/>
      <c r="Q570" s="105"/>
      <c r="R570" s="106" t="str">
        <f aca="true">IF($Q570="","", TODAY()-$Q570)</f>
        <v/>
      </c>
      <c r="S570" s="102"/>
      <c r="T570" s="105"/>
      <c r="U570" s="105"/>
      <c r="V570" s="101"/>
      <c r="W570" s="101"/>
      <c r="X570" s="101"/>
      <c r="Y570" s="96"/>
      <c r="Z570" s="96"/>
      <c r="AA570" s="96"/>
      <c r="AC570" s="102"/>
      <c r="AD570" s="107" t="str">
        <f aca="false">IF($B570="","",IF(ISNUMBER($T570),$T570,IF(OR(NOT(ISNUMBER($Q570)),$S570=""),"",IFERROR(IF(ISNUMBER(INDEX(Lists!$AJ$2:$AJ$7,MATCH($S570,Lists!$AI$2:$AI$7,0))),$Q570+INDEX(Lists!$AJ$2:$AJ$7,MATCH($S570,Lists!$AI$2:$AI$7,0)),""),""))))</f>
        <v/>
      </c>
      <c r="AE570" s="104" t="str">
        <f aca="true">IF($B570="","",IF(AND(ISNUMBER($AD570),N($AD570)&lt;TODAY(),$N570&lt;&gt;"Done",$N570&lt;&gt;"Won't Fix",$N570&lt;&gt;"Duplicate"),"Yes","No"))</f>
        <v/>
      </c>
      <c r="AF570" s="101"/>
      <c r="AG570" s="108" t="str">
        <f aca="false">IF($AF570="","",IFERROR(VLOOKUP($AF570,'Application Portfolio'!$A$2:$B$1000,2,FALSE()),"Unknown App ID"))</f>
        <v/>
      </c>
      <c r="AH570" s="108" t="str">
        <f aca="false">IF(OR($B570="",$AF570=""),"",IFERROR(VLOOKUP($AF570,'Application Portfolio'!$A$2:$AB$1000,28,FALSE()),""))</f>
        <v/>
      </c>
    </row>
    <row r="571" customFormat="false" ht="15.75" hidden="false" customHeight="true" outlineLevel="0" collapsed="false">
      <c r="A571" s="100"/>
      <c r="B571" s="101"/>
      <c r="C571" s="101"/>
      <c r="D571" s="101"/>
      <c r="E571" s="101"/>
      <c r="F571" s="102"/>
      <c r="G571" s="102"/>
      <c r="H571" s="102"/>
      <c r="I571" s="102"/>
      <c r="J571" s="102"/>
      <c r="K571" s="102"/>
      <c r="L571" s="103" t="str">
        <f aca="false">IF(OR($B571="", $H571="", $I571="", $J571="", $K571=""),"",ROUND((VLOOKUP($H571,Lists!$E$2:$F$5,2,FALSE())*VLOOKUP($I571,Lists!$H$2:$I$4,2,FALSE())*VLOOKUP($J571,Lists!$K$2:$L$4,2,FALSE()))/VLOOKUP($K571,Lists!$N$2:$O$6,2,FALSE()),2))</f>
        <v/>
      </c>
      <c r="M571" s="104" t="str">
        <f aca="false">IF($B571="","",IF($AC571&lt;&gt;"",$AC571,IF($H571="Critical","P0",IF(NOT(ISNUMBER($L571)),"",IF($L571&gt;=Lists!$AM$2,"P0",IF($L571&gt;=Lists!$AM$3,"P1",IF($L571&gt;=Lists!$AM$4,"P2","P3")))))))</f>
        <v/>
      </c>
      <c r="N571" s="102"/>
      <c r="O571" s="101"/>
      <c r="P571" s="102"/>
      <c r="Q571" s="105"/>
      <c r="R571" s="106" t="str">
        <f aca="true">IF($Q571="","", TODAY()-$Q571)</f>
        <v/>
      </c>
      <c r="S571" s="102"/>
      <c r="T571" s="105"/>
      <c r="U571" s="105"/>
      <c r="V571" s="101"/>
      <c r="W571" s="101"/>
      <c r="X571" s="101"/>
      <c r="Y571" s="96"/>
      <c r="Z571" s="96"/>
      <c r="AA571" s="96"/>
      <c r="AC571" s="102"/>
      <c r="AD571" s="107" t="str">
        <f aca="false">IF($B571="","",IF(ISNUMBER($T571),$T571,IF(OR(NOT(ISNUMBER($Q571)),$S571=""),"",IFERROR(IF(ISNUMBER(INDEX(Lists!$AJ$2:$AJ$7,MATCH($S571,Lists!$AI$2:$AI$7,0))),$Q571+INDEX(Lists!$AJ$2:$AJ$7,MATCH($S571,Lists!$AI$2:$AI$7,0)),""),""))))</f>
        <v/>
      </c>
      <c r="AE571" s="104" t="str">
        <f aca="true">IF($B571="","",IF(AND(ISNUMBER($AD571),N($AD571)&lt;TODAY(),$N571&lt;&gt;"Done",$N571&lt;&gt;"Won't Fix",$N571&lt;&gt;"Duplicate"),"Yes","No"))</f>
        <v/>
      </c>
      <c r="AF571" s="101"/>
      <c r="AG571" s="108" t="str">
        <f aca="false">IF($AF571="","",IFERROR(VLOOKUP($AF571,'Application Portfolio'!$A$2:$B$1000,2,FALSE()),"Unknown App ID"))</f>
        <v/>
      </c>
      <c r="AH571" s="108" t="str">
        <f aca="false">IF(OR($B571="",$AF571=""),"",IFERROR(VLOOKUP($AF571,'Application Portfolio'!$A$2:$AB$1000,28,FALSE()),""))</f>
        <v/>
      </c>
    </row>
    <row r="572" customFormat="false" ht="15.75" hidden="false" customHeight="true" outlineLevel="0" collapsed="false">
      <c r="A572" s="100"/>
      <c r="B572" s="101"/>
      <c r="C572" s="101"/>
      <c r="D572" s="101"/>
      <c r="E572" s="101"/>
      <c r="F572" s="102"/>
      <c r="G572" s="102"/>
      <c r="H572" s="102"/>
      <c r="I572" s="102"/>
      <c r="J572" s="102"/>
      <c r="K572" s="102"/>
      <c r="L572" s="103" t="str">
        <f aca="false">IF(OR($B572="", $H572="", $I572="", $J572="", $K572=""),"",ROUND((VLOOKUP($H572,Lists!$E$2:$F$5,2,FALSE())*VLOOKUP($I572,Lists!$H$2:$I$4,2,FALSE())*VLOOKUP($J572,Lists!$K$2:$L$4,2,FALSE()))/VLOOKUP($K572,Lists!$N$2:$O$6,2,FALSE()),2))</f>
        <v/>
      </c>
      <c r="M572" s="104" t="str">
        <f aca="false">IF($B572="","",IF($AC572&lt;&gt;"",$AC572,IF($H572="Critical","P0",IF(NOT(ISNUMBER($L572)),"",IF($L572&gt;=Lists!$AM$2,"P0",IF($L572&gt;=Lists!$AM$3,"P1",IF($L572&gt;=Lists!$AM$4,"P2","P3")))))))</f>
        <v/>
      </c>
      <c r="N572" s="102"/>
      <c r="O572" s="101"/>
      <c r="P572" s="102"/>
      <c r="Q572" s="105"/>
      <c r="R572" s="106" t="str">
        <f aca="true">IF($Q572="","", TODAY()-$Q572)</f>
        <v/>
      </c>
      <c r="S572" s="102"/>
      <c r="T572" s="105"/>
      <c r="U572" s="105"/>
      <c r="V572" s="101"/>
      <c r="W572" s="101"/>
      <c r="X572" s="101"/>
      <c r="Y572" s="96"/>
      <c r="Z572" s="96"/>
      <c r="AA572" s="96"/>
      <c r="AC572" s="102"/>
      <c r="AD572" s="107" t="str">
        <f aca="false">IF($B572="","",IF(ISNUMBER($T572),$T572,IF(OR(NOT(ISNUMBER($Q572)),$S572=""),"",IFERROR(IF(ISNUMBER(INDEX(Lists!$AJ$2:$AJ$7,MATCH($S572,Lists!$AI$2:$AI$7,0))),$Q572+INDEX(Lists!$AJ$2:$AJ$7,MATCH($S572,Lists!$AI$2:$AI$7,0)),""),""))))</f>
        <v/>
      </c>
      <c r="AE572" s="104" t="str">
        <f aca="true">IF($B572="","",IF(AND(ISNUMBER($AD572),N($AD572)&lt;TODAY(),$N572&lt;&gt;"Done",$N572&lt;&gt;"Won't Fix",$N572&lt;&gt;"Duplicate"),"Yes","No"))</f>
        <v/>
      </c>
      <c r="AF572" s="101"/>
      <c r="AG572" s="108" t="str">
        <f aca="false">IF($AF572="","",IFERROR(VLOOKUP($AF572,'Application Portfolio'!$A$2:$B$1000,2,FALSE()),"Unknown App ID"))</f>
        <v/>
      </c>
      <c r="AH572" s="108" t="str">
        <f aca="false">IF(OR($B572="",$AF572=""),"",IFERROR(VLOOKUP($AF572,'Application Portfolio'!$A$2:$AB$1000,28,FALSE()),""))</f>
        <v/>
      </c>
    </row>
    <row r="573" customFormat="false" ht="15.75" hidden="false" customHeight="true" outlineLevel="0" collapsed="false">
      <c r="A573" s="100"/>
      <c r="B573" s="101"/>
      <c r="C573" s="101"/>
      <c r="D573" s="101"/>
      <c r="E573" s="101"/>
      <c r="F573" s="102"/>
      <c r="G573" s="102"/>
      <c r="H573" s="102"/>
      <c r="I573" s="102"/>
      <c r="J573" s="102"/>
      <c r="K573" s="102"/>
      <c r="L573" s="103" t="str">
        <f aca="false">IF(OR($B573="", $H573="", $I573="", $J573="", $K573=""),"",ROUND((VLOOKUP($H573,Lists!$E$2:$F$5,2,FALSE())*VLOOKUP($I573,Lists!$H$2:$I$4,2,FALSE())*VLOOKUP($J573,Lists!$K$2:$L$4,2,FALSE()))/VLOOKUP($K573,Lists!$N$2:$O$6,2,FALSE()),2))</f>
        <v/>
      </c>
      <c r="M573" s="104" t="str">
        <f aca="false">IF($B573="","",IF($AC573&lt;&gt;"",$AC573,IF($H573="Critical","P0",IF(NOT(ISNUMBER($L573)),"",IF($L573&gt;=Lists!$AM$2,"P0",IF($L573&gt;=Lists!$AM$3,"P1",IF($L573&gt;=Lists!$AM$4,"P2","P3")))))))</f>
        <v/>
      </c>
      <c r="N573" s="102"/>
      <c r="O573" s="101"/>
      <c r="P573" s="102"/>
      <c r="Q573" s="105"/>
      <c r="R573" s="106" t="str">
        <f aca="true">IF($Q573="","", TODAY()-$Q573)</f>
        <v/>
      </c>
      <c r="S573" s="102"/>
      <c r="T573" s="105"/>
      <c r="U573" s="105"/>
      <c r="V573" s="101"/>
      <c r="W573" s="101"/>
      <c r="X573" s="101"/>
      <c r="Y573" s="96"/>
      <c r="Z573" s="96"/>
      <c r="AA573" s="96"/>
      <c r="AC573" s="102"/>
      <c r="AD573" s="107" t="str">
        <f aca="false">IF($B573="","",IF(ISNUMBER($T573),$T573,IF(OR(NOT(ISNUMBER($Q573)),$S573=""),"",IFERROR(IF(ISNUMBER(INDEX(Lists!$AJ$2:$AJ$7,MATCH($S573,Lists!$AI$2:$AI$7,0))),$Q573+INDEX(Lists!$AJ$2:$AJ$7,MATCH($S573,Lists!$AI$2:$AI$7,0)),""),""))))</f>
        <v/>
      </c>
      <c r="AE573" s="104" t="str">
        <f aca="true">IF($B573="","",IF(AND(ISNUMBER($AD573),N($AD573)&lt;TODAY(),$N573&lt;&gt;"Done",$N573&lt;&gt;"Won't Fix",$N573&lt;&gt;"Duplicate"),"Yes","No"))</f>
        <v/>
      </c>
      <c r="AF573" s="101"/>
      <c r="AG573" s="108" t="str">
        <f aca="false">IF($AF573="","",IFERROR(VLOOKUP($AF573,'Application Portfolio'!$A$2:$B$1000,2,FALSE()),"Unknown App ID"))</f>
        <v/>
      </c>
      <c r="AH573" s="108" t="str">
        <f aca="false">IF(OR($B573="",$AF573=""),"",IFERROR(VLOOKUP($AF573,'Application Portfolio'!$A$2:$AB$1000,28,FALSE()),""))</f>
        <v/>
      </c>
    </row>
    <row r="574" customFormat="false" ht="15.75" hidden="false" customHeight="true" outlineLevel="0" collapsed="false">
      <c r="A574" s="100"/>
      <c r="B574" s="101"/>
      <c r="C574" s="101"/>
      <c r="D574" s="101"/>
      <c r="E574" s="101"/>
      <c r="F574" s="102"/>
      <c r="G574" s="102"/>
      <c r="H574" s="102"/>
      <c r="I574" s="102"/>
      <c r="J574" s="102"/>
      <c r="K574" s="102"/>
      <c r="L574" s="103" t="str">
        <f aca="false">IF(OR($B574="", $H574="", $I574="", $J574="", $K574=""),"",ROUND((VLOOKUP($H574,Lists!$E$2:$F$5,2,FALSE())*VLOOKUP($I574,Lists!$H$2:$I$4,2,FALSE())*VLOOKUP($J574,Lists!$K$2:$L$4,2,FALSE()))/VLOOKUP($K574,Lists!$N$2:$O$6,2,FALSE()),2))</f>
        <v/>
      </c>
      <c r="M574" s="104" t="str">
        <f aca="false">IF($B574="","",IF($AC574&lt;&gt;"",$AC574,IF($H574="Critical","P0",IF(NOT(ISNUMBER($L574)),"",IF($L574&gt;=Lists!$AM$2,"P0",IF($L574&gt;=Lists!$AM$3,"P1",IF($L574&gt;=Lists!$AM$4,"P2","P3")))))))</f>
        <v/>
      </c>
      <c r="N574" s="102"/>
      <c r="O574" s="101"/>
      <c r="P574" s="102"/>
      <c r="Q574" s="105"/>
      <c r="R574" s="106" t="str">
        <f aca="true">IF($Q574="","", TODAY()-$Q574)</f>
        <v/>
      </c>
      <c r="S574" s="102"/>
      <c r="T574" s="105"/>
      <c r="U574" s="105"/>
      <c r="V574" s="101"/>
      <c r="W574" s="101"/>
      <c r="X574" s="101"/>
      <c r="Y574" s="96"/>
      <c r="Z574" s="96"/>
      <c r="AA574" s="96"/>
      <c r="AC574" s="102"/>
      <c r="AD574" s="107" t="str">
        <f aca="false">IF($B574="","",IF(ISNUMBER($T574),$T574,IF(OR(NOT(ISNUMBER($Q574)),$S574=""),"",IFERROR(IF(ISNUMBER(INDEX(Lists!$AJ$2:$AJ$7,MATCH($S574,Lists!$AI$2:$AI$7,0))),$Q574+INDEX(Lists!$AJ$2:$AJ$7,MATCH($S574,Lists!$AI$2:$AI$7,0)),""),""))))</f>
        <v/>
      </c>
      <c r="AE574" s="104" t="str">
        <f aca="true">IF($B574="","",IF(AND(ISNUMBER($AD574),N($AD574)&lt;TODAY(),$N574&lt;&gt;"Done",$N574&lt;&gt;"Won't Fix",$N574&lt;&gt;"Duplicate"),"Yes","No"))</f>
        <v/>
      </c>
      <c r="AF574" s="101"/>
      <c r="AG574" s="108" t="str">
        <f aca="false">IF($AF574="","",IFERROR(VLOOKUP($AF574,'Application Portfolio'!$A$2:$B$1000,2,FALSE()),"Unknown App ID"))</f>
        <v/>
      </c>
      <c r="AH574" s="108" t="str">
        <f aca="false">IF(OR($B574="",$AF574=""),"",IFERROR(VLOOKUP($AF574,'Application Portfolio'!$A$2:$AB$1000,28,FALSE()),""))</f>
        <v/>
      </c>
    </row>
    <row r="575" customFormat="false" ht="15.75" hidden="false" customHeight="true" outlineLevel="0" collapsed="false">
      <c r="A575" s="100"/>
      <c r="B575" s="101"/>
      <c r="C575" s="101"/>
      <c r="D575" s="101"/>
      <c r="E575" s="101"/>
      <c r="F575" s="102"/>
      <c r="G575" s="102"/>
      <c r="H575" s="102"/>
      <c r="I575" s="102"/>
      <c r="J575" s="102"/>
      <c r="K575" s="102"/>
      <c r="L575" s="103" t="str">
        <f aca="false">IF(OR($B575="", $H575="", $I575="", $J575="", $K575=""),"",ROUND((VLOOKUP($H575,Lists!$E$2:$F$5,2,FALSE())*VLOOKUP($I575,Lists!$H$2:$I$4,2,FALSE())*VLOOKUP($J575,Lists!$K$2:$L$4,2,FALSE()))/VLOOKUP($K575,Lists!$N$2:$O$6,2,FALSE()),2))</f>
        <v/>
      </c>
      <c r="M575" s="104" t="str">
        <f aca="false">IF($B575="","",IF($AC575&lt;&gt;"",$AC575,IF($H575="Critical","P0",IF(NOT(ISNUMBER($L575)),"",IF($L575&gt;=Lists!$AM$2,"P0",IF($L575&gt;=Lists!$AM$3,"P1",IF($L575&gt;=Lists!$AM$4,"P2","P3")))))))</f>
        <v/>
      </c>
      <c r="N575" s="102"/>
      <c r="O575" s="101"/>
      <c r="P575" s="102"/>
      <c r="Q575" s="105"/>
      <c r="R575" s="106" t="str">
        <f aca="true">IF($Q575="","", TODAY()-$Q575)</f>
        <v/>
      </c>
      <c r="S575" s="102"/>
      <c r="T575" s="105"/>
      <c r="U575" s="105"/>
      <c r="V575" s="101"/>
      <c r="W575" s="101"/>
      <c r="X575" s="101"/>
      <c r="Y575" s="96"/>
      <c r="Z575" s="96"/>
      <c r="AA575" s="96"/>
      <c r="AC575" s="102"/>
      <c r="AD575" s="107" t="str">
        <f aca="false">IF($B575="","",IF(ISNUMBER($T575),$T575,IF(OR(NOT(ISNUMBER($Q575)),$S575=""),"",IFERROR(IF(ISNUMBER(INDEX(Lists!$AJ$2:$AJ$7,MATCH($S575,Lists!$AI$2:$AI$7,0))),$Q575+INDEX(Lists!$AJ$2:$AJ$7,MATCH($S575,Lists!$AI$2:$AI$7,0)),""),""))))</f>
        <v/>
      </c>
      <c r="AE575" s="104" t="str">
        <f aca="true">IF($B575="","",IF(AND(ISNUMBER($AD575),N($AD575)&lt;TODAY(),$N575&lt;&gt;"Done",$N575&lt;&gt;"Won't Fix",$N575&lt;&gt;"Duplicate"),"Yes","No"))</f>
        <v/>
      </c>
      <c r="AF575" s="101"/>
      <c r="AG575" s="108" t="str">
        <f aca="false">IF($AF575="","",IFERROR(VLOOKUP($AF575,'Application Portfolio'!$A$2:$B$1000,2,FALSE()),"Unknown App ID"))</f>
        <v/>
      </c>
      <c r="AH575" s="108" t="str">
        <f aca="false">IF(OR($B575="",$AF575=""),"",IFERROR(VLOOKUP($AF575,'Application Portfolio'!$A$2:$AB$1000,28,FALSE()),""))</f>
        <v/>
      </c>
    </row>
    <row r="576" customFormat="false" ht="15.75" hidden="false" customHeight="true" outlineLevel="0" collapsed="false">
      <c r="A576" s="100"/>
      <c r="B576" s="101"/>
      <c r="C576" s="101"/>
      <c r="D576" s="101"/>
      <c r="E576" s="101"/>
      <c r="F576" s="102"/>
      <c r="G576" s="102"/>
      <c r="H576" s="102"/>
      <c r="I576" s="102"/>
      <c r="J576" s="102"/>
      <c r="K576" s="102"/>
      <c r="L576" s="103" t="str">
        <f aca="false">IF(OR($B576="", $H576="", $I576="", $J576="", $K576=""),"",ROUND((VLOOKUP($H576,Lists!$E$2:$F$5,2,FALSE())*VLOOKUP($I576,Lists!$H$2:$I$4,2,FALSE())*VLOOKUP($J576,Lists!$K$2:$L$4,2,FALSE()))/VLOOKUP($K576,Lists!$N$2:$O$6,2,FALSE()),2))</f>
        <v/>
      </c>
      <c r="M576" s="104" t="str">
        <f aca="false">IF($B576="","",IF($AC576&lt;&gt;"",$AC576,IF($H576="Critical","P0",IF(NOT(ISNUMBER($L576)),"",IF($L576&gt;=Lists!$AM$2,"P0",IF($L576&gt;=Lists!$AM$3,"P1",IF($L576&gt;=Lists!$AM$4,"P2","P3")))))))</f>
        <v/>
      </c>
      <c r="N576" s="102"/>
      <c r="O576" s="101"/>
      <c r="P576" s="102"/>
      <c r="Q576" s="105"/>
      <c r="R576" s="106" t="str">
        <f aca="true">IF($Q576="","", TODAY()-$Q576)</f>
        <v/>
      </c>
      <c r="S576" s="102"/>
      <c r="T576" s="105"/>
      <c r="U576" s="105"/>
      <c r="V576" s="101"/>
      <c r="W576" s="101"/>
      <c r="X576" s="101"/>
      <c r="Y576" s="96"/>
      <c r="Z576" s="96"/>
      <c r="AA576" s="96"/>
      <c r="AC576" s="102"/>
      <c r="AD576" s="107" t="str">
        <f aca="false">IF($B576="","",IF(ISNUMBER($T576),$T576,IF(OR(NOT(ISNUMBER($Q576)),$S576=""),"",IFERROR(IF(ISNUMBER(INDEX(Lists!$AJ$2:$AJ$7,MATCH($S576,Lists!$AI$2:$AI$7,0))),$Q576+INDEX(Lists!$AJ$2:$AJ$7,MATCH($S576,Lists!$AI$2:$AI$7,0)),""),""))))</f>
        <v/>
      </c>
      <c r="AE576" s="104" t="str">
        <f aca="true">IF($B576="","",IF(AND(ISNUMBER($AD576),N($AD576)&lt;TODAY(),$N576&lt;&gt;"Done",$N576&lt;&gt;"Won't Fix",$N576&lt;&gt;"Duplicate"),"Yes","No"))</f>
        <v/>
      </c>
      <c r="AF576" s="101"/>
      <c r="AG576" s="108" t="str">
        <f aca="false">IF($AF576="","",IFERROR(VLOOKUP($AF576,'Application Portfolio'!$A$2:$B$1000,2,FALSE()),"Unknown App ID"))</f>
        <v/>
      </c>
      <c r="AH576" s="108" t="str">
        <f aca="false">IF(OR($B576="",$AF576=""),"",IFERROR(VLOOKUP($AF576,'Application Portfolio'!$A$2:$AB$1000,28,FALSE()),""))</f>
        <v/>
      </c>
    </row>
    <row r="577" customFormat="false" ht="15.75" hidden="false" customHeight="true" outlineLevel="0" collapsed="false">
      <c r="A577" s="100"/>
      <c r="B577" s="101"/>
      <c r="C577" s="101"/>
      <c r="D577" s="101"/>
      <c r="E577" s="101"/>
      <c r="F577" s="102"/>
      <c r="G577" s="102"/>
      <c r="H577" s="102"/>
      <c r="I577" s="102"/>
      <c r="J577" s="102"/>
      <c r="K577" s="102"/>
      <c r="L577" s="103" t="str">
        <f aca="false">IF(OR($B577="", $H577="", $I577="", $J577="", $K577=""),"",ROUND((VLOOKUP($H577,Lists!$E$2:$F$5,2,FALSE())*VLOOKUP($I577,Lists!$H$2:$I$4,2,FALSE())*VLOOKUP($J577,Lists!$K$2:$L$4,2,FALSE()))/VLOOKUP($K577,Lists!$N$2:$O$6,2,FALSE()),2))</f>
        <v/>
      </c>
      <c r="M577" s="104" t="str">
        <f aca="false">IF($B577="","",IF($AC577&lt;&gt;"",$AC577,IF($H577="Critical","P0",IF(NOT(ISNUMBER($L577)),"",IF($L577&gt;=Lists!$AM$2,"P0",IF($L577&gt;=Lists!$AM$3,"P1",IF($L577&gt;=Lists!$AM$4,"P2","P3")))))))</f>
        <v/>
      </c>
      <c r="N577" s="102"/>
      <c r="O577" s="101"/>
      <c r="P577" s="102"/>
      <c r="Q577" s="105"/>
      <c r="R577" s="106" t="str">
        <f aca="true">IF($Q577="","", TODAY()-$Q577)</f>
        <v/>
      </c>
      <c r="S577" s="102"/>
      <c r="T577" s="105"/>
      <c r="U577" s="105"/>
      <c r="V577" s="101"/>
      <c r="W577" s="101"/>
      <c r="X577" s="101"/>
      <c r="Y577" s="96"/>
      <c r="Z577" s="96"/>
      <c r="AA577" s="96"/>
      <c r="AC577" s="102"/>
      <c r="AD577" s="107" t="str">
        <f aca="false">IF($B577="","",IF(ISNUMBER($T577),$T577,IF(OR(NOT(ISNUMBER($Q577)),$S577=""),"",IFERROR(IF(ISNUMBER(INDEX(Lists!$AJ$2:$AJ$7,MATCH($S577,Lists!$AI$2:$AI$7,0))),$Q577+INDEX(Lists!$AJ$2:$AJ$7,MATCH($S577,Lists!$AI$2:$AI$7,0)),""),""))))</f>
        <v/>
      </c>
      <c r="AE577" s="104" t="str">
        <f aca="true">IF($B577="","",IF(AND(ISNUMBER($AD577),N($AD577)&lt;TODAY(),$N577&lt;&gt;"Done",$N577&lt;&gt;"Won't Fix",$N577&lt;&gt;"Duplicate"),"Yes","No"))</f>
        <v/>
      </c>
      <c r="AF577" s="101"/>
      <c r="AG577" s="108" t="str">
        <f aca="false">IF($AF577="","",IFERROR(VLOOKUP($AF577,'Application Portfolio'!$A$2:$B$1000,2,FALSE()),"Unknown App ID"))</f>
        <v/>
      </c>
      <c r="AH577" s="108" t="str">
        <f aca="false">IF(OR($B577="",$AF577=""),"",IFERROR(VLOOKUP($AF577,'Application Portfolio'!$A$2:$AB$1000,28,FALSE()),""))</f>
        <v/>
      </c>
    </row>
    <row r="578" customFormat="false" ht="15.75" hidden="false" customHeight="true" outlineLevel="0" collapsed="false">
      <c r="A578" s="100"/>
      <c r="B578" s="101"/>
      <c r="C578" s="101"/>
      <c r="D578" s="101"/>
      <c r="E578" s="101"/>
      <c r="F578" s="102"/>
      <c r="G578" s="102"/>
      <c r="H578" s="102"/>
      <c r="I578" s="102"/>
      <c r="J578" s="102"/>
      <c r="K578" s="102"/>
      <c r="L578" s="103" t="str">
        <f aca="false">IF(OR($B578="", $H578="", $I578="", $J578="", $K578=""),"",ROUND((VLOOKUP($H578,Lists!$E$2:$F$5,2,FALSE())*VLOOKUP($I578,Lists!$H$2:$I$4,2,FALSE())*VLOOKUP($J578,Lists!$K$2:$L$4,2,FALSE()))/VLOOKUP($K578,Lists!$N$2:$O$6,2,FALSE()),2))</f>
        <v/>
      </c>
      <c r="M578" s="104" t="str">
        <f aca="false">IF($B578="","",IF($AC578&lt;&gt;"",$AC578,IF($H578="Critical","P0",IF(NOT(ISNUMBER($L578)),"",IF($L578&gt;=Lists!$AM$2,"P0",IF($L578&gt;=Lists!$AM$3,"P1",IF($L578&gt;=Lists!$AM$4,"P2","P3")))))))</f>
        <v/>
      </c>
      <c r="N578" s="102"/>
      <c r="O578" s="101"/>
      <c r="P578" s="102"/>
      <c r="Q578" s="105"/>
      <c r="R578" s="106" t="str">
        <f aca="true">IF($Q578="","", TODAY()-$Q578)</f>
        <v/>
      </c>
      <c r="S578" s="102"/>
      <c r="T578" s="105"/>
      <c r="U578" s="105"/>
      <c r="V578" s="101"/>
      <c r="W578" s="101"/>
      <c r="X578" s="101"/>
      <c r="Y578" s="96"/>
      <c r="Z578" s="96"/>
      <c r="AA578" s="96"/>
      <c r="AC578" s="102"/>
      <c r="AD578" s="107" t="str">
        <f aca="false">IF($B578="","",IF(ISNUMBER($T578),$T578,IF(OR(NOT(ISNUMBER($Q578)),$S578=""),"",IFERROR(IF(ISNUMBER(INDEX(Lists!$AJ$2:$AJ$7,MATCH($S578,Lists!$AI$2:$AI$7,0))),$Q578+INDEX(Lists!$AJ$2:$AJ$7,MATCH($S578,Lists!$AI$2:$AI$7,0)),""),""))))</f>
        <v/>
      </c>
      <c r="AE578" s="104" t="str">
        <f aca="true">IF($B578="","",IF(AND(ISNUMBER($AD578),N($AD578)&lt;TODAY(),$N578&lt;&gt;"Done",$N578&lt;&gt;"Won't Fix",$N578&lt;&gt;"Duplicate"),"Yes","No"))</f>
        <v/>
      </c>
      <c r="AF578" s="101"/>
      <c r="AG578" s="108" t="str">
        <f aca="false">IF($AF578="","",IFERROR(VLOOKUP($AF578,'Application Portfolio'!$A$2:$B$1000,2,FALSE()),"Unknown App ID"))</f>
        <v/>
      </c>
      <c r="AH578" s="108" t="str">
        <f aca="false">IF(OR($B578="",$AF578=""),"",IFERROR(VLOOKUP($AF578,'Application Portfolio'!$A$2:$AB$1000,28,FALSE()),""))</f>
        <v/>
      </c>
    </row>
    <row r="579" customFormat="false" ht="15.75" hidden="false" customHeight="true" outlineLevel="0" collapsed="false">
      <c r="A579" s="100"/>
      <c r="B579" s="101"/>
      <c r="C579" s="101"/>
      <c r="D579" s="101"/>
      <c r="E579" s="101"/>
      <c r="F579" s="102"/>
      <c r="G579" s="102"/>
      <c r="H579" s="102"/>
      <c r="I579" s="102"/>
      <c r="J579" s="102"/>
      <c r="K579" s="102"/>
      <c r="L579" s="103" t="str">
        <f aca="false">IF(OR($B579="", $H579="", $I579="", $J579="", $K579=""),"",ROUND((VLOOKUP($H579,Lists!$E$2:$F$5,2,FALSE())*VLOOKUP($I579,Lists!$H$2:$I$4,2,FALSE())*VLOOKUP($J579,Lists!$K$2:$L$4,2,FALSE()))/VLOOKUP($K579,Lists!$N$2:$O$6,2,FALSE()),2))</f>
        <v/>
      </c>
      <c r="M579" s="104" t="str">
        <f aca="false">IF($B579="","",IF($AC579&lt;&gt;"",$AC579,IF($H579="Critical","P0",IF(NOT(ISNUMBER($L579)),"",IF($L579&gt;=Lists!$AM$2,"P0",IF($L579&gt;=Lists!$AM$3,"P1",IF($L579&gt;=Lists!$AM$4,"P2","P3")))))))</f>
        <v/>
      </c>
      <c r="N579" s="102"/>
      <c r="O579" s="101"/>
      <c r="P579" s="102"/>
      <c r="Q579" s="105"/>
      <c r="R579" s="106" t="str">
        <f aca="true">IF($Q579="","", TODAY()-$Q579)</f>
        <v/>
      </c>
      <c r="S579" s="102"/>
      <c r="T579" s="105"/>
      <c r="U579" s="105"/>
      <c r="V579" s="101"/>
      <c r="W579" s="101"/>
      <c r="X579" s="101"/>
      <c r="Y579" s="96"/>
      <c r="Z579" s="96"/>
      <c r="AA579" s="96"/>
      <c r="AC579" s="102"/>
      <c r="AD579" s="107" t="str">
        <f aca="false">IF($B579="","",IF(ISNUMBER($T579),$T579,IF(OR(NOT(ISNUMBER($Q579)),$S579=""),"",IFERROR(IF(ISNUMBER(INDEX(Lists!$AJ$2:$AJ$7,MATCH($S579,Lists!$AI$2:$AI$7,0))),$Q579+INDEX(Lists!$AJ$2:$AJ$7,MATCH($S579,Lists!$AI$2:$AI$7,0)),""),""))))</f>
        <v/>
      </c>
      <c r="AE579" s="104" t="str">
        <f aca="true">IF($B579="","",IF(AND(ISNUMBER($AD579),N($AD579)&lt;TODAY(),$N579&lt;&gt;"Done",$N579&lt;&gt;"Won't Fix",$N579&lt;&gt;"Duplicate"),"Yes","No"))</f>
        <v/>
      </c>
      <c r="AF579" s="101"/>
      <c r="AG579" s="108" t="str">
        <f aca="false">IF($AF579="","",IFERROR(VLOOKUP($AF579,'Application Portfolio'!$A$2:$B$1000,2,FALSE()),"Unknown App ID"))</f>
        <v/>
      </c>
      <c r="AH579" s="108" t="str">
        <f aca="false">IF(OR($B579="",$AF579=""),"",IFERROR(VLOOKUP($AF579,'Application Portfolio'!$A$2:$AB$1000,28,FALSE()),""))</f>
        <v/>
      </c>
    </row>
    <row r="580" customFormat="false" ht="15.75" hidden="false" customHeight="true" outlineLevel="0" collapsed="false">
      <c r="A580" s="100"/>
      <c r="B580" s="101"/>
      <c r="C580" s="101"/>
      <c r="D580" s="101"/>
      <c r="E580" s="101"/>
      <c r="F580" s="102"/>
      <c r="G580" s="102"/>
      <c r="H580" s="102"/>
      <c r="I580" s="102"/>
      <c r="J580" s="102"/>
      <c r="K580" s="102"/>
      <c r="L580" s="103" t="str">
        <f aca="false">IF(OR($B580="", $H580="", $I580="", $J580="", $K580=""),"",ROUND((VLOOKUP($H580,Lists!$E$2:$F$5,2,FALSE())*VLOOKUP($I580,Lists!$H$2:$I$4,2,FALSE())*VLOOKUP($J580,Lists!$K$2:$L$4,2,FALSE()))/VLOOKUP($K580,Lists!$N$2:$O$6,2,FALSE()),2))</f>
        <v/>
      </c>
      <c r="M580" s="104" t="str">
        <f aca="false">IF($B580="","",IF($AC580&lt;&gt;"",$AC580,IF($H580="Critical","P0",IF(NOT(ISNUMBER($L580)),"",IF($L580&gt;=Lists!$AM$2,"P0",IF($L580&gt;=Lists!$AM$3,"P1",IF($L580&gt;=Lists!$AM$4,"P2","P3")))))))</f>
        <v/>
      </c>
      <c r="N580" s="102"/>
      <c r="O580" s="101"/>
      <c r="P580" s="102"/>
      <c r="Q580" s="105"/>
      <c r="R580" s="106" t="str">
        <f aca="true">IF($Q580="","", TODAY()-$Q580)</f>
        <v/>
      </c>
      <c r="S580" s="102"/>
      <c r="T580" s="105"/>
      <c r="U580" s="105"/>
      <c r="V580" s="101"/>
      <c r="W580" s="101"/>
      <c r="X580" s="101"/>
      <c r="Y580" s="96"/>
      <c r="Z580" s="96"/>
      <c r="AA580" s="96"/>
      <c r="AC580" s="102"/>
      <c r="AD580" s="107" t="str">
        <f aca="false">IF($B580="","",IF(ISNUMBER($T580),$T580,IF(OR(NOT(ISNUMBER($Q580)),$S580=""),"",IFERROR(IF(ISNUMBER(INDEX(Lists!$AJ$2:$AJ$7,MATCH($S580,Lists!$AI$2:$AI$7,0))),$Q580+INDEX(Lists!$AJ$2:$AJ$7,MATCH($S580,Lists!$AI$2:$AI$7,0)),""),""))))</f>
        <v/>
      </c>
      <c r="AE580" s="104" t="str">
        <f aca="true">IF($B580="","",IF(AND(ISNUMBER($AD580),N($AD580)&lt;TODAY(),$N580&lt;&gt;"Done",$N580&lt;&gt;"Won't Fix",$N580&lt;&gt;"Duplicate"),"Yes","No"))</f>
        <v/>
      </c>
      <c r="AF580" s="101"/>
      <c r="AG580" s="108" t="str">
        <f aca="false">IF($AF580="","",IFERROR(VLOOKUP($AF580,'Application Portfolio'!$A$2:$B$1000,2,FALSE()),"Unknown App ID"))</f>
        <v/>
      </c>
      <c r="AH580" s="108" t="str">
        <f aca="false">IF(OR($B580="",$AF580=""),"",IFERROR(VLOOKUP($AF580,'Application Portfolio'!$A$2:$AB$1000,28,FALSE()),""))</f>
        <v/>
      </c>
    </row>
    <row r="581" customFormat="false" ht="15.75" hidden="false" customHeight="true" outlineLevel="0" collapsed="false">
      <c r="A581" s="100"/>
      <c r="B581" s="101"/>
      <c r="C581" s="101"/>
      <c r="D581" s="101"/>
      <c r="E581" s="101"/>
      <c r="F581" s="102"/>
      <c r="G581" s="102"/>
      <c r="H581" s="102"/>
      <c r="I581" s="102"/>
      <c r="J581" s="102"/>
      <c r="K581" s="102"/>
      <c r="L581" s="103" t="str">
        <f aca="false">IF(OR($B581="", $H581="", $I581="", $J581="", $K581=""),"",ROUND((VLOOKUP($H581,Lists!$E$2:$F$5,2,FALSE())*VLOOKUP($I581,Lists!$H$2:$I$4,2,FALSE())*VLOOKUP($J581,Lists!$K$2:$L$4,2,FALSE()))/VLOOKUP($K581,Lists!$N$2:$O$6,2,FALSE()),2))</f>
        <v/>
      </c>
      <c r="M581" s="104" t="str">
        <f aca="false">IF($B581="","",IF($AC581&lt;&gt;"",$AC581,IF($H581="Critical","P0",IF(NOT(ISNUMBER($L581)),"",IF($L581&gt;=Lists!$AM$2,"P0",IF($L581&gt;=Lists!$AM$3,"P1",IF($L581&gt;=Lists!$AM$4,"P2","P3")))))))</f>
        <v/>
      </c>
      <c r="N581" s="102"/>
      <c r="O581" s="101"/>
      <c r="P581" s="102"/>
      <c r="Q581" s="105"/>
      <c r="R581" s="106" t="str">
        <f aca="true">IF($Q581="","", TODAY()-$Q581)</f>
        <v/>
      </c>
      <c r="S581" s="102"/>
      <c r="T581" s="105"/>
      <c r="U581" s="105"/>
      <c r="V581" s="101"/>
      <c r="W581" s="101"/>
      <c r="X581" s="101"/>
      <c r="Y581" s="96"/>
      <c r="Z581" s="96"/>
      <c r="AA581" s="96"/>
      <c r="AC581" s="102"/>
      <c r="AD581" s="107" t="str">
        <f aca="false">IF($B581="","",IF(ISNUMBER($T581),$T581,IF(OR(NOT(ISNUMBER($Q581)),$S581=""),"",IFERROR(IF(ISNUMBER(INDEX(Lists!$AJ$2:$AJ$7,MATCH($S581,Lists!$AI$2:$AI$7,0))),$Q581+INDEX(Lists!$AJ$2:$AJ$7,MATCH($S581,Lists!$AI$2:$AI$7,0)),""),""))))</f>
        <v/>
      </c>
      <c r="AE581" s="104" t="str">
        <f aca="true">IF($B581="","",IF(AND(ISNUMBER($AD581),N($AD581)&lt;TODAY(),$N581&lt;&gt;"Done",$N581&lt;&gt;"Won't Fix",$N581&lt;&gt;"Duplicate"),"Yes","No"))</f>
        <v/>
      </c>
      <c r="AF581" s="101"/>
      <c r="AG581" s="108" t="str">
        <f aca="false">IF($AF581="","",IFERROR(VLOOKUP($AF581,'Application Portfolio'!$A$2:$B$1000,2,FALSE()),"Unknown App ID"))</f>
        <v/>
      </c>
      <c r="AH581" s="108" t="str">
        <f aca="false">IF(OR($B581="",$AF581=""),"",IFERROR(VLOOKUP($AF581,'Application Portfolio'!$A$2:$AB$1000,28,FALSE()),""))</f>
        <v/>
      </c>
    </row>
    <row r="582" customFormat="false" ht="15.75" hidden="false" customHeight="true" outlineLevel="0" collapsed="false">
      <c r="A582" s="100"/>
      <c r="B582" s="101"/>
      <c r="C582" s="101"/>
      <c r="D582" s="101"/>
      <c r="E582" s="101"/>
      <c r="F582" s="102"/>
      <c r="G582" s="102"/>
      <c r="H582" s="102"/>
      <c r="I582" s="102"/>
      <c r="J582" s="102"/>
      <c r="K582" s="102"/>
      <c r="L582" s="103" t="str">
        <f aca="false">IF(OR($B582="", $H582="", $I582="", $J582="", $K582=""),"",ROUND((VLOOKUP($H582,Lists!$E$2:$F$5,2,FALSE())*VLOOKUP($I582,Lists!$H$2:$I$4,2,FALSE())*VLOOKUP($J582,Lists!$K$2:$L$4,2,FALSE()))/VLOOKUP($K582,Lists!$N$2:$O$6,2,FALSE()),2))</f>
        <v/>
      </c>
      <c r="M582" s="104" t="str">
        <f aca="false">IF($B582="","",IF($AC582&lt;&gt;"",$AC582,IF($H582="Critical","P0",IF(NOT(ISNUMBER($L582)),"",IF($L582&gt;=Lists!$AM$2,"P0",IF($L582&gt;=Lists!$AM$3,"P1",IF($L582&gt;=Lists!$AM$4,"P2","P3")))))))</f>
        <v/>
      </c>
      <c r="N582" s="102"/>
      <c r="O582" s="101"/>
      <c r="P582" s="102"/>
      <c r="Q582" s="105"/>
      <c r="R582" s="106" t="str">
        <f aca="true">IF($Q582="","", TODAY()-$Q582)</f>
        <v/>
      </c>
      <c r="S582" s="102"/>
      <c r="T582" s="105"/>
      <c r="U582" s="105"/>
      <c r="V582" s="101"/>
      <c r="W582" s="101"/>
      <c r="X582" s="101"/>
      <c r="Y582" s="96"/>
      <c r="Z582" s="96"/>
      <c r="AA582" s="96"/>
      <c r="AC582" s="102"/>
      <c r="AD582" s="107" t="str">
        <f aca="false">IF($B582="","",IF(ISNUMBER($T582),$T582,IF(OR(NOT(ISNUMBER($Q582)),$S582=""),"",IFERROR(IF(ISNUMBER(INDEX(Lists!$AJ$2:$AJ$7,MATCH($S582,Lists!$AI$2:$AI$7,0))),$Q582+INDEX(Lists!$AJ$2:$AJ$7,MATCH($S582,Lists!$AI$2:$AI$7,0)),""),""))))</f>
        <v/>
      </c>
      <c r="AE582" s="104" t="str">
        <f aca="true">IF($B582="","",IF(AND(ISNUMBER($AD582),N($AD582)&lt;TODAY(),$N582&lt;&gt;"Done",$N582&lt;&gt;"Won't Fix",$N582&lt;&gt;"Duplicate"),"Yes","No"))</f>
        <v/>
      </c>
      <c r="AF582" s="101"/>
      <c r="AG582" s="108" t="str">
        <f aca="false">IF($AF582="","",IFERROR(VLOOKUP($AF582,'Application Portfolio'!$A$2:$B$1000,2,FALSE()),"Unknown App ID"))</f>
        <v/>
      </c>
      <c r="AH582" s="108" t="str">
        <f aca="false">IF(OR($B582="",$AF582=""),"",IFERROR(VLOOKUP($AF582,'Application Portfolio'!$A$2:$AB$1000,28,FALSE()),""))</f>
        <v/>
      </c>
    </row>
    <row r="583" customFormat="false" ht="15.75" hidden="false" customHeight="true" outlineLevel="0" collapsed="false">
      <c r="A583" s="100"/>
      <c r="B583" s="101"/>
      <c r="C583" s="101"/>
      <c r="D583" s="101"/>
      <c r="E583" s="101"/>
      <c r="F583" s="102"/>
      <c r="G583" s="102"/>
      <c r="H583" s="102"/>
      <c r="I583" s="102"/>
      <c r="J583" s="102"/>
      <c r="K583" s="102"/>
      <c r="L583" s="103" t="str">
        <f aca="false">IF(OR($B583="", $H583="", $I583="", $J583="", $K583=""),"",ROUND((VLOOKUP($H583,Lists!$E$2:$F$5,2,FALSE())*VLOOKUP($I583,Lists!$H$2:$I$4,2,FALSE())*VLOOKUP($J583,Lists!$K$2:$L$4,2,FALSE()))/VLOOKUP($K583,Lists!$N$2:$O$6,2,FALSE()),2))</f>
        <v/>
      </c>
      <c r="M583" s="104" t="str">
        <f aca="false">IF($B583="","",IF($AC583&lt;&gt;"",$AC583,IF($H583="Critical","P0",IF(NOT(ISNUMBER($L583)),"",IF($L583&gt;=Lists!$AM$2,"P0",IF($L583&gt;=Lists!$AM$3,"P1",IF($L583&gt;=Lists!$AM$4,"P2","P3")))))))</f>
        <v/>
      </c>
      <c r="N583" s="102"/>
      <c r="O583" s="101"/>
      <c r="P583" s="102"/>
      <c r="Q583" s="105"/>
      <c r="R583" s="106" t="str">
        <f aca="true">IF($Q583="","", TODAY()-$Q583)</f>
        <v/>
      </c>
      <c r="S583" s="102"/>
      <c r="T583" s="105"/>
      <c r="U583" s="105"/>
      <c r="V583" s="101"/>
      <c r="W583" s="101"/>
      <c r="X583" s="101"/>
      <c r="Y583" s="96"/>
      <c r="Z583" s="96"/>
      <c r="AA583" s="96"/>
      <c r="AC583" s="102"/>
      <c r="AD583" s="107" t="str">
        <f aca="false">IF($B583="","",IF(ISNUMBER($T583),$T583,IF(OR(NOT(ISNUMBER($Q583)),$S583=""),"",IFERROR(IF(ISNUMBER(INDEX(Lists!$AJ$2:$AJ$7,MATCH($S583,Lists!$AI$2:$AI$7,0))),$Q583+INDEX(Lists!$AJ$2:$AJ$7,MATCH($S583,Lists!$AI$2:$AI$7,0)),""),""))))</f>
        <v/>
      </c>
      <c r="AE583" s="104" t="str">
        <f aca="true">IF($B583="","",IF(AND(ISNUMBER($AD583),N($AD583)&lt;TODAY(),$N583&lt;&gt;"Done",$N583&lt;&gt;"Won't Fix",$N583&lt;&gt;"Duplicate"),"Yes","No"))</f>
        <v/>
      </c>
      <c r="AF583" s="101"/>
      <c r="AG583" s="108" t="str">
        <f aca="false">IF($AF583="","",IFERROR(VLOOKUP($AF583,'Application Portfolio'!$A$2:$B$1000,2,FALSE()),"Unknown App ID"))</f>
        <v/>
      </c>
      <c r="AH583" s="108" t="str">
        <f aca="false">IF(OR($B583="",$AF583=""),"",IFERROR(VLOOKUP($AF583,'Application Portfolio'!$A$2:$AB$1000,28,FALSE()),""))</f>
        <v/>
      </c>
    </row>
    <row r="584" customFormat="false" ht="15.75" hidden="false" customHeight="true" outlineLevel="0" collapsed="false">
      <c r="A584" s="100"/>
      <c r="B584" s="101"/>
      <c r="C584" s="101"/>
      <c r="D584" s="101"/>
      <c r="E584" s="101"/>
      <c r="F584" s="102"/>
      <c r="G584" s="102"/>
      <c r="H584" s="102"/>
      <c r="I584" s="102"/>
      <c r="J584" s="102"/>
      <c r="K584" s="102"/>
      <c r="L584" s="103" t="str">
        <f aca="false">IF(OR($B584="", $H584="", $I584="", $J584="", $K584=""),"",ROUND((VLOOKUP($H584,Lists!$E$2:$F$5,2,FALSE())*VLOOKUP($I584,Lists!$H$2:$I$4,2,FALSE())*VLOOKUP($J584,Lists!$K$2:$L$4,2,FALSE()))/VLOOKUP($K584,Lists!$N$2:$O$6,2,FALSE()),2))</f>
        <v/>
      </c>
      <c r="M584" s="104" t="str">
        <f aca="false">IF($B584="","",IF($AC584&lt;&gt;"",$AC584,IF($H584="Critical","P0",IF(NOT(ISNUMBER($L584)),"",IF($L584&gt;=Lists!$AM$2,"P0",IF($L584&gt;=Lists!$AM$3,"P1",IF($L584&gt;=Lists!$AM$4,"P2","P3")))))))</f>
        <v/>
      </c>
      <c r="N584" s="102"/>
      <c r="O584" s="101"/>
      <c r="P584" s="102"/>
      <c r="Q584" s="105"/>
      <c r="R584" s="106" t="str">
        <f aca="true">IF($Q584="","", TODAY()-$Q584)</f>
        <v/>
      </c>
      <c r="S584" s="102"/>
      <c r="T584" s="105"/>
      <c r="U584" s="105"/>
      <c r="V584" s="101"/>
      <c r="W584" s="101"/>
      <c r="X584" s="101"/>
      <c r="Y584" s="96"/>
      <c r="Z584" s="96"/>
      <c r="AA584" s="96"/>
      <c r="AC584" s="102"/>
      <c r="AD584" s="107" t="str">
        <f aca="false">IF($B584="","",IF(ISNUMBER($T584),$T584,IF(OR(NOT(ISNUMBER($Q584)),$S584=""),"",IFERROR(IF(ISNUMBER(INDEX(Lists!$AJ$2:$AJ$7,MATCH($S584,Lists!$AI$2:$AI$7,0))),$Q584+INDEX(Lists!$AJ$2:$AJ$7,MATCH($S584,Lists!$AI$2:$AI$7,0)),""),""))))</f>
        <v/>
      </c>
      <c r="AE584" s="104" t="str">
        <f aca="true">IF($B584="","",IF(AND(ISNUMBER($AD584),N($AD584)&lt;TODAY(),$N584&lt;&gt;"Done",$N584&lt;&gt;"Won't Fix",$N584&lt;&gt;"Duplicate"),"Yes","No"))</f>
        <v/>
      </c>
      <c r="AF584" s="101"/>
      <c r="AG584" s="108" t="str">
        <f aca="false">IF($AF584="","",IFERROR(VLOOKUP($AF584,'Application Portfolio'!$A$2:$B$1000,2,FALSE()),"Unknown App ID"))</f>
        <v/>
      </c>
      <c r="AH584" s="108" t="str">
        <f aca="false">IF(OR($B584="",$AF584=""),"",IFERROR(VLOOKUP($AF584,'Application Portfolio'!$A$2:$AB$1000,28,FALSE()),""))</f>
        <v/>
      </c>
    </row>
    <row r="585" customFormat="false" ht="15.75" hidden="false" customHeight="true" outlineLevel="0" collapsed="false">
      <c r="A585" s="100"/>
      <c r="B585" s="101"/>
      <c r="C585" s="101"/>
      <c r="D585" s="101"/>
      <c r="E585" s="101"/>
      <c r="F585" s="102"/>
      <c r="G585" s="102"/>
      <c r="H585" s="102"/>
      <c r="I585" s="102"/>
      <c r="J585" s="102"/>
      <c r="K585" s="102"/>
      <c r="L585" s="103" t="str">
        <f aca="false">IF(OR($B585="", $H585="", $I585="", $J585="", $K585=""),"",ROUND((VLOOKUP($H585,Lists!$E$2:$F$5,2,FALSE())*VLOOKUP($I585,Lists!$H$2:$I$4,2,FALSE())*VLOOKUP($J585,Lists!$K$2:$L$4,2,FALSE()))/VLOOKUP($K585,Lists!$N$2:$O$6,2,FALSE()),2))</f>
        <v/>
      </c>
      <c r="M585" s="104" t="str">
        <f aca="false">IF($B585="","",IF($AC585&lt;&gt;"",$AC585,IF($H585="Critical","P0",IF(NOT(ISNUMBER($L585)),"",IF($L585&gt;=Lists!$AM$2,"P0",IF($L585&gt;=Lists!$AM$3,"P1",IF($L585&gt;=Lists!$AM$4,"P2","P3")))))))</f>
        <v/>
      </c>
      <c r="N585" s="102"/>
      <c r="O585" s="101"/>
      <c r="P585" s="102"/>
      <c r="Q585" s="105"/>
      <c r="R585" s="106" t="str">
        <f aca="true">IF($Q585="","", TODAY()-$Q585)</f>
        <v/>
      </c>
      <c r="S585" s="102"/>
      <c r="T585" s="105"/>
      <c r="U585" s="105"/>
      <c r="V585" s="101"/>
      <c r="W585" s="101"/>
      <c r="X585" s="101"/>
      <c r="Y585" s="96"/>
      <c r="Z585" s="96"/>
      <c r="AA585" s="96"/>
      <c r="AC585" s="102"/>
      <c r="AD585" s="107" t="str">
        <f aca="false">IF($B585="","",IF(ISNUMBER($T585),$T585,IF(OR(NOT(ISNUMBER($Q585)),$S585=""),"",IFERROR(IF(ISNUMBER(INDEX(Lists!$AJ$2:$AJ$7,MATCH($S585,Lists!$AI$2:$AI$7,0))),$Q585+INDEX(Lists!$AJ$2:$AJ$7,MATCH($S585,Lists!$AI$2:$AI$7,0)),""),""))))</f>
        <v/>
      </c>
      <c r="AE585" s="104" t="str">
        <f aca="true">IF($B585="","",IF(AND(ISNUMBER($AD585),N($AD585)&lt;TODAY(),$N585&lt;&gt;"Done",$N585&lt;&gt;"Won't Fix",$N585&lt;&gt;"Duplicate"),"Yes","No"))</f>
        <v/>
      </c>
      <c r="AF585" s="101"/>
      <c r="AG585" s="108" t="str">
        <f aca="false">IF($AF585="","",IFERROR(VLOOKUP($AF585,'Application Portfolio'!$A$2:$B$1000,2,FALSE()),"Unknown App ID"))</f>
        <v/>
      </c>
      <c r="AH585" s="108" t="str">
        <f aca="false">IF(OR($B585="",$AF585=""),"",IFERROR(VLOOKUP($AF585,'Application Portfolio'!$A$2:$AB$1000,28,FALSE()),""))</f>
        <v/>
      </c>
    </row>
    <row r="586" customFormat="false" ht="15.75" hidden="false" customHeight="true" outlineLevel="0" collapsed="false">
      <c r="A586" s="100"/>
      <c r="B586" s="101"/>
      <c r="C586" s="101"/>
      <c r="D586" s="101"/>
      <c r="E586" s="101"/>
      <c r="F586" s="102"/>
      <c r="G586" s="102"/>
      <c r="H586" s="102"/>
      <c r="I586" s="102"/>
      <c r="J586" s="102"/>
      <c r="K586" s="102"/>
      <c r="L586" s="103" t="str">
        <f aca="false">IF(OR($B586="", $H586="", $I586="", $J586="", $K586=""),"",ROUND((VLOOKUP($H586,Lists!$E$2:$F$5,2,FALSE())*VLOOKUP($I586,Lists!$H$2:$I$4,2,FALSE())*VLOOKUP($J586,Lists!$K$2:$L$4,2,FALSE()))/VLOOKUP($K586,Lists!$N$2:$O$6,2,FALSE()),2))</f>
        <v/>
      </c>
      <c r="M586" s="104" t="str">
        <f aca="false">IF($B586="","",IF($AC586&lt;&gt;"",$AC586,IF($H586="Critical","P0",IF(NOT(ISNUMBER($L586)),"",IF($L586&gt;=Lists!$AM$2,"P0",IF($L586&gt;=Lists!$AM$3,"P1",IF($L586&gt;=Lists!$AM$4,"P2","P3")))))))</f>
        <v/>
      </c>
      <c r="N586" s="102"/>
      <c r="O586" s="101"/>
      <c r="P586" s="102"/>
      <c r="Q586" s="105"/>
      <c r="R586" s="106" t="str">
        <f aca="true">IF($Q586="","", TODAY()-$Q586)</f>
        <v/>
      </c>
      <c r="S586" s="102"/>
      <c r="T586" s="105"/>
      <c r="U586" s="105"/>
      <c r="V586" s="101"/>
      <c r="W586" s="101"/>
      <c r="X586" s="101"/>
      <c r="Y586" s="96"/>
      <c r="Z586" s="96"/>
      <c r="AA586" s="96"/>
      <c r="AC586" s="102"/>
      <c r="AD586" s="107" t="str">
        <f aca="false">IF($B586="","",IF(ISNUMBER($T586),$T586,IF(OR(NOT(ISNUMBER($Q586)),$S586=""),"",IFERROR(IF(ISNUMBER(INDEX(Lists!$AJ$2:$AJ$7,MATCH($S586,Lists!$AI$2:$AI$7,0))),$Q586+INDEX(Lists!$AJ$2:$AJ$7,MATCH($S586,Lists!$AI$2:$AI$7,0)),""),""))))</f>
        <v/>
      </c>
      <c r="AE586" s="104" t="str">
        <f aca="true">IF($B586="","",IF(AND(ISNUMBER($AD586),N($AD586)&lt;TODAY(),$N586&lt;&gt;"Done",$N586&lt;&gt;"Won't Fix",$N586&lt;&gt;"Duplicate"),"Yes","No"))</f>
        <v/>
      </c>
      <c r="AF586" s="101"/>
      <c r="AG586" s="108" t="str">
        <f aca="false">IF($AF586="","",IFERROR(VLOOKUP($AF586,'Application Portfolio'!$A$2:$B$1000,2,FALSE()),"Unknown App ID"))</f>
        <v/>
      </c>
      <c r="AH586" s="108" t="str">
        <f aca="false">IF(OR($B586="",$AF586=""),"",IFERROR(VLOOKUP($AF586,'Application Portfolio'!$A$2:$AB$1000,28,FALSE()),""))</f>
        <v/>
      </c>
    </row>
    <row r="587" customFormat="false" ht="15.75" hidden="false" customHeight="true" outlineLevel="0" collapsed="false">
      <c r="A587" s="100"/>
      <c r="B587" s="101"/>
      <c r="C587" s="101"/>
      <c r="D587" s="101"/>
      <c r="E587" s="101"/>
      <c r="F587" s="102"/>
      <c r="G587" s="102"/>
      <c r="H587" s="102"/>
      <c r="I587" s="102"/>
      <c r="J587" s="102"/>
      <c r="K587" s="102"/>
      <c r="L587" s="103" t="str">
        <f aca="false">IF(OR($B587="", $H587="", $I587="", $J587="", $K587=""),"",ROUND((VLOOKUP($H587,Lists!$E$2:$F$5,2,FALSE())*VLOOKUP($I587,Lists!$H$2:$I$4,2,FALSE())*VLOOKUP($J587,Lists!$K$2:$L$4,2,FALSE()))/VLOOKUP($K587,Lists!$N$2:$O$6,2,FALSE()),2))</f>
        <v/>
      </c>
      <c r="M587" s="104" t="str">
        <f aca="false">IF($B587="","",IF($AC587&lt;&gt;"",$AC587,IF($H587="Critical","P0",IF(NOT(ISNUMBER($L587)),"",IF($L587&gt;=Lists!$AM$2,"P0",IF($L587&gt;=Lists!$AM$3,"P1",IF($L587&gt;=Lists!$AM$4,"P2","P3")))))))</f>
        <v/>
      </c>
      <c r="N587" s="102"/>
      <c r="O587" s="101"/>
      <c r="P587" s="102"/>
      <c r="Q587" s="105"/>
      <c r="R587" s="106" t="str">
        <f aca="true">IF($Q587="","", TODAY()-$Q587)</f>
        <v/>
      </c>
      <c r="S587" s="102"/>
      <c r="T587" s="105"/>
      <c r="U587" s="105"/>
      <c r="V587" s="101"/>
      <c r="W587" s="101"/>
      <c r="X587" s="101"/>
      <c r="Y587" s="96"/>
      <c r="Z587" s="96"/>
      <c r="AA587" s="96"/>
      <c r="AC587" s="102"/>
      <c r="AD587" s="107" t="str">
        <f aca="false">IF($B587="","",IF(ISNUMBER($T587),$T587,IF(OR(NOT(ISNUMBER($Q587)),$S587=""),"",IFERROR(IF(ISNUMBER(INDEX(Lists!$AJ$2:$AJ$7,MATCH($S587,Lists!$AI$2:$AI$7,0))),$Q587+INDEX(Lists!$AJ$2:$AJ$7,MATCH($S587,Lists!$AI$2:$AI$7,0)),""),""))))</f>
        <v/>
      </c>
      <c r="AE587" s="104" t="str">
        <f aca="true">IF($B587="","",IF(AND(ISNUMBER($AD587),N($AD587)&lt;TODAY(),$N587&lt;&gt;"Done",$N587&lt;&gt;"Won't Fix",$N587&lt;&gt;"Duplicate"),"Yes","No"))</f>
        <v/>
      </c>
      <c r="AF587" s="101"/>
      <c r="AG587" s="108" t="str">
        <f aca="false">IF($AF587="","",IFERROR(VLOOKUP($AF587,'Application Portfolio'!$A$2:$B$1000,2,FALSE()),"Unknown App ID"))</f>
        <v/>
      </c>
      <c r="AH587" s="108" t="str">
        <f aca="false">IF(OR($B587="",$AF587=""),"",IFERROR(VLOOKUP($AF587,'Application Portfolio'!$A$2:$AB$1000,28,FALSE()),""))</f>
        <v/>
      </c>
    </row>
    <row r="588" customFormat="false" ht="15.75" hidden="false" customHeight="true" outlineLevel="0" collapsed="false">
      <c r="A588" s="100"/>
      <c r="B588" s="101"/>
      <c r="C588" s="101"/>
      <c r="D588" s="101"/>
      <c r="E588" s="101"/>
      <c r="F588" s="102"/>
      <c r="G588" s="102"/>
      <c r="H588" s="102"/>
      <c r="I588" s="102"/>
      <c r="J588" s="102"/>
      <c r="K588" s="102"/>
      <c r="L588" s="103" t="str">
        <f aca="false">IF(OR($B588="", $H588="", $I588="", $J588="", $K588=""),"",ROUND((VLOOKUP($H588,Lists!$E$2:$F$5,2,FALSE())*VLOOKUP($I588,Lists!$H$2:$I$4,2,FALSE())*VLOOKUP($J588,Lists!$K$2:$L$4,2,FALSE()))/VLOOKUP($K588,Lists!$N$2:$O$6,2,FALSE()),2))</f>
        <v/>
      </c>
      <c r="M588" s="104" t="str">
        <f aca="false">IF($B588="","",IF($AC588&lt;&gt;"",$AC588,IF($H588="Critical","P0",IF(NOT(ISNUMBER($L588)),"",IF($L588&gt;=Lists!$AM$2,"P0",IF($L588&gt;=Lists!$AM$3,"P1",IF($L588&gt;=Lists!$AM$4,"P2","P3")))))))</f>
        <v/>
      </c>
      <c r="N588" s="102"/>
      <c r="O588" s="101"/>
      <c r="P588" s="102"/>
      <c r="Q588" s="105"/>
      <c r="R588" s="106" t="str">
        <f aca="true">IF($Q588="","", TODAY()-$Q588)</f>
        <v/>
      </c>
      <c r="S588" s="102"/>
      <c r="T588" s="105"/>
      <c r="U588" s="105"/>
      <c r="V588" s="101"/>
      <c r="W588" s="101"/>
      <c r="X588" s="101"/>
      <c r="Y588" s="96"/>
      <c r="Z588" s="96"/>
      <c r="AA588" s="96"/>
      <c r="AC588" s="102"/>
      <c r="AD588" s="107" t="str">
        <f aca="false">IF($B588="","",IF(ISNUMBER($T588),$T588,IF(OR(NOT(ISNUMBER($Q588)),$S588=""),"",IFERROR(IF(ISNUMBER(INDEX(Lists!$AJ$2:$AJ$7,MATCH($S588,Lists!$AI$2:$AI$7,0))),$Q588+INDEX(Lists!$AJ$2:$AJ$7,MATCH($S588,Lists!$AI$2:$AI$7,0)),""),""))))</f>
        <v/>
      </c>
      <c r="AE588" s="104" t="str">
        <f aca="true">IF($B588="","",IF(AND(ISNUMBER($AD588),N($AD588)&lt;TODAY(),$N588&lt;&gt;"Done",$N588&lt;&gt;"Won't Fix",$N588&lt;&gt;"Duplicate"),"Yes","No"))</f>
        <v/>
      </c>
      <c r="AF588" s="101"/>
      <c r="AG588" s="108" t="str">
        <f aca="false">IF($AF588="","",IFERROR(VLOOKUP($AF588,'Application Portfolio'!$A$2:$B$1000,2,FALSE()),"Unknown App ID"))</f>
        <v/>
      </c>
      <c r="AH588" s="108" t="str">
        <f aca="false">IF(OR($B588="",$AF588=""),"",IFERROR(VLOOKUP($AF588,'Application Portfolio'!$A$2:$AB$1000,28,FALSE()),""))</f>
        <v/>
      </c>
    </row>
    <row r="589" customFormat="false" ht="15.75" hidden="false" customHeight="true" outlineLevel="0" collapsed="false">
      <c r="A589" s="100"/>
      <c r="B589" s="101"/>
      <c r="C589" s="101"/>
      <c r="D589" s="101"/>
      <c r="E589" s="101"/>
      <c r="F589" s="102"/>
      <c r="G589" s="102"/>
      <c r="H589" s="102"/>
      <c r="I589" s="102"/>
      <c r="J589" s="102"/>
      <c r="K589" s="102"/>
      <c r="L589" s="103" t="str">
        <f aca="false">IF(OR($B589="", $H589="", $I589="", $J589="", $K589=""),"",ROUND((VLOOKUP($H589,Lists!$E$2:$F$5,2,FALSE())*VLOOKUP($I589,Lists!$H$2:$I$4,2,FALSE())*VLOOKUP($J589,Lists!$K$2:$L$4,2,FALSE()))/VLOOKUP($K589,Lists!$N$2:$O$6,2,FALSE()),2))</f>
        <v/>
      </c>
      <c r="M589" s="104" t="str">
        <f aca="false">IF($B589="","",IF($AC589&lt;&gt;"",$AC589,IF($H589="Critical","P0",IF(NOT(ISNUMBER($L589)),"",IF($L589&gt;=Lists!$AM$2,"P0",IF($L589&gt;=Lists!$AM$3,"P1",IF($L589&gt;=Lists!$AM$4,"P2","P3")))))))</f>
        <v/>
      </c>
      <c r="N589" s="102"/>
      <c r="O589" s="101"/>
      <c r="P589" s="102"/>
      <c r="Q589" s="105"/>
      <c r="R589" s="106" t="str">
        <f aca="true">IF($Q589="","", TODAY()-$Q589)</f>
        <v/>
      </c>
      <c r="S589" s="102"/>
      <c r="T589" s="105"/>
      <c r="U589" s="105"/>
      <c r="V589" s="101"/>
      <c r="W589" s="101"/>
      <c r="X589" s="101"/>
      <c r="Y589" s="96"/>
      <c r="Z589" s="96"/>
      <c r="AA589" s="96"/>
      <c r="AC589" s="102"/>
      <c r="AD589" s="107" t="str">
        <f aca="false">IF($B589="","",IF(ISNUMBER($T589),$T589,IF(OR(NOT(ISNUMBER($Q589)),$S589=""),"",IFERROR(IF(ISNUMBER(INDEX(Lists!$AJ$2:$AJ$7,MATCH($S589,Lists!$AI$2:$AI$7,0))),$Q589+INDEX(Lists!$AJ$2:$AJ$7,MATCH($S589,Lists!$AI$2:$AI$7,0)),""),""))))</f>
        <v/>
      </c>
      <c r="AE589" s="104" t="str">
        <f aca="true">IF($B589="","",IF(AND(ISNUMBER($AD589),N($AD589)&lt;TODAY(),$N589&lt;&gt;"Done",$N589&lt;&gt;"Won't Fix",$N589&lt;&gt;"Duplicate"),"Yes","No"))</f>
        <v/>
      </c>
      <c r="AF589" s="101"/>
      <c r="AG589" s="108" t="str">
        <f aca="false">IF($AF589="","",IFERROR(VLOOKUP($AF589,'Application Portfolio'!$A$2:$B$1000,2,FALSE()),"Unknown App ID"))</f>
        <v/>
      </c>
      <c r="AH589" s="108" t="str">
        <f aca="false">IF(OR($B589="",$AF589=""),"",IFERROR(VLOOKUP($AF589,'Application Portfolio'!$A$2:$AB$1000,28,FALSE()),""))</f>
        <v/>
      </c>
    </row>
    <row r="590" customFormat="false" ht="15.75" hidden="false" customHeight="true" outlineLevel="0" collapsed="false">
      <c r="A590" s="100"/>
      <c r="B590" s="101"/>
      <c r="C590" s="101"/>
      <c r="D590" s="101"/>
      <c r="E590" s="101"/>
      <c r="F590" s="102"/>
      <c r="G590" s="102"/>
      <c r="H590" s="102"/>
      <c r="I590" s="102"/>
      <c r="J590" s="102"/>
      <c r="K590" s="102"/>
      <c r="L590" s="103" t="str">
        <f aca="false">IF(OR($B590="", $H590="", $I590="", $J590="", $K590=""),"",ROUND((VLOOKUP($H590,Lists!$E$2:$F$5,2,FALSE())*VLOOKUP($I590,Lists!$H$2:$I$4,2,FALSE())*VLOOKUP($J590,Lists!$K$2:$L$4,2,FALSE()))/VLOOKUP($K590,Lists!$N$2:$O$6,2,FALSE()),2))</f>
        <v/>
      </c>
      <c r="M590" s="104" t="str">
        <f aca="false">IF($B590="","",IF($AC590&lt;&gt;"",$AC590,IF($H590="Critical","P0",IF(NOT(ISNUMBER($L590)),"",IF($L590&gt;=Lists!$AM$2,"P0",IF($L590&gt;=Lists!$AM$3,"P1",IF($L590&gt;=Lists!$AM$4,"P2","P3")))))))</f>
        <v/>
      </c>
      <c r="N590" s="102"/>
      <c r="O590" s="101"/>
      <c r="P590" s="102"/>
      <c r="Q590" s="105"/>
      <c r="R590" s="106" t="str">
        <f aca="true">IF($Q590="","", TODAY()-$Q590)</f>
        <v/>
      </c>
      <c r="S590" s="102"/>
      <c r="T590" s="105"/>
      <c r="U590" s="105"/>
      <c r="V590" s="101"/>
      <c r="W590" s="101"/>
      <c r="X590" s="101"/>
      <c r="Y590" s="96"/>
      <c r="Z590" s="96"/>
      <c r="AA590" s="96"/>
      <c r="AC590" s="102"/>
      <c r="AD590" s="107" t="str">
        <f aca="false">IF($B590="","",IF(ISNUMBER($T590),$T590,IF(OR(NOT(ISNUMBER($Q590)),$S590=""),"",IFERROR(IF(ISNUMBER(INDEX(Lists!$AJ$2:$AJ$7,MATCH($S590,Lists!$AI$2:$AI$7,0))),$Q590+INDEX(Lists!$AJ$2:$AJ$7,MATCH($S590,Lists!$AI$2:$AI$7,0)),""),""))))</f>
        <v/>
      </c>
      <c r="AE590" s="104" t="str">
        <f aca="true">IF($B590="","",IF(AND(ISNUMBER($AD590),N($AD590)&lt;TODAY(),$N590&lt;&gt;"Done",$N590&lt;&gt;"Won't Fix",$N590&lt;&gt;"Duplicate"),"Yes","No"))</f>
        <v/>
      </c>
      <c r="AF590" s="101"/>
      <c r="AG590" s="108" t="str">
        <f aca="false">IF($AF590="","",IFERROR(VLOOKUP($AF590,'Application Portfolio'!$A$2:$B$1000,2,FALSE()),"Unknown App ID"))</f>
        <v/>
      </c>
      <c r="AH590" s="108" t="str">
        <f aca="false">IF(OR($B590="",$AF590=""),"",IFERROR(VLOOKUP($AF590,'Application Portfolio'!$A$2:$AB$1000,28,FALSE()),""))</f>
        <v/>
      </c>
    </row>
    <row r="591" customFormat="false" ht="15.75" hidden="false" customHeight="true" outlineLevel="0" collapsed="false">
      <c r="A591" s="100"/>
      <c r="B591" s="101"/>
      <c r="C591" s="101"/>
      <c r="D591" s="101"/>
      <c r="E591" s="101"/>
      <c r="F591" s="102"/>
      <c r="G591" s="102"/>
      <c r="H591" s="102"/>
      <c r="I591" s="102"/>
      <c r="J591" s="102"/>
      <c r="K591" s="102"/>
      <c r="L591" s="103" t="str">
        <f aca="false">IF(OR($B591="", $H591="", $I591="", $J591="", $K591=""),"",ROUND((VLOOKUP($H591,Lists!$E$2:$F$5,2,FALSE())*VLOOKUP($I591,Lists!$H$2:$I$4,2,FALSE())*VLOOKUP($J591,Lists!$K$2:$L$4,2,FALSE()))/VLOOKUP($K591,Lists!$N$2:$O$6,2,FALSE()),2))</f>
        <v/>
      </c>
      <c r="M591" s="104" t="str">
        <f aca="false">IF($B591="","",IF($AC591&lt;&gt;"",$AC591,IF($H591="Critical","P0",IF(NOT(ISNUMBER($L591)),"",IF($L591&gt;=Lists!$AM$2,"P0",IF($L591&gt;=Lists!$AM$3,"P1",IF($L591&gt;=Lists!$AM$4,"P2","P3")))))))</f>
        <v/>
      </c>
      <c r="N591" s="102"/>
      <c r="O591" s="101"/>
      <c r="P591" s="102"/>
      <c r="Q591" s="105"/>
      <c r="R591" s="106" t="str">
        <f aca="true">IF($Q591="","", TODAY()-$Q591)</f>
        <v/>
      </c>
      <c r="S591" s="102"/>
      <c r="T591" s="105"/>
      <c r="U591" s="105"/>
      <c r="V591" s="101"/>
      <c r="W591" s="101"/>
      <c r="X591" s="101"/>
      <c r="Y591" s="96"/>
      <c r="Z591" s="96"/>
      <c r="AA591" s="96"/>
      <c r="AC591" s="102"/>
      <c r="AD591" s="107" t="str">
        <f aca="false">IF($B591="","",IF(ISNUMBER($T591),$T591,IF(OR(NOT(ISNUMBER($Q591)),$S591=""),"",IFERROR(IF(ISNUMBER(INDEX(Lists!$AJ$2:$AJ$7,MATCH($S591,Lists!$AI$2:$AI$7,0))),$Q591+INDEX(Lists!$AJ$2:$AJ$7,MATCH($S591,Lists!$AI$2:$AI$7,0)),""),""))))</f>
        <v/>
      </c>
      <c r="AE591" s="104" t="str">
        <f aca="true">IF($B591="","",IF(AND(ISNUMBER($AD591),N($AD591)&lt;TODAY(),$N591&lt;&gt;"Done",$N591&lt;&gt;"Won't Fix",$N591&lt;&gt;"Duplicate"),"Yes","No"))</f>
        <v/>
      </c>
      <c r="AF591" s="101"/>
      <c r="AG591" s="108" t="str">
        <f aca="false">IF($AF591="","",IFERROR(VLOOKUP($AF591,'Application Portfolio'!$A$2:$B$1000,2,FALSE()),"Unknown App ID"))</f>
        <v/>
      </c>
      <c r="AH591" s="108" t="str">
        <f aca="false">IF(OR($B591="",$AF591=""),"",IFERROR(VLOOKUP($AF591,'Application Portfolio'!$A$2:$AB$1000,28,FALSE()),""))</f>
        <v/>
      </c>
    </row>
    <row r="592" customFormat="false" ht="15.75" hidden="false" customHeight="true" outlineLevel="0" collapsed="false">
      <c r="A592" s="100"/>
      <c r="B592" s="101"/>
      <c r="C592" s="101"/>
      <c r="D592" s="101"/>
      <c r="E592" s="101"/>
      <c r="F592" s="102"/>
      <c r="G592" s="102"/>
      <c r="H592" s="102"/>
      <c r="I592" s="102"/>
      <c r="J592" s="102"/>
      <c r="K592" s="102"/>
      <c r="L592" s="103" t="str">
        <f aca="false">IF(OR($B592="", $H592="", $I592="", $J592="", $K592=""),"",ROUND((VLOOKUP($H592,Lists!$E$2:$F$5,2,FALSE())*VLOOKUP($I592,Lists!$H$2:$I$4,2,FALSE())*VLOOKUP($J592,Lists!$K$2:$L$4,2,FALSE()))/VLOOKUP($K592,Lists!$N$2:$O$6,2,FALSE()),2))</f>
        <v/>
      </c>
      <c r="M592" s="104" t="str">
        <f aca="false">IF($B592="","",IF($AC592&lt;&gt;"",$AC592,IF($H592="Critical","P0",IF(NOT(ISNUMBER($L592)),"",IF($L592&gt;=Lists!$AM$2,"P0",IF($L592&gt;=Lists!$AM$3,"P1",IF($L592&gt;=Lists!$AM$4,"P2","P3")))))))</f>
        <v/>
      </c>
      <c r="N592" s="102"/>
      <c r="O592" s="101"/>
      <c r="P592" s="102"/>
      <c r="Q592" s="105"/>
      <c r="R592" s="106" t="str">
        <f aca="true">IF($Q592="","", TODAY()-$Q592)</f>
        <v/>
      </c>
      <c r="S592" s="102"/>
      <c r="T592" s="105"/>
      <c r="U592" s="105"/>
      <c r="V592" s="101"/>
      <c r="W592" s="101"/>
      <c r="X592" s="101"/>
      <c r="Y592" s="96"/>
      <c r="Z592" s="96"/>
      <c r="AA592" s="96"/>
      <c r="AC592" s="102"/>
      <c r="AD592" s="107" t="str">
        <f aca="false">IF($B592="","",IF(ISNUMBER($T592),$T592,IF(OR(NOT(ISNUMBER($Q592)),$S592=""),"",IFERROR(IF(ISNUMBER(INDEX(Lists!$AJ$2:$AJ$7,MATCH($S592,Lists!$AI$2:$AI$7,0))),$Q592+INDEX(Lists!$AJ$2:$AJ$7,MATCH($S592,Lists!$AI$2:$AI$7,0)),""),""))))</f>
        <v/>
      </c>
      <c r="AE592" s="104" t="str">
        <f aca="true">IF($B592="","",IF(AND(ISNUMBER($AD592),N($AD592)&lt;TODAY(),$N592&lt;&gt;"Done",$N592&lt;&gt;"Won't Fix",$N592&lt;&gt;"Duplicate"),"Yes","No"))</f>
        <v/>
      </c>
      <c r="AF592" s="101"/>
      <c r="AG592" s="108" t="str">
        <f aca="false">IF($AF592="","",IFERROR(VLOOKUP($AF592,'Application Portfolio'!$A$2:$B$1000,2,FALSE()),"Unknown App ID"))</f>
        <v/>
      </c>
      <c r="AH592" s="108" t="str">
        <f aca="false">IF(OR($B592="",$AF592=""),"",IFERROR(VLOOKUP($AF592,'Application Portfolio'!$A$2:$AB$1000,28,FALSE()),""))</f>
        <v/>
      </c>
    </row>
    <row r="593" customFormat="false" ht="15.75" hidden="false" customHeight="true" outlineLevel="0" collapsed="false">
      <c r="A593" s="100"/>
      <c r="B593" s="101"/>
      <c r="C593" s="101"/>
      <c r="D593" s="101"/>
      <c r="E593" s="101"/>
      <c r="F593" s="102"/>
      <c r="G593" s="102"/>
      <c r="H593" s="102"/>
      <c r="I593" s="102"/>
      <c r="J593" s="102"/>
      <c r="K593" s="102"/>
      <c r="L593" s="103" t="str">
        <f aca="false">IF(OR($B593="", $H593="", $I593="", $J593="", $K593=""),"",ROUND((VLOOKUP($H593,Lists!$E$2:$F$5,2,FALSE())*VLOOKUP($I593,Lists!$H$2:$I$4,2,FALSE())*VLOOKUP($J593,Lists!$K$2:$L$4,2,FALSE()))/VLOOKUP($K593,Lists!$N$2:$O$6,2,FALSE()),2))</f>
        <v/>
      </c>
      <c r="M593" s="104" t="str">
        <f aca="false">IF($B593="","",IF($AC593&lt;&gt;"",$AC593,IF($H593="Critical","P0",IF(NOT(ISNUMBER($L593)),"",IF($L593&gt;=Lists!$AM$2,"P0",IF($L593&gt;=Lists!$AM$3,"P1",IF($L593&gt;=Lists!$AM$4,"P2","P3")))))))</f>
        <v/>
      </c>
      <c r="N593" s="102"/>
      <c r="O593" s="101"/>
      <c r="P593" s="102"/>
      <c r="Q593" s="105"/>
      <c r="R593" s="106" t="str">
        <f aca="true">IF($Q593="","", TODAY()-$Q593)</f>
        <v/>
      </c>
      <c r="S593" s="102"/>
      <c r="T593" s="105"/>
      <c r="U593" s="105"/>
      <c r="V593" s="101"/>
      <c r="W593" s="101"/>
      <c r="X593" s="101"/>
      <c r="Y593" s="96"/>
      <c r="Z593" s="96"/>
      <c r="AA593" s="96"/>
      <c r="AC593" s="102"/>
      <c r="AD593" s="107" t="str">
        <f aca="false">IF($B593="","",IF(ISNUMBER($T593),$T593,IF(OR(NOT(ISNUMBER($Q593)),$S593=""),"",IFERROR(IF(ISNUMBER(INDEX(Lists!$AJ$2:$AJ$7,MATCH($S593,Lists!$AI$2:$AI$7,0))),$Q593+INDEX(Lists!$AJ$2:$AJ$7,MATCH($S593,Lists!$AI$2:$AI$7,0)),""),""))))</f>
        <v/>
      </c>
      <c r="AE593" s="104" t="str">
        <f aca="true">IF($B593="","",IF(AND(ISNUMBER($AD593),N($AD593)&lt;TODAY(),$N593&lt;&gt;"Done",$N593&lt;&gt;"Won't Fix",$N593&lt;&gt;"Duplicate"),"Yes","No"))</f>
        <v/>
      </c>
      <c r="AF593" s="101"/>
      <c r="AG593" s="108" t="str">
        <f aca="false">IF($AF593="","",IFERROR(VLOOKUP($AF593,'Application Portfolio'!$A$2:$B$1000,2,FALSE()),"Unknown App ID"))</f>
        <v/>
      </c>
      <c r="AH593" s="108" t="str">
        <f aca="false">IF(OR($B593="",$AF593=""),"",IFERROR(VLOOKUP($AF593,'Application Portfolio'!$A$2:$AB$1000,28,FALSE()),""))</f>
        <v/>
      </c>
    </row>
    <row r="594" customFormat="false" ht="15.75" hidden="false" customHeight="true" outlineLevel="0" collapsed="false">
      <c r="A594" s="100"/>
      <c r="B594" s="101"/>
      <c r="C594" s="101"/>
      <c r="D594" s="101"/>
      <c r="E594" s="101"/>
      <c r="F594" s="102"/>
      <c r="G594" s="102"/>
      <c r="H594" s="102"/>
      <c r="I594" s="102"/>
      <c r="J594" s="102"/>
      <c r="K594" s="102"/>
      <c r="L594" s="103" t="str">
        <f aca="false">IF(OR($B594="", $H594="", $I594="", $J594="", $K594=""),"",ROUND((VLOOKUP($H594,Lists!$E$2:$F$5,2,FALSE())*VLOOKUP($I594,Lists!$H$2:$I$4,2,FALSE())*VLOOKUP($J594,Lists!$K$2:$L$4,2,FALSE()))/VLOOKUP($K594,Lists!$N$2:$O$6,2,FALSE()),2))</f>
        <v/>
      </c>
      <c r="M594" s="104" t="str">
        <f aca="false">IF($B594="","",IF($AC594&lt;&gt;"",$AC594,IF($H594="Critical","P0",IF(NOT(ISNUMBER($L594)),"",IF($L594&gt;=Lists!$AM$2,"P0",IF($L594&gt;=Lists!$AM$3,"P1",IF($L594&gt;=Lists!$AM$4,"P2","P3")))))))</f>
        <v/>
      </c>
      <c r="N594" s="102"/>
      <c r="O594" s="101"/>
      <c r="P594" s="102"/>
      <c r="Q594" s="105"/>
      <c r="R594" s="106" t="str">
        <f aca="true">IF($Q594="","", TODAY()-$Q594)</f>
        <v/>
      </c>
      <c r="S594" s="102"/>
      <c r="T594" s="105"/>
      <c r="U594" s="105"/>
      <c r="V594" s="101"/>
      <c r="W594" s="101"/>
      <c r="X594" s="101"/>
      <c r="Y594" s="96"/>
      <c r="Z594" s="96"/>
      <c r="AA594" s="96"/>
      <c r="AC594" s="102"/>
      <c r="AD594" s="107" t="str">
        <f aca="false">IF($B594="","",IF(ISNUMBER($T594),$T594,IF(OR(NOT(ISNUMBER($Q594)),$S594=""),"",IFERROR(IF(ISNUMBER(INDEX(Lists!$AJ$2:$AJ$7,MATCH($S594,Lists!$AI$2:$AI$7,0))),$Q594+INDEX(Lists!$AJ$2:$AJ$7,MATCH($S594,Lists!$AI$2:$AI$7,0)),""),""))))</f>
        <v/>
      </c>
      <c r="AE594" s="104" t="str">
        <f aca="true">IF($B594="","",IF(AND(ISNUMBER($AD594),N($AD594)&lt;TODAY(),$N594&lt;&gt;"Done",$N594&lt;&gt;"Won't Fix",$N594&lt;&gt;"Duplicate"),"Yes","No"))</f>
        <v/>
      </c>
      <c r="AF594" s="101"/>
      <c r="AG594" s="108" t="str">
        <f aca="false">IF($AF594="","",IFERROR(VLOOKUP($AF594,'Application Portfolio'!$A$2:$B$1000,2,FALSE()),"Unknown App ID"))</f>
        <v/>
      </c>
      <c r="AH594" s="108" t="str">
        <f aca="false">IF(OR($B594="",$AF594=""),"",IFERROR(VLOOKUP($AF594,'Application Portfolio'!$A$2:$AB$1000,28,FALSE()),""))</f>
        <v/>
      </c>
    </row>
    <row r="595" customFormat="false" ht="15.75" hidden="false" customHeight="true" outlineLevel="0" collapsed="false">
      <c r="A595" s="100"/>
      <c r="B595" s="101"/>
      <c r="C595" s="101"/>
      <c r="D595" s="101"/>
      <c r="E595" s="101"/>
      <c r="F595" s="102"/>
      <c r="G595" s="102"/>
      <c r="H595" s="102"/>
      <c r="I595" s="102"/>
      <c r="J595" s="102"/>
      <c r="K595" s="102"/>
      <c r="L595" s="103" t="str">
        <f aca="false">IF(OR($B595="", $H595="", $I595="", $J595="", $K595=""),"",ROUND((VLOOKUP($H595,Lists!$E$2:$F$5,2,FALSE())*VLOOKUP($I595,Lists!$H$2:$I$4,2,FALSE())*VLOOKUP($J595,Lists!$K$2:$L$4,2,FALSE()))/VLOOKUP($K595,Lists!$N$2:$O$6,2,FALSE()),2))</f>
        <v/>
      </c>
      <c r="M595" s="104" t="str">
        <f aca="false">IF($B595="","",IF($AC595&lt;&gt;"",$AC595,IF($H595="Critical","P0",IF(NOT(ISNUMBER($L595)),"",IF($L595&gt;=Lists!$AM$2,"P0",IF($L595&gt;=Lists!$AM$3,"P1",IF($L595&gt;=Lists!$AM$4,"P2","P3")))))))</f>
        <v/>
      </c>
      <c r="N595" s="102"/>
      <c r="O595" s="101"/>
      <c r="P595" s="102"/>
      <c r="Q595" s="105"/>
      <c r="R595" s="106" t="str">
        <f aca="true">IF($Q595="","", TODAY()-$Q595)</f>
        <v/>
      </c>
      <c r="S595" s="102"/>
      <c r="T595" s="105"/>
      <c r="U595" s="105"/>
      <c r="V595" s="101"/>
      <c r="W595" s="101"/>
      <c r="X595" s="101"/>
      <c r="Y595" s="96"/>
      <c r="Z595" s="96"/>
      <c r="AA595" s="96"/>
      <c r="AC595" s="102"/>
      <c r="AD595" s="107" t="str">
        <f aca="false">IF($B595="","",IF(ISNUMBER($T595),$T595,IF(OR(NOT(ISNUMBER($Q595)),$S595=""),"",IFERROR(IF(ISNUMBER(INDEX(Lists!$AJ$2:$AJ$7,MATCH($S595,Lists!$AI$2:$AI$7,0))),$Q595+INDEX(Lists!$AJ$2:$AJ$7,MATCH($S595,Lists!$AI$2:$AI$7,0)),""),""))))</f>
        <v/>
      </c>
      <c r="AE595" s="104" t="str">
        <f aca="true">IF($B595="","",IF(AND(ISNUMBER($AD595),N($AD595)&lt;TODAY(),$N595&lt;&gt;"Done",$N595&lt;&gt;"Won't Fix",$N595&lt;&gt;"Duplicate"),"Yes","No"))</f>
        <v/>
      </c>
      <c r="AF595" s="101"/>
      <c r="AG595" s="108" t="str">
        <f aca="false">IF($AF595="","",IFERROR(VLOOKUP($AF595,'Application Portfolio'!$A$2:$B$1000,2,FALSE()),"Unknown App ID"))</f>
        <v/>
      </c>
      <c r="AH595" s="108" t="str">
        <f aca="false">IF(OR($B595="",$AF595=""),"",IFERROR(VLOOKUP($AF595,'Application Portfolio'!$A$2:$AB$1000,28,FALSE()),""))</f>
        <v/>
      </c>
    </row>
    <row r="596" customFormat="false" ht="15.75" hidden="false" customHeight="true" outlineLevel="0" collapsed="false">
      <c r="A596" s="100"/>
      <c r="B596" s="101"/>
      <c r="C596" s="101"/>
      <c r="D596" s="101"/>
      <c r="E596" s="101"/>
      <c r="F596" s="102"/>
      <c r="G596" s="102"/>
      <c r="H596" s="102"/>
      <c r="I596" s="102"/>
      <c r="J596" s="102"/>
      <c r="K596" s="102"/>
      <c r="L596" s="103" t="str">
        <f aca="false">IF(OR($B596="", $H596="", $I596="", $J596="", $K596=""),"",ROUND((VLOOKUP($H596,Lists!$E$2:$F$5,2,FALSE())*VLOOKUP($I596,Lists!$H$2:$I$4,2,FALSE())*VLOOKUP($J596,Lists!$K$2:$L$4,2,FALSE()))/VLOOKUP($K596,Lists!$N$2:$O$6,2,FALSE()),2))</f>
        <v/>
      </c>
      <c r="M596" s="104" t="str">
        <f aca="false">IF($B596="","",IF($AC596&lt;&gt;"",$AC596,IF($H596="Critical","P0",IF(NOT(ISNUMBER($L596)),"",IF($L596&gt;=Lists!$AM$2,"P0",IF($L596&gt;=Lists!$AM$3,"P1",IF($L596&gt;=Lists!$AM$4,"P2","P3")))))))</f>
        <v/>
      </c>
      <c r="N596" s="102"/>
      <c r="O596" s="101"/>
      <c r="P596" s="102"/>
      <c r="Q596" s="105"/>
      <c r="R596" s="106" t="str">
        <f aca="true">IF($Q596="","", TODAY()-$Q596)</f>
        <v/>
      </c>
      <c r="S596" s="102"/>
      <c r="T596" s="105"/>
      <c r="U596" s="105"/>
      <c r="V596" s="101"/>
      <c r="W596" s="101"/>
      <c r="X596" s="101"/>
      <c r="Y596" s="96"/>
      <c r="Z596" s="96"/>
      <c r="AA596" s="96"/>
      <c r="AC596" s="102"/>
      <c r="AD596" s="107" t="str">
        <f aca="false">IF($B596="","",IF(ISNUMBER($T596),$T596,IF(OR(NOT(ISNUMBER($Q596)),$S596=""),"",IFERROR(IF(ISNUMBER(INDEX(Lists!$AJ$2:$AJ$7,MATCH($S596,Lists!$AI$2:$AI$7,0))),$Q596+INDEX(Lists!$AJ$2:$AJ$7,MATCH($S596,Lists!$AI$2:$AI$7,0)),""),""))))</f>
        <v/>
      </c>
      <c r="AE596" s="104" t="str">
        <f aca="true">IF($B596="","",IF(AND(ISNUMBER($AD596),N($AD596)&lt;TODAY(),$N596&lt;&gt;"Done",$N596&lt;&gt;"Won't Fix",$N596&lt;&gt;"Duplicate"),"Yes","No"))</f>
        <v/>
      </c>
      <c r="AF596" s="101"/>
      <c r="AG596" s="108" t="str">
        <f aca="false">IF($AF596="","",IFERROR(VLOOKUP($AF596,'Application Portfolio'!$A$2:$B$1000,2,FALSE()),"Unknown App ID"))</f>
        <v/>
      </c>
      <c r="AH596" s="108" t="str">
        <f aca="false">IF(OR($B596="",$AF596=""),"",IFERROR(VLOOKUP($AF596,'Application Portfolio'!$A$2:$AB$1000,28,FALSE()),""))</f>
        <v/>
      </c>
    </row>
    <row r="597" customFormat="false" ht="15.75" hidden="false" customHeight="true" outlineLevel="0" collapsed="false">
      <c r="A597" s="100"/>
      <c r="B597" s="101"/>
      <c r="C597" s="101"/>
      <c r="D597" s="101"/>
      <c r="E597" s="101"/>
      <c r="F597" s="102"/>
      <c r="G597" s="102"/>
      <c r="H597" s="102"/>
      <c r="I597" s="102"/>
      <c r="J597" s="102"/>
      <c r="K597" s="102"/>
      <c r="L597" s="103" t="str">
        <f aca="false">IF(OR($B597="", $H597="", $I597="", $J597="", $K597=""),"",ROUND((VLOOKUP($H597,Lists!$E$2:$F$5,2,FALSE())*VLOOKUP($I597,Lists!$H$2:$I$4,2,FALSE())*VLOOKUP($J597,Lists!$K$2:$L$4,2,FALSE()))/VLOOKUP($K597,Lists!$N$2:$O$6,2,FALSE()),2))</f>
        <v/>
      </c>
      <c r="M597" s="104" t="str">
        <f aca="false">IF($B597="","",IF($AC597&lt;&gt;"",$AC597,IF($H597="Critical","P0",IF(NOT(ISNUMBER($L597)),"",IF($L597&gt;=Lists!$AM$2,"P0",IF($L597&gt;=Lists!$AM$3,"P1",IF($L597&gt;=Lists!$AM$4,"P2","P3")))))))</f>
        <v/>
      </c>
      <c r="N597" s="102"/>
      <c r="O597" s="101"/>
      <c r="P597" s="102"/>
      <c r="Q597" s="105"/>
      <c r="R597" s="106" t="str">
        <f aca="true">IF($Q597="","", TODAY()-$Q597)</f>
        <v/>
      </c>
      <c r="S597" s="102"/>
      <c r="T597" s="105"/>
      <c r="U597" s="105"/>
      <c r="V597" s="101"/>
      <c r="W597" s="101"/>
      <c r="X597" s="101"/>
      <c r="Y597" s="96"/>
      <c r="Z597" s="96"/>
      <c r="AA597" s="96"/>
      <c r="AC597" s="102"/>
      <c r="AD597" s="107" t="str">
        <f aca="false">IF($B597="","",IF(ISNUMBER($T597),$T597,IF(OR(NOT(ISNUMBER($Q597)),$S597=""),"",IFERROR(IF(ISNUMBER(INDEX(Lists!$AJ$2:$AJ$7,MATCH($S597,Lists!$AI$2:$AI$7,0))),$Q597+INDEX(Lists!$AJ$2:$AJ$7,MATCH($S597,Lists!$AI$2:$AI$7,0)),""),""))))</f>
        <v/>
      </c>
      <c r="AE597" s="104" t="str">
        <f aca="true">IF($B597="","",IF(AND(ISNUMBER($AD597),N($AD597)&lt;TODAY(),$N597&lt;&gt;"Done",$N597&lt;&gt;"Won't Fix",$N597&lt;&gt;"Duplicate"),"Yes","No"))</f>
        <v/>
      </c>
      <c r="AF597" s="101"/>
      <c r="AG597" s="108" t="str">
        <f aca="false">IF($AF597="","",IFERROR(VLOOKUP($AF597,'Application Portfolio'!$A$2:$B$1000,2,FALSE()),"Unknown App ID"))</f>
        <v/>
      </c>
      <c r="AH597" s="108" t="str">
        <f aca="false">IF(OR($B597="",$AF597=""),"",IFERROR(VLOOKUP($AF597,'Application Portfolio'!$A$2:$AB$1000,28,FALSE()),""))</f>
        <v/>
      </c>
    </row>
    <row r="598" customFormat="false" ht="15.75" hidden="false" customHeight="true" outlineLevel="0" collapsed="false">
      <c r="A598" s="100"/>
      <c r="B598" s="101"/>
      <c r="C598" s="101"/>
      <c r="D598" s="101"/>
      <c r="E598" s="101"/>
      <c r="F598" s="102"/>
      <c r="G598" s="102"/>
      <c r="H598" s="102"/>
      <c r="I598" s="102"/>
      <c r="J598" s="102"/>
      <c r="K598" s="102"/>
      <c r="L598" s="103" t="str">
        <f aca="false">IF(OR($B598="", $H598="", $I598="", $J598="", $K598=""),"",ROUND((VLOOKUP($H598,Lists!$E$2:$F$5,2,FALSE())*VLOOKUP($I598,Lists!$H$2:$I$4,2,FALSE())*VLOOKUP($J598,Lists!$K$2:$L$4,2,FALSE()))/VLOOKUP($K598,Lists!$N$2:$O$6,2,FALSE()),2))</f>
        <v/>
      </c>
      <c r="M598" s="104" t="str">
        <f aca="false">IF($B598="","",IF($AC598&lt;&gt;"",$AC598,IF($H598="Critical","P0",IF(NOT(ISNUMBER($L598)),"",IF($L598&gt;=Lists!$AM$2,"P0",IF($L598&gt;=Lists!$AM$3,"P1",IF($L598&gt;=Lists!$AM$4,"P2","P3")))))))</f>
        <v/>
      </c>
      <c r="N598" s="102"/>
      <c r="O598" s="101"/>
      <c r="P598" s="102"/>
      <c r="Q598" s="105"/>
      <c r="R598" s="106" t="str">
        <f aca="true">IF($Q598="","", TODAY()-$Q598)</f>
        <v/>
      </c>
      <c r="S598" s="102"/>
      <c r="T598" s="105"/>
      <c r="U598" s="105"/>
      <c r="V598" s="101"/>
      <c r="W598" s="101"/>
      <c r="X598" s="101"/>
      <c r="Y598" s="96"/>
      <c r="Z598" s="96"/>
      <c r="AA598" s="96"/>
      <c r="AC598" s="102"/>
      <c r="AD598" s="107" t="str">
        <f aca="false">IF($B598="","",IF(ISNUMBER($T598),$T598,IF(OR(NOT(ISNUMBER($Q598)),$S598=""),"",IFERROR(IF(ISNUMBER(INDEX(Lists!$AJ$2:$AJ$7,MATCH($S598,Lists!$AI$2:$AI$7,0))),$Q598+INDEX(Lists!$AJ$2:$AJ$7,MATCH($S598,Lists!$AI$2:$AI$7,0)),""),""))))</f>
        <v/>
      </c>
      <c r="AE598" s="104" t="str">
        <f aca="true">IF($B598="","",IF(AND(ISNUMBER($AD598),N($AD598)&lt;TODAY(),$N598&lt;&gt;"Done",$N598&lt;&gt;"Won't Fix",$N598&lt;&gt;"Duplicate"),"Yes","No"))</f>
        <v/>
      </c>
      <c r="AF598" s="101"/>
      <c r="AG598" s="108" t="str">
        <f aca="false">IF($AF598="","",IFERROR(VLOOKUP($AF598,'Application Portfolio'!$A$2:$B$1000,2,FALSE()),"Unknown App ID"))</f>
        <v/>
      </c>
      <c r="AH598" s="108" t="str">
        <f aca="false">IF(OR($B598="",$AF598=""),"",IFERROR(VLOOKUP($AF598,'Application Portfolio'!$A$2:$AB$1000,28,FALSE()),""))</f>
        <v/>
      </c>
    </row>
    <row r="599" customFormat="false" ht="15.75" hidden="false" customHeight="true" outlineLevel="0" collapsed="false">
      <c r="A599" s="100"/>
      <c r="B599" s="101"/>
      <c r="C599" s="101"/>
      <c r="D599" s="101"/>
      <c r="E599" s="101"/>
      <c r="F599" s="102"/>
      <c r="G599" s="102"/>
      <c r="H599" s="102"/>
      <c r="I599" s="102"/>
      <c r="J599" s="102"/>
      <c r="K599" s="102"/>
      <c r="L599" s="103" t="str">
        <f aca="false">IF(OR($B599="", $H599="", $I599="", $J599="", $K599=""),"",ROUND((VLOOKUP($H599,Lists!$E$2:$F$5,2,FALSE())*VLOOKUP($I599,Lists!$H$2:$I$4,2,FALSE())*VLOOKUP($J599,Lists!$K$2:$L$4,2,FALSE()))/VLOOKUP($K599,Lists!$N$2:$O$6,2,FALSE()),2))</f>
        <v/>
      </c>
      <c r="M599" s="104" t="str">
        <f aca="false">IF($B599="","",IF($AC599&lt;&gt;"",$AC599,IF($H599="Critical","P0",IF(NOT(ISNUMBER($L599)),"",IF($L599&gt;=Lists!$AM$2,"P0",IF($L599&gt;=Lists!$AM$3,"P1",IF($L599&gt;=Lists!$AM$4,"P2","P3")))))))</f>
        <v/>
      </c>
      <c r="N599" s="102"/>
      <c r="O599" s="101"/>
      <c r="P599" s="102"/>
      <c r="Q599" s="105"/>
      <c r="R599" s="106" t="str">
        <f aca="true">IF($Q599="","", TODAY()-$Q599)</f>
        <v/>
      </c>
      <c r="S599" s="102"/>
      <c r="T599" s="105"/>
      <c r="U599" s="105"/>
      <c r="V599" s="101"/>
      <c r="W599" s="101"/>
      <c r="X599" s="101"/>
      <c r="Y599" s="96"/>
      <c r="Z599" s="96"/>
      <c r="AA599" s="96"/>
      <c r="AC599" s="102"/>
      <c r="AD599" s="107" t="str">
        <f aca="false">IF($B599="","",IF(ISNUMBER($T599),$T599,IF(OR(NOT(ISNUMBER($Q599)),$S599=""),"",IFERROR(IF(ISNUMBER(INDEX(Lists!$AJ$2:$AJ$7,MATCH($S599,Lists!$AI$2:$AI$7,0))),$Q599+INDEX(Lists!$AJ$2:$AJ$7,MATCH($S599,Lists!$AI$2:$AI$7,0)),""),""))))</f>
        <v/>
      </c>
      <c r="AE599" s="104" t="str">
        <f aca="true">IF($B599="","",IF(AND(ISNUMBER($AD599),N($AD599)&lt;TODAY(),$N599&lt;&gt;"Done",$N599&lt;&gt;"Won't Fix",$N599&lt;&gt;"Duplicate"),"Yes","No"))</f>
        <v/>
      </c>
      <c r="AF599" s="101"/>
      <c r="AG599" s="108" t="str">
        <f aca="false">IF($AF599="","",IFERROR(VLOOKUP($AF599,'Application Portfolio'!$A$2:$B$1000,2,FALSE()),"Unknown App ID"))</f>
        <v/>
      </c>
      <c r="AH599" s="108" t="str">
        <f aca="false">IF(OR($B599="",$AF599=""),"",IFERROR(VLOOKUP($AF599,'Application Portfolio'!$A$2:$AB$1000,28,FALSE()),""))</f>
        <v/>
      </c>
    </row>
    <row r="600" customFormat="false" ht="15.75" hidden="false" customHeight="true" outlineLevel="0" collapsed="false">
      <c r="A600" s="100"/>
      <c r="B600" s="101"/>
      <c r="C600" s="101"/>
      <c r="D600" s="101"/>
      <c r="E600" s="101"/>
      <c r="F600" s="102"/>
      <c r="G600" s="102"/>
      <c r="H600" s="102"/>
      <c r="I600" s="102"/>
      <c r="J600" s="102"/>
      <c r="K600" s="102"/>
      <c r="L600" s="103" t="str">
        <f aca="false">IF(OR($B600="", $H600="", $I600="", $J600="", $K600=""),"",ROUND((VLOOKUP($H600,Lists!$E$2:$F$5,2,FALSE())*VLOOKUP($I600,Lists!$H$2:$I$4,2,FALSE())*VLOOKUP($J600,Lists!$K$2:$L$4,2,FALSE()))/VLOOKUP($K600,Lists!$N$2:$O$6,2,FALSE()),2))</f>
        <v/>
      </c>
      <c r="M600" s="104" t="str">
        <f aca="false">IF($B600="","",IF($AC600&lt;&gt;"",$AC600,IF($H600="Critical","P0",IF(NOT(ISNUMBER($L600)),"",IF($L600&gt;=Lists!$AM$2,"P0",IF($L600&gt;=Lists!$AM$3,"P1",IF($L600&gt;=Lists!$AM$4,"P2","P3")))))))</f>
        <v/>
      </c>
      <c r="N600" s="102"/>
      <c r="O600" s="101"/>
      <c r="P600" s="102"/>
      <c r="Q600" s="105"/>
      <c r="R600" s="106" t="str">
        <f aca="true">IF($Q600="","", TODAY()-$Q600)</f>
        <v/>
      </c>
      <c r="S600" s="102"/>
      <c r="T600" s="105"/>
      <c r="U600" s="105"/>
      <c r="V600" s="101"/>
      <c r="W600" s="101"/>
      <c r="X600" s="101"/>
      <c r="Y600" s="96"/>
      <c r="Z600" s="96"/>
      <c r="AA600" s="96"/>
      <c r="AC600" s="102"/>
      <c r="AD600" s="107" t="str">
        <f aca="false">IF($B600="","",IF(ISNUMBER($T600),$T600,IF(OR(NOT(ISNUMBER($Q600)),$S600=""),"",IFERROR(IF(ISNUMBER(INDEX(Lists!$AJ$2:$AJ$7,MATCH($S600,Lists!$AI$2:$AI$7,0))),$Q600+INDEX(Lists!$AJ$2:$AJ$7,MATCH($S600,Lists!$AI$2:$AI$7,0)),""),""))))</f>
        <v/>
      </c>
      <c r="AE600" s="104" t="str">
        <f aca="true">IF($B600="","",IF(AND(ISNUMBER($AD600),N($AD600)&lt;TODAY(),$N600&lt;&gt;"Done",$N600&lt;&gt;"Won't Fix",$N600&lt;&gt;"Duplicate"),"Yes","No"))</f>
        <v/>
      </c>
      <c r="AF600" s="101"/>
      <c r="AG600" s="108" t="str">
        <f aca="false">IF($AF600="","",IFERROR(VLOOKUP($AF600,'Application Portfolio'!$A$2:$B$1000,2,FALSE()),"Unknown App ID"))</f>
        <v/>
      </c>
      <c r="AH600" s="108" t="str">
        <f aca="false">IF(OR($B600="",$AF600=""),"",IFERROR(VLOOKUP($AF600,'Application Portfolio'!$A$2:$AB$1000,28,FALSE()),""))</f>
        <v/>
      </c>
    </row>
    <row r="601" customFormat="false" ht="15.75" hidden="false" customHeight="true" outlineLevel="0" collapsed="false">
      <c r="A601" s="100"/>
      <c r="B601" s="101"/>
      <c r="C601" s="101"/>
      <c r="D601" s="101"/>
      <c r="E601" s="101"/>
      <c r="F601" s="102"/>
      <c r="G601" s="102"/>
      <c r="H601" s="102"/>
      <c r="I601" s="102"/>
      <c r="J601" s="102"/>
      <c r="K601" s="102"/>
      <c r="L601" s="103" t="str">
        <f aca="false">IF(OR($B601="", $H601="", $I601="", $J601="", $K601=""),"",ROUND((VLOOKUP($H601,Lists!$E$2:$F$5,2,FALSE())*VLOOKUP($I601,Lists!$H$2:$I$4,2,FALSE())*VLOOKUP($J601,Lists!$K$2:$L$4,2,FALSE()))/VLOOKUP($K601,Lists!$N$2:$O$6,2,FALSE()),2))</f>
        <v/>
      </c>
      <c r="M601" s="104" t="str">
        <f aca="false">IF($B601="","",IF($AC601&lt;&gt;"",$AC601,IF($H601="Critical","P0",IF(NOT(ISNUMBER($L601)),"",IF($L601&gt;=Lists!$AM$2,"P0",IF($L601&gt;=Lists!$AM$3,"P1",IF($L601&gt;=Lists!$AM$4,"P2","P3")))))))</f>
        <v/>
      </c>
      <c r="N601" s="102"/>
      <c r="O601" s="101"/>
      <c r="P601" s="102"/>
      <c r="Q601" s="105"/>
      <c r="R601" s="106" t="str">
        <f aca="true">IF($Q601="","", TODAY()-$Q601)</f>
        <v/>
      </c>
      <c r="S601" s="102"/>
      <c r="T601" s="105"/>
      <c r="U601" s="105"/>
      <c r="V601" s="101"/>
      <c r="W601" s="101"/>
      <c r="X601" s="101"/>
      <c r="Y601" s="96"/>
      <c r="Z601" s="96"/>
      <c r="AA601" s="96"/>
      <c r="AC601" s="102"/>
      <c r="AD601" s="107" t="str">
        <f aca="false">IF($B601="","",IF(ISNUMBER($T601),$T601,IF(OR(NOT(ISNUMBER($Q601)),$S601=""),"",IFERROR(IF(ISNUMBER(INDEX(Lists!$AJ$2:$AJ$7,MATCH($S601,Lists!$AI$2:$AI$7,0))),$Q601+INDEX(Lists!$AJ$2:$AJ$7,MATCH($S601,Lists!$AI$2:$AI$7,0)),""),""))))</f>
        <v/>
      </c>
      <c r="AE601" s="104" t="str">
        <f aca="true">IF($B601="","",IF(AND(ISNUMBER($AD601),N($AD601)&lt;TODAY(),$N601&lt;&gt;"Done",$N601&lt;&gt;"Won't Fix",$N601&lt;&gt;"Duplicate"),"Yes","No"))</f>
        <v/>
      </c>
      <c r="AF601" s="101"/>
      <c r="AG601" s="108" t="str">
        <f aca="false">IF($AF601="","",IFERROR(VLOOKUP($AF601,'Application Portfolio'!$A$2:$B$1000,2,FALSE()),"Unknown App ID"))</f>
        <v/>
      </c>
      <c r="AH601" s="108" t="str">
        <f aca="false">IF(OR($B601="",$AF601=""),"",IFERROR(VLOOKUP($AF601,'Application Portfolio'!$A$2:$AB$1000,28,FALSE()),""))</f>
        <v/>
      </c>
    </row>
    <row r="602" customFormat="false" ht="15.75" hidden="false" customHeight="true" outlineLevel="0" collapsed="false">
      <c r="A602" s="100"/>
      <c r="B602" s="101"/>
      <c r="C602" s="101"/>
      <c r="D602" s="101"/>
      <c r="E602" s="101"/>
      <c r="F602" s="102"/>
      <c r="G602" s="102"/>
      <c r="H602" s="102"/>
      <c r="I602" s="102"/>
      <c r="J602" s="102"/>
      <c r="K602" s="102"/>
      <c r="L602" s="103" t="str">
        <f aca="false">IF(OR($B602="", $H602="", $I602="", $J602="", $K602=""),"",ROUND((VLOOKUP($H602,Lists!$E$2:$F$5,2,FALSE())*VLOOKUP($I602,Lists!$H$2:$I$4,2,FALSE())*VLOOKUP($J602,Lists!$K$2:$L$4,2,FALSE()))/VLOOKUP($K602,Lists!$N$2:$O$6,2,FALSE()),2))</f>
        <v/>
      </c>
      <c r="M602" s="104" t="str">
        <f aca="false">IF($B602="","",IF($AC602&lt;&gt;"",$AC602,IF($H602="Critical","P0",IF(NOT(ISNUMBER($L602)),"",IF($L602&gt;=Lists!$AM$2,"P0",IF($L602&gt;=Lists!$AM$3,"P1",IF($L602&gt;=Lists!$AM$4,"P2","P3")))))))</f>
        <v/>
      </c>
      <c r="N602" s="102"/>
      <c r="O602" s="101"/>
      <c r="P602" s="102"/>
      <c r="Q602" s="105"/>
      <c r="R602" s="106" t="str">
        <f aca="true">IF($Q602="","", TODAY()-$Q602)</f>
        <v/>
      </c>
      <c r="S602" s="102"/>
      <c r="T602" s="105"/>
      <c r="U602" s="105"/>
      <c r="V602" s="101"/>
      <c r="W602" s="101"/>
      <c r="X602" s="101"/>
      <c r="Y602" s="96"/>
      <c r="Z602" s="96"/>
      <c r="AA602" s="96"/>
      <c r="AC602" s="102"/>
      <c r="AD602" s="107" t="str">
        <f aca="false">IF($B602="","",IF(ISNUMBER($T602),$T602,IF(OR(NOT(ISNUMBER($Q602)),$S602=""),"",IFERROR(IF(ISNUMBER(INDEX(Lists!$AJ$2:$AJ$7,MATCH($S602,Lists!$AI$2:$AI$7,0))),$Q602+INDEX(Lists!$AJ$2:$AJ$7,MATCH($S602,Lists!$AI$2:$AI$7,0)),""),""))))</f>
        <v/>
      </c>
      <c r="AE602" s="104" t="str">
        <f aca="true">IF($B602="","",IF(AND(ISNUMBER($AD602),N($AD602)&lt;TODAY(),$N602&lt;&gt;"Done",$N602&lt;&gt;"Won't Fix",$N602&lt;&gt;"Duplicate"),"Yes","No"))</f>
        <v/>
      </c>
      <c r="AF602" s="101"/>
      <c r="AG602" s="108" t="str">
        <f aca="false">IF($AF602="","",IFERROR(VLOOKUP($AF602,'Application Portfolio'!$A$2:$B$1000,2,FALSE()),"Unknown App ID"))</f>
        <v/>
      </c>
      <c r="AH602" s="108" t="str">
        <f aca="false">IF(OR($B602="",$AF602=""),"",IFERROR(VLOOKUP($AF602,'Application Portfolio'!$A$2:$AB$1000,28,FALSE()),""))</f>
        <v/>
      </c>
    </row>
    <row r="603" customFormat="false" ht="15.75" hidden="false" customHeight="true" outlineLevel="0" collapsed="false">
      <c r="A603" s="100"/>
      <c r="B603" s="101"/>
      <c r="C603" s="101"/>
      <c r="D603" s="101"/>
      <c r="E603" s="101"/>
      <c r="F603" s="102"/>
      <c r="G603" s="102"/>
      <c r="H603" s="102"/>
      <c r="I603" s="102"/>
      <c r="J603" s="102"/>
      <c r="K603" s="102"/>
      <c r="L603" s="103" t="str">
        <f aca="false">IF(OR($B603="", $H603="", $I603="", $J603="", $K603=""),"",ROUND((VLOOKUP($H603,Lists!$E$2:$F$5,2,FALSE())*VLOOKUP($I603,Lists!$H$2:$I$4,2,FALSE())*VLOOKUP($J603,Lists!$K$2:$L$4,2,FALSE()))/VLOOKUP($K603,Lists!$N$2:$O$6,2,FALSE()),2))</f>
        <v/>
      </c>
      <c r="M603" s="104" t="str">
        <f aca="false">IF($B603="","",IF($AC603&lt;&gt;"",$AC603,IF($H603="Critical","P0",IF(NOT(ISNUMBER($L603)),"",IF($L603&gt;=Lists!$AM$2,"P0",IF($L603&gt;=Lists!$AM$3,"P1",IF($L603&gt;=Lists!$AM$4,"P2","P3")))))))</f>
        <v/>
      </c>
      <c r="N603" s="102"/>
      <c r="O603" s="101"/>
      <c r="P603" s="102"/>
      <c r="Q603" s="105"/>
      <c r="R603" s="106" t="str">
        <f aca="true">IF($Q603="","", TODAY()-$Q603)</f>
        <v/>
      </c>
      <c r="S603" s="102"/>
      <c r="T603" s="105"/>
      <c r="U603" s="105"/>
      <c r="V603" s="101"/>
      <c r="W603" s="101"/>
      <c r="X603" s="101"/>
      <c r="Y603" s="96"/>
      <c r="Z603" s="96"/>
      <c r="AA603" s="96"/>
      <c r="AC603" s="102"/>
      <c r="AD603" s="107" t="str">
        <f aca="false">IF($B603="","",IF(ISNUMBER($T603),$T603,IF(OR(NOT(ISNUMBER($Q603)),$S603=""),"",IFERROR(IF(ISNUMBER(INDEX(Lists!$AJ$2:$AJ$7,MATCH($S603,Lists!$AI$2:$AI$7,0))),$Q603+INDEX(Lists!$AJ$2:$AJ$7,MATCH($S603,Lists!$AI$2:$AI$7,0)),""),""))))</f>
        <v/>
      </c>
      <c r="AE603" s="104" t="str">
        <f aca="true">IF($B603="","",IF(AND(ISNUMBER($AD603),N($AD603)&lt;TODAY(),$N603&lt;&gt;"Done",$N603&lt;&gt;"Won't Fix",$N603&lt;&gt;"Duplicate"),"Yes","No"))</f>
        <v/>
      </c>
      <c r="AF603" s="101"/>
      <c r="AG603" s="108" t="str">
        <f aca="false">IF($AF603="","",IFERROR(VLOOKUP($AF603,'Application Portfolio'!$A$2:$B$1000,2,FALSE()),"Unknown App ID"))</f>
        <v/>
      </c>
      <c r="AH603" s="108" t="str">
        <f aca="false">IF(OR($B603="",$AF603=""),"",IFERROR(VLOOKUP($AF603,'Application Portfolio'!$A$2:$AB$1000,28,FALSE()),""))</f>
        <v/>
      </c>
    </row>
    <row r="604" customFormat="false" ht="15.75" hidden="false" customHeight="true" outlineLevel="0" collapsed="false">
      <c r="A604" s="100"/>
      <c r="B604" s="101"/>
      <c r="C604" s="101"/>
      <c r="D604" s="101"/>
      <c r="E604" s="101"/>
      <c r="F604" s="102"/>
      <c r="G604" s="102"/>
      <c r="H604" s="102"/>
      <c r="I604" s="102"/>
      <c r="J604" s="102"/>
      <c r="K604" s="102"/>
      <c r="L604" s="103" t="str">
        <f aca="false">IF(OR($B604="", $H604="", $I604="", $J604="", $K604=""),"",ROUND((VLOOKUP($H604,Lists!$E$2:$F$5,2,FALSE())*VLOOKUP($I604,Lists!$H$2:$I$4,2,FALSE())*VLOOKUP($J604,Lists!$K$2:$L$4,2,FALSE()))/VLOOKUP($K604,Lists!$N$2:$O$6,2,FALSE()),2))</f>
        <v/>
      </c>
      <c r="M604" s="104" t="str">
        <f aca="false">IF($B604="","",IF($AC604&lt;&gt;"",$AC604,IF($H604="Critical","P0",IF(NOT(ISNUMBER($L604)),"",IF($L604&gt;=Lists!$AM$2,"P0",IF($L604&gt;=Lists!$AM$3,"P1",IF($L604&gt;=Lists!$AM$4,"P2","P3")))))))</f>
        <v/>
      </c>
      <c r="N604" s="102"/>
      <c r="O604" s="101"/>
      <c r="P604" s="102"/>
      <c r="Q604" s="105"/>
      <c r="R604" s="106" t="str">
        <f aca="true">IF($Q604="","", TODAY()-$Q604)</f>
        <v/>
      </c>
      <c r="S604" s="102"/>
      <c r="T604" s="105"/>
      <c r="U604" s="105"/>
      <c r="V604" s="101"/>
      <c r="W604" s="101"/>
      <c r="X604" s="101"/>
      <c r="Y604" s="96"/>
      <c r="Z604" s="96"/>
      <c r="AA604" s="96"/>
      <c r="AC604" s="102"/>
      <c r="AD604" s="107" t="str">
        <f aca="false">IF($B604="","",IF(ISNUMBER($T604),$T604,IF(OR(NOT(ISNUMBER($Q604)),$S604=""),"",IFERROR(IF(ISNUMBER(INDEX(Lists!$AJ$2:$AJ$7,MATCH($S604,Lists!$AI$2:$AI$7,0))),$Q604+INDEX(Lists!$AJ$2:$AJ$7,MATCH($S604,Lists!$AI$2:$AI$7,0)),""),""))))</f>
        <v/>
      </c>
      <c r="AE604" s="104" t="str">
        <f aca="true">IF($B604="","",IF(AND(ISNUMBER($AD604),N($AD604)&lt;TODAY(),$N604&lt;&gt;"Done",$N604&lt;&gt;"Won't Fix",$N604&lt;&gt;"Duplicate"),"Yes","No"))</f>
        <v/>
      </c>
      <c r="AF604" s="101"/>
      <c r="AG604" s="108" t="str">
        <f aca="false">IF($AF604="","",IFERROR(VLOOKUP($AF604,'Application Portfolio'!$A$2:$B$1000,2,FALSE()),"Unknown App ID"))</f>
        <v/>
      </c>
      <c r="AH604" s="108" t="str">
        <f aca="false">IF(OR($B604="",$AF604=""),"",IFERROR(VLOOKUP($AF604,'Application Portfolio'!$A$2:$AB$1000,28,FALSE()),""))</f>
        <v/>
      </c>
    </row>
    <row r="605" customFormat="false" ht="15.75" hidden="false" customHeight="true" outlineLevel="0" collapsed="false">
      <c r="A605" s="100"/>
      <c r="B605" s="101"/>
      <c r="C605" s="101"/>
      <c r="D605" s="101"/>
      <c r="E605" s="101"/>
      <c r="F605" s="102"/>
      <c r="G605" s="102"/>
      <c r="H605" s="102"/>
      <c r="I605" s="102"/>
      <c r="J605" s="102"/>
      <c r="K605" s="102"/>
      <c r="L605" s="103" t="str">
        <f aca="false">IF(OR($B605="", $H605="", $I605="", $J605="", $K605=""),"",ROUND((VLOOKUP($H605,Lists!$E$2:$F$5,2,FALSE())*VLOOKUP($I605,Lists!$H$2:$I$4,2,FALSE())*VLOOKUP($J605,Lists!$K$2:$L$4,2,FALSE()))/VLOOKUP($K605,Lists!$N$2:$O$6,2,FALSE()),2))</f>
        <v/>
      </c>
      <c r="M605" s="104" t="str">
        <f aca="false">IF($B605="","",IF($AC605&lt;&gt;"",$AC605,IF($H605="Critical","P0",IF(NOT(ISNUMBER($L605)),"",IF($L605&gt;=Lists!$AM$2,"P0",IF($L605&gt;=Lists!$AM$3,"P1",IF($L605&gt;=Lists!$AM$4,"P2","P3")))))))</f>
        <v/>
      </c>
      <c r="N605" s="102"/>
      <c r="O605" s="101"/>
      <c r="P605" s="102"/>
      <c r="Q605" s="105"/>
      <c r="R605" s="106" t="str">
        <f aca="true">IF($Q605="","", TODAY()-$Q605)</f>
        <v/>
      </c>
      <c r="S605" s="102"/>
      <c r="T605" s="105"/>
      <c r="U605" s="105"/>
      <c r="V605" s="101"/>
      <c r="W605" s="101"/>
      <c r="X605" s="101"/>
      <c r="Y605" s="96"/>
      <c r="Z605" s="96"/>
      <c r="AA605" s="96"/>
      <c r="AC605" s="102"/>
      <c r="AD605" s="107" t="str">
        <f aca="false">IF($B605="","",IF(ISNUMBER($T605),$T605,IF(OR(NOT(ISNUMBER($Q605)),$S605=""),"",IFERROR(IF(ISNUMBER(INDEX(Lists!$AJ$2:$AJ$7,MATCH($S605,Lists!$AI$2:$AI$7,0))),$Q605+INDEX(Lists!$AJ$2:$AJ$7,MATCH($S605,Lists!$AI$2:$AI$7,0)),""),""))))</f>
        <v/>
      </c>
      <c r="AE605" s="104" t="str">
        <f aca="true">IF($B605="","",IF(AND(ISNUMBER($AD605),N($AD605)&lt;TODAY(),$N605&lt;&gt;"Done",$N605&lt;&gt;"Won't Fix",$N605&lt;&gt;"Duplicate"),"Yes","No"))</f>
        <v/>
      </c>
      <c r="AF605" s="101"/>
      <c r="AG605" s="108" t="str">
        <f aca="false">IF($AF605="","",IFERROR(VLOOKUP($AF605,'Application Portfolio'!$A$2:$B$1000,2,FALSE()),"Unknown App ID"))</f>
        <v/>
      </c>
      <c r="AH605" s="108" t="str">
        <f aca="false">IF(OR($B605="",$AF605=""),"",IFERROR(VLOOKUP($AF605,'Application Portfolio'!$A$2:$AB$1000,28,FALSE()),""))</f>
        <v/>
      </c>
    </row>
    <row r="606" customFormat="false" ht="15.75" hidden="false" customHeight="true" outlineLevel="0" collapsed="false">
      <c r="A606" s="100"/>
      <c r="B606" s="101"/>
      <c r="C606" s="101"/>
      <c r="D606" s="101"/>
      <c r="E606" s="101"/>
      <c r="F606" s="102"/>
      <c r="G606" s="102"/>
      <c r="H606" s="102"/>
      <c r="I606" s="102"/>
      <c r="J606" s="102"/>
      <c r="K606" s="102"/>
      <c r="L606" s="103" t="str">
        <f aca="false">IF(OR($B606="", $H606="", $I606="", $J606="", $K606=""),"",ROUND((VLOOKUP($H606,Lists!$E$2:$F$5,2,FALSE())*VLOOKUP($I606,Lists!$H$2:$I$4,2,FALSE())*VLOOKUP($J606,Lists!$K$2:$L$4,2,FALSE()))/VLOOKUP($K606,Lists!$N$2:$O$6,2,FALSE()),2))</f>
        <v/>
      </c>
      <c r="M606" s="104" t="str">
        <f aca="false">IF($B606="","",IF($AC606&lt;&gt;"",$AC606,IF($H606="Critical","P0",IF(NOT(ISNUMBER($L606)),"",IF($L606&gt;=Lists!$AM$2,"P0",IF($L606&gt;=Lists!$AM$3,"P1",IF($L606&gt;=Lists!$AM$4,"P2","P3")))))))</f>
        <v/>
      </c>
      <c r="N606" s="102"/>
      <c r="O606" s="101"/>
      <c r="P606" s="102"/>
      <c r="Q606" s="105"/>
      <c r="R606" s="106" t="str">
        <f aca="true">IF($Q606="","", TODAY()-$Q606)</f>
        <v/>
      </c>
      <c r="S606" s="102"/>
      <c r="T606" s="105"/>
      <c r="U606" s="105"/>
      <c r="V606" s="101"/>
      <c r="W606" s="101"/>
      <c r="X606" s="101"/>
      <c r="Y606" s="96"/>
      <c r="Z606" s="96"/>
      <c r="AA606" s="96"/>
      <c r="AC606" s="102"/>
      <c r="AD606" s="107" t="str">
        <f aca="false">IF($B606="","",IF(ISNUMBER($T606),$T606,IF(OR(NOT(ISNUMBER($Q606)),$S606=""),"",IFERROR(IF(ISNUMBER(INDEX(Lists!$AJ$2:$AJ$7,MATCH($S606,Lists!$AI$2:$AI$7,0))),$Q606+INDEX(Lists!$AJ$2:$AJ$7,MATCH($S606,Lists!$AI$2:$AI$7,0)),""),""))))</f>
        <v/>
      </c>
      <c r="AE606" s="104" t="str">
        <f aca="true">IF($B606="","",IF(AND(ISNUMBER($AD606),N($AD606)&lt;TODAY(),$N606&lt;&gt;"Done",$N606&lt;&gt;"Won't Fix",$N606&lt;&gt;"Duplicate"),"Yes","No"))</f>
        <v/>
      </c>
      <c r="AF606" s="101"/>
      <c r="AG606" s="108" t="str">
        <f aca="false">IF($AF606="","",IFERROR(VLOOKUP($AF606,'Application Portfolio'!$A$2:$B$1000,2,FALSE()),"Unknown App ID"))</f>
        <v/>
      </c>
      <c r="AH606" s="108" t="str">
        <f aca="false">IF(OR($B606="",$AF606=""),"",IFERROR(VLOOKUP($AF606,'Application Portfolio'!$A$2:$AB$1000,28,FALSE()),""))</f>
        <v/>
      </c>
    </row>
    <row r="607" customFormat="false" ht="15.75" hidden="false" customHeight="true" outlineLevel="0" collapsed="false">
      <c r="A607" s="100"/>
      <c r="B607" s="101"/>
      <c r="C607" s="101"/>
      <c r="D607" s="101"/>
      <c r="E607" s="101"/>
      <c r="F607" s="102"/>
      <c r="G607" s="102"/>
      <c r="H607" s="102"/>
      <c r="I607" s="102"/>
      <c r="J607" s="102"/>
      <c r="K607" s="102"/>
      <c r="L607" s="103" t="str">
        <f aca="false">IF(OR($B607="", $H607="", $I607="", $J607="", $K607=""),"",ROUND((VLOOKUP($H607,Lists!$E$2:$F$5,2,FALSE())*VLOOKUP($I607,Lists!$H$2:$I$4,2,FALSE())*VLOOKUP($J607,Lists!$K$2:$L$4,2,FALSE()))/VLOOKUP($K607,Lists!$N$2:$O$6,2,FALSE()),2))</f>
        <v/>
      </c>
      <c r="M607" s="104" t="str">
        <f aca="false">IF($B607="","",IF($AC607&lt;&gt;"",$AC607,IF($H607="Critical","P0",IF(NOT(ISNUMBER($L607)),"",IF($L607&gt;=Lists!$AM$2,"P0",IF($L607&gt;=Lists!$AM$3,"P1",IF($L607&gt;=Lists!$AM$4,"P2","P3")))))))</f>
        <v/>
      </c>
      <c r="N607" s="102"/>
      <c r="O607" s="101"/>
      <c r="P607" s="102"/>
      <c r="Q607" s="105"/>
      <c r="R607" s="106" t="str">
        <f aca="true">IF($Q607="","", TODAY()-$Q607)</f>
        <v/>
      </c>
      <c r="S607" s="102"/>
      <c r="T607" s="105"/>
      <c r="U607" s="105"/>
      <c r="V607" s="101"/>
      <c r="W607" s="101"/>
      <c r="X607" s="101"/>
      <c r="Y607" s="96"/>
      <c r="Z607" s="96"/>
      <c r="AA607" s="96"/>
      <c r="AC607" s="102"/>
      <c r="AD607" s="107" t="str">
        <f aca="false">IF($B607="","",IF(ISNUMBER($T607),$T607,IF(OR(NOT(ISNUMBER($Q607)),$S607=""),"",IFERROR(IF(ISNUMBER(INDEX(Lists!$AJ$2:$AJ$7,MATCH($S607,Lists!$AI$2:$AI$7,0))),$Q607+INDEX(Lists!$AJ$2:$AJ$7,MATCH($S607,Lists!$AI$2:$AI$7,0)),""),""))))</f>
        <v/>
      </c>
      <c r="AE607" s="104" t="str">
        <f aca="true">IF($B607="","",IF(AND(ISNUMBER($AD607),N($AD607)&lt;TODAY(),$N607&lt;&gt;"Done",$N607&lt;&gt;"Won't Fix",$N607&lt;&gt;"Duplicate"),"Yes","No"))</f>
        <v/>
      </c>
      <c r="AF607" s="101"/>
      <c r="AG607" s="108" t="str">
        <f aca="false">IF($AF607="","",IFERROR(VLOOKUP($AF607,'Application Portfolio'!$A$2:$B$1000,2,FALSE()),"Unknown App ID"))</f>
        <v/>
      </c>
      <c r="AH607" s="108" t="str">
        <f aca="false">IF(OR($B607="",$AF607=""),"",IFERROR(VLOOKUP($AF607,'Application Portfolio'!$A$2:$AB$1000,28,FALSE()),""))</f>
        <v/>
      </c>
    </row>
    <row r="608" customFormat="false" ht="15.75" hidden="false" customHeight="true" outlineLevel="0" collapsed="false">
      <c r="A608" s="100"/>
      <c r="B608" s="101"/>
      <c r="C608" s="101"/>
      <c r="D608" s="101"/>
      <c r="E608" s="101"/>
      <c r="F608" s="102"/>
      <c r="G608" s="102"/>
      <c r="H608" s="102"/>
      <c r="I608" s="102"/>
      <c r="J608" s="102"/>
      <c r="K608" s="102"/>
      <c r="L608" s="103" t="str">
        <f aca="false">IF(OR($B608="", $H608="", $I608="", $J608="", $K608=""),"",ROUND((VLOOKUP($H608,Lists!$E$2:$F$5,2,FALSE())*VLOOKUP($I608,Lists!$H$2:$I$4,2,FALSE())*VLOOKUP($J608,Lists!$K$2:$L$4,2,FALSE()))/VLOOKUP($K608,Lists!$N$2:$O$6,2,FALSE()),2))</f>
        <v/>
      </c>
      <c r="M608" s="104" t="str">
        <f aca="false">IF($B608="","",IF($AC608&lt;&gt;"",$AC608,IF($H608="Critical","P0",IF(NOT(ISNUMBER($L608)),"",IF($L608&gt;=Lists!$AM$2,"P0",IF($L608&gt;=Lists!$AM$3,"P1",IF($L608&gt;=Lists!$AM$4,"P2","P3")))))))</f>
        <v/>
      </c>
      <c r="N608" s="102"/>
      <c r="O608" s="101"/>
      <c r="P608" s="102"/>
      <c r="Q608" s="105"/>
      <c r="R608" s="106" t="str">
        <f aca="true">IF($Q608="","", TODAY()-$Q608)</f>
        <v/>
      </c>
      <c r="S608" s="102"/>
      <c r="T608" s="105"/>
      <c r="U608" s="105"/>
      <c r="V608" s="101"/>
      <c r="W608" s="101"/>
      <c r="X608" s="101"/>
      <c r="Y608" s="96"/>
      <c r="Z608" s="96"/>
      <c r="AA608" s="96"/>
      <c r="AC608" s="102"/>
      <c r="AD608" s="107" t="str">
        <f aca="false">IF($B608="","",IF(ISNUMBER($T608),$T608,IF(OR(NOT(ISNUMBER($Q608)),$S608=""),"",IFERROR(IF(ISNUMBER(INDEX(Lists!$AJ$2:$AJ$7,MATCH($S608,Lists!$AI$2:$AI$7,0))),$Q608+INDEX(Lists!$AJ$2:$AJ$7,MATCH($S608,Lists!$AI$2:$AI$7,0)),""),""))))</f>
        <v/>
      </c>
      <c r="AE608" s="104" t="str">
        <f aca="true">IF($B608="","",IF(AND(ISNUMBER($AD608),N($AD608)&lt;TODAY(),$N608&lt;&gt;"Done",$N608&lt;&gt;"Won't Fix",$N608&lt;&gt;"Duplicate"),"Yes","No"))</f>
        <v/>
      </c>
      <c r="AF608" s="101"/>
      <c r="AG608" s="108" t="str">
        <f aca="false">IF($AF608="","",IFERROR(VLOOKUP($AF608,'Application Portfolio'!$A$2:$B$1000,2,FALSE()),"Unknown App ID"))</f>
        <v/>
      </c>
      <c r="AH608" s="108" t="str">
        <f aca="false">IF(OR($B608="",$AF608=""),"",IFERROR(VLOOKUP($AF608,'Application Portfolio'!$A$2:$AB$1000,28,FALSE()),""))</f>
        <v/>
      </c>
    </row>
    <row r="609" customFormat="false" ht="15.75" hidden="false" customHeight="true" outlineLevel="0" collapsed="false">
      <c r="A609" s="100"/>
      <c r="B609" s="101"/>
      <c r="C609" s="101"/>
      <c r="D609" s="101"/>
      <c r="E609" s="101"/>
      <c r="F609" s="102"/>
      <c r="G609" s="102"/>
      <c r="H609" s="102"/>
      <c r="I609" s="102"/>
      <c r="J609" s="102"/>
      <c r="K609" s="102"/>
      <c r="L609" s="103" t="str">
        <f aca="false">IF(OR($B609="", $H609="", $I609="", $J609="", $K609=""),"",ROUND((VLOOKUP($H609,Lists!$E$2:$F$5,2,FALSE())*VLOOKUP($I609,Lists!$H$2:$I$4,2,FALSE())*VLOOKUP($J609,Lists!$K$2:$L$4,2,FALSE()))/VLOOKUP($K609,Lists!$N$2:$O$6,2,FALSE()),2))</f>
        <v/>
      </c>
      <c r="M609" s="104" t="str">
        <f aca="false">IF($B609="","",IF($AC609&lt;&gt;"",$AC609,IF($H609="Critical","P0",IF(NOT(ISNUMBER($L609)),"",IF($L609&gt;=Lists!$AM$2,"P0",IF($L609&gt;=Lists!$AM$3,"P1",IF($L609&gt;=Lists!$AM$4,"P2","P3")))))))</f>
        <v/>
      </c>
      <c r="N609" s="102"/>
      <c r="O609" s="101"/>
      <c r="P609" s="102"/>
      <c r="Q609" s="105"/>
      <c r="R609" s="106" t="str">
        <f aca="true">IF($Q609="","", TODAY()-$Q609)</f>
        <v/>
      </c>
      <c r="S609" s="102"/>
      <c r="T609" s="105"/>
      <c r="U609" s="105"/>
      <c r="V609" s="101"/>
      <c r="W609" s="101"/>
      <c r="X609" s="101"/>
      <c r="Y609" s="96"/>
      <c r="Z609" s="96"/>
      <c r="AA609" s="96"/>
      <c r="AC609" s="102"/>
      <c r="AD609" s="107" t="str">
        <f aca="false">IF($B609="","",IF(ISNUMBER($T609),$T609,IF(OR(NOT(ISNUMBER($Q609)),$S609=""),"",IFERROR(IF(ISNUMBER(INDEX(Lists!$AJ$2:$AJ$7,MATCH($S609,Lists!$AI$2:$AI$7,0))),$Q609+INDEX(Lists!$AJ$2:$AJ$7,MATCH($S609,Lists!$AI$2:$AI$7,0)),""),""))))</f>
        <v/>
      </c>
      <c r="AE609" s="104" t="str">
        <f aca="true">IF($B609="","",IF(AND(ISNUMBER($AD609),N($AD609)&lt;TODAY(),$N609&lt;&gt;"Done",$N609&lt;&gt;"Won't Fix",$N609&lt;&gt;"Duplicate"),"Yes","No"))</f>
        <v/>
      </c>
      <c r="AF609" s="101"/>
      <c r="AG609" s="108" t="str">
        <f aca="false">IF($AF609="","",IFERROR(VLOOKUP($AF609,'Application Portfolio'!$A$2:$B$1000,2,FALSE()),"Unknown App ID"))</f>
        <v/>
      </c>
      <c r="AH609" s="108" t="str">
        <f aca="false">IF(OR($B609="",$AF609=""),"",IFERROR(VLOOKUP($AF609,'Application Portfolio'!$A$2:$AB$1000,28,FALSE()),""))</f>
        <v/>
      </c>
    </row>
    <row r="610" customFormat="false" ht="15.75" hidden="false" customHeight="true" outlineLevel="0" collapsed="false">
      <c r="A610" s="100"/>
      <c r="B610" s="101"/>
      <c r="C610" s="101"/>
      <c r="D610" s="101"/>
      <c r="E610" s="101"/>
      <c r="F610" s="102"/>
      <c r="G610" s="102"/>
      <c r="H610" s="102"/>
      <c r="I610" s="102"/>
      <c r="J610" s="102"/>
      <c r="K610" s="102"/>
      <c r="L610" s="103" t="str">
        <f aca="false">IF(OR($B610="", $H610="", $I610="", $J610="", $K610=""),"",ROUND((VLOOKUP($H610,Lists!$E$2:$F$5,2,FALSE())*VLOOKUP($I610,Lists!$H$2:$I$4,2,FALSE())*VLOOKUP($J610,Lists!$K$2:$L$4,2,FALSE()))/VLOOKUP($K610,Lists!$N$2:$O$6,2,FALSE()),2))</f>
        <v/>
      </c>
      <c r="M610" s="104" t="str">
        <f aca="false">IF($B610="","",IF($AC610&lt;&gt;"",$AC610,IF($H610="Critical","P0",IF(NOT(ISNUMBER($L610)),"",IF($L610&gt;=Lists!$AM$2,"P0",IF($L610&gt;=Lists!$AM$3,"P1",IF($L610&gt;=Lists!$AM$4,"P2","P3")))))))</f>
        <v/>
      </c>
      <c r="N610" s="102"/>
      <c r="O610" s="101"/>
      <c r="P610" s="102"/>
      <c r="Q610" s="105"/>
      <c r="R610" s="106" t="str">
        <f aca="true">IF($Q610="","", TODAY()-$Q610)</f>
        <v/>
      </c>
      <c r="S610" s="102"/>
      <c r="T610" s="105"/>
      <c r="U610" s="105"/>
      <c r="V610" s="101"/>
      <c r="W610" s="101"/>
      <c r="X610" s="101"/>
      <c r="Y610" s="96"/>
      <c r="Z610" s="96"/>
      <c r="AA610" s="96"/>
      <c r="AC610" s="102"/>
      <c r="AD610" s="107" t="str">
        <f aca="false">IF($B610="","",IF(ISNUMBER($T610),$T610,IF(OR(NOT(ISNUMBER($Q610)),$S610=""),"",IFERROR(IF(ISNUMBER(INDEX(Lists!$AJ$2:$AJ$7,MATCH($S610,Lists!$AI$2:$AI$7,0))),$Q610+INDEX(Lists!$AJ$2:$AJ$7,MATCH($S610,Lists!$AI$2:$AI$7,0)),""),""))))</f>
        <v/>
      </c>
      <c r="AE610" s="104" t="str">
        <f aca="true">IF($B610="","",IF(AND(ISNUMBER($AD610),N($AD610)&lt;TODAY(),$N610&lt;&gt;"Done",$N610&lt;&gt;"Won't Fix",$N610&lt;&gt;"Duplicate"),"Yes","No"))</f>
        <v/>
      </c>
      <c r="AF610" s="101"/>
      <c r="AG610" s="108" t="str">
        <f aca="false">IF($AF610="","",IFERROR(VLOOKUP($AF610,'Application Portfolio'!$A$2:$B$1000,2,FALSE()),"Unknown App ID"))</f>
        <v/>
      </c>
      <c r="AH610" s="108" t="str">
        <f aca="false">IF(OR($B610="",$AF610=""),"",IFERROR(VLOOKUP($AF610,'Application Portfolio'!$A$2:$AB$1000,28,FALSE()),""))</f>
        <v/>
      </c>
    </row>
    <row r="611" customFormat="false" ht="15.75" hidden="false" customHeight="true" outlineLevel="0" collapsed="false">
      <c r="A611" s="100"/>
      <c r="B611" s="101"/>
      <c r="C611" s="101"/>
      <c r="D611" s="101"/>
      <c r="E611" s="101"/>
      <c r="F611" s="102"/>
      <c r="G611" s="102"/>
      <c r="H611" s="102"/>
      <c r="I611" s="102"/>
      <c r="J611" s="102"/>
      <c r="K611" s="102"/>
      <c r="L611" s="103" t="str">
        <f aca="false">IF(OR($B611="", $H611="", $I611="", $J611="", $K611=""),"",ROUND((VLOOKUP($H611,Lists!$E$2:$F$5,2,FALSE())*VLOOKUP($I611,Lists!$H$2:$I$4,2,FALSE())*VLOOKUP($J611,Lists!$K$2:$L$4,2,FALSE()))/VLOOKUP($K611,Lists!$N$2:$O$6,2,FALSE()),2))</f>
        <v/>
      </c>
      <c r="M611" s="104" t="str">
        <f aca="false">IF($B611="","",IF($AC611&lt;&gt;"",$AC611,IF($H611="Critical","P0",IF(NOT(ISNUMBER($L611)),"",IF($L611&gt;=Lists!$AM$2,"P0",IF($L611&gt;=Lists!$AM$3,"P1",IF($L611&gt;=Lists!$AM$4,"P2","P3")))))))</f>
        <v/>
      </c>
      <c r="N611" s="102"/>
      <c r="O611" s="101"/>
      <c r="P611" s="102"/>
      <c r="Q611" s="105"/>
      <c r="R611" s="106" t="str">
        <f aca="true">IF($Q611="","", TODAY()-$Q611)</f>
        <v/>
      </c>
      <c r="S611" s="102"/>
      <c r="T611" s="105"/>
      <c r="U611" s="105"/>
      <c r="V611" s="101"/>
      <c r="W611" s="101"/>
      <c r="X611" s="101"/>
      <c r="Y611" s="96"/>
      <c r="Z611" s="96"/>
      <c r="AA611" s="96"/>
      <c r="AC611" s="102"/>
      <c r="AD611" s="107" t="str">
        <f aca="false">IF($B611="","",IF(ISNUMBER($T611),$T611,IF(OR(NOT(ISNUMBER($Q611)),$S611=""),"",IFERROR(IF(ISNUMBER(INDEX(Lists!$AJ$2:$AJ$7,MATCH($S611,Lists!$AI$2:$AI$7,0))),$Q611+INDEX(Lists!$AJ$2:$AJ$7,MATCH($S611,Lists!$AI$2:$AI$7,0)),""),""))))</f>
        <v/>
      </c>
      <c r="AE611" s="104" t="str">
        <f aca="true">IF($B611="","",IF(AND(ISNUMBER($AD611),N($AD611)&lt;TODAY(),$N611&lt;&gt;"Done",$N611&lt;&gt;"Won't Fix",$N611&lt;&gt;"Duplicate"),"Yes","No"))</f>
        <v/>
      </c>
      <c r="AF611" s="101"/>
      <c r="AG611" s="108" t="str">
        <f aca="false">IF($AF611="","",IFERROR(VLOOKUP($AF611,'Application Portfolio'!$A$2:$B$1000,2,FALSE()),"Unknown App ID"))</f>
        <v/>
      </c>
      <c r="AH611" s="108" t="str">
        <f aca="false">IF(OR($B611="",$AF611=""),"",IFERROR(VLOOKUP($AF611,'Application Portfolio'!$A$2:$AB$1000,28,FALSE()),""))</f>
        <v/>
      </c>
    </row>
    <row r="612" customFormat="false" ht="15.75" hidden="false" customHeight="true" outlineLevel="0" collapsed="false">
      <c r="A612" s="100"/>
      <c r="B612" s="101"/>
      <c r="C612" s="101"/>
      <c r="D612" s="101"/>
      <c r="E612" s="101"/>
      <c r="F612" s="102"/>
      <c r="G612" s="102"/>
      <c r="H612" s="102"/>
      <c r="I612" s="102"/>
      <c r="J612" s="102"/>
      <c r="K612" s="102"/>
      <c r="L612" s="103" t="str">
        <f aca="false">IF(OR($B612="", $H612="", $I612="", $J612="", $K612=""),"",ROUND((VLOOKUP($H612,Lists!$E$2:$F$5,2,FALSE())*VLOOKUP($I612,Lists!$H$2:$I$4,2,FALSE())*VLOOKUP($J612,Lists!$K$2:$L$4,2,FALSE()))/VLOOKUP($K612,Lists!$N$2:$O$6,2,FALSE()),2))</f>
        <v/>
      </c>
      <c r="M612" s="104" t="str">
        <f aca="false">IF($B612="","",IF($AC612&lt;&gt;"",$AC612,IF($H612="Critical","P0",IF(NOT(ISNUMBER($L612)),"",IF($L612&gt;=Lists!$AM$2,"P0",IF($L612&gt;=Lists!$AM$3,"P1",IF($L612&gt;=Lists!$AM$4,"P2","P3")))))))</f>
        <v/>
      </c>
      <c r="N612" s="102"/>
      <c r="O612" s="101"/>
      <c r="P612" s="102"/>
      <c r="Q612" s="105"/>
      <c r="R612" s="106" t="str">
        <f aca="true">IF($Q612="","", TODAY()-$Q612)</f>
        <v/>
      </c>
      <c r="S612" s="102"/>
      <c r="T612" s="105"/>
      <c r="U612" s="105"/>
      <c r="V612" s="101"/>
      <c r="W612" s="101"/>
      <c r="X612" s="101"/>
      <c r="Y612" s="96"/>
      <c r="Z612" s="96"/>
      <c r="AA612" s="96"/>
      <c r="AC612" s="102"/>
      <c r="AD612" s="107" t="str">
        <f aca="false">IF($B612="","",IF(ISNUMBER($T612),$T612,IF(OR(NOT(ISNUMBER($Q612)),$S612=""),"",IFERROR(IF(ISNUMBER(INDEX(Lists!$AJ$2:$AJ$7,MATCH($S612,Lists!$AI$2:$AI$7,0))),$Q612+INDEX(Lists!$AJ$2:$AJ$7,MATCH($S612,Lists!$AI$2:$AI$7,0)),""),""))))</f>
        <v/>
      </c>
      <c r="AE612" s="104" t="str">
        <f aca="true">IF($B612="","",IF(AND(ISNUMBER($AD612),N($AD612)&lt;TODAY(),$N612&lt;&gt;"Done",$N612&lt;&gt;"Won't Fix",$N612&lt;&gt;"Duplicate"),"Yes","No"))</f>
        <v/>
      </c>
      <c r="AF612" s="101"/>
      <c r="AG612" s="108" t="str">
        <f aca="false">IF($AF612="","",IFERROR(VLOOKUP($AF612,'Application Portfolio'!$A$2:$B$1000,2,FALSE()),"Unknown App ID"))</f>
        <v/>
      </c>
      <c r="AH612" s="108" t="str">
        <f aca="false">IF(OR($B612="",$AF612=""),"",IFERROR(VLOOKUP($AF612,'Application Portfolio'!$A$2:$AB$1000,28,FALSE()),""))</f>
        <v/>
      </c>
    </row>
    <row r="613" customFormat="false" ht="15.75" hidden="false" customHeight="true" outlineLevel="0" collapsed="false">
      <c r="A613" s="100"/>
      <c r="B613" s="101"/>
      <c r="C613" s="101"/>
      <c r="D613" s="101"/>
      <c r="E613" s="101"/>
      <c r="F613" s="102"/>
      <c r="G613" s="102"/>
      <c r="H613" s="102"/>
      <c r="I613" s="102"/>
      <c r="J613" s="102"/>
      <c r="K613" s="102"/>
      <c r="L613" s="103" t="str">
        <f aca="false">IF(OR($B613="", $H613="", $I613="", $J613="", $K613=""),"",ROUND((VLOOKUP($H613,Lists!$E$2:$F$5,2,FALSE())*VLOOKUP($I613,Lists!$H$2:$I$4,2,FALSE())*VLOOKUP($J613,Lists!$K$2:$L$4,2,FALSE()))/VLOOKUP($K613,Lists!$N$2:$O$6,2,FALSE()),2))</f>
        <v/>
      </c>
      <c r="M613" s="104" t="str">
        <f aca="false">IF($B613="","",IF($AC613&lt;&gt;"",$AC613,IF($H613="Critical","P0",IF(NOT(ISNUMBER($L613)),"",IF($L613&gt;=Lists!$AM$2,"P0",IF($L613&gt;=Lists!$AM$3,"P1",IF($L613&gt;=Lists!$AM$4,"P2","P3")))))))</f>
        <v/>
      </c>
      <c r="N613" s="102"/>
      <c r="O613" s="101"/>
      <c r="P613" s="102"/>
      <c r="Q613" s="105"/>
      <c r="R613" s="106" t="str">
        <f aca="true">IF($Q613="","", TODAY()-$Q613)</f>
        <v/>
      </c>
      <c r="S613" s="102"/>
      <c r="T613" s="105"/>
      <c r="U613" s="105"/>
      <c r="V613" s="101"/>
      <c r="W613" s="101"/>
      <c r="X613" s="101"/>
      <c r="Y613" s="96"/>
      <c r="Z613" s="96"/>
      <c r="AA613" s="96"/>
      <c r="AC613" s="102"/>
      <c r="AD613" s="107" t="str">
        <f aca="false">IF($B613="","",IF(ISNUMBER($T613),$T613,IF(OR(NOT(ISNUMBER($Q613)),$S613=""),"",IFERROR(IF(ISNUMBER(INDEX(Lists!$AJ$2:$AJ$7,MATCH($S613,Lists!$AI$2:$AI$7,0))),$Q613+INDEX(Lists!$AJ$2:$AJ$7,MATCH($S613,Lists!$AI$2:$AI$7,0)),""),""))))</f>
        <v/>
      </c>
      <c r="AE613" s="104" t="str">
        <f aca="true">IF($B613="","",IF(AND(ISNUMBER($AD613),N($AD613)&lt;TODAY(),$N613&lt;&gt;"Done",$N613&lt;&gt;"Won't Fix",$N613&lt;&gt;"Duplicate"),"Yes","No"))</f>
        <v/>
      </c>
      <c r="AF613" s="101"/>
      <c r="AG613" s="108" t="str">
        <f aca="false">IF($AF613="","",IFERROR(VLOOKUP($AF613,'Application Portfolio'!$A$2:$B$1000,2,FALSE()),"Unknown App ID"))</f>
        <v/>
      </c>
      <c r="AH613" s="108" t="str">
        <f aca="false">IF(OR($B613="",$AF613=""),"",IFERROR(VLOOKUP($AF613,'Application Portfolio'!$A$2:$AB$1000,28,FALSE()),""))</f>
        <v/>
      </c>
    </row>
    <row r="614" customFormat="false" ht="15.75" hidden="false" customHeight="true" outlineLevel="0" collapsed="false">
      <c r="A614" s="100"/>
      <c r="B614" s="101"/>
      <c r="C614" s="101"/>
      <c r="D614" s="101"/>
      <c r="E614" s="101"/>
      <c r="F614" s="102"/>
      <c r="G614" s="102"/>
      <c r="H614" s="102"/>
      <c r="I614" s="102"/>
      <c r="J614" s="102"/>
      <c r="K614" s="102"/>
      <c r="L614" s="103" t="str">
        <f aca="false">IF(OR($B614="", $H614="", $I614="", $J614="", $K614=""),"",ROUND((VLOOKUP($H614,Lists!$E$2:$F$5,2,FALSE())*VLOOKUP($I614,Lists!$H$2:$I$4,2,FALSE())*VLOOKUP($J614,Lists!$K$2:$L$4,2,FALSE()))/VLOOKUP($K614,Lists!$N$2:$O$6,2,FALSE()),2))</f>
        <v/>
      </c>
      <c r="M614" s="104" t="str">
        <f aca="false">IF($B614="","",IF($AC614&lt;&gt;"",$AC614,IF($H614="Critical","P0",IF(NOT(ISNUMBER($L614)),"",IF($L614&gt;=Lists!$AM$2,"P0",IF($L614&gt;=Lists!$AM$3,"P1",IF($L614&gt;=Lists!$AM$4,"P2","P3")))))))</f>
        <v/>
      </c>
      <c r="N614" s="102"/>
      <c r="O614" s="101"/>
      <c r="P614" s="102"/>
      <c r="Q614" s="105"/>
      <c r="R614" s="106" t="str">
        <f aca="true">IF($Q614="","", TODAY()-$Q614)</f>
        <v/>
      </c>
      <c r="S614" s="102"/>
      <c r="T614" s="105"/>
      <c r="U614" s="105"/>
      <c r="V614" s="101"/>
      <c r="W614" s="101"/>
      <c r="X614" s="101"/>
      <c r="Y614" s="96"/>
      <c r="Z614" s="96"/>
      <c r="AA614" s="96"/>
      <c r="AC614" s="102"/>
      <c r="AD614" s="107" t="str">
        <f aca="false">IF($B614="","",IF(ISNUMBER($T614),$T614,IF(OR(NOT(ISNUMBER($Q614)),$S614=""),"",IFERROR(IF(ISNUMBER(INDEX(Lists!$AJ$2:$AJ$7,MATCH($S614,Lists!$AI$2:$AI$7,0))),$Q614+INDEX(Lists!$AJ$2:$AJ$7,MATCH($S614,Lists!$AI$2:$AI$7,0)),""),""))))</f>
        <v/>
      </c>
      <c r="AE614" s="104" t="str">
        <f aca="true">IF($B614="","",IF(AND(ISNUMBER($AD614),N($AD614)&lt;TODAY(),$N614&lt;&gt;"Done",$N614&lt;&gt;"Won't Fix",$N614&lt;&gt;"Duplicate"),"Yes","No"))</f>
        <v/>
      </c>
      <c r="AF614" s="101"/>
      <c r="AG614" s="108" t="str">
        <f aca="false">IF($AF614="","",IFERROR(VLOOKUP($AF614,'Application Portfolio'!$A$2:$B$1000,2,FALSE()),"Unknown App ID"))</f>
        <v/>
      </c>
      <c r="AH614" s="108" t="str">
        <f aca="false">IF(OR($B614="",$AF614=""),"",IFERROR(VLOOKUP($AF614,'Application Portfolio'!$A$2:$AB$1000,28,FALSE()),""))</f>
        <v/>
      </c>
    </row>
    <row r="615" customFormat="false" ht="15.75" hidden="false" customHeight="true" outlineLevel="0" collapsed="false">
      <c r="A615" s="100"/>
      <c r="B615" s="101"/>
      <c r="C615" s="101"/>
      <c r="D615" s="101"/>
      <c r="E615" s="101"/>
      <c r="F615" s="102"/>
      <c r="G615" s="102"/>
      <c r="H615" s="102"/>
      <c r="I615" s="102"/>
      <c r="J615" s="102"/>
      <c r="K615" s="102"/>
      <c r="L615" s="103" t="str">
        <f aca="false">IF(OR($B615="", $H615="", $I615="", $J615="", $K615=""),"",ROUND((VLOOKUP($H615,Lists!$E$2:$F$5,2,FALSE())*VLOOKUP($I615,Lists!$H$2:$I$4,2,FALSE())*VLOOKUP($J615,Lists!$K$2:$L$4,2,FALSE()))/VLOOKUP($K615,Lists!$N$2:$O$6,2,FALSE()),2))</f>
        <v/>
      </c>
      <c r="M615" s="104" t="str">
        <f aca="false">IF($B615="","",IF($AC615&lt;&gt;"",$AC615,IF($H615="Critical","P0",IF(NOT(ISNUMBER($L615)),"",IF($L615&gt;=Lists!$AM$2,"P0",IF($L615&gt;=Lists!$AM$3,"P1",IF($L615&gt;=Lists!$AM$4,"P2","P3")))))))</f>
        <v/>
      </c>
      <c r="N615" s="102"/>
      <c r="O615" s="101"/>
      <c r="P615" s="102"/>
      <c r="Q615" s="105"/>
      <c r="R615" s="106" t="str">
        <f aca="true">IF($Q615="","", TODAY()-$Q615)</f>
        <v/>
      </c>
      <c r="S615" s="102"/>
      <c r="T615" s="105"/>
      <c r="U615" s="105"/>
      <c r="V615" s="101"/>
      <c r="W615" s="101"/>
      <c r="X615" s="101"/>
      <c r="Y615" s="96"/>
      <c r="Z615" s="96"/>
      <c r="AA615" s="96"/>
      <c r="AC615" s="102"/>
      <c r="AD615" s="107" t="str">
        <f aca="false">IF($B615="","",IF(ISNUMBER($T615),$T615,IF(OR(NOT(ISNUMBER($Q615)),$S615=""),"",IFERROR(IF(ISNUMBER(INDEX(Lists!$AJ$2:$AJ$7,MATCH($S615,Lists!$AI$2:$AI$7,0))),$Q615+INDEX(Lists!$AJ$2:$AJ$7,MATCH($S615,Lists!$AI$2:$AI$7,0)),""),""))))</f>
        <v/>
      </c>
      <c r="AE615" s="104" t="str">
        <f aca="true">IF($B615="","",IF(AND(ISNUMBER($AD615),N($AD615)&lt;TODAY(),$N615&lt;&gt;"Done",$N615&lt;&gt;"Won't Fix",$N615&lt;&gt;"Duplicate"),"Yes","No"))</f>
        <v/>
      </c>
      <c r="AF615" s="101"/>
      <c r="AG615" s="108" t="str">
        <f aca="false">IF($AF615="","",IFERROR(VLOOKUP($AF615,'Application Portfolio'!$A$2:$B$1000,2,FALSE()),"Unknown App ID"))</f>
        <v/>
      </c>
      <c r="AH615" s="108" t="str">
        <f aca="false">IF(OR($B615="",$AF615=""),"",IFERROR(VLOOKUP($AF615,'Application Portfolio'!$A$2:$AB$1000,28,FALSE()),""))</f>
        <v/>
      </c>
    </row>
    <row r="616" customFormat="false" ht="15.75" hidden="false" customHeight="true" outlineLevel="0" collapsed="false">
      <c r="A616" s="100"/>
      <c r="B616" s="101"/>
      <c r="C616" s="101"/>
      <c r="D616" s="101"/>
      <c r="E616" s="101"/>
      <c r="F616" s="102"/>
      <c r="G616" s="102"/>
      <c r="H616" s="102"/>
      <c r="I616" s="102"/>
      <c r="J616" s="102"/>
      <c r="K616" s="102"/>
      <c r="L616" s="103" t="str">
        <f aca="false">IF(OR($B616="", $H616="", $I616="", $J616="", $K616=""),"",ROUND((VLOOKUP($H616,Lists!$E$2:$F$5,2,FALSE())*VLOOKUP($I616,Lists!$H$2:$I$4,2,FALSE())*VLOOKUP($J616,Lists!$K$2:$L$4,2,FALSE()))/VLOOKUP($K616,Lists!$N$2:$O$6,2,FALSE()),2))</f>
        <v/>
      </c>
      <c r="M616" s="104" t="str">
        <f aca="false">IF($B616="","",IF($AC616&lt;&gt;"",$AC616,IF($H616="Critical","P0",IF(NOT(ISNUMBER($L616)),"",IF($L616&gt;=Lists!$AM$2,"P0",IF($L616&gt;=Lists!$AM$3,"P1",IF($L616&gt;=Lists!$AM$4,"P2","P3")))))))</f>
        <v/>
      </c>
      <c r="N616" s="102"/>
      <c r="O616" s="101"/>
      <c r="P616" s="102"/>
      <c r="Q616" s="105"/>
      <c r="R616" s="106" t="str">
        <f aca="true">IF($Q616="","", TODAY()-$Q616)</f>
        <v/>
      </c>
      <c r="S616" s="102"/>
      <c r="T616" s="105"/>
      <c r="U616" s="105"/>
      <c r="V616" s="101"/>
      <c r="W616" s="101"/>
      <c r="X616" s="101"/>
      <c r="Y616" s="96"/>
      <c r="Z616" s="96"/>
      <c r="AA616" s="96"/>
      <c r="AC616" s="102"/>
      <c r="AD616" s="107" t="str">
        <f aca="false">IF($B616="","",IF(ISNUMBER($T616),$T616,IF(OR(NOT(ISNUMBER($Q616)),$S616=""),"",IFERROR(IF(ISNUMBER(INDEX(Lists!$AJ$2:$AJ$7,MATCH($S616,Lists!$AI$2:$AI$7,0))),$Q616+INDEX(Lists!$AJ$2:$AJ$7,MATCH($S616,Lists!$AI$2:$AI$7,0)),""),""))))</f>
        <v/>
      </c>
      <c r="AE616" s="104" t="str">
        <f aca="true">IF($B616="","",IF(AND(ISNUMBER($AD616),N($AD616)&lt;TODAY(),$N616&lt;&gt;"Done",$N616&lt;&gt;"Won't Fix",$N616&lt;&gt;"Duplicate"),"Yes","No"))</f>
        <v/>
      </c>
      <c r="AF616" s="101"/>
      <c r="AG616" s="108" t="str">
        <f aca="false">IF($AF616="","",IFERROR(VLOOKUP($AF616,'Application Portfolio'!$A$2:$B$1000,2,FALSE()),"Unknown App ID"))</f>
        <v/>
      </c>
      <c r="AH616" s="108" t="str">
        <f aca="false">IF(OR($B616="",$AF616=""),"",IFERROR(VLOOKUP($AF616,'Application Portfolio'!$A$2:$AB$1000,28,FALSE()),""))</f>
        <v/>
      </c>
    </row>
    <row r="617" customFormat="false" ht="15.75" hidden="false" customHeight="true" outlineLevel="0" collapsed="false">
      <c r="A617" s="100"/>
      <c r="B617" s="101"/>
      <c r="C617" s="101"/>
      <c r="D617" s="101"/>
      <c r="E617" s="101"/>
      <c r="F617" s="102"/>
      <c r="G617" s="102"/>
      <c r="H617" s="102"/>
      <c r="I617" s="102"/>
      <c r="J617" s="102"/>
      <c r="K617" s="102"/>
      <c r="L617" s="103" t="str">
        <f aca="false">IF(OR($B617="", $H617="", $I617="", $J617="", $K617=""),"",ROUND((VLOOKUP($H617,Lists!$E$2:$F$5,2,FALSE())*VLOOKUP($I617,Lists!$H$2:$I$4,2,FALSE())*VLOOKUP($J617,Lists!$K$2:$L$4,2,FALSE()))/VLOOKUP($K617,Lists!$N$2:$O$6,2,FALSE()),2))</f>
        <v/>
      </c>
      <c r="M617" s="104" t="str">
        <f aca="false">IF($B617="","",IF($AC617&lt;&gt;"",$AC617,IF($H617="Critical","P0",IF(NOT(ISNUMBER($L617)),"",IF($L617&gt;=Lists!$AM$2,"P0",IF($L617&gt;=Lists!$AM$3,"P1",IF($L617&gt;=Lists!$AM$4,"P2","P3")))))))</f>
        <v/>
      </c>
      <c r="N617" s="102"/>
      <c r="O617" s="101"/>
      <c r="P617" s="102"/>
      <c r="Q617" s="105"/>
      <c r="R617" s="106" t="str">
        <f aca="true">IF($Q617="","", TODAY()-$Q617)</f>
        <v/>
      </c>
      <c r="S617" s="102"/>
      <c r="T617" s="105"/>
      <c r="U617" s="105"/>
      <c r="V617" s="101"/>
      <c r="W617" s="101"/>
      <c r="X617" s="101"/>
      <c r="Y617" s="96"/>
      <c r="Z617" s="96"/>
      <c r="AA617" s="96"/>
      <c r="AC617" s="102"/>
      <c r="AD617" s="107" t="str">
        <f aca="false">IF($B617="","",IF(ISNUMBER($T617),$T617,IF(OR(NOT(ISNUMBER($Q617)),$S617=""),"",IFERROR(IF(ISNUMBER(INDEX(Lists!$AJ$2:$AJ$7,MATCH($S617,Lists!$AI$2:$AI$7,0))),$Q617+INDEX(Lists!$AJ$2:$AJ$7,MATCH($S617,Lists!$AI$2:$AI$7,0)),""),""))))</f>
        <v/>
      </c>
      <c r="AE617" s="104" t="str">
        <f aca="true">IF($B617="","",IF(AND(ISNUMBER($AD617),N($AD617)&lt;TODAY(),$N617&lt;&gt;"Done",$N617&lt;&gt;"Won't Fix",$N617&lt;&gt;"Duplicate"),"Yes","No"))</f>
        <v/>
      </c>
      <c r="AF617" s="101"/>
      <c r="AG617" s="108" t="str">
        <f aca="false">IF($AF617="","",IFERROR(VLOOKUP($AF617,'Application Portfolio'!$A$2:$B$1000,2,FALSE()),"Unknown App ID"))</f>
        <v/>
      </c>
      <c r="AH617" s="108" t="str">
        <f aca="false">IF(OR($B617="",$AF617=""),"",IFERROR(VLOOKUP($AF617,'Application Portfolio'!$A$2:$AB$1000,28,FALSE()),""))</f>
        <v/>
      </c>
    </row>
    <row r="618" customFormat="false" ht="15.75" hidden="false" customHeight="true" outlineLevel="0" collapsed="false">
      <c r="A618" s="100"/>
      <c r="B618" s="101"/>
      <c r="C618" s="101"/>
      <c r="D618" s="101"/>
      <c r="E618" s="101"/>
      <c r="F618" s="102"/>
      <c r="G618" s="102"/>
      <c r="H618" s="102"/>
      <c r="I618" s="102"/>
      <c r="J618" s="102"/>
      <c r="K618" s="102"/>
      <c r="L618" s="103" t="str">
        <f aca="false">IF(OR($B618="", $H618="", $I618="", $J618="", $K618=""),"",ROUND((VLOOKUP($H618,Lists!$E$2:$F$5,2,FALSE())*VLOOKUP($I618,Lists!$H$2:$I$4,2,FALSE())*VLOOKUP($J618,Lists!$K$2:$L$4,2,FALSE()))/VLOOKUP($K618,Lists!$N$2:$O$6,2,FALSE()),2))</f>
        <v/>
      </c>
      <c r="M618" s="104" t="str">
        <f aca="false">IF($B618="","",IF($AC618&lt;&gt;"",$AC618,IF($H618="Critical","P0",IF(NOT(ISNUMBER($L618)),"",IF($L618&gt;=Lists!$AM$2,"P0",IF($L618&gt;=Lists!$AM$3,"P1",IF($L618&gt;=Lists!$AM$4,"P2","P3")))))))</f>
        <v/>
      </c>
      <c r="N618" s="102"/>
      <c r="O618" s="101"/>
      <c r="P618" s="102"/>
      <c r="Q618" s="105"/>
      <c r="R618" s="106" t="str">
        <f aca="true">IF($Q618="","", TODAY()-$Q618)</f>
        <v/>
      </c>
      <c r="S618" s="102"/>
      <c r="T618" s="105"/>
      <c r="U618" s="105"/>
      <c r="V618" s="101"/>
      <c r="W618" s="101"/>
      <c r="X618" s="101"/>
      <c r="Y618" s="96"/>
      <c r="Z618" s="96"/>
      <c r="AA618" s="96"/>
      <c r="AC618" s="102"/>
      <c r="AD618" s="107" t="str">
        <f aca="false">IF($B618="","",IF(ISNUMBER($T618),$T618,IF(OR(NOT(ISNUMBER($Q618)),$S618=""),"",IFERROR(IF(ISNUMBER(INDEX(Lists!$AJ$2:$AJ$7,MATCH($S618,Lists!$AI$2:$AI$7,0))),$Q618+INDEX(Lists!$AJ$2:$AJ$7,MATCH($S618,Lists!$AI$2:$AI$7,0)),""),""))))</f>
        <v/>
      </c>
      <c r="AE618" s="104" t="str">
        <f aca="true">IF($B618="","",IF(AND(ISNUMBER($AD618),N($AD618)&lt;TODAY(),$N618&lt;&gt;"Done",$N618&lt;&gt;"Won't Fix",$N618&lt;&gt;"Duplicate"),"Yes","No"))</f>
        <v/>
      </c>
      <c r="AF618" s="101"/>
      <c r="AG618" s="108" t="str">
        <f aca="false">IF($AF618="","",IFERROR(VLOOKUP($AF618,'Application Portfolio'!$A$2:$B$1000,2,FALSE()),"Unknown App ID"))</f>
        <v/>
      </c>
      <c r="AH618" s="108" t="str">
        <f aca="false">IF(OR($B618="",$AF618=""),"",IFERROR(VLOOKUP($AF618,'Application Portfolio'!$A$2:$AB$1000,28,FALSE()),""))</f>
        <v/>
      </c>
    </row>
    <row r="619" customFormat="false" ht="15.75" hidden="false" customHeight="true" outlineLevel="0" collapsed="false">
      <c r="A619" s="100"/>
      <c r="B619" s="101"/>
      <c r="C619" s="101"/>
      <c r="D619" s="101"/>
      <c r="E619" s="101"/>
      <c r="F619" s="102"/>
      <c r="G619" s="102"/>
      <c r="H619" s="102"/>
      <c r="I619" s="102"/>
      <c r="J619" s="102"/>
      <c r="K619" s="102"/>
      <c r="L619" s="103" t="str">
        <f aca="false">IF(OR($B619="", $H619="", $I619="", $J619="", $K619=""),"",ROUND((VLOOKUP($H619,Lists!$E$2:$F$5,2,FALSE())*VLOOKUP($I619,Lists!$H$2:$I$4,2,FALSE())*VLOOKUP($J619,Lists!$K$2:$L$4,2,FALSE()))/VLOOKUP($K619,Lists!$N$2:$O$6,2,FALSE()),2))</f>
        <v/>
      </c>
      <c r="M619" s="104" t="str">
        <f aca="false">IF($B619="","",IF($AC619&lt;&gt;"",$AC619,IF($H619="Critical","P0",IF(NOT(ISNUMBER($L619)),"",IF($L619&gt;=Lists!$AM$2,"P0",IF($L619&gt;=Lists!$AM$3,"P1",IF($L619&gt;=Lists!$AM$4,"P2","P3")))))))</f>
        <v/>
      </c>
      <c r="N619" s="102"/>
      <c r="O619" s="101"/>
      <c r="P619" s="102"/>
      <c r="Q619" s="105"/>
      <c r="R619" s="106" t="str">
        <f aca="true">IF($Q619="","", TODAY()-$Q619)</f>
        <v/>
      </c>
      <c r="S619" s="102"/>
      <c r="T619" s="105"/>
      <c r="U619" s="105"/>
      <c r="V619" s="101"/>
      <c r="W619" s="101"/>
      <c r="X619" s="101"/>
      <c r="Y619" s="96"/>
      <c r="Z619" s="96"/>
      <c r="AA619" s="96"/>
      <c r="AC619" s="102"/>
      <c r="AD619" s="107" t="str">
        <f aca="false">IF($B619="","",IF(ISNUMBER($T619),$T619,IF(OR(NOT(ISNUMBER($Q619)),$S619=""),"",IFERROR(IF(ISNUMBER(INDEX(Lists!$AJ$2:$AJ$7,MATCH($S619,Lists!$AI$2:$AI$7,0))),$Q619+INDEX(Lists!$AJ$2:$AJ$7,MATCH($S619,Lists!$AI$2:$AI$7,0)),""),""))))</f>
        <v/>
      </c>
      <c r="AE619" s="104" t="str">
        <f aca="true">IF($B619="","",IF(AND(ISNUMBER($AD619),N($AD619)&lt;TODAY(),$N619&lt;&gt;"Done",$N619&lt;&gt;"Won't Fix",$N619&lt;&gt;"Duplicate"),"Yes","No"))</f>
        <v/>
      </c>
      <c r="AF619" s="101"/>
      <c r="AG619" s="108" t="str">
        <f aca="false">IF($AF619="","",IFERROR(VLOOKUP($AF619,'Application Portfolio'!$A$2:$B$1000,2,FALSE()),"Unknown App ID"))</f>
        <v/>
      </c>
      <c r="AH619" s="108" t="str">
        <f aca="false">IF(OR($B619="",$AF619=""),"",IFERROR(VLOOKUP($AF619,'Application Portfolio'!$A$2:$AB$1000,28,FALSE()),""))</f>
        <v/>
      </c>
    </row>
    <row r="620" customFormat="false" ht="15.75" hidden="false" customHeight="true" outlineLevel="0" collapsed="false">
      <c r="A620" s="100"/>
      <c r="B620" s="101"/>
      <c r="C620" s="101"/>
      <c r="D620" s="101"/>
      <c r="E620" s="101"/>
      <c r="F620" s="102"/>
      <c r="G620" s="102"/>
      <c r="H620" s="102"/>
      <c r="I620" s="102"/>
      <c r="J620" s="102"/>
      <c r="K620" s="102"/>
      <c r="L620" s="103" t="str">
        <f aca="false">IF(OR($B620="", $H620="", $I620="", $J620="", $K620=""),"",ROUND((VLOOKUP($H620,Lists!$E$2:$F$5,2,FALSE())*VLOOKUP($I620,Lists!$H$2:$I$4,2,FALSE())*VLOOKUP($J620,Lists!$K$2:$L$4,2,FALSE()))/VLOOKUP($K620,Lists!$N$2:$O$6,2,FALSE()),2))</f>
        <v/>
      </c>
      <c r="M620" s="104" t="str">
        <f aca="false">IF($B620="","",IF($AC620&lt;&gt;"",$AC620,IF($H620="Critical","P0",IF(NOT(ISNUMBER($L620)),"",IF($L620&gt;=Lists!$AM$2,"P0",IF($L620&gt;=Lists!$AM$3,"P1",IF($L620&gt;=Lists!$AM$4,"P2","P3")))))))</f>
        <v/>
      </c>
      <c r="N620" s="102"/>
      <c r="O620" s="101"/>
      <c r="P620" s="102"/>
      <c r="Q620" s="105"/>
      <c r="R620" s="106" t="str">
        <f aca="true">IF($Q620="","", TODAY()-$Q620)</f>
        <v/>
      </c>
      <c r="S620" s="102"/>
      <c r="T620" s="105"/>
      <c r="U620" s="105"/>
      <c r="V620" s="101"/>
      <c r="W620" s="101"/>
      <c r="X620" s="101"/>
      <c r="Y620" s="96"/>
      <c r="Z620" s="96"/>
      <c r="AA620" s="96"/>
      <c r="AC620" s="102"/>
      <c r="AD620" s="107" t="str">
        <f aca="false">IF($B620="","",IF(ISNUMBER($T620),$T620,IF(OR(NOT(ISNUMBER($Q620)),$S620=""),"",IFERROR(IF(ISNUMBER(INDEX(Lists!$AJ$2:$AJ$7,MATCH($S620,Lists!$AI$2:$AI$7,0))),$Q620+INDEX(Lists!$AJ$2:$AJ$7,MATCH($S620,Lists!$AI$2:$AI$7,0)),""),""))))</f>
        <v/>
      </c>
      <c r="AE620" s="104" t="str">
        <f aca="true">IF($B620="","",IF(AND(ISNUMBER($AD620),N($AD620)&lt;TODAY(),$N620&lt;&gt;"Done",$N620&lt;&gt;"Won't Fix",$N620&lt;&gt;"Duplicate"),"Yes","No"))</f>
        <v/>
      </c>
      <c r="AF620" s="101"/>
      <c r="AG620" s="108" t="str">
        <f aca="false">IF($AF620="","",IFERROR(VLOOKUP($AF620,'Application Portfolio'!$A$2:$B$1000,2,FALSE()),"Unknown App ID"))</f>
        <v/>
      </c>
      <c r="AH620" s="108" t="str">
        <f aca="false">IF(OR($B620="",$AF620=""),"",IFERROR(VLOOKUP($AF620,'Application Portfolio'!$A$2:$AB$1000,28,FALSE()),""))</f>
        <v/>
      </c>
    </row>
    <row r="621" customFormat="false" ht="15.75" hidden="false" customHeight="true" outlineLevel="0" collapsed="false">
      <c r="A621" s="100"/>
      <c r="B621" s="101"/>
      <c r="C621" s="101"/>
      <c r="D621" s="101"/>
      <c r="E621" s="101"/>
      <c r="F621" s="102"/>
      <c r="G621" s="102"/>
      <c r="H621" s="102"/>
      <c r="I621" s="102"/>
      <c r="J621" s="102"/>
      <c r="K621" s="102"/>
      <c r="L621" s="103" t="str">
        <f aca="false">IF(OR($B621="", $H621="", $I621="", $J621="", $K621=""),"",ROUND((VLOOKUP($H621,Lists!$E$2:$F$5,2,FALSE())*VLOOKUP($I621,Lists!$H$2:$I$4,2,FALSE())*VLOOKUP($J621,Lists!$K$2:$L$4,2,FALSE()))/VLOOKUP($K621,Lists!$N$2:$O$6,2,FALSE()),2))</f>
        <v/>
      </c>
      <c r="M621" s="104" t="str">
        <f aca="false">IF($B621="","",IF($AC621&lt;&gt;"",$AC621,IF($H621="Critical","P0",IF(NOT(ISNUMBER($L621)),"",IF($L621&gt;=Lists!$AM$2,"P0",IF($L621&gt;=Lists!$AM$3,"P1",IF($L621&gt;=Lists!$AM$4,"P2","P3")))))))</f>
        <v/>
      </c>
      <c r="N621" s="102"/>
      <c r="O621" s="101"/>
      <c r="P621" s="102"/>
      <c r="Q621" s="105"/>
      <c r="R621" s="106" t="str">
        <f aca="true">IF($Q621="","", TODAY()-$Q621)</f>
        <v/>
      </c>
      <c r="S621" s="102"/>
      <c r="T621" s="105"/>
      <c r="U621" s="105"/>
      <c r="V621" s="101"/>
      <c r="W621" s="101"/>
      <c r="X621" s="101"/>
      <c r="Y621" s="96"/>
      <c r="Z621" s="96"/>
      <c r="AA621" s="96"/>
      <c r="AC621" s="102"/>
      <c r="AD621" s="107" t="str">
        <f aca="false">IF($B621="","",IF(ISNUMBER($T621),$T621,IF(OR(NOT(ISNUMBER($Q621)),$S621=""),"",IFERROR(IF(ISNUMBER(INDEX(Lists!$AJ$2:$AJ$7,MATCH($S621,Lists!$AI$2:$AI$7,0))),$Q621+INDEX(Lists!$AJ$2:$AJ$7,MATCH($S621,Lists!$AI$2:$AI$7,0)),""),""))))</f>
        <v/>
      </c>
      <c r="AE621" s="104" t="str">
        <f aca="true">IF($B621="","",IF(AND(ISNUMBER($AD621),N($AD621)&lt;TODAY(),$N621&lt;&gt;"Done",$N621&lt;&gt;"Won't Fix",$N621&lt;&gt;"Duplicate"),"Yes","No"))</f>
        <v/>
      </c>
      <c r="AF621" s="101"/>
      <c r="AG621" s="108" t="str">
        <f aca="false">IF($AF621="","",IFERROR(VLOOKUP($AF621,'Application Portfolio'!$A$2:$B$1000,2,FALSE()),"Unknown App ID"))</f>
        <v/>
      </c>
      <c r="AH621" s="108" t="str">
        <f aca="false">IF(OR($B621="",$AF621=""),"",IFERROR(VLOOKUP($AF621,'Application Portfolio'!$A$2:$AB$1000,28,FALSE()),""))</f>
        <v/>
      </c>
    </row>
    <row r="622" customFormat="false" ht="15.75" hidden="false" customHeight="true" outlineLevel="0" collapsed="false">
      <c r="A622" s="100"/>
      <c r="B622" s="101"/>
      <c r="C622" s="101"/>
      <c r="D622" s="101"/>
      <c r="E622" s="101"/>
      <c r="F622" s="102"/>
      <c r="G622" s="102"/>
      <c r="H622" s="102"/>
      <c r="I622" s="102"/>
      <c r="J622" s="102"/>
      <c r="K622" s="102"/>
      <c r="L622" s="103" t="str">
        <f aca="false">IF(OR($B622="", $H622="", $I622="", $J622="", $K622=""),"",ROUND((VLOOKUP($H622,Lists!$E$2:$F$5,2,FALSE())*VLOOKUP($I622,Lists!$H$2:$I$4,2,FALSE())*VLOOKUP($J622,Lists!$K$2:$L$4,2,FALSE()))/VLOOKUP($K622,Lists!$N$2:$O$6,2,FALSE()),2))</f>
        <v/>
      </c>
      <c r="M622" s="104" t="str">
        <f aca="false">IF($B622="","",IF($AC622&lt;&gt;"",$AC622,IF($H622="Critical","P0",IF(NOT(ISNUMBER($L622)),"",IF($L622&gt;=Lists!$AM$2,"P0",IF($L622&gt;=Lists!$AM$3,"P1",IF($L622&gt;=Lists!$AM$4,"P2","P3")))))))</f>
        <v/>
      </c>
      <c r="N622" s="102"/>
      <c r="O622" s="101"/>
      <c r="P622" s="102"/>
      <c r="Q622" s="105"/>
      <c r="R622" s="106" t="str">
        <f aca="true">IF($Q622="","", TODAY()-$Q622)</f>
        <v/>
      </c>
      <c r="S622" s="102"/>
      <c r="T622" s="105"/>
      <c r="U622" s="105"/>
      <c r="V622" s="101"/>
      <c r="W622" s="101"/>
      <c r="X622" s="101"/>
      <c r="Y622" s="96"/>
      <c r="Z622" s="96"/>
      <c r="AA622" s="96"/>
      <c r="AC622" s="102"/>
      <c r="AD622" s="107" t="str">
        <f aca="false">IF($B622="","",IF(ISNUMBER($T622),$T622,IF(OR(NOT(ISNUMBER($Q622)),$S622=""),"",IFERROR(IF(ISNUMBER(INDEX(Lists!$AJ$2:$AJ$7,MATCH($S622,Lists!$AI$2:$AI$7,0))),$Q622+INDEX(Lists!$AJ$2:$AJ$7,MATCH($S622,Lists!$AI$2:$AI$7,0)),""),""))))</f>
        <v/>
      </c>
      <c r="AE622" s="104" t="str">
        <f aca="true">IF($B622="","",IF(AND(ISNUMBER($AD622),N($AD622)&lt;TODAY(),$N622&lt;&gt;"Done",$N622&lt;&gt;"Won't Fix",$N622&lt;&gt;"Duplicate"),"Yes","No"))</f>
        <v/>
      </c>
      <c r="AF622" s="101"/>
      <c r="AG622" s="108" t="str">
        <f aca="false">IF($AF622="","",IFERROR(VLOOKUP($AF622,'Application Portfolio'!$A$2:$B$1000,2,FALSE()),"Unknown App ID"))</f>
        <v/>
      </c>
      <c r="AH622" s="108" t="str">
        <f aca="false">IF(OR($B622="",$AF622=""),"",IFERROR(VLOOKUP($AF622,'Application Portfolio'!$A$2:$AB$1000,28,FALSE()),""))</f>
        <v/>
      </c>
    </row>
    <row r="623" customFormat="false" ht="15.75" hidden="false" customHeight="true" outlineLevel="0" collapsed="false">
      <c r="A623" s="100"/>
      <c r="B623" s="101"/>
      <c r="C623" s="101"/>
      <c r="D623" s="101"/>
      <c r="E623" s="101"/>
      <c r="F623" s="102"/>
      <c r="G623" s="102"/>
      <c r="H623" s="102"/>
      <c r="I623" s="102"/>
      <c r="J623" s="102"/>
      <c r="K623" s="102"/>
      <c r="L623" s="103" t="str">
        <f aca="false">IF(OR($B623="", $H623="", $I623="", $J623="", $K623=""),"",ROUND((VLOOKUP($H623,Lists!$E$2:$F$5,2,FALSE())*VLOOKUP($I623,Lists!$H$2:$I$4,2,FALSE())*VLOOKUP($J623,Lists!$K$2:$L$4,2,FALSE()))/VLOOKUP($K623,Lists!$N$2:$O$6,2,FALSE()),2))</f>
        <v/>
      </c>
      <c r="M623" s="104" t="str">
        <f aca="false">IF($B623="","",IF($AC623&lt;&gt;"",$AC623,IF($H623="Critical","P0",IF(NOT(ISNUMBER($L623)),"",IF($L623&gt;=Lists!$AM$2,"P0",IF($L623&gt;=Lists!$AM$3,"P1",IF($L623&gt;=Lists!$AM$4,"P2","P3")))))))</f>
        <v/>
      </c>
      <c r="N623" s="102"/>
      <c r="O623" s="101"/>
      <c r="P623" s="102"/>
      <c r="Q623" s="105"/>
      <c r="R623" s="106" t="str">
        <f aca="true">IF($Q623="","", TODAY()-$Q623)</f>
        <v/>
      </c>
      <c r="S623" s="102"/>
      <c r="T623" s="105"/>
      <c r="U623" s="105"/>
      <c r="V623" s="101"/>
      <c r="W623" s="101"/>
      <c r="X623" s="101"/>
      <c r="Y623" s="96"/>
      <c r="Z623" s="96"/>
      <c r="AA623" s="96"/>
      <c r="AC623" s="102"/>
      <c r="AD623" s="107" t="str">
        <f aca="false">IF($B623="","",IF(ISNUMBER($T623),$T623,IF(OR(NOT(ISNUMBER($Q623)),$S623=""),"",IFERROR(IF(ISNUMBER(INDEX(Lists!$AJ$2:$AJ$7,MATCH($S623,Lists!$AI$2:$AI$7,0))),$Q623+INDEX(Lists!$AJ$2:$AJ$7,MATCH($S623,Lists!$AI$2:$AI$7,0)),""),""))))</f>
        <v/>
      </c>
      <c r="AE623" s="104" t="str">
        <f aca="true">IF($B623="","",IF(AND(ISNUMBER($AD623),N($AD623)&lt;TODAY(),$N623&lt;&gt;"Done",$N623&lt;&gt;"Won't Fix",$N623&lt;&gt;"Duplicate"),"Yes","No"))</f>
        <v/>
      </c>
      <c r="AF623" s="101"/>
      <c r="AG623" s="108" t="str">
        <f aca="false">IF($AF623="","",IFERROR(VLOOKUP($AF623,'Application Portfolio'!$A$2:$B$1000,2,FALSE()),"Unknown App ID"))</f>
        <v/>
      </c>
      <c r="AH623" s="108" t="str">
        <f aca="false">IF(OR($B623="",$AF623=""),"",IFERROR(VLOOKUP($AF623,'Application Portfolio'!$A$2:$AB$1000,28,FALSE()),""))</f>
        <v/>
      </c>
    </row>
    <row r="624" customFormat="false" ht="15.75" hidden="false" customHeight="true" outlineLevel="0" collapsed="false">
      <c r="A624" s="100"/>
      <c r="B624" s="101"/>
      <c r="C624" s="101"/>
      <c r="D624" s="101"/>
      <c r="E624" s="101"/>
      <c r="F624" s="102"/>
      <c r="G624" s="102"/>
      <c r="H624" s="102"/>
      <c r="I624" s="102"/>
      <c r="J624" s="102"/>
      <c r="K624" s="102"/>
      <c r="L624" s="103" t="str">
        <f aca="false">IF(OR($B624="", $H624="", $I624="", $J624="", $K624=""),"",ROUND((VLOOKUP($H624,Lists!$E$2:$F$5,2,FALSE())*VLOOKUP($I624,Lists!$H$2:$I$4,2,FALSE())*VLOOKUP($J624,Lists!$K$2:$L$4,2,FALSE()))/VLOOKUP($K624,Lists!$N$2:$O$6,2,FALSE()),2))</f>
        <v/>
      </c>
      <c r="M624" s="104" t="str">
        <f aca="false">IF($B624="","",IF($AC624&lt;&gt;"",$AC624,IF($H624="Critical","P0",IF(NOT(ISNUMBER($L624)),"",IF($L624&gt;=Lists!$AM$2,"P0",IF($L624&gt;=Lists!$AM$3,"P1",IF($L624&gt;=Lists!$AM$4,"P2","P3")))))))</f>
        <v/>
      </c>
      <c r="N624" s="102"/>
      <c r="O624" s="101"/>
      <c r="P624" s="102"/>
      <c r="Q624" s="105"/>
      <c r="R624" s="106" t="str">
        <f aca="true">IF($Q624="","", TODAY()-$Q624)</f>
        <v/>
      </c>
      <c r="S624" s="102"/>
      <c r="T624" s="105"/>
      <c r="U624" s="105"/>
      <c r="V624" s="101"/>
      <c r="W624" s="101"/>
      <c r="X624" s="101"/>
      <c r="Y624" s="96"/>
      <c r="Z624" s="96"/>
      <c r="AA624" s="96"/>
      <c r="AC624" s="102"/>
      <c r="AD624" s="107" t="str">
        <f aca="false">IF($B624="","",IF(ISNUMBER($T624),$T624,IF(OR(NOT(ISNUMBER($Q624)),$S624=""),"",IFERROR(IF(ISNUMBER(INDEX(Lists!$AJ$2:$AJ$7,MATCH($S624,Lists!$AI$2:$AI$7,0))),$Q624+INDEX(Lists!$AJ$2:$AJ$7,MATCH($S624,Lists!$AI$2:$AI$7,0)),""),""))))</f>
        <v/>
      </c>
      <c r="AE624" s="104" t="str">
        <f aca="true">IF($B624="","",IF(AND(ISNUMBER($AD624),N($AD624)&lt;TODAY(),$N624&lt;&gt;"Done",$N624&lt;&gt;"Won't Fix",$N624&lt;&gt;"Duplicate"),"Yes","No"))</f>
        <v/>
      </c>
      <c r="AF624" s="101"/>
      <c r="AG624" s="108" t="str">
        <f aca="false">IF($AF624="","",IFERROR(VLOOKUP($AF624,'Application Portfolio'!$A$2:$B$1000,2,FALSE()),"Unknown App ID"))</f>
        <v/>
      </c>
      <c r="AH624" s="108" t="str">
        <f aca="false">IF(OR($B624="",$AF624=""),"",IFERROR(VLOOKUP($AF624,'Application Portfolio'!$A$2:$AB$1000,28,FALSE()),""))</f>
        <v/>
      </c>
    </row>
    <row r="625" customFormat="false" ht="15.75" hidden="false" customHeight="true" outlineLevel="0" collapsed="false">
      <c r="A625" s="100"/>
      <c r="B625" s="101"/>
      <c r="C625" s="101"/>
      <c r="D625" s="101"/>
      <c r="E625" s="101"/>
      <c r="F625" s="102"/>
      <c r="G625" s="102"/>
      <c r="H625" s="102"/>
      <c r="I625" s="102"/>
      <c r="J625" s="102"/>
      <c r="K625" s="102"/>
      <c r="L625" s="103" t="str">
        <f aca="false">IF(OR($B625="", $H625="", $I625="", $J625="", $K625=""),"",ROUND((VLOOKUP($H625,Lists!$E$2:$F$5,2,FALSE())*VLOOKUP($I625,Lists!$H$2:$I$4,2,FALSE())*VLOOKUP($J625,Lists!$K$2:$L$4,2,FALSE()))/VLOOKUP($K625,Lists!$N$2:$O$6,2,FALSE()),2))</f>
        <v/>
      </c>
      <c r="M625" s="104" t="str">
        <f aca="false">IF($B625="","",IF($AC625&lt;&gt;"",$AC625,IF($H625="Critical","P0",IF(NOT(ISNUMBER($L625)),"",IF($L625&gt;=Lists!$AM$2,"P0",IF($L625&gt;=Lists!$AM$3,"P1",IF($L625&gt;=Lists!$AM$4,"P2","P3")))))))</f>
        <v/>
      </c>
      <c r="N625" s="102"/>
      <c r="O625" s="101"/>
      <c r="P625" s="102"/>
      <c r="Q625" s="105"/>
      <c r="R625" s="106" t="str">
        <f aca="true">IF($Q625="","", TODAY()-$Q625)</f>
        <v/>
      </c>
      <c r="S625" s="102"/>
      <c r="T625" s="105"/>
      <c r="U625" s="105"/>
      <c r="V625" s="101"/>
      <c r="W625" s="101"/>
      <c r="X625" s="101"/>
      <c r="Y625" s="96"/>
      <c r="Z625" s="96"/>
      <c r="AA625" s="96"/>
      <c r="AC625" s="102"/>
      <c r="AD625" s="107" t="str">
        <f aca="false">IF($B625="","",IF(ISNUMBER($T625),$T625,IF(OR(NOT(ISNUMBER($Q625)),$S625=""),"",IFERROR(IF(ISNUMBER(INDEX(Lists!$AJ$2:$AJ$7,MATCH($S625,Lists!$AI$2:$AI$7,0))),$Q625+INDEX(Lists!$AJ$2:$AJ$7,MATCH($S625,Lists!$AI$2:$AI$7,0)),""),""))))</f>
        <v/>
      </c>
      <c r="AE625" s="104" t="str">
        <f aca="true">IF($B625="","",IF(AND(ISNUMBER($AD625),N($AD625)&lt;TODAY(),$N625&lt;&gt;"Done",$N625&lt;&gt;"Won't Fix",$N625&lt;&gt;"Duplicate"),"Yes","No"))</f>
        <v/>
      </c>
      <c r="AF625" s="101"/>
      <c r="AG625" s="108" t="str">
        <f aca="false">IF($AF625="","",IFERROR(VLOOKUP($AF625,'Application Portfolio'!$A$2:$B$1000,2,FALSE()),"Unknown App ID"))</f>
        <v/>
      </c>
      <c r="AH625" s="108" t="str">
        <f aca="false">IF(OR($B625="",$AF625=""),"",IFERROR(VLOOKUP($AF625,'Application Portfolio'!$A$2:$AB$1000,28,FALSE()),""))</f>
        <v/>
      </c>
    </row>
    <row r="626" customFormat="false" ht="15.75" hidden="false" customHeight="true" outlineLevel="0" collapsed="false">
      <c r="A626" s="100"/>
      <c r="B626" s="101"/>
      <c r="C626" s="101"/>
      <c r="D626" s="101"/>
      <c r="E626" s="101"/>
      <c r="F626" s="102"/>
      <c r="G626" s="102"/>
      <c r="H626" s="102"/>
      <c r="I626" s="102"/>
      <c r="J626" s="102"/>
      <c r="K626" s="102"/>
      <c r="L626" s="103" t="str">
        <f aca="false">IF(OR($B626="", $H626="", $I626="", $J626="", $K626=""),"",ROUND((VLOOKUP($H626,Lists!$E$2:$F$5,2,FALSE())*VLOOKUP($I626,Lists!$H$2:$I$4,2,FALSE())*VLOOKUP($J626,Lists!$K$2:$L$4,2,FALSE()))/VLOOKUP($K626,Lists!$N$2:$O$6,2,FALSE()),2))</f>
        <v/>
      </c>
      <c r="M626" s="104" t="str">
        <f aca="false">IF($B626="","",IF($AC626&lt;&gt;"",$AC626,IF($H626="Critical","P0",IF(NOT(ISNUMBER($L626)),"",IF($L626&gt;=Lists!$AM$2,"P0",IF($L626&gt;=Lists!$AM$3,"P1",IF($L626&gt;=Lists!$AM$4,"P2","P3")))))))</f>
        <v/>
      </c>
      <c r="N626" s="102"/>
      <c r="O626" s="101"/>
      <c r="P626" s="102"/>
      <c r="Q626" s="105"/>
      <c r="R626" s="106" t="str">
        <f aca="true">IF($Q626="","", TODAY()-$Q626)</f>
        <v/>
      </c>
      <c r="S626" s="102"/>
      <c r="T626" s="105"/>
      <c r="U626" s="105"/>
      <c r="V626" s="101"/>
      <c r="W626" s="101"/>
      <c r="X626" s="101"/>
      <c r="Y626" s="96"/>
      <c r="Z626" s="96"/>
      <c r="AA626" s="96"/>
      <c r="AC626" s="102"/>
      <c r="AD626" s="107" t="str">
        <f aca="false">IF($B626="","",IF(ISNUMBER($T626),$T626,IF(OR(NOT(ISNUMBER($Q626)),$S626=""),"",IFERROR(IF(ISNUMBER(INDEX(Lists!$AJ$2:$AJ$7,MATCH($S626,Lists!$AI$2:$AI$7,0))),$Q626+INDEX(Lists!$AJ$2:$AJ$7,MATCH($S626,Lists!$AI$2:$AI$7,0)),""),""))))</f>
        <v/>
      </c>
      <c r="AE626" s="104" t="str">
        <f aca="true">IF($B626="","",IF(AND(ISNUMBER($AD626),N($AD626)&lt;TODAY(),$N626&lt;&gt;"Done",$N626&lt;&gt;"Won't Fix",$N626&lt;&gt;"Duplicate"),"Yes","No"))</f>
        <v/>
      </c>
      <c r="AF626" s="101"/>
      <c r="AG626" s="108" t="str">
        <f aca="false">IF($AF626="","",IFERROR(VLOOKUP($AF626,'Application Portfolio'!$A$2:$B$1000,2,FALSE()),"Unknown App ID"))</f>
        <v/>
      </c>
      <c r="AH626" s="108" t="str">
        <f aca="false">IF(OR($B626="",$AF626=""),"",IFERROR(VLOOKUP($AF626,'Application Portfolio'!$A$2:$AB$1000,28,FALSE()),""))</f>
        <v/>
      </c>
    </row>
    <row r="627" customFormat="false" ht="15.75" hidden="false" customHeight="true" outlineLevel="0" collapsed="false">
      <c r="A627" s="100"/>
      <c r="B627" s="101"/>
      <c r="C627" s="101"/>
      <c r="D627" s="101"/>
      <c r="E627" s="101"/>
      <c r="F627" s="102"/>
      <c r="G627" s="102"/>
      <c r="H627" s="102"/>
      <c r="I627" s="102"/>
      <c r="J627" s="102"/>
      <c r="K627" s="102"/>
      <c r="L627" s="103" t="str">
        <f aca="false">IF(OR($B627="", $H627="", $I627="", $J627="", $K627=""),"",ROUND((VLOOKUP($H627,Lists!$E$2:$F$5,2,FALSE())*VLOOKUP($I627,Lists!$H$2:$I$4,2,FALSE())*VLOOKUP($J627,Lists!$K$2:$L$4,2,FALSE()))/VLOOKUP($K627,Lists!$N$2:$O$6,2,FALSE()),2))</f>
        <v/>
      </c>
      <c r="M627" s="104" t="str">
        <f aca="false">IF($B627="","",IF($AC627&lt;&gt;"",$AC627,IF($H627="Critical","P0",IF(NOT(ISNUMBER($L627)),"",IF($L627&gt;=Lists!$AM$2,"P0",IF($L627&gt;=Lists!$AM$3,"P1",IF($L627&gt;=Lists!$AM$4,"P2","P3")))))))</f>
        <v/>
      </c>
      <c r="N627" s="102"/>
      <c r="O627" s="101"/>
      <c r="P627" s="102"/>
      <c r="Q627" s="105"/>
      <c r="R627" s="106" t="str">
        <f aca="true">IF($Q627="","", TODAY()-$Q627)</f>
        <v/>
      </c>
      <c r="S627" s="102"/>
      <c r="T627" s="105"/>
      <c r="U627" s="105"/>
      <c r="V627" s="101"/>
      <c r="W627" s="101"/>
      <c r="X627" s="101"/>
      <c r="Y627" s="96"/>
      <c r="Z627" s="96"/>
      <c r="AA627" s="96"/>
      <c r="AC627" s="102"/>
      <c r="AD627" s="107" t="str">
        <f aca="false">IF($B627="","",IF(ISNUMBER($T627),$T627,IF(OR(NOT(ISNUMBER($Q627)),$S627=""),"",IFERROR(IF(ISNUMBER(INDEX(Lists!$AJ$2:$AJ$7,MATCH($S627,Lists!$AI$2:$AI$7,0))),$Q627+INDEX(Lists!$AJ$2:$AJ$7,MATCH($S627,Lists!$AI$2:$AI$7,0)),""),""))))</f>
        <v/>
      </c>
      <c r="AE627" s="104" t="str">
        <f aca="true">IF($B627="","",IF(AND(ISNUMBER($AD627),N($AD627)&lt;TODAY(),$N627&lt;&gt;"Done",$N627&lt;&gt;"Won't Fix",$N627&lt;&gt;"Duplicate"),"Yes","No"))</f>
        <v/>
      </c>
      <c r="AF627" s="101"/>
      <c r="AG627" s="108" t="str">
        <f aca="false">IF($AF627="","",IFERROR(VLOOKUP($AF627,'Application Portfolio'!$A$2:$B$1000,2,FALSE()),"Unknown App ID"))</f>
        <v/>
      </c>
      <c r="AH627" s="108" t="str">
        <f aca="false">IF(OR($B627="",$AF627=""),"",IFERROR(VLOOKUP($AF627,'Application Portfolio'!$A$2:$AB$1000,28,FALSE()),""))</f>
        <v/>
      </c>
    </row>
    <row r="628" customFormat="false" ht="15.75" hidden="false" customHeight="true" outlineLevel="0" collapsed="false">
      <c r="A628" s="100"/>
      <c r="B628" s="101"/>
      <c r="C628" s="101"/>
      <c r="D628" s="101"/>
      <c r="E628" s="101"/>
      <c r="F628" s="102"/>
      <c r="G628" s="102"/>
      <c r="H628" s="102"/>
      <c r="I628" s="102"/>
      <c r="J628" s="102"/>
      <c r="K628" s="102"/>
      <c r="L628" s="103" t="str">
        <f aca="false">IF(OR($B628="", $H628="", $I628="", $J628="", $K628=""),"",ROUND((VLOOKUP($H628,Lists!$E$2:$F$5,2,FALSE())*VLOOKUP($I628,Lists!$H$2:$I$4,2,FALSE())*VLOOKUP($J628,Lists!$K$2:$L$4,2,FALSE()))/VLOOKUP($K628,Lists!$N$2:$O$6,2,FALSE()),2))</f>
        <v/>
      </c>
      <c r="M628" s="104" t="str">
        <f aca="false">IF($B628="","",IF($AC628&lt;&gt;"",$AC628,IF($H628="Critical","P0",IF(NOT(ISNUMBER($L628)),"",IF($L628&gt;=Lists!$AM$2,"P0",IF($L628&gt;=Lists!$AM$3,"P1",IF($L628&gt;=Lists!$AM$4,"P2","P3")))))))</f>
        <v/>
      </c>
      <c r="N628" s="102"/>
      <c r="O628" s="101"/>
      <c r="P628" s="102"/>
      <c r="Q628" s="105"/>
      <c r="R628" s="106" t="str">
        <f aca="true">IF($Q628="","", TODAY()-$Q628)</f>
        <v/>
      </c>
      <c r="S628" s="102"/>
      <c r="T628" s="105"/>
      <c r="U628" s="105"/>
      <c r="V628" s="101"/>
      <c r="W628" s="101"/>
      <c r="X628" s="101"/>
      <c r="Y628" s="96"/>
      <c r="Z628" s="96"/>
      <c r="AA628" s="96"/>
      <c r="AC628" s="102"/>
      <c r="AD628" s="107" t="str">
        <f aca="false">IF($B628="","",IF(ISNUMBER($T628),$T628,IF(OR(NOT(ISNUMBER($Q628)),$S628=""),"",IFERROR(IF(ISNUMBER(INDEX(Lists!$AJ$2:$AJ$7,MATCH($S628,Lists!$AI$2:$AI$7,0))),$Q628+INDEX(Lists!$AJ$2:$AJ$7,MATCH($S628,Lists!$AI$2:$AI$7,0)),""),""))))</f>
        <v/>
      </c>
      <c r="AE628" s="104" t="str">
        <f aca="true">IF($B628="","",IF(AND(ISNUMBER($AD628),N($AD628)&lt;TODAY(),$N628&lt;&gt;"Done",$N628&lt;&gt;"Won't Fix",$N628&lt;&gt;"Duplicate"),"Yes","No"))</f>
        <v/>
      </c>
      <c r="AF628" s="101"/>
      <c r="AG628" s="108" t="str">
        <f aca="false">IF($AF628="","",IFERROR(VLOOKUP($AF628,'Application Portfolio'!$A$2:$B$1000,2,FALSE()),"Unknown App ID"))</f>
        <v/>
      </c>
      <c r="AH628" s="108" t="str">
        <f aca="false">IF(OR($B628="",$AF628=""),"",IFERROR(VLOOKUP($AF628,'Application Portfolio'!$A$2:$AB$1000,28,FALSE()),""))</f>
        <v/>
      </c>
    </row>
    <row r="629" customFormat="false" ht="15.75" hidden="false" customHeight="true" outlineLevel="0" collapsed="false">
      <c r="A629" s="100"/>
      <c r="B629" s="101"/>
      <c r="C629" s="101"/>
      <c r="D629" s="101"/>
      <c r="E629" s="101"/>
      <c r="F629" s="102"/>
      <c r="G629" s="102"/>
      <c r="H629" s="102"/>
      <c r="I629" s="102"/>
      <c r="J629" s="102"/>
      <c r="K629" s="102"/>
      <c r="L629" s="103" t="str">
        <f aca="false">IF(OR($B629="", $H629="", $I629="", $J629="", $K629=""),"",ROUND((VLOOKUP($H629,Lists!$E$2:$F$5,2,FALSE())*VLOOKUP($I629,Lists!$H$2:$I$4,2,FALSE())*VLOOKUP($J629,Lists!$K$2:$L$4,2,FALSE()))/VLOOKUP($K629,Lists!$N$2:$O$6,2,FALSE()),2))</f>
        <v/>
      </c>
      <c r="M629" s="104" t="str">
        <f aca="false">IF($B629="","",IF($AC629&lt;&gt;"",$AC629,IF($H629="Critical","P0",IF(NOT(ISNUMBER($L629)),"",IF($L629&gt;=Lists!$AM$2,"P0",IF($L629&gt;=Lists!$AM$3,"P1",IF($L629&gt;=Lists!$AM$4,"P2","P3")))))))</f>
        <v/>
      </c>
      <c r="N629" s="102"/>
      <c r="O629" s="101"/>
      <c r="P629" s="102"/>
      <c r="Q629" s="105"/>
      <c r="R629" s="106" t="str">
        <f aca="true">IF($Q629="","", TODAY()-$Q629)</f>
        <v/>
      </c>
      <c r="S629" s="102"/>
      <c r="T629" s="105"/>
      <c r="U629" s="105"/>
      <c r="V629" s="101"/>
      <c r="W629" s="101"/>
      <c r="X629" s="101"/>
      <c r="Y629" s="96"/>
      <c r="Z629" s="96"/>
      <c r="AA629" s="96"/>
      <c r="AC629" s="102"/>
      <c r="AD629" s="107" t="str">
        <f aca="false">IF($B629="","",IF(ISNUMBER($T629),$T629,IF(OR(NOT(ISNUMBER($Q629)),$S629=""),"",IFERROR(IF(ISNUMBER(INDEX(Lists!$AJ$2:$AJ$7,MATCH($S629,Lists!$AI$2:$AI$7,0))),$Q629+INDEX(Lists!$AJ$2:$AJ$7,MATCH($S629,Lists!$AI$2:$AI$7,0)),""),""))))</f>
        <v/>
      </c>
      <c r="AE629" s="104" t="str">
        <f aca="true">IF($B629="","",IF(AND(ISNUMBER($AD629),N($AD629)&lt;TODAY(),$N629&lt;&gt;"Done",$N629&lt;&gt;"Won't Fix",$N629&lt;&gt;"Duplicate"),"Yes","No"))</f>
        <v/>
      </c>
      <c r="AF629" s="101"/>
      <c r="AG629" s="108" t="str">
        <f aca="false">IF($AF629="","",IFERROR(VLOOKUP($AF629,'Application Portfolio'!$A$2:$B$1000,2,FALSE()),"Unknown App ID"))</f>
        <v/>
      </c>
      <c r="AH629" s="108" t="str">
        <f aca="false">IF(OR($B629="",$AF629=""),"",IFERROR(VLOOKUP($AF629,'Application Portfolio'!$A$2:$AB$1000,28,FALSE()),""))</f>
        <v/>
      </c>
    </row>
    <row r="630" customFormat="false" ht="15.75" hidden="false" customHeight="true" outlineLevel="0" collapsed="false">
      <c r="A630" s="100"/>
      <c r="B630" s="101"/>
      <c r="C630" s="101"/>
      <c r="D630" s="101"/>
      <c r="E630" s="101"/>
      <c r="F630" s="102"/>
      <c r="G630" s="102"/>
      <c r="H630" s="102"/>
      <c r="I630" s="102"/>
      <c r="J630" s="102"/>
      <c r="K630" s="102"/>
      <c r="L630" s="103" t="str">
        <f aca="false">IF(OR($B630="", $H630="", $I630="", $J630="", $K630=""),"",ROUND((VLOOKUP($H630,Lists!$E$2:$F$5,2,FALSE())*VLOOKUP($I630,Lists!$H$2:$I$4,2,FALSE())*VLOOKUP($J630,Lists!$K$2:$L$4,2,FALSE()))/VLOOKUP($K630,Lists!$N$2:$O$6,2,FALSE()),2))</f>
        <v/>
      </c>
      <c r="M630" s="104" t="str">
        <f aca="false">IF($B630="","",IF($AC630&lt;&gt;"",$AC630,IF($H630="Critical","P0",IF(NOT(ISNUMBER($L630)),"",IF($L630&gt;=Lists!$AM$2,"P0",IF($L630&gt;=Lists!$AM$3,"P1",IF($L630&gt;=Lists!$AM$4,"P2","P3")))))))</f>
        <v/>
      </c>
      <c r="N630" s="102"/>
      <c r="O630" s="101"/>
      <c r="P630" s="102"/>
      <c r="Q630" s="105"/>
      <c r="R630" s="106" t="str">
        <f aca="true">IF($Q630="","", TODAY()-$Q630)</f>
        <v/>
      </c>
      <c r="S630" s="102"/>
      <c r="T630" s="105"/>
      <c r="U630" s="105"/>
      <c r="V630" s="101"/>
      <c r="W630" s="101"/>
      <c r="X630" s="101"/>
      <c r="Y630" s="96"/>
      <c r="Z630" s="96"/>
      <c r="AA630" s="96"/>
      <c r="AC630" s="102"/>
      <c r="AD630" s="107" t="str">
        <f aca="false">IF($B630="","",IF(ISNUMBER($T630),$T630,IF(OR(NOT(ISNUMBER($Q630)),$S630=""),"",IFERROR(IF(ISNUMBER(INDEX(Lists!$AJ$2:$AJ$7,MATCH($S630,Lists!$AI$2:$AI$7,0))),$Q630+INDEX(Lists!$AJ$2:$AJ$7,MATCH($S630,Lists!$AI$2:$AI$7,0)),""),""))))</f>
        <v/>
      </c>
      <c r="AE630" s="104" t="str">
        <f aca="true">IF($B630="","",IF(AND(ISNUMBER($AD630),N($AD630)&lt;TODAY(),$N630&lt;&gt;"Done",$N630&lt;&gt;"Won't Fix",$N630&lt;&gt;"Duplicate"),"Yes","No"))</f>
        <v/>
      </c>
      <c r="AF630" s="101"/>
      <c r="AG630" s="108" t="str">
        <f aca="false">IF($AF630="","",IFERROR(VLOOKUP($AF630,'Application Portfolio'!$A$2:$B$1000,2,FALSE()),"Unknown App ID"))</f>
        <v/>
      </c>
      <c r="AH630" s="108" t="str">
        <f aca="false">IF(OR($B630="",$AF630=""),"",IFERROR(VLOOKUP($AF630,'Application Portfolio'!$A$2:$AB$1000,28,FALSE()),""))</f>
        <v/>
      </c>
    </row>
    <row r="631" customFormat="false" ht="15.75" hidden="false" customHeight="true" outlineLevel="0" collapsed="false">
      <c r="A631" s="100"/>
      <c r="B631" s="101"/>
      <c r="C631" s="101"/>
      <c r="D631" s="101"/>
      <c r="E631" s="101"/>
      <c r="F631" s="102"/>
      <c r="G631" s="102"/>
      <c r="H631" s="102"/>
      <c r="I631" s="102"/>
      <c r="J631" s="102"/>
      <c r="K631" s="102"/>
      <c r="L631" s="103" t="str">
        <f aca="false">IF(OR($B631="", $H631="", $I631="", $J631="", $K631=""),"",ROUND((VLOOKUP($H631,Lists!$E$2:$F$5,2,FALSE())*VLOOKUP($I631,Lists!$H$2:$I$4,2,FALSE())*VLOOKUP($J631,Lists!$K$2:$L$4,2,FALSE()))/VLOOKUP($K631,Lists!$N$2:$O$6,2,FALSE()),2))</f>
        <v/>
      </c>
      <c r="M631" s="104" t="str">
        <f aca="false">IF($B631="","",IF($AC631&lt;&gt;"",$AC631,IF($H631="Critical","P0",IF(NOT(ISNUMBER($L631)),"",IF($L631&gt;=Lists!$AM$2,"P0",IF($L631&gt;=Lists!$AM$3,"P1",IF($L631&gt;=Lists!$AM$4,"P2","P3")))))))</f>
        <v/>
      </c>
      <c r="N631" s="102"/>
      <c r="O631" s="101"/>
      <c r="P631" s="102"/>
      <c r="Q631" s="105"/>
      <c r="R631" s="106" t="str">
        <f aca="true">IF($Q631="","", TODAY()-$Q631)</f>
        <v/>
      </c>
      <c r="S631" s="102"/>
      <c r="T631" s="105"/>
      <c r="U631" s="105"/>
      <c r="V631" s="101"/>
      <c r="W631" s="101"/>
      <c r="X631" s="101"/>
      <c r="Y631" s="96"/>
      <c r="Z631" s="96"/>
      <c r="AA631" s="96"/>
      <c r="AC631" s="102"/>
      <c r="AD631" s="107" t="str">
        <f aca="false">IF($B631="","",IF(ISNUMBER($T631),$T631,IF(OR(NOT(ISNUMBER($Q631)),$S631=""),"",IFERROR(IF(ISNUMBER(INDEX(Lists!$AJ$2:$AJ$7,MATCH($S631,Lists!$AI$2:$AI$7,0))),$Q631+INDEX(Lists!$AJ$2:$AJ$7,MATCH($S631,Lists!$AI$2:$AI$7,0)),""),""))))</f>
        <v/>
      </c>
      <c r="AE631" s="104" t="str">
        <f aca="true">IF($B631="","",IF(AND(ISNUMBER($AD631),N($AD631)&lt;TODAY(),$N631&lt;&gt;"Done",$N631&lt;&gt;"Won't Fix",$N631&lt;&gt;"Duplicate"),"Yes","No"))</f>
        <v/>
      </c>
      <c r="AF631" s="101"/>
      <c r="AG631" s="108" t="str">
        <f aca="false">IF($AF631="","",IFERROR(VLOOKUP($AF631,'Application Portfolio'!$A$2:$B$1000,2,FALSE()),"Unknown App ID"))</f>
        <v/>
      </c>
      <c r="AH631" s="108" t="str">
        <f aca="false">IF(OR($B631="",$AF631=""),"",IFERROR(VLOOKUP($AF631,'Application Portfolio'!$A$2:$AB$1000,28,FALSE()),""))</f>
        <v/>
      </c>
    </row>
    <row r="632" customFormat="false" ht="15.75" hidden="false" customHeight="true" outlineLevel="0" collapsed="false">
      <c r="A632" s="100"/>
      <c r="B632" s="101"/>
      <c r="C632" s="101"/>
      <c r="D632" s="101"/>
      <c r="E632" s="101"/>
      <c r="F632" s="102"/>
      <c r="G632" s="102"/>
      <c r="H632" s="102"/>
      <c r="I632" s="102"/>
      <c r="J632" s="102"/>
      <c r="K632" s="102"/>
      <c r="L632" s="103" t="str">
        <f aca="false">IF(OR($B632="", $H632="", $I632="", $J632="", $K632=""),"",ROUND((VLOOKUP($H632,Lists!$E$2:$F$5,2,FALSE())*VLOOKUP($I632,Lists!$H$2:$I$4,2,FALSE())*VLOOKUP($J632,Lists!$K$2:$L$4,2,FALSE()))/VLOOKUP($K632,Lists!$N$2:$O$6,2,FALSE()),2))</f>
        <v/>
      </c>
      <c r="M632" s="104" t="str">
        <f aca="false">IF($B632="","",IF($AC632&lt;&gt;"",$AC632,IF($H632="Critical","P0",IF(NOT(ISNUMBER($L632)),"",IF($L632&gt;=Lists!$AM$2,"P0",IF($L632&gt;=Lists!$AM$3,"P1",IF($L632&gt;=Lists!$AM$4,"P2","P3")))))))</f>
        <v/>
      </c>
      <c r="N632" s="102"/>
      <c r="O632" s="101"/>
      <c r="P632" s="102"/>
      <c r="Q632" s="105"/>
      <c r="R632" s="106" t="str">
        <f aca="true">IF($Q632="","", TODAY()-$Q632)</f>
        <v/>
      </c>
      <c r="S632" s="102"/>
      <c r="T632" s="105"/>
      <c r="U632" s="105"/>
      <c r="V632" s="101"/>
      <c r="W632" s="101"/>
      <c r="X632" s="101"/>
      <c r="Y632" s="96"/>
      <c r="Z632" s="96"/>
      <c r="AA632" s="96"/>
      <c r="AC632" s="102"/>
      <c r="AD632" s="107" t="str">
        <f aca="false">IF($B632="","",IF(ISNUMBER($T632),$T632,IF(OR(NOT(ISNUMBER($Q632)),$S632=""),"",IFERROR(IF(ISNUMBER(INDEX(Lists!$AJ$2:$AJ$7,MATCH($S632,Lists!$AI$2:$AI$7,0))),$Q632+INDEX(Lists!$AJ$2:$AJ$7,MATCH($S632,Lists!$AI$2:$AI$7,0)),""),""))))</f>
        <v/>
      </c>
      <c r="AE632" s="104" t="str">
        <f aca="true">IF($B632="","",IF(AND(ISNUMBER($AD632),N($AD632)&lt;TODAY(),$N632&lt;&gt;"Done",$N632&lt;&gt;"Won't Fix",$N632&lt;&gt;"Duplicate"),"Yes","No"))</f>
        <v/>
      </c>
      <c r="AF632" s="101"/>
      <c r="AG632" s="108" t="str">
        <f aca="false">IF($AF632="","",IFERROR(VLOOKUP($AF632,'Application Portfolio'!$A$2:$B$1000,2,FALSE()),"Unknown App ID"))</f>
        <v/>
      </c>
      <c r="AH632" s="108" t="str">
        <f aca="false">IF(OR($B632="",$AF632=""),"",IFERROR(VLOOKUP($AF632,'Application Portfolio'!$A$2:$AB$1000,28,FALSE()),""))</f>
        <v/>
      </c>
    </row>
    <row r="633" customFormat="false" ht="15.75" hidden="false" customHeight="true" outlineLevel="0" collapsed="false">
      <c r="A633" s="100"/>
      <c r="B633" s="101"/>
      <c r="C633" s="101"/>
      <c r="D633" s="101"/>
      <c r="E633" s="101"/>
      <c r="F633" s="102"/>
      <c r="G633" s="102"/>
      <c r="H633" s="102"/>
      <c r="I633" s="102"/>
      <c r="J633" s="102"/>
      <c r="K633" s="102"/>
      <c r="L633" s="103" t="str">
        <f aca="false">IF(OR($B633="", $H633="", $I633="", $J633="", $K633=""),"",ROUND((VLOOKUP($H633,Lists!$E$2:$F$5,2,FALSE())*VLOOKUP($I633,Lists!$H$2:$I$4,2,FALSE())*VLOOKUP($J633,Lists!$K$2:$L$4,2,FALSE()))/VLOOKUP($K633,Lists!$N$2:$O$6,2,FALSE()),2))</f>
        <v/>
      </c>
      <c r="M633" s="104" t="str">
        <f aca="false">IF($B633="","",IF($AC633&lt;&gt;"",$AC633,IF($H633="Critical","P0",IF(NOT(ISNUMBER($L633)),"",IF($L633&gt;=Lists!$AM$2,"P0",IF($L633&gt;=Lists!$AM$3,"P1",IF($L633&gt;=Lists!$AM$4,"P2","P3")))))))</f>
        <v/>
      </c>
      <c r="N633" s="102"/>
      <c r="O633" s="101"/>
      <c r="P633" s="102"/>
      <c r="Q633" s="105"/>
      <c r="R633" s="106" t="str">
        <f aca="true">IF($Q633="","", TODAY()-$Q633)</f>
        <v/>
      </c>
      <c r="S633" s="102"/>
      <c r="T633" s="105"/>
      <c r="U633" s="105"/>
      <c r="V633" s="101"/>
      <c r="W633" s="101"/>
      <c r="X633" s="101"/>
      <c r="Y633" s="96"/>
      <c r="Z633" s="96"/>
      <c r="AA633" s="96"/>
      <c r="AC633" s="102"/>
      <c r="AD633" s="107" t="str">
        <f aca="false">IF($B633="","",IF(ISNUMBER($T633),$T633,IF(OR(NOT(ISNUMBER($Q633)),$S633=""),"",IFERROR(IF(ISNUMBER(INDEX(Lists!$AJ$2:$AJ$7,MATCH($S633,Lists!$AI$2:$AI$7,0))),$Q633+INDEX(Lists!$AJ$2:$AJ$7,MATCH($S633,Lists!$AI$2:$AI$7,0)),""),""))))</f>
        <v/>
      </c>
      <c r="AE633" s="104" t="str">
        <f aca="true">IF($B633="","",IF(AND(ISNUMBER($AD633),N($AD633)&lt;TODAY(),$N633&lt;&gt;"Done",$N633&lt;&gt;"Won't Fix",$N633&lt;&gt;"Duplicate"),"Yes","No"))</f>
        <v/>
      </c>
      <c r="AF633" s="101"/>
      <c r="AG633" s="108" t="str">
        <f aca="false">IF($AF633="","",IFERROR(VLOOKUP($AF633,'Application Portfolio'!$A$2:$B$1000,2,FALSE()),"Unknown App ID"))</f>
        <v/>
      </c>
      <c r="AH633" s="108" t="str">
        <f aca="false">IF(OR($B633="",$AF633=""),"",IFERROR(VLOOKUP($AF633,'Application Portfolio'!$A$2:$AB$1000,28,FALSE()),""))</f>
        <v/>
      </c>
    </row>
    <row r="634" customFormat="false" ht="15.75" hidden="false" customHeight="true" outlineLevel="0" collapsed="false">
      <c r="A634" s="100"/>
      <c r="B634" s="101"/>
      <c r="C634" s="101"/>
      <c r="D634" s="101"/>
      <c r="E634" s="101"/>
      <c r="F634" s="102"/>
      <c r="G634" s="102"/>
      <c r="H634" s="102"/>
      <c r="I634" s="102"/>
      <c r="J634" s="102"/>
      <c r="K634" s="102"/>
      <c r="L634" s="103" t="str">
        <f aca="false">IF(OR($B634="", $H634="", $I634="", $J634="", $K634=""),"",ROUND((VLOOKUP($H634,Lists!$E$2:$F$5,2,FALSE())*VLOOKUP($I634,Lists!$H$2:$I$4,2,FALSE())*VLOOKUP($J634,Lists!$K$2:$L$4,2,FALSE()))/VLOOKUP($K634,Lists!$N$2:$O$6,2,FALSE()),2))</f>
        <v/>
      </c>
      <c r="M634" s="104" t="str">
        <f aca="false">IF($B634="","",IF($AC634&lt;&gt;"",$AC634,IF($H634="Critical","P0",IF(NOT(ISNUMBER($L634)),"",IF($L634&gt;=Lists!$AM$2,"P0",IF($L634&gt;=Lists!$AM$3,"P1",IF($L634&gt;=Lists!$AM$4,"P2","P3")))))))</f>
        <v/>
      </c>
      <c r="N634" s="102"/>
      <c r="O634" s="101"/>
      <c r="P634" s="102"/>
      <c r="Q634" s="105"/>
      <c r="R634" s="106" t="str">
        <f aca="true">IF($Q634="","", TODAY()-$Q634)</f>
        <v/>
      </c>
      <c r="S634" s="102"/>
      <c r="T634" s="105"/>
      <c r="U634" s="105"/>
      <c r="V634" s="101"/>
      <c r="W634" s="101"/>
      <c r="X634" s="101"/>
      <c r="Y634" s="96"/>
      <c r="Z634" s="96"/>
      <c r="AA634" s="96"/>
      <c r="AC634" s="102"/>
      <c r="AD634" s="107" t="str">
        <f aca="false">IF($B634="","",IF(ISNUMBER($T634),$T634,IF(OR(NOT(ISNUMBER($Q634)),$S634=""),"",IFERROR(IF(ISNUMBER(INDEX(Lists!$AJ$2:$AJ$7,MATCH($S634,Lists!$AI$2:$AI$7,0))),$Q634+INDEX(Lists!$AJ$2:$AJ$7,MATCH($S634,Lists!$AI$2:$AI$7,0)),""),""))))</f>
        <v/>
      </c>
      <c r="AE634" s="104" t="str">
        <f aca="true">IF($B634="","",IF(AND(ISNUMBER($AD634),N($AD634)&lt;TODAY(),$N634&lt;&gt;"Done",$N634&lt;&gt;"Won't Fix",$N634&lt;&gt;"Duplicate"),"Yes","No"))</f>
        <v/>
      </c>
      <c r="AF634" s="101"/>
      <c r="AG634" s="108" t="str">
        <f aca="false">IF($AF634="","",IFERROR(VLOOKUP($AF634,'Application Portfolio'!$A$2:$B$1000,2,FALSE()),"Unknown App ID"))</f>
        <v/>
      </c>
      <c r="AH634" s="108" t="str">
        <f aca="false">IF(OR($B634="",$AF634=""),"",IFERROR(VLOOKUP($AF634,'Application Portfolio'!$A$2:$AB$1000,28,FALSE()),""))</f>
        <v/>
      </c>
    </row>
    <row r="635" customFormat="false" ht="15.75" hidden="false" customHeight="true" outlineLevel="0" collapsed="false">
      <c r="A635" s="100"/>
      <c r="B635" s="101"/>
      <c r="C635" s="101"/>
      <c r="D635" s="101"/>
      <c r="E635" s="101"/>
      <c r="F635" s="102"/>
      <c r="G635" s="102"/>
      <c r="H635" s="102"/>
      <c r="I635" s="102"/>
      <c r="J635" s="102"/>
      <c r="K635" s="102"/>
      <c r="L635" s="103" t="str">
        <f aca="false">IF(OR($B635="", $H635="", $I635="", $J635="", $K635=""),"",ROUND((VLOOKUP($H635,Lists!$E$2:$F$5,2,FALSE())*VLOOKUP($I635,Lists!$H$2:$I$4,2,FALSE())*VLOOKUP($J635,Lists!$K$2:$L$4,2,FALSE()))/VLOOKUP($K635,Lists!$N$2:$O$6,2,FALSE()),2))</f>
        <v/>
      </c>
      <c r="M635" s="104" t="str">
        <f aca="false">IF($B635="","",IF($AC635&lt;&gt;"",$AC635,IF($H635="Critical","P0",IF(NOT(ISNUMBER($L635)),"",IF($L635&gt;=Lists!$AM$2,"P0",IF($L635&gt;=Lists!$AM$3,"P1",IF($L635&gt;=Lists!$AM$4,"P2","P3")))))))</f>
        <v/>
      </c>
      <c r="N635" s="102"/>
      <c r="O635" s="101"/>
      <c r="P635" s="102"/>
      <c r="Q635" s="105"/>
      <c r="R635" s="106" t="str">
        <f aca="true">IF($Q635="","", TODAY()-$Q635)</f>
        <v/>
      </c>
      <c r="S635" s="102"/>
      <c r="T635" s="105"/>
      <c r="U635" s="105"/>
      <c r="V635" s="101"/>
      <c r="W635" s="101"/>
      <c r="X635" s="101"/>
      <c r="Y635" s="96"/>
      <c r="Z635" s="96"/>
      <c r="AA635" s="96"/>
      <c r="AC635" s="102"/>
      <c r="AD635" s="107" t="str">
        <f aca="false">IF($B635="","",IF(ISNUMBER($T635),$T635,IF(OR(NOT(ISNUMBER($Q635)),$S635=""),"",IFERROR(IF(ISNUMBER(INDEX(Lists!$AJ$2:$AJ$7,MATCH($S635,Lists!$AI$2:$AI$7,0))),$Q635+INDEX(Lists!$AJ$2:$AJ$7,MATCH($S635,Lists!$AI$2:$AI$7,0)),""),""))))</f>
        <v/>
      </c>
      <c r="AE635" s="104" t="str">
        <f aca="true">IF($B635="","",IF(AND(ISNUMBER($AD635),N($AD635)&lt;TODAY(),$N635&lt;&gt;"Done",$N635&lt;&gt;"Won't Fix",$N635&lt;&gt;"Duplicate"),"Yes","No"))</f>
        <v/>
      </c>
      <c r="AF635" s="101"/>
      <c r="AG635" s="108" t="str">
        <f aca="false">IF($AF635="","",IFERROR(VLOOKUP($AF635,'Application Portfolio'!$A$2:$B$1000,2,FALSE()),"Unknown App ID"))</f>
        <v/>
      </c>
      <c r="AH635" s="108" t="str">
        <f aca="false">IF(OR($B635="",$AF635=""),"",IFERROR(VLOOKUP($AF635,'Application Portfolio'!$A$2:$AB$1000,28,FALSE()),""))</f>
        <v/>
      </c>
    </row>
    <row r="636" customFormat="false" ht="15.75" hidden="false" customHeight="true" outlineLevel="0" collapsed="false">
      <c r="A636" s="100"/>
      <c r="B636" s="101"/>
      <c r="C636" s="101"/>
      <c r="D636" s="101"/>
      <c r="E636" s="101"/>
      <c r="F636" s="102"/>
      <c r="G636" s="102"/>
      <c r="H636" s="102"/>
      <c r="I636" s="102"/>
      <c r="J636" s="102"/>
      <c r="K636" s="102"/>
      <c r="L636" s="103" t="str">
        <f aca="false">IF(OR($B636="", $H636="", $I636="", $J636="", $K636=""),"",ROUND((VLOOKUP($H636,Lists!$E$2:$F$5,2,FALSE())*VLOOKUP($I636,Lists!$H$2:$I$4,2,FALSE())*VLOOKUP($J636,Lists!$K$2:$L$4,2,FALSE()))/VLOOKUP($K636,Lists!$N$2:$O$6,2,FALSE()),2))</f>
        <v/>
      </c>
      <c r="M636" s="104" t="str">
        <f aca="false">IF($B636="","",IF($AC636&lt;&gt;"",$AC636,IF($H636="Critical","P0",IF(NOT(ISNUMBER($L636)),"",IF($L636&gt;=Lists!$AM$2,"P0",IF($L636&gt;=Lists!$AM$3,"P1",IF($L636&gt;=Lists!$AM$4,"P2","P3")))))))</f>
        <v/>
      </c>
      <c r="N636" s="102"/>
      <c r="O636" s="101"/>
      <c r="P636" s="102"/>
      <c r="Q636" s="105"/>
      <c r="R636" s="106" t="str">
        <f aca="true">IF($Q636="","", TODAY()-$Q636)</f>
        <v/>
      </c>
      <c r="S636" s="102"/>
      <c r="T636" s="105"/>
      <c r="U636" s="105"/>
      <c r="V636" s="101"/>
      <c r="W636" s="101"/>
      <c r="X636" s="101"/>
      <c r="Y636" s="96"/>
      <c r="Z636" s="96"/>
      <c r="AA636" s="96"/>
      <c r="AC636" s="102"/>
      <c r="AD636" s="107" t="str">
        <f aca="false">IF($B636="","",IF(ISNUMBER($T636),$T636,IF(OR(NOT(ISNUMBER($Q636)),$S636=""),"",IFERROR(IF(ISNUMBER(INDEX(Lists!$AJ$2:$AJ$7,MATCH($S636,Lists!$AI$2:$AI$7,0))),$Q636+INDEX(Lists!$AJ$2:$AJ$7,MATCH($S636,Lists!$AI$2:$AI$7,0)),""),""))))</f>
        <v/>
      </c>
      <c r="AE636" s="104" t="str">
        <f aca="true">IF($B636="","",IF(AND(ISNUMBER($AD636),N($AD636)&lt;TODAY(),$N636&lt;&gt;"Done",$N636&lt;&gt;"Won't Fix",$N636&lt;&gt;"Duplicate"),"Yes","No"))</f>
        <v/>
      </c>
      <c r="AF636" s="101"/>
      <c r="AG636" s="108" t="str">
        <f aca="false">IF($AF636="","",IFERROR(VLOOKUP($AF636,'Application Portfolio'!$A$2:$B$1000,2,FALSE()),"Unknown App ID"))</f>
        <v/>
      </c>
      <c r="AH636" s="108" t="str">
        <f aca="false">IF(OR($B636="",$AF636=""),"",IFERROR(VLOOKUP($AF636,'Application Portfolio'!$A$2:$AB$1000,28,FALSE()),""))</f>
        <v/>
      </c>
    </row>
    <row r="637" customFormat="false" ht="15.75" hidden="false" customHeight="true" outlineLevel="0" collapsed="false">
      <c r="A637" s="100"/>
      <c r="B637" s="101"/>
      <c r="C637" s="101"/>
      <c r="D637" s="101"/>
      <c r="E637" s="101"/>
      <c r="F637" s="102"/>
      <c r="G637" s="102"/>
      <c r="H637" s="102"/>
      <c r="I637" s="102"/>
      <c r="J637" s="102"/>
      <c r="K637" s="102"/>
      <c r="L637" s="103" t="str">
        <f aca="false">IF(OR($B637="", $H637="", $I637="", $J637="", $K637=""),"",ROUND((VLOOKUP($H637,Lists!$E$2:$F$5,2,FALSE())*VLOOKUP($I637,Lists!$H$2:$I$4,2,FALSE())*VLOOKUP($J637,Lists!$K$2:$L$4,2,FALSE()))/VLOOKUP($K637,Lists!$N$2:$O$6,2,FALSE()),2))</f>
        <v/>
      </c>
      <c r="M637" s="104" t="str">
        <f aca="false">IF($B637="","",IF($AC637&lt;&gt;"",$AC637,IF($H637="Critical","P0",IF(NOT(ISNUMBER($L637)),"",IF($L637&gt;=Lists!$AM$2,"P0",IF($L637&gt;=Lists!$AM$3,"P1",IF($L637&gt;=Lists!$AM$4,"P2","P3")))))))</f>
        <v/>
      </c>
      <c r="N637" s="102"/>
      <c r="O637" s="101"/>
      <c r="P637" s="102"/>
      <c r="Q637" s="105"/>
      <c r="R637" s="106" t="str">
        <f aca="true">IF($Q637="","", TODAY()-$Q637)</f>
        <v/>
      </c>
      <c r="S637" s="102"/>
      <c r="T637" s="105"/>
      <c r="U637" s="105"/>
      <c r="V637" s="101"/>
      <c r="W637" s="101"/>
      <c r="X637" s="101"/>
      <c r="Y637" s="96"/>
      <c r="Z637" s="96"/>
      <c r="AA637" s="96"/>
      <c r="AC637" s="102"/>
      <c r="AD637" s="107" t="str">
        <f aca="false">IF($B637="","",IF(ISNUMBER($T637),$T637,IF(OR(NOT(ISNUMBER($Q637)),$S637=""),"",IFERROR(IF(ISNUMBER(INDEX(Lists!$AJ$2:$AJ$7,MATCH($S637,Lists!$AI$2:$AI$7,0))),$Q637+INDEX(Lists!$AJ$2:$AJ$7,MATCH($S637,Lists!$AI$2:$AI$7,0)),""),""))))</f>
        <v/>
      </c>
      <c r="AE637" s="104" t="str">
        <f aca="true">IF($B637="","",IF(AND(ISNUMBER($AD637),N($AD637)&lt;TODAY(),$N637&lt;&gt;"Done",$N637&lt;&gt;"Won't Fix",$N637&lt;&gt;"Duplicate"),"Yes","No"))</f>
        <v/>
      </c>
      <c r="AF637" s="101"/>
      <c r="AG637" s="108" t="str">
        <f aca="false">IF($AF637="","",IFERROR(VLOOKUP($AF637,'Application Portfolio'!$A$2:$B$1000,2,FALSE()),"Unknown App ID"))</f>
        <v/>
      </c>
      <c r="AH637" s="108" t="str">
        <f aca="false">IF(OR($B637="",$AF637=""),"",IFERROR(VLOOKUP($AF637,'Application Portfolio'!$A$2:$AB$1000,28,FALSE()),""))</f>
        <v/>
      </c>
    </row>
    <row r="638" customFormat="false" ht="15.75" hidden="false" customHeight="true" outlineLevel="0" collapsed="false">
      <c r="A638" s="100"/>
      <c r="B638" s="101"/>
      <c r="C638" s="101"/>
      <c r="D638" s="101"/>
      <c r="E638" s="101"/>
      <c r="F638" s="102"/>
      <c r="G638" s="102"/>
      <c r="H638" s="102"/>
      <c r="I638" s="102"/>
      <c r="J638" s="102"/>
      <c r="K638" s="102"/>
      <c r="L638" s="103" t="str">
        <f aca="false">IF(OR($B638="", $H638="", $I638="", $J638="", $K638=""),"",ROUND((VLOOKUP($H638,Lists!$E$2:$F$5,2,FALSE())*VLOOKUP($I638,Lists!$H$2:$I$4,2,FALSE())*VLOOKUP($J638,Lists!$K$2:$L$4,2,FALSE()))/VLOOKUP($K638,Lists!$N$2:$O$6,2,FALSE()),2))</f>
        <v/>
      </c>
      <c r="M638" s="104" t="str">
        <f aca="false">IF($B638="","",IF($AC638&lt;&gt;"",$AC638,IF($H638="Critical","P0",IF(NOT(ISNUMBER($L638)),"",IF($L638&gt;=Lists!$AM$2,"P0",IF($L638&gt;=Lists!$AM$3,"P1",IF($L638&gt;=Lists!$AM$4,"P2","P3")))))))</f>
        <v/>
      </c>
      <c r="N638" s="102"/>
      <c r="O638" s="101"/>
      <c r="P638" s="102"/>
      <c r="Q638" s="105"/>
      <c r="R638" s="106" t="str">
        <f aca="true">IF($Q638="","", TODAY()-$Q638)</f>
        <v/>
      </c>
      <c r="S638" s="102"/>
      <c r="T638" s="105"/>
      <c r="U638" s="105"/>
      <c r="V638" s="101"/>
      <c r="W638" s="101"/>
      <c r="X638" s="101"/>
      <c r="Y638" s="96"/>
      <c r="Z638" s="96"/>
      <c r="AA638" s="96"/>
      <c r="AC638" s="102"/>
      <c r="AD638" s="107" t="str">
        <f aca="false">IF($B638="","",IF(ISNUMBER($T638),$T638,IF(OR(NOT(ISNUMBER($Q638)),$S638=""),"",IFERROR(IF(ISNUMBER(INDEX(Lists!$AJ$2:$AJ$7,MATCH($S638,Lists!$AI$2:$AI$7,0))),$Q638+INDEX(Lists!$AJ$2:$AJ$7,MATCH($S638,Lists!$AI$2:$AI$7,0)),""),""))))</f>
        <v/>
      </c>
      <c r="AE638" s="104" t="str">
        <f aca="true">IF($B638="","",IF(AND(ISNUMBER($AD638),N($AD638)&lt;TODAY(),$N638&lt;&gt;"Done",$N638&lt;&gt;"Won't Fix",$N638&lt;&gt;"Duplicate"),"Yes","No"))</f>
        <v/>
      </c>
      <c r="AF638" s="101"/>
      <c r="AG638" s="108" t="str">
        <f aca="false">IF($AF638="","",IFERROR(VLOOKUP($AF638,'Application Portfolio'!$A$2:$B$1000,2,FALSE()),"Unknown App ID"))</f>
        <v/>
      </c>
      <c r="AH638" s="108" t="str">
        <f aca="false">IF(OR($B638="",$AF638=""),"",IFERROR(VLOOKUP($AF638,'Application Portfolio'!$A$2:$AB$1000,28,FALSE()),""))</f>
        <v/>
      </c>
    </row>
    <row r="639" customFormat="false" ht="15.75" hidden="false" customHeight="true" outlineLevel="0" collapsed="false">
      <c r="A639" s="100"/>
      <c r="B639" s="101"/>
      <c r="C639" s="101"/>
      <c r="D639" s="101"/>
      <c r="E639" s="101"/>
      <c r="F639" s="102"/>
      <c r="G639" s="102"/>
      <c r="H639" s="102"/>
      <c r="I639" s="102"/>
      <c r="J639" s="102"/>
      <c r="K639" s="102"/>
      <c r="L639" s="103" t="str">
        <f aca="false">IF(OR($B639="", $H639="", $I639="", $J639="", $K639=""),"",ROUND((VLOOKUP($H639,Lists!$E$2:$F$5,2,FALSE())*VLOOKUP($I639,Lists!$H$2:$I$4,2,FALSE())*VLOOKUP($J639,Lists!$K$2:$L$4,2,FALSE()))/VLOOKUP($K639,Lists!$N$2:$O$6,2,FALSE()),2))</f>
        <v/>
      </c>
      <c r="M639" s="104" t="str">
        <f aca="false">IF($B639="","",IF($AC639&lt;&gt;"",$AC639,IF($H639="Critical","P0",IF(NOT(ISNUMBER($L639)),"",IF($L639&gt;=Lists!$AM$2,"P0",IF($L639&gt;=Lists!$AM$3,"P1",IF($L639&gt;=Lists!$AM$4,"P2","P3")))))))</f>
        <v/>
      </c>
      <c r="N639" s="102"/>
      <c r="O639" s="101"/>
      <c r="P639" s="102"/>
      <c r="Q639" s="105"/>
      <c r="R639" s="106" t="str">
        <f aca="true">IF($Q639="","", TODAY()-$Q639)</f>
        <v/>
      </c>
      <c r="S639" s="102"/>
      <c r="T639" s="105"/>
      <c r="U639" s="105"/>
      <c r="V639" s="101"/>
      <c r="W639" s="101"/>
      <c r="X639" s="101"/>
      <c r="Y639" s="96"/>
      <c r="Z639" s="96"/>
      <c r="AA639" s="96"/>
      <c r="AC639" s="102"/>
      <c r="AD639" s="107" t="str">
        <f aca="false">IF($B639="","",IF(ISNUMBER($T639),$T639,IF(OR(NOT(ISNUMBER($Q639)),$S639=""),"",IFERROR(IF(ISNUMBER(INDEX(Lists!$AJ$2:$AJ$7,MATCH($S639,Lists!$AI$2:$AI$7,0))),$Q639+INDEX(Lists!$AJ$2:$AJ$7,MATCH($S639,Lists!$AI$2:$AI$7,0)),""),""))))</f>
        <v/>
      </c>
      <c r="AE639" s="104" t="str">
        <f aca="true">IF($B639="","",IF(AND(ISNUMBER($AD639),N($AD639)&lt;TODAY(),$N639&lt;&gt;"Done",$N639&lt;&gt;"Won't Fix",$N639&lt;&gt;"Duplicate"),"Yes","No"))</f>
        <v/>
      </c>
      <c r="AF639" s="101"/>
      <c r="AG639" s="108" t="str">
        <f aca="false">IF($AF639="","",IFERROR(VLOOKUP($AF639,'Application Portfolio'!$A$2:$B$1000,2,FALSE()),"Unknown App ID"))</f>
        <v/>
      </c>
      <c r="AH639" s="108" t="str">
        <f aca="false">IF(OR($B639="",$AF639=""),"",IFERROR(VLOOKUP($AF639,'Application Portfolio'!$A$2:$AB$1000,28,FALSE()),""))</f>
        <v/>
      </c>
    </row>
    <row r="640" customFormat="false" ht="15.75" hidden="false" customHeight="true" outlineLevel="0" collapsed="false">
      <c r="A640" s="100"/>
      <c r="B640" s="101"/>
      <c r="C640" s="101"/>
      <c r="D640" s="101"/>
      <c r="E640" s="101"/>
      <c r="F640" s="102"/>
      <c r="G640" s="102"/>
      <c r="H640" s="102"/>
      <c r="I640" s="102"/>
      <c r="J640" s="102"/>
      <c r="K640" s="102"/>
      <c r="L640" s="103" t="str">
        <f aca="false">IF(OR($B640="", $H640="", $I640="", $J640="", $K640=""),"",ROUND((VLOOKUP($H640,Lists!$E$2:$F$5,2,FALSE())*VLOOKUP($I640,Lists!$H$2:$I$4,2,FALSE())*VLOOKUP($J640,Lists!$K$2:$L$4,2,FALSE()))/VLOOKUP($K640,Lists!$N$2:$O$6,2,FALSE()),2))</f>
        <v/>
      </c>
      <c r="M640" s="104" t="str">
        <f aca="false">IF($B640="","",IF($AC640&lt;&gt;"",$AC640,IF($H640="Critical","P0",IF(NOT(ISNUMBER($L640)),"",IF($L640&gt;=Lists!$AM$2,"P0",IF($L640&gt;=Lists!$AM$3,"P1",IF($L640&gt;=Lists!$AM$4,"P2","P3")))))))</f>
        <v/>
      </c>
      <c r="N640" s="102"/>
      <c r="O640" s="101"/>
      <c r="P640" s="102"/>
      <c r="Q640" s="105"/>
      <c r="R640" s="106" t="str">
        <f aca="true">IF($Q640="","", TODAY()-$Q640)</f>
        <v/>
      </c>
      <c r="S640" s="102"/>
      <c r="T640" s="105"/>
      <c r="U640" s="105"/>
      <c r="V640" s="101"/>
      <c r="W640" s="101"/>
      <c r="X640" s="101"/>
      <c r="Y640" s="96"/>
      <c r="Z640" s="96"/>
      <c r="AA640" s="96"/>
      <c r="AC640" s="102"/>
      <c r="AD640" s="107" t="str">
        <f aca="false">IF($B640="","",IF(ISNUMBER($T640),$T640,IF(OR(NOT(ISNUMBER($Q640)),$S640=""),"",IFERROR(IF(ISNUMBER(INDEX(Lists!$AJ$2:$AJ$7,MATCH($S640,Lists!$AI$2:$AI$7,0))),$Q640+INDEX(Lists!$AJ$2:$AJ$7,MATCH($S640,Lists!$AI$2:$AI$7,0)),""),""))))</f>
        <v/>
      </c>
      <c r="AE640" s="104" t="str">
        <f aca="true">IF($B640="","",IF(AND(ISNUMBER($AD640),N($AD640)&lt;TODAY(),$N640&lt;&gt;"Done",$N640&lt;&gt;"Won't Fix",$N640&lt;&gt;"Duplicate"),"Yes","No"))</f>
        <v/>
      </c>
      <c r="AF640" s="101"/>
      <c r="AG640" s="108" t="str">
        <f aca="false">IF($AF640="","",IFERROR(VLOOKUP($AF640,'Application Portfolio'!$A$2:$B$1000,2,FALSE()),"Unknown App ID"))</f>
        <v/>
      </c>
      <c r="AH640" s="108" t="str">
        <f aca="false">IF(OR($B640="",$AF640=""),"",IFERROR(VLOOKUP($AF640,'Application Portfolio'!$A$2:$AB$1000,28,FALSE()),""))</f>
        <v/>
      </c>
    </row>
    <row r="641" customFormat="false" ht="15.75" hidden="false" customHeight="true" outlineLevel="0" collapsed="false">
      <c r="A641" s="100"/>
      <c r="B641" s="101"/>
      <c r="C641" s="101"/>
      <c r="D641" s="101"/>
      <c r="E641" s="101"/>
      <c r="F641" s="102"/>
      <c r="G641" s="102"/>
      <c r="H641" s="102"/>
      <c r="I641" s="102"/>
      <c r="J641" s="102"/>
      <c r="K641" s="102"/>
      <c r="L641" s="103" t="str">
        <f aca="false">IF(OR($B641="", $H641="", $I641="", $J641="", $K641=""),"",ROUND((VLOOKUP($H641,Lists!$E$2:$F$5,2,FALSE())*VLOOKUP($I641,Lists!$H$2:$I$4,2,FALSE())*VLOOKUP($J641,Lists!$K$2:$L$4,2,FALSE()))/VLOOKUP($K641,Lists!$N$2:$O$6,2,FALSE()),2))</f>
        <v/>
      </c>
      <c r="M641" s="104" t="str">
        <f aca="false">IF($B641="","",IF($AC641&lt;&gt;"",$AC641,IF($H641="Critical","P0",IF(NOT(ISNUMBER($L641)),"",IF($L641&gt;=Lists!$AM$2,"P0",IF($L641&gt;=Lists!$AM$3,"P1",IF($L641&gt;=Lists!$AM$4,"P2","P3")))))))</f>
        <v/>
      </c>
      <c r="N641" s="102"/>
      <c r="O641" s="101"/>
      <c r="P641" s="102"/>
      <c r="Q641" s="105"/>
      <c r="R641" s="106" t="str">
        <f aca="true">IF($Q641="","", TODAY()-$Q641)</f>
        <v/>
      </c>
      <c r="S641" s="102"/>
      <c r="T641" s="105"/>
      <c r="U641" s="105"/>
      <c r="V641" s="101"/>
      <c r="W641" s="101"/>
      <c r="X641" s="101"/>
      <c r="Y641" s="96"/>
      <c r="Z641" s="96"/>
      <c r="AA641" s="96"/>
      <c r="AC641" s="102"/>
      <c r="AD641" s="107" t="str">
        <f aca="false">IF($B641="","",IF(ISNUMBER($T641),$T641,IF(OR(NOT(ISNUMBER($Q641)),$S641=""),"",IFERROR(IF(ISNUMBER(INDEX(Lists!$AJ$2:$AJ$7,MATCH($S641,Lists!$AI$2:$AI$7,0))),$Q641+INDEX(Lists!$AJ$2:$AJ$7,MATCH($S641,Lists!$AI$2:$AI$7,0)),""),""))))</f>
        <v/>
      </c>
      <c r="AE641" s="104" t="str">
        <f aca="true">IF($B641="","",IF(AND(ISNUMBER($AD641),N($AD641)&lt;TODAY(),$N641&lt;&gt;"Done",$N641&lt;&gt;"Won't Fix",$N641&lt;&gt;"Duplicate"),"Yes","No"))</f>
        <v/>
      </c>
      <c r="AF641" s="101"/>
      <c r="AG641" s="108" t="str">
        <f aca="false">IF($AF641="","",IFERROR(VLOOKUP($AF641,'Application Portfolio'!$A$2:$B$1000,2,FALSE()),"Unknown App ID"))</f>
        <v/>
      </c>
      <c r="AH641" s="108" t="str">
        <f aca="false">IF(OR($B641="",$AF641=""),"",IFERROR(VLOOKUP($AF641,'Application Portfolio'!$A$2:$AB$1000,28,FALSE()),""))</f>
        <v/>
      </c>
    </row>
    <row r="642" customFormat="false" ht="15.75" hidden="false" customHeight="true" outlineLevel="0" collapsed="false">
      <c r="A642" s="100"/>
      <c r="B642" s="101"/>
      <c r="C642" s="101"/>
      <c r="D642" s="101"/>
      <c r="E642" s="101"/>
      <c r="F642" s="102"/>
      <c r="G642" s="102"/>
      <c r="H642" s="102"/>
      <c r="I642" s="102"/>
      <c r="J642" s="102"/>
      <c r="K642" s="102"/>
      <c r="L642" s="103" t="str">
        <f aca="false">IF(OR($B642="", $H642="", $I642="", $J642="", $K642=""),"",ROUND((VLOOKUP($H642,Lists!$E$2:$F$5,2,FALSE())*VLOOKUP($I642,Lists!$H$2:$I$4,2,FALSE())*VLOOKUP($J642,Lists!$K$2:$L$4,2,FALSE()))/VLOOKUP($K642,Lists!$N$2:$O$6,2,FALSE()),2))</f>
        <v/>
      </c>
      <c r="M642" s="104" t="str">
        <f aca="false">IF($B642="","",IF($AC642&lt;&gt;"",$AC642,IF($H642="Critical","P0",IF(NOT(ISNUMBER($L642)),"",IF($L642&gt;=Lists!$AM$2,"P0",IF($L642&gt;=Lists!$AM$3,"P1",IF($L642&gt;=Lists!$AM$4,"P2","P3")))))))</f>
        <v/>
      </c>
      <c r="N642" s="102"/>
      <c r="O642" s="101"/>
      <c r="P642" s="102"/>
      <c r="Q642" s="105"/>
      <c r="R642" s="106" t="str">
        <f aca="true">IF($Q642="","", TODAY()-$Q642)</f>
        <v/>
      </c>
      <c r="S642" s="102"/>
      <c r="T642" s="105"/>
      <c r="U642" s="105"/>
      <c r="V642" s="101"/>
      <c r="W642" s="101"/>
      <c r="X642" s="101"/>
      <c r="Y642" s="96"/>
      <c r="Z642" s="96"/>
      <c r="AA642" s="96"/>
      <c r="AC642" s="102"/>
      <c r="AD642" s="107" t="str">
        <f aca="false">IF($B642="","",IF(ISNUMBER($T642),$T642,IF(OR(NOT(ISNUMBER($Q642)),$S642=""),"",IFERROR(IF(ISNUMBER(INDEX(Lists!$AJ$2:$AJ$7,MATCH($S642,Lists!$AI$2:$AI$7,0))),$Q642+INDEX(Lists!$AJ$2:$AJ$7,MATCH($S642,Lists!$AI$2:$AI$7,0)),""),""))))</f>
        <v/>
      </c>
      <c r="AE642" s="104" t="str">
        <f aca="true">IF($B642="","",IF(AND(ISNUMBER($AD642),N($AD642)&lt;TODAY(),$N642&lt;&gt;"Done",$N642&lt;&gt;"Won't Fix",$N642&lt;&gt;"Duplicate"),"Yes","No"))</f>
        <v/>
      </c>
      <c r="AF642" s="101"/>
      <c r="AG642" s="108" t="str">
        <f aca="false">IF($AF642="","",IFERROR(VLOOKUP($AF642,'Application Portfolio'!$A$2:$B$1000,2,FALSE()),"Unknown App ID"))</f>
        <v/>
      </c>
      <c r="AH642" s="108" t="str">
        <f aca="false">IF(OR($B642="",$AF642=""),"",IFERROR(VLOOKUP($AF642,'Application Portfolio'!$A$2:$AB$1000,28,FALSE()),""))</f>
        <v/>
      </c>
    </row>
    <row r="643" customFormat="false" ht="15.75" hidden="false" customHeight="true" outlineLevel="0" collapsed="false">
      <c r="A643" s="100"/>
      <c r="B643" s="101"/>
      <c r="C643" s="101"/>
      <c r="D643" s="101"/>
      <c r="E643" s="101"/>
      <c r="F643" s="102"/>
      <c r="G643" s="102"/>
      <c r="H643" s="102"/>
      <c r="I643" s="102"/>
      <c r="J643" s="102"/>
      <c r="K643" s="102"/>
      <c r="L643" s="103" t="str">
        <f aca="false">IF(OR($B643="", $H643="", $I643="", $J643="", $K643=""),"",ROUND((VLOOKUP($H643,Lists!$E$2:$F$5,2,FALSE())*VLOOKUP($I643,Lists!$H$2:$I$4,2,FALSE())*VLOOKUP($J643,Lists!$K$2:$L$4,2,FALSE()))/VLOOKUP($K643,Lists!$N$2:$O$6,2,FALSE()),2))</f>
        <v/>
      </c>
      <c r="M643" s="104" t="str">
        <f aca="false">IF($B643="","",IF($AC643&lt;&gt;"",$AC643,IF($H643="Critical","P0",IF(NOT(ISNUMBER($L643)),"",IF($L643&gt;=Lists!$AM$2,"P0",IF($L643&gt;=Lists!$AM$3,"P1",IF($L643&gt;=Lists!$AM$4,"P2","P3")))))))</f>
        <v/>
      </c>
      <c r="N643" s="102"/>
      <c r="O643" s="101"/>
      <c r="P643" s="102"/>
      <c r="Q643" s="105"/>
      <c r="R643" s="106" t="str">
        <f aca="true">IF($Q643="","", TODAY()-$Q643)</f>
        <v/>
      </c>
      <c r="S643" s="102"/>
      <c r="T643" s="105"/>
      <c r="U643" s="105"/>
      <c r="V643" s="101"/>
      <c r="W643" s="101"/>
      <c r="X643" s="101"/>
      <c r="Y643" s="96"/>
      <c r="Z643" s="96"/>
      <c r="AA643" s="96"/>
      <c r="AC643" s="102"/>
      <c r="AD643" s="107" t="str">
        <f aca="false">IF($B643="","",IF(ISNUMBER($T643),$T643,IF(OR(NOT(ISNUMBER($Q643)),$S643=""),"",IFERROR(IF(ISNUMBER(INDEX(Lists!$AJ$2:$AJ$7,MATCH($S643,Lists!$AI$2:$AI$7,0))),$Q643+INDEX(Lists!$AJ$2:$AJ$7,MATCH($S643,Lists!$AI$2:$AI$7,0)),""),""))))</f>
        <v/>
      </c>
      <c r="AE643" s="104" t="str">
        <f aca="true">IF($B643="","",IF(AND(ISNUMBER($AD643),N($AD643)&lt;TODAY(),$N643&lt;&gt;"Done",$N643&lt;&gt;"Won't Fix",$N643&lt;&gt;"Duplicate"),"Yes","No"))</f>
        <v/>
      </c>
      <c r="AF643" s="101"/>
      <c r="AG643" s="108" t="str">
        <f aca="false">IF($AF643="","",IFERROR(VLOOKUP($AF643,'Application Portfolio'!$A$2:$B$1000,2,FALSE()),"Unknown App ID"))</f>
        <v/>
      </c>
      <c r="AH643" s="108" t="str">
        <f aca="false">IF(OR($B643="",$AF643=""),"",IFERROR(VLOOKUP($AF643,'Application Portfolio'!$A$2:$AB$1000,28,FALSE()),""))</f>
        <v/>
      </c>
    </row>
    <row r="644" customFormat="false" ht="15.75" hidden="false" customHeight="true" outlineLevel="0" collapsed="false">
      <c r="A644" s="100"/>
      <c r="B644" s="101"/>
      <c r="C644" s="101"/>
      <c r="D644" s="101"/>
      <c r="E644" s="101"/>
      <c r="F644" s="102"/>
      <c r="G644" s="102"/>
      <c r="H644" s="102"/>
      <c r="I644" s="102"/>
      <c r="J644" s="102"/>
      <c r="K644" s="102"/>
      <c r="L644" s="103" t="str">
        <f aca="false">IF(OR($B644="", $H644="", $I644="", $J644="", $K644=""),"",ROUND((VLOOKUP($H644,Lists!$E$2:$F$5,2,FALSE())*VLOOKUP($I644,Lists!$H$2:$I$4,2,FALSE())*VLOOKUP($J644,Lists!$K$2:$L$4,2,FALSE()))/VLOOKUP($K644,Lists!$N$2:$O$6,2,FALSE()),2))</f>
        <v/>
      </c>
      <c r="M644" s="104" t="str">
        <f aca="false">IF($B644="","",IF($AC644&lt;&gt;"",$AC644,IF($H644="Critical","P0",IF(NOT(ISNUMBER($L644)),"",IF($L644&gt;=Lists!$AM$2,"P0",IF($L644&gt;=Lists!$AM$3,"P1",IF($L644&gt;=Lists!$AM$4,"P2","P3")))))))</f>
        <v/>
      </c>
      <c r="N644" s="102"/>
      <c r="O644" s="101"/>
      <c r="P644" s="102"/>
      <c r="Q644" s="105"/>
      <c r="R644" s="106" t="str">
        <f aca="true">IF($Q644="","", TODAY()-$Q644)</f>
        <v/>
      </c>
      <c r="S644" s="102"/>
      <c r="T644" s="105"/>
      <c r="U644" s="105"/>
      <c r="V644" s="101"/>
      <c r="W644" s="101"/>
      <c r="X644" s="101"/>
      <c r="Y644" s="96"/>
      <c r="Z644" s="96"/>
      <c r="AA644" s="96"/>
      <c r="AC644" s="102"/>
      <c r="AD644" s="107" t="str">
        <f aca="false">IF($B644="","",IF(ISNUMBER($T644),$T644,IF(OR(NOT(ISNUMBER($Q644)),$S644=""),"",IFERROR(IF(ISNUMBER(INDEX(Lists!$AJ$2:$AJ$7,MATCH($S644,Lists!$AI$2:$AI$7,0))),$Q644+INDEX(Lists!$AJ$2:$AJ$7,MATCH($S644,Lists!$AI$2:$AI$7,0)),""),""))))</f>
        <v/>
      </c>
      <c r="AE644" s="104" t="str">
        <f aca="true">IF($B644="","",IF(AND(ISNUMBER($AD644),N($AD644)&lt;TODAY(),$N644&lt;&gt;"Done",$N644&lt;&gt;"Won't Fix",$N644&lt;&gt;"Duplicate"),"Yes","No"))</f>
        <v/>
      </c>
      <c r="AF644" s="101"/>
      <c r="AG644" s="108" t="str">
        <f aca="false">IF($AF644="","",IFERROR(VLOOKUP($AF644,'Application Portfolio'!$A$2:$B$1000,2,FALSE()),"Unknown App ID"))</f>
        <v/>
      </c>
      <c r="AH644" s="108" t="str">
        <f aca="false">IF(OR($B644="",$AF644=""),"",IFERROR(VLOOKUP($AF644,'Application Portfolio'!$A$2:$AB$1000,28,FALSE()),""))</f>
        <v/>
      </c>
    </row>
    <row r="645" customFormat="false" ht="15.75" hidden="false" customHeight="true" outlineLevel="0" collapsed="false">
      <c r="A645" s="100"/>
      <c r="B645" s="101"/>
      <c r="C645" s="101"/>
      <c r="D645" s="101"/>
      <c r="E645" s="101"/>
      <c r="F645" s="102"/>
      <c r="G645" s="102"/>
      <c r="H645" s="102"/>
      <c r="I645" s="102"/>
      <c r="J645" s="102"/>
      <c r="K645" s="102"/>
      <c r="L645" s="103" t="str">
        <f aca="false">IF(OR($B645="", $H645="", $I645="", $J645="", $K645=""),"",ROUND((VLOOKUP($H645,Lists!$E$2:$F$5,2,FALSE())*VLOOKUP($I645,Lists!$H$2:$I$4,2,FALSE())*VLOOKUP($J645,Lists!$K$2:$L$4,2,FALSE()))/VLOOKUP($K645,Lists!$N$2:$O$6,2,FALSE()),2))</f>
        <v/>
      </c>
      <c r="M645" s="104" t="str">
        <f aca="false">IF($B645="","",IF($AC645&lt;&gt;"",$AC645,IF($H645="Critical","P0",IF(NOT(ISNUMBER($L645)),"",IF($L645&gt;=Lists!$AM$2,"P0",IF($L645&gt;=Lists!$AM$3,"P1",IF($L645&gt;=Lists!$AM$4,"P2","P3")))))))</f>
        <v/>
      </c>
      <c r="N645" s="102"/>
      <c r="O645" s="101"/>
      <c r="P645" s="102"/>
      <c r="Q645" s="105"/>
      <c r="R645" s="106" t="str">
        <f aca="true">IF($Q645="","", TODAY()-$Q645)</f>
        <v/>
      </c>
      <c r="S645" s="102"/>
      <c r="T645" s="105"/>
      <c r="U645" s="105"/>
      <c r="V645" s="101"/>
      <c r="W645" s="101"/>
      <c r="X645" s="101"/>
      <c r="Y645" s="96"/>
      <c r="Z645" s="96"/>
      <c r="AA645" s="96"/>
      <c r="AC645" s="102"/>
      <c r="AD645" s="107" t="str">
        <f aca="false">IF($B645="","",IF(ISNUMBER($T645),$T645,IF(OR(NOT(ISNUMBER($Q645)),$S645=""),"",IFERROR(IF(ISNUMBER(INDEX(Lists!$AJ$2:$AJ$7,MATCH($S645,Lists!$AI$2:$AI$7,0))),$Q645+INDEX(Lists!$AJ$2:$AJ$7,MATCH($S645,Lists!$AI$2:$AI$7,0)),""),""))))</f>
        <v/>
      </c>
      <c r="AE645" s="104" t="str">
        <f aca="true">IF($B645="","",IF(AND(ISNUMBER($AD645),N($AD645)&lt;TODAY(),$N645&lt;&gt;"Done",$N645&lt;&gt;"Won't Fix",$N645&lt;&gt;"Duplicate"),"Yes","No"))</f>
        <v/>
      </c>
      <c r="AF645" s="101"/>
      <c r="AG645" s="108" t="str">
        <f aca="false">IF($AF645="","",IFERROR(VLOOKUP($AF645,'Application Portfolio'!$A$2:$B$1000,2,FALSE()),"Unknown App ID"))</f>
        <v/>
      </c>
      <c r="AH645" s="108" t="str">
        <f aca="false">IF(OR($B645="",$AF645=""),"",IFERROR(VLOOKUP($AF645,'Application Portfolio'!$A$2:$AB$1000,28,FALSE()),""))</f>
        <v/>
      </c>
    </row>
    <row r="646" customFormat="false" ht="15.75" hidden="false" customHeight="true" outlineLevel="0" collapsed="false">
      <c r="A646" s="100"/>
      <c r="B646" s="101"/>
      <c r="C646" s="101"/>
      <c r="D646" s="101"/>
      <c r="E646" s="101"/>
      <c r="F646" s="102"/>
      <c r="G646" s="102"/>
      <c r="H646" s="102"/>
      <c r="I646" s="102"/>
      <c r="J646" s="102"/>
      <c r="K646" s="102"/>
      <c r="L646" s="103" t="str">
        <f aca="false">IF(OR($B646="", $H646="", $I646="", $J646="", $K646=""),"",ROUND((VLOOKUP($H646,Lists!$E$2:$F$5,2,FALSE())*VLOOKUP($I646,Lists!$H$2:$I$4,2,FALSE())*VLOOKUP($J646,Lists!$K$2:$L$4,2,FALSE()))/VLOOKUP($K646,Lists!$N$2:$O$6,2,FALSE()),2))</f>
        <v/>
      </c>
      <c r="M646" s="104" t="str">
        <f aca="false">IF($B646="","",IF($AC646&lt;&gt;"",$AC646,IF($H646="Critical","P0",IF(NOT(ISNUMBER($L646)),"",IF($L646&gt;=Lists!$AM$2,"P0",IF($L646&gt;=Lists!$AM$3,"P1",IF($L646&gt;=Lists!$AM$4,"P2","P3")))))))</f>
        <v/>
      </c>
      <c r="N646" s="102"/>
      <c r="O646" s="101"/>
      <c r="P646" s="102"/>
      <c r="Q646" s="105"/>
      <c r="R646" s="106" t="str">
        <f aca="true">IF($Q646="","", TODAY()-$Q646)</f>
        <v/>
      </c>
      <c r="S646" s="102"/>
      <c r="T646" s="105"/>
      <c r="U646" s="105"/>
      <c r="V646" s="101"/>
      <c r="W646" s="101"/>
      <c r="X646" s="101"/>
      <c r="Y646" s="96"/>
      <c r="Z646" s="96"/>
      <c r="AA646" s="96"/>
      <c r="AC646" s="102"/>
      <c r="AD646" s="107" t="str">
        <f aca="false">IF($B646="","",IF(ISNUMBER($T646),$T646,IF(OR(NOT(ISNUMBER($Q646)),$S646=""),"",IFERROR(IF(ISNUMBER(INDEX(Lists!$AJ$2:$AJ$7,MATCH($S646,Lists!$AI$2:$AI$7,0))),$Q646+INDEX(Lists!$AJ$2:$AJ$7,MATCH($S646,Lists!$AI$2:$AI$7,0)),""),""))))</f>
        <v/>
      </c>
      <c r="AE646" s="104" t="str">
        <f aca="true">IF($B646="","",IF(AND(ISNUMBER($AD646),N($AD646)&lt;TODAY(),$N646&lt;&gt;"Done",$N646&lt;&gt;"Won't Fix",$N646&lt;&gt;"Duplicate"),"Yes","No"))</f>
        <v/>
      </c>
      <c r="AF646" s="101"/>
      <c r="AG646" s="108" t="str">
        <f aca="false">IF($AF646="","",IFERROR(VLOOKUP($AF646,'Application Portfolio'!$A$2:$B$1000,2,FALSE()),"Unknown App ID"))</f>
        <v/>
      </c>
      <c r="AH646" s="108" t="str">
        <f aca="false">IF(OR($B646="",$AF646=""),"",IFERROR(VLOOKUP($AF646,'Application Portfolio'!$A$2:$AB$1000,28,FALSE()),""))</f>
        <v/>
      </c>
    </row>
    <row r="647" customFormat="false" ht="15.75" hidden="false" customHeight="true" outlineLevel="0" collapsed="false">
      <c r="A647" s="100"/>
      <c r="B647" s="101"/>
      <c r="C647" s="101"/>
      <c r="D647" s="101"/>
      <c r="E647" s="101"/>
      <c r="F647" s="102"/>
      <c r="G647" s="102"/>
      <c r="H647" s="102"/>
      <c r="I647" s="102"/>
      <c r="J647" s="102"/>
      <c r="K647" s="102"/>
      <c r="L647" s="103" t="str">
        <f aca="false">IF(OR($B647="", $H647="", $I647="", $J647="", $K647=""),"",ROUND((VLOOKUP($H647,Lists!$E$2:$F$5,2,FALSE())*VLOOKUP($I647,Lists!$H$2:$I$4,2,FALSE())*VLOOKUP($J647,Lists!$K$2:$L$4,2,FALSE()))/VLOOKUP($K647,Lists!$N$2:$O$6,2,FALSE()),2))</f>
        <v/>
      </c>
      <c r="M647" s="104" t="str">
        <f aca="false">IF($B647="","",IF($AC647&lt;&gt;"",$AC647,IF($H647="Critical","P0",IF(NOT(ISNUMBER($L647)),"",IF($L647&gt;=Lists!$AM$2,"P0",IF($L647&gt;=Lists!$AM$3,"P1",IF($L647&gt;=Lists!$AM$4,"P2","P3")))))))</f>
        <v/>
      </c>
      <c r="N647" s="102"/>
      <c r="O647" s="101"/>
      <c r="P647" s="102"/>
      <c r="Q647" s="105"/>
      <c r="R647" s="106" t="str">
        <f aca="true">IF($Q647="","", TODAY()-$Q647)</f>
        <v/>
      </c>
      <c r="S647" s="102"/>
      <c r="T647" s="105"/>
      <c r="U647" s="105"/>
      <c r="V647" s="101"/>
      <c r="W647" s="101"/>
      <c r="X647" s="101"/>
      <c r="Y647" s="96"/>
      <c r="Z647" s="96"/>
      <c r="AA647" s="96"/>
      <c r="AC647" s="102"/>
      <c r="AD647" s="107" t="str">
        <f aca="false">IF($B647="","",IF(ISNUMBER($T647),$T647,IF(OR(NOT(ISNUMBER($Q647)),$S647=""),"",IFERROR(IF(ISNUMBER(INDEX(Lists!$AJ$2:$AJ$7,MATCH($S647,Lists!$AI$2:$AI$7,0))),$Q647+INDEX(Lists!$AJ$2:$AJ$7,MATCH($S647,Lists!$AI$2:$AI$7,0)),""),""))))</f>
        <v/>
      </c>
      <c r="AE647" s="104" t="str">
        <f aca="true">IF($B647="","",IF(AND(ISNUMBER($AD647),N($AD647)&lt;TODAY(),$N647&lt;&gt;"Done",$N647&lt;&gt;"Won't Fix",$N647&lt;&gt;"Duplicate"),"Yes","No"))</f>
        <v/>
      </c>
      <c r="AF647" s="101"/>
      <c r="AG647" s="108" t="str">
        <f aca="false">IF($AF647="","",IFERROR(VLOOKUP($AF647,'Application Portfolio'!$A$2:$B$1000,2,FALSE()),"Unknown App ID"))</f>
        <v/>
      </c>
      <c r="AH647" s="108" t="str">
        <f aca="false">IF(OR($B647="",$AF647=""),"",IFERROR(VLOOKUP($AF647,'Application Portfolio'!$A$2:$AB$1000,28,FALSE()),""))</f>
        <v/>
      </c>
    </row>
    <row r="648" customFormat="false" ht="15.75" hidden="false" customHeight="true" outlineLevel="0" collapsed="false">
      <c r="A648" s="100"/>
      <c r="B648" s="101"/>
      <c r="C648" s="101"/>
      <c r="D648" s="101"/>
      <c r="E648" s="101"/>
      <c r="F648" s="102"/>
      <c r="G648" s="102"/>
      <c r="H648" s="102"/>
      <c r="I648" s="102"/>
      <c r="J648" s="102"/>
      <c r="K648" s="102"/>
      <c r="L648" s="103" t="str">
        <f aca="false">IF(OR($B648="", $H648="", $I648="", $J648="", $K648=""),"",ROUND((VLOOKUP($H648,Lists!$E$2:$F$5,2,FALSE())*VLOOKUP($I648,Lists!$H$2:$I$4,2,FALSE())*VLOOKUP($J648,Lists!$K$2:$L$4,2,FALSE()))/VLOOKUP($K648,Lists!$N$2:$O$6,2,FALSE()),2))</f>
        <v/>
      </c>
      <c r="M648" s="104" t="str">
        <f aca="false">IF($B648="","",IF($AC648&lt;&gt;"",$AC648,IF($H648="Critical","P0",IF(NOT(ISNUMBER($L648)),"",IF($L648&gt;=Lists!$AM$2,"P0",IF($L648&gt;=Lists!$AM$3,"P1",IF($L648&gt;=Lists!$AM$4,"P2","P3")))))))</f>
        <v/>
      </c>
      <c r="N648" s="102"/>
      <c r="O648" s="101"/>
      <c r="P648" s="102"/>
      <c r="Q648" s="105"/>
      <c r="R648" s="106" t="str">
        <f aca="true">IF($Q648="","", TODAY()-$Q648)</f>
        <v/>
      </c>
      <c r="S648" s="102"/>
      <c r="T648" s="105"/>
      <c r="U648" s="105"/>
      <c r="V648" s="101"/>
      <c r="W648" s="101"/>
      <c r="X648" s="101"/>
      <c r="Y648" s="96"/>
      <c r="Z648" s="96"/>
      <c r="AA648" s="96"/>
      <c r="AC648" s="102"/>
      <c r="AD648" s="107" t="str">
        <f aca="false">IF($B648="","",IF(ISNUMBER($T648),$T648,IF(OR(NOT(ISNUMBER($Q648)),$S648=""),"",IFERROR(IF(ISNUMBER(INDEX(Lists!$AJ$2:$AJ$7,MATCH($S648,Lists!$AI$2:$AI$7,0))),$Q648+INDEX(Lists!$AJ$2:$AJ$7,MATCH($S648,Lists!$AI$2:$AI$7,0)),""),""))))</f>
        <v/>
      </c>
      <c r="AE648" s="104" t="str">
        <f aca="true">IF($B648="","",IF(AND(ISNUMBER($AD648),N($AD648)&lt;TODAY(),$N648&lt;&gt;"Done",$N648&lt;&gt;"Won't Fix",$N648&lt;&gt;"Duplicate"),"Yes","No"))</f>
        <v/>
      </c>
      <c r="AF648" s="101"/>
      <c r="AG648" s="108" t="str">
        <f aca="false">IF($AF648="","",IFERROR(VLOOKUP($AF648,'Application Portfolio'!$A$2:$B$1000,2,FALSE()),"Unknown App ID"))</f>
        <v/>
      </c>
      <c r="AH648" s="108" t="str">
        <f aca="false">IF(OR($B648="",$AF648=""),"",IFERROR(VLOOKUP($AF648,'Application Portfolio'!$A$2:$AB$1000,28,FALSE()),""))</f>
        <v/>
      </c>
    </row>
    <row r="649" customFormat="false" ht="15.75" hidden="false" customHeight="true" outlineLevel="0" collapsed="false">
      <c r="A649" s="100"/>
      <c r="B649" s="101"/>
      <c r="C649" s="101"/>
      <c r="D649" s="101"/>
      <c r="E649" s="101"/>
      <c r="F649" s="102"/>
      <c r="G649" s="102"/>
      <c r="H649" s="102"/>
      <c r="I649" s="102"/>
      <c r="J649" s="102"/>
      <c r="K649" s="102"/>
      <c r="L649" s="103" t="str">
        <f aca="false">IF(OR($B649="", $H649="", $I649="", $J649="", $K649=""),"",ROUND((VLOOKUP($H649,Lists!$E$2:$F$5,2,FALSE())*VLOOKUP($I649,Lists!$H$2:$I$4,2,FALSE())*VLOOKUP($J649,Lists!$K$2:$L$4,2,FALSE()))/VLOOKUP($K649,Lists!$N$2:$O$6,2,FALSE()),2))</f>
        <v/>
      </c>
      <c r="M649" s="104" t="str">
        <f aca="false">IF($B649="","",IF($AC649&lt;&gt;"",$AC649,IF($H649="Critical","P0",IF(NOT(ISNUMBER($L649)),"",IF($L649&gt;=Lists!$AM$2,"P0",IF($L649&gt;=Lists!$AM$3,"P1",IF($L649&gt;=Lists!$AM$4,"P2","P3")))))))</f>
        <v/>
      </c>
      <c r="N649" s="102"/>
      <c r="O649" s="101"/>
      <c r="P649" s="102"/>
      <c r="Q649" s="105"/>
      <c r="R649" s="106" t="str">
        <f aca="true">IF($Q649="","", TODAY()-$Q649)</f>
        <v/>
      </c>
      <c r="S649" s="102"/>
      <c r="T649" s="105"/>
      <c r="U649" s="105"/>
      <c r="V649" s="101"/>
      <c r="W649" s="101"/>
      <c r="X649" s="101"/>
      <c r="Y649" s="96"/>
      <c r="Z649" s="96"/>
      <c r="AA649" s="96"/>
      <c r="AC649" s="102"/>
      <c r="AD649" s="107" t="str">
        <f aca="false">IF($B649="","",IF(ISNUMBER($T649),$T649,IF(OR(NOT(ISNUMBER($Q649)),$S649=""),"",IFERROR(IF(ISNUMBER(INDEX(Lists!$AJ$2:$AJ$7,MATCH($S649,Lists!$AI$2:$AI$7,0))),$Q649+INDEX(Lists!$AJ$2:$AJ$7,MATCH($S649,Lists!$AI$2:$AI$7,0)),""),""))))</f>
        <v/>
      </c>
      <c r="AE649" s="104" t="str">
        <f aca="true">IF($B649="","",IF(AND(ISNUMBER($AD649),N($AD649)&lt;TODAY(),$N649&lt;&gt;"Done",$N649&lt;&gt;"Won't Fix",$N649&lt;&gt;"Duplicate"),"Yes","No"))</f>
        <v/>
      </c>
      <c r="AF649" s="101"/>
      <c r="AG649" s="108" t="str">
        <f aca="false">IF($AF649="","",IFERROR(VLOOKUP($AF649,'Application Portfolio'!$A$2:$B$1000,2,FALSE()),"Unknown App ID"))</f>
        <v/>
      </c>
      <c r="AH649" s="108" t="str">
        <f aca="false">IF(OR($B649="",$AF649=""),"",IFERROR(VLOOKUP($AF649,'Application Portfolio'!$A$2:$AB$1000,28,FALSE()),""))</f>
        <v/>
      </c>
    </row>
    <row r="650" customFormat="false" ht="15.75" hidden="false" customHeight="true" outlineLevel="0" collapsed="false">
      <c r="A650" s="100"/>
      <c r="B650" s="101"/>
      <c r="C650" s="101"/>
      <c r="D650" s="101"/>
      <c r="E650" s="101"/>
      <c r="F650" s="102"/>
      <c r="G650" s="102"/>
      <c r="H650" s="102"/>
      <c r="I650" s="102"/>
      <c r="J650" s="102"/>
      <c r="K650" s="102"/>
      <c r="L650" s="103" t="str">
        <f aca="false">IF(OR($B650="", $H650="", $I650="", $J650="", $K650=""),"",ROUND((VLOOKUP($H650,Lists!$E$2:$F$5,2,FALSE())*VLOOKUP($I650,Lists!$H$2:$I$4,2,FALSE())*VLOOKUP($J650,Lists!$K$2:$L$4,2,FALSE()))/VLOOKUP($K650,Lists!$N$2:$O$6,2,FALSE()),2))</f>
        <v/>
      </c>
      <c r="M650" s="104" t="str">
        <f aca="false">IF($B650="","",IF($AC650&lt;&gt;"",$AC650,IF($H650="Critical","P0",IF(NOT(ISNUMBER($L650)),"",IF($L650&gt;=Lists!$AM$2,"P0",IF($L650&gt;=Lists!$AM$3,"P1",IF($L650&gt;=Lists!$AM$4,"P2","P3")))))))</f>
        <v/>
      </c>
      <c r="N650" s="102"/>
      <c r="O650" s="101"/>
      <c r="P650" s="102"/>
      <c r="Q650" s="105"/>
      <c r="R650" s="106" t="str">
        <f aca="true">IF($Q650="","", TODAY()-$Q650)</f>
        <v/>
      </c>
      <c r="S650" s="102"/>
      <c r="T650" s="105"/>
      <c r="U650" s="105"/>
      <c r="V650" s="101"/>
      <c r="W650" s="101"/>
      <c r="X650" s="101"/>
      <c r="Y650" s="96"/>
      <c r="Z650" s="96"/>
      <c r="AA650" s="96"/>
      <c r="AC650" s="102"/>
      <c r="AD650" s="107" t="str">
        <f aca="false">IF($B650="","",IF(ISNUMBER($T650),$T650,IF(OR(NOT(ISNUMBER($Q650)),$S650=""),"",IFERROR(IF(ISNUMBER(INDEX(Lists!$AJ$2:$AJ$7,MATCH($S650,Lists!$AI$2:$AI$7,0))),$Q650+INDEX(Lists!$AJ$2:$AJ$7,MATCH($S650,Lists!$AI$2:$AI$7,0)),""),""))))</f>
        <v/>
      </c>
      <c r="AE650" s="104" t="str">
        <f aca="true">IF($B650="","",IF(AND(ISNUMBER($AD650),N($AD650)&lt;TODAY(),$N650&lt;&gt;"Done",$N650&lt;&gt;"Won't Fix",$N650&lt;&gt;"Duplicate"),"Yes","No"))</f>
        <v/>
      </c>
      <c r="AF650" s="101"/>
      <c r="AG650" s="108" t="str">
        <f aca="false">IF($AF650="","",IFERROR(VLOOKUP($AF650,'Application Portfolio'!$A$2:$B$1000,2,FALSE()),"Unknown App ID"))</f>
        <v/>
      </c>
      <c r="AH650" s="108" t="str">
        <f aca="false">IF(OR($B650="",$AF650=""),"",IFERROR(VLOOKUP($AF650,'Application Portfolio'!$A$2:$AB$1000,28,FALSE()),""))</f>
        <v/>
      </c>
    </row>
    <row r="651" customFormat="false" ht="15.75" hidden="false" customHeight="true" outlineLevel="0" collapsed="false">
      <c r="A651" s="100"/>
      <c r="B651" s="101"/>
      <c r="C651" s="101"/>
      <c r="D651" s="101"/>
      <c r="E651" s="101"/>
      <c r="F651" s="102"/>
      <c r="G651" s="102"/>
      <c r="H651" s="102"/>
      <c r="I651" s="102"/>
      <c r="J651" s="102"/>
      <c r="K651" s="102"/>
      <c r="L651" s="103" t="str">
        <f aca="false">IF(OR($B651="", $H651="", $I651="", $J651="", $K651=""),"",ROUND((VLOOKUP($H651,Lists!$E$2:$F$5,2,FALSE())*VLOOKUP($I651,Lists!$H$2:$I$4,2,FALSE())*VLOOKUP($J651,Lists!$K$2:$L$4,2,FALSE()))/VLOOKUP($K651,Lists!$N$2:$O$6,2,FALSE()),2))</f>
        <v/>
      </c>
      <c r="M651" s="104" t="str">
        <f aca="false">IF($B651="","",IF($AC651&lt;&gt;"",$AC651,IF($H651="Critical","P0",IF(NOT(ISNUMBER($L651)),"",IF($L651&gt;=Lists!$AM$2,"P0",IF($L651&gt;=Lists!$AM$3,"P1",IF($L651&gt;=Lists!$AM$4,"P2","P3")))))))</f>
        <v/>
      </c>
      <c r="N651" s="102"/>
      <c r="O651" s="101"/>
      <c r="P651" s="102"/>
      <c r="Q651" s="105"/>
      <c r="R651" s="106" t="str">
        <f aca="true">IF($Q651="","", TODAY()-$Q651)</f>
        <v/>
      </c>
      <c r="S651" s="102"/>
      <c r="T651" s="105"/>
      <c r="U651" s="105"/>
      <c r="V651" s="101"/>
      <c r="W651" s="101"/>
      <c r="X651" s="101"/>
      <c r="Y651" s="96"/>
      <c r="Z651" s="96"/>
      <c r="AA651" s="96"/>
      <c r="AC651" s="102"/>
      <c r="AD651" s="107" t="str">
        <f aca="false">IF($B651="","",IF(ISNUMBER($T651),$T651,IF(OR(NOT(ISNUMBER($Q651)),$S651=""),"",IFERROR(IF(ISNUMBER(INDEX(Lists!$AJ$2:$AJ$7,MATCH($S651,Lists!$AI$2:$AI$7,0))),$Q651+INDEX(Lists!$AJ$2:$AJ$7,MATCH($S651,Lists!$AI$2:$AI$7,0)),""),""))))</f>
        <v/>
      </c>
      <c r="AE651" s="104" t="str">
        <f aca="true">IF($B651="","",IF(AND(ISNUMBER($AD651),N($AD651)&lt;TODAY(),$N651&lt;&gt;"Done",$N651&lt;&gt;"Won't Fix",$N651&lt;&gt;"Duplicate"),"Yes","No"))</f>
        <v/>
      </c>
      <c r="AF651" s="101"/>
      <c r="AG651" s="108" t="str">
        <f aca="false">IF($AF651="","",IFERROR(VLOOKUP($AF651,'Application Portfolio'!$A$2:$B$1000,2,FALSE()),"Unknown App ID"))</f>
        <v/>
      </c>
      <c r="AH651" s="108" t="str">
        <f aca="false">IF(OR($B651="",$AF651=""),"",IFERROR(VLOOKUP($AF651,'Application Portfolio'!$A$2:$AB$1000,28,FALSE()),""))</f>
        <v/>
      </c>
    </row>
    <row r="652" customFormat="false" ht="15.75" hidden="false" customHeight="true" outlineLevel="0" collapsed="false">
      <c r="A652" s="100"/>
      <c r="B652" s="101"/>
      <c r="C652" s="101"/>
      <c r="D652" s="101"/>
      <c r="E652" s="101"/>
      <c r="F652" s="102"/>
      <c r="G652" s="102"/>
      <c r="H652" s="102"/>
      <c r="I652" s="102"/>
      <c r="J652" s="102"/>
      <c r="K652" s="102"/>
      <c r="L652" s="103" t="str">
        <f aca="false">IF(OR($B652="", $H652="", $I652="", $J652="", $K652=""),"",ROUND((VLOOKUP($H652,Lists!$E$2:$F$5,2,FALSE())*VLOOKUP($I652,Lists!$H$2:$I$4,2,FALSE())*VLOOKUP($J652,Lists!$K$2:$L$4,2,FALSE()))/VLOOKUP($K652,Lists!$N$2:$O$6,2,FALSE()),2))</f>
        <v/>
      </c>
      <c r="M652" s="104" t="str">
        <f aca="false">IF($B652="","",IF($AC652&lt;&gt;"",$AC652,IF($H652="Critical","P0",IF(NOT(ISNUMBER($L652)),"",IF($L652&gt;=Lists!$AM$2,"P0",IF($L652&gt;=Lists!$AM$3,"P1",IF($L652&gt;=Lists!$AM$4,"P2","P3")))))))</f>
        <v/>
      </c>
      <c r="N652" s="102"/>
      <c r="O652" s="101"/>
      <c r="P652" s="102"/>
      <c r="Q652" s="105"/>
      <c r="R652" s="106" t="str">
        <f aca="true">IF($Q652="","", TODAY()-$Q652)</f>
        <v/>
      </c>
      <c r="S652" s="102"/>
      <c r="T652" s="105"/>
      <c r="U652" s="105"/>
      <c r="V652" s="101"/>
      <c r="W652" s="101"/>
      <c r="X652" s="101"/>
      <c r="Y652" s="96"/>
      <c r="Z652" s="96"/>
      <c r="AA652" s="96"/>
      <c r="AC652" s="102"/>
      <c r="AD652" s="107" t="str">
        <f aca="false">IF($B652="","",IF(ISNUMBER($T652),$T652,IF(OR(NOT(ISNUMBER($Q652)),$S652=""),"",IFERROR(IF(ISNUMBER(INDEX(Lists!$AJ$2:$AJ$7,MATCH($S652,Lists!$AI$2:$AI$7,0))),$Q652+INDEX(Lists!$AJ$2:$AJ$7,MATCH($S652,Lists!$AI$2:$AI$7,0)),""),""))))</f>
        <v/>
      </c>
      <c r="AE652" s="104" t="str">
        <f aca="true">IF($B652="","",IF(AND(ISNUMBER($AD652),N($AD652)&lt;TODAY(),$N652&lt;&gt;"Done",$N652&lt;&gt;"Won't Fix",$N652&lt;&gt;"Duplicate"),"Yes","No"))</f>
        <v/>
      </c>
      <c r="AF652" s="101"/>
      <c r="AG652" s="108" t="str">
        <f aca="false">IF($AF652="","",IFERROR(VLOOKUP($AF652,'Application Portfolio'!$A$2:$B$1000,2,FALSE()),"Unknown App ID"))</f>
        <v/>
      </c>
      <c r="AH652" s="108" t="str">
        <f aca="false">IF(OR($B652="",$AF652=""),"",IFERROR(VLOOKUP($AF652,'Application Portfolio'!$A$2:$AB$1000,28,FALSE()),""))</f>
        <v/>
      </c>
    </row>
    <row r="653" customFormat="false" ht="15.75" hidden="false" customHeight="true" outlineLevel="0" collapsed="false">
      <c r="A653" s="100"/>
      <c r="B653" s="101"/>
      <c r="C653" s="101"/>
      <c r="D653" s="101"/>
      <c r="E653" s="101"/>
      <c r="F653" s="102"/>
      <c r="G653" s="102"/>
      <c r="H653" s="102"/>
      <c r="I653" s="102"/>
      <c r="J653" s="102"/>
      <c r="K653" s="102"/>
      <c r="L653" s="103" t="str">
        <f aca="false">IF(OR($B653="", $H653="", $I653="", $J653="", $K653=""),"",ROUND((VLOOKUP($H653,Lists!$E$2:$F$5,2,FALSE())*VLOOKUP($I653,Lists!$H$2:$I$4,2,FALSE())*VLOOKUP($J653,Lists!$K$2:$L$4,2,FALSE()))/VLOOKUP($K653,Lists!$N$2:$O$6,2,FALSE()),2))</f>
        <v/>
      </c>
      <c r="M653" s="104" t="str">
        <f aca="false">IF($B653="","",IF($AC653&lt;&gt;"",$AC653,IF($H653="Critical","P0",IF(NOT(ISNUMBER($L653)),"",IF($L653&gt;=Lists!$AM$2,"P0",IF($L653&gt;=Lists!$AM$3,"P1",IF($L653&gt;=Lists!$AM$4,"P2","P3")))))))</f>
        <v/>
      </c>
      <c r="N653" s="102"/>
      <c r="O653" s="101"/>
      <c r="P653" s="102"/>
      <c r="Q653" s="105"/>
      <c r="R653" s="106" t="str">
        <f aca="true">IF($Q653="","", TODAY()-$Q653)</f>
        <v/>
      </c>
      <c r="S653" s="102"/>
      <c r="T653" s="105"/>
      <c r="U653" s="105"/>
      <c r="V653" s="101"/>
      <c r="W653" s="101"/>
      <c r="X653" s="101"/>
      <c r="Y653" s="96"/>
      <c r="Z653" s="96"/>
      <c r="AA653" s="96"/>
      <c r="AC653" s="102"/>
      <c r="AD653" s="107" t="str">
        <f aca="false">IF($B653="","",IF(ISNUMBER($T653),$T653,IF(OR(NOT(ISNUMBER($Q653)),$S653=""),"",IFERROR(IF(ISNUMBER(INDEX(Lists!$AJ$2:$AJ$7,MATCH($S653,Lists!$AI$2:$AI$7,0))),$Q653+INDEX(Lists!$AJ$2:$AJ$7,MATCH($S653,Lists!$AI$2:$AI$7,0)),""),""))))</f>
        <v/>
      </c>
      <c r="AE653" s="104" t="str">
        <f aca="true">IF($B653="","",IF(AND(ISNUMBER($AD653),N($AD653)&lt;TODAY(),$N653&lt;&gt;"Done",$N653&lt;&gt;"Won't Fix",$N653&lt;&gt;"Duplicate"),"Yes","No"))</f>
        <v/>
      </c>
      <c r="AF653" s="101"/>
      <c r="AG653" s="108" t="str">
        <f aca="false">IF($AF653="","",IFERROR(VLOOKUP($AF653,'Application Portfolio'!$A$2:$B$1000,2,FALSE()),"Unknown App ID"))</f>
        <v/>
      </c>
      <c r="AH653" s="108" t="str">
        <f aca="false">IF(OR($B653="",$AF653=""),"",IFERROR(VLOOKUP($AF653,'Application Portfolio'!$A$2:$AB$1000,28,FALSE()),""))</f>
        <v/>
      </c>
    </row>
    <row r="654" customFormat="false" ht="15.75" hidden="false" customHeight="true" outlineLevel="0" collapsed="false">
      <c r="A654" s="100"/>
      <c r="B654" s="101"/>
      <c r="C654" s="101"/>
      <c r="D654" s="101"/>
      <c r="E654" s="101"/>
      <c r="F654" s="102"/>
      <c r="G654" s="102"/>
      <c r="H654" s="102"/>
      <c r="I654" s="102"/>
      <c r="J654" s="102"/>
      <c r="K654" s="102"/>
      <c r="L654" s="103" t="str">
        <f aca="false">IF(OR($B654="", $H654="", $I654="", $J654="", $K654=""),"",ROUND((VLOOKUP($H654,Lists!$E$2:$F$5,2,FALSE())*VLOOKUP($I654,Lists!$H$2:$I$4,2,FALSE())*VLOOKUP($J654,Lists!$K$2:$L$4,2,FALSE()))/VLOOKUP($K654,Lists!$N$2:$O$6,2,FALSE()),2))</f>
        <v/>
      </c>
      <c r="M654" s="104" t="str">
        <f aca="false">IF($B654="","",IF($AC654&lt;&gt;"",$AC654,IF($H654="Critical","P0",IF(NOT(ISNUMBER($L654)),"",IF($L654&gt;=Lists!$AM$2,"P0",IF($L654&gt;=Lists!$AM$3,"P1",IF($L654&gt;=Lists!$AM$4,"P2","P3")))))))</f>
        <v/>
      </c>
      <c r="N654" s="102"/>
      <c r="O654" s="101"/>
      <c r="P654" s="102"/>
      <c r="Q654" s="105"/>
      <c r="R654" s="106" t="str">
        <f aca="true">IF($Q654="","", TODAY()-$Q654)</f>
        <v/>
      </c>
      <c r="S654" s="102"/>
      <c r="T654" s="105"/>
      <c r="U654" s="105"/>
      <c r="V654" s="101"/>
      <c r="W654" s="101"/>
      <c r="X654" s="101"/>
      <c r="Y654" s="96"/>
      <c r="Z654" s="96"/>
      <c r="AA654" s="96"/>
      <c r="AC654" s="102"/>
      <c r="AD654" s="107" t="str">
        <f aca="false">IF($B654="","",IF(ISNUMBER($T654),$T654,IF(OR(NOT(ISNUMBER($Q654)),$S654=""),"",IFERROR(IF(ISNUMBER(INDEX(Lists!$AJ$2:$AJ$7,MATCH($S654,Lists!$AI$2:$AI$7,0))),$Q654+INDEX(Lists!$AJ$2:$AJ$7,MATCH($S654,Lists!$AI$2:$AI$7,0)),""),""))))</f>
        <v/>
      </c>
      <c r="AE654" s="104" t="str">
        <f aca="true">IF($B654="","",IF(AND(ISNUMBER($AD654),N($AD654)&lt;TODAY(),$N654&lt;&gt;"Done",$N654&lt;&gt;"Won't Fix",$N654&lt;&gt;"Duplicate"),"Yes","No"))</f>
        <v/>
      </c>
      <c r="AF654" s="101"/>
      <c r="AG654" s="108" t="str">
        <f aca="false">IF($AF654="","",IFERROR(VLOOKUP($AF654,'Application Portfolio'!$A$2:$B$1000,2,FALSE()),"Unknown App ID"))</f>
        <v/>
      </c>
      <c r="AH654" s="108" t="str">
        <f aca="false">IF(OR($B654="",$AF654=""),"",IFERROR(VLOOKUP($AF654,'Application Portfolio'!$A$2:$AB$1000,28,FALSE()),""))</f>
        <v/>
      </c>
    </row>
    <row r="655" customFormat="false" ht="15.75" hidden="false" customHeight="true" outlineLevel="0" collapsed="false">
      <c r="A655" s="100"/>
      <c r="B655" s="101"/>
      <c r="C655" s="101"/>
      <c r="D655" s="101"/>
      <c r="E655" s="101"/>
      <c r="F655" s="102"/>
      <c r="G655" s="102"/>
      <c r="H655" s="102"/>
      <c r="I655" s="102"/>
      <c r="J655" s="102"/>
      <c r="K655" s="102"/>
      <c r="L655" s="103" t="str">
        <f aca="false">IF(OR($B655="", $H655="", $I655="", $J655="", $K655=""),"",ROUND((VLOOKUP($H655,Lists!$E$2:$F$5,2,FALSE())*VLOOKUP($I655,Lists!$H$2:$I$4,2,FALSE())*VLOOKUP($J655,Lists!$K$2:$L$4,2,FALSE()))/VLOOKUP($K655,Lists!$N$2:$O$6,2,FALSE()),2))</f>
        <v/>
      </c>
      <c r="M655" s="104" t="str">
        <f aca="false">IF($B655="","",IF($AC655&lt;&gt;"",$AC655,IF($H655="Critical","P0",IF(NOT(ISNUMBER($L655)),"",IF($L655&gt;=Lists!$AM$2,"P0",IF($L655&gt;=Lists!$AM$3,"P1",IF($L655&gt;=Lists!$AM$4,"P2","P3")))))))</f>
        <v/>
      </c>
      <c r="N655" s="102"/>
      <c r="O655" s="101"/>
      <c r="P655" s="102"/>
      <c r="Q655" s="105"/>
      <c r="R655" s="106" t="str">
        <f aca="true">IF($Q655="","", TODAY()-$Q655)</f>
        <v/>
      </c>
      <c r="S655" s="102"/>
      <c r="T655" s="105"/>
      <c r="U655" s="105"/>
      <c r="V655" s="101"/>
      <c r="W655" s="101"/>
      <c r="X655" s="101"/>
      <c r="Y655" s="96"/>
      <c r="Z655" s="96"/>
      <c r="AA655" s="96"/>
      <c r="AC655" s="102"/>
      <c r="AD655" s="107" t="str">
        <f aca="false">IF($B655="","",IF(ISNUMBER($T655),$T655,IF(OR(NOT(ISNUMBER($Q655)),$S655=""),"",IFERROR(IF(ISNUMBER(INDEX(Lists!$AJ$2:$AJ$7,MATCH($S655,Lists!$AI$2:$AI$7,0))),$Q655+INDEX(Lists!$AJ$2:$AJ$7,MATCH($S655,Lists!$AI$2:$AI$7,0)),""),""))))</f>
        <v/>
      </c>
      <c r="AE655" s="104" t="str">
        <f aca="true">IF($B655="","",IF(AND(ISNUMBER($AD655),N($AD655)&lt;TODAY(),$N655&lt;&gt;"Done",$N655&lt;&gt;"Won't Fix",$N655&lt;&gt;"Duplicate"),"Yes","No"))</f>
        <v/>
      </c>
      <c r="AF655" s="101"/>
      <c r="AG655" s="108" t="str">
        <f aca="false">IF($AF655="","",IFERROR(VLOOKUP($AF655,'Application Portfolio'!$A$2:$B$1000,2,FALSE()),"Unknown App ID"))</f>
        <v/>
      </c>
      <c r="AH655" s="108" t="str">
        <f aca="false">IF(OR($B655="",$AF655=""),"",IFERROR(VLOOKUP($AF655,'Application Portfolio'!$A$2:$AB$1000,28,FALSE()),""))</f>
        <v/>
      </c>
    </row>
    <row r="656" customFormat="false" ht="15.75" hidden="false" customHeight="true" outlineLevel="0" collapsed="false">
      <c r="A656" s="100"/>
      <c r="B656" s="101"/>
      <c r="C656" s="101"/>
      <c r="D656" s="101"/>
      <c r="E656" s="101"/>
      <c r="F656" s="102"/>
      <c r="G656" s="102"/>
      <c r="H656" s="102"/>
      <c r="I656" s="102"/>
      <c r="J656" s="102"/>
      <c r="K656" s="102"/>
      <c r="L656" s="103" t="str">
        <f aca="false">IF(OR($B656="", $H656="", $I656="", $J656="", $K656=""),"",ROUND((VLOOKUP($H656,Lists!$E$2:$F$5,2,FALSE())*VLOOKUP($I656,Lists!$H$2:$I$4,2,FALSE())*VLOOKUP($J656,Lists!$K$2:$L$4,2,FALSE()))/VLOOKUP($K656,Lists!$N$2:$O$6,2,FALSE()),2))</f>
        <v/>
      </c>
      <c r="M656" s="104" t="str">
        <f aca="false">IF($B656="","",IF($AC656&lt;&gt;"",$AC656,IF($H656="Critical","P0",IF(NOT(ISNUMBER($L656)),"",IF($L656&gt;=Lists!$AM$2,"P0",IF($L656&gt;=Lists!$AM$3,"P1",IF($L656&gt;=Lists!$AM$4,"P2","P3")))))))</f>
        <v/>
      </c>
      <c r="N656" s="102"/>
      <c r="O656" s="101"/>
      <c r="P656" s="102"/>
      <c r="Q656" s="105"/>
      <c r="R656" s="106" t="str">
        <f aca="true">IF($Q656="","", TODAY()-$Q656)</f>
        <v/>
      </c>
      <c r="S656" s="102"/>
      <c r="T656" s="105"/>
      <c r="U656" s="105"/>
      <c r="V656" s="101"/>
      <c r="W656" s="101"/>
      <c r="X656" s="101"/>
      <c r="Y656" s="96"/>
      <c r="Z656" s="96"/>
      <c r="AA656" s="96"/>
      <c r="AC656" s="102"/>
      <c r="AD656" s="107" t="str">
        <f aca="false">IF($B656="","",IF(ISNUMBER($T656),$T656,IF(OR(NOT(ISNUMBER($Q656)),$S656=""),"",IFERROR(IF(ISNUMBER(INDEX(Lists!$AJ$2:$AJ$7,MATCH($S656,Lists!$AI$2:$AI$7,0))),$Q656+INDEX(Lists!$AJ$2:$AJ$7,MATCH($S656,Lists!$AI$2:$AI$7,0)),""),""))))</f>
        <v/>
      </c>
      <c r="AE656" s="104" t="str">
        <f aca="true">IF($B656="","",IF(AND(ISNUMBER($AD656),N($AD656)&lt;TODAY(),$N656&lt;&gt;"Done",$N656&lt;&gt;"Won't Fix",$N656&lt;&gt;"Duplicate"),"Yes","No"))</f>
        <v/>
      </c>
      <c r="AF656" s="101"/>
      <c r="AG656" s="108" t="str">
        <f aca="false">IF($AF656="","",IFERROR(VLOOKUP($AF656,'Application Portfolio'!$A$2:$B$1000,2,FALSE()),"Unknown App ID"))</f>
        <v/>
      </c>
      <c r="AH656" s="108" t="str">
        <f aca="false">IF(OR($B656="",$AF656=""),"",IFERROR(VLOOKUP($AF656,'Application Portfolio'!$A$2:$AB$1000,28,FALSE()),""))</f>
        <v/>
      </c>
    </row>
    <row r="657" customFormat="false" ht="15.75" hidden="false" customHeight="true" outlineLevel="0" collapsed="false">
      <c r="A657" s="100"/>
      <c r="B657" s="101"/>
      <c r="C657" s="101"/>
      <c r="D657" s="101"/>
      <c r="E657" s="101"/>
      <c r="F657" s="102"/>
      <c r="G657" s="102"/>
      <c r="H657" s="102"/>
      <c r="I657" s="102"/>
      <c r="J657" s="102"/>
      <c r="K657" s="102"/>
      <c r="L657" s="103" t="str">
        <f aca="false">IF(OR($B657="", $H657="", $I657="", $J657="", $K657=""),"",ROUND((VLOOKUP($H657,Lists!$E$2:$F$5,2,FALSE())*VLOOKUP($I657,Lists!$H$2:$I$4,2,FALSE())*VLOOKUP($J657,Lists!$K$2:$L$4,2,FALSE()))/VLOOKUP($K657,Lists!$N$2:$O$6,2,FALSE()),2))</f>
        <v/>
      </c>
      <c r="M657" s="104" t="str">
        <f aca="false">IF($B657="","",IF($AC657&lt;&gt;"",$AC657,IF($H657="Critical","P0",IF(NOT(ISNUMBER($L657)),"",IF($L657&gt;=Lists!$AM$2,"P0",IF($L657&gt;=Lists!$AM$3,"P1",IF($L657&gt;=Lists!$AM$4,"P2","P3")))))))</f>
        <v/>
      </c>
      <c r="N657" s="102"/>
      <c r="O657" s="101"/>
      <c r="P657" s="102"/>
      <c r="Q657" s="105"/>
      <c r="R657" s="106" t="str">
        <f aca="true">IF($Q657="","", TODAY()-$Q657)</f>
        <v/>
      </c>
      <c r="S657" s="102"/>
      <c r="T657" s="105"/>
      <c r="U657" s="105"/>
      <c r="V657" s="101"/>
      <c r="W657" s="101"/>
      <c r="X657" s="101"/>
      <c r="Y657" s="96"/>
      <c r="Z657" s="96"/>
      <c r="AA657" s="96"/>
      <c r="AC657" s="102"/>
      <c r="AD657" s="107" t="str">
        <f aca="false">IF($B657="","",IF(ISNUMBER($T657),$T657,IF(OR(NOT(ISNUMBER($Q657)),$S657=""),"",IFERROR(IF(ISNUMBER(INDEX(Lists!$AJ$2:$AJ$7,MATCH($S657,Lists!$AI$2:$AI$7,0))),$Q657+INDEX(Lists!$AJ$2:$AJ$7,MATCH($S657,Lists!$AI$2:$AI$7,0)),""),""))))</f>
        <v/>
      </c>
      <c r="AE657" s="104" t="str">
        <f aca="true">IF($B657="","",IF(AND(ISNUMBER($AD657),N($AD657)&lt;TODAY(),$N657&lt;&gt;"Done",$N657&lt;&gt;"Won't Fix",$N657&lt;&gt;"Duplicate"),"Yes","No"))</f>
        <v/>
      </c>
      <c r="AF657" s="101"/>
      <c r="AG657" s="108" t="str">
        <f aca="false">IF($AF657="","",IFERROR(VLOOKUP($AF657,'Application Portfolio'!$A$2:$B$1000,2,FALSE()),"Unknown App ID"))</f>
        <v/>
      </c>
      <c r="AH657" s="108" t="str">
        <f aca="false">IF(OR($B657="",$AF657=""),"",IFERROR(VLOOKUP($AF657,'Application Portfolio'!$A$2:$AB$1000,28,FALSE()),""))</f>
        <v/>
      </c>
    </row>
    <row r="658" customFormat="false" ht="15.75" hidden="false" customHeight="true" outlineLevel="0" collapsed="false">
      <c r="A658" s="100"/>
      <c r="B658" s="101"/>
      <c r="C658" s="101"/>
      <c r="D658" s="101"/>
      <c r="E658" s="101"/>
      <c r="F658" s="102"/>
      <c r="G658" s="102"/>
      <c r="H658" s="102"/>
      <c r="I658" s="102"/>
      <c r="J658" s="102"/>
      <c r="K658" s="102"/>
      <c r="L658" s="103" t="str">
        <f aca="false">IF(OR($B658="", $H658="", $I658="", $J658="", $K658=""),"",ROUND((VLOOKUP($H658,Lists!$E$2:$F$5,2,FALSE())*VLOOKUP($I658,Lists!$H$2:$I$4,2,FALSE())*VLOOKUP($J658,Lists!$K$2:$L$4,2,FALSE()))/VLOOKUP($K658,Lists!$N$2:$O$6,2,FALSE()),2))</f>
        <v/>
      </c>
      <c r="M658" s="104" t="str">
        <f aca="false">IF($B658="","",IF($AC658&lt;&gt;"",$AC658,IF($H658="Critical","P0",IF(NOT(ISNUMBER($L658)),"",IF($L658&gt;=Lists!$AM$2,"P0",IF($L658&gt;=Lists!$AM$3,"P1",IF($L658&gt;=Lists!$AM$4,"P2","P3")))))))</f>
        <v/>
      </c>
      <c r="N658" s="102"/>
      <c r="O658" s="101"/>
      <c r="P658" s="102"/>
      <c r="Q658" s="105"/>
      <c r="R658" s="106" t="str">
        <f aca="true">IF($Q658="","", TODAY()-$Q658)</f>
        <v/>
      </c>
      <c r="S658" s="102"/>
      <c r="T658" s="105"/>
      <c r="U658" s="105"/>
      <c r="V658" s="101"/>
      <c r="W658" s="101"/>
      <c r="X658" s="101"/>
      <c r="Y658" s="96"/>
      <c r="Z658" s="96"/>
      <c r="AA658" s="96"/>
      <c r="AC658" s="102"/>
      <c r="AD658" s="107" t="str">
        <f aca="false">IF($B658="","",IF(ISNUMBER($T658),$T658,IF(OR(NOT(ISNUMBER($Q658)),$S658=""),"",IFERROR(IF(ISNUMBER(INDEX(Lists!$AJ$2:$AJ$7,MATCH($S658,Lists!$AI$2:$AI$7,0))),$Q658+INDEX(Lists!$AJ$2:$AJ$7,MATCH($S658,Lists!$AI$2:$AI$7,0)),""),""))))</f>
        <v/>
      </c>
      <c r="AE658" s="104" t="str">
        <f aca="true">IF($B658="","",IF(AND(ISNUMBER($AD658),N($AD658)&lt;TODAY(),$N658&lt;&gt;"Done",$N658&lt;&gt;"Won't Fix",$N658&lt;&gt;"Duplicate"),"Yes","No"))</f>
        <v/>
      </c>
      <c r="AF658" s="101"/>
      <c r="AG658" s="108" t="str">
        <f aca="false">IF($AF658="","",IFERROR(VLOOKUP($AF658,'Application Portfolio'!$A$2:$B$1000,2,FALSE()),"Unknown App ID"))</f>
        <v/>
      </c>
      <c r="AH658" s="108" t="str">
        <f aca="false">IF(OR($B658="",$AF658=""),"",IFERROR(VLOOKUP($AF658,'Application Portfolio'!$A$2:$AB$1000,28,FALSE()),""))</f>
        <v/>
      </c>
    </row>
    <row r="659" customFormat="false" ht="15.75" hidden="false" customHeight="true" outlineLevel="0" collapsed="false">
      <c r="A659" s="100"/>
      <c r="B659" s="101"/>
      <c r="C659" s="101"/>
      <c r="D659" s="101"/>
      <c r="E659" s="101"/>
      <c r="F659" s="102"/>
      <c r="G659" s="102"/>
      <c r="H659" s="102"/>
      <c r="I659" s="102"/>
      <c r="J659" s="102"/>
      <c r="K659" s="102"/>
      <c r="L659" s="103" t="str">
        <f aca="false">IF(OR($B659="", $H659="", $I659="", $J659="", $K659=""),"",ROUND((VLOOKUP($H659,Lists!$E$2:$F$5,2,FALSE())*VLOOKUP($I659,Lists!$H$2:$I$4,2,FALSE())*VLOOKUP($J659,Lists!$K$2:$L$4,2,FALSE()))/VLOOKUP($K659,Lists!$N$2:$O$6,2,FALSE()),2))</f>
        <v/>
      </c>
      <c r="M659" s="104" t="str">
        <f aca="false">IF($B659="","",IF($AC659&lt;&gt;"",$AC659,IF($H659="Critical","P0",IF(NOT(ISNUMBER($L659)),"",IF($L659&gt;=Lists!$AM$2,"P0",IF($L659&gt;=Lists!$AM$3,"P1",IF($L659&gt;=Lists!$AM$4,"P2","P3")))))))</f>
        <v/>
      </c>
      <c r="N659" s="102"/>
      <c r="O659" s="101"/>
      <c r="P659" s="102"/>
      <c r="Q659" s="105"/>
      <c r="R659" s="106" t="str">
        <f aca="true">IF($Q659="","", TODAY()-$Q659)</f>
        <v/>
      </c>
      <c r="S659" s="102"/>
      <c r="T659" s="105"/>
      <c r="U659" s="105"/>
      <c r="V659" s="101"/>
      <c r="W659" s="101"/>
      <c r="X659" s="101"/>
      <c r="Y659" s="96"/>
      <c r="Z659" s="96"/>
      <c r="AA659" s="96"/>
      <c r="AC659" s="102"/>
      <c r="AD659" s="107" t="str">
        <f aca="false">IF($B659="","",IF(ISNUMBER($T659),$T659,IF(OR(NOT(ISNUMBER($Q659)),$S659=""),"",IFERROR(IF(ISNUMBER(INDEX(Lists!$AJ$2:$AJ$7,MATCH($S659,Lists!$AI$2:$AI$7,0))),$Q659+INDEX(Lists!$AJ$2:$AJ$7,MATCH($S659,Lists!$AI$2:$AI$7,0)),""),""))))</f>
        <v/>
      </c>
      <c r="AE659" s="104" t="str">
        <f aca="true">IF($B659="","",IF(AND(ISNUMBER($AD659),N($AD659)&lt;TODAY(),$N659&lt;&gt;"Done",$N659&lt;&gt;"Won't Fix",$N659&lt;&gt;"Duplicate"),"Yes","No"))</f>
        <v/>
      </c>
      <c r="AF659" s="101"/>
      <c r="AG659" s="108" t="str">
        <f aca="false">IF($AF659="","",IFERROR(VLOOKUP($AF659,'Application Portfolio'!$A$2:$B$1000,2,FALSE()),"Unknown App ID"))</f>
        <v/>
      </c>
      <c r="AH659" s="108" t="str">
        <f aca="false">IF(OR($B659="",$AF659=""),"",IFERROR(VLOOKUP($AF659,'Application Portfolio'!$A$2:$AB$1000,28,FALSE()),""))</f>
        <v/>
      </c>
    </row>
    <row r="660" customFormat="false" ht="15.75" hidden="false" customHeight="true" outlineLevel="0" collapsed="false">
      <c r="A660" s="100"/>
      <c r="B660" s="101"/>
      <c r="C660" s="101"/>
      <c r="D660" s="101"/>
      <c r="E660" s="101"/>
      <c r="F660" s="102"/>
      <c r="G660" s="102"/>
      <c r="H660" s="102"/>
      <c r="I660" s="102"/>
      <c r="J660" s="102"/>
      <c r="K660" s="102"/>
      <c r="L660" s="103" t="str">
        <f aca="false">IF(OR($B660="", $H660="", $I660="", $J660="", $K660=""),"",ROUND((VLOOKUP($H660,Lists!$E$2:$F$5,2,FALSE())*VLOOKUP($I660,Lists!$H$2:$I$4,2,FALSE())*VLOOKUP($J660,Lists!$K$2:$L$4,2,FALSE()))/VLOOKUP($K660,Lists!$N$2:$O$6,2,FALSE()),2))</f>
        <v/>
      </c>
      <c r="M660" s="104" t="str">
        <f aca="false">IF($B660="","",IF($AC660&lt;&gt;"",$AC660,IF($H660="Critical","P0",IF(NOT(ISNUMBER($L660)),"",IF($L660&gt;=Lists!$AM$2,"P0",IF($L660&gt;=Lists!$AM$3,"P1",IF($L660&gt;=Lists!$AM$4,"P2","P3")))))))</f>
        <v/>
      </c>
      <c r="N660" s="102"/>
      <c r="O660" s="101"/>
      <c r="P660" s="102"/>
      <c r="Q660" s="105"/>
      <c r="R660" s="106" t="str">
        <f aca="true">IF($Q660="","", TODAY()-$Q660)</f>
        <v/>
      </c>
      <c r="S660" s="102"/>
      <c r="T660" s="105"/>
      <c r="U660" s="105"/>
      <c r="V660" s="101"/>
      <c r="W660" s="101"/>
      <c r="X660" s="101"/>
      <c r="Y660" s="96"/>
      <c r="Z660" s="96"/>
      <c r="AA660" s="96"/>
      <c r="AC660" s="102"/>
      <c r="AD660" s="107" t="str">
        <f aca="false">IF($B660="","",IF(ISNUMBER($T660),$T660,IF(OR(NOT(ISNUMBER($Q660)),$S660=""),"",IFERROR(IF(ISNUMBER(INDEX(Lists!$AJ$2:$AJ$7,MATCH($S660,Lists!$AI$2:$AI$7,0))),$Q660+INDEX(Lists!$AJ$2:$AJ$7,MATCH($S660,Lists!$AI$2:$AI$7,0)),""),""))))</f>
        <v/>
      </c>
      <c r="AE660" s="104" t="str">
        <f aca="true">IF($B660="","",IF(AND(ISNUMBER($AD660),N($AD660)&lt;TODAY(),$N660&lt;&gt;"Done",$N660&lt;&gt;"Won't Fix",$N660&lt;&gt;"Duplicate"),"Yes","No"))</f>
        <v/>
      </c>
      <c r="AF660" s="101"/>
      <c r="AG660" s="108" t="str">
        <f aca="false">IF($AF660="","",IFERROR(VLOOKUP($AF660,'Application Portfolio'!$A$2:$B$1000,2,FALSE()),"Unknown App ID"))</f>
        <v/>
      </c>
      <c r="AH660" s="108" t="str">
        <f aca="false">IF(OR($B660="",$AF660=""),"",IFERROR(VLOOKUP($AF660,'Application Portfolio'!$A$2:$AB$1000,28,FALSE()),""))</f>
        <v/>
      </c>
    </row>
    <row r="661" customFormat="false" ht="15.75" hidden="false" customHeight="true" outlineLevel="0" collapsed="false">
      <c r="A661" s="100"/>
      <c r="B661" s="101"/>
      <c r="C661" s="101"/>
      <c r="D661" s="101"/>
      <c r="E661" s="101"/>
      <c r="F661" s="102"/>
      <c r="G661" s="102"/>
      <c r="H661" s="102"/>
      <c r="I661" s="102"/>
      <c r="J661" s="102"/>
      <c r="K661" s="102"/>
      <c r="L661" s="103" t="str">
        <f aca="false">IF(OR($B661="", $H661="", $I661="", $J661="", $K661=""),"",ROUND((VLOOKUP($H661,Lists!$E$2:$F$5,2,FALSE())*VLOOKUP($I661,Lists!$H$2:$I$4,2,FALSE())*VLOOKUP($J661,Lists!$K$2:$L$4,2,FALSE()))/VLOOKUP($K661,Lists!$N$2:$O$6,2,FALSE()),2))</f>
        <v/>
      </c>
      <c r="M661" s="104" t="str">
        <f aca="false">IF($B661="","",IF($AC661&lt;&gt;"",$AC661,IF($H661="Critical","P0",IF(NOT(ISNUMBER($L661)),"",IF($L661&gt;=Lists!$AM$2,"P0",IF($L661&gt;=Lists!$AM$3,"P1",IF($L661&gt;=Lists!$AM$4,"P2","P3")))))))</f>
        <v/>
      </c>
      <c r="N661" s="102"/>
      <c r="O661" s="101"/>
      <c r="P661" s="102"/>
      <c r="Q661" s="105"/>
      <c r="R661" s="106" t="str">
        <f aca="true">IF($Q661="","", TODAY()-$Q661)</f>
        <v/>
      </c>
      <c r="S661" s="102"/>
      <c r="T661" s="105"/>
      <c r="U661" s="105"/>
      <c r="V661" s="101"/>
      <c r="W661" s="101"/>
      <c r="X661" s="101"/>
      <c r="Y661" s="96"/>
      <c r="Z661" s="96"/>
      <c r="AA661" s="96"/>
      <c r="AC661" s="102"/>
      <c r="AD661" s="107" t="str">
        <f aca="false">IF($B661="","",IF(ISNUMBER($T661),$T661,IF(OR(NOT(ISNUMBER($Q661)),$S661=""),"",IFERROR(IF(ISNUMBER(INDEX(Lists!$AJ$2:$AJ$7,MATCH($S661,Lists!$AI$2:$AI$7,0))),$Q661+INDEX(Lists!$AJ$2:$AJ$7,MATCH($S661,Lists!$AI$2:$AI$7,0)),""),""))))</f>
        <v/>
      </c>
      <c r="AE661" s="104" t="str">
        <f aca="true">IF($B661="","",IF(AND(ISNUMBER($AD661),N($AD661)&lt;TODAY(),$N661&lt;&gt;"Done",$N661&lt;&gt;"Won't Fix",$N661&lt;&gt;"Duplicate"),"Yes","No"))</f>
        <v/>
      </c>
      <c r="AF661" s="101"/>
      <c r="AG661" s="108" t="str">
        <f aca="false">IF($AF661="","",IFERROR(VLOOKUP($AF661,'Application Portfolio'!$A$2:$B$1000,2,FALSE()),"Unknown App ID"))</f>
        <v/>
      </c>
      <c r="AH661" s="108" t="str">
        <f aca="false">IF(OR($B661="",$AF661=""),"",IFERROR(VLOOKUP($AF661,'Application Portfolio'!$A$2:$AB$1000,28,FALSE()),""))</f>
        <v/>
      </c>
    </row>
    <row r="662" customFormat="false" ht="15.75" hidden="false" customHeight="true" outlineLevel="0" collapsed="false">
      <c r="A662" s="100"/>
      <c r="B662" s="101"/>
      <c r="C662" s="101"/>
      <c r="D662" s="101"/>
      <c r="E662" s="101"/>
      <c r="F662" s="102"/>
      <c r="G662" s="102"/>
      <c r="H662" s="102"/>
      <c r="I662" s="102"/>
      <c r="J662" s="102"/>
      <c r="K662" s="102"/>
      <c r="L662" s="103" t="str">
        <f aca="false">IF(OR($B662="", $H662="", $I662="", $J662="", $K662=""),"",ROUND((VLOOKUP($H662,Lists!$E$2:$F$5,2,FALSE())*VLOOKUP($I662,Lists!$H$2:$I$4,2,FALSE())*VLOOKUP($J662,Lists!$K$2:$L$4,2,FALSE()))/VLOOKUP($K662,Lists!$N$2:$O$6,2,FALSE()),2))</f>
        <v/>
      </c>
      <c r="M662" s="104" t="str">
        <f aca="false">IF($B662="","",IF($AC662&lt;&gt;"",$AC662,IF($H662="Critical","P0",IF(NOT(ISNUMBER($L662)),"",IF($L662&gt;=Lists!$AM$2,"P0",IF($L662&gt;=Lists!$AM$3,"P1",IF($L662&gt;=Lists!$AM$4,"P2","P3")))))))</f>
        <v/>
      </c>
      <c r="N662" s="102"/>
      <c r="O662" s="101"/>
      <c r="P662" s="102"/>
      <c r="Q662" s="105"/>
      <c r="R662" s="106" t="str">
        <f aca="true">IF($Q662="","", TODAY()-$Q662)</f>
        <v/>
      </c>
      <c r="S662" s="102"/>
      <c r="T662" s="105"/>
      <c r="U662" s="105"/>
      <c r="V662" s="101"/>
      <c r="W662" s="101"/>
      <c r="X662" s="101"/>
      <c r="Y662" s="96"/>
      <c r="Z662" s="96"/>
      <c r="AA662" s="96"/>
      <c r="AC662" s="102"/>
      <c r="AD662" s="107" t="str">
        <f aca="false">IF($B662="","",IF(ISNUMBER($T662),$T662,IF(OR(NOT(ISNUMBER($Q662)),$S662=""),"",IFERROR(IF(ISNUMBER(INDEX(Lists!$AJ$2:$AJ$7,MATCH($S662,Lists!$AI$2:$AI$7,0))),$Q662+INDEX(Lists!$AJ$2:$AJ$7,MATCH($S662,Lists!$AI$2:$AI$7,0)),""),""))))</f>
        <v/>
      </c>
      <c r="AE662" s="104" t="str">
        <f aca="true">IF($B662="","",IF(AND(ISNUMBER($AD662),N($AD662)&lt;TODAY(),$N662&lt;&gt;"Done",$N662&lt;&gt;"Won't Fix",$N662&lt;&gt;"Duplicate"),"Yes","No"))</f>
        <v/>
      </c>
      <c r="AF662" s="101"/>
      <c r="AG662" s="108" t="str">
        <f aca="false">IF($AF662="","",IFERROR(VLOOKUP($AF662,'Application Portfolio'!$A$2:$B$1000,2,FALSE()),"Unknown App ID"))</f>
        <v/>
      </c>
      <c r="AH662" s="108" t="str">
        <f aca="false">IF(OR($B662="",$AF662=""),"",IFERROR(VLOOKUP($AF662,'Application Portfolio'!$A$2:$AB$1000,28,FALSE()),""))</f>
        <v/>
      </c>
    </row>
    <row r="663" customFormat="false" ht="15.75" hidden="false" customHeight="true" outlineLevel="0" collapsed="false">
      <c r="A663" s="100"/>
      <c r="B663" s="101"/>
      <c r="C663" s="101"/>
      <c r="D663" s="101"/>
      <c r="E663" s="101"/>
      <c r="F663" s="102"/>
      <c r="G663" s="102"/>
      <c r="H663" s="102"/>
      <c r="I663" s="102"/>
      <c r="J663" s="102"/>
      <c r="K663" s="102"/>
      <c r="L663" s="103" t="str">
        <f aca="false">IF(OR($B663="", $H663="", $I663="", $J663="", $K663=""),"",ROUND((VLOOKUP($H663,Lists!$E$2:$F$5,2,FALSE())*VLOOKUP($I663,Lists!$H$2:$I$4,2,FALSE())*VLOOKUP($J663,Lists!$K$2:$L$4,2,FALSE()))/VLOOKUP($K663,Lists!$N$2:$O$6,2,FALSE()),2))</f>
        <v/>
      </c>
      <c r="M663" s="104" t="str">
        <f aca="false">IF($B663="","",IF($AC663&lt;&gt;"",$AC663,IF($H663="Critical","P0",IF(NOT(ISNUMBER($L663)),"",IF($L663&gt;=Lists!$AM$2,"P0",IF($L663&gt;=Lists!$AM$3,"P1",IF($L663&gt;=Lists!$AM$4,"P2","P3")))))))</f>
        <v/>
      </c>
      <c r="N663" s="102"/>
      <c r="O663" s="101"/>
      <c r="P663" s="102"/>
      <c r="Q663" s="105"/>
      <c r="R663" s="106" t="str">
        <f aca="true">IF($Q663="","", TODAY()-$Q663)</f>
        <v/>
      </c>
      <c r="S663" s="102"/>
      <c r="T663" s="105"/>
      <c r="U663" s="105"/>
      <c r="V663" s="101"/>
      <c r="W663" s="101"/>
      <c r="X663" s="101"/>
      <c r="Y663" s="96"/>
      <c r="Z663" s="96"/>
      <c r="AA663" s="96"/>
      <c r="AC663" s="102"/>
      <c r="AD663" s="107" t="str">
        <f aca="false">IF($B663="","",IF(ISNUMBER($T663),$T663,IF(OR(NOT(ISNUMBER($Q663)),$S663=""),"",IFERROR(IF(ISNUMBER(INDEX(Lists!$AJ$2:$AJ$7,MATCH($S663,Lists!$AI$2:$AI$7,0))),$Q663+INDEX(Lists!$AJ$2:$AJ$7,MATCH($S663,Lists!$AI$2:$AI$7,0)),""),""))))</f>
        <v/>
      </c>
      <c r="AE663" s="104" t="str">
        <f aca="true">IF($B663="","",IF(AND(ISNUMBER($AD663),N($AD663)&lt;TODAY(),$N663&lt;&gt;"Done",$N663&lt;&gt;"Won't Fix",$N663&lt;&gt;"Duplicate"),"Yes","No"))</f>
        <v/>
      </c>
      <c r="AF663" s="101"/>
      <c r="AG663" s="108" t="str">
        <f aca="false">IF($AF663="","",IFERROR(VLOOKUP($AF663,'Application Portfolio'!$A$2:$B$1000,2,FALSE()),"Unknown App ID"))</f>
        <v/>
      </c>
      <c r="AH663" s="108" t="str">
        <f aca="false">IF(OR($B663="",$AF663=""),"",IFERROR(VLOOKUP($AF663,'Application Portfolio'!$A$2:$AB$1000,28,FALSE()),""))</f>
        <v/>
      </c>
    </row>
    <row r="664" customFormat="false" ht="15.75" hidden="false" customHeight="true" outlineLevel="0" collapsed="false">
      <c r="A664" s="100"/>
      <c r="B664" s="101"/>
      <c r="C664" s="101"/>
      <c r="D664" s="101"/>
      <c r="E664" s="101"/>
      <c r="F664" s="102"/>
      <c r="G664" s="102"/>
      <c r="H664" s="102"/>
      <c r="I664" s="102"/>
      <c r="J664" s="102"/>
      <c r="K664" s="102"/>
      <c r="L664" s="103" t="str">
        <f aca="false">IF(OR($B664="", $H664="", $I664="", $J664="", $K664=""),"",ROUND((VLOOKUP($H664,Lists!$E$2:$F$5,2,FALSE())*VLOOKUP($I664,Lists!$H$2:$I$4,2,FALSE())*VLOOKUP($J664,Lists!$K$2:$L$4,2,FALSE()))/VLOOKUP($K664,Lists!$N$2:$O$6,2,FALSE()),2))</f>
        <v/>
      </c>
      <c r="M664" s="104" t="str">
        <f aca="false">IF($B664="","",IF($AC664&lt;&gt;"",$AC664,IF($H664="Critical","P0",IF(NOT(ISNUMBER($L664)),"",IF($L664&gt;=Lists!$AM$2,"P0",IF($L664&gt;=Lists!$AM$3,"P1",IF($L664&gt;=Lists!$AM$4,"P2","P3")))))))</f>
        <v/>
      </c>
      <c r="N664" s="102"/>
      <c r="O664" s="101"/>
      <c r="P664" s="102"/>
      <c r="Q664" s="105"/>
      <c r="R664" s="106" t="str">
        <f aca="true">IF($Q664="","", TODAY()-$Q664)</f>
        <v/>
      </c>
      <c r="S664" s="102"/>
      <c r="T664" s="105"/>
      <c r="U664" s="105"/>
      <c r="V664" s="101"/>
      <c r="W664" s="101"/>
      <c r="X664" s="101"/>
      <c r="Y664" s="96"/>
      <c r="Z664" s="96"/>
      <c r="AA664" s="96"/>
      <c r="AC664" s="102"/>
      <c r="AD664" s="107" t="str">
        <f aca="false">IF($B664="","",IF(ISNUMBER($T664),$T664,IF(OR(NOT(ISNUMBER($Q664)),$S664=""),"",IFERROR(IF(ISNUMBER(INDEX(Lists!$AJ$2:$AJ$7,MATCH($S664,Lists!$AI$2:$AI$7,0))),$Q664+INDEX(Lists!$AJ$2:$AJ$7,MATCH($S664,Lists!$AI$2:$AI$7,0)),""),""))))</f>
        <v/>
      </c>
      <c r="AE664" s="104" t="str">
        <f aca="true">IF($B664="","",IF(AND(ISNUMBER($AD664),N($AD664)&lt;TODAY(),$N664&lt;&gt;"Done",$N664&lt;&gt;"Won't Fix",$N664&lt;&gt;"Duplicate"),"Yes","No"))</f>
        <v/>
      </c>
      <c r="AF664" s="101"/>
      <c r="AG664" s="108" t="str">
        <f aca="false">IF($AF664="","",IFERROR(VLOOKUP($AF664,'Application Portfolio'!$A$2:$B$1000,2,FALSE()),"Unknown App ID"))</f>
        <v/>
      </c>
      <c r="AH664" s="108" t="str">
        <f aca="false">IF(OR($B664="",$AF664=""),"",IFERROR(VLOOKUP($AF664,'Application Portfolio'!$A$2:$AB$1000,28,FALSE()),""))</f>
        <v/>
      </c>
    </row>
    <row r="665" customFormat="false" ht="15.75" hidden="false" customHeight="true" outlineLevel="0" collapsed="false">
      <c r="A665" s="100"/>
      <c r="B665" s="101"/>
      <c r="C665" s="101"/>
      <c r="D665" s="101"/>
      <c r="E665" s="101"/>
      <c r="F665" s="102"/>
      <c r="G665" s="102"/>
      <c r="H665" s="102"/>
      <c r="I665" s="102"/>
      <c r="J665" s="102"/>
      <c r="K665" s="102"/>
      <c r="L665" s="103" t="str">
        <f aca="false">IF(OR($B665="", $H665="", $I665="", $J665="", $K665=""),"",ROUND((VLOOKUP($H665,Lists!$E$2:$F$5,2,FALSE())*VLOOKUP($I665,Lists!$H$2:$I$4,2,FALSE())*VLOOKUP($J665,Lists!$K$2:$L$4,2,FALSE()))/VLOOKUP($K665,Lists!$N$2:$O$6,2,FALSE()),2))</f>
        <v/>
      </c>
      <c r="M665" s="104" t="str">
        <f aca="false">IF($B665="","",IF($AC665&lt;&gt;"",$AC665,IF($H665="Critical","P0",IF(NOT(ISNUMBER($L665)),"",IF($L665&gt;=Lists!$AM$2,"P0",IF($L665&gt;=Lists!$AM$3,"P1",IF($L665&gt;=Lists!$AM$4,"P2","P3")))))))</f>
        <v/>
      </c>
      <c r="N665" s="102"/>
      <c r="O665" s="101"/>
      <c r="P665" s="102"/>
      <c r="Q665" s="105"/>
      <c r="R665" s="106" t="str">
        <f aca="true">IF($Q665="","", TODAY()-$Q665)</f>
        <v/>
      </c>
      <c r="S665" s="102"/>
      <c r="T665" s="105"/>
      <c r="U665" s="105"/>
      <c r="V665" s="101"/>
      <c r="W665" s="101"/>
      <c r="X665" s="101"/>
      <c r="Y665" s="96"/>
      <c r="Z665" s="96"/>
      <c r="AA665" s="96"/>
      <c r="AC665" s="102"/>
      <c r="AD665" s="107" t="str">
        <f aca="false">IF($B665="","",IF(ISNUMBER($T665),$T665,IF(OR(NOT(ISNUMBER($Q665)),$S665=""),"",IFERROR(IF(ISNUMBER(INDEX(Lists!$AJ$2:$AJ$7,MATCH($S665,Lists!$AI$2:$AI$7,0))),$Q665+INDEX(Lists!$AJ$2:$AJ$7,MATCH($S665,Lists!$AI$2:$AI$7,0)),""),""))))</f>
        <v/>
      </c>
      <c r="AE665" s="104" t="str">
        <f aca="true">IF($B665="","",IF(AND(ISNUMBER($AD665),N($AD665)&lt;TODAY(),$N665&lt;&gt;"Done",$N665&lt;&gt;"Won't Fix",$N665&lt;&gt;"Duplicate"),"Yes","No"))</f>
        <v/>
      </c>
      <c r="AF665" s="101"/>
      <c r="AG665" s="108" t="str">
        <f aca="false">IF($AF665="","",IFERROR(VLOOKUP($AF665,'Application Portfolio'!$A$2:$B$1000,2,FALSE()),"Unknown App ID"))</f>
        <v/>
      </c>
      <c r="AH665" s="108" t="str">
        <f aca="false">IF(OR($B665="",$AF665=""),"",IFERROR(VLOOKUP($AF665,'Application Portfolio'!$A$2:$AB$1000,28,FALSE()),""))</f>
        <v/>
      </c>
    </row>
    <row r="666" customFormat="false" ht="15.75" hidden="false" customHeight="true" outlineLevel="0" collapsed="false">
      <c r="A666" s="100"/>
      <c r="B666" s="101"/>
      <c r="C666" s="101"/>
      <c r="D666" s="101"/>
      <c r="E666" s="101"/>
      <c r="F666" s="102"/>
      <c r="G666" s="102"/>
      <c r="H666" s="102"/>
      <c r="I666" s="102"/>
      <c r="J666" s="102"/>
      <c r="K666" s="102"/>
      <c r="L666" s="103" t="str">
        <f aca="false">IF(OR($B666="", $H666="", $I666="", $J666="", $K666=""),"",ROUND((VLOOKUP($H666,Lists!$E$2:$F$5,2,FALSE())*VLOOKUP($I666,Lists!$H$2:$I$4,2,FALSE())*VLOOKUP($J666,Lists!$K$2:$L$4,2,FALSE()))/VLOOKUP($K666,Lists!$N$2:$O$6,2,FALSE()),2))</f>
        <v/>
      </c>
      <c r="M666" s="104" t="str">
        <f aca="false">IF($B666="","",IF($AC666&lt;&gt;"",$AC666,IF($H666="Critical","P0",IF(NOT(ISNUMBER($L666)),"",IF($L666&gt;=Lists!$AM$2,"P0",IF($L666&gt;=Lists!$AM$3,"P1",IF($L666&gt;=Lists!$AM$4,"P2","P3")))))))</f>
        <v/>
      </c>
      <c r="N666" s="102"/>
      <c r="O666" s="101"/>
      <c r="P666" s="102"/>
      <c r="Q666" s="105"/>
      <c r="R666" s="106" t="str">
        <f aca="true">IF($Q666="","", TODAY()-$Q666)</f>
        <v/>
      </c>
      <c r="S666" s="102"/>
      <c r="T666" s="105"/>
      <c r="U666" s="105"/>
      <c r="V666" s="101"/>
      <c r="W666" s="101"/>
      <c r="X666" s="101"/>
      <c r="Y666" s="96"/>
      <c r="Z666" s="96"/>
      <c r="AA666" s="96"/>
      <c r="AC666" s="102"/>
      <c r="AD666" s="107" t="str">
        <f aca="false">IF($B666="","",IF(ISNUMBER($T666),$T666,IF(OR(NOT(ISNUMBER($Q666)),$S666=""),"",IFERROR(IF(ISNUMBER(INDEX(Lists!$AJ$2:$AJ$7,MATCH($S666,Lists!$AI$2:$AI$7,0))),$Q666+INDEX(Lists!$AJ$2:$AJ$7,MATCH($S666,Lists!$AI$2:$AI$7,0)),""),""))))</f>
        <v/>
      </c>
      <c r="AE666" s="104" t="str">
        <f aca="true">IF($B666="","",IF(AND(ISNUMBER($AD666),N($AD666)&lt;TODAY(),$N666&lt;&gt;"Done",$N666&lt;&gt;"Won't Fix",$N666&lt;&gt;"Duplicate"),"Yes","No"))</f>
        <v/>
      </c>
      <c r="AF666" s="101"/>
      <c r="AG666" s="108" t="str">
        <f aca="false">IF($AF666="","",IFERROR(VLOOKUP($AF666,'Application Portfolio'!$A$2:$B$1000,2,FALSE()),"Unknown App ID"))</f>
        <v/>
      </c>
      <c r="AH666" s="108" t="str">
        <f aca="false">IF(OR($B666="",$AF666=""),"",IFERROR(VLOOKUP($AF666,'Application Portfolio'!$A$2:$AB$1000,28,FALSE()),""))</f>
        <v/>
      </c>
    </row>
    <row r="667" customFormat="false" ht="15.75" hidden="false" customHeight="true" outlineLevel="0" collapsed="false">
      <c r="A667" s="100"/>
      <c r="B667" s="101"/>
      <c r="C667" s="101"/>
      <c r="D667" s="101"/>
      <c r="E667" s="101"/>
      <c r="F667" s="102"/>
      <c r="G667" s="102"/>
      <c r="H667" s="102"/>
      <c r="I667" s="102"/>
      <c r="J667" s="102"/>
      <c r="K667" s="102"/>
      <c r="L667" s="103" t="str">
        <f aca="false">IF(OR($B667="", $H667="", $I667="", $J667="", $K667=""),"",ROUND((VLOOKUP($H667,Lists!$E$2:$F$5,2,FALSE())*VLOOKUP($I667,Lists!$H$2:$I$4,2,FALSE())*VLOOKUP($J667,Lists!$K$2:$L$4,2,FALSE()))/VLOOKUP($K667,Lists!$N$2:$O$6,2,FALSE()),2))</f>
        <v/>
      </c>
      <c r="M667" s="104" t="str">
        <f aca="false">IF($B667="","",IF($AC667&lt;&gt;"",$AC667,IF($H667="Critical","P0",IF(NOT(ISNUMBER($L667)),"",IF($L667&gt;=Lists!$AM$2,"P0",IF($L667&gt;=Lists!$AM$3,"P1",IF($L667&gt;=Lists!$AM$4,"P2","P3")))))))</f>
        <v/>
      </c>
      <c r="N667" s="102"/>
      <c r="O667" s="101"/>
      <c r="P667" s="102"/>
      <c r="Q667" s="105"/>
      <c r="R667" s="106" t="str">
        <f aca="true">IF($Q667="","", TODAY()-$Q667)</f>
        <v/>
      </c>
      <c r="S667" s="102"/>
      <c r="T667" s="105"/>
      <c r="U667" s="105"/>
      <c r="V667" s="101"/>
      <c r="W667" s="101"/>
      <c r="X667" s="101"/>
      <c r="Y667" s="96"/>
      <c r="Z667" s="96"/>
      <c r="AA667" s="96"/>
      <c r="AC667" s="102"/>
      <c r="AD667" s="107" t="str">
        <f aca="false">IF($B667="","",IF(ISNUMBER($T667),$T667,IF(OR(NOT(ISNUMBER($Q667)),$S667=""),"",IFERROR(IF(ISNUMBER(INDEX(Lists!$AJ$2:$AJ$7,MATCH($S667,Lists!$AI$2:$AI$7,0))),$Q667+INDEX(Lists!$AJ$2:$AJ$7,MATCH($S667,Lists!$AI$2:$AI$7,0)),""),""))))</f>
        <v/>
      </c>
      <c r="AE667" s="104" t="str">
        <f aca="true">IF($B667="","",IF(AND(ISNUMBER($AD667),N($AD667)&lt;TODAY(),$N667&lt;&gt;"Done",$N667&lt;&gt;"Won't Fix",$N667&lt;&gt;"Duplicate"),"Yes","No"))</f>
        <v/>
      </c>
      <c r="AF667" s="101"/>
      <c r="AG667" s="108" t="str">
        <f aca="false">IF($AF667="","",IFERROR(VLOOKUP($AF667,'Application Portfolio'!$A$2:$B$1000,2,FALSE()),"Unknown App ID"))</f>
        <v/>
      </c>
      <c r="AH667" s="108" t="str">
        <f aca="false">IF(OR($B667="",$AF667=""),"",IFERROR(VLOOKUP($AF667,'Application Portfolio'!$A$2:$AB$1000,28,FALSE()),""))</f>
        <v/>
      </c>
    </row>
    <row r="668" customFormat="false" ht="15.75" hidden="false" customHeight="true" outlineLevel="0" collapsed="false">
      <c r="A668" s="100"/>
      <c r="B668" s="101"/>
      <c r="C668" s="101"/>
      <c r="D668" s="101"/>
      <c r="E668" s="101"/>
      <c r="F668" s="102"/>
      <c r="G668" s="102"/>
      <c r="H668" s="102"/>
      <c r="I668" s="102"/>
      <c r="J668" s="102"/>
      <c r="K668" s="102"/>
      <c r="L668" s="103" t="str">
        <f aca="false">IF(OR($B668="", $H668="", $I668="", $J668="", $K668=""),"",ROUND((VLOOKUP($H668,Lists!$E$2:$F$5,2,FALSE())*VLOOKUP($I668,Lists!$H$2:$I$4,2,FALSE())*VLOOKUP($J668,Lists!$K$2:$L$4,2,FALSE()))/VLOOKUP($K668,Lists!$N$2:$O$6,2,FALSE()),2))</f>
        <v/>
      </c>
      <c r="M668" s="104" t="str">
        <f aca="false">IF($B668="","",IF($AC668&lt;&gt;"",$AC668,IF($H668="Critical","P0",IF(NOT(ISNUMBER($L668)),"",IF($L668&gt;=Lists!$AM$2,"P0",IF($L668&gt;=Lists!$AM$3,"P1",IF($L668&gt;=Lists!$AM$4,"P2","P3")))))))</f>
        <v/>
      </c>
      <c r="N668" s="102"/>
      <c r="O668" s="101"/>
      <c r="P668" s="102"/>
      <c r="Q668" s="105"/>
      <c r="R668" s="106" t="str">
        <f aca="true">IF($Q668="","", TODAY()-$Q668)</f>
        <v/>
      </c>
      <c r="S668" s="102"/>
      <c r="T668" s="105"/>
      <c r="U668" s="105"/>
      <c r="V668" s="101"/>
      <c r="W668" s="101"/>
      <c r="X668" s="101"/>
      <c r="Y668" s="96"/>
      <c r="Z668" s="96"/>
      <c r="AA668" s="96"/>
      <c r="AC668" s="102"/>
      <c r="AD668" s="107" t="str">
        <f aca="false">IF($B668="","",IF(ISNUMBER($T668),$T668,IF(OR(NOT(ISNUMBER($Q668)),$S668=""),"",IFERROR(IF(ISNUMBER(INDEX(Lists!$AJ$2:$AJ$7,MATCH($S668,Lists!$AI$2:$AI$7,0))),$Q668+INDEX(Lists!$AJ$2:$AJ$7,MATCH($S668,Lists!$AI$2:$AI$7,0)),""),""))))</f>
        <v/>
      </c>
      <c r="AE668" s="104" t="str">
        <f aca="true">IF($B668="","",IF(AND(ISNUMBER($AD668),N($AD668)&lt;TODAY(),$N668&lt;&gt;"Done",$N668&lt;&gt;"Won't Fix",$N668&lt;&gt;"Duplicate"),"Yes","No"))</f>
        <v/>
      </c>
      <c r="AF668" s="101"/>
      <c r="AG668" s="108" t="str">
        <f aca="false">IF($AF668="","",IFERROR(VLOOKUP($AF668,'Application Portfolio'!$A$2:$B$1000,2,FALSE()),"Unknown App ID"))</f>
        <v/>
      </c>
      <c r="AH668" s="108" t="str">
        <f aca="false">IF(OR($B668="",$AF668=""),"",IFERROR(VLOOKUP($AF668,'Application Portfolio'!$A$2:$AB$1000,28,FALSE()),""))</f>
        <v/>
      </c>
    </row>
    <row r="669" customFormat="false" ht="15.75" hidden="false" customHeight="true" outlineLevel="0" collapsed="false">
      <c r="A669" s="100"/>
      <c r="B669" s="101"/>
      <c r="C669" s="101"/>
      <c r="D669" s="101"/>
      <c r="E669" s="101"/>
      <c r="F669" s="102"/>
      <c r="G669" s="102"/>
      <c r="H669" s="102"/>
      <c r="I669" s="102"/>
      <c r="J669" s="102"/>
      <c r="K669" s="102"/>
      <c r="L669" s="103" t="str">
        <f aca="false">IF(OR($B669="", $H669="", $I669="", $J669="", $K669=""),"",ROUND((VLOOKUP($H669,Lists!$E$2:$F$5,2,FALSE())*VLOOKUP($I669,Lists!$H$2:$I$4,2,FALSE())*VLOOKUP($J669,Lists!$K$2:$L$4,2,FALSE()))/VLOOKUP($K669,Lists!$N$2:$O$6,2,FALSE()),2))</f>
        <v/>
      </c>
      <c r="M669" s="104" t="str">
        <f aca="false">IF($B669="","",IF($AC669&lt;&gt;"",$AC669,IF($H669="Critical","P0",IF(NOT(ISNUMBER($L669)),"",IF($L669&gt;=Lists!$AM$2,"P0",IF($L669&gt;=Lists!$AM$3,"P1",IF($L669&gt;=Lists!$AM$4,"P2","P3")))))))</f>
        <v/>
      </c>
      <c r="N669" s="102"/>
      <c r="O669" s="101"/>
      <c r="P669" s="102"/>
      <c r="Q669" s="105"/>
      <c r="R669" s="106" t="str">
        <f aca="true">IF($Q669="","", TODAY()-$Q669)</f>
        <v/>
      </c>
      <c r="S669" s="102"/>
      <c r="T669" s="105"/>
      <c r="U669" s="105"/>
      <c r="V669" s="101"/>
      <c r="W669" s="101"/>
      <c r="X669" s="101"/>
      <c r="Y669" s="96"/>
      <c r="Z669" s="96"/>
      <c r="AA669" s="96"/>
      <c r="AC669" s="102"/>
      <c r="AD669" s="107" t="str">
        <f aca="false">IF($B669="","",IF(ISNUMBER($T669),$T669,IF(OR(NOT(ISNUMBER($Q669)),$S669=""),"",IFERROR(IF(ISNUMBER(INDEX(Lists!$AJ$2:$AJ$7,MATCH($S669,Lists!$AI$2:$AI$7,0))),$Q669+INDEX(Lists!$AJ$2:$AJ$7,MATCH($S669,Lists!$AI$2:$AI$7,0)),""),""))))</f>
        <v/>
      </c>
      <c r="AE669" s="104" t="str">
        <f aca="true">IF($B669="","",IF(AND(ISNUMBER($AD669),N($AD669)&lt;TODAY(),$N669&lt;&gt;"Done",$N669&lt;&gt;"Won't Fix",$N669&lt;&gt;"Duplicate"),"Yes","No"))</f>
        <v/>
      </c>
      <c r="AF669" s="101"/>
      <c r="AG669" s="108" t="str">
        <f aca="false">IF($AF669="","",IFERROR(VLOOKUP($AF669,'Application Portfolio'!$A$2:$B$1000,2,FALSE()),"Unknown App ID"))</f>
        <v/>
      </c>
      <c r="AH669" s="108" t="str">
        <f aca="false">IF(OR($B669="",$AF669=""),"",IFERROR(VLOOKUP($AF669,'Application Portfolio'!$A$2:$AB$1000,28,FALSE()),""))</f>
        <v/>
      </c>
    </row>
    <row r="670" customFormat="false" ht="15.75" hidden="false" customHeight="true" outlineLevel="0" collapsed="false">
      <c r="A670" s="100"/>
      <c r="B670" s="101"/>
      <c r="C670" s="101"/>
      <c r="D670" s="101"/>
      <c r="E670" s="101"/>
      <c r="F670" s="102"/>
      <c r="G670" s="102"/>
      <c r="H670" s="102"/>
      <c r="I670" s="102"/>
      <c r="J670" s="102"/>
      <c r="K670" s="102"/>
      <c r="L670" s="103" t="str">
        <f aca="false">IF(OR($B670="", $H670="", $I670="", $J670="", $K670=""),"",ROUND((VLOOKUP($H670,Lists!$E$2:$F$5,2,FALSE())*VLOOKUP($I670,Lists!$H$2:$I$4,2,FALSE())*VLOOKUP($J670,Lists!$K$2:$L$4,2,FALSE()))/VLOOKUP($K670,Lists!$N$2:$O$6,2,FALSE()),2))</f>
        <v/>
      </c>
      <c r="M670" s="104" t="str">
        <f aca="false">IF($B670="","",IF($AC670&lt;&gt;"",$AC670,IF($H670="Critical","P0",IF(NOT(ISNUMBER($L670)),"",IF($L670&gt;=Lists!$AM$2,"P0",IF($L670&gt;=Lists!$AM$3,"P1",IF($L670&gt;=Lists!$AM$4,"P2","P3")))))))</f>
        <v/>
      </c>
      <c r="N670" s="102"/>
      <c r="O670" s="101"/>
      <c r="P670" s="102"/>
      <c r="Q670" s="105"/>
      <c r="R670" s="106" t="str">
        <f aca="true">IF($Q670="","", TODAY()-$Q670)</f>
        <v/>
      </c>
      <c r="S670" s="102"/>
      <c r="T670" s="105"/>
      <c r="U670" s="105"/>
      <c r="V670" s="101"/>
      <c r="W670" s="101"/>
      <c r="X670" s="101"/>
      <c r="Y670" s="96"/>
      <c r="Z670" s="96"/>
      <c r="AA670" s="96"/>
      <c r="AC670" s="102"/>
      <c r="AD670" s="107" t="str">
        <f aca="false">IF($B670="","",IF(ISNUMBER($T670),$T670,IF(OR(NOT(ISNUMBER($Q670)),$S670=""),"",IFERROR(IF(ISNUMBER(INDEX(Lists!$AJ$2:$AJ$7,MATCH($S670,Lists!$AI$2:$AI$7,0))),$Q670+INDEX(Lists!$AJ$2:$AJ$7,MATCH($S670,Lists!$AI$2:$AI$7,0)),""),""))))</f>
        <v/>
      </c>
      <c r="AE670" s="104" t="str">
        <f aca="true">IF($B670="","",IF(AND(ISNUMBER($AD670),N($AD670)&lt;TODAY(),$N670&lt;&gt;"Done",$N670&lt;&gt;"Won't Fix",$N670&lt;&gt;"Duplicate"),"Yes","No"))</f>
        <v/>
      </c>
      <c r="AF670" s="101"/>
      <c r="AG670" s="108" t="str">
        <f aca="false">IF($AF670="","",IFERROR(VLOOKUP($AF670,'Application Portfolio'!$A$2:$B$1000,2,FALSE()),"Unknown App ID"))</f>
        <v/>
      </c>
      <c r="AH670" s="108" t="str">
        <f aca="false">IF(OR($B670="",$AF670=""),"",IFERROR(VLOOKUP($AF670,'Application Portfolio'!$A$2:$AB$1000,28,FALSE()),""))</f>
        <v/>
      </c>
    </row>
    <row r="671" customFormat="false" ht="15.75" hidden="false" customHeight="true" outlineLevel="0" collapsed="false">
      <c r="A671" s="100"/>
      <c r="B671" s="101"/>
      <c r="C671" s="101"/>
      <c r="D671" s="101"/>
      <c r="E671" s="101"/>
      <c r="F671" s="102"/>
      <c r="G671" s="102"/>
      <c r="H671" s="102"/>
      <c r="I671" s="102"/>
      <c r="J671" s="102"/>
      <c r="K671" s="102"/>
      <c r="L671" s="103" t="str">
        <f aca="false">IF(OR($B671="", $H671="", $I671="", $J671="", $K671=""),"",ROUND((VLOOKUP($H671,Lists!$E$2:$F$5,2,FALSE())*VLOOKUP($I671,Lists!$H$2:$I$4,2,FALSE())*VLOOKUP($J671,Lists!$K$2:$L$4,2,FALSE()))/VLOOKUP($K671,Lists!$N$2:$O$6,2,FALSE()),2))</f>
        <v/>
      </c>
      <c r="M671" s="104" t="str">
        <f aca="false">IF($B671="","",IF($AC671&lt;&gt;"",$AC671,IF($H671="Critical","P0",IF(NOT(ISNUMBER($L671)),"",IF($L671&gt;=Lists!$AM$2,"P0",IF($L671&gt;=Lists!$AM$3,"P1",IF($L671&gt;=Lists!$AM$4,"P2","P3")))))))</f>
        <v/>
      </c>
      <c r="N671" s="102"/>
      <c r="O671" s="101"/>
      <c r="P671" s="102"/>
      <c r="Q671" s="105"/>
      <c r="R671" s="106" t="str">
        <f aca="true">IF($Q671="","", TODAY()-$Q671)</f>
        <v/>
      </c>
      <c r="S671" s="102"/>
      <c r="T671" s="105"/>
      <c r="U671" s="105"/>
      <c r="V671" s="101"/>
      <c r="W671" s="101"/>
      <c r="X671" s="101"/>
      <c r="Y671" s="96"/>
      <c r="Z671" s="96"/>
      <c r="AA671" s="96"/>
      <c r="AC671" s="102"/>
      <c r="AD671" s="107" t="str">
        <f aca="false">IF($B671="","",IF(ISNUMBER($T671),$T671,IF(OR(NOT(ISNUMBER($Q671)),$S671=""),"",IFERROR(IF(ISNUMBER(INDEX(Lists!$AJ$2:$AJ$7,MATCH($S671,Lists!$AI$2:$AI$7,0))),$Q671+INDEX(Lists!$AJ$2:$AJ$7,MATCH($S671,Lists!$AI$2:$AI$7,0)),""),""))))</f>
        <v/>
      </c>
      <c r="AE671" s="104" t="str">
        <f aca="true">IF($B671="","",IF(AND(ISNUMBER($AD671),N($AD671)&lt;TODAY(),$N671&lt;&gt;"Done",$N671&lt;&gt;"Won't Fix",$N671&lt;&gt;"Duplicate"),"Yes","No"))</f>
        <v/>
      </c>
      <c r="AF671" s="101"/>
      <c r="AG671" s="108" t="str">
        <f aca="false">IF($AF671="","",IFERROR(VLOOKUP($AF671,'Application Portfolio'!$A$2:$B$1000,2,FALSE()),"Unknown App ID"))</f>
        <v/>
      </c>
      <c r="AH671" s="108" t="str">
        <f aca="false">IF(OR($B671="",$AF671=""),"",IFERROR(VLOOKUP($AF671,'Application Portfolio'!$A$2:$AB$1000,28,FALSE()),""))</f>
        <v/>
      </c>
    </row>
    <row r="672" customFormat="false" ht="15.75" hidden="false" customHeight="true" outlineLevel="0" collapsed="false">
      <c r="A672" s="100"/>
      <c r="B672" s="101"/>
      <c r="C672" s="101"/>
      <c r="D672" s="101"/>
      <c r="E672" s="101"/>
      <c r="F672" s="102"/>
      <c r="G672" s="102"/>
      <c r="H672" s="102"/>
      <c r="I672" s="102"/>
      <c r="J672" s="102"/>
      <c r="K672" s="102"/>
      <c r="L672" s="103" t="str">
        <f aca="false">IF(OR($B672="", $H672="", $I672="", $J672="", $K672=""),"",ROUND((VLOOKUP($H672,Lists!$E$2:$F$5,2,FALSE())*VLOOKUP($I672,Lists!$H$2:$I$4,2,FALSE())*VLOOKUP($J672,Lists!$K$2:$L$4,2,FALSE()))/VLOOKUP($K672,Lists!$N$2:$O$6,2,FALSE()),2))</f>
        <v/>
      </c>
      <c r="M672" s="104" t="str">
        <f aca="false">IF($B672="","",IF($AC672&lt;&gt;"",$AC672,IF($H672="Critical","P0",IF(NOT(ISNUMBER($L672)),"",IF($L672&gt;=Lists!$AM$2,"P0",IF($L672&gt;=Lists!$AM$3,"P1",IF($L672&gt;=Lists!$AM$4,"P2","P3")))))))</f>
        <v/>
      </c>
      <c r="N672" s="102"/>
      <c r="O672" s="101"/>
      <c r="P672" s="102"/>
      <c r="Q672" s="105"/>
      <c r="R672" s="106" t="str">
        <f aca="true">IF($Q672="","", TODAY()-$Q672)</f>
        <v/>
      </c>
      <c r="S672" s="102"/>
      <c r="T672" s="105"/>
      <c r="U672" s="105"/>
      <c r="V672" s="101"/>
      <c r="W672" s="101"/>
      <c r="X672" s="101"/>
      <c r="Y672" s="96"/>
      <c r="Z672" s="96"/>
      <c r="AA672" s="96"/>
      <c r="AC672" s="102"/>
      <c r="AD672" s="107" t="str">
        <f aca="false">IF($B672="","",IF(ISNUMBER($T672),$T672,IF(OR(NOT(ISNUMBER($Q672)),$S672=""),"",IFERROR(IF(ISNUMBER(INDEX(Lists!$AJ$2:$AJ$7,MATCH($S672,Lists!$AI$2:$AI$7,0))),$Q672+INDEX(Lists!$AJ$2:$AJ$7,MATCH($S672,Lists!$AI$2:$AI$7,0)),""),""))))</f>
        <v/>
      </c>
      <c r="AE672" s="104" t="str">
        <f aca="true">IF($B672="","",IF(AND(ISNUMBER($AD672),N($AD672)&lt;TODAY(),$N672&lt;&gt;"Done",$N672&lt;&gt;"Won't Fix",$N672&lt;&gt;"Duplicate"),"Yes","No"))</f>
        <v/>
      </c>
      <c r="AF672" s="101"/>
      <c r="AG672" s="108" t="str">
        <f aca="false">IF($AF672="","",IFERROR(VLOOKUP($AF672,'Application Portfolio'!$A$2:$B$1000,2,FALSE()),"Unknown App ID"))</f>
        <v/>
      </c>
      <c r="AH672" s="108" t="str">
        <f aca="false">IF(OR($B672="",$AF672=""),"",IFERROR(VLOOKUP($AF672,'Application Portfolio'!$A$2:$AB$1000,28,FALSE()),""))</f>
        <v/>
      </c>
    </row>
    <row r="673" customFormat="false" ht="15.75" hidden="false" customHeight="true" outlineLevel="0" collapsed="false">
      <c r="A673" s="100"/>
      <c r="B673" s="101"/>
      <c r="C673" s="101"/>
      <c r="D673" s="101"/>
      <c r="E673" s="101"/>
      <c r="F673" s="102"/>
      <c r="G673" s="102"/>
      <c r="H673" s="102"/>
      <c r="I673" s="102"/>
      <c r="J673" s="102"/>
      <c r="K673" s="102"/>
      <c r="L673" s="103" t="str">
        <f aca="false">IF(OR($B673="", $H673="", $I673="", $J673="", $K673=""),"",ROUND((VLOOKUP($H673,Lists!$E$2:$F$5,2,FALSE())*VLOOKUP($I673,Lists!$H$2:$I$4,2,FALSE())*VLOOKUP($J673,Lists!$K$2:$L$4,2,FALSE()))/VLOOKUP($K673,Lists!$N$2:$O$6,2,FALSE()),2))</f>
        <v/>
      </c>
      <c r="M673" s="104" t="str">
        <f aca="false">IF($B673="","",IF($AC673&lt;&gt;"",$AC673,IF($H673="Critical","P0",IF(NOT(ISNUMBER($L673)),"",IF($L673&gt;=Lists!$AM$2,"P0",IF($L673&gt;=Lists!$AM$3,"P1",IF($L673&gt;=Lists!$AM$4,"P2","P3")))))))</f>
        <v/>
      </c>
      <c r="N673" s="102"/>
      <c r="O673" s="101"/>
      <c r="P673" s="102"/>
      <c r="Q673" s="105"/>
      <c r="R673" s="106" t="str">
        <f aca="true">IF($Q673="","", TODAY()-$Q673)</f>
        <v/>
      </c>
      <c r="S673" s="102"/>
      <c r="T673" s="105"/>
      <c r="U673" s="105"/>
      <c r="V673" s="101"/>
      <c r="W673" s="101"/>
      <c r="X673" s="101"/>
      <c r="Y673" s="96"/>
      <c r="Z673" s="96"/>
      <c r="AA673" s="96"/>
      <c r="AC673" s="102"/>
      <c r="AD673" s="107" t="str">
        <f aca="false">IF($B673="","",IF(ISNUMBER($T673),$T673,IF(OR(NOT(ISNUMBER($Q673)),$S673=""),"",IFERROR(IF(ISNUMBER(INDEX(Lists!$AJ$2:$AJ$7,MATCH($S673,Lists!$AI$2:$AI$7,0))),$Q673+INDEX(Lists!$AJ$2:$AJ$7,MATCH($S673,Lists!$AI$2:$AI$7,0)),""),""))))</f>
        <v/>
      </c>
      <c r="AE673" s="104" t="str">
        <f aca="true">IF($B673="","",IF(AND(ISNUMBER($AD673),N($AD673)&lt;TODAY(),$N673&lt;&gt;"Done",$N673&lt;&gt;"Won't Fix",$N673&lt;&gt;"Duplicate"),"Yes","No"))</f>
        <v/>
      </c>
      <c r="AF673" s="101"/>
      <c r="AG673" s="108" t="str">
        <f aca="false">IF($AF673="","",IFERROR(VLOOKUP($AF673,'Application Portfolio'!$A$2:$B$1000,2,FALSE()),"Unknown App ID"))</f>
        <v/>
      </c>
      <c r="AH673" s="108" t="str">
        <f aca="false">IF(OR($B673="",$AF673=""),"",IFERROR(VLOOKUP($AF673,'Application Portfolio'!$A$2:$AB$1000,28,FALSE()),""))</f>
        <v/>
      </c>
    </row>
    <row r="674" customFormat="false" ht="15.75" hidden="false" customHeight="true" outlineLevel="0" collapsed="false">
      <c r="A674" s="100"/>
      <c r="B674" s="101"/>
      <c r="C674" s="101"/>
      <c r="D674" s="101"/>
      <c r="E674" s="101"/>
      <c r="F674" s="102"/>
      <c r="G674" s="102"/>
      <c r="H674" s="102"/>
      <c r="I674" s="102"/>
      <c r="J674" s="102"/>
      <c r="K674" s="102"/>
      <c r="L674" s="103" t="str">
        <f aca="false">IF(OR($B674="", $H674="", $I674="", $J674="", $K674=""),"",ROUND((VLOOKUP($H674,Lists!$E$2:$F$5,2,FALSE())*VLOOKUP($I674,Lists!$H$2:$I$4,2,FALSE())*VLOOKUP($J674,Lists!$K$2:$L$4,2,FALSE()))/VLOOKUP($K674,Lists!$N$2:$O$6,2,FALSE()),2))</f>
        <v/>
      </c>
      <c r="M674" s="104" t="str">
        <f aca="false">IF($B674="","",IF($AC674&lt;&gt;"",$AC674,IF($H674="Critical","P0",IF(NOT(ISNUMBER($L674)),"",IF($L674&gt;=Lists!$AM$2,"P0",IF($L674&gt;=Lists!$AM$3,"P1",IF($L674&gt;=Lists!$AM$4,"P2","P3")))))))</f>
        <v/>
      </c>
      <c r="N674" s="102"/>
      <c r="O674" s="101"/>
      <c r="P674" s="102"/>
      <c r="Q674" s="105"/>
      <c r="R674" s="106" t="str">
        <f aca="true">IF($Q674="","", TODAY()-$Q674)</f>
        <v/>
      </c>
      <c r="S674" s="102"/>
      <c r="T674" s="105"/>
      <c r="U674" s="105"/>
      <c r="V674" s="101"/>
      <c r="W674" s="101"/>
      <c r="X674" s="101"/>
      <c r="Y674" s="96"/>
      <c r="Z674" s="96"/>
      <c r="AA674" s="96"/>
      <c r="AC674" s="102"/>
      <c r="AD674" s="107" t="str">
        <f aca="false">IF($B674="","",IF(ISNUMBER($T674),$T674,IF(OR(NOT(ISNUMBER($Q674)),$S674=""),"",IFERROR(IF(ISNUMBER(INDEX(Lists!$AJ$2:$AJ$7,MATCH($S674,Lists!$AI$2:$AI$7,0))),$Q674+INDEX(Lists!$AJ$2:$AJ$7,MATCH($S674,Lists!$AI$2:$AI$7,0)),""),""))))</f>
        <v/>
      </c>
      <c r="AE674" s="104" t="str">
        <f aca="true">IF($B674="","",IF(AND(ISNUMBER($AD674),N($AD674)&lt;TODAY(),$N674&lt;&gt;"Done",$N674&lt;&gt;"Won't Fix",$N674&lt;&gt;"Duplicate"),"Yes","No"))</f>
        <v/>
      </c>
      <c r="AF674" s="101"/>
      <c r="AG674" s="108" t="str">
        <f aca="false">IF($AF674="","",IFERROR(VLOOKUP($AF674,'Application Portfolio'!$A$2:$B$1000,2,FALSE()),"Unknown App ID"))</f>
        <v/>
      </c>
      <c r="AH674" s="108" t="str">
        <f aca="false">IF(OR($B674="",$AF674=""),"",IFERROR(VLOOKUP($AF674,'Application Portfolio'!$A$2:$AB$1000,28,FALSE()),""))</f>
        <v/>
      </c>
    </row>
    <row r="675" customFormat="false" ht="15.75" hidden="false" customHeight="true" outlineLevel="0" collapsed="false">
      <c r="A675" s="100"/>
      <c r="B675" s="101"/>
      <c r="C675" s="101"/>
      <c r="D675" s="101"/>
      <c r="E675" s="101"/>
      <c r="F675" s="102"/>
      <c r="G675" s="102"/>
      <c r="H675" s="102"/>
      <c r="I675" s="102"/>
      <c r="J675" s="102"/>
      <c r="K675" s="102"/>
      <c r="L675" s="103" t="str">
        <f aca="false">IF(OR($B675="", $H675="", $I675="", $J675="", $K675=""),"",ROUND((VLOOKUP($H675,Lists!$E$2:$F$5,2,FALSE())*VLOOKUP($I675,Lists!$H$2:$I$4,2,FALSE())*VLOOKUP($J675,Lists!$K$2:$L$4,2,FALSE()))/VLOOKUP($K675,Lists!$N$2:$O$6,2,FALSE()),2))</f>
        <v/>
      </c>
      <c r="M675" s="104" t="str">
        <f aca="false">IF($B675="","",IF($AC675&lt;&gt;"",$AC675,IF($H675="Critical","P0",IF(NOT(ISNUMBER($L675)),"",IF($L675&gt;=Lists!$AM$2,"P0",IF($L675&gt;=Lists!$AM$3,"P1",IF($L675&gt;=Lists!$AM$4,"P2","P3")))))))</f>
        <v/>
      </c>
      <c r="N675" s="102"/>
      <c r="O675" s="101"/>
      <c r="P675" s="102"/>
      <c r="Q675" s="105"/>
      <c r="R675" s="106" t="str">
        <f aca="true">IF($Q675="","", TODAY()-$Q675)</f>
        <v/>
      </c>
      <c r="S675" s="102"/>
      <c r="T675" s="105"/>
      <c r="U675" s="105"/>
      <c r="V675" s="101"/>
      <c r="W675" s="101"/>
      <c r="X675" s="101"/>
      <c r="Y675" s="96"/>
      <c r="Z675" s="96"/>
      <c r="AA675" s="96"/>
      <c r="AC675" s="102"/>
      <c r="AD675" s="107" t="str">
        <f aca="false">IF($B675="","",IF(ISNUMBER($T675),$T675,IF(OR(NOT(ISNUMBER($Q675)),$S675=""),"",IFERROR(IF(ISNUMBER(INDEX(Lists!$AJ$2:$AJ$7,MATCH($S675,Lists!$AI$2:$AI$7,0))),$Q675+INDEX(Lists!$AJ$2:$AJ$7,MATCH($S675,Lists!$AI$2:$AI$7,0)),""),""))))</f>
        <v/>
      </c>
      <c r="AE675" s="104" t="str">
        <f aca="true">IF($B675="","",IF(AND(ISNUMBER($AD675),N($AD675)&lt;TODAY(),$N675&lt;&gt;"Done",$N675&lt;&gt;"Won't Fix",$N675&lt;&gt;"Duplicate"),"Yes","No"))</f>
        <v/>
      </c>
      <c r="AF675" s="101"/>
      <c r="AG675" s="108" t="str">
        <f aca="false">IF($AF675="","",IFERROR(VLOOKUP($AF675,'Application Portfolio'!$A$2:$B$1000,2,FALSE()),"Unknown App ID"))</f>
        <v/>
      </c>
      <c r="AH675" s="108" t="str">
        <f aca="false">IF(OR($B675="",$AF675=""),"",IFERROR(VLOOKUP($AF675,'Application Portfolio'!$A$2:$AB$1000,28,FALSE()),""))</f>
        <v/>
      </c>
    </row>
    <row r="676" customFormat="false" ht="15.75" hidden="false" customHeight="true" outlineLevel="0" collapsed="false">
      <c r="A676" s="100"/>
      <c r="B676" s="101"/>
      <c r="C676" s="101"/>
      <c r="D676" s="101"/>
      <c r="E676" s="101"/>
      <c r="F676" s="102"/>
      <c r="G676" s="102"/>
      <c r="H676" s="102"/>
      <c r="I676" s="102"/>
      <c r="J676" s="102"/>
      <c r="K676" s="102"/>
      <c r="L676" s="103" t="str">
        <f aca="false">IF(OR($B676="", $H676="", $I676="", $J676="", $K676=""),"",ROUND((VLOOKUP($H676,Lists!$E$2:$F$5,2,FALSE())*VLOOKUP($I676,Lists!$H$2:$I$4,2,FALSE())*VLOOKUP($J676,Lists!$K$2:$L$4,2,FALSE()))/VLOOKUP($K676,Lists!$N$2:$O$6,2,FALSE()),2))</f>
        <v/>
      </c>
      <c r="M676" s="104" t="str">
        <f aca="false">IF($B676="","",IF($AC676&lt;&gt;"",$AC676,IF($H676="Critical","P0",IF(NOT(ISNUMBER($L676)),"",IF($L676&gt;=Lists!$AM$2,"P0",IF($L676&gt;=Lists!$AM$3,"P1",IF($L676&gt;=Lists!$AM$4,"P2","P3")))))))</f>
        <v/>
      </c>
      <c r="N676" s="102"/>
      <c r="O676" s="101"/>
      <c r="P676" s="102"/>
      <c r="Q676" s="105"/>
      <c r="R676" s="106" t="str">
        <f aca="true">IF($Q676="","", TODAY()-$Q676)</f>
        <v/>
      </c>
      <c r="S676" s="102"/>
      <c r="T676" s="105"/>
      <c r="U676" s="105"/>
      <c r="V676" s="101"/>
      <c r="W676" s="101"/>
      <c r="X676" s="101"/>
      <c r="Y676" s="96"/>
      <c r="Z676" s="96"/>
      <c r="AA676" s="96"/>
      <c r="AC676" s="102"/>
      <c r="AD676" s="107" t="str">
        <f aca="false">IF($B676="","",IF(ISNUMBER($T676),$T676,IF(OR(NOT(ISNUMBER($Q676)),$S676=""),"",IFERROR(IF(ISNUMBER(INDEX(Lists!$AJ$2:$AJ$7,MATCH($S676,Lists!$AI$2:$AI$7,0))),$Q676+INDEX(Lists!$AJ$2:$AJ$7,MATCH($S676,Lists!$AI$2:$AI$7,0)),""),""))))</f>
        <v/>
      </c>
      <c r="AE676" s="104" t="str">
        <f aca="true">IF($B676="","",IF(AND(ISNUMBER($AD676),N($AD676)&lt;TODAY(),$N676&lt;&gt;"Done",$N676&lt;&gt;"Won't Fix",$N676&lt;&gt;"Duplicate"),"Yes","No"))</f>
        <v/>
      </c>
      <c r="AF676" s="101"/>
      <c r="AG676" s="108" t="str">
        <f aca="false">IF($AF676="","",IFERROR(VLOOKUP($AF676,'Application Portfolio'!$A$2:$B$1000,2,FALSE()),"Unknown App ID"))</f>
        <v/>
      </c>
      <c r="AH676" s="108" t="str">
        <f aca="false">IF(OR($B676="",$AF676=""),"",IFERROR(VLOOKUP($AF676,'Application Portfolio'!$A$2:$AB$1000,28,FALSE()),""))</f>
        <v/>
      </c>
    </row>
    <row r="677" customFormat="false" ht="15.75" hidden="false" customHeight="true" outlineLevel="0" collapsed="false">
      <c r="A677" s="100"/>
      <c r="B677" s="101"/>
      <c r="C677" s="101"/>
      <c r="D677" s="101"/>
      <c r="E677" s="101"/>
      <c r="F677" s="102"/>
      <c r="G677" s="102"/>
      <c r="H677" s="102"/>
      <c r="I677" s="102"/>
      <c r="J677" s="102"/>
      <c r="K677" s="102"/>
      <c r="L677" s="103" t="str">
        <f aca="false">IF(OR($B677="", $H677="", $I677="", $J677="", $K677=""),"",ROUND((VLOOKUP($H677,Lists!$E$2:$F$5,2,FALSE())*VLOOKUP($I677,Lists!$H$2:$I$4,2,FALSE())*VLOOKUP($J677,Lists!$K$2:$L$4,2,FALSE()))/VLOOKUP($K677,Lists!$N$2:$O$6,2,FALSE()),2))</f>
        <v/>
      </c>
      <c r="M677" s="104" t="str">
        <f aca="false">IF($B677="","",IF($AC677&lt;&gt;"",$AC677,IF($H677="Critical","P0",IF(NOT(ISNUMBER($L677)),"",IF($L677&gt;=Lists!$AM$2,"P0",IF($L677&gt;=Lists!$AM$3,"P1",IF($L677&gt;=Lists!$AM$4,"P2","P3")))))))</f>
        <v/>
      </c>
      <c r="N677" s="102"/>
      <c r="O677" s="101"/>
      <c r="P677" s="102"/>
      <c r="Q677" s="105"/>
      <c r="R677" s="106" t="str">
        <f aca="true">IF($Q677="","", TODAY()-$Q677)</f>
        <v/>
      </c>
      <c r="S677" s="102"/>
      <c r="T677" s="105"/>
      <c r="U677" s="105"/>
      <c r="V677" s="101"/>
      <c r="W677" s="101"/>
      <c r="X677" s="101"/>
      <c r="Y677" s="96"/>
      <c r="Z677" s="96"/>
      <c r="AA677" s="96"/>
      <c r="AC677" s="102"/>
      <c r="AD677" s="107" t="str">
        <f aca="false">IF($B677="","",IF(ISNUMBER($T677),$T677,IF(OR(NOT(ISNUMBER($Q677)),$S677=""),"",IFERROR(IF(ISNUMBER(INDEX(Lists!$AJ$2:$AJ$7,MATCH($S677,Lists!$AI$2:$AI$7,0))),$Q677+INDEX(Lists!$AJ$2:$AJ$7,MATCH($S677,Lists!$AI$2:$AI$7,0)),""),""))))</f>
        <v/>
      </c>
      <c r="AE677" s="104" t="str">
        <f aca="true">IF($B677="","",IF(AND(ISNUMBER($AD677),N($AD677)&lt;TODAY(),$N677&lt;&gt;"Done",$N677&lt;&gt;"Won't Fix",$N677&lt;&gt;"Duplicate"),"Yes","No"))</f>
        <v/>
      </c>
      <c r="AF677" s="101"/>
      <c r="AG677" s="108" t="str">
        <f aca="false">IF($AF677="","",IFERROR(VLOOKUP($AF677,'Application Portfolio'!$A$2:$B$1000,2,FALSE()),"Unknown App ID"))</f>
        <v/>
      </c>
      <c r="AH677" s="108" t="str">
        <f aca="false">IF(OR($B677="",$AF677=""),"",IFERROR(VLOOKUP($AF677,'Application Portfolio'!$A$2:$AB$1000,28,FALSE()),""))</f>
        <v/>
      </c>
    </row>
    <row r="678" customFormat="false" ht="15.75" hidden="false" customHeight="true" outlineLevel="0" collapsed="false">
      <c r="A678" s="100"/>
      <c r="B678" s="101"/>
      <c r="C678" s="101"/>
      <c r="D678" s="101"/>
      <c r="E678" s="101"/>
      <c r="F678" s="102"/>
      <c r="G678" s="102"/>
      <c r="H678" s="102"/>
      <c r="I678" s="102"/>
      <c r="J678" s="102"/>
      <c r="K678" s="102"/>
      <c r="L678" s="103" t="str">
        <f aca="false">IF(OR($B678="", $H678="", $I678="", $J678="", $K678=""),"",ROUND((VLOOKUP($H678,Lists!$E$2:$F$5,2,FALSE())*VLOOKUP($I678,Lists!$H$2:$I$4,2,FALSE())*VLOOKUP($J678,Lists!$K$2:$L$4,2,FALSE()))/VLOOKUP($K678,Lists!$N$2:$O$6,2,FALSE()),2))</f>
        <v/>
      </c>
      <c r="M678" s="104" t="str">
        <f aca="false">IF($B678="","",IF($AC678&lt;&gt;"",$AC678,IF($H678="Critical","P0",IF(NOT(ISNUMBER($L678)),"",IF($L678&gt;=Lists!$AM$2,"P0",IF($L678&gt;=Lists!$AM$3,"P1",IF($L678&gt;=Lists!$AM$4,"P2","P3")))))))</f>
        <v/>
      </c>
      <c r="N678" s="102"/>
      <c r="O678" s="101"/>
      <c r="P678" s="102"/>
      <c r="Q678" s="105"/>
      <c r="R678" s="106" t="str">
        <f aca="true">IF($Q678="","", TODAY()-$Q678)</f>
        <v/>
      </c>
      <c r="S678" s="102"/>
      <c r="T678" s="105"/>
      <c r="U678" s="105"/>
      <c r="V678" s="101"/>
      <c r="W678" s="101"/>
      <c r="X678" s="101"/>
      <c r="Y678" s="96"/>
      <c r="Z678" s="96"/>
      <c r="AA678" s="96"/>
      <c r="AC678" s="102"/>
      <c r="AD678" s="107" t="str">
        <f aca="false">IF($B678="","",IF(ISNUMBER($T678),$T678,IF(OR(NOT(ISNUMBER($Q678)),$S678=""),"",IFERROR(IF(ISNUMBER(INDEX(Lists!$AJ$2:$AJ$7,MATCH($S678,Lists!$AI$2:$AI$7,0))),$Q678+INDEX(Lists!$AJ$2:$AJ$7,MATCH($S678,Lists!$AI$2:$AI$7,0)),""),""))))</f>
        <v/>
      </c>
      <c r="AE678" s="104" t="str">
        <f aca="true">IF($B678="","",IF(AND(ISNUMBER($AD678),N($AD678)&lt;TODAY(),$N678&lt;&gt;"Done",$N678&lt;&gt;"Won't Fix",$N678&lt;&gt;"Duplicate"),"Yes","No"))</f>
        <v/>
      </c>
      <c r="AF678" s="101"/>
      <c r="AG678" s="108" t="str">
        <f aca="false">IF($AF678="","",IFERROR(VLOOKUP($AF678,'Application Portfolio'!$A$2:$B$1000,2,FALSE()),"Unknown App ID"))</f>
        <v/>
      </c>
      <c r="AH678" s="108" t="str">
        <f aca="false">IF(OR($B678="",$AF678=""),"",IFERROR(VLOOKUP($AF678,'Application Portfolio'!$A$2:$AB$1000,28,FALSE()),""))</f>
        <v/>
      </c>
    </row>
    <row r="679" customFormat="false" ht="15.75" hidden="false" customHeight="true" outlineLevel="0" collapsed="false">
      <c r="A679" s="100"/>
      <c r="B679" s="101"/>
      <c r="C679" s="101"/>
      <c r="D679" s="101"/>
      <c r="E679" s="101"/>
      <c r="F679" s="102"/>
      <c r="G679" s="102"/>
      <c r="H679" s="102"/>
      <c r="I679" s="102"/>
      <c r="J679" s="102"/>
      <c r="K679" s="102"/>
      <c r="L679" s="103" t="str">
        <f aca="false">IF(OR($B679="", $H679="", $I679="", $J679="", $K679=""),"",ROUND((VLOOKUP($H679,Lists!$E$2:$F$5,2,FALSE())*VLOOKUP($I679,Lists!$H$2:$I$4,2,FALSE())*VLOOKUP($J679,Lists!$K$2:$L$4,2,FALSE()))/VLOOKUP($K679,Lists!$N$2:$O$6,2,FALSE()),2))</f>
        <v/>
      </c>
      <c r="M679" s="104" t="str">
        <f aca="false">IF($B679="","",IF($AC679&lt;&gt;"",$AC679,IF($H679="Critical","P0",IF(NOT(ISNUMBER($L679)),"",IF($L679&gt;=Lists!$AM$2,"P0",IF($L679&gt;=Lists!$AM$3,"P1",IF($L679&gt;=Lists!$AM$4,"P2","P3")))))))</f>
        <v/>
      </c>
      <c r="N679" s="102"/>
      <c r="O679" s="101"/>
      <c r="P679" s="102"/>
      <c r="Q679" s="105"/>
      <c r="R679" s="106" t="str">
        <f aca="true">IF($Q679="","", TODAY()-$Q679)</f>
        <v/>
      </c>
      <c r="S679" s="102"/>
      <c r="T679" s="105"/>
      <c r="U679" s="105"/>
      <c r="V679" s="101"/>
      <c r="W679" s="101"/>
      <c r="X679" s="101"/>
      <c r="Y679" s="96"/>
      <c r="Z679" s="96"/>
      <c r="AA679" s="96"/>
      <c r="AC679" s="102"/>
      <c r="AD679" s="107" t="str">
        <f aca="false">IF($B679="","",IF(ISNUMBER($T679),$T679,IF(OR(NOT(ISNUMBER($Q679)),$S679=""),"",IFERROR(IF(ISNUMBER(INDEX(Lists!$AJ$2:$AJ$7,MATCH($S679,Lists!$AI$2:$AI$7,0))),$Q679+INDEX(Lists!$AJ$2:$AJ$7,MATCH($S679,Lists!$AI$2:$AI$7,0)),""),""))))</f>
        <v/>
      </c>
      <c r="AE679" s="104" t="str">
        <f aca="true">IF($B679="","",IF(AND(ISNUMBER($AD679),N($AD679)&lt;TODAY(),$N679&lt;&gt;"Done",$N679&lt;&gt;"Won't Fix",$N679&lt;&gt;"Duplicate"),"Yes","No"))</f>
        <v/>
      </c>
      <c r="AF679" s="101"/>
      <c r="AG679" s="108" t="str">
        <f aca="false">IF($AF679="","",IFERROR(VLOOKUP($AF679,'Application Portfolio'!$A$2:$B$1000,2,FALSE()),"Unknown App ID"))</f>
        <v/>
      </c>
      <c r="AH679" s="108" t="str">
        <f aca="false">IF(OR($B679="",$AF679=""),"",IFERROR(VLOOKUP($AF679,'Application Portfolio'!$A$2:$AB$1000,28,FALSE()),""))</f>
        <v/>
      </c>
    </row>
    <row r="680" customFormat="false" ht="15.75" hidden="false" customHeight="true" outlineLevel="0" collapsed="false">
      <c r="A680" s="100"/>
      <c r="B680" s="101"/>
      <c r="C680" s="101"/>
      <c r="D680" s="101"/>
      <c r="E680" s="101"/>
      <c r="F680" s="102"/>
      <c r="G680" s="102"/>
      <c r="H680" s="102"/>
      <c r="I680" s="102"/>
      <c r="J680" s="102"/>
      <c r="K680" s="102"/>
      <c r="L680" s="103" t="str">
        <f aca="false">IF(OR($B680="", $H680="", $I680="", $J680="", $K680=""),"",ROUND((VLOOKUP($H680,Lists!$E$2:$F$5,2,FALSE())*VLOOKUP($I680,Lists!$H$2:$I$4,2,FALSE())*VLOOKUP($J680,Lists!$K$2:$L$4,2,FALSE()))/VLOOKUP($K680,Lists!$N$2:$O$6,2,FALSE()),2))</f>
        <v/>
      </c>
      <c r="M680" s="104" t="str">
        <f aca="false">IF($B680="","",IF($AC680&lt;&gt;"",$AC680,IF($H680="Critical","P0",IF(NOT(ISNUMBER($L680)),"",IF($L680&gt;=Lists!$AM$2,"P0",IF($L680&gt;=Lists!$AM$3,"P1",IF($L680&gt;=Lists!$AM$4,"P2","P3")))))))</f>
        <v/>
      </c>
      <c r="N680" s="102"/>
      <c r="O680" s="101"/>
      <c r="P680" s="102"/>
      <c r="Q680" s="105"/>
      <c r="R680" s="106" t="str">
        <f aca="true">IF($Q680="","", TODAY()-$Q680)</f>
        <v/>
      </c>
      <c r="S680" s="102"/>
      <c r="T680" s="105"/>
      <c r="U680" s="105"/>
      <c r="V680" s="101"/>
      <c r="W680" s="101"/>
      <c r="X680" s="101"/>
      <c r="Y680" s="96"/>
      <c r="Z680" s="96"/>
      <c r="AA680" s="96"/>
      <c r="AC680" s="102"/>
      <c r="AD680" s="107" t="str">
        <f aca="false">IF($B680="","",IF(ISNUMBER($T680),$T680,IF(OR(NOT(ISNUMBER($Q680)),$S680=""),"",IFERROR(IF(ISNUMBER(INDEX(Lists!$AJ$2:$AJ$7,MATCH($S680,Lists!$AI$2:$AI$7,0))),$Q680+INDEX(Lists!$AJ$2:$AJ$7,MATCH($S680,Lists!$AI$2:$AI$7,0)),""),""))))</f>
        <v/>
      </c>
      <c r="AE680" s="104" t="str">
        <f aca="true">IF($B680="","",IF(AND(ISNUMBER($AD680),N($AD680)&lt;TODAY(),$N680&lt;&gt;"Done",$N680&lt;&gt;"Won't Fix",$N680&lt;&gt;"Duplicate"),"Yes","No"))</f>
        <v/>
      </c>
      <c r="AF680" s="101"/>
      <c r="AG680" s="108" t="str">
        <f aca="false">IF($AF680="","",IFERROR(VLOOKUP($AF680,'Application Portfolio'!$A$2:$B$1000,2,FALSE()),"Unknown App ID"))</f>
        <v/>
      </c>
      <c r="AH680" s="108" t="str">
        <f aca="false">IF(OR($B680="",$AF680=""),"",IFERROR(VLOOKUP($AF680,'Application Portfolio'!$A$2:$AB$1000,28,FALSE()),""))</f>
        <v/>
      </c>
    </row>
    <row r="681" customFormat="false" ht="15.75" hidden="false" customHeight="true" outlineLevel="0" collapsed="false">
      <c r="A681" s="100"/>
      <c r="B681" s="101"/>
      <c r="C681" s="101"/>
      <c r="D681" s="101"/>
      <c r="E681" s="101"/>
      <c r="F681" s="102"/>
      <c r="G681" s="102"/>
      <c r="H681" s="102"/>
      <c r="I681" s="102"/>
      <c r="J681" s="102"/>
      <c r="K681" s="102"/>
      <c r="L681" s="103" t="str">
        <f aca="false">IF(OR($B681="", $H681="", $I681="", $J681="", $K681=""),"",ROUND((VLOOKUP($H681,Lists!$E$2:$F$5,2,FALSE())*VLOOKUP($I681,Lists!$H$2:$I$4,2,FALSE())*VLOOKUP($J681,Lists!$K$2:$L$4,2,FALSE()))/VLOOKUP($K681,Lists!$N$2:$O$6,2,FALSE()),2))</f>
        <v/>
      </c>
      <c r="M681" s="104" t="str">
        <f aca="false">IF($B681="","",IF($AC681&lt;&gt;"",$AC681,IF($H681="Critical","P0",IF(NOT(ISNUMBER($L681)),"",IF($L681&gt;=Lists!$AM$2,"P0",IF($L681&gt;=Lists!$AM$3,"P1",IF($L681&gt;=Lists!$AM$4,"P2","P3")))))))</f>
        <v/>
      </c>
      <c r="N681" s="102"/>
      <c r="O681" s="101"/>
      <c r="P681" s="102"/>
      <c r="Q681" s="105"/>
      <c r="R681" s="106" t="str">
        <f aca="true">IF($Q681="","", TODAY()-$Q681)</f>
        <v/>
      </c>
      <c r="S681" s="102"/>
      <c r="T681" s="105"/>
      <c r="U681" s="105"/>
      <c r="V681" s="101"/>
      <c r="W681" s="101"/>
      <c r="X681" s="101"/>
      <c r="Y681" s="96"/>
      <c r="Z681" s="96"/>
      <c r="AA681" s="96"/>
      <c r="AC681" s="102"/>
      <c r="AD681" s="107" t="str">
        <f aca="false">IF($B681="","",IF(ISNUMBER($T681),$T681,IF(OR(NOT(ISNUMBER($Q681)),$S681=""),"",IFERROR(IF(ISNUMBER(INDEX(Lists!$AJ$2:$AJ$7,MATCH($S681,Lists!$AI$2:$AI$7,0))),$Q681+INDEX(Lists!$AJ$2:$AJ$7,MATCH($S681,Lists!$AI$2:$AI$7,0)),""),""))))</f>
        <v/>
      </c>
      <c r="AE681" s="104" t="str">
        <f aca="true">IF($B681="","",IF(AND(ISNUMBER($AD681),N($AD681)&lt;TODAY(),$N681&lt;&gt;"Done",$N681&lt;&gt;"Won't Fix",$N681&lt;&gt;"Duplicate"),"Yes","No"))</f>
        <v/>
      </c>
      <c r="AF681" s="101"/>
      <c r="AG681" s="108" t="str">
        <f aca="false">IF($AF681="","",IFERROR(VLOOKUP($AF681,'Application Portfolio'!$A$2:$B$1000,2,FALSE()),"Unknown App ID"))</f>
        <v/>
      </c>
      <c r="AH681" s="108" t="str">
        <f aca="false">IF(OR($B681="",$AF681=""),"",IFERROR(VLOOKUP($AF681,'Application Portfolio'!$A$2:$AB$1000,28,FALSE()),""))</f>
        <v/>
      </c>
    </row>
    <row r="682" customFormat="false" ht="15.75" hidden="false" customHeight="true" outlineLevel="0" collapsed="false">
      <c r="A682" s="100"/>
      <c r="B682" s="101"/>
      <c r="C682" s="101"/>
      <c r="D682" s="101"/>
      <c r="E682" s="101"/>
      <c r="F682" s="102"/>
      <c r="G682" s="102"/>
      <c r="H682" s="102"/>
      <c r="I682" s="102"/>
      <c r="J682" s="102"/>
      <c r="K682" s="102"/>
      <c r="L682" s="103" t="str">
        <f aca="false">IF(OR($B682="", $H682="", $I682="", $J682="", $K682=""),"",ROUND((VLOOKUP($H682,Lists!$E$2:$F$5,2,FALSE())*VLOOKUP($I682,Lists!$H$2:$I$4,2,FALSE())*VLOOKUP($J682,Lists!$K$2:$L$4,2,FALSE()))/VLOOKUP($K682,Lists!$N$2:$O$6,2,FALSE()),2))</f>
        <v/>
      </c>
      <c r="M682" s="104" t="str">
        <f aca="false">IF($B682="","",IF($AC682&lt;&gt;"",$AC682,IF($H682="Critical","P0",IF(NOT(ISNUMBER($L682)),"",IF($L682&gt;=Lists!$AM$2,"P0",IF($L682&gt;=Lists!$AM$3,"P1",IF($L682&gt;=Lists!$AM$4,"P2","P3")))))))</f>
        <v/>
      </c>
      <c r="N682" s="102"/>
      <c r="O682" s="101"/>
      <c r="P682" s="102"/>
      <c r="Q682" s="105"/>
      <c r="R682" s="106" t="str">
        <f aca="true">IF($Q682="","", TODAY()-$Q682)</f>
        <v/>
      </c>
      <c r="S682" s="102"/>
      <c r="T682" s="105"/>
      <c r="U682" s="105"/>
      <c r="V682" s="101"/>
      <c r="W682" s="101"/>
      <c r="X682" s="101"/>
      <c r="Y682" s="96"/>
      <c r="Z682" s="96"/>
      <c r="AA682" s="96"/>
      <c r="AC682" s="102"/>
      <c r="AD682" s="107" t="str">
        <f aca="false">IF($B682="","",IF(ISNUMBER($T682),$T682,IF(OR(NOT(ISNUMBER($Q682)),$S682=""),"",IFERROR(IF(ISNUMBER(INDEX(Lists!$AJ$2:$AJ$7,MATCH($S682,Lists!$AI$2:$AI$7,0))),$Q682+INDEX(Lists!$AJ$2:$AJ$7,MATCH($S682,Lists!$AI$2:$AI$7,0)),""),""))))</f>
        <v/>
      </c>
      <c r="AE682" s="104" t="str">
        <f aca="true">IF($B682="","",IF(AND(ISNUMBER($AD682),N($AD682)&lt;TODAY(),$N682&lt;&gt;"Done",$N682&lt;&gt;"Won't Fix",$N682&lt;&gt;"Duplicate"),"Yes","No"))</f>
        <v/>
      </c>
      <c r="AF682" s="101"/>
      <c r="AG682" s="108" t="str">
        <f aca="false">IF($AF682="","",IFERROR(VLOOKUP($AF682,'Application Portfolio'!$A$2:$B$1000,2,FALSE()),"Unknown App ID"))</f>
        <v/>
      </c>
      <c r="AH682" s="108" t="str">
        <f aca="false">IF(OR($B682="",$AF682=""),"",IFERROR(VLOOKUP($AF682,'Application Portfolio'!$A$2:$AB$1000,28,FALSE()),""))</f>
        <v/>
      </c>
    </row>
    <row r="683" customFormat="false" ht="15.75" hidden="false" customHeight="true" outlineLevel="0" collapsed="false">
      <c r="A683" s="100"/>
      <c r="B683" s="101"/>
      <c r="C683" s="101"/>
      <c r="D683" s="101"/>
      <c r="E683" s="101"/>
      <c r="F683" s="102"/>
      <c r="G683" s="102"/>
      <c r="H683" s="102"/>
      <c r="I683" s="102"/>
      <c r="J683" s="102"/>
      <c r="K683" s="102"/>
      <c r="L683" s="103" t="str">
        <f aca="false">IF(OR($B683="", $H683="", $I683="", $J683="", $K683=""),"",ROUND((VLOOKUP($H683,Lists!$E$2:$F$5,2,FALSE())*VLOOKUP($I683,Lists!$H$2:$I$4,2,FALSE())*VLOOKUP($J683,Lists!$K$2:$L$4,2,FALSE()))/VLOOKUP($K683,Lists!$N$2:$O$6,2,FALSE()),2))</f>
        <v/>
      </c>
      <c r="M683" s="104" t="str">
        <f aca="false">IF($B683="","",IF($AC683&lt;&gt;"",$AC683,IF($H683="Critical","P0",IF(NOT(ISNUMBER($L683)),"",IF($L683&gt;=Lists!$AM$2,"P0",IF($L683&gt;=Lists!$AM$3,"P1",IF($L683&gt;=Lists!$AM$4,"P2","P3")))))))</f>
        <v/>
      </c>
      <c r="N683" s="102"/>
      <c r="O683" s="101"/>
      <c r="P683" s="102"/>
      <c r="Q683" s="105"/>
      <c r="R683" s="106" t="str">
        <f aca="true">IF($Q683="","", TODAY()-$Q683)</f>
        <v/>
      </c>
      <c r="S683" s="102"/>
      <c r="T683" s="105"/>
      <c r="U683" s="105"/>
      <c r="V683" s="101"/>
      <c r="W683" s="101"/>
      <c r="X683" s="101"/>
      <c r="Y683" s="96"/>
      <c r="Z683" s="96"/>
      <c r="AA683" s="96"/>
      <c r="AC683" s="102"/>
      <c r="AD683" s="107" t="str">
        <f aca="false">IF($B683="","",IF(ISNUMBER($T683),$T683,IF(OR(NOT(ISNUMBER($Q683)),$S683=""),"",IFERROR(IF(ISNUMBER(INDEX(Lists!$AJ$2:$AJ$7,MATCH($S683,Lists!$AI$2:$AI$7,0))),$Q683+INDEX(Lists!$AJ$2:$AJ$7,MATCH($S683,Lists!$AI$2:$AI$7,0)),""),""))))</f>
        <v/>
      </c>
      <c r="AE683" s="104" t="str">
        <f aca="true">IF($B683="","",IF(AND(ISNUMBER($AD683),N($AD683)&lt;TODAY(),$N683&lt;&gt;"Done",$N683&lt;&gt;"Won't Fix",$N683&lt;&gt;"Duplicate"),"Yes","No"))</f>
        <v/>
      </c>
      <c r="AF683" s="101"/>
      <c r="AG683" s="108" t="str">
        <f aca="false">IF($AF683="","",IFERROR(VLOOKUP($AF683,'Application Portfolio'!$A$2:$B$1000,2,FALSE()),"Unknown App ID"))</f>
        <v/>
      </c>
      <c r="AH683" s="108" t="str">
        <f aca="false">IF(OR($B683="",$AF683=""),"",IFERROR(VLOOKUP($AF683,'Application Portfolio'!$A$2:$AB$1000,28,FALSE()),""))</f>
        <v/>
      </c>
    </row>
    <row r="684" customFormat="false" ht="15.75" hidden="false" customHeight="true" outlineLevel="0" collapsed="false">
      <c r="A684" s="100"/>
      <c r="B684" s="101"/>
      <c r="C684" s="101"/>
      <c r="D684" s="101"/>
      <c r="E684" s="101"/>
      <c r="F684" s="102"/>
      <c r="G684" s="102"/>
      <c r="H684" s="102"/>
      <c r="I684" s="102"/>
      <c r="J684" s="102"/>
      <c r="K684" s="102"/>
      <c r="L684" s="103" t="str">
        <f aca="false">IF(OR($B684="", $H684="", $I684="", $J684="", $K684=""),"",ROUND((VLOOKUP($H684,Lists!$E$2:$F$5,2,FALSE())*VLOOKUP($I684,Lists!$H$2:$I$4,2,FALSE())*VLOOKUP($J684,Lists!$K$2:$L$4,2,FALSE()))/VLOOKUP($K684,Lists!$N$2:$O$6,2,FALSE()),2))</f>
        <v/>
      </c>
      <c r="M684" s="104" t="str">
        <f aca="false">IF($B684="","",IF($AC684&lt;&gt;"",$AC684,IF($H684="Critical","P0",IF(NOT(ISNUMBER($L684)),"",IF($L684&gt;=Lists!$AM$2,"P0",IF($L684&gt;=Lists!$AM$3,"P1",IF($L684&gt;=Lists!$AM$4,"P2","P3")))))))</f>
        <v/>
      </c>
      <c r="N684" s="102"/>
      <c r="O684" s="101"/>
      <c r="P684" s="102"/>
      <c r="Q684" s="105"/>
      <c r="R684" s="106" t="str">
        <f aca="true">IF($Q684="","", TODAY()-$Q684)</f>
        <v/>
      </c>
      <c r="S684" s="102"/>
      <c r="T684" s="105"/>
      <c r="U684" s="105"/>
      <c r="V684" s="101"/>
      <c r="W684" s="101"/>
      <c r="X684" s="101"/>
      <c r="Y684" s="96"/>
      <c r="Z684" s="96"/>
      <c r="AA684" s="96"/>
      <c r="AC684" s="102"/>
      <c r="AD684" s="107" t="str">
        <f aca="false">IF($B684="","",IF(ISNUMBER($T684),$T684,IF(OR(NOT(ISNUMBER($Q684)),$S684=""),"",IFERROR(IF(ISNUMBER(INDEX(Lists!$AJ$2:$AJ$7,MATCH($S684,Lists!$AI$2:$AI$7,0))),$Q684+INDEX(Lists!$AJ$2:$AJ$7,MATCH($S684,Lists!$AI$2:$AI$7,0)),""),""))))</f>
        <v/>
      </c>
      <c r="AE684" s="104" t="str">
        <f aca="true">IF($B684="","",IF(AND(ISNUMBER($AD684),N($AD684)&lt;TODAY(),$N684&lt;&gt;"Done",$N684&lt;&gt;"Won't Fix",$N684&lt;&gt;"Duplicate"),"Yes","No"))</f>
        <v/>
      </c>
      <c r="AF684" s="101"/>
      <c r="AG684" s="108" t="str">
        <f aca="false">IF($AF684="","",IFERROR(VLOOKUP($AF684,'Application Portfolio'!$A$2:$B$1000,2,FALSE()),"Unknown App ID"))</f>
        <v/>
      </c>
      <c r="AH684" s="108" t="str">
        <f aca="false">IF(OR($B684="",$AF684=""),"",IFERROR(VLOOKUP($AF684,'Application Portfolio'!$A$2:$AB$1000,28,FALSE()),""))</f>
        <v/>
      </c>
    </row>
    <row r="685" customFormat="false" ht="15.75" hidden="false" customHeight="true" outlineLevel="0" collapsed="false">
      <c r="A685" s="100"/>
      <c r="B685" s="101"/>
      <c r="C685" s="101"/>
      <c r="D685" s="101"/>
      <c r="E685" s="101"/>
      <c r="F685" s="102"/>
      <c r="G685" s="102"/>
      <c r="H685" s="102"/>
      <c r="I685" s="102"/>
      <c r="J685" s="102"/>
      <c r="K685" s="102"/>
      <c r="L685" s="103" t="str">
        <f aca="false">IF(OR($B685="", $H685="", $I685="", $J685="", $K685=""),"",ROUND((VLOOKUP($H685,Lists!$E$2:$F$5,2,FALSE())*VLOOKUP($I685,Lists!$H$2:$I$4,2,FALSE())*VLOOKUP($J685,Lists!$K$2:$L$4,2,FALSE()))/VLOOKUP($K685,Lists!$N$2:$O$6,2,FALSE()),2))</f>
        <v/>
      </c>
      <c r="M685" s="104" t="str">
        <f aca="false">IF($B685="","",IF($AC685&lt;&gt;"",$AC685,IF($H685="Critical","P0",IF(NOT(ISNUMBER($L685)),"",IF($L685&gt;=Lists!$AM$2,"P0",IF($L685&gt;=Lists!$AM$3,"P1",IF($L685&gt;=Lists!$AM$4,"P2","P3")))))))</f>
        <v/>
      </c>
      <c r="N685" s="102"/>
      <c r="O685" s="101"/>
      <c r="P685" s="102"/>
      <c r="Q685" s="105"/>
      <c r="R685" s="106" t="str">
        <f aca="true">IF($Q685="","", TODAY()-$Q685)</f>
        <v/>
      </c>
      <c r="S685" s="102"/>
      <c r="T685" s="105"/>
      <c r="U685" s="105"/>
      <c r="V685" s="101"/>
      <c r="W685" s="101"/>
      <c r="X685" s="101"/>
      <c r="Y685" s="96"/>
      <c r="Z685" s="96"/>
      <c r="AA685" s="96"/>
      <c r="AC685" s="102"/>
      <c r="AD685" s="107" t="str">
        <f aca="false">IF($B685="","",IF(ISNUMBER($T685),$T685,IF(OR(NOT(ISNUMBER($Q685)),$S685=""),"",IFERROR(IF(ISNUMBER(INDEX(Lists!$AJ$2:$AJ$7,MATCH($S685,Lists!$AI$2:$AI$7,0))),$Q685+INDEX(Lists!$AJ$2:$AJ$7,MATCH($S685,Lists!$AI$2:$AI$7,0)),""),""))))</f>
        <v/>
      </c>
      <c r="AE685" s="104" t="str">
        <f aca="true">IF($B685="","",IF(AND(ISNUMBER($AD685),N($AD685)&lt;TODAY(),$N685&lt;&gt;"Done",$N685&lt;&gt;"Won't Fix",$N685&lt;&gt;"Duplicate"),"Yes","No"))</f>
        <v/>
      </c>
      <c r="AF685" s="101"/>
      <c r="AG685" s="108" t="str">
        <f aca="false">IF($AF685="","",IFERROR(VLOOKUP($AF685,'Application Portfolio'!$A$2:$B$1000,2,FALSE()),"Unknown App ID"))</f>
        <v/>
      </c>
      <c r="AH685" s="108" t="str">
        <f aca="false">IF(OR($B685="",$AF685=""),"",IFERROR(VLOOKUP($AF685,'Application Portfolio'!$A$2:$AB$1000,28,FALSE()),""))</f>
        <v/>
      </c>
    </row>
    <row r="686" customFormat="false" ht="15.75" hidden="false" customHeight="true" outlineLevel="0" collapsed="false">
      <c r="A686" s="100"/>
      <c r="B686" s="101"/>
      <c r="C686" s="101"/>
      <c r="D686" s="101"/>
      <c r="E686" s="101"/>
      <c r="F686" s="102"/>
      <c r="G686" s="102"/>
      <c r="H686" s="102"/>
      <c r="I686" s="102"/>
      <c r="J686" s="102"/>
      <c r="K686" s="102"/>
      <c r="L686" s="103" t="str">
        <f aca="false">IF(OR($B686="", $H686="", $I686="", $J686="", $K686=""),"",ROUND((VLOOKUP($H686,Lists!$E$2:$F$5,2,FALSE())*VLOOKUP($I686,Lists!$H$2:$I$4,2,FALSE())*VLOOKUP($J686,Lists!$K$2:$L$4,2,FALSE()))/VLOOKUP($K686,Lists!$N$2:$O$6,2,FALSE()),2))</f>
        <v/>
      </c>
      <c r="M686" s="104" t="str">
        <f aca="false">IF($B686="","",IF($AC686&lt;&gt;"",$AC686,IF($H686="Critical","P0",IF(NOT(ISNUMBER($L686)),"",IF($L686&gt;=Lists!$AM$2,"P0",IF($L686&gt;=Lists!$AM$3,"P1",IF($L686&gt;=Lists!$AM$4,"P2","P3")))))))</f>
        <v/>
      </c>
      <c r="N686" s="102"/>
      <c r="O686" s="101"/>
      <c r="P686" s="102"/>
      <c r="Q686" s="105"/>
      <c r="R686" s="106" t="str">
        <f aca="true">IF($Q686="","", TODAY()-$Q686)</f>
        <v/>
      </c>
      <c r="S686" s="102"/>
      <c r="T686" s="105"/>
      <c r="U686" s="105"/>
      <c r="V686" s="101"/>
      <c r="W686" s="101"/>
      <c r="X686" s="101"/>
      <c r="Y686" s="96"/>
      <c r="Z686" s="96"/>
      <c r="AA686" s="96"/>
      <c r="AC686" s="102"/>
      <c r="AD686" s="107" t="str">
        <f aca="false">IF($B686="","",IF(ISNUMBER($T686),$T686,IF(OR(NOT(ISNUMBER($Q686)),$S686=""),"",IFERROR(IF(ISNUMBER(INDEX(Lists!$AJ$2:$AJ$7,MATCH($S686,Lists!$AI$2:$AI$7,0))),$Q686+INDEX(Lists!$AJ$2:$AJ$7,MATCH($S686,Lists!$AI$2:$AI$7,0)),""),""))))</f>
        <v/>
      </c>
      <c r="AE686" s="104" t="str">
        <f aca="true">IF($B686="","",IF(AND(ISNUMBER($AD686),N($AD686)&lt;TODAY(),$N686&lt;&gt;"Done",$N686&lt;&gt;"Won't Fix",$N686&lt;&gt;"Duplicate"),"Yes","No"))</f>
        <v/>
      </c>
      <c r="AF686" s="101"/>
      <c r="AG686" s="108" t="str">
        <f aca="false">IF($AF686="","",IFERROR(VLOOKUP($AF686,'Application Portfolio'!$A$2:$B$1000,2,FALSE()),"Unknown App ID"))</f>
        <v/>
      </c>
      <c r="AH686" s="108" t="str">
        <f aca="false">IF(OR($B686="",$AF686=""),"",IFERROR(VLOOKUP($AF686,'Application Portfolio'!$A$2:$AB$1000,28,FALSE()),""))</f>
        <v/>
      </c>
    </row>
    <row r="687" customFormat="false" ht="15.75" hidden="false" customHeight="true" outlineLevel="0" collapsed="false">
      <c r="A687" s="100"/>
      <c r="B687" s="101"/>
      <c r="C687" s="101"/>
      <c r="D687" s="101"/>
      <c r="E687" s="101"/>
      <c r="F687" s="102"/>
      <c r="G687" s="102"/>
      <c r="H687" s="102"/>
      <c r="I687" s="102"/>
      <c r="J687" s="102"/>
      <c r="K687" s="102"/>
      <c r="L687" s="103" t="str">
        <f aca="false">IF(OR($B687="", $H687="", $I687="", $J687="", $K687=""),"",ROUND((VLOOKUP($H687,Lists!$E$2:$F$5,2,FALSE())*VLOOKUP($I687,Lists!$H$2:$I$4,2,FALSE())*VLOOKUP($J687,Lists!$K$2:$L$4,2,FALSE()))/VLOOKUP($K687,Lists!$N$2:$O$6,2,FALSE()),2))</f>
        <v/>
      </c>
      <c r="M687" s="104" t="str">
        <f aca="false">IF($B687="","",IF($AC687&lt;&gt;"",$AC687,IF($H687="Critical","P0",IF(NOT(ISNUMBER($L687)),"",IF($L687&gt;=Lists!$AM$2,"P0",IF($L687&gt;=Lists!$AM$3,"P1",IF($L687&gt;=Lists!$AM$4,"P2","P3")))))))</f>
        <v/>
      </c>
      <c r="N687" s="102"/>
      <c r="O687" s="101"/>
      <c r="P687" s="102"/>
      <c r="Q687" s="105"/>
      <c r="R687" s="106" t="str">
        <f aca="true">IF($Q687="","", TODAY()-$Q687)</f>
        <v/>
      </c>
      <c r="S687" s="102"/>
      <c r="T687" s="105"/>
      <c r="U687" s="105"/>
      <c r="V687" s="101"/>
      <c r="W687" s="101"/>
      <c r="X687" s="101"/>
      <c r="Y687" s="96"/>
      <c r="Z687" s="96"/>
      <c r="AA687" s="96"/>
      <c r="AC687" s="102"/>
      <c r="AD687" s="107" t="str">
        <f aca="false">IF($B687="","",IF(ISNUMBER($T687),$T687,IF(OR(NOT(ISNUMBER($Q687)),$S687=""),"",IFERROR(IF(ISNUMBER(INDEX(Lists!$AJ$2:$AJ$7,MATCH($S687,Lists!$AI$2:$AI$7,0))),$Q687+INDEX(Lists!$AJ$2:$AJ$7,MATCH($S687,Lists!$AI$2:$AI$7,0)),""),""))))</f>
        <v/>
      </c>
      <c r="AE687" s="104" t="str">
        <f aca="true">IF($B687="","",IF(AND(ISNUMBER($AD687),N($AD687)&lt;TODAY(),$N687&lt;&gt;"Done",$N687&lt;&gt;"Won't Fix",$N687&lt;&gt;"Duplicate"),"Yes","No"))</f>
        <v/>
      </c>
      <c r="AF687" s="101"/>
      <c r="AG687" s="108" t="str">
        <f aca="false">IF($AF687="","",IFERROR(VLOOKUP($AF687,'Application Portfolio'!$A$2:$B$1000,2,FALSE()),"Unknown App ID"))</f>
        <v/>
      </c>
      <c r="AH687" s="108" t="str">
        <f aca="false">IF(OR($B687="",$AF687=""),"",IFERROR(VLOOKUP($AF687,'Application Portfolio'!$A$2:$AB$1000,28,FALSE()),""))</f>
        <v/>
      </c>
    </row>
    <row r="688" customFormat="false" ht="15.75" hidden="false" customHeight="true" outlineLevel="0" collapsed="false">
      <c r="A688" s="100"/>
      <c r="B688" s="101"/>
      <c r="C688" s="101"/>
      <c r="D688" s="101"/>
      <c r="E688" s="101"/>
      <c r="F688" s="102"/>
      <c r="G688" s="102"/>
      <c r="H688" s="102"/>
      <c r="I688" s="102"/>
      <c r="J688" s="102"/>
      <c r="K688" s="102"/>
      <c r="L688" s="103" t="str">
        <f aca="false">IF(OR($B688="", $H688="", $I688="", $J688="", $K688=""),"",ROUND((VLOOKUP($H688,Lists!$E$2:$F$5,2,FALSE())*VLOOKUP($I688,Lists!$H$2:$I$4,2,FALSE())*VLOOKUP($J688,Lists!$K$2:$L$4,2,FALSE()))/VLOOKUP($K688,Lists!$N$2:$O$6,2,FALSE()),2))</f>
        <v/>
      </c>
      <c r="M688" s="104" t="str">
        <f aca="false">IF($B688="","",IF($AC688&lt;&gt;"",$AC688,IF($H688="Critical","P0",IF(NOT(ISNUMBER($L688)),"",IF($L688&gt;=Lists!$AM$2,"P0",IF($L688&gt;=Lists!$AM$3,"P1",IF($L688&gt;=Lists!$AM$4,"P2","P3")))))))</f>
        <v/>
      </c>
      <c r="N688" s="102"/>
      <c r="O688" s="101"/>
      <c r="P688" s="102"/>
      <c r="Q688" s="105"/>
      <c r="R688" s="106" t="str">
        <f aca="true">IF($Q688="","", TODAY()-$Q688)</f>
        <v/>
      </c>
      <c r="S688" s="102"/>
      <c r="T688" s="105"/>
      <c r="U688" s="105"/>
      <c r="V688" s="101"/>
      <c r="W688" s="101"/>
      <c r="X688" s="101"/>
      <c r="Y688" s="96"/>
      <c r="Z688" s="96"/>
      <c r="AA688" s="96"/>
      <c r="AC688" s="102"/>
      <c r="AD688" s="107" t="str">
        <f aca="false">IF($B688="","",IF(ISNUMBER($T688),$T688,IF(OR(NOT(ISNUMBER($Q688)),$S688=""),"",IFERROR(IF(ISNUMBER(INDEX(Lists!$AJ$2:$AJ$7,MATCH($S688,Lists!$AI$2:$AI$7,0))),$Q688+INDEX(Lists!$AJ$2:$AJ$7,MATCH($S688,Lists!$AI$2:$AI$7,0)),""),""))))</f>
        <v/>
      </c>
      <c r="AE688" s="104" t="str">
        <f aca="true">IF($B688="","",IF(AND(ISNUMBER($AD688),N($AD688)&lt;TODAY(),$N688&lt;&gt;"Done",$N688&lt;&gt;"Won't Fix",$N688&lt;&gt;"Duplicate"),"Yes","No"))</f>
        <v/>
      </c>
      <c r="AF688" s="101"/>
      <c r="AG688" s="108" t="str">
        <f aca="false">IF($AF688="","",IFERROR(VLOOKUP($AF688,'Application Portfolio'!$A$2:$B$1000,2,FALSE()),"Unknown App ID"))</f>
        <v/>
      </c>
      <c r="AH688" s="108" t="str">
        <f aca="false">IF(OR($B688="",$AF688=""),"",IFERROR(VLOOKUP($AF688,'Application Portfolio'!$A$2:$AB$1000,28,FALSE()),""))</f>
        <v/>
      </c>
    </row>
    <row r="689" customFormat="false" ht="15.75" hidden="false" customHeight="true" outlineLevel="0" collapsed="false">
      <c r="A689" s="100"/>
      <c r="B689" s="101"/>
      <c r="C689" s="101"/>
      <c r="D689" s="101"/>
      <c r="E689" s="101"/>
      <c r="F689" s="102"/>
      <c r="G689" s="102"/>
      <c r="H689" s="102"/>
      <c r="I689" s="102"/>
      <c r="J689" s="102"/>
      <c r="K689" s="102"/>
      <c r="L689" s="103" t="str">
        <f aca="false">IF(OR($B689="", $H689="", $I689="", $J689="", $K689=""),"",ROUND((VLOOKUP($H689,Lists!$E$2:$F$5,2,FALSE())*VLOOKUP($I689,Lists!$H$2:$I$4,2,FALSE())*VLOOKUP($J689,Lists!$K$2:$L$4,2,FALSE()))/VLOOKUP($K689,Lists!$N$2:$O$6,2,FALSE()),2))</f>
        <v/>
      </c>
      <c r="M689" s="104" t="str">
        <f aca="false">IF($B689="","",IF($AC689&lt;&gt;"",$AC689,IF($H689="Critical","P0",IF(NOT(ISNUMBER($L689)),"",IF($L689&gt;=Lists!$AM$2,"P0",IF($L689&gt;=Lists!$AM$3,"P1",IF($L689&gt;=Lists!$AM$4,"P2","P3")))))))</f>
        <v/>
      </c>
      <c r="N689" s="102"/>
      <c r="O689" s="101"/>
      <c r="P689" s="102"/>
      <c r="Q689" s="105"/>
      <c r="R689" s="106" t="str">
        <f aca="true">IF($Q689="","", TODAY()-$Q689)</f>
        <v/>
      </c>
      <c r="S689" s="102"/>
      <c r="T689" s="105"/>
      <c r="U689" s="105"/>
      <c r="V689" s="101"/>
      <c r="W689" s="101"/>
      <c r="X689" s="101"/>
      <c r="Y689" s="96"/>
      <c r="Z689" s="96"/>
      <c r="AA689" s="96"/>
      <c r="AC689" s="102"/>
      <c r="AD689" s="107" t="str">
        <f aca="false">IF($B689="","",IF(ISNUMBER($T689),$T689,IF(OR(NOT(ISNUMBER($Q689)),$S689=""),"",IFERROR(IF(ISNUMBER(INDEX(Lists!$AJ$2:$AJ$7,MATCH($S689,Lists!$AI$2:$AI$7,0))),$Q689+INDEX(Lists!$AJ$2:$AJ$7,MATCH($S689,Lists!$AI$2:$AI$7,0)),""),""))))</f>
        <v/>
      </c>
      <c r="AE689" s="104" t="str">
        <f aca="true">IF($B689="","",IF(AND(ISNUMBER($AD689),N($AD689)&lt;TODAY(),$N689&lt;&gt;"Done",$N689&lt;&gt;"Won't Fix",$N689&lt;&gt;"Duplicate"),"Yes","No"))</f>
        <v/>
      </c>
      <c r="AF689" s="101"/>
      <c r="AG689" s="108" t="str">
        <f aca="false">IF($AF689="","",IFERROR(VLOOKUP($AF689,'Application Portfolio'!$A$2:$B$1000,2,FALSE()),"Unknown App ID"))</f>
        <v/>
      </c>
      <c r="AH689" s="108" t="str">
        <f aca="false">IF(OR($B689="",$AF689=""),"",IFERROR(VLOOKUP($AF689,'Application Portfolio'!$A$2:$AB$1000,28,FALSE()),""))</f>
        <v/>
      </c>
    </row>
    <row r="690" customFormat="false" ht="15.75" hidden="false" customHeight="true" outlineLevel="0" collapsed="false">
      <c r="A690" s="100"/>
      <c r="B690" s="101"/>
      <c r="C690" s="101"/>
      <c r="D690" s="101"/>
      <c r="E690" s="101"/>
      <c r="F690" s="102"/>
      <c r="G690" s="102"/>
      <c r="H690" s="102"/>
      <c r="I690" s="102"/>
      <c r="J690" s="102"/>
      <c r="K690" s="102"/>
      <c r="L690" s="103" t="str">
        <f aca="false">IF(OR($B690="", $H690="", $I690="", $J690="", $K690=""),"",ROUND((VLOOKUP($H690,Lists!$E$2:$F$5,2,FALSE())*VLOOKUP($I690,Lists!$H$2:$I$4,2,FALSE())*VLOOKUP($J690,Lists!$K$2:$L$4,2,FALSE()))/VLOOKUP($K690,Lists!$N$2:$O$6,2,FALSE()),2))</f>
        <v/>
      </c>
      <c r="M690" s="104" t="str">
        <f aca="false">IF($B690="","",IF($AC690&lt;&gt;"",$AC690,IF($H690="Critical","P0",IF(NOT(ISNUMBER($L690)),"",IF($L690&gt;=Lists!$AM$2,"P0",IF($L690&gt;=Lists!$AM$3,"P1",IF($L690&gt;=Lists!$AM$4,"P2","P3")))))))</f>
        <v/>
      </c>
      <c r="N690" s="102"/>
      <c r="O690" s="101"/>
      <c r="P690" s="102"/>
      <c r="Q690" s="105"/>
      <c r="R690" s="106" t="str">
        <f aca="true">IF($Q690="","", TODAY()-$Q690)</f>
        <v/>
      </c>
      <c r="S690" s="102"/>
      <c r="T690" s="105"/>
      <c r="U690" s="105"/>
      <c r="V690" s="101"/>
      <c r="W690" s="101"/>
      <c r="X690" s="101"/>
      <c r="Y690" s="96"/>
      <c r="Z690" s="96"/>
      <c r="AA690" s="96"/>
      <c r="AC690" s="102"/>
      <c r="AD690" s="107" t="str">
        <f aca="false">IF($B690="","",IF(ISNUMBER($T690),$T690,IF(OR(NOT(ISNUMBER($Q690)),$S690=""),"",IFERROR(IF(ISNUMBER(INDEX(Lists!$AJ$2:$AJ$7,MATCH($S690,Lists!$AI$2:$AI$7,0))),$Q690+INDEX(Lists!$AJ$2:$AJ$7,MATCH($S690,Lists!$AI$2:$AI$7,0)),""),""))))</f>
        <v/>
      </c>
      <c r="AE690" s="104" t="str">
        <f aca="true">IF($B690="","",IF(AND(ISNUMBER($AD690),N($AD690)&lt;TODAY(),$N690&lt;&gt;"Done",$N690&lt;&gt;"Won't Fix",$N690&lt;&gt;"Duplicate"),"Yes","No"))</f>
        <v/>
      </c>
      <c r="AF690" s="101"/>
      <c r="AG690" s="108" t="str">
        <f aca="false">IF($AF690="","",IFERROR(VLOOKUP($AF690,'Application Portfolio'!$A$2:$B$1000,2,FALSE()),"Unknown App ID"))</f>
        <v/>
      </c>
      <c r="AH690" s="108" t="str">
        <f aca="false">IF(OR($B690="",$AF690=""),"",IFERROR(VLOOKUP($AF690,'Application Portfolio'!$A$2:$AB$1000,28,FALSE()),""))</f>
        <v/>
      </c>
    </row>
    <row r="691" customFormat="false" ht="15.75" hidden="false" customHeight="true" outlineLevel="0" collapsed="false">
      <c r="A691" s="100"/>
      <c r="B691" s="101"/>
      <c r="C691" s="101"/>
      <c r="D691" s="101"/>
      <c r="E691" s="101"/>
      <c r="F691" s="102"/>
      <c r="G691" s="102"/>
      <c r="H691" s="102"/>
      <c r="I691" s="102"/>
      <c r="J691" s="102"/>
      <c r="K691" s="102"/>
      <c r="L691" s="103" t="str">
        <f aca="false">IF(OR($B691="", $H691="", $I691="", $J691="", $K691=""),"",ROUND((VLOOKUP($H691,Lists!$E$2:$F$5,2,FALSE())*VLOOKUP($I691,Lists!$H$2:$I$4,2,FALSE())*VLOOKUP($J691,Lists!$K$2:$L$4,2,FALSE()))/VLOOKUP($K691,Lists!$N$2:$O$6,2,FALSE()),2))</f>
        <v/>
      </c>
      <c r="M691" s="104" t="str">
        <f aca="false">IF($B691="","",IF($AC691&lt;&gt;"",$AC691,IF($H691="Critical","P0",IF(NOT(ISNUMBER($L691)),"",IF($L691&gt;=Lists!$AM$2,"P0",IF($L691&gt;=Lists!$AM$3,"P1",IF($L691&gt;=Lists!$AM$4,"P2","P3")))))))</f>
        <v/>
      </c>
      <c r="N691" s="102"/>
      <c r="O691" s="101"/>
      <c r="P691" s="102"/>
      <c r="Q691" s="105"/>
      <c r="R691" s="106" t="str">
        <f aca="true">IF($Q691="","", TODAY()-$Q691)</f>
        <v/>
      </c>
      <c r="S691" s="102"/>
      <c r="T691" s="105"/>
      <c r="U691" s="105"/>
      <c r="V691" s="101"/>
      <c r="W691" s="101"/>
      <c r="X691" s="101"/>
      <c r="Y691" s="96"/>
      <c r="Z691" s="96"/>
      <c r="AA691" s="96"/>
      <c r="AC691" s="102"/>
      <c r="AD691" s="107" t="str">
        <f aca="false">IF($B691="","",IF(ISNUMBER($T691),$T691,IF(OR(NOT(ISNUMBER($Q691)),$S691=""),"",IFERROR(IF(ISNUMBER(INDEX(Lists!$AJ$2:$AJ$7,MATCH($S691,Lists!$AI$2:$AI$7,0))),$Q691+INDEX(Lists!$AJ$2:$AJ$7,MATCH($S691,Lists!$AI$2:$AI$7,0)),""),""))))</f>
        <v/>
      </c>
      <c r="AE691" s="104" t="str">
        <f aca="true">IF($B691="","",IF(AND(ISNUMBER($AD691),N($AD691)&lt;TODAY(),$N691&lt;&gt;"Done",$N691&lt;&gt;"Won't Fix",$N691&lt;&gt;"Duplicate"),"Yes","No"))</f>
        <v/>
      </c>
      <c r="AF691" s="101"/>
      <c r="AG691" s="108" t="str">
        <f aca="false">IF($AF691="","",IFERROR(VLOOKUP($AF691,'Application Portfolio'!$A$2:$B$1000,2,FALSE()),"Unknown App ID"))</f>
        <v/>
      </c>
      <c r="AH691" s="108" t="str">
        <f aca="false">IF(OR($B691="",$AF691=""),"",IFERROR(VLOOKUP($AF691,'Application Portfolio'!$A$2:$AB$1000,28,FALSE()),""))</f>
        <v/>
      </c>
    </row>
    <row r="692" customFormat="false" ht="15.75" hidden="false" customHeight="true" outlineLevel="0" collapsed="false">
      <c r="A692" s="100"/>
      <c r="B692" s="101"/>
      <c r="C692" s="101"/>
      <c r="D692" s="101"/>
      <c r="E692" s="101"/>
      <c r="F692" s="102"/>
      <c r="G692" s="102"/>
      <c r="H692" s="102"/>
      <c r="I692" s="102"/>
      <c r="J692" s="102"/>
      <c r="K692" s="102"/>
      <c r="L692" s="103" t="str">
        <f aca="false">IF(OR($B692="", $H692="", $I692="", $J692="", $K692=""),"",ROUND((VLOOKUP($H692,Lists!$E$2:$F$5,2,FALSE())*VLOOKUP($I692,Lists!$H$2:$I$4,2,FALSE())*VLOOKUP($J692,Lists!$K$2:$L$4,2,FALSE()))/VLOOKUP($K692,Lists!$N$2:$O$6,2,FALSE()),2))</f>
        <v/>
      </c>
      <c r="M692" s="104" t="str">
        <f aca="false">IF($B692="","",IF($AC692&lt;&gt;"",$AC692,IF($H692="Critical","P0",IF(NOT(ISNUMBER($L692)),"",IF($L692&gt;=Lists!$AM$2,"P0",IF($L692&gt;=Lists!$AM$3,"P1",IF($L692&gt;=Lists!$AM$4,"P2","P3")))))))</f>
        <v/>
      </c>
      <c r="N692" s="102"/>
      <c r="O692" s="101"/>
      <c r="P692" s="102"/>
      <c r="Q692" s="105"/>
      <c r="R692" s="106" t="str">
        <f aca="true">IF($Q692="","", TODAY()-$Q692)</f>
        <v/>
      </c>
      <c r="S692" s="102"/>
      <c r="T692" s="105"/>
      <c r="U692" s="105"/>
      <c r="V692" s="101"/>
      <c r="W692" s="101"/>
      <c r="X692" s="101"/>
      <c r="Y692" s="96"/>
      <c r="Z692" s="96"/>
      <c r="AA692" s="96"/>
      <c r="AC692" s="102"/>
      <c r="AD692" s="107" t="str">
        <f aca="false">IF($B692="","",IF(ISNUMBER($T692),$T692,IF(OR(NOT(ISNUMBER($Q692)),$S692=""),"",IFERROR(IF(ISNUMBER(INDEX(Lists!$AJ$2:$AJ$7,MATCH($S692,Lists!$AI$2:$AI$7,0))),$Q692+INDEX(Lists!$AJ$2:$AJ$7,MATCH($S692,Lists!$AI$2:$AI$7,0)),""),""))))</f>
        <v/>
      </c>
      <c r="AE692" s="104" t="str">
        <f aca="true">IF($B692="","",IF(AND(ISNUMBER($AD692),N($AD692)&lt;TODAY(),$N692&lt;&gt;"Done",$N692&lt;&gt;"Won't Fix",$N692&lt;&gt;"Duplicate"),"Yes","No"))</f>
        <v/>
      </c>
      <c r="AF692" s="101"/>
      <c r="AG692" s="108" t="str">
        <f aca="false">IF($AF692="","",IFERROR(VLOOKUP($AF692,'Application Portfolio'!$A$2:$B$1000,2,FALSE()),"Unknown App ID"))</f>
        <v/>
      </c>
      <c r="AH692" s="108" t="str">
        <f aca="false">IF(OR($B692="",$AF692=""),"",IFERROR(VLOOKUP($AF692,'Application Portfolio'!$A$2:$AB$1000,28,FALSE()),""))</f>
        <v/>
      </c>
    </row>
    <row r="693" customFormat="false" ht="15.75" hidden="false" customHeight="true" outlineLevel="0" collapsed="false">
      <c r="A693" s="100"/>
      <c r="B693" s="101"/>
      <c r="C693" s="101"/>
      <c r="D693" s="101"/>
      <c r="E693" s="101"/>
      <c r="F693" s="102"/>
      <c r="G693" s="102"/>
      <c r="H693" s="102"/>
      <c r="I693" s="102"/>
      <c r="J693" s="102"/>
      <c r="K693" s="102"/>
      <c r="L693" s="103" t="str">
        <f aca="false">IF(OR($B693="", $H693="", $I693="", $J693="", $K693=""),"",ROUND((VLOOKUP($H693,Lists!$E$2:$F$5,2,FALSE())*VLOOKUP($I693,Lists!$H$2:$I$4,2,FALSE())*VLOOKUP($J693,Lists!$K$2:$L$4,2,FALSE()))/VLOOKUP($K693,Lists!$N$2:$O$6,2,FALSE()),2))</f>
        <v/>
      </c>
      <c r="M693" s="104" t="str">
        <f aca="false">IF($B693="","",IF($AC693&lt;&gt;"",$AC693,IF($H693="Critical","P0",IF(NOT(ISNUMBER($L693)),"",IF($L693&gt;=Lists!$AM$2,"P0",IF($L693&gt;=Lists!$AM$3,"P1",IF($L693&gt;=Lists!$AM$4,"P2","P3")))))))</f>
        <v/>
      </c>
      <c r="N693" s="102"/>
      <c r="O693" s="101"/>
      <c r="P693" s="102"/>
      <c r="Q693" s="105"/>
      <c r="R693" s="106" t="str">
        <f aca="true">IF($Q693="","", TODAY()-$Q693)</f>
        <v/>
      </c>
      <c r="S693" s="102"/>
      <c r="T693" s="105"/>
      <c r="U693" s="105"/>
      <c r="V693" s="101"/>
      <c r="W693" s="101"/>
      <c r="X693" s="101"/>
      <c r="Y693" s="96"/>
      <c r="Z693" s="96"/>
      <c r="AA693" s="96"/>
      <c r="AC693" s="102"/>
      <c r="AD693" s="107" t="str">
        <f aca="false">IF($B693="","",IF(ISNUMBER($T693),$T693,IF(OR(NOT(ISNUMBER($Q693)),$S693=""),"",IFERROR(IF(ISNUMBER(INDEX(Lists!$AJ$2:$AJ$7,MATCH($S693,Lists!$AI$2:$AI$7,0))),$Q693+INDEX(Lists!$AJ$2:$AJ$7,MATCH($S693,Lists!$AI$2:$AI$7,0)),""),""))))</f>
        <v/>
      </c>
      <c r="AE693" s="104" t="str">
        <f aca="true">IF($B693="","",IF(AND(ISNUMBER($AD693),N($AD693)&lt;TODAY(),$N693&lt;&gt;"Done",$N693&lt;&gt;"Won't Fix",$N693&lt;&gt;"Duplicate"),"Yes","No"))</f>
        <v/>
      </c>
      <c r="AF693" s="101"/>
      <c r="AG693" s="108" t="str">
        <f aca="false">IF($AF693="","",IFERROR(VLOOKUP($AF693,'Application Portfolio'!$A$2:$B$1000,2,FALSE()),"Unknown App ID"))</f>
        <v/>
      </c>
      <c r="AH693" s="108" t="str">
        <f aca="false">IF(OR($B693="",$AF693=""),"",IFERROR(VLOOKUP($AF693,'Application Portfolio'!$A$2:$AB$1000,28,FALSE()),""))</f>
        <v/>
      </c>
    </row>
    <row r="694" customFormat="false" ht="15.75" hidden="false" customHeight="true" outlineLevel="0" collapsed="false">
      <c r="A694" s="100"/>
      <c r="B694" s="101"/>
      <c r="C694" s="101"/>
      <c r="D694" s="101"/>
      <c r="E694" s="101"/>
      <c r="F694" s="102"/>
      <c r="G694" s="102"/>
      <c r="H694" s="102"/>
      <c r="I694" s="102"/>
      <c r="J694" s="102"/>
      <c r="K694" s="102"/>
      <c r="L694" s="103" t="str">
        <f aca="false">IF(OR($B694="", $H694="", $I694="", $J694="", $K694=""),"",ROUND((VLOOKUP($H694,Lists!$E$2:$F$5,2,FALSE())*VLOOKUP($I694,Lists!$H$2:$I$4,2,FALSE())*VLOOKUP($J694,Lists!$K$2:$L$4,2,FALSE()))/VLOOKUP($K694,Lists!$N$2:$O$6,2,FALSE()),2))</f>
        <v/>
      </c>
      <c r="M694" s="104" t="str">
        <f aca="false">IF($B694="","",IF($AC694&lt;&gt;"",$AC694,IF($H694="Critical","P0",IF(NOT(ISNUMBER($L694)),"",IF($L694&gt;=Lists!$AM$2,"P0",IF($L694&gt;=Lists!$AM$3,"P1",IF($L694&gt;=Lists!$AM$4,"P2","P3")))))))</f>
        <v/>
      </c>
      <c r="N694" s="102"/>
      <c r="O694" s="101"/>
      <c r="P694" s="102"/>
      <c r="Q694" s="105"/>
      <c r="R694" s="106" t="str">
        <f aca="true">IF($Q694="","", TODAY()-$Q694)</f>
        <v/>
      </c>
      <c r="S694" s="102"/>
      <c r="T694" s="105"/>
      <c r="U694" s="105"/>
      <c r="V694" s="101"/>
      <c r="W694" s="101"/>
      <c r="X694" s="101"/>
      <c r="Y694" s="96"/>
      <c r="Z694" s="96"/>
      <c r="AA694" s="96"/>
      <c r="AC694" s="102"/>
      <c r="AD694" s="107" t="str">
        <f aca="false">IF($B694="","",IF(ISNUMBER($T694),$T694,IF(OR(NOT(ISNUMBER($Q694)),$S694=""),"",IFERROR(IF(ISNUMBER(INDEX(Lists!$AJ$2:$AJ$7,MATCH($S694,Lists!$AI$2:$AI$7,0))),$Q694+INDEX(Lists!$AJ$2:$AJ$7,MATCH($S694,Lists!$AI$2:$AI$7,0)),""),""))))</f>
        <v/>
      </c>
      <c r="AE694" s="104" t="str">
        <f aca="true">IF($B694="","",IF(AND(ISNUMBER($AD694),N($AD694)&lt;TODAY(),$N694&lt;&gt;"Done",$N694&lt;&gt;"Won't Fix",$N694&lt;&gt;"Duplicate"),"Yes","No"))</f>
        <v/>
      </c>
      <c r="AF694" s="101"/>
      <c r="AG694" s="108" t="str">
        <f aca="false">IF($AF694="","",IFERROR(VLOOKUP($AF694,'Application Portfolio'!$A$2:$B$1000,2,FALSE()),"Unknown App ID"))</f>
        <v/>
      </c>
      <c r="AH694" s="108" t="str">
        <f aca="false">IF(OR($B694="",$AF694=""),"",IFERROR(VLOOKUP($AF694,'Application Portfolio'!$A$2:$AB$1000,28,FALSE()),""))</f>
        <v/>
      </c>
    </row>
    <row r="695" customFormat="false" ht="15.75" hidden="false" customHeight="true" outlineLevel="0" collapsed="false">
      <c r="A695" s="100"/>
      <c r="B695" s="101"/>
      <c r="C695" s="101"/>
      <c r="D695" s="101"/>
      <c r="E695" s="101"/>
      <c r="F695" s="102"/>
      <c r="G695" s="102"/>
      <c r="H695" s="102"/>
      <c r="I695" s="102"/>
      <c r="J695" s="102"/>
      <c r="K695" s="102"/>
      <c r="L695" s="103" t="str">
        <f aca="false">IF(OR($B695="", $H695="", $I695="", $J695="", $K695=""),"",ROUND((VLOOKUP($H695,Lists!$E$2:$F$5,2,FALSE())*VLOOKUP($I695,Lists!$H$2:$I$4,2,FALSE())*VLOOKUP($J695,Lists!$K$2:$L$4,2,FALSE()))/VLOOKUP($K695,Lists!$N$2:$O$6,2,FALSE()),2))</f>
        <v/>
      </c>
      <c r="M695" s="104" t="str">
        <f aca="false">IF($B695="","",IF($AC695&lt;&gt;"",$AC695,IF($H695="Critical","P0",IF(NOT(ISNUMBER($L695)),"",IF($L695&gt;=Lists!$AM$2,"P0",IF($L695&gt;=Lists!$AM$3,"P1",IF($L695&gt;=Lists!$AM$4,"P2","P3")))))))</f>
        <v/>
      </c>
      <c r="N695" s="102"/>
      <c r="O695" s="101"/>
      <c r="P695" s="102"/>
      <c r="Q695" s="105"/>
      <c r="R695" s="106" t="str">
        <f aca="true">IF($Q695="","", TODAY()-$Q695)</f>
        <v/>
      </c>
      <c r="S695" s="102"/>
      <c r="T695" s="105"/>
      <c r="U695" s="105"/>
      <c r="V695" s="101"/>
      <c r="W695" s="101"/>
      <c r="X695" s="101"/>
      <c r="Y695" s="96"/>
      <c r="Z695" s="96"/>
      <c r="AA695" s="96"/>
      <c r="AC695" s="102"/>
      <c r="AD695" s="107" t="str">
        <f aca="false">IF($B695="","",IF(ISNUMBER($T695),$T695,IF(OR(NOT(ISNUMBER($Q695)),$S695=""),"",IFERROR(IF(ISNUMBER(INDEX(Lists!$AJ$2:$AJ$7,MATCH($S695,Lists!$AI$2:$AI$7,0))),$Q695+INDEX(Lists!$AJ$2:$AJ$7,MATCH($S695,Lists!$AI$2:$AI$7,0)),""),""))))</f>
        <v/>
      </c>
      <c r="AE695" s="104" t="str">
        <f aca="true">IF($B695="","",IF(AND(ISNUMBER($AD695),N($AD695)&lt;TODAY(),$N695&lt;&gt;"Done",$N695&lt;&gt;"Won't Fix",$N695&lt;&gt;"Duplicate"),"Yes","No"))</f>
        <v/>
      </c>
      <c r="AF695" s="101"/>
      <c r="AG695" s="108" t="str">
        <f aca="false">IF($AF695="","",IFERROR(VLOOKUP($AF695,'Application Portfolio'!$A$2:$B$1000,2,FALSE()),"Unknown App ID"))</f>
        <v/>
      </c>
      <c r="AH695" s="108" t="str">
        <f aca="false">IF(OR($B695="",$AF695=""),"",IFERROR(VLOOKUP($AF695,'Application Portfolio'!$A$2:$AB$1000,28,FALSE()),""))</f>
        <v/>
      </c>
    </row>
    <row r="696" customFormat="false" ht="15.75" hidden="false" customHeight="true" outlineLevel="0" collapsed="false">
      <c r="A696" s="100"/>
      <c r="B696" s="101"/>
      <c r="C696" s="101"/>
      <c r="D696" s="101"/>
      <c r="E696" s="101"/>
      <c r="F696" s="102"/>
      <c r="G696" s="102"/>
      <c r="H696" s="102"/>
      <c r="I696" s="102"/>
      <c r="J696" s="102"/>
      <c r="K696" s="102"/>
      <c r="L696" s="103" t="str">
        <f aca="false">IF(OR($B696="", $H696="", $I696="", $J696="", $K696=""),"",ROUND((VLOOKUP($H696,Lists!$E$2:$F$5,2,FALSE())*VLOOKUP($I696,Lists!$H$2:$I$4,2,FALSE())*VLOOKUP($J696,Lists!$K$2:$L$4,2,FALSE()))/VLOOKUP($K696,Lists!$N$2:$O$6,2,FALSE()),2))</f>
        <v/>
      </c>
      <c r="M696" s="104" t="str">
        <f aca="false">IF($B696="","",IF($AC696&lt;&gt;"",$AC696,IF($H696="Critical","P0",IF(NOT(ISNUMBER($L696)),"",IF($L696&gt;=Lists!$AM$2,"P0",IF($L696&gt;=Lists!$AM$3,"P1",IF($L696&gt;=Lists!$AM$4,"P2","P3")))))))</f>
        <v/>
      </c>
      <c r="N696" s="102"/>
      <c r="O696" s="101"/>
      <c r="P696" s="102"/>
      <c r="Q696" s="105"/>
      <c r="R696" s="106" t="str">
        <f aca="true">IF($Q696="","", TODAY()-$Q696)</f>
        <v/>
      </c>
      <c r="S696" s="102"/>
      <c r="T696" s="105"/>
      <c r="U696" s="105"/>
      <c r="V696" s="101"/>
      <c r="W696" s="101"/>
      <c r="X696" s="101"/>
      <c r="Y696" s="96"/>
      <c r="Z696" s="96"/>
      <c r="AA696" s="96"/>
      <c r="AC696" s="102"/>
      <c r="AD696" s="107" t="str">
        <f aca="false">IF($B696="","",IF(ISNUMBER($T696),$T696,IF(OR(NOT(ISNUMBER($Q696)),$S696=""),"",IFERROR(IF(ISNUMBER(INDEX(Lists!$AJ$2:$AJ$7,MATCH($S696,Lists!$AI$2:$AI$7,0))),$Q696+INDEX(Lists!$AJ$2:$AJ$7,MATCH($S696,Lists!$AI$2:$AI$7,0)),""),""))))</f>
        <v/>
      </c>
      <c r="AE696" s="104" t="str">
        <f aca="true">IF($B696="","",IF(AND(ISNUMBER($AD696),N($AD696)&lt;TODAY(),$N696&lt;&gt;"Done",$N696&lt;&gt;"Won't Fix",$N696&lt;&gt;"Duplicate"),"Yes","No"))</f>
        <v/>
      </c>
      <c r="AF696" s="101"/>
      <c r="AG696" s="108" t="str">
        <f aca="false">IF($AF696="","",IFERROR(VLOOKUP($AF696,'Application Portfolio'!$A$2:$B$1000,2,FALSE()),"Unknown App ID"))</f>
        <v/>
      </c>
      <c r="AH696" s="108" t="str">
        <f aca="false">IF(OR($B696="",$AF696=""),"",IFERROR(VLOOKUP($AF696,'Application Portfolio'!$A$2:$AB$1000,28,FALSE()),""))</f>
        <v/>
      </c>
    </row>
    <row r="697" customFormat="false" ht="15.75" hidden="false" customHeight="true" outlineLevel="0" collapsed="false">
      <c r="A697" s="100"/>
      <c r="B697" s="101"/>
      <c r="C697" s="101"/>
      <c r="D697" s="101"/>
      <c r="E697" s="101"/>
      <c r="F697" s="102"/>
      <c r="G697" s="102"/>
      <c r="H697" s="102"/>
      <c r="I697" s="102"/>
      <c r="J697" s="102"/>
      <c r="K697" s="102"/>
      <c r="L697" s="103" t="str">
        <f aca="false">IF(OR($B697="", $H697="", $I697="", $J697="", $K697=""),"",ROUND((VLOOKUP($H697,Lists!$E$2:$F$5,2,FALSE())*VLOOKUP($I697,Lists!$H$2:$I$4,2,FALSE())*VLOOKUP($J697,Lists!$K$2:$L$4,2,FALSE()))/VLOOKUP($K697,Lists!$N$2:$O$6,2,FALSE()),2))</f>
        <v/>
      </c>
      <c r="M697" s="104" t="str">
        <f aca="false">IF($B697="","",IF($AC697&lt;&gt;"",$AC697,IF($H697="Critical","P0",IF(NOT(ISNUMBER($L697)),"",IF($L697&gt;=Lists!$AM$2,"P0",IF($L697&gt;=Lists!$AM$3,"P1",IF($L697&gt;=Lists!$AM$4,"P2","P3")))))))</f>
        <v/>
      </c>
      <c r="N697" s="102"/>
      <c r="O697" s="101"/>
      <c r="P697" s="102"/>
      <c r="Q697" s="105"/>
      <c r="R697" s="106" t="str">
        <f aca="true">IF($Q697="","", TODAY()-$Q697)</f>
        <v/>
      </c>
      <c r="S697" s="102"/>
      <c r="T697" s="105"/>
      <c r="U697" s="105"/>
      <c r="V697" s="101"/>
      <c r="W697" s="101"/>
      <c r="X697" s="101"/>
      <c r="Y697" s="96"/>
      <c r="Z697" s="96"/>
      <c r="AA697" s="96"/>
      <c r="AC697" s="102"/>
      <c r="AD697" s="107" t="str">
        <f aca="false">IF($B697="","",IF(ISNUMBER($T697),$T697,IF(OR(NOT(ISNUMBER($Q697)),$S697=""),"",IFERROR(IF(ISNUMBER(INDEX(Lists!$AJ$2:$AJ$7,MATCH($S697,Lists!$AI$2:$AI$7,0))),$Q697+INDEX(Lists!$AJ$2:$AJ$7,MATCH($S697,Lists!$AI$2:$AI$7,0)),""),""))))</f>
        <v/>
      </c>
      <c r="AE697" s="104" t="str">
        <f aca="true">IF($B697="","",IF(AND(ISNUMBER($AD697),N($AD697)&lt;TODAY(),$N697&lt;&gt;"Done",$N697&lt;&gt;"Won't Fix",$N697&lt;&gt;"Duplicate"),"Yes","No"))</f>
        <v/>
      </c>
      <c r="AF697" s="101"/>
      <c r="AG697" s="108" t="str">
        <f aca="false">IF($AF697="","",IFERROR(VLOOKUP($AF697,'Application Portfolio'!$A$2:$B$1000,2,FALSE()),"Unknown App ID"))</f>
        <v/>
      </c>
      <c r="AH697" s="108" t="str">
        <f aca="false">IF(OR($B697="",$AF697=""),"",IFERROR(VLOOKUP($AF697,'Application Portfolio'!$A$2:$AB$1000,28,FALSE()),""))</f>
        <v/>
      </c>
    </row>
    <row r="698" customFormat="false" ht="15.75" hidden="false" customHeight="true" outlineLevel="0" collapsed="false">
      <c r="A698" s="100"/>
      <c r="B698" s="101"/>
      <c r="C698" s="101"/>
      <c r="D698" s="101"/>
      <c r="E698" s="101"/>
      <c r="F698" s="102"/>
      <c r="G698" s="102"/>
      <c r="H698" s="102"/>
      <c r="I698" s="102"/>
      <c r="J698" s="102"/>
      <c r="K698" s="102"/>
      <c r="L698" s="103" t="str">
        <f aca="false">IF(OR($B698="", $H698="", $I698="", $J698="", $K698=""),"",ROUND((VLOOKUP($H698,Lists!$E$2:$F$5,2,FALSE())*VLOOKUP($I698,Lists!$H$2:$I$4,2,FALSE())*VLOOKUP($J698,Lists!$K$2:$L$4,2,FALSE()))/VLOOKUP($K698,Lists!$N$2:$O$6,2,FALSE()),2))</f>
        <v/>
      </c>
      <c r="M698" s="104" t="str">
        <f aca="false">IF($B698="","",IF($AC698&lt;&gt;"",$AC698,IF($H698="Critical","P0",IF(NOT(ISNUMBER($L698)),"",IF($L698&gt;=Lists!$AM$2,"P0",IF($L698&gt;=Lists!$AM$3,"P1",IF($L698&gt;=Lists!$AM$4,"P2","P3")))))))</f>
        <v/>
      </c>
      <c r="N698" s="102"/>
      <c r="O698" s="101"/>
      <c r="P698" s="102"/>
      <c r="Q698" s="105"/>
      <c r="R698" s="106" t="str">
        <f aca="true">IF($Q698="","", TODAY()-$Q698)</f>
        <v/>
      </c>
      <c r="S698" s="102"/>
      <c r="T698" s="105"/>
      <c r="U698" s="105"/>
      <c r="V698" s="101"/>
      <c r="W698" s="101"/>
      <c r="X698" s="101"/>
      <c r="Y698" s="96"/>
      <c r="Z698" s="96"/>
      <c r="AA698" s="96"/>
      <c r="AC698" s="102"/>
      <c r="AD698" s="107" t="str">
        <f aca="false">IF($B698="","",IF(ISNUMBER($T698),$T698,IF(OR(NOT(ISNUMBER($Q698)),$S698=""),"",IFERROR(IF(ISNUMBER(INDEX(Lists!$AJ$2:$AJ$7,MATCH($S698,Lists!$AI$2:$AI$7,0))),$Q698+INDEX(Lists!$AJ$2:$AJ$7,MATCH($S698,Lists!$AI$2:$AI$7,0)),""),""))))</f>
        <v/>
      </c>
      <c r="AE698" s="104" t="str">
        <f aca="true">IF($B698="","",IF(AND(ISNUMBER($AD698),N($AD698)&lt;TODAY(),$N698&lt;&gt;"Done",$N698&lt;&gt;"Won't Fix",$N698&lt;&gt;"Duplicate"),"Yes","No"))</f>
        <v/>
      </c>
      <c r="AF698" s="101"/>
      <c r="AG698" s="108" t="str">
        <f aca="false">IF($AF698="","",IFERROR(VLOOKUP($AF698,'Application Portfolio'!$A$2:$B$1000,2,FALSE()),"Unknown App ID"))</f>
        <v/>
      </c>
      <c r="AH698" s="108" t="str">
        <f aca="false">IF(OR($B698="",$AF698=""),"",IFERROR(VLOOKUP($AF698,'Application Portfolio'!$A$2:$AB$1000,28,FALSE()),""))</f>
        <v/>
      </c>
    </row>
    <row r="699" customFormat="false" ht="15.75" hidden="false" customHeight="true" outlineLevel="0" collapsed="false">
      <c r="A699" s="100"/>
      <c r="B699" s="101"/>
      <c r="C699" s="101"/>
      <c r="D699" s="101"/>
      <c r="E699" s="101"/>
      <c r="F699" s="102"/>
      <c r="G699" s="102"/>
      <c r="H699" s="102"/>
      <c r="I699" s="102"/>
      <c r="J699" s="102"/>
      <c r="K699" s="102"/>
      <c r="L699" s="103" t="str">
        <f aca="false">IF(OR($B699="", $H699="", $I699="", $J699="", $K699=""),"",ROUND((VLOOKUP($H699,Lists!$E$2:$F$5,2,FALSE())*VLOOKUP($I699,Lists!$H$2:$I$4,2,FALSE())*VLOOKUP($J699,Lists!$K$2:$L$4,2,FALSE()))/VLOOKUP($K699,Lists!$N$2:$O$6,2,FALSE()),2))</f>
        <v/>
      </c>
      <c r="M699" s="104" t="str">
        <f aca="false">IF($B699="","",IF($AC699&lt;&gt;"",$AC699,IF($H699="Critical","P0",IF(NOT(ISNUMBER($L699)),"",IF($L699&gt;=Lists!$AM$2,"P0",IF($L699&gt;=Lists!$AM$3,"P1",IF($L699&gt;=Lists!$AM$4,"P2","P3")))))))</f>
        <v/>
      </c>
      <c r="N699" s="102"/>
      <c r="O699" s="101"/>
      <c r="P699" s="102"/>
      <c r="Q699" s="105"/>
      <c r="R699" s="106" t="str">
        <f aca="true">IF($Q699="","", TODAY()-$Q699)</f>
        <v/>
      </c>
      <c r="S699" s="102"/>
      <c r="T699" s="105"/>
      <c r="U699" s="105"/>
      <c r="V699" s="101"/>
      <c r="W699" s="101"/>
      <c r="X699" s="101"/>
      <c r="Y699" s="96"/>
      <c r="Z699" s="96"/>
      <c r="AA699" s="96"/>
      <c r="AC699" s="102"/>
      <c r="AD699" s="107" t="str">
        <f aca="false">IF($B699="","",IF(ISNUMBER($T699),$T699,IF(OR(NOT(ISNUMBER($Q699)),$S699=""),"",IFERROR(IF(ISNUMBER(INDEX(Lists!$AJ$2:$AJ$7,MATCH($S699,Lists!$AI$2:$AI$7,0))),$Q699+INDEX(Lists!$AJ$2:$AJ$7,MATCH($S699,Lists!$AI$2:$AI$7,0)),""),""))))</f>
        <v/>
      </c>
      <c r="AE699" s="104" t="str">
        <f aca="true">IF($B699="","",IF(AND(ISNUMBER($AD699),N($AD699)&lt;TODAY(),$N699&lt;&gt;"Done",$N699&lt;&gt;"Won't Fix",$N699&lt;&gt;"Duplicate"),"Yes","No"))</f>
        <v/>
      </c>
      <c r="AF699" s="101"/>
      <c r="AG699" s="108" t="str">
        <f aca="false">IF($AF699="","",IFERROR(VLOOKUP($AF699,'Application Portfolio'!$A$2:$B$1000,2,FALSE()),"Unknown App ID"))</f>
        <v/>
      </c>
      <c r="AH699" s="108" t="str">
        <f aca="false">IF(OR($B699="",$AF699=""),"",IFERROR(VLOOKUP($AF699,'Application Portfolio'!$A$2:$AB$1000,28,FALSE()),""))</f>
        <v/>
      </c>
    </row>
    <row r="700" customFormat="false" ht="15.75" hidden="false" customHeight="true" outlineLevel="0" collapsed="false">
      <c r="A700" s="100"/>
      <c r="B700" s="101"/>
      <c r="C700" s="101"/>
      <c r="D700" s="101"/>
      <c r="E700" s="101"/>
      <c r="F700" s="102"/>
      <c r="G700" s="102"/>
      <c r="H700" s="102"/>
      <c r="I700" s="102"/>
      <c r="J700" s="102"/>
      <c r="K700" s="102"/>
      <c r="L700" s="103" t="str">
        <f aca="false">IF(OR($B700="", $H700="", $I700="", $J700="", $K700=""),"",ROUND((VLOOKUP($H700,Lists!$E$2:$F$5,2,FALSE())*VLOOKUP($I700,Lists!$H$2:$I$4,2,FALSE())*VLOOKUP($J700,Lists!$K$2:$L$4,2,FALSE()))/VLOOKUP($K700,Lists!$N$2:$O$6,2,FALSE()),2))</f>
        <v/>
      </c>
      <c r="M700" s="104" t="str">
        <f aca="false">IF($B700="","",IF($AC700&lt;&gt;"",$AC700,IF($H700="Critical","P0",IF(NOT(ISNUMBER($L700)),"",IF($L700&gt;=Lists!$AM$2,"P0",IF($L700&gt;=Lists!$AM$3,"P1",IF($L700&gt;=Lists!$AM$4,"P2","P3")))))))</f>
        <v/>
      </c>
      <c r="N700" s="102"/>
      <c r="O700" s="101"/>
      <c r="P700" s="102"/>
      <c r="Q700" s="105"/>
      <c r="R700" s="106" t="str">
        <f aca="true">IF($Q700="","", TODAY()-$Q700)</f>
        <v/>
      </c>
      <c r="S700" s="102"/>
      <c r="T700" s="105"/>
      <c r="U700" s="105"/>
      <c r="V700" s="101"/>
      <c r="W700" s="101"/>
      <c r="X700" s="101"/>
      <c r="Y700" s="96"/>
      <c r="Z700" s="96"/>
      <c r="AA700" s="96"/>
      <c r="AC700" s="102"/>
      <c r="AD700" s="107" t="str">
        <f aca="false">IF($B700="","",IF(ISNUMBER($T700),$T700,IF(OR(NOT(ISNUMBER($Q700)),$S700=""),"",IFERROR(IF(ISNUMBER(INDEX(Lists!$AJ$2:$AJ$7,MATCH($S700,Lists!$AI$2:$AI$7,0))),$Q700+INDEX(Lists!$AJ$2:$AJ$7,MATCH($S700,Lists!$AI$2:$AI$7,0)),""),""))))</f>
        <v/>
      </c>
      <c r="AE700" s="104" t="str">
        <f aca="true">IF($B700="","",IF(AND(ISNUMBER($AD700),N($AD700)&lt;TODAY(),$N700&lt;&gt;"Done",$N700&lt;&gt;"Won't Fix",$N700&lt;&gt;"Duplicate"),"Yes","No"))</f>
        <v/>
      </c>
      <c r="AF700" s="101"/>
      <c r="AG700" s="108" t="str">
        <f aca="false">IF($AF700="","",IFERROR(VLOOKUP($AF700,'Application Portfolio'!$A$2:$B$1000,2,FALSE()),"Unknown App ID"))</f>
        <v/>
      </c>
      <c r="AH700" s="108" t="str">
        <f aca="false">IF(OR($B700="",$AF700=""),"",IFERROR(VLOOKUP($AF700,'Application Portfolio'!$A$2:$AB$1000,28,FALSE()),""))</f>
        <v/>
      </c>
    </row>
    <row r="701" customFormat="false" ht="15.75" hidden="false" customHeight="true" outlineLevel="0" collapsed="false">
      <c r="A701" s="100"/>
      <c r="B701" s="101"/>
      <c r="C701" s="101"/>
      <c r="D701" s="101"/>
      <c r="E701" s="101"/>
      <c r="F701" s="102"/>
      <c r="G701" s="102"/>
      <c r="H701" s="102"/>
      <c r="I701" s="102"/>
      <c r="J701" s="102"/>
      <c r="K701" s="102"/>
      <c r="L701" s="103" t="str">
        <f aca="false">IF(OR($B701="", $H701="", $I701="", $J701="", $K701=""),"",ROUND((VLOOKUP($H701,Lists!$E$2:$F$5,2,FALSE())*VLOOKUP($I701,Lists!$H$2:$I$4,2,FALSE())*VLOOKUP($J701,Lists!$K$2:$L$4,2,FALSE()))/VLOOKUP($K701,Lists!$N$2:$O$6,2,FALSE()),2))</f>
        <v/>
      </c>
      <c r="M701" s="104" t="str">
        <f aca="false">IF($B701="","",IF($AC701&lt;&gt;"",$AC701,IF($H701="Critical","P0",IF(NOT(ISNUMBER($L701)),"",IF($L701&gt;=Lists!$AM$2,"P0",IF($L701&gt;=Lists!$AM$3,"P1",IF($L701&gt;=Lists!$AM$4,"P2","P3")))))))</f>
        <v/>
      </c>
      <c r="N701" s="102"/>
      <c r="O701" s="101"/>
      <c r="P701" s="102"/>
      <c r="Q701" s="105"/>
      <c r="R701" s="106" t="str">
        <f aca="true">IF($Q701="","", TODAY()-$Q701)</f>
        <v/>
      </c>
      <c r="S701" s="102"/>
      <c r="T701" s="105"/>
      <c r="U701" s="105"/>
      <c r="V701" s="101"/>
      <c r="W701" s="101"/>
      <c r="X701" s="101"/>
      <c r="Y701" s="96"/>
      <c r="Z701" s="96"/>
      <c r="AA701" s="96"/>
      <c r="AC701" s="102"/>
      <c r="AD701" s="107" t="str">
        <f aca="false">IF($B701="","",IF(ISNUMBER($T701),$T701,IF(OR(NOT(ISNUMBER($Q701)),$S701=""),"",IFERROR(IF(ISNUMBER(INDEX(Lists!$AJ$2:$AJ$7,MATCH($S701,Lists!$AI$2:$AI$7,0))),$Q701+INDEX(Lists!$AJ$2:$AJ$7,MATCH($S701,Lists!$AI$2:$AI$7,0)),""),""))))</f>
        <v/>
      </c>
      <c r="AE701" s="104" t="str">
        <f aca="true">IF($B701="","",IF(AND(ISNUMBER($AD701),N($AD701)&lt;TODAY(),$N701&lt;&gt;"Done",$N701&lt;&gt;"Won't Fix",$N701&lt;&gt;"Duplicate"),"Yes","No"))</f>
        <v/>
      </c>
      <c r="AF701" s="101"/>
      <c r="AG701" s="108" t="str">
        <f aca="false">IF($AF701="","",IFERROR(VLOOKUP($AF701,'Application Portfolio'!$A$2:$B$1000,2,FALSE()),"Unknown App ID"))</f>
        <v/>
      </c>
      <c r="AH701" s="108" t="str">
        <f aca="false">IF(OR($B701="",$AF701=""),"",IFERROR(VLOOKUP($AF701,'Application Portfolio'!$A$2:$AB$1000,28,FALSE()),""))</f>
        <v/>
      </c>
    </row>
    <row r="702" customFormat="false" ht="15.75" hidden="false" customHeight="true" outlineLevel="0" collapsed="false">
      <c r="A702" s="100"/>
      <c r="B702" s="101"/>
      <c r="C702" s="101"/>
      <c r="D702" s="101"/>
      <c r="E702" s="101"/>
      <c r="F702" s="102"/>
      <c r="G702" s="102"/>
      <c r="H702" s="102"/>
      <c r="I702" s="102"/>
      <c r="J702" s="102"/>
      <c r="K702" s="102"/>
      <c r="L702" s="103" t="str">
        <f aca="false">IF(OR($B702="", $H702="", $I702="", $J702="", $K702=""),"",ROUND((VLOOKUP($H702,Lists!$E$2:$F$5,2,FALSE())*VLOOKUP($I702,Lists!$H$2:$I$4,2,FALSE())*VLOOKUP($J702,Lists!$K$2:$L$4,2,FALSE()))/VLOOKUP($K702,Lists!$N$2:$O$6,2,FALSE()),2))</f>
        <v/>
      </c>
      <c r="M702" s="104" t="str">
        <f aca="false">IF($B702="","",IF($AC702&lt;&gt;"",$AC702,IF($H702="Critical","P0",IF(NOT(ISNUMBER($L702)),"",IF($L702&gt;=Lists!$AM$2,"P0",IF($L702&gt;=Lists!$AM$3,"P1",IF($L702&gt;=Lists!$AM$4,"P2","P3")))))))</f>
        <v/>
      </c>
      <c r="N702" s="102"/>
      <c r="O702" s="101"/>
      <c r="P702" s="102"/>
      <c r="Q702" s="105"/>
      <c r="R702" s="106" t="str">
        <f aca="true">IF($Q702="","", TODAY()-$Q702)</f>
        <v/>
      </c>
      <c r="S702" s="102"/>
      <c r="T702" s="105"/>
      <c r="U702" s="105"/>
      <c r="V702" s="101"/>
      <c r="W702" s="101"/>
      <c r="X702" s="101"/>
      <c r="Y702" s="96"/>
      <c r="Z702" s="96"/>
      <c r="AA702" s="96"/>
      <c r="AC702" s="102"/>
      <c r="AD702" s="107" t="str">
        <f aca="false">IF($B702="","",IF(ISNUMBER($T702),$T702,IF(OR(NOT(ISNUMBER($Q702)),$S702=""),"",IFERROR(IF(ISNUMBER(INDEX(Lists!$AJ$2:$AJ$7,MATCH($S702,Lists!$AI$2:$AI$7,0))),$Q702+INDEX(Lists!$AJ$2:$AJ$7,MATCH($S702,Lists!$AI$2:$AI$7,0)),""),""))))</f>
        <v/>
      </c>
      <c r="AE702" s="104" t="str">
        <f aca="true">IF($B702="","",IF(AND(ISNUMBER($AD702),N($AD702)&lt;TODAY(),$N702&lt;&gt;"Done",$N702&lt;&gt;"Won't Fix",$N702&lt;&gt;"Duplicate"),"Yes","No"))</f>
        <v/>
      </c>
      <c r="AF702" s="101"/>
      <c r="AG702" s="108" t="str">
        <f aca="false">IF($AF702="","",IFERROR(VLOOKUP($AF702,'Application Portfolio'!$A$2:$B$1000,2,FALSE()),"Unknown App ID"))</f>
        <v/>
      </c>
      <c r="AH702" s="108" t="str">
        <f aca="false">IF(OR($B702="",$AF702=""),"",IFERROR(VLOOKUP($AF702,'Application Portfolio'!$A$2:$AB$1000,28,FALSE()),""))</f>
        <v/>
      </c>
    </row>
    <row r="703" customFormat="false" ht="15.75" hidden="false" customHeight="true" outlineLevel="0" collapsed="false">
      <c r="A703" s="100"/>
      <c r="B703" s="101"/>
      <c r="C703" s="101"/>
      <c r="D703" s="101"/>
      <c r="E703" s="101"/>
      <c r="F703" s="102"/>
      <c r="G703" s="102"/>
      <c r="H703" s="102"/>
      <c r="I703" s="102"/>
      <c r="J703" s="102"/>
      <c r="K703" s="102"/>
      <c r="L703" s="103" t="str">
        <f aca="false">IF(OR($B703="", $H703="", $I703="", $J703="", $K703=""),"",ROUND((VLOOKUP($H703,Lists!$E$2:$F$5,2,FALSE())*VLOOKUP($I703,Lists!$H$2:$I$4,2,FALSE())*VLOOKUP($J703,Lists!$K$2:$L$4,2,FALSE()))/VLOOKUP($K703,Lists!$N$2:$O$6,2,FALSE()),2))</f>
        <v/>
      </c>
      <c r="M703" s="104" t="str">
        <f aca="false">IF($B703="","",IF($AC703&lt;&gt;"",$AC703,IF($H703="Critical","P0",IF(NOT(ISNUMBER($L703)),"",IF($L703&gt;=Lists!$AM$2,"P0",IF($L703&gt;=Lists!$AM$3,"P1",IF($L703&gt;=Lists!$AM$4,"P2","P3")))))))</f>
        <v/>
      </c>
      <c r="N703" s="102"/>
      <c r="O703" s="101"/>
      <c r="P703" s="102"/>
      <c r="Q703" s="105"/>
      <c r="R703" s="106" t="str">
        <f aca="true">IF($Q703="","", TODAY()-$Q703)</f>
        <v/>
      </c>
      <c r="S703" s="102"/>
      <c r="T703" s="105"/>
      <c r="U703" s="105"/>
      <c r="V703" s="101"/>
      <c r="W703" s="101"/>
      <c r="X703" s="101"/>
      <c r="Y703" s="96"/>
      <c r="Z703" s="96"/>
      <c r="AA703" s="96"/>
      <c r="AC703" s="102"/>
      <c r="AD703" s="107" t="str">
        <f aca="false">IF($B703="","",IF(ISNUMBER($T703),$T703,IF(OR(NOT(ISNUMBER($Q703)),$S703=""),"",IFERROR(IF(ISNUMBER(INDEX(Lists!$AJ$2:$AJ$7,MATCH($S703,Lists!$AI$2:$AI$7,0))),$Q703+INDEX(Lists!$AJ$2:$AJ$7,MATCH($S703,Lists!$AI$2:$AI$7,0)),""),""))))</f>
        <v/>
      </c>
      <c r="AE703" s="104" t="str">
        <f aca="true">IF($B703="","",IF(AND(ISNUMBER($AD703),N($AD703)&lt;TODAY(),$N703&lt;&gt;"Done",$N703&lt;&gt;"Won't Fix",$N703&lt;&gt;"Duplicate"),"Yes","No"))</f>
        <v/>
      </c>
      <c r="AF703" s="101"/>
      <c r="AG703" s="108" t="str">
        <f aca="false">IF($AF703="","",IFERROR(VLOOKUP($AF703,'Application Portfolio'!$A$2:$B$1000,2,FALSE()),"Unknown App ID"))</f>
        <v/>
      </c>
      <c r="AH703" s="108" t="str">
        <f aca="false">IF(OR($B703="",$AF703=""),"",IFERROR(VLOOKUP($AF703,'Application Portfolio'!$A$2:$AB$1000,28,FALSE()),""))</f>
        <v/>
      </c>
    </row>
    <row r="704" customFormat="false" ht="15.75" hidden="false" customHeight="true" outlineLevel="0" collapsed="false">
      <c r="A704" s="100"/>
      <c r="B704" s="101"/>
      <c r="C704" s="101"/>
      <c r="D704" s="101"/>
      <c r="E704" s="101"/>
      <c r="F704" s="102"/>
      <c r="G704" s="102"/>
      <c r="H704" s="102"/>
      <c r="I704" s="102"/>
      <c r="J704" s="102"/>
      <c r="K704" s="102"/>
      <c r="L704" s="103" t="str">
        <f aca="false">IF(OR($B704="", $H704="", $I704="", $J704="", $K704=""),"",ROUND((VLOOKUP($H704,Lists!$E$2:$F$5,2,FALSE())*VLOOKUP($I704,Lists!$H$2:$I$4,2,FALSE())*VLOOKUP($J704,Lists!$K$2:$L$4,2,FALSE()))/VLOOKUP($K704,Lists!$N$2:$O$6,2,FALSE()),2))</f>
        <v/>
      </c>
      <c r="M704" s="104" t="str">
        <f aca="false">IF($B704="","",IF($AC704&lt;&gt;"",$AC704,IF($H704="Critical","P0",IF(NOT(ISNUMBER($L704)),"",IF($L704&gt;=Lists!$AM$2,"P0",IF($L704&gt;=Lists!$AM$3,"P1",IF($L704&gt;=Lists!$AM$4,"P2","P3")))))))</f>
        <v/>
      </c>
      <c r="N704" s="102"/>
      <c r="O704" s="101"/>
      <c r="P704" s="102"/>
      <c r="Q704" s="105"/>
      <c r="R704" s="106" t="str">
        <f aca="true">IF($Q704="","", TODAY()-$Q704)</f>
        <v/>
      </c>
      <c r="S704" s="102"/>
      <c r="T704" s="105"/>
      <c r="U704" s="105"/>
      <c r="V704" s="101"/>
      <c r="W704" s="101"/>
      <c r="X704" s="101"/>
      <c r="Y704" s="96"/>
      <c r="Z704" s="96"/>
      <c r="AA704" s="96"/>
      <c r="AC704" s="102"/>
      <c r="AD704" s="107" t="str">
        <f aca="false">IF($B704="","",IF(ISNUMBER($T704),$T704,IF(OR(NOT(ISNUMBER($Q704)),$S704=""),"",IFERROR(IF(ISNUMBER(INDEX(Lists!$AJ$2:$AJ$7,MATCH($S704,Lists!$AI$2:$AI$7,0))),$Q704+INDEX(Lists!$AJ$2:$AJ$7,MATCH($S704,Lists!$AI$2:$AI$7,0)),""),""))))</f>
        <v/>
      </c>
      <c r="AE704" s="104" t="str">
        <f aca="true">IF($B704="","",IF(AND(ISNUMBER($AD704),N($AD704)&lt;TODAY(),$N704&lt;&gt;"Done",$N704&lt;&gt;"Won't Fix",$N704&lt;&gt;"Duplicate"),"Yes","No"))</f>
        <v/>
      </c>
      <c r="AF704" s="101"/>
      <c r="AG704" s="108" t="str">
        <f aca="false">IF($AF704="","",IFERROR(VLOOKUP($AF704,'Application Portfolio'!$A$2:$B$1000,2,FALSE()),"Unknown App ID"))</f>
        <v/>
      </c>
      <c r="AH704" s="108" t="str">
        <f aca="false">IF(OR($B704="",$AF704=""),"",IFERROR(VLOOKUP($AF704,'Application Portfolio'!$A$2:$AB$1000,28,FALSE()),""))</f>
        <v/>
      </c>
    </row>
    <row r="705" customFormat="false" ht="15.75" hidden="false" customHeight="true" outlineLevel="0" collapsed="false">
      <c r="A705" s="100"/>
      <c r="B705" s="101"/>
      <c r="C705" s="101"/>
      <c r="D705" s="101"/>
      <c r="E705" s="101"/>
      <c r="F705" s="102"/>
      <c r="G705" s="102"/>
      <c r="H705" s="102"/>
      <c r="I705" s="102"/>
      <c r="J705" s="102"/>
      <c r="K705" s="102"/>
      <c r="L705" s="103" t="str">
        <f aca="false">IF(OR($B705="", $H705="", $I705="", $J705="", $K705=""),"",ROUND((VLOOKUP($H705,Lists!$E$2:$F$5,2,FALSE())*VLOOKUP($I705,Lists!$H$2:$I$4,2,FALSE())*VLOOKUP($J705,Lists!$K$2:$L$4,2,FALSE()))/VLOOKUP($K705,Lists!$N$2:$O$6,2,FALSE()),2))</f>
        <v/>
      </c>
      <c r="M705" s="104" t="str">
        <f aca="false">IF($B705="","",IF($AC705&lt;&gt;"",$AC705,IF($H705="Critical","P0",IF(NOT(ISNUMBER($L705)),"",IF($L705&gt;=Lists!$AM$2,"P0",IF($L705&gt;=Lists!$AM$3,"P1",IF($L705&gt;=Lists!$AM$4,"P2","P3")))))))</f>
        <v/>
      </c>
      <c r="N705" s="102"/>
      <c r="O705" s="101"/>
      <c r="P705" s="102"/>
      <c r="Q705" s="105"/>
      <c r="R705" s="106" t="str">
        <f aca="true">IF($Q705="","", TODAY()-$Q705)</f>
        <v/>
      </c>
      <c r="S705" s="102"/>
      <c r="T705" s="105"/>
      <c r="U705" s="105"/>
      <c r="V705" s="101"/>
      <c r="W705" s="101"/>
      <c r="X705" s="101"/>
      <c r="Y705" s="96"/>
      <c r="Z705" s="96"/>
      <c r="AA705" s="96"/>
      <c r="AC705" s="102"/>
      <c r="AD705" s="107" t="str">
        <f aca="false">IF($B705="","",IF(ISNUMBER($T705),$T705,IF(OR(NOT(ISNUMBER($Q705)),$S705=""),"",IFERROR(IF(ISNUMBER(INDEX(Lists!$AJ$2:$AJ$7,MATCH($S705,Lists!$AI$2:$AI$7,0))),$Q705+INDEX(Lists!$AJ$2:$AJ$7,MATCH($S705,Lists!$AI$2:$AI$7,0)),""),""))))</f>
        <v/>
      </c>
      <c r="AE705" s="104" t="str">
        <f aca="true">IF($B705="","",IF(AND(ISNUMBER($AD705),N($AD705)&lt;TODAY(),$N705&lt;&gt;"Done",$N705&lt;&gt;"Won't Fix",$N705&lt;&gt;"Duplicate"),"Yes","No"))</f>
        <v/>
      </c>
      <c r="AF705" s="101"/>
      <c r="AG705" s="108" t="str">
        <f aca="false">IF($AF705="","",IFERROR(VLOOKUP($AF705,'Application Portfolio'!$A$2:$B$1000,2,FALSE()),"Unknown App ID"))</f>
        <v/>
      </c>
      <c r="AH705" s="108" t="str">
        <f aca="false">IF(OR($B705="",$AF705=""),"",IFERROR(VLOOKUP($AF705,'Application Portfolio'!$A$2:$AB$1000,28,FALSE()),""))</f>
        <v/>
      </c>
    </row>
    <row r="706" customFormat="false" ht="15.75" hidden="false" customHeight="true" outlineLevel="0" collapsed="false">
      <c r="A706" s="100"/>
      <c r="B706" s="101"/>
      <c r="C706" s="101"/>
      <c r="D706" s="101"/>
      <c r="E706" s="101"/>
      <c r="F706" s="102"/>
      <c r="G706" s="102"/>
      <c r="H706" s="102"/>
      <c r="I706" s="102"/>
      <c r="J706" s="102"/>
      <c r="K706" s="102"/>
      <c r="L706" s="103" t="str">
        <f aca="false">IF(OR($B706="", $H706="", $I706="", $J706="", $K706=""),"",ROUND((VLOOKUP($H706,Lists!$E$2:$F$5,2,FALSE())*VLOOKUP($I706,Lists!$H$2:$I$4,2,FALSE())*VLOOKUP($J706,Lists!$K$2:$L$4,2,FALSE()))/VLOOKUP($K706,Lists!$N$2:$O$6,2,FALSE()),2))</f>
        <v/>
      </c>
      <c r="M706" s="104" t="str">
        <f aca="false">IF($B706="","",IF($AC706&lt;&gt;"",$AC706,IF($H706="Critical","P0",IF(NOT(ISNUMBER($L706)),"",IF($L706&gt;=Lists!$AM$2,"P0",IF($L706&gt;=Lists!$AM$3,"P1",IF($L706&gt;=Lists!$AM$4,"P2","P3")))))))</f>
        <v/>
      </c>
      <c r="N706" s="102"/>
      <c r="O706" s="101"/>
      <c r="P706" s="102"/>
      <c r="Q706" s="105"/>
      <c r="R706" s="106" t="str">
        <f aca="true">IF($Q706="","", TODAY()-$Q706)</f>
        <v/>
      </c>
      <c r="S706" s="102"/>
      <c r="T706" s="105"/>
      <c r="U706" s="105"/>
      <c r="V706" s="101"/>
      <c r="W706" s="101"/>
      <c r="X706" s="101"/>
      <c r="Y706" s="96"/>
      <c r="Z706" s="96"/>
      <c r="AA706" s="96"/>
      <c r="AC706" s="102"/>
      <c r="AD706" s="107" t="str">
        <f aca="false">IF($B706="","",IF(ISNUMBER($T706),$T706,IF(OR(NOT(ISNUMBER($Q706)),$S706=""),"",IFERROR(IF(ISNUMBER(INDEX(Lists!$AJ$2:$AJ$7,MATCH($S706,Lists!$AI$2:$AI$7,0))),$Q706+INDEX(Lists!$AJ$2:$AJ$7,MATCH($S706,Lists!$AI$2:$AI$7,0)),""),""))))</f>
        <v/>
      </c>
      <c r="AE706" s="104" t="str">
        <f aca="true">IF($B706="","",IF(AND(ISNUMBER($AD706),N($AD706)&lt;TODAY(),$N706&lt;&gt;"Done",$N706&lt;&gt;"Won't Fix",$N706&lt;&gt;"Duplicate"),"Yes","No"))</f>
        <v/>
      </c>
      <c r="AF706" s="101"/>
      <c r="AG706" s="108" t="str">
        <f aca="false">IF($AF706="","",IFERROR(VLOOKUP($AF706,'Application Portfolio'!$A$2:$B$1000,2,FALSE()),"Unknown App ID"))</f>
        <v/>
      </c>
      <c r="AH706" s="108" t="str">
        <f aca="false">IF(OR($B706="",$AF706=""),"",IFERROR(VLOOKUP($AF706,'Application Portfolio'!$A$2:$AB$1000,28,FALSE()),""))</f>
        <v/>
      </c>
    </row>
    <row r="707" customFormat="false" ht="15.75" hidden="false" customHeight="true" outlineLevel="0" collapsed="false">
      <c r="A707" s="100"/>
      <c r="B707" s="101"/>
      <c r="C707" s="101"/>
      <c r="D707" s="101"/>
      <c r="E707" s="101"/>
      <c r="F707" s="102"/>
      <c r="G707" s="102"/>
      <c r="H707" s="102"/>
      <c r="I707" s="102"/>
      <c r="J707" s="102"/>
      <c r="K707" s="102"/>
      <c r="L707" s="103" t="str">
        <f aca="false">IF(OR($B707="", $H707="", $I707="", $J707="", $K707=""),"",ROUND((VLOOKUP($H707,Lists!$E$2:$F$5,2,FALSE())*VLOOKUP($I707,Lists!$H$2:$I$4,2,FALSE())*VLOOKUP($J707,Lists!$K$2:$L$4,2,FALSE()))/VLOOKUP($K707,Lists!$N$2:$O$6,2,FALSE()),2))</f>
        <v/>
      </c>
      <c r="M707" s="104" t="str">
        <f aca="false">IF($B707="","",IF($AC707&lt;&gt;"",$AC707,IF($H707="Critical","P0",IF(NOT(ISNUMBER($L707)),"",IF($L707&gt;=Lists!$AM$2,"P0",IF($L707&gt;=Lists!$AM$3,"P1",IF($L707&gt;=Lists!$AM$4,"P2","P3")))))))</f>
        <v/>
      </c>
      <c r="N707" s="102"/>
      <c r="O707" s="101"/>
      <c r="P707" s="102"/>
      <c r="Q707" s="105"/>
      <c r="R707" s="106" t="str">
        <f aca="true">IF($Q707="","", TODAY()-$Q707)</f>
        <v/>
      </c>
      <c r="S707" s="102"/>
      <c r="T707" s="105"/>
      <c r="U707" s="105"/>
      <c r="V707" s="101"/>
      <c r="W707" s="101"/>
      <c r="X707" s="101"/>
      <c r="Y707" s="96"/>
      <c r="Z707" s="96"/>
      <c r="AA707" s="96"/>
      <c r="AC707" s="102"/>
      <c r="AD707" s="107" t="str">
        <f aca="false">IF($B707="","",IF(ISNUMBER($T707),$T707,IF(OR(NOT(ISNUMBER($Q707)),$S707=""),"",IFERROR(IF(ISNUMBER(INDEX(Lists!$AJ$2:$AJ$7,MATCH($S707,Lists!$AI$2:$AI$7,0))),$Q707+INDEX(Lists!$AJ$2:$AJ$7,MATCH($S707,Lists!$AI$2:$AI$7,0)),""),""))))</f>
        <v/>
      </c>
      <c r="AE707" s="104" t="str">
        <f aca="true">IF($B707="","",IF(AND(ISNUMBER($AD707),N($AD707)&lt;TODAY(),$N707&lt;&gt;"Done",$N707&lt;&gt;"Won't Fix",$N707&lt;&gt;"Duplicate"),"Yes","No"))</f>
        <v/>
      </c>
      <c r="AF707" s="101"/>
      <c r="AG707" s="108" t="str">
        <f aca="false">IF($AF707="","",IFERROR(VLOOKUP($AF707,'Application Portfolio'!$A$2:$B$1000,2,FALSE()),"Unknown App ID"))</f>
        <v/>
      </c>
      <c r="AH707" s="108" t="str">
        <f aca="false">IF(OR($B707="",$AF707=""),"",IFERROR(VLOOKUP($AF707,'Application Portfolio'!$A$2:$AB$1000,28,FALSE()),""))</f>
        <v/>
      </c>
    </row>
    <row r="708" customFormat="false" ht="15.75" hidden="false" customHeight="true" outlineLevel="0" collapsed="false">
      <c r="A708" s="100"/>
      <c r="B708" s="101"/>
      <c r="C708" s="101"/>
      <c r="D708" s="101"/>
      <c r="E708" s="101"/>
      <c r="F708" s="102"/>
      <c r="G708" s="102"/>
      <c r="H708" s="102"/>
      <c r="I708" s="102"/>
      <c r="J708" s="102"/>
      <c r="K708" s="102"/>
      <c r="L708" s="103" t="str">
        <f aca="false">IF(OR($B708="", $H708="", $I708="", $J708="", $K708=""),"",ROUND((VLOOKUP($H708,Lists!$E$2:$F$5,2,FALSE())*VLOOKUP($I708,Lists!$H$2:$I$4,2,FALSE())*VLOOKUP($J708,Lists!$K$2:$L$4,2,FALSE()))/VLOOKUP($K708,Lists!$N$2:$O$6,2,FALSE()),2))</f>
        <v/>
      </c>
      <c r="M708" s="104" t="str">
        <f aca="false">IF($B708="","",IF($AC708&lt;&gt;"",$AC708,IF($H708="Critical","P0",IF(NOT(ISNUMBER($L708)),"",IF($L708&gt;=Lists!$AM$2,"P0",IF($L708&gt;=Lists!$AM$3,"P1",IF($L708&gt;=Lists!$AM$4,"P2","P3")))))))</f>
        <v/>
      </c>
      <c r="N708" s="102"/>
      <c r="O708" s="101"/>
      <c r="P708" s="102"/>
      <c r="Q708" s="105"/>
      <c r="R708" s="106" t="str">
        <f aca="true">IF($Q708="","", TODAY()-$Q708)</f>
        <v/>
      </c>
      <c r="S708" s="102"/>
      <c r="T708" s="105"/>
      <c r="U708" s="105"/>
      <c r="V708" s="101"/>
      <c r="W708" s="101"/>
      <c r="X708" s="101"/>
      <c r="Y708" s="96"/>
      <c r="Z708" s="96"/>
      <c r="AA708" s="96"/>
      <c r="AC708" s="102"/>
      <c r="AD708" s="107" t="str">
        <f aca="false">IF($B708="","",IF(ISNUMBER($T708),$T708,IF(OR(NOT(ISNUMBER($Q708)),$S708=""),"",IFERROR(IF(ISNUMBER(INDEX(Lists!$AJ$2:$AJ$7,MATCH($S708,Lists!$AI$2:$AI$7,0))),$Q708+INDEX(Lists!$AJ$2:$AJ$7,MATCH($S708,Lists!$AI$2:$AI$7,0)),""),""))))</f>
        <v/>
      </c>
      <c r="AE708" s="104" t="str">
        <f aca="true">IF($B708="","",IF(AND(ISNUMBER($AD708),N($AD708)&lt;TODAY(),$N708&lt;&gt;"Done",$N708&lt;&gt;"Won't Fix",$N708&lt;&gt;"Duplicate"),"Yes","No"))</f>
        <v/>
      </c>
      <c r="AF708" s="101"/>
      <c r="AG708" s="108" t="str">
        <f aca="false">IF($AF708="","",IFERROR(VLOOKUP($AF708,'Application Portfolio'!$A$2:$B$1000,2,FALSE()),"Unknown App ID"))</f>
        <v/>
      </c>
      <c r="AH708" s="108" t="str">
        <f aca="false">IF(OR($B708="",$AF708=""),"",IFERROR(VLOOKUP($AF708,'Application Portfolio'!$A$2:$AB$1000,28,FALSE()),""))</f>
        <v/>
      </c>
    </row>
    <row r="709" customFormat="false" ht="15.75" hidden="false" customHeight="true" outlineLevel="0" collapsed="false">
      <c r="A709" s="100"/>
      <c r="B709" s="101"/>
      <c r="C709" s="101"/>
      <c r="D709" s="101"/>
      <c r="E709" s="101"/>
      <c r="F709" s="102"/>
      <c r="G709" s="102"/>
      <c r="H709" s="102"/>
      <c r="I709" s="102"/>
      <c r="J709" s="102"/>
      <c r="K709" s="102"/>
      <c r="L709" s="103" t="str">
        <f aca="false">IF(OR($B709="", $H709="", $I709="", $J709="", $K709=""),"",ROUND((VLOOKUP($H709,Lists!$E$2:$F$5,2,FALSE())*VLOOKUP($I709,Lists!$H$2:$I$4,2,FALSE())*VLOOKUP($J709,Lists!$K$2:$L$4,2,FALSE()))/VLOOKUP($K709,Lists!$N$2:$O$6,2,FALSE()),2))</f>
        <v/>
      </c>
      <c r="M709" s="104" t="str">
        <f aca="false">IF($B709="","",IF($AC709&lt;&gt;"",$AC709,IF($H709="Critical","P0",IF(NOT(ISNUMBER($L709)),"",IF($L709&gt;=Lists!$AM$2,"P0",IF($L709&gt;=Lists!$AM$3,"P1",IF($L709&gt;=Lists!$AM$4,"P2","P3")))))))</f>
        <v/>
      </c>
      <c r="N709" s="102"/>
      <c r="O709" s="101"/>
      <c r="P709" s="102"/>
      <c r="Q709" s="105"/>
      <c r="R709" s="106" t="str">
        <f aca="true">IF($Q709="","", TODAY()-$Q709)</f>
        <v/>
      </c>
      <c r="S709" s="102"/>
      <c r="T709" s="105"/>
      <c r="U709" s="105"/>
      <c r="V709" s="101"/>
      <c r="W709" s="101"/>
      <c r="X709" s="101"/>
      <c r="Y709" s="96"/>
      <c r="Z709" s="96"/>
      <c r="AA709" s="96"/>
      <c r="AC709" s="102"/>
      <c r="AD709" s="107" t="str">
        <f aca="false">IF($B709="","",IF(ISNUMBER($T709),$T709,IF(OR(NOT(ISNUMBER($Q709)),$S709=""),"",IFERROR(IF(ISNUMBER(INDEX(Lists!$AJ$2:$AJ$7,MATCH($S709,Lists!$AI$2:$AI$7,0))),$Q709+INDEX(Lists!$AJ$2:$AJ$7,MATCH($S709,Lists!$AI$2:$AI$7,0)),""),""))))</f>
        <v/>
      </c>
      <c r="AE709" s="104" t="str">
        <f aca="true">IF($B709="","",IF(AND(ISNUMBER($AD709),N($AD709)&lt;TODAY(),$N709&lt;&gt;"Done",$N709&lt;&gt;"Won't Fix",$N709&lt;&gt;"Duplicate"),"Yes","No"))</f>
        <v/>
      </c>
      <c r="AF709" s="101"/>
      <c r="AG709" s="108" t="str">
        <f aca="false">IF($AF709="","",IFERROR(VLOOKUP($AF709,'Application Portfolio'!$A$2:$B$1000,2,FALSE()),"Unknown App ID"))</f>
        <v/>
      </c>
      <c r="AH709" s="108" t="str">
        <f aca="false">IF(OR($B709="",$AF709=""),"",IFERROR(VLOOKUP($AF709,'Application Portfolio'!$A$2:$AB$1000,28,FALSE()),""))</f>
        <v/>
      </c>
    </row>
    <row r="710" customFormat="false" ht="15.75" hidden="false" customHeight="true" outlineLevel="0" collapsed="false">
      <c r="A710" s="100"/>
      <c r="B710" s="101"/>
      <c r="C710" s="101"/>
      <c r="D710" s="101"/>
      <c r="E710" s="101"/>
      <c r="F710" s="102"/>
      <c r="G710" s="102"/>
      <c r="H710" s="102"/>
      <c r="I710" s="102"/>
      <c r="J710" s="102"/>
      <c r="K710" s="102"/>
      <c r="L710" s="103" t="str">
        <f aca="false">IF(OR($B710="", $H710="", $I710="", $J710="", $K710=""),"",ROUND((VLOOKUP($H710,Lists!$E$2:$F$5,2,FALSE())*VLOOKUP($I710,Lists!$H$2:$I$4,2,FALSE())*VLOOKUP($J710,Lists!$K$2:$L$4,2,FALSE()))/VLOOKUP($K710,Lists!$N$2:$O$6,2,FALSE()),2))</f>
        <v/>
      </c>
      <c r="M710" s="104" t="str">
        <f aca="false">IF($B710="","",IF($AC710&lt;&gt;"",$AC710,IF($H710="Critical","P0",IF(NOT(ISNUMBER($L710)),"",IF($L710&gt;=Lists!$AM$2,"P0",IF($L710&gt;=Lists!$AM$3,"P1",IF($L710&gt;=Lists!$AM$4,"P2","P3")))))))</f>
        <v/>
      </c>
      <c r="N710" s="102"/>
      <c r="O710" s="101"/>
      <c r="P710" s="102"/>
      <c r="Q710" s="105"/>
      <c r="R710" s="106" t="str">
        <f aca="true">IF($Q710="","", TODAY()-$Q710)</f>
        <v/>
      </c>
      <c r="S710" s="102"/>
      <c r="T710" s="105"/>
      <c r="U710" s="105"/>
      <c r="V710" s="101"/>
      <c r="W710" s="101"/>
      <c r="X710" s="101"/>
      <c r="Y710" s="96"/>
      <c r="Z710" s="96"/>
      <c r="AA710" s="96"/>
      <c r="AC710" s="102"/>
      <c r="AD710" s="107" t="str">
        <f aca="false">IF($B710="","",IF(ISNUMBER($T710),$T710,IF(OR(NOT(ISNUMBER($Q710)),$S710=""),"",IFERROR(IF(ISNUMBER(INDEX(Lists!$AJ$2:$AJ$7,MATCH($S710,Lists!$AI$2:$AI$7,0))),$Q710+INDEX(Lists!$AJ$2:$AJ$7,MATCH($S710,Lists!$AI$2:$AI$7,0)),""),""))))</f>
        <v/>
      </c>
      <c r="AE710" s="104" t="str">
        <f aca="true">IF($B710="","",IF(AND(ISNUMBER($AD710),N($AD710)&lt;TODAY(),$N710&lt;&gt;"Done",$N710&lt;&gt;"Won't Fix",$N710&lt;&gt;"Duplicate"),"Yes","No"))</f>
        <v/>
      </c>
      <c r="AF710" s="101"/>
      <c r="AG710" s="108" t="str">
        <f aca="false">IF($AF710="","",IFERROR(VLOOKUP($AF710,'Application Portfolio'!$A$2:$B$1000,2,FALSE()),"Unknown App ID"))</f>
        <v/>
      </c>
      <c r="AH710" s="108" t="str">
        <f aca="false">IF(OR($B710="",$AF710=""),"",IFERROR(VLOOKUP($AF710,'Application Portfolio'!$A$2:$AB$1000,28,FALSE()),""))</f>
        <v/>
      </c>
    </row>
    <row r="711" customFormat="false" ht="15.75" hidden="false" customHeight="true" outlineLevel="0" collapsed="false">
      <c r="A711" s="100"/>
      <c r="B711" s="101"/>
      <c r="C711" s="101"/>
      <c r="D711" s="101"/>
      <c r="E711" s="101"/>
      <c r="F711" s="102"/>
      <c r="G711" s="102"/>
      <c r="H711" s="102"/>
      <c r="I711" s="102"/>
      <c r="J711" s="102"/>
      <c r="K711" s="102"/>
      <c r="L711" s="103" t="str">
        <f aca="false">IF(OR($B711="", $H711="", $I711="", $J711="", $K711=""),"",ROUND((VLOOKUP($H711,Lists!$E$2:$F$5,2,FALSE())*VLOOKUP($I711,Lists!$H$2:$I$4,2,FALSE())*VLOOKUP($J711,Lists!$K$2:$L$4,2,FALSE()))/VLOOKUP($K711,Lists!$N$2:$O$6,2,FALSE()),2))</f>
        <v/>
      </c>
      <c r="M711" s="104" t="str">
        <f aca="false">IF($B711="","",IF($AC711&lt;&gt;"",$AC711,IF($H711="Critical","P0",IF(NOT(ISNUMBER($L711)),"",IF($L711&gt;=Lists!$AM$2,"P0",IF($L711&gt;=Lists!$AM$3,"P1",IF($L711&gt;=Lists!$AM$4,"P2","P3")))))))</f>
        <v/>
      </c>
      <c r="N711" s="102"/>
      <c r="O711" s="101"/>
      <c r="P711" s="102"/>
      <c r="Q711" s="105"/>
      <c r="R711" s="106" t="str">
        <f aca="true">IF($Q711="","", TODAY()-$Q711)</f>
        <v/>
      </c>
      <c r="S711" s="102"/>
      <c r="T711" s="105"/>
      <c r="U711" s="105"/>
      <c r="V711" s="101"/>
      <c r="W711" s="101"/>
      <c r="X711" s="101"/>
      <c r="Y711" s="96"/>
      <c r="Z711" s="96"/>
      <c r="AA711" s="96"/>
      <c r="AC711" s="102"/>
      <c r="AD711" s="107" t="str">
        <f aca="false">IF($B711="","",IF(ISNUMBER($T711),$T711,IF(OR(NOT(ISNUMBER($Q711)),$S711=""),"",IFERROR(IF(ISNUMBER(INDEX(Lists!$AJ$2:$AJ$7,MATCH($S711,Lists!$AI$2:$AI$7,0))),$Q711+INDEX(Lists!$AJ$2:$AJ$7,MATCH($S711,Lists!$AI$2:$AI$7,0)),""),""))))</f>
        <v/>
      </c>
      <c r="AE711" s="104" t="str">
        <f aca="true">IF($B711="","",IF(AND(ISNUMBER($AD711),N($AD711)&lt;TODAY(),$N711&lt;&gt;"Done",$N711&lt;&gt;"Won't Fix",$N711&lt;&gt;"Duplicate"),"Yes","No"))</f>
        <v/>
      </c>
      <c r="AF711" s="101"/>
      <c r="AG711" s="108" t="str">
        <f aca="false">IF($AF711="","",IFERROR(VLOOKUP($AF711,'Application Portfolio'!$A$2:$B$1000,2,FALSE()),"Unknown App ID"))</f>
        <v/>
      </c>
      <c r="AH711" s="108" t="str">
        <f aca="false">IF(OR($B711="",$AF711=""),"",IFERROR(VLOOKUP($AF711,'Application Portfolio'!$A$2:$AB$1000,28,FALSE()),""))</f>
        <v/>
      </c>
    </row>
    <row r="712" customFormat="false" ht="15.75" hidden="false" customHeight="true" outlineLevel="0" collapsed="false">
      <c r="A712" s="100"/>
      <c r="B712" s="101"/>
      <c r="C712" s="101"/>
      <c r="D712" s="101"/>
      <c r="E712" s="101"/>
      <c r="F712" s="102"/>
      <c r="G712" s="102"/>
      <c r="H712" s="102"/>
      <c r="I712" s="102"/>
      <c r="J712" s="102"/>
      <c r="K712" s="102"/>
      <c r="L712" s="103" t="str">
        <f aca="false">IF(OR($B712="", $H712="", $I712="", $J712="", $K712=""),"",ROUND((VLOOKUP($H712,Lists!$E$2:$F$5,2,FALSE())*VLOOKUP($I712,Lists!$H$2:$I$4,2,FALSE())*VLOOKUP($J712,Lists!$K$2:$L$4,2,FALSE()))/VLOOKUP($K712,Lists!$N$2:$O$6,2,FALSE()),2))</f>
        <v/>
      </c>
      <c r="M712" s="104" t="str">
        <f aca="false">IF($B712="","",IF($AC712&lt;&gt;"",$AC712,IF($H712="Critical","P0",IF(NOT(ISNUMBER($L712)),"",IF($L712&gt;=Lists!$AM$2,"P0",IF($L712&gt;=Lists!$AM$3,"P1",IF($L712&gt;=Lists!$AM$4,"P2","P3")))))))</f>
        <v/>
      </c>
      <c r="N712" s="102"/>
      <c r="O712" s="101"/>
      <c r="P712" s="102"/>
      <c r="Q712" s="105"/>
      <c r="R712" s="106" t="str">
        <f aca="true">IF($Q712="","", TODAY()-$Q712)</f>
        <v/>
      </c>
      <c r="S712" s="102"/>
      <c r="T712" s="105"/>
      <c r="U712" s="105"/>
      <c r="V712" s="101"/>
      <c r="W712" s="101"/>
      <c r="X712" s="101"/>
      <c r="Y712" s="96"/>
      <c r="Z712" s="96"/>
      <c r="AA712" s="96"/>
      <c r="AC712" s="102"/>
      <c r="AD712" s="107" t="str">
        <f aca="false">IF($B712="","",IF(ISNUMBER($T712),$T712,IF(OR(NOT(ISNUMBER($Q712)),$S712=""),"",IFERROR(IF(ISNUMBER(INDEX(Lists!$AJ$2:$AJ$7,MATCH($S712,Lists!$AI$2:$AI$7,0))),$Q712+INDEX(Lists!$AJ$2:$AJ$7,MATCH($S712,Lists!$AI$2:$AI$7,0)),""),""))))</f>
        <v/>
      </c>
      <c r="AE712" s="104" t="str">
        <f aca="true">IF($B712="","",IF(AND(ISNUMBER($AD712),N($AD712)&lt;TODAY(),$N712&lt;&gt;"Done",$N712&lt;&gt;"Won't Fix",$N712&lt;&gt;"Duplicate"),"Yes","No"))</f>
        <v/>
      </c>
      <c r="AF712" s="101"/>
      <c r="AG712" s="108" t="str">
        <f aca="false">IF($AF712="","",IFERROR(VLOOKUP($AF712,'Application Portfolio'!$A$2:$B$1000,2,FALSE()),"Unknown App ID"))</f>
        <v/>
      </c>
      <c r="AH712" s="108" t="str">
        <f aca="false">IF(OR($B712="",$AF712=""),"",IFERROR(VLOOKUP($AF712,'Application Portfolio'!$A$2:$AB$1000,28,FALSE()),""))</f>
        <v/>
      </c>
    </row>
    <row r="713" customFormat="false" ht="15.75" hidden="false" customHeight="true" outlineLevel="0" collapsed="false">
      <c r="A713" s="100"/>
      <c r="B713" s="101"/>
      <c r="C713" s="101"/>
      <c r="D713" s="101"/>
      <c r="E713" s="101"/>
      <c r="F713" s="102"/>
      <c r="G713" s="102"/>
      <c r="H713" s="102"/>
      <c r="I713" s="102"/>
      <c r="J713" s="102"/>
      <c r="K713" s="102"/>
      <c r="L713" s="103" t="str">
        <f aca="false">IF(OR($B713="", $H713="", $I713="", $J713="", $K713=""),"",ROUND((VLOOKUP($H713,Lists!$E$2:$F$5,2,FALSE())*VLOOKUP($I713,Lists!$H$2:$I$4,2,FALSE())*VLOOKUP($J713,Lists!$K$2:$L$4,2,FALSE()))/VLOOKUP($K713,Lists!$N$2:$O$6,2,FALSE()),2))</f>
        <v/>
      </c>
      <c r="M713" s="104" t="str">
        <f aca="false">IF($B713="","",IF($AC713&lt;&gt;"",$AC713,IF($H713="Critical","P0",IF(NOT(ISNUMBER($L713)),"",IF($L713&gt;=Lists!$AM$2,"P0",IF($L713&gt;=Lists!$AM$3,"P1",IF($L713&gt;=Lists!$AM$4,"P2","P3")))))))</f>
        <v/>
      </c>
      <c r="N713" s="102"/>
      <c r="O713" s="101"/>
      <c r="P713" s="102"/>
      <c r="Q713" s="105"/>
      <c r="R713" s="106" t="str">
        <f aca="true">IF($Q713="","", TODAY()-$Q713)</f>
        <v/>
      </c>
      <c r="S713" s="102"/>
      <c r="T713" s="105"/>
      <c r="U713" s="105"/>
      <c r="V713" s="101"/>
      <c r="W713" s="101"/>
      <c r="X713" s="101"/>
      <c r="Y713" s="96"/>
      <c r="Z713" s="96"/>
      <c r="AA713" s="96"/>
      <c r="AC713" s="102"/>
      <c r="AD713" s="107" t="str">
        <f aca="false">IF($B713="","",IF(ISNUMBER($T713),$T713,IF(OR(NOT(ISNUMBER($Q713)),$S713=""),"",IFERROR(IF(ISNUMBER(INDEX(Lists!$AJ$2:$AJ$7,MATCH($S713,Lists!$AI$2:$AI$7,0))),$Q713+INDEX(Lists!$AJ$2:$AJ$7,MATCH($S713,Lists!$AI$2:$AI$7,0)),""),""))))</f>
        <v/>
      </c>
      <c r="AE713" s="104" t="str">
        <f aca="true">IF($B713="","",IF(AND(ISNUMBER($AD713),N($AD713)&lt;TODAY(),$N713&lt;&gt;"Done",$N713&lt;&gt;"Won't Fix",$N713&lt;&gt;"Duplicate"),"Yes","No"))</f>
        <v/>
      </c>
      <c r="AF713" s="101"/>
      <c r="AG713" s="108" t="str">
        <f aca="false">IF($AF713="","",IFERROR(VLOOKUP($AF713,'Application Portfolio'!$A$2:$B$1000,2,FALSE()),"Unknown App ID"))</f>
        <v/>
      </c>
      <c r="AH713" s="108" t="str">
        <f aca="false">IF(OR($B713="",$AF713=""),"",IFERROR(VLOOKUP($AF713,'Application Portfolio'!$A$2:$AB$1000,28,FALSE()),""))</f>
        <v/>
      </c>
    </row>
    <row r="714" customFormat="false" ht="15.75" hidden="false" customHeight="true" outlineLevel="0" collapsed="false">
      <c r="A714" s="100"/>
      <c r="B714" s="101"/>
      <c r="C714" s="101"/>
      <c r="D714" s="101"/>
      <c r="E714" s="101"/>
      <c r="F714" s="102"/>
      <c r="G714" s="102"/>
      <c r="H714" s="102"/>
      <c r="I714" s="102"/>
      <c r="J714" s="102"/>
      <c r="K714" s="102"/>
      <c r="L714" s="103" t="str">
        <f aca="false">IF(OR($B714="", $H714="", $I714="", $J714="", $K714=""),"",ROUND((VLOOKUP($H714,Lists!$E$2:$F$5,2,FALSE())*VLOOKUP($I714,Lists!$H$2:$I$4,2,FALSE())*VLOOKUP($J714,Lists!$K$2:$L$4,2,FALSE()))/VLOOKUP($K714,Lists!$N$2:$O$6,2,FALSE()),2))</f>
        <v/>
      </c>
      <c r="M714" s="104" t="str">
        <f aca="false">IF($B714="","",IF($AC714&lt;&gt;"",$AC714,IF($H714="Critical","P0",IF(NOT(ISNUMBER($L714)),"",IF($L714&gt;=Lists!$AM$2,"P0",IF($L714&gt;=Lists!$AM$3,"P1",IF($L714&gt;=Lists!$AM$4,"P2","P3")))))))</f>
        <v/>
      </c>
      <c r="N714" s="102"/>
      <c r="O714" s="101"/>
      <c r="P714" s="102"/>
      <c r="Q714" s="105"/>
      <c r="R714" s="106" t="str">
        <f aca="true">IF($Q714="","", TODAY()-$Q714)</f>
        <v/>
      </c>
      <c r="S714" s="102"/>
      <c r="T714" s="105"/>
      <c r="U714" s="105"/>
      <c r="V714" s="101"/>
      <c r="W714" s="101"/>
      <c r="X714" s="101"/>
      <c r="Y714" s="96"/>
      <c r="Z714" s="96"/>
      <c r="AA714" s="96"/>
      <c r="AC714" s="102"/>
      <c r="AD714" s="107" t="str">
        <f aca="false">IF($B714="","",IF(ISNUMBER($T714),$T714,IF(OR(NOT(ISNUMBER($Q714)),$S714=""),"",IFERROR(IF(ISNUMBER(INDEX(Lists!$AJ$2:$AJ$7,MATCH($S714,Lists!$AI$2:$AI$7,0))),$Q714+INDEX(Lists!$AJ$2:$AJ$7,MATCH($S714,Lists!$AI$2:$AI$7,0)),""),""))))</f>
        <v/>
      </c>
      <c r="AE714" s="104" t="str">
        <f aca="true">IF($B714="","",IF(AND(ISNUMBER($AD714),N($AD714)&lt;TODAY(),$N714&lt;&gt;"Done",$N714&lt;&gt;"Won't Fix",$N714&lt;&gt;"Duplicate"),"Yes","No"))</f>
        <v/>
      </c>
      <c r="AF714" s="101"/>
      <c r="AG714" s="108" t="str">
        <f aca="false">IF($AF714="","",IFERROR(VLOOKUP($AF714,'Application Portfolio'!$A$2:$B$1000,2,FALSE()),"Unknown App ID"))</f>
        <v/>
      </c>
      <c r="AH714" s="108" t="str">
        <f aca="false">IF(OR($B714="",$AF714=""),"",IFERROR(VLOOKUP($AF714,'Application Portfolio'!$A$2:$AB$1000,28,FALSE()),""))</f>
        <v/>
      </c>
    </row>
    <row r="715" customFormat="false" ht="15.75" hidden="false" customHeight="true" outlineLevel="0" collapsed="false">
      <c r="A715" s="100"/>
      <c r="B715" s="101"/>
      <c r="C715" s="101"/>
      <c r="D715" s="101"/>
      <c r="E715" s="101"/>
      <c r="F715" s="102"/>
      <c r="G715" s="102"/>
      <c r="H715" s="102"/>
      <c r="I715" s="102"/>
      <c r="J715" s="102"/>
      <c r="K715" s="102"/>
      <c r="L715" s="103" t="str">
        <f aca="false">IF(OR($B715="", $H715="", $I715="", $J715="", $K715=""),"",ROUND((VLOOKUP($H715,Lists!$E$2:$F$5,2,FALSE())*VLOOKUP($I715,Lists!$H$2:$I$4,2,FALSE())*VLOOKUP($J715,Lists!$K$2:$L$4,2,FALSE()))/VLOOKUP($K715,Lists!$N$2:$O$6,2,FALSE()),2))</f>
        <v/>
      </c>
      <c r="M715" s="104" t="str">
        <f aca="false">IF($B715="","",IF($AC715&lt;&gt;"",$AC715,IF($H715="Critical","P0",IF(NOT(ISNUMBER($L715)),"",IF($L715&gt;=Lists!$AM$2,"P0",IF($L715&gt;=Lists!$AM$3,"P1",IF($L715&gt;=Lists!$AM$4,"P2","P3")))))))</f>
        <v/>
      </c>
      <c r="N715" s="102"/>
      <c r="O715" s="101"/>
      <c r="P715" s="102"/>
      <c r="Q715" s="105"/>
      <c r="R715" s="106" t="str">
        <f aca="true">IF($Q715="","", TODAY()-$Q715)</f>
        <v/>
      </c>
      <c r="S715" s="102"/>
      <c r="T715" s="105"/>
      <c r="U715" s="105"/>
      <c r="V715" s="101"/>
      <c r="W715" s="101"/>
      <c r="X715" s="101"/>
      <c r="Y715" s="96"/>
      <c r="Z715" s="96"/>
      <c r="AA715" s="96"/>
      <c r="AC715" s="102"/>
      <c r="AD715" s="107" t="str">
        <f aca="false">IF($B715="","",IF(ISNUMBER($T715),$T715,IF(OR(NOT(ISNUMBER($Q715)),$S715=""),"",IFERROR(IF(ISNUMBER(INDEX(Lists!$AJ$2:$AJ$7,MATCH($S715,Lists!$AI$2:$AI$7,0))),$Q715+INDEX(Lists!$AJ$2:$AJ$7,MATCH($S715,Lists!$AI$2:$AI$7,0)),""),""))))</f>
        <v/>
      </c>
      <c r="AE715" s="104" t="str">
        <f aca="true">IF($B715="","",IF(AND(ISNUMBER($AD715),N($AD715)&lt;TODAY(),$N715&lt;&gt;"Done",$N715&lt;&gt;"Won't Fix",$N715&lt;&gt;"Duplicate"),"Yes","No"))</f>
        <v/>
      </c>
      <c r="AF715" s="101"/>
      <c r="AG715" s="108" t="str">
        <f aca="false">IF($AF715="","",IFERROR(VLOOKUP($AF715,'Application Portfolio'!$A$2:$B$1000,2,FALSE()),"Unknown App ID"))</f>
        <v/>
      </c>
      <c r="AH715" s="108" t="str">
        <f aca="false">IF(OR($B715="",$AF715=""),"",IFERROR(VLOOKUP($AF715,'Application Portfolio'!$A$2:$AB$1000,28,FALSE()),""))</f>
        <v/>
      </c>
    </row>
    <row r="716" customFormat="false" ht="15.75" hidden="false" customHeight="true" outlineLevel="0" collapsed="false">
      <c r="A716" s="100"/>
      <c r="B716" s="101"/>
      <c r="C716" s="101"/>
      <c r="D716" s="101"/>
      <c r="E716" s="101"/>
      <c r="F716" s="102"/>
      <c r="G716" s="102"/>
      <c r="H716" s="102"/>
      <c r="I716" s="102"/>
      <c r="J716" s="102"/>
      <c r="K716" s="102"/>
      <c r="L716" s="103" t="str">
        <f aca="false">IF(OR($B716="", $H716="", $I716="", $J716="", $K716=""),"",ROUND((VLOOKUP($H716,Lists!$E$2:$F$5,2,FALSE())*VLOOKUP($I716,Lists!$H$2:$I$4,2,FALSE())*VLOOKUP($J716,Lists!$K$2:$L$4,2,FALSE()))/VLOOKUP($K716,Lists!$N$2:$O$6,2,FALSE()),2))</f>
        <v/>
      </c>
      <c r="M716" s="104" t="str">
        <f aca="false">IF($B716="","",IF($AC716&lt;&gt;"",$AC716,IF($H716="Critical","P0",IF(NOT(ISNUMBER($L716)),"",IF($L716&gt;=Lists!$AM$2,"P0",IF($L716&gt;=Lists!$AM$3,"P1",IF($L716&gt;=Lists!$AM$4,"P2","P3")))))))</f>
        <v/>
      </c>
      <c r="N716" s="102"/>
      <c r="O716" s="101"/>
      <c r="P716" s="102"/>
      <c r="Q716" s="105"/>
      <c r="R716" s="106" t="str">
        <f aca="true">IF($Q716="","", TODAY()-$Q716)</f>
        <v/>
      </c>
      <c r="S716" s="102"/>
      <c r="T716" s="105"/>
      <c r="U716" s="105"/>
      <c r="V716" s="101"/>
      <c r="W716" s="101"/>
      <c r="X716" s="101"/>
      <c r="Y716" s="96"/>
      <c r="Z716" s="96"/>
      <c r="AA716" s="96"/>
      <c r="AC716" s="102"/>
      <c r="AD716" s="107" t="str">
        <f aca="false">IF($B716="","",IF(ISNUMBER($T716),$T716,IF(OR(NOT(ISNUMBER($Q716)),$S716=""),"",IFERROR(IF(ISNUMBER(INDEX(Lists!$AJ$2:$AJ$7,MATCH($S716,Lists!$AI$2:$AI$7,0))),$Q716+INDEX(Lists!$AJ$2:$AJ$7,MATCH($S716,Lists!$AI$2:$AI$7,0)),""),""))))</f>
        <v/>
      </c>
      <c r="AE716" s="104" t="str">
        <f aca="true">IF($B716="","",IF(AND(ISNUMBER($AD716),N($AD716)&lt;TODAY(),$N716&lt;&gt;"Done",$N716&lt;&gt;"Won't Fix",$N716&lt;&gt;"Duplicate"),"Yes","No"))</f>
        <v/>
      </c>
      <c r="AF716" s="101"/>
      <c r="AG716" s="108" t="str">
        <f aca="false">IF($AF716="","",IFERROR(VLOOKUP($AF716,'Application Portfolio'!$A$2:$B$1000,2,FALSE()),"Unknown App ID"))</f>
        <v/>
      </c>
      <c r="AH716" s="108" t="str">
        <f aca="false">IF(OR($B716="",$AF716=""),"",IFERROR(VLOOKUP($AF716,'Application Portfolio'!$A$2:$AB$1000,28,FALSE()),""))</f>
        <v/>
      </c>
    </row>
    <row r="717" customFormat="false" ht="15.75" hidden="false" customHeight="true" outlineLevel="0" collapsed="false">
      <c r="A717" s="100"/>
      <c r="B717" s="101"/>
      <c r="C717" s="101"/>
      <c r="D717" s="101"/>
      <c r="E717" s="101"/>
      <c r="F717" s="102"/>
      <c r="G717" s="102"/>
      <c r="H717" s="102"/>
      <c r="I717" s="102"/>
      <c r="J717" s="102"/>
      <c r="K717" s="102"/>
      <c r="L717" s="103" t="str">
        <f aca="false">IF(OR($B717="", $H717="", $I717="", $J717="", $K717=""),"",ROUND((VLOOKUP($H717,Lists!$E$2:$F$5,2,FALSE())*VLOOKUP($I717,Lists!$H$2:$I$4,2,FALSE())*VLOOKUP($J717,Lists!$K$2:$L$4,2,FALSE()))/VLOOKUP($K717,Lists!$N$2:$O$6,2,FALSE()),2))</f>
        <v/>
      </c>
      <c r="M717" s="104" t="str">
        <f aca="false">IF($B717="","",IF($AC717&lt;&gt;"",$AC717,IF($H717="Critical","P0",IF(NOT(ISNUMBER($L717)),"",IF($L717&gt;=Lists!$AM$2,"P0",IF($L717&gt;=Lists!$AM$3,"P1",IF($L717&gt;=Lists!$AM$4,"P2","P3")))))))</f>
        <v/>
      </c>
      <c r="N717" s="102"/>
      <c r="O717" s="101"/>
      <c r="P717" s="102"/>
      <c r="Q717" s="105"/>
      <c r="R717" s="106" t="str">
        <f aca="true">IF($Q717="","", TODAY()-$Q717)</f>
        <v/>
      </c>
      <c r="S717" s="102"/>
      <c r="T717" s="105"/>
      <c r="U717" s="105"/>
      <c r="V717" s="101"/>
      <c r="W717" s="101"/>
      <c r="X717" s="101"/>
      <c r="Y717" s="96"/>
      <c r="Z717" s="96"/>
      <c r="AA717" s="96"/>
      <c r="AC717" s="102"/>
      <c r="AD717" s="107" t="str">
        <f aca="false">IF($B717="","",IF(ISNUMBER($T717),$T717,IF(OR(NOT(ISNUMBER($Q717)),$S717=""),"",IFERROR(IF(ISNUMBER(INDEX(Lists!$AJ$2:$AJ$7,MATCH($S717,Lists!$AI$2:$AI$7,0))),$Q717+INDEX(Lists!$AJ$2:$AJ$7,MATCH($S717,Lists!$AI$2:$AI$7,0)),""),""))))</f>
        <v/>
      </c>
      <c r="AE717" s="104" t="str">
        <f aca="true">IF($B717="","",IF(AND(ISNUMBER($AD717),N($AD717)&lt;TODAY(),$N717&lt;&gt;"Done",$N717&lt;&gt;"Won't Fix",$N717&lt;&gt;"Duplicate"),"Yes","No"))</f>
        <v/>
      </c>
      <c r="AF717" s="101"/>
      <c r="AG717" s="108" t="str">
        <f aca="false">IF($AF717="","",IFERROR(VLOOKUP($AF717,'Application Portfolio'!$A$2:$B$1000,2,FALSE()),"Unknown App ID"))</f>
        <v/>
      </c>
      <c r="AH717" s="108" t="str">
        <f aca="false">IF(OR($B717="",$AF717=""),"",IFERROR(VLOOKUP($AF717,'Application Portfolio'!$A$2:$AB$1000,28,FALSE()),""))</f>
        <v/>
      </c>
    </row>
    <row r="718" customFormat="false" ht="15.75" hidden="false" customHeight="true" outlineLevel="0" collapsed="false">
      <c r="A718" s="100"/>
      <c r="B718" s="101"/>
      <c r="C718" s="101"/>
      <c r="D718" s="101"/>
      <c r="E718" s="101"/>
      <c r="F718" s="102"/>
      <c r="G718" s="102"/>
      <c r="H718" s="102"/>
      <c r="I718" s="102"/>
      <c r="J718" s="102"/>
      <c r="K718" s="102"/>
      <c r="L718" s="103" t="str">
        <f aca="false">IF(OR($B718="", $H718="", $I718="", $J718="", $K718=""),"",ROUND((VLOOKUP($H718,Lists!$E$2:$F$5,2,FALSE())*VLOOKUP($I718,Lists!$H$2:$I$4,2,FALSE())*VLOOKUP($J718,Lists!$K$2:$L$4,2,FALSE()))/VLOOKUP($K718,Lists!$N$2:$O$6,2,FALSE()),2))</f>
        <v/>
      </c>
      <c r="M718" s="104" t="str">
        <f aca="false">IF($B718="","",IF($AC718&lt;&gt;"",$AC718,IF($H718="Critical","P0",IF(NOT(ISNUMBER($L718)),"",IF($L718&gt;=Lists!$AM$2,"P0",IF($L718&gt;=Lists!$AM$3,"P1",IF($L718&gt;=Lists!$AM$4,"P2","P3")))))))</f>
        <v/>
      </c>
      <c r="N718" s="102"/>
      <c r="O718" s="101"/>
      <c r="P718" s="102"/>
      <c r="Q718" s="105"/>
      <c r="R718" s="106" t="str">
        <f aca="true">IF($Q718="","", TODAY()-$Q718)</f>
        <v/>
      </c>
      <c r="S718" s="102"/>
      <c r="T718" s="105"/>
      <c r="U718" s="105"/>
      <c r="V718" s="101"/>
      <c r="W718" s="101"/>
      <c r="X718" s="101"/>
      <c r="Y718" s="96"/>
      <c r="Z718" s="96"/>
      <c r="AA718" s="96"/>
      <c r="AC718" s="102"/>
      <c r="AD718" s="107" t="str">
        <f aca="false">IF($B718="","",IF(ISNUMBER($T718),$T718,IF(OR(NOT(ISNUMBER($Q718)),$S718=""),"",IFERROR(IF(ISNUMBER(INDEX(Lists!$AJ$2:$AJ$7,MATCH($S718,Lists!$AI$2:$AI$7,0))),$Q718+INDEX(Lists!$AJ$2:$AJ$7,MATCH($S718,Lists!$AI$2:$AI$7,0)),""),""))))</f>
        <v/>
      </c>
      <c r="AE718" s="104" t="str">
        <f aca="true">IF($B718="","",IF(AND(ISNUMBER($AD718),N($AD718)&lt;TODAY(),$N718&lt;&gt;"Done",$N718&lt;&gt;"Won't Fix",$N718&lt;&gt;"Duplicate"),"Yes","No"))</f>
        <v/>
      </c>
      <c r="AF718" s="101"/>
      <c r="AG718" s="108" t="str">
        <f aca="false">IF($AF718="","",IFERROR(VLOOKUP($AF718,'Application Portfolio'!$A$2:$B$1000,2,FALSE()),"Unknown App ID"))</f>
        <v/>
      </c>
      <c r="AH718" s="108" t="str">
        <f aca="false">IF(OR($B718="",$AF718=""),"",IFERROR(VLOOKUP($AF718,'Application Portfolio'!$A$2:$AB$1000,28,FALSE()),""))</f>
        <v/>
      </c>
    </row>
    <row r="719" customFormat="false" ht="15.75" hidden="false" customHeight="true" outlineLevel="0" collapsed="false">
      <c r="A719" s="100"/>
      <c r="B719" s="101"/>
      <c r="C719" s="101"/>
      <c r="D719" s="101"/>
      <c r="E719" s="101"/>
      <c r="F719" s="102"/>
      <c r="G719" s="102"/>
      <c r="H719" s="102"/>
      <c r="I719" s="102"/>
      <c r="J719" s="102"/>
      <c r="K719" s="102"/>
      <c r="L719" s="103" t="str">
        <f aca="false">IF(OR($B719="", $H719="", $I719="", $J719="", $K719=""),"",ROUND((VLOOKUP($H719,Lists!$E$2:$F$5,2,FALSE())*VLOOKUP($I719,Lists!$H$2:$I$4,2,FALSE())*VLOOKUP($J719,Lists!$K$2:$L$4,2,FALSE()))/VLOOKUP($K719,Lists!$N$2:$O$6,2,FALSE()),2))</f>
        <v/>
      </c>
      <c r="M719" s="104" t="str">
        <f aca="false">IF($B719="","",IF($AC719&lt;&gt;"",$AC719,IF($H719="Critical","P0",IF(NOT(ISNUMBER($L719)),"",IF($L719&gt;=Lists!$AM$2,"P0",IF($L719&gt;=Lists!$AM$3,"P1",IF($L719&gt;=Lists!$AM$4,"P2","P3")))))))</f>
        <v/>
      </c>
      <c r="N719" s="102"/>
      <c r="O719" s="101"/>
      <c r="P719" s="102"/>
      <c r="Q719" s="105"/>
      <c r="R719" s="106" t="str">
        <f aca="true">IF($Q719="","", TODAY()-$Q719)</f>
        <v/>
      </c>
      <c r="S719" s="102"/>
      <c r="T719" s="105"/>
      <c r="U719" s="105"/>
      <c r="V719" s="101"/>
      <c r="W719" s="101"/>
      <c r="X719" s="101"/>
      <c r="Y719" s="96"/>
      <c r="Z719" s="96"/>
      <c r="AA719" s="96"/>
      <c r="AC719" s="102"/>
      <c r="AD719" s="107" t="str">
        <f aca="false">IF($B719="","",IF(ISNUMBER($T719),$T719,IF(OR(NOT(ISNUMBER($Q719)),$S719=""),"",IFERROR(IF(ISNUMBER(INDEX(Lists!$AJ$2:$AJ$7,MATCH($S719,Lists!$AI$2:$AI$7,0))),$Q719+INDEX(Lists!$AJ$2:$AJ$7,MATCH($S719,Lists!$AI$2:$AI$7,0)),""),""))))</f>
        <v/>
      </c>
      <c r="AE719" s="104" t="str">
        <f aca="true">IF($B719="","",IF(AND(ISNUMBER($AD719),N($AD719)&lt;TODAY(),$N719&lt;&gt;"Done",$N719&lt;&gt;"Won't Fix",$N719&lt;&gt;"Duplicate"),"Yes","No"))</f>
        <v/>
      </c>
      <c r="AF719" s="101"/>
      <c r="AG719" s="108" t="str">
        <f aca="false">IF($AF719="","",IFERROR(VLOOKUP($AF719,'Application Portfolio'!$A$2:$B$1000,2,FALSE()),"Unknown App ID"))</f>
        <v/>
      </c>
      <c r="AH719" s="108" t="str">
        <f aca="false">IF(OR($B719="",$AF719=""),"",IFERROR(VLOOKUP($AF719,'Application Portfolio'!$A$2:$AB$1000,28,FALSE()),""))</f>
        <v/>
      </c>
    </row>
    <row r="720" customFormat="false" ht="15.75" hidden="false" customHeight="true" outlineLevel="0" collapsed="false">
      <c r="A720" s="100"/>
      <c r="B720" s="101"/>
      <c r="C720" s="101"/>
      <c r="D720" s="101"/>
      <c r="E720" s="101"/>
      <c r="F720" s="102"/>
      <c r="G720" s="102"/>
      <c r="H720" s="102"/>
      <c r="I720" s="102"/>
      <c r="J720" s="102"/>
      <c r="K720" s="102"/>
      <c r="L720" s="103" t="str">
        <f aca="false">IF(OR($B720="", $H720="", $I720="", $J720="", $K720=""),"",ROUND((VLOOKUP($H720,Lists!$E$2:$F$5,2,FALSE())*VLOOKUP($I720,Lists!$H$2:$I$4,2,FALSE())*VLOOKUP($J720,Lists!$K$2:$L$4,2,FALSE()))/VLOOKUP($K720,Lists!$N$2:$O$6,2,FALSE()),2))</f>
        <v/>
      </c>
      <c r="M720" s="104" t="str">
        <f aca="false">IF($B720="","",IF($AC720&lt;&gt;"",$AC720,IF($H720="Critical","P0",IF(NOT(ISNUMBER($L720)),"",IF($L720&gt;=Lists!$AM$2,"P0",IF($L720&gt;=Lists!$AM$3,"P1",IF($L720&gt;=Lists!$AM$4,"P2","P3")))))))</f>
        <v/>
      </c>
      <c r="N720" s="102"/>
      <c r="O720" s="101"/>
      <c r="P720" s="102"/>
      <c r="Q720" s="105"/>
      <c r="R720" s="106" t="str">
        <f aca="true">IF($Q720="","", TODAY()-$Q720)</f>
        <v/>
      </c>
      <c r="S720" s="102"/>
      <c r="T720" s="105"/>
      <c r="U720" s="105"/>
      <c r="V720" s="101"/>
      <c r="W720" s="101"/>
      <c r="X720" s="101"/>
      <c r="Y720" s="96"/>
      <c r="Z720" s="96"/>
      <c r="AA720" s="96"/>
      <c r="AC720" s="102"/>
      <c r="AD720" s="107" t="str">
        <f aca="false">IF($B720="","",IF(ISNUMBER($T720),$T720,IF(OR(NOT(ISNUMBER($Q720)),$S720=""),"",IFERROR(IF(ISNUMBER(INDEX(Lists!$AJ$2:$AJ$7,MATCH($S720,Lists!$AI$2:$AI$7,0))),$Q720+INDEX(Lists!$AJ$2:$AJ$7,MATCH($S720,Lists!$AI$2:$AI$7,0)),""),""))))</f>
        <v/>
      </c>
      <c r="AE720" s="104" t="str">
        <f aca="true">IF($B720="","",IF(AND(ISNUMBER($AD720),N($AD720)&lt;TODAY(),$N720&lt;&gt;"Done",$N720&lt;&gt;"Won't Fix",$N720&lt;&gt;"Duplicate"),"Yes","No"))</f>
        <v/>
      </c>
      <c r="AF720" s="101"/>
      <c r="AG720" s="108" t="str">
        <f aca="false">IF($AF720="","",IFERROR(VLOOKUP($AF720,'Application Portfolio'!$A$2:$B$1000,2,FALSE()),"Unknown App ID"))</f>
        <v/>
      </c>
      <c r="AH720" s="108" t="str">
        <f aca="false">IF(OR($B720="",$AF720=""),"",IFERROR(VLOOKUP($AF720,'Application Portfolio'!$A$2:$AB$1000,28,FALSE()),""))</f>
        <v/>
      </c>
    </row>
    <row r="721" customFormat="false" ht="15.75" hidden="false" customHeight="true" outlineLevel="0" collapsed="false">
      <c r="A721" s="100"/>
      <c r="B721" s="101"/>
      <c r="C721" s="101"/>
      <c r="D721" s="101"/>
      <c r="E721" s="101"/>
      <c r="F721" s="102"/>
      <c r="G721" s="102"/>
      <c r="H721" s="102"/>
      <c r="I721" s="102"/>
      <c r="J721" s="102"/>
      <c r="K721" s="102"/>
      <c r="L721" s="103" t="str">
        <f aca="false">IF(OR($B721="", $H721="", $I721="", $J721="", $K721=""),"",ROUND((VLOOKUP($H721,Lists!$E$2:$F$5,2,FALSE())*VLOOKUP($I721,Lists!$H$2:$I$4,2,FALSE())*VLOOKUP($J721,Lists!$K$2:$L$4,2,FALSE()))/VLOOKUP($K721,Lists!$N$2:$O$6,2,FALSE()),2))</f>
        <v/>
      </c>
      <c r="M721" s="104" t="str">
        <f aca="false">IF($B721="","",IF($AC721&lt;&gt;"",$AC721,IF($H721="Critical","P0",IF(NOT(ISNUMBER($L721)),"",IF($L721&gt;=Lists!$AM$2,"P0",IF($L721&gt;=Lists!$AM$3,"P1",IF($L721&gt;=Lists!$AM$4,"P2","P3")))))))</f>
        <v/>
      </c>
      <c r="N721" s="102"/>
      <c r="O721" s="101"/>
      <c r="P721" s="102"/>
      <c r="Q721" s="105"/>
      <c r="R721" s="106" t="str">
        <f aca="true">IF($Q721="","", TODAY()-$Q721)</f>
        <v/>
      </c>
      <c r="S721" s="102"/>
      <c r="T721" s="105"/>
      <c r="U721" s="105"/>
      <c r="V721" s="101"/>
      <c r="W721" s="101"/>
      <c r="X721" s="101"/>
      <c r="Y721" s="96"/>
      <c r="Z721" s="96"/>
      <c r="AA721" s="96"/>
      <c r="AC721" s="102"/>
      <c r="AD721" s="107" t="str">
        <f aca="false">IF($B721="","",IF(ISNUMBER($T721),$T721,IF(OR(NOT(ISNUMBER($Q721)),$S721=""),"",IFERROR(IF(ISNUMBER(INDEX(Lists!$AJ$2:$AJ$7,MATCH($S721,Lists!$AI$2:$AI$7,0))),$Q721+INDEX(Lists!$AJ$2:$AJ$7,MATCH($S721,Lists!$AI$2:$AI$7,0)),""),""))))</f>
        <v/>
      </c>
      <c r="AE721" s="104" t="str">
        <f aca="true">IF($B721="","",IF(AND(ISNUMBER($AD721),N($AD721)&lt;TODAY(),$N721&lt;&gt;"Done",$N721&lt;&gt;"Won't Fix",$N721&lt;&gt;"Duplicate"),"Yes","No"))</f>
        <v/>
      </c>
      <c r="AF721" s="101"/>
      <c r="AG721" s="108" t="str">
        <f aca="false">IF($AF721="","",IFERROR(VLOOKUP($AF721,'Application Portfolio'!$A$2:$B$1000,2,FALSE()),"Unknown App ID"))</f>
        <v/>
      </c>
      <c r="AH721" s="108" t="str">
        <f aca="false">IF(OR($B721="",$AF721=""),"",IFERROR(VLOOKUP($AF721,'Application Portfolio'!$A$2:$AB$1000,28,FALSE()),""))</f>
        <v/>
      </c>
    </row>
    <row r="722" customFormat="false" ht="15.75" hidden="false" customHeight="true" outlineLevel="0" collapsed="false">
      <c r="A722" s="100"/>
      <c r="B722" s="101"/>
      <c r="C722" s="101"/>
      <c r="D722" s="101"/>
      <c r="E722" s="101"/>
      <c r="F722" s="102"/>
      <c r="G722" s="102"/>
      <c r="H722" s="102"/>
      <c r="I722" s="102"/>
      <c r="J722" s="102"/>
      <c r="K722" s="102"/>
      <c r="L722" s="103" t="str">
        <f aca="false">IF(OR($B722="", $H722="", $I722="", $J722="", $K722=""),"",ROUND((VLOOKUP($H722,Lists!$E$2:$F$5,2,FALSE())*VLOOKUP($I722,Lists!$H$2:$I$4,2,FALSE())*VLOOKUP($J722,Lists!$K$2:$L$4,2,FALSE()))/VLOOKUP($K722,Lists!$N$2:$O$6,2,FALSE()),2))</f>
        <v/>
      </c>
      <c r="M722" s="104" t="str">
        <f aca="false">IF($B722="","",IF($AC722&lt;&gt;"",$AC722,IF($H722="Critical","P0",IF(NOT(ISNUMBER($L722)),"",IF($L722&gt;=Lists!$AM$2,"P0",IF($L722&gt;=Lists!$AM$3,"P1",IF($L722&gt;=Lists!$AM$4,"P2","P3")))))))</f>
        <v/>
      </c>
      <c r="N722" s="102"/>
      <c r="O722" s="101"/>
      <c r="P722" s="102"/>
      <c r="Q722" s="105"/>
      <c r="R722" s="106" t="str">
        <f aca="true">IF($Q722="","", TODAY()-$Q722)</f>
        <v/>
      </c>
      <c r="S722" s="102"/>
      <c r="T722" s="105"/>
      <c r="U722" s="105"/>
      <c r="V722" s="101"/>
      <c r="W722" s="101"/>
      <c r="X722" s="101"/>
      <c r="Y722" s="96"/>
      <c r="Z722" s="96"/>
      <c r="AA722" s="96"/>
      <c r="AC722" s="102"/>
      <c r="AD722" s="107" t="str">
        <f aca="false">IF($B722="","",IF(ISNUMBER($T722),$T722,IF(OR(NOT(ISNUMBER($Q722)),$S722=""),"",IFERROR(IF(ISNUMBER(INDEX(Lists!$AJ$2:$AJ$7,MATCH($S722,Lists!$AI$2:$AI$7,0))),$Q722+INDEX(Lists!$AJ$2:$AJ$7,MATCH($S722,Lists!$AI$2:$AI$7,0)),""),""))))</f>
        <v/>
      </c>
      <c r="AE722" s="104" t="str">
        <f aca="true">IF($B722="","",IF(AND(ISNUMBER($AD722),N($AD722)&lt;TODAY(),$N722&lt;&gt;"Done",$N722&lt;&gt;"Won't Fix",$N722&lt;&gt;"Duplicate"),"Yes","No"))</f>
        <v/>
      </c>
      <c r="AF722" s="101"/>
      <c r="AG722" s="108" t="str">
        <f aca="false">IF($AF722="","",IFERROR(VLOOKUP($AF722,'Application Portfolio'!$A$2:$B$1000,2,FALSE()),"Unknown App ID"))</f>
        <v/>
      </c>
      <c r="AH722" s="108" t="str">
        <f aca="false">IF(OR($B722="",$AF722=""),"",IFERROR(VLOOKUP($AF722,'Application Portfolio'!$A$2:$AB$1000,28,FALSE()),""))</f>
        <v/>
      </c>
    </row>
    <row r="723" customFormat="false" ht="15.75" hidden="false" customHeight="true" outlineLevel="0" collapsed="false">
      <c r="A723" s="100"/>
      <c r="B723" s="101"/>
      <c r="C723" s="101"/>
      <c r="D723" s="101"/>
      <c r="E723" s="101"/>
      <c r="F723" s="102"/>
      <c r="G723" s="102"/>
      <c r="H723" s="102"/>
      <c r="I723" s="102"/>
      <c r="J723" s="102"/>
      <c r="K723" s="102"/>
      <c r="L723" s="103" t="str">
        <f aca="false">IF(OR($B723="", $H723="", $I723="", $J723="", $K723=""),"",ROUND((VLOOKUP($H723,Lists!$E$2:$F$5,2,FALSE())*VLOOKUP($I723,Lists!$H$2:$I$4,2,FALSE())*VLOOKUP($J723,Lists!$K$2:$L$4,2,FALSE()))/VLOOKUP($K723,Lists!$N$2:$O$6,2,FALSE()),2))</f>
        <v/>
      </c>
      <c r="M723" s="104" t="str">
        <f aca="false">IF($B723="","",IF($AC723&lt;&gt;"",$AC723,IF($H723="Critical","P0",IF(NOT(ISNUMBER($L723)),"",IF($L723&gt;=Lists!$AM$2,"P0",IF($L723&gt;=Lists!$AM$3,"P1",IF($L723&gt;=Lists!$AM$4,"P2","P3")))))))</f>
        <v/>
      </c>
      <c r="N723" s="102"/>
      <c r="O723" s="101"/>
      <c r="P723" s="102"/>
      <c r="Q723" s="105"/>
      <c r="R723" s="106" t="str">
        <f aca="true">IF($Q723="","", TODAY()-$Q723)</f>
        <v/>
      </c>
      <c r="S723" s="102"/>
      <c r="T723" s="105"/>
      <c r="U723" s="105"/>
      <c r="V723" s="101"/>
      <c r="W723" s="101"/>
      <c r="X723" s="101"/>
      <c r="Y723" s="96"/>
      <c r="Z723" s="96"/>
      <c r="AA723" s="96"/>
      <c r="AC723" s="102"/>
      <c r="AD723" s="107" t="str">
        <f aca="false">IF($B723="","",IF(ISNUMBER($T723),$T723,IF(OR(NOT(ISNUMBER($Q723)),$S723=""),"",IFERROR(IF(ISNUMBER(INDEX(Lists!$AJ$2:$AJ$7,MATCH($S723,Lists!$AI$2:$AI$7,0))),$Q723+INDEX(Lists!$AJ$2:$AJ$7,MATCH($S723,Lists!$AI$2:$AI$7,0)),""),""))))</f>
        <v/>
      </c>
      <c r="AE723" s="104" t="str">
        <f aca="true">IF($B723="","",IF(AND(ISNUMBER($AD723),N($AD723)&lt;TODAY(),$N723&lt;&gt;"Done",$N723&lt;&gt;"Won't Fix",$N723&lt;&gt;"Duplicate"),"Yes","No"))</f>
        <v/>
      </c>
      <c r="AF723" s="101"/>
      <c r="AG723" s="108" t="str">
        <f aca="false">IF($AF723="","",IFERROR(VLOOKUP($AF723,'Application Portfolio'!$A$2:$B$1000,2,FALSE()),"Unknown App ID"))</f>
        <v/>
      </c>
      <c r="AH723" s="108" t="str">
        <f aca="false">IF(OR($B723="",$AF723=""),"",IFERROR(VLOOKUP($AF723,'Application Portfolio'!$A$2:$AB$1000,28,FALSE()),""))</f>
        <v/>
      </c>
    </row>
    <row r="724" customFormat="false" ht="15.75" hidden="false" customHeight="true" outlineLevel="0" collapsed="false">
      <c r="A724" s="100"/>
      <c r="B724" s="101"/>
      <c r="C724" s="101"/>
      <c r="D724" s="101"/>
      <c r="E724" s="101"/>
      <c r="F724" s="102"/>
      <c r="G724" s="102"/>
      <c r="H724" s="102"/>
      <c r="I724" s="102"/>
      <c r="J724" s="102"/>
      <c r="K724" s="102"/>
      <c r="L724" s="103" t="str">
        <f aca="false">IF(OR($B724="", $H724="", $I724="", $J724="", $K724=""),"",ROUND((VLOOKUP($H724,Lists!$E$2:$F$5,2,FALSE())*VLOOKUP($I724,Lists!$H$2:$I$4,2,FALSE())*VLOOKUP($J724,Lists!$K$2:$L$4,2,FALSE()))/VLOOKUP($K724,Lists!$N$2:$O$6,2,FALSE()),2))</f>
        <v/>
      </c>
      <c r="M724" s="104" t="str">
        <f aca="false">IF($B724="","",IF($AC724&lt;&gt;"",$AC724,IF($H724="Critical","P0",IF(NOT(ISNUMBER($L724)),"",IF($L724&gt;=Lists!$AM$2,"P0",IF($L724&gt;=Lists!$AM$3,"P1",IF($L724&gt;=Lists!$AM$4,"P2","P3")))))))</f>
        <v/>
      </c>
      <c r="N724" s="102"/>
      <c r="O724" s="101"/>
      <c r="P724" s="102"/>
      <c r="Q724" s="105"/>
      <c r="R724" s="106" t="str">
        <f aca="true">IF($Q724="","", TODAY()-$Q724)</f>
        <v/>
      </c>
      <c r="S724" s="102"/>
      <c r="T724" s="105"/>
      <c r="U724" s="105"/>
      <c r="V724" s="101"/>
      <c r="W724" s="101"/>
      <c r="X724" s="101"/>
      <c r="Y724" s="96"/>
      <c r="Z724" s="96"/>
      <c r="AA724" s="96"/>
      <c r="AC724" s="102"/>
      <c r="AD724" s="107" t="str">
        <f aca="false">IF($B724="","",IF(ISNUMBER($T724),$T724,IF(OR(NOT(ISNUMBER($Q724)),$S724=""),"",IFERROR(IF(ISNUMBER(INDEX(Lists!$AJ$2:$AJ$7,MATCH($S724,Lists!$AI$2:$AI$7,0))),$Q724+INDEX(Lists!$AJ$2:$AJ$7,MATCH($S724,Lists!$AI$2:$AI$7,0)),""),""))))</f>
        <v/>
      </c>
      <c r="AE724" s="104" t="str">
        <f aca="true">IF($B724="","",IF(AND(ISNUMBER($AD724),N($AD724)&lt;TODAY(),$N724&lt;&gt;"Done",$N724&lt;&gt;"Won't Fix",$N724&lt;&gt;"Duplicate"),"Yes","No"))</f>
        <v/>
      </c>
      <c r="AF724" s="101"/>
      <c r="AG724" s="108" t="str">
        <f aca="false">IF($AF724="","",IFERROR(VLOOKUP($AF724,'Application Portfolio'!$A$2:$B$1000,2,FALSE()),"Unknown App ID"))</f>
        <v/>
      </c>
      <c r="AH724" s="108" t="str">
        <f aca="false">IF(OR($B724="",$AF724=""),"",IFERROR(VLOOKUP($AF724,'Application Portfolio'!$A$2:$AB$1000,28,FALSE()),""))</f>
        <v/>
      </c>
    </row>
    <row r="725" customFormat="false" ht="15.75" hidden="false" customHeight="true" outlineLevel="0" collapsed="false">
      <c r="A725" s="100"/>
      <c r="B725" s="101"/>
      <c r="C725" s="101"/>
      <c r="D725" s="101"/>
      <c r="E725" s="101"/>
      <c r="F725" s="102"/>
      <c r="G725" s="102"/>
      <c r="H725" s="102"/>
      <c r="I725" s="102"/>
      <c r="J725" s="102"/>
      <c r="K725" s="102"/>
      <c r="L725" s="103" t="str">
        <f aca="false">IF(OR($B725="", $H725="", $I725="", $J725="", $K725=""),"",ROUND((VLOOKUP($H725,Lists!$E$2:$F$5,2,FALSE())*VLOOKUP($I725,Lists!$H$2:$I$4,2,FALSE())*VLOOKUP($J725,Lists!$K$2:$L$4,2,FALSE()))/VLOOKUP($K725,Lists!$N$2:$O$6,2,FALSE()),2))</f>
        <v/>
      </c>
      <c r="M725" s="104" t="str">
        <f aca="false">IF($B725="","",IF($AC725&lt;&gt;"",$AC725,IF($H725="Critical","P0",IF(NOT(ISNUMBER($L725)),"",IF($L725&gt;=Lists!$AM$2,"P0",IF($L725&gt;=Lists!$AM$3,"P1",IF($L725&gt;=Lists!$AM$4,"P2","P3")))))))</f>
        <v/>
      </c>
      <c r="N725" s="102"/>
      <c r="O725" s="101"/>
      <c r="P725" s="102"/>
      <c r="Q725" s="105"/>
      <c r="R725" s="106" t="str">
        <f aca="true">IF($Q725="","", TODAY()-$Q725)</f>
        <v/>
      </c>
      <c r="S725" s="102"/>
      <c r="T725" s="105"/>
      <c r="U725" s="105"/>
      <c r="V725" s="101"/>
      <c r="W725" s="101"/>
      <c r="X725" s="101"/>
      <c r="Y725" s="96"/>
      <c r="Z725" s="96"/>
      <c r="AA725" s="96"/>
      <c r="AC725" s="102"/>
      <c r="AD725" s="107" t="str">
        <f aca="false">IF($B725="","",IF(ISNUMBER($T725),$T725,IF(OR(NOT(ISNUMBER($Q725)),$S725=""),"",IFERROR(IF(ISNUMBER(INDEX(Lists!$AJ$2:$AJ$7,MATCH($S725,Lists!$AI$2:$AI$7,0))),$Q725+INDEX(Lists!$AJ$2:$AJ$7,MATCH($S725,Lists!$AI$2:$AI$7,0)),""),""))))</f>
        <v/>
      </c>
      <c r="AE725" s="104" t="str">
        <f aca="true">IF($B725="","",IF(AND(ISNUMBER($AD725),N($AD725)&lt;TODAY(),$N725&lt;&gt;"Done",$N725&lt;&gt;"Won't Fix",$N725&lt;&gt;"Duplicate"),"Yes","No"))</f>
        <v/>
      </c>
      <c r="AF725" s="101"/>
      <c r="AG725" s="108" t="str">
        <f aca="false">IF($AF725="","",IFERROR(VLOOKUP($AF725,'Application Portfolio'!$A$2:$B$1000,2,FALSE()),"Unknown App ID"))</f>
        <v/>
      </c>
      <c r="AH725" s="108" t="str">
        <f aca="false">IF(OR($B725="",$AF725=""),"",IFERROR(VLOOKUP($AF725,'Application Portfolio'!$A$2:$AB$1000,28,FALSE()),""))</f>
        <v/>
      </c>
    </row>
    <row r="726" customFormat="false" ht="15.75" hidden="false" customHeight="true" outlineLevel="0" collapsed="false">
      <c r="A726" s="100"/>
      <c r="B726" s="101"/>
      <c r="C726" s="101"/>
      <c r="D726" s="101"/>
      <c r="E726" s="101"/>
      <c r="F726" s="102"/>
      <c r="G726" s="102"/>
      <c r="H726" s="102"/>
      <c r="I726" s="102"/>
      <c r="J726" s="102"/>
      <c r="K726" s="102"/>
      <c r="L726" s="103" t="str">
        <f aca="false">IF(OR($B726="", $H726="", $I726="", $J726="", $K726=""),"",ROUND((VLOOKUP($H726,Lists!$E$2:$F$5,2,FALSE())*VLOOKUP($I726,Lists!$H$2:$I$4,2,FALSE())*VLOOKUP($J726,Lists!$K$2:$L$4,2,FALSE()))/VLOOKUP($K726,Lists!$N$2:$O$6,2,FALSE()),2))</f>
        <v/>
      </c>
      <c r="M726" s="104" t="str">
        <f aca="false">IF($B726="","",IF($AC726&lt;&gt;"",$AC726,IF($H726="Critical","P0",IF(NOT(ISNUMBER($L726)),"",IF($L726&gt;=Lists!$AM$2,"P0",IF($L726&gt;=Lists!$AM$3,"P1",IF($L726&gt;=Lists!$AM$4,"P2","P3")))))))</f>
        <v/>
      </c>
      <c r="N726" s="102"/>
      <c r="O726" s="101"/>
      <c r="P726" s="102"/>
      <c r="Q726" s="105"/>
      <c r="R726" s="106" t="str">
        <f aca="true">IF($Q726="","", TODAY()-$Q726)</f>
        <v/>
      </c>
      <c r="S726" s="102"/>
      <c r="T726" s="105"/>
      <c r="U726" s="105"/>
      <c r="V726" s="101"/>
      <c r="W726" s="101"/>
      <c r="X726" s="101"/>
      <c r="Y726" s="96"/>
      <c r="Z726" s="96"/>
      <c r="AA726" s="96"/>
      <c r="AC726" s="102"/>
      <c r="AD726" s="107" t="str">
        <f aca="false">IF($B726="","",IF(ISNUMBER($T726),$T726,IF(OR(NOT(ISNUMBER($Q726)),$S726=""),"",IFERROR(IF(ISNUMBER(INDEX(Lists!$AJ$2:$AJ$7,MATCH($S726,Lists!$AI$2:$AI$7,0))),$Q726+INDEX(Lists!$AJ$2:$AJ$7,MATCH($S726,Lists!$AI$2:$AI$7,0)),""),""))))</f>
        <v/>
      </c>
      <c r="AE726" s="104" t="str">
        <f aca="true">IF($B726="","",IF(AND(ISNUMBER($AD726),N($AD726)&lt;TODAY(),$N726&lt;&gt;"Done",$N726&lt;&gt;"Won't Fix",$N726&lt;&gt;"Duplicate"),"Yes","No"))</f>
        <v/>
      </c>
      <c r="AF726" s="101"/>
      <c r="AG726" s="108" t="str">
        <f aca="false">IF($AF726="","",IFERROR(VLOOKUP($AF726,'Application Portfolio'!$A$2:$B$1000,2,FALSE()),"Unknown App ID"))</f>
        <v/>
      </c>
      <c r="AH726" s="108" t="str">
        <f aca="false">IF(OR($B726="",$AF726=""),"",IFERROR(VLOOKUP($AF726,'Application Portfolio'!$A$2:$AB$1000,28,FALSE()),""))</f>
        <v/>
      </c>
    </row>
    <row r="727" customFormat="false" ht="15.75" hidden="false" customHeight="true" outlineLevel="0" collapsed="false">
      <c r="A727" s="100"/>
      <c r="B727" s="101"/>
      <c r="C727" s="101"/>
      <c r="D727" s="101"/>
      <c r="E727" s="101"/>
      <c r="F727" s="102"/>
      <c r="G727" s="102"/>
      <c r="H727" s="102"/>
      <c r="I727" s="102"/>
      <c r="J727" s="102"/>
      <c r="K727" s="102"/>
      <c r="L727" s="103" t="str">
        <f aca="false">IF(OR($B727="", $H727="", $I727="", $J727="", $K727=""),"",ROUND((VLOOKUP($H727,Lists!$E$2:$F$5,2,FALSE())*VLOOKUP($I727,Lists!$H$2:$I$4,2,FALSE())*VLOOKUP($J727,Lists!$K$2:$L$4,2,FALSE()))/VLOOKUP($K727,Lists!$N$2:$O$6,2,FALSE()),2))</f>
        <v/>
      </c>
      <c r="M727" s="104" t="str">
        <f aca="false">IF($B727="","",IF($AC727&lt;&gt;"",$AC727,IF($H727="Critical","P0",IF(NOT(ISNUMBER($L727)),"",IF($L727&gt;=Lists!$AM$2,"P0",IF($L727&gt;=Lists!$AM$3,"P1",IF($L727&gt;=Lists!$AM$4,"P2","P3")))))))</f>
        <v/>
      </c>
      <c r="N727" s="102"/>
      <c r="O727" s="101"/>
      <c r="P727" s="102"/>
      <c r="Q727" s="105"/>
      <c r="R727" s="106" t="str">
        <f aca="true">IF($Q727="","", TODAY()-$Q727)</f>
        <v/>
      </c>
      <c r="S727" s="102"/>
      <c r="T727" s="105"/>
      <c r="U727" s="105"/>
      <c r="V727" s="101"/>
      <c r="W727" s="101"/>
      <c r="X727" s="101"/>
      <c r="Y727" s="96"/>
      <c r="Z727" s="96"/>
      <c r="AA727" s="96"/>
      <c r="AC727" s="102"/>
      <c r="AD727" s="107" t="str">
        <f aca="false">IF($B727="","",IF(ISNUMBER($T727),$T727,IF(OR(NOT(ISNUMBER($Q727)),$S727=""),"",IFERROR(IF(ISNUMBER(INDEX(Lists!$AJ$2:$AJ$7,MATCH($S727,Lists!$AI$2:$AI$7,0))),$Q727+INDEX(Lists!$AJ$2:$AJ$7,MATCH($S727,Lists!$AI$2:$AI$7,0)),""),""))))</f>
        <v/>
      </c>
      <c r="AE727" s="104" t="str">
        <f aca="true">IF($B727="","",IF(AND(ISNUMBER($AD727),N($AD727)&lt;TODAY(),$N727&lt;&gt;"Done",$N727&lt;&gt;"Won't Fix",$N727&lt;&gt;"Duplicate"),"Yes","No"))</f>
        <v/>
      </c>
      <c r="AF727" s="101"/>
      <c r="AG727" s="108" t="str">
        <f aca="false">IF($AF727="","",IFERROR(VLOOKUP($AF727,'Application Portfolio'!$A$2:$B$1000,2,FALSE()),"Unknown App ID"))</f>
        <v/>
      </c>
      <c r="AH727" s="108" t="str">
        <f aca="false">IF(OR($B727="",$AF727=""),"",IFERROR(VLOOKUP($AF727,'Application Portfolio'!$A$2:$AB$1000,28,FALSE()),""))</f>
        <v/>
      </c>
    </row>
    <row r="728" customFormat="false" ht="15.75" hidden="false" customHeight="true" outlineLevel="0" collapsed="false">
      <c r="A728" s="100"/>
      <c r="B728" s="101"/>
      <c r="C728" s="101"/>
      <c r="D728" s="101"/>
      <c r="E728" s="101"/>
      <c r="F728" s="102"/>
      <c r="G728" s="102"/>
      <c r="H728" s="102"/>
      <c r="I728" s="102"/>
      <c r="J728" s="102"/>
      <c r="K728" s="102"/>
      <c r="L728" s="103" t="str">
        <f aca="false">IF(OR($B728="", $H728="", $I728="", $J728="", $K728=""),"",ROUND((VLOOKUP($H728,Lists!$E$2:$F$5,2,FALSE())*VLOOKUP($I728,Lists!$H$2:$I$4,2,FALSE())*VLOOKUP($J728,Lists!$K$2:$L$4,2,FALSE()))/VLOOKUP($K728,Lists!$N$2:$O$6,2,FALSE()),2))</f>
        <v/>
      </c>
      <c r="M728" s="104" t="str">
        <f aca="false">IF($B728="","",IF($AC728&lt;&gt;"",$AC728,IF($H728="Critical","P0",IF(NOT(ISNUMBER($L728)),"",IF($L728&gt;=Lists!$AM$2,"P0",IF($L728&gt;=Lists!$AM$3,"P1",IF($L728&gt;=Lists!$AM$4,"P2","P3")))))))</f>
        <v/>
      </c>
      <c r="N728" s="102"/>
      <c r="O728" s="101"/>
      <c r="P728" s="102"/>
      <c r="Q728" s="105"/>
      <c r="R728" s="106" t="str">
        <f aca="true">IF($Q728="","", TODAY()-$Q728)</f>
        <v/>
      </c>
      <c r="S728" s="102"/>
      <c r="T728" s="105"/>
      <c r="U728" s="105"/>
      <c r="V728" s="101"/>
      <c r="W728" s="101"/>
      <c r="X728" s="101"/>
      <c r="Y728" s="96"/>
      <c r="Z728" s="96"/>
      <c r="AA728" s="96"/>
      <c r="AC728" s="102"/>
      <c r="AD728" s="107" t="str">
        <f aca="false">IF($B728="","",IF(ISNUMBER($T728),$T728,IF(OR(NOT(ISNUMBER($Q728)),$S728=""),"",IFERROR(IF(ISNUMBER(INDEX(Lists!$AJ$2:$AJ$7,MATCH($S728,Lists!$AI$2:$AI$7,0))),$Q728+INDEX(Lists!$AJ$2:$AJ$7,MATCH($S728,Lists!$AI$2:$AI$7,0)),""),""))))</f>
        <v/>
      </c>
      <c r="AE728" s="104" t="str">
        <f aca="true">IF($B728="","",IF(AND(ISNUMBER($AD728),N($AD728)&lt;TODAY(),$N728&lt;&gt;"Done",$N728&lt;&gt;"Won't Fix",$N728&lt;&gt;"Duplicate"),"Yes","No"))</f>
        <v/>
      </c>
      <c r="AF728" s="101"/>
      <c r="AG728" s="108" t="str">
        <f aca="false">IF($AF728="","",IFERROR(VLOOKUP($AF728,'Application Portfolio'!$A$2:$B$1000,2,FALSE()),"Unknown App ID"))</f>
        <v/>
      </c>
      <c r="AH728" s="108" t="str">
        <f aca="false">IF(OR($B728="",$AF728=""),"",IFERROR(VLOOKUP($AF728,'Application Portfolio'!$A$2:$AB$1000,28,FALSE()),""))</f>
        <v/>
      </c>
    </row>
    <row r="729" customFormat="false" ht="15.75" hidden="false" customHeight="true" outlineLevel="0" collapsed="false">
      <c r="A729" s="100"/>
      <c r="B729" s="101"/>
      <c r="C729" s="101"/>
      <c r="D729" s="101"/>
      <c r="E729" s="101"/>
      <c r="F729" s="102"/>
      <c r="G729" s="102"/>
      <c r="H729" s="102"/>
      <c r="I729" s="102"/>
      <c r="J729" s="102"/>
      <c r="K729" s="102"/>
      <c r="L729" s="103" t="str">
        <f aca="false">IF(OR($B729="", $H729="", $I729="", $J729="", $K729=""),"",ROUND((VLOOKUP($H729,Lists!$E$2:$F$5,2,FALSE())*VLOOKUP($I729,Lists!$H$2:$I$4,2,FALSE())*VLOOKUP($J729,Lists!$K$2:$L$4,2,FALSE()))/VLOOKUP($K729,Lists!$N$2:$O$6,2,FALSE()),2))</f>
        <v/>
      </c>
      <c r="M729" s="104" t="str">
        <f aca="false">IF($B729="","",IF($AC729&lt;&gt;"",$AC729,IF($H729="Critical","P0",IF(NOT(ISNUMBER($L729)),"",IF($L729&gt;=Lists!$AM$2,"P0",IF($L729&gt;=Lists!$AM$3,"P1",IF($L729&gt;=Lists!$AM$4,"P2","P3")))))))</f>
        <v/>
      </c>
      <c r="N729" s="102"/>
      <c r="O729" s="101"/>
      <c r="P729" s="102"/>
      <c r="Q729" s="105"/>
      <c r="R729" s="106" t="str">
        <f aca="true">IF($Q729="","", TODAY()-$Q729)</f>
        <v/>
      </c>
      <c r="S729" s="102"/>
      <c r="T729" s="105"/>
      <c r="U729" s="105"/>
      <c r="V729" s="101"/>
      <c r="W729" s="101"/>
      <c r="X729" s="101"/>
      <c r="Y729" s="96"/>
      <c r="Z729" s="96"/>
      <c r="AA729" s="96"/>
      <c r="AC729" s="102"/>
      <c r="AD729" s="107" t="str">
        <f aca="false">IF($B729="","",IF(ISNUMBER($T729),$T729,IF(OR(NOT(ISNUMBER($Q729)),$S729=""),"",IFERROR(IF(ISNUMBER(INDEX(Lists!$AJ$2:$AJ$7,MATCH($S729,Lists!$AI$2:$AI$7,0))),$Q729+INDEX(Lists!$AJ$2:$AJ$7,MATCH($S729,Lists!$AI$2:$AI$7,0)),""),""))))</f>
        <v/>
      </c>
      <c r="AE729" s="104" t="str">
        <f aca="true">IF($B729="","",IF(AND(ISNUMBER($AD729),N($AD729)&lt;TODAY(),$N729&lt;&gt;"Done",$N729&lt;&gt;"Won't Fix",$N729&lt;&gt;"Duplicate"),"Yes","No"))</f>
        <v/>
      </c>
      <c r="AF729" s="101"/>
      <c r="AG729" s="108" t="str">
        <f aca="false">IF($AF729="","",IFERROR(VLOOKUP($AF729,'Application Portfolio'!$A$2:$B$1000,2,FALSE()),"Unknown App ID"))</f>
        <v/>
      </c>
      <c r="AH729" s="108" t="str">
        <f aca="false">IF(OR($B729="",$AF729=""),"",IFERROR(VLOOKUP($AF729,'Application Portfolio'!$A$2:$AB$1000,28,FALSE()),""))</f>
        <v/>
      </c>
    </row>
    <row r="730" customFormat="false" ht="15.75" hidden="false" customHeight="true" outlineLevel="0" collapsed="false">
      <c r="A730" s="100"/>
      <c r="B730" s="101"/>
      <c r="C730" s="101"/>
      <c r="D730" s="101"/>
      <c r="E730" s="101"/>
      <c r="F730" s="102"/>
      <c r="G730" s="102"/>
      <c r="H730" s="102"/>
      <c r="I730" s="102"/>
      <c r="J730" s="102"/>
      <c r="K730" s="102"/>
      <c r="L730" s="103" t="str">
        <f aca="false">IF(OR($B730="", $H730="", $I730="", $J730="", $K730=""),"",ROUND((VLOOKUP($H730,Lists!$E$2:$F$5,2,FALSE())*VLOOKUP($I730,Lists!$H$2:$I$4,2,FALSE())*VLOOKUP($J730,Lists!$K$2:$L$4,2,FALSE()))/VLOOKUP($K730,Lists!$N$2:$O$6,2,FALSE()),2))</f>
        <v/>
      </c>
      <c r="M730" s="104" t="str">
        <f aca="false">IF($B730="","",IF($AC730&lt;&gt;"",$AC730,IF($H730="Critical","P0",IF(NOT(ISNUMBER($L730)),"",IF($L730&gt;=Lists!$AM$2,"P0",IF($L730&gt;=Lists!$AM$3,"P1",IF($L730&gt;=Lists!$AM$4,"P2","P3")))))))</f>
        <v/>
      </c>
      <c r="N730" s="102"/>
      <c r="O730" s="101"/>
      <c r="P730" s="102"/>
      <c r="Q730" s="105"/>
      <c r="R730" s="106" t="str">
        <f aca="true">IF($Q730="","", TODAY()-$Q730)</f>
        <v/>
      </c>
      <c r="S730" s="102"/>
      <c r="T730" s="105"/>
      <c r="U730" s="105"/>
      <c r="V730" s="101"/>
      <c r="W730" s="101"/>
      <c r="X730" s="101"/>
      <c r="Y730" s="96"/>
      <c r="Z730" s="96"/>
      <c r="AA730" s="96"/>
      <c r="AC730" s="102"/>
      <c r="AD730" s="107" t="str">
        <f aca="false">IF($B730="","",IF(ISNUMBER($T730),$T730,IF(OR(NOT(ISNUMBER($Q730)),$S730=""),"",IFERROR(IF(ISNUMBER(INDEX(Lists!$AJ$2:$AJ$7,MATCH($S730,Lists!$AI$2:$AI$7,0))),$Q730+INDEX(Lists!$AJ$2:$AJ$7,MATCH($S730,Lists!$AI$2:$AI$7,0)),""),""))))</f>
        <v/>
      </c>
      <c r="AE730" s="104" t="str">
        <f aca="true">IF($B730="","",IF(AND(ISNUMBER($AD730),N($AD730)&lt;TODAY(),$N730&lt;&gt;"Done",$N730&lt;&gt;"Won't Fix",$N730&lt;&gt;"Duplicate"),"Yes","No"))</f>
        <v/>
      </c>
      <c r="AF730" s="101"/>
      <c r="AG730" s="108" t="str">
        <f aca="false">IF($AF730="","",IFERROR(VLOOKUP($AF730,'Application Portfolio'!$A$2:$B$1000,2,FALSE()),"Unknown App ID"))</f>
        <v/>
      </c>
      <c r="AH730" s="108" t="str">
        <f aca="false">IF(OR($B730="",$AF730=""),"",IFERROR(VLOOKUP($AF730,'Application Portfolio'!$A$2:$AB$1000,28,FALSE()),""))</f>
        <v/>
      </c>
    </row>
    <row r="731" customFormat="false" ht="15.75" hidden="false" customHeight="true" outlineLevel="0" collapsed="false">
      <c r="A731" s="100"/>
      <c r="B731" s="101"/>
      <c r="C731" s="101"/>
      <c r="D731" s="101"/>
      <c r="E731" s="101"/>
      <c r="F731" s="102"/>
      <c r="G731" s="102"/>
      <c r="H731" s="102"/>
      <c r="I731" s="102"/>
      <c r="J731" s="102"/>
      <c r="K731" s="102"/>
      <c r="L731" s="103" t="str">
        <f aca="false">IF(OR($B731="", $H731="", $I731="", $J731="", $K731=""),"",ROUND((VLOOKUP($H731,Lists!$E$2:$F$5,2,FALSE())*VLOOKUP($I731,Lists!$H$2:$I$4,2,FALSE())*VLOOKUP($J731,Lists!$K$2:$L$4,2,FALSE()))/VLOOKUP($K731,Lists!$N$2:$O$6,2,FALSE()),2))</f>
        <v/>
      </c>
      <c r="M731" s="104" t="str">
        <f aca="false">IF($B731="","",IF($AC731&lt;&gt;"",$AC731,IF($H731="Critical","P0",IF(NOT(ISNUMBER($L731)),"",IF($L731&gt;=Lists!$AM$2,"P0",IF($L731&gt;=Lists!$AM$3,"P1",IF($L731&gt;=Lists!$AM$4,"P2","P3")))))))</f>
        <v/>
      </c>
      <c r="N731" s="102"/>
      <c r="O731" s="101"/>
      <c r="P731" s="102"/>
      <c r="Q731" s="105"/>
      <c r="R731" s="106" t="str">
        <f aca="true">IF($Q731="","", TODAY()-$Q731)</f>
        <v/>
      </c>
      <c r="S731" s="102"/>
      <c r="T731" s="105"/>
      <c r="U731" s="105"/>
      <c r="V731" s="101"/>
      <c r="W731" s="101"/>
      <c r="X731" s="101"/>
      <c r="Y731" s="96"/>
      <c r="Z731" s="96"/>
      <c r="AA731" s="96"/>
      <c r="AC731" s="102"/>
      <c r="AD731" s="107" t="str">
        <f aca="false">IF($B731="","",IF(ISNUMBER($T731),$T731,IF(OR(NOT(ISNUMBER($Q731)),$S731=""),"",IFERROR(IF(ISNUMBER(INDEX(Lists!$AJ$2:$AJ$7,MATCH($S731,Lists!$AI$2:$AI$7,0))),$Q731+INDEX(Lists!$AJ$2:$AJ$7,MATCH($S731,Lists!$AI$2:$AI$7,0)),""),""))))</f>
        <v/>
      </c>
      <c r="AE731" s="104" t="str">
        <f aca="true">IF($B731="","",IF(AND(ISNUMBER($AD731),N($AD731)&lt;TODAY(),$N731&lt;&gt;"Done",$N731&lt;&gt;"Won't Fix",$N731&lt;&gt;"Duplicate"),"Yes","No"))</f>
        <v/>
      </c>
      <c r="AF731" s="101"/>
      <c r="AG731" s="108" t="str">
        <f aca="false">IF($AF731="","",IFERROR(VLOOKUP($AF731,'Application Portfolio'!$A$2:$B$1000,2,FALSE()),"Unknown App ID"))</f>
        <v/>
      </c>
      <c r="AH731" s="108" t="str">
        <f aca="false">IF(OR($B731="",$AF731=""),"",IFERROR(VLOOKUP($AF731,'Application Portfolio'!$A$2:$AB$1000,28,FALSE()),""))</f>
        <v/>
      </c>
    </row>
    <row r="732" customFormat="false" ht="15.75" hidden="false" customHeight="true" outlineLevel="0" collapsed="false">
      <c r="A732" s="100"/>
      <c r="B732" s="101"/>
      <c r="C732" s="101"/>
      <c r="D732" s="101"/>
      <c r="E732" s="101"/>
      <c r="F732" s="102"/>
      <c r="G732" s="102"/>
      <c r="H732" s="102"/>
      <c r="I732" s="102"/>
      <c r="J732" s="102"/>
      <c r="K732" s="102"/>
      <c r="L732" s="103" t="str">
        <f aca="false">IF(OR($B732="", $H732="", $I732="", $J732="", $K732=""),"",ROUND((VLOOKUP($H732,Lists!$E$2:$F$5,2,FALSE())*VLOOKUP($I732,Lists!$H$2:$I$4,2,FALSE())*VLOOKUP($J732,Lists!$K$2:$L$4,2,FALSE()))/VLOOKUP($K732,Lists!$N$2:$O$6,2,FALSE()),2))</f>
        <v/>
      </c>
      <c r="M732" s="104" t="str">
        <f aca="false">IF($B732="","",IF($AC732&lt;&gt;"",$AC732,IF($H732="Critical","P0",IF(NOT(ISNUMBER($L732)),"",IF($L732&gt;=Lists!$AM$2,"P0",IF($L732&gt;=Lists!$AM$3,"P1",IF($L732&gt;=Lists!$AM$4,"P2","P3")))))))</f>
        <v/>
      </c>
      <c r="N732" s="102"/>
      <c r="O732" s="101"/>
      <c r="P732" s="102"/>
      <c r="Q732" s="105"/>
      <c r="R732" s="106" t="str">
        <f aca="true">IF($Q732="","", TODAY()-$Q732)</f>
        <v/>
      </c>
      <c r="S732" s="102"/>
      <c r="T732" s="105"/>
      <c r="U732" s="105"/>
      <c r="V732" s="101"/>
      <c r="W732" s="101"/>
      <c r="X732" s="101"/>
      <c r="Y732" s="96"/>
      <c r="Z732" s="96"/>
      <c r="AA732" s="96"/>
      <c r="AC732" s="102"/>
      <c r="AD732" s="107" t="str">
        <f aca="false">IF($B732="","",IF(ISNUMBER($T732),$T732,IF(OR(NOT(ISNUMBER($Q732)),$S732=""),"",IFERROR(IF(ISNUMBER(INDEX(Lists!$AJ$2:$AJ$7,MATCH($S732,Lists!$AI$2:$AI$7,0))),$Q732+INDEX(Lists!$AJ$2:$AJ$7,MATCH($S732,Lists!$AI$2:$AI$7,0)),""),""))))</f>
        <v/>
      </c>
      <c r="AE732" s="104" t="str">
        <f aca="true">IF($B732="","",IF(AND(ISNUMBER($AD732),N($AD732)&lt;TODAY(),$N732&lt;&gt;"Done",$N732&lt;&gt;"Won't Fix",$N732&lt;&gt;"Duplicate"),"Yes","No"))</f>
        <v/>
      </c>
      <c r="AF732" s="101"/>
      <c r="AG732" s="108" t="str">
        <f aca="false">IF($AF732="","",IFERROR(VLOOKUP($AF732,'Application Portfolio'!$A$2:$B$1000,2,FALSE()),"Unknown App ID"))</f>
        <v/>
      </c>
      <c r="AH732" s="108" t="str">
        <f aca="false">IF(OR($B732="",$AF732=""),"",IFERROR(VLOOKUP($AF732,'Application Portfolio'!$A$2:$AB$1000,28,FALSE()),""))</f>
        <v/>
      </c>
    </row>
    <row r="733" customFormat="false" ht="15.75" hidden="false" customHeight="true" outlineLevel="0" collapsed="false">
      <c r="A733" s="100"/>
      <c r="B733" s="101"/>
      <c r="C733" s="101"/>
      <c r="D733" s="101"/>
      <c r="E733" s="101"/>
      <c r="F733" s="102"/>
      <c r="G733" s="102"/>
      <c r="H733" s="102"/>
      <c r="I733" s="102"/>
      <c r="J733" s="102"/>
      <c r="K733" s="102"/>
      <c r="L733" s="103" t="str">
        <f aca="false">IF(OR($B733="", $H733="", $I733="", $J733="", $K733=""),"",ROUND((VLOOKUP($H733,Lists!$E$2:$F$5,2,FALSE())*VLOOKUP($I733,Lists!$H$2:$I$4,2,FALSE())*VLOOKUP($J733,Lists!$K$2:$L$4,2,FALSE()))/VLOOKUP($K733,Lists!$N$2:$O$6,2,FALSE()),2))</f>
        <v/>
      </c>
      <c r="M733" s="104" t="str">
        <f aca="false">IF($B733="","",IF($AC733&lt;&gt;"",$AC733,IF($H733="Critical","P0",IF(NOT(ISNUMBER($L733)),"",IF($L733&gt;=Lists!$AM$2,"P0",IF($L733&gt;=Lists!$AM$3,"P1",IF($L733&gt;=Lists!$AM$4,"P2","P3")))))))</f>
        <v/>
      </c>
      <c r="N733" s="102"/>
      <c r="O733" s="101"/>
      <c r="P733" s="102"/>
      <c r="Q733" s="105"/>
      <c r="R733" s="106" t="str">
        <f aca="true">IF($Q733="","", TODAY()-$Q733)</f>
        <v/>
      </c>
      <c r="S733" s="102"/>
      <c r="T733" s="105"/>
      <c r="U733" s="105"/>
      <c r="V733" s="101"/>
      <c r="W733" s="101"/>
      <c r="X733" s="101"/>
      <c r="Y733" s="96"/>
      <c r="Z733" s="96"/>
      <c r="AA733" s="96"/>
      <c r="AC733" s="102"/>
      <c r="AD733" s="107" t="str">
        <f aca="false">IF($B733="","",IF(ISNUMBER($T733),$T733,IF(OR(NOT(ISNUMBER($Q733)),$S733=""),"",IFERROR(IF(ISNUMBER(INDEX(Lists!$AJ$2:$AJ$7,MATCH($S733,Lists!$AI$2:$AI$7,0))),$Q733+INDEX(Lists!$AJ$2:$AJ$7,MATCH($S733,Lists!$AI$2:$AI$7,0)),""),""))))</f>
        <v/>
      </c>
      <c r="AE733" s="104" t="str">
        <f aca="true">IF($B733="","",IF(AND(ISNUMBER($AD733),N($AD733)&lt;TODAY(),$N733&lt;&gt;"Done",$N733&lt;&gt;"Won't Fix",$N733&lt;&gt;"Duplicate"),"Yes","No"))</f>
        <v/>
      </c>
      <c r="AF733" s="101"/>
      <c r="AG733" s="108" t="str">
        <f aca="false">IF($AF733="","",IFERROR(VLOOKUP($AF733,'Application Portfolio'!$A$2:$B$1000,2,FALSE()),"Unknown App ID"))</f>
        <v/>
      </c>
      <c r="AH733" s="108" t="str">
        <f aca="false">IF(OR($B733="",$AF733=""),"",IFERROR(VLOOKUP($AF733,'Application Portfolio'!$A$2:$AB$1000,28,FALSE()),""))</f>
        <v/>
      </c>
    </row>
    <row r="734" customFormat="false" ht="15.75" hidden="false" customHeight="true" outlineLevel="0" collapsed="false">
      <c r="A734" s="100"/>
      <c r="B734" s="101"/>
      <c r="C734" s="101"/>
      <c r="D734" s="101"/>
      <c r="E734" s="101"/>
      <c r="F734" s="102"/>
      <c r="G734" s="102"/>
      <c r="H734" s="102"/>
      <c r="I734" s="102"/>
      <c r="J734" s="102"/>
      <c r="K734" s="102"/>
      <c r="L734" s="103" t="str">
        <f aca="false">IF(OR($B734="", $H734="", $I734="", $J734="", $K734=""),"",ROUND((VLOOKUP($H734,Lists!$E$2:$F$5,2,FALSE())*VLOOKUP($I734,Lists!$H$2:$I$4,2,FALSE())*VLOOKUP($J734,Lists!$K$2:$L$4,2,FALSE()))/VLOOKUP($K734,Lists!$N$2:$O$6,2,FALSE()),2))</f>
        <v/>
      </c>
      <c r="M734" s="104" t="str">
        <f aca="false">IF($B734="","",IF($AC734&lt;&gt;"",$AC734,IF($H734="Critical","P0",IF(NOT(ISNUMBER($L734)),"",IF($L734&gt;=Lists!$AM$2,"P0",IF($L734&gt;=Lists!$AM$3,"P1",IF($L734&gt;=Lists!$AM$4,"P2","P3")))))))</f>
        <v/>
      </c>
      <c r="N734" s="102"/>
      <c r="O734" s="101"/>
      <c r="P734" s="102"/>
      <c r="Q734" s="105"/>
      <c r="R734" s="106" t="str">
        <f aca="true">IF($Q734="","", TODAY()-$Q734)</f>
        <v/>
      </c>
      <c r="S734" s="102"/>
      <c r="T734" s="105"/>
      <c r="U734" s="105"/>
      <c r="V734" s="101"/>
      <c r="W734" s="101"/>
      <c r="X734" s="101"/>
      <c r="Y734" s="96"/>
      <c r="Z734" s="96"/>
      <c r="AA734" s="96"/>
      <c r="AC734" s="102"/>
      <c r="AD734" s="107" t="str">
        <f aca="false">IF($B734="","",IF(ISNUMBER($T734),$T734,IF(OR(NOT(ISNUMBER($Q734)),$S734=""),"",IFERROR(IF(ISNUMBER(INDEX(Lists!$AJ$2:$AJ$7,MATCH($S734,Lists!$AI$2:$AI$7,0))),$Q734+INDEX(Lists!$AJ$2:$AJ$7,MATCH($S734,Lists!$AI$2:$AI$7,0)),""),""))))</f>
        <v/>
      </c>
      <c r="AE734" s="104" t="str">
        <f aca="true">IF($B734="","",IF(AND(ISNUMBER($AD734),N($AD734)&lt;TODAY(),$N734&lt;&gt;"Done",$N734&lt;&gt;"Won't Fix",$N734&lt;&gt;"Duplicate"),"Yes","No"))</f>
        <v/>
      </c>
      <c r="AF734" s="101"/>
      <c r="AG734" s="108" t="str">
        <f aca="false">IF($AF734="","",IFERROR(VLOOKUP($AF734,'Application Portfolio'!$A$2:$B$1000,2,FALSE()),"Unknown App ID"))</f>
        <v/>
      </c>
      <c r="AH734" s="108" t="str">
        <f aca="false">IF(OR($B734="",$AF734=""),"",IFERROR(VLOOKUP($AF734,'Application Portfolio'!$A$2:$AB$1000,28,FALSE()),""))</f>
        <v/>
      </c>
    </row>
    <row r="735" customFormat="false" ht="15.75" hidden="false" customHeight="true" outlineLevel="0" collapsed="false">
      <c r="A735" s="100"/>
      <c r="B735" s="101"/>
      <c r="C735" s="101"/>
      <c r="D735" s="101"/>
      <c r="E735" s="101"/>
      <c r="F735" s="102"/>
      <c r="G735" s="102"/>
      <c r="H735" s="102"/>
      <c r="I735" s="102"/>
      <c r="J735" s="102"/>
      <c r="K735" s="102"/>
      <c r="L735" s="103" t="str">
        <f aca="false">IF(OR($B735="", $H735="", $I735="", $J735="", $K735=""),"",ROUND((VLOOKUP($H735,Lists!$E$2:$F$5,2,FALSE())*VLOOKUP($I735,Lists!$H$2:$I$4,2,FALSE())*VLOOKUP($J735,Lists!$K$2:$L$4,2,FALSE()))/VLOOKUP($K735,Lists!$N$2:$O$6,2,FALSE()),2))</f>
        <v/>
      </c>
      <c r="M735" s="104" t="str">
        <f aca="false">IF($B735="","",IF($AC735&lt;&gt;"",$AC735,IF($H735="Critical","P0",IF(NOT(ISNUMBER($L735)),"",IF($L735&gt;=Lists!$AM$2,"P0",IF($L735&gt;=Lists!$AM$3,"P1",IF($L735&gt;=Lists!$AM$4,"P2","P3")))))))</f>
        <v/>
      </c>
      <c r="N735" s="102"/>
      <c r="O735" s="101"/>
      <c r="P735" s="102"/>
      <c r="Q735" s="105"/>
      <c r="R735" s="106" t="str">
        <f aca="true">IF($Q735="","", TODAY()-$Q735)</f>
        <v/>
      </c>
      <c r="S735" s="102"/>
      <c r="T735" s="105"/>
      <c r="U735" s="105"/>
      <c r="V735" s="101"/>
      <c r="W735" s="101"/>
      <c r="X735" s="101"/>
      <c r="Y735" s="96"/>
      <c r="Z735" s="96"/>
      <c r="AA735" s="96"/>
      <c r="AC735" s="102"/>
      <c r="AD735" s="107" t="str">
        <f aca="false">IF($B735="","",IF(ISNUMBER($T735),$T735,IF(OR(NOT(ISNUMBER($Q735)),$S735=""),"",IFERROR(IF(ISNUMBER(INDEX(Lists!$AJ$2:$AJ$7,MATCH($S735,Lists!$AI$2:$AI$7,0))),$Q735+INDEX(Lists!$AJ$2:$AJ$7,MATCH($S735,Lists!$AI$2:$AI$7,0)),""),""))))</f>
        <v/>
      </c>
      <c r="AE735" s="104" t="str">
        <f aca="true">IF($B735="","",IF(AND(ISNUMBER($AD735),N($AD735)&lt;TODAY(),$N735&lt;&gt;"Done",$N735&lt;&gt;"Won't Fix",$N735&lt;&gt;"Duplicate"),"Yes","No"))</f>
        <v/>
      </c>
      <c r="AF735" s="101"/>
      <c r="AG735" s="108" t="str">
        <f aca="false">IF($AF735="","",IFERROR(VLOOKUP($AF735,'Application Portfolio'!$A$2:$B$1000,2,FALSE()),"Unknown App ID"))</f>
        <v/>
      </c>
      <c r="AH735" s="108" t="str">
        <f aca="false">IF(OR($B735="",$AF735=""),"",IFERROR(VLOOKUP($AF735,'Application Portfolio'!$A$2:$AB$1000,28,FALSE()),""))</f>
        <v/>
      </c>
    </row>
    <row r="736" customFormat="false" ht="15.75" hidden="false" customHeight="true" outlineLevel="0" collapsed="false">
      <c r="A736" s="100"/>
      <c r="B736" s="101"/>
      <c r="C736" s="101"/>
      <c r="D736" s="101"/>
      <c r="E736" s="101"/>
      <c r="F736" s="102"/>
      <c r="G736" s="102"/>
      <c r="H736" s="102"/>
      <c r="I736" s="102"/>
      <c r="J736" s="102"/>
      <c r="K736" s="102"/>
      <c r="L736" s="103" t="str">
        <f aca="false">IF(OR($B736="", $H736="", $I736="", $J736="", $K736=""),"",ROUND((VLOOKUP($H736,Lists!$E$2:$F$5,2,FALSE())*VLOOKUP($I736,Lists!$H$2:$I$4,2,FALSE())*VLOOKUP($J736,Lists!$K$2:$L$4,2,FALSE()))/VLOOKUP($K736,Lists!$N$2:$O$6,2,FALSE()),2))</f>
        <v/>
      </c>
      <c r="M736" s="104" t="str">
        <f aca="false">IF($B736="","",IF($AC736&lt;&gt;"",$AC736,IF($H736="Critical","P0",IF(NOT(ISNUMBER($L736)),"",IF($L736&gt;=Lists!$AM$2,"P0",IF($L736&gt;=Lists!$AM$3,"P1",IF($L736&gt;=Lists!$AM$4,"P2","P3")))))))</f>
        <v/>
      </c>
      <c r="N736" s="102"/>
      <c r="O736" s="101"/>
      <c r="P736" s="102"/>
      <c r="Q736" s="105"/>
      <c r="R736" s="106" t="str">
        <f aca="true">IF($Q736="","", TODAY()-$Q736)</f>
        <v/>
      </c>
      <c r="S736" s="102"/>
      <c r="T736" s="105"/>
      <c r="U736" s="105"/>
      <c r="V736" s="101"/>
      <c r="W736" s="101"/>
      <c r="X736" s="101"/>
      <c r="Y736" s="96"/>
      <c r="Z736" s="96"/>
      <c r="AA736" s="96"/>
      <c r="AC736" s="102"/>
      <c r="AD736" s="107" t="str">
        <f aca="false">IF($B736="","",IF(ISNUMBER($T736),$T736,IF(OR(NOT(ISNUMBER($Q736)),$S736=""),"",IFERROR(IF(ISNUMBER(INDEX(Lists!$AJ$2:$AJ$7,MATCH($S736,Lists!$AI$2:$AI$7,0))),$Q736+INDEX(Lists!$AJ$2:$AJ$7,MATCH($S736,Lists!$AI$2:$AI$7,0)),""),""))))</f>
        <v/>
      </c>
      <c r="AE736" s="104" t="str">
        <f aca="true">IF($B736="","",IF(AND(ISNUMBER($AD736),N($AD736)&lt;TODAY(),$N736&lt;&gt;"Done",$N736&lt;&gt;"Won't Fix",$N736&lt;&gt;"Duplicate"),"Yes","No"))</f>
        <v/>
      </c>
      <c r="AF736" s="101"/>
      <c r="AG736" s="108" t="str">
        <f aca="false">IF($AF736="","",IFERROR(VLOOKUP($AF736,'Application Portfolio'!$A$2:$B$1000,2,FALSE()),"Unknown App ID"))</f>
        <v/>
      </c>
      <c r="AH736" s="108" t="str">
        <f aca="false">IF(OR($B736="",$AF736=""),"",IFERROR(VLOOKUP($AF736,'Application Portfolio'!$A$2:$AB$1000,28,FALSE()),""))</f>
        <v/>
      </c>
    </row>
    <row r="737" customFormat="false" ht="15.75" hidden="false" customHeight="true" outlineLevel="0" collapsed="false">
      <c r="A737" s="100"/>
      <c r="B737" s="101"/>
      <c r="C737" s="101"/>
      <c r="D737" s="101"/>
      <c r="E737" s="101"/>
      <c r="F737" s="102"/>
      <c r="G737" s="102"/>
      <c r="H737" s="102"/>
      <c r="I737" s="102"/>
      <c r="J737" s="102"/>
      <c r="K737" s="102"/>
      <c r="L737" s="103" t="str">
        <f aca="false">IF(OR($B737="", $H737="", $I737="", $J737="", $K737=""),"",ROUND((VLOOKUP($H737,Lists!$E$2:$F$5,2,FALSE())*VLOOKUP($I737,Lists!$H$2:$I$4,2,FALSE())*VLOOKUP($J737,Lists!$K$2:$L$4,2,FALSE()))/VLOOKUP($K737,Lists!$N$2:$O$6,2,FALSE()),2))</f>
        <v/>
      </c>
      <c r="M737" s="104" t="str">
        <f aca="false">IF($B737="","",IF($AC737&lt;&gt;"",$AC737,IF($H737="Critical","P0",IF(NOT(ISNUMBER($L737)),"",IF($L737&gt;=Lists!$AM$2,"P0",IF($L737&gt;=Lists!$AM$3,"P1",IF($L737&gt;=Lists!$AM$4,"P2","P3")))))))</f>
        <v/>
      </c>
      <c r="N737" s="102"/>
      <c r="O737" s="101"/>
      <c r="P737" s="102"/>
      <c r="Q737" s="105"/>
      <c r="R737" s="106" t="str">
        <f aca="true">IF($Q737="","", TODAY()-$Q737)</f>
        <v/>
      </c>
      <c r="S737" s="102"/>
      <c r="T737" s="105"/>
      <c r="U737" s="105"/>
      <c r="V737" s="101"/>
      <c r="W737" s="101"/>
      <c r="X737" s="101"/>
      <c r="Y737" s="96"/>
      <c r="Z737" s="96"/>
      <c r="AA737" s="96"/>
      <c r="AC737" s="102"/>
      <c r="AD737" s="107" t="str">
        <f aca="false">IF($B737="","",IF(ISNUMBER($T737),$T737,IF(OR(NOT(ISNUMBER($Q737)),$S737=""),"",IFERROR(IF(ISNUMBER(INDEX(Lists!$AJ$2:$AJ$7,MATCH($S737,Lists!$AI$2:$AI$7,0))),$Q737+INDEX(Lists!$AJ$2:$AJ$7,MATCH($S737,Lists!$AI$2:$AI$7,0)),""),""))))</f>
        <v/>
      </c>
      <c r="AE737" s="104" t="str">
        <f aca="true">IF($B737="","",IF(AND(ISNUMBER($AD737),N($AD737)&lt;TODAY(),$N737&lt;&gt;"Done",$N737&lt;&gt;"Won't Fix",$N737&lt;&gt;"Duplicate"),"Yes","No"))</f>
        <v/>
      </c>
      <c r="AF737" s="101"/>
      <c r="AG737" s="108" t="str">
        <f aca="false">IF($AF737="","",IFERROR(VLOOKUP($AF737,'Application Portfolio'!$A$2:$B$1000,2,FALSE()),"Unknown App ID"))</f>
        <v/>
      </c>
      <c r="AH737" s="108" t="str">
        <f aca="false">IF(OR($B737="",$AF737=""),"",IFERROR(VLOOKUP($AF737,'Application Portfolio'!$A$2:$AB$1000,28,FALSE()),""))</f>
        <v/>
      </c>
    </row>
    <row r="738" customFormat="false" ht="15.75" hidden="false" customHeight="true" outlineLevel="0" collapsed="false">
      <c r="A738" s="100"/>
      <c r="B738" s="101"/>
      <c r="C738" s="101"/>
      <c r="D738" s="101"/>
      <c r="E738" s="101"/>
      <c r="F738" s="102"/>
      <c r="G738" s="102"/>
      <c r="H738" s="102"/>
      <c r="I738" s="102"/>
      <c r="J738" s="102"/>
      <c r="K738" s="102"/>
      <c r="L738" s="103" t="str">
        <f aca="false">IF(OR($B738="", $H738="", $I738="", $J738="", $K738=""),"",ROUND((VLOOKUP($H738,Lists!$E$2:$F$5,2,FALSE())*VLOOKUP($I738,Lists!$H$2:$I$4,2,FALSE())*VLOOKUP($J738,Lists!$K$2:$L$4,2,FALSE()))/VLOOKUP($K738,Lists!$N$2:$O$6,2,FALSE()),2))</f>
        <v/>
      </c>
      <c r="M738" s="104" t="str">
        <f aca="false">IF($B738="","",IF($AC738&lt;&gt;"",$AC738,IF($H738="Critical","P0",IF(NOT(ISNUMBER($L738)),"",IF($L738&gt;=Lists!$AM$2,"P0",IF($L738&gt;=Lists!$AM$3,"P1",IF($L738&gt;=Lists!$AM$4,"P2","P3")))))))</f>
        <v/>
      </c>
      <c r="N738" s="102"/>
      <c r="O738" s="101"/>
      <c r="P738" s="102"/>
      <c r="Q738" s="105"/>
      <c r="R738" s="106" t="str">
        <f aca="true">IF($Q738="","", TODAY()-$Q738)</f>
        <v/>
      </c>
      <c r="S738" s="102"/>
      <c r="T738" s="105"/>
      <c r="U738" s="105"/>
      <c r="V738" s="101"/>
      <c r="W738" s="101"/>
      <c r="X738" s="101"/>
      <c r="Y738" s="96"/>
      <c r="Z738" s="96"/>
      <c r="AA738" s="96"/>
      <c r="AC738" s="102"/>
      <c r="AD738" s="107" t="str">
        <f aca="false">IF($B738="","",IF(ISNUMBER($T738),$T738,IF(OR(NOT(ISNUMBER($Q738)),$S738=""),"",IFERROR(IF(ISNUMBER(INDEX(Lists!$AJ$2:$AJ$7,MATCH($S738,Lists!$AI$2:$AI$7,0))),$Q738+INDEX(Lists!$AJ$2:$AJ$7,MATCH($S738,Lists!$AI$2:$AI$7,0)),""),""))))</f>
        <v/>
      </c>
      <c r="AE738" s="104" t="str">
        <f aca="true">IF($B738="","",IF(AND(ISNUMBER($AD738),N($AD738)&lt;TODAY(),$N738&lt;&gt;"Done",$N738&lt;&gt;"Won't Fix",$N738&lt;&gt;"Duplicate"),"Yes","No"))</f>
        <v/>
      </c>
      <c r="AF738" s="101"/>
      <c r="AG738" s="108" t="str">
        <f aca="false">IF($AF738="","",IFERROR(VLOOKUP($AF738,'Application Portfolio'!$A$2:$B$1000,2,FALSE()),"Unknown App ID"))</f>
        <v/>
      </c>
      <c r="AH738" s="108" t="str">
        <f aca="false">IF(OR($B738="",$AF738=""),"",IFERROR(VLOOKUP($AF738,'Application Portfolio'!$A$2:$AB$1000,28,FALSE()),""))</f>
        <v/>
      </c>
    </row>
    <row r="739" customFormat="false" ht="15.75" hidden="false" customHeight="true" outlineLevel="0" collapsed="false">
      <c r="A739" s="100"/>
      <c r="B739" s="101"/>
      <c r="C739" s="101"/>
      <c r="D739" s="101"/>
      <c r="E739" s="101"/>
      <c r="F739" s="102"/>
      <c r="G739" s="102"/>
      <c r="H739" s="102"/>
      <c r="I739" s="102"/>
      <c r="J739" s="102"/>
      <c r="K739" s="102"/>
      <c r="L739" s="103" t="str">
        <f aca="false">IF(OR($B739="", $H739="", $I739="", $J739="", $K739=""),"",ROUND((VLOOKUP($H739,Lists!$E$2:$F$5,2,FALSE())*VLOOKUP($I739,Lists!$H$2:$I$4,2,FALSE())*VLOOKUP($J739,Lists!$K$2:$L$4,2,FALSE()))/VLOOKUP($K739,Lists!$N$2:$O$6,2,FALSE()),2))</f>
        <v/>
      </c>
      <c r="M739" s="104" t="str">
        <f aca="false">IF($B739="","",IF($AC739&lt;&gt;"",$AC739,IF($H739="Critical","P0",IF(NOT(ISNUMBER($L739)),"",IF($L739&gt;=Lists!$AM$2,"P0",IF($L739&gt;=Lists!$AM$3,"P1",IF($L739&gt;=Lists!$AM$4,"P2","P3")))))))</f>
        <v/>
      </c>
      <c r="N739" s="102"/>
      <c r="O739" s="101"/>
      <c r="P739" s="102"/>
      <c r="Q739" s="105"/>
      <c r="R739" s="106" t="str">
        <f aca="true">IF($Q739="","", TODAY()-$Q739)</f>
        <v/>
      </c>
      <c r="S739" s="102"/>
      <c r="T739" s="105"/>
      <c r="U739" s="105"/>
      <c r="V739" s="101"/>
      <c r="W739" s="101"/>
      <c r="X739" s="101"/>
      <c r="Y739" s="96"/>
      <c r="Z739" s="96"/>
      <c r="AA739" s="96"/>
      <c r="AC739" s="102"/>
      <c r="AD739" s="107" t="str">
        <f aca="false">IF($B739="","",IF(ISNUMBER($T739),$T739,IF(OR(NOT(ISNUMBER($Q739)),$S739=""),"",IFERROR(IF(ISNUMBER(INDEX(Lists!$AJ$2:$AJ$7,MATCH($S739,Lists!$AI$2:$AI$7,0))),$Q739+INDEX(Lists!$AJ$2:$AJ$7,MATCH($S739,Lists!$AI$2:$AI$7,0)),""),""))))</f>
        <v/>
      </c>
      <c r="AE739" s="104" t="str">
        <f aca="true">IF($B739="","",IF(AND(ISNUMBER($AD739),N($AD739)&lt;TODAY(),$N739&lt;&gt;"Done",$N739&lt;&gt;"Won't Fix",$N739&lt;&gt;"Duplicate"),"Yes","No"))</f>
        <v/>
      </c>
      <c r="AF739" s="101"/>
      <c r="AG739" s="108" t="str">
        <f aca="false">IF($AF739="","",IFERROR(VLOOKUP($AF739,'Application Portfolio'!$A$2:$B$1000,2,FALSE()),"Unknown App ID"))</f>
        <v/>
      </c>
      <c r="AH739" s="108" t="str">
        <f aca="false">IF(OR($B739="",$AF739=""),"",IFERROR(VLOOKUP($AF739,'Application Portfolio'!$A$2:$AB$1000,28,FALSE()),""))</f>
        <v/>
      </c>
    </row>
    <row r="740" customFormat="false" ht="15.75" hidden="false" customHeight="true" outlineLevel="0" collapsed="false">
      <c r="A740" s="100"/>
      <c r="B740" s="101"/>
      <c r="C740" s="101"/>
      <c r="D740" s="101"/>
      <c r="E740" s="101"/>
      <c r="F740" s="102"/>
      <c r="G740" s="102"/>
      <c r="H740" s="102"/>
      <c r="I740" s="102"/>
      <c r="J740" s="102"/>
      <c r="K740" s="102"/>
      <c r="L740" s="103" t="str">
        <f aca="false">IF(OR($B740="", $H740="", $I740="", $J740="", $K740=""),"",ROUND((VLOOKUP($H740,Lists!$E$2:$F$5,2,FALSE())*VLOOKUP($I740,Lists!$H$2:$I$4,2,FALSE())*VLOOKUP($J740,Lists!$K$2:$L$4,2,FALSE()))/VLOOKUP($K740,Lists!$N$2:$O$6,2,FALSE()),2))</f>
        <v/>
      </c>
      <c r="M740" s="104" t="str">
        <f aca="false">IF($B740="","",IF($AC740&lt;&gt;"",$AC740,IF($H740="Critical","P0",IF(NOT(ISNUMBER($L740)),"",IF($L740&gt;=Lists!$AM$2,"P0",IF($L740&gt;=Lists!$AM$3,"P1",IF($L740&gt;=Lists!$AM$4,"P2","P3")))))))</f>
        <v/>
      </c>
      <c r="N740" s="102"/>
      <c r="O740" s="101"/>
      <c r="P740" s="102"/>
      <c r="Q740" s="105"/>
      <c r="R740" s="106" t="str">
        <f aca="true">IF($Q740="","", TODAY()-$Q740)</f>
        <v/>
      </c>
      <c r="S740" s="102"/>
      <c r="T740" s="105"/>
      <c r="U740" s="105"/>
      <c r="V740" s="101"/>
      <c r="W740" s="101"/>
      <c r="X740" s="101"/>
      <c r="Y740" s="96"/>
      <c r="Z740" s="96"/>
      <c r="AA740" s="96"/>
      <c r="AC740" s="102"/>
      <c r="AD740" s="107" t="str">
        <f aca="false">IF($B740="","",IF(ISNUMBER($T740),$T740,IF(OR(NOT(ISNUMBER($Q740)),$S740=""),"",IFERROR(IF(ISNUMBER(INDEX(Lists!$AJ$2:$AJ$7,MATCH($S740,Lists!$AI$2:$AI$7,0))),$Q740+INDEX(Lists!$AJ$2:$AJ$7,MATCH($S740,Lists!$AI$2:$AI$7,0)),""),""))))</f>
        <v/>
      </c>
      <c r="AE740" s="104" t="str">
        <f aca="true">IF($B740="","",IF(AND(ISNUMBER($AD740),N($AD740)&lt;TODAY(),$N740&lt;&gt;"Done",$N740&lt;&gt;"Won't Fix",$N740&lt;&gt;"Duplicate"),"Yes","No"))</f>
        <v/>
      </c>
      <c r="AF740" s="101"/>
      <c r="AG740" s="108" t="str">
        <f aca="false">IF($AF740="","",IFERROR(VLOOKUP($AF740,'Application Portfolio'!$A$2:$B$1000,2,FALSE()),"Unknown App ID"))</f>
        <v/>
      </c>
      <c r="AH740" s="108" t="str">
        <f aca="false">IF(OR($B740="",$AF740=""),"",IFERROR(VLOOKUP($AF740,'Application Portfolio'!$A$2:$AB$1000,28,FALSE()),""))</f>
        <v/>
      </c>
    </row>
    <row r="741" customFormat="false" ht="15.75" hidden="false" customHeight="true" outlineLevel="0" collapsed="false">
      <c r="A741" s="100"/>
      <c r="B741" s="101"/>
      <c r="C741" s="101"/>
      <c r="D741" s="101"/>
      <c r="E741" s="101"/>
      <c r="F741" s="102"/>
      <c r="G741" s="102"/>
      <c r="H741" s="102"/>
      <c r="I741" s="102"/>
      <c r="J741" s="102"/>
      <c r="K741" s="102"/>
      <c r="L741" s="103" t="str">
        <f aca="false">IF(OR($B741="", $H741="", $I741="", $J741="", $K741=""),"",ROUND((VLOOKUP($H741,Lists!$E$2:$F$5,2,FALSE())*VLOOKUP($I741,Lists!$H$2:$I$4,2,FALSE())*VLOOKUP($J741,Lists!$K$2:$L$4,2,FALSE()))/VLOOKUP($K741,Lists!$N$2:$O$6,2,FALSE()),2))</f>
        <v/>
      </c>
      <c r="M741" s="104" t="str">
        <f aca="false">IF($B741="","",IF($AC741&lt;&gt;"",$AC741,IF($H741="Critical","P0",IF(NOT(ISNUMBER($L741)),"",IF($L741&gt;=Lists!$AM$2,"P0",IF($L741&gt;=Lists!$AM$3,"P1",IF($L741&gt;=Lists!$AM$4,"P2","P3")))))))</f>
        <v/>
      </c>
      <c r="N741" s="102"/>
      <c r="O741" s="101"/>
      <c r="P741" s="102"/>
      <c r="Q741" s="105"/>
      <c r="R741" s="106" t="str">
        <f aca="true">IF($Q741="","", TODAY()-$Q741)</f>
        <v/>
      </c>
      <c r="S741" s="102"/>
      <c r="T741" s="105"/>
      <c r="U741" s="105"/>
      <c r="V741" s="101"/>
      <c r="W741" s="101"/>
      <c r="X741" s="101"/>
      <c r="Y741" s="96"/>
      <c r="Z741" s="96"/>
      <c r="AA741" s="96"/>
      <c r="AC741" s="102"/>
      <c r="AD741" s="107" t="str">
        <f aca="false">IF($B741="","",IF(ISNUMBER($T741),$T741,IF(OR(NOT(ISNUMBER($Q741)),$S741=""),"",IFERROR(IF(ISNUMBER(INDEX(Lists!$AJ$2:$AJ$7,MATCH($S741,Lists!$AI$2:$AI$7,0))),$Q741+INDEX(Lists!$AJ$2:$AJ$7,MATCH($S741,Lists!$AI$2:$AI$7,0)),""),""))))</f>
        <v/>
      </c>
      <c r="AE741" s="104" t="str">
        <f aca="true">IF($B741="","",IF(AND(ISNUMBER($AD741),N($AD741)&lt;TODAY(),$N741&lt;&gt;"Done",$N741&lt;&gt;"Won't Fix",$N741&lt;&gt;"Duplicate"),"Yes","No"))</f>
        <v/>
      </c>
      <c r="AF741" s="101"/>
      <c r="AG741" s="108" t="str">
        <f aca="false">IF($AF741="","",IFERROR(VLOOKUP($AF741,'Application Portfolio'!$A$2:$B$1000,2,FALSE()),"Unknown App ID"))</f>
        <v/>
      </c>
      <c r="AH741" s="108" t="str">
        <f aca="false">IF(OR($B741="",$AF741=""),"",IFERROR(VLOOKUP($AF741,'Application Portfolio'!$A$2:$AB$1000,28,FALSE()),""))</f>
        <v/>
      </c>
    </row>
    <row r="742" customFormat="false" ht="15.75" hidden="false" customHeight="true" outlineLevel="0" collapsed="false">
      <c r="A742" s="100"/>
      <c r="B742" s="101"/>
      <c r="C742" s="101"/>
      <c r="D742" s="101"/>
      <c r="E742" s="101"/>
      <c r="F742" s="102"/>
      <c r="G742" s="102"/>
      <c r="H742" s="102"/>
      <c r="I742" s="102"/>
      <c r="J742" s="102"/>
      <c r="K742" s="102"/>
      <c r="L742" s="103" t="str">
        <f aca="false">IF(OR($B742="", $H742="", $I742="", $J742="", $K742=""),"",ROUND((VLOOKUP($H742,Lists!$E$2:$F$5,2,FALSE())*VLOOKUP($I742,Lists!$H$2:$I$4,2,FALSE())*VLOOKUP($J742,Lists!$K$2:$L$4,2,FALSE()))/VLOOKUP($K742,Lists!$N$2:$O$6,2,FALSE()),2))</f>
        <v/>
      </c>
      <c r="M742" s="104" t="str">
        <f aca="false">IF($B742="","",IF($AC742&lt;&gt;"",$AC742,IF($H742="Critical","P0",IF(NOT(ISNUMBER($L742)),"",IF($L742&gt;=Lists!$AM$2,"P0",IF($L742&gt;=Lists!$AM$3,"P1",IF($L742&gt;=Lists!$AM$4,"P2","P3")))))))</f>
        <v/>
      </c>
      <c r="N742" s="102"/>
      <c r="O742" s="101"/>
      <c r="P742" s="102"/>
      <c r="Q742" s="105"/>
      <c r="R742" s="106" t="str">
        <f aca="true">IF($Q742="","", TODAY()-$Q742)</f>
        <v/>
      </c>
      <c r="S742" s="102"/>
      <c r="T742" s="105"/>
      <c r="U742" s="105"/>
      <c r="V742" s="101"/>
      <c r="W742" s="101"/>
      <c r="X742" s="101"/>
      <c r="Y742" s="96"/>
      <c r="Z742" s="96"/>
      <c r="AA742" s="96"/>
      <c r="AC742" s="102"/>
      <c r="AD742" s="107" t="str">
        <f aca="false">IF($B742="","",IF(ISNUMBER($T742),$T742,IF(OR(NOT(ISNUMBER($Q742)),$S742=""),"",IFERROR(IF(ISNUMBER(INDEX(Lists!$AJ$2:$AJ$7,MATCH($S742,Lists!$AI$2:$AI$7,0))),$Q742+INDEX(Lists!$AJ$2:$AJ$7,MATCH($S742,Lists!$AI$2:$AI$7,0)),""),""))))</f>
        <v/>
      </c>
      <c r="AE742" s="104" t="str">
        <f aca="true">IF($B742="","",IF(AND(ISNUMBER($AD742),N($AD742)&lt;TODAY(),$N742&lt;&gt;"Done",$N742&lt;&gt;"Won't Fix",$N742&lt;&gt;"Duplicate"),"Yes","No"))</f>
        <v/>
      </c>
      <c r="AF742" s="101"/>
      <c r="AG742" s="108" t="str">
        <f aca="false">IF($AF742="","",IFERROR(VLOOKUP($AF742,'Application Portfolio'!$A$2:$B$1000,2,FALSE()),"Unknown App ID"))</f>
        <v/>
      </c>
      <c r="AH742" s="108" t="str">
        <f aca="false">IF(OR($B742="",$AF742=""),"",IFERROR(VLOOKUP($AF742,'Application Portfolio'!$A$2:$AB$1000,28,FALSE()),""))</f>
        <v/>
      </c>
    </row>
    <row r="743" customFormat="false" ht="15.75" hidden="false" customHeight="true" outlineLevel="0" collapsed="false">
      <c r="A743" s="100"/>
      <c r="B743" s="101"/>
      <c r="C743" s="101"/>
      <c r="D743" s="101"/>
      <c r="E743" s="101"/>
      <c r="F743" s="102"/>
      <c r="G743" s="102"/>
      <c r="H743" s="102"/>
      <c r="I743" s="102"/>
      <c r="J743" s="102"/>
      <c r="K743" s="102"/>
      <c r="L743" s="103" t="str">
        <f aca="false">IF(OR($B743="", $H743="", $I743="", $J743="", $K743=""),"",ROUND((VLOOKUP($H743,Lists!$E$2:$F$5,2,FALSE())*VLOOKUP($I743,Lists!$H$2:$I$4,2,FALSE())*VLOOKUP($J743,Lists!$K$2:$L$4,2,FALSE()))/VLOOKUP($K743,Lists!$N$2:$O$6,2,FALSE()),2))</f>
        <v/>
      </c>
      <c r="M743" s="104" t="str">
        <f aca="false">IF($B743="","",IF($AC743&lt;&gt;"",$AC743,IF($H743="Critical","P0",IF(NOT(ISNUMBER($L743)),"",IF($L743&gt;=Lists!$AM$2,"P0",IF($L743&gt;=Lists!$AM$3,"P1",IF($L743&gt;=Lists!$AM$4,"P2","P3")))))))</f>
        <v/>
      </c>
      <c r="N743" s="102"/>
      <c r="O743" s="101"/>
      <c r="P743" s="102"/>
      <c r="Q743" s="105"/>
      <c r="R743" s="106" t="str">
        <f aca="true">IF($Q743="","", TODAY()-$Q743)</f>
        <v/>
      </c>
      <c r="S743" s="102"/>
      <c r="T743" s="105"/>
      <c r="U743" s="105"/>
      <c r="V743" s="101"/>
      <c r="W743" s="101"/>
      <c r="X743" s="101"/>
      <c r="Y743" s="96"/>
      <c r="Z743" s="96"/>
      <c r="AA743" s="96"/>
      <c r="AC743" s="102"/>
      <c r="AD743" s="107" t="str">
        <f aca="false">IF($B743="","",IF(ISNUMBER($T743),$T743,IF(OR(NOT(ISNUMBER($Q743)),$S743=""),"",IFERROR(IF(ISNUMBER(INDEX(Lists!$AJ$2:$AJ$7,MATCH($S743,Lists!$AI$2:$AI$7,0))),$Q743+INDEX(Lists!$AJ$2:$AJ$7,MATCH($S743,Lists!$AI$2:$AI$7,0)),""),""))))</f>
        <v/>
      </c>
      <c r="AE743" s="104" t="str">
        <f aca="true">IF($B743="","",IF(AND(ISNUMBER($AD743),N($AD743)&lt;TODAY(),$N743&lt;&gt;"Done",$N743&lt;&gt;"Won't Fix",$N743&lt;&gt;"Duplicate"),"Yes","No"))</f>
        <v/>
      </c>
      <c r="AF743" s="101"/>
      <c r="AG743" s="108" t="str">
        <f aca="false">IF($AF743="","",IFERROR(VLOOKUP($AF743,'Application Portfolio'!$A$2:$B$1000,2,FALSE()),"Unknown App ID"))</f>
        <v/>
      </c>
      <c r="AH743" s="108" t="str">
        <f aca="false">IF(OR($B743="",$AF743=""),"",IFERROR(VLOOKUP($AF743,'Application Portfolio'!$A$2:$AB$1000,28,FALSE()),""))</f>
        <v/>
      </c>
    </row>
    <row r="744" customFormat="false" ht="15.75" hidden="false" customHeight="true" outlineLevel="0" collapsed="false">
      <c r="A744" s="100"/>
      <c r="B744" s="101"/>
      <c r="C744" s="101"/>
      <c r="D744" s="101"/>
      <c r="E744" s="101"/>
      <c r="F744" s="102"/>
      <c r="G744" s="102"/>
      <c r="H744" s="102"/>
      <c r="I744" s="102"/>
      <c r="J744" s="102"/>
      <c r="K744" s="102"/>
      <c r="L744" s="103" t="str">
        <f aca="false">IF(OR($B744="", $H744="", $I744="", $J744="", $K744=""),"",ROUND((VLOOKUP($H744,Lists!$E$2:$F$5,2,FALSE())*VLOOKUP($I744,Lists!$H$2:$I$4,2,FALSE())*VLOOKUP($J744,Lists!$K$2:$L$4,2,FALSE()))/VLOOKUP($K744,Lists!$N$2:$O$6,2,FALSE()),2))</f>
        <v/>
      </c>
      <c r="M744" s="104" t="str">
        <f aca="false">IF($B744="","",IF($AC744&lt;&gt;"",$AC744,IF($H744="Critical","P0",IF(NOT(ISNUMBER($L744)),"",IF($L744&gt;=Lists!$AM$2,"P0",IF($L744&gt;=Lists!$AM$3,"P1",IF($L744&gt;=Lists!$AM$4,"P2","P3")))))))</f>
        <v/>
      </c>
      <c r="N744" s="102"/>
      <c r="O744" s="101"/>
      <c r="P744" s="102"/>
      <c r="Q744" s="105"/>
      <c r="R744" s="106" t="str">
        <f aca="true">IF($Q744="","", TODAY()-$Q744)</f>
        <v/>
      </c>
      <c r="S744" s="102"/>
      <c r="T744" s="105"/>
      <c r="U744" s="105"/>
      <c r="V744" s="101"/>
      <c r="W744" s="101"/>
      <c r="X744" s="101"/>
      <c r="Y744" s="96"/>
      <c r="Z744" s="96"/>
      <c r="AA744" s="96"/>
      <c r="AC744" s="102"/>
      <c r="AD744" s="107" t="str">
        <f aca="false">IF($B744="","",IF(ISNUMBER($T744),$T744,IF(OR(NOT(ISNUMBER($Q744)),$S744=""),"",IFERROR(IF(ISNUMBER(INDEX(Lists!$AJ$2:$AJ$7,MATCH($S744,Lists!$AI$2:$AI$7,0))),$Q744+INDEX(Lists!$AJ$2:$AJ$7,MATCH($S744,Lists!$AI$2:$AI$7,0)),""),""))))</f>
        <v/>
      </c>
      <c r="AE744" s="104" t="str">
        <f aca="true">IF($B744="","",IF(AND(ISNUMBER($AD744),N($AD744)&lt;TODAY(),$N744&lt;&gt;"Done",$N744&lt;&gt;"Won't Fix",$N744&lt;&gt;"Duplicate"),"Yes","No"))</f>
        <v/>
      </c>
      <c r="AF744" s="101"/>
      <c r="AG744" s="108" t="str">
        <f aca="false">IF($AF744="","",IFERROR(VLOOKUP($AF744,'Application Portfolio'!$A$2:$B$1000,2,FALSE()),"Unknown App ID"))</f>
        <v/>
      </c>
      <c r="AH744" s="108" t="str">
        <f aca="false">IF(OR($B744="",$AF744=""),"",IFERROR(VLOOKUP($AF744,'Application Portfolio'!$A$2:$AB$1000,28,FALSE()),""))</f>
        <v/>
      </c>
    </row>
    <row r="745" customFormat="false" ht="15.75" hidden="false" customHeight="true" outlineLevel="0" collapsed="false">
      <c r="A745" s="100"/>
      <c r="B745" s="101"/>
      <c r="C745" s="101"/>
      <c r="D745" s="101"/>
      <c r="E745" s="101"/>
      <c r="F745" s="102"/>
      <c r="G745" s="102"/>
      <c r="H745" s="102"/>
      <c r="I745" s="102"/>
      <c r="J745" s="102"/>
      <c r="K745" s="102"/>
      <c r="L745" s="103" t="str">
        <f aca="false">IF(OR($B745="", $H745="", $I745="", $J745="", $K745=""),"",ROUND((VLOOKUP($H745,Lists!$E$2:$F$5,2,FALSE())*VLOOKUP($I745,Lists!$H$2:$I$4,2,FALSE())*VLOOKUP($J745,Lists!$K$2:$L$4,2,FALSE()))/VLOOKUP($K745,Lists!$N$2:$O$6,2,FALSE()),2))</f>
        <v/>
      </c>
      <c r="M745" s="104" t="str">
        <f aca="false">IF($B745="","",IF($AC745&lt;&gt;"",$AC745,IF($H745="Critical","P0",IF(NOT(ISNUMBER($L745)),"",IF($L745&gt;=Lists!$AM$2,"P0",IF($L745&gt;=Lists!$AM$3,"P1",IF($L745&gt;=Lists!$AM$4,"P2","P3")))))))</f>
        <v/>
      </c>
      <c r="N745" s="102"/>
      <c r="O745" s="101"/>
      <c r="P745" s="102"/>
      <c r="Q745" s="105"/>
      <c r="R745" s="106" t="str">
        <f aca="true">IF($Q745="","", TODAY()-$Q745)</f>
        <v/>
      </c>
      <c r="S745" s="102"/>
      <c r="T745" s="105"/>
      <c r="U745" s="105"/>
      <c r="V745" s="101"/>
      <c r="W745" s="101"/>
      <c r="X745" s="101"/>
      <c r="Y745" s="96"/>
      <c r="Z745" s="96"/>
      <c r="AA745" s="96"/>
      <c r="AC745" s="102"/>
      <c r="AD745" s="107" t="str">
        <f aca="false">IF($B745="","",IF(ISNUMBER($T745),$T745,IF(OR(NOT(ISNUMBER($Q745)),$S745=""),"",IFERROR(IF(ISNUMBER(INDEX(Lists!$AJ$2:$AJ$7,MATCH($S745,Lists!$AI$2:$AI$7,0))),$Q745+INDEX(Lists!$AJ$2:$AJ$7,MATCH($S745,Lists!$AI$2:$AI$7,0)),""),""))))</f>
        <v/>
      </c>
      <c r="AE745" s="104" t="str">
        <f aca="true">IF($B745="","",IF(AND(ISNUMBER($AD745),N($AD745)&lt;TODAY(),$N745&lt;&gt;"Done",$N745&lt;&gt;"Won't Fix",$N745&lt;&gt;"Duplicate"),"Yes","No"))</f>
        <v/>
      </c>
      <c r="AF745" s="101"/>
      <c r="AG745" s="108" t="str">
        <f aca="false">IF($AF745="","",IFERROR(VLOOKUP($AF745,'Application Portfolio'!$A$2:$B$1000,2,FALSE()),"Unknown App ID"))</f>
        <v/>
      </c>
      <c r="AH745" s="108" t="str">
        <f aca="false">IF(OR($B745="",$AF745=""),"",IFERROR(VLOOKUP($AF745,'Application Portfolio'!$A$2:$AB$1000,28,FALSE()),""))</f>
        <v/>
      </c>
    </row>
    <row r="746" customFormat="false" ht="15.75" hidden="false" customHeight="true" outlineLevel="0" collapsed="false">
      <c r="A746" s="100"/>
      <c r="B746" s="101"/>
      <c r="C746" s="101"/>
      <c r="D746" s="101"/>
      <c r="E746" s="101"/>
      <c r="F746" s="102"/>
      <c r="G746" s="102"/>
      <c r="H746" s="102"/>
      <c r="I746" s="102"/>
      <c r="J746" s="102"/>
      <c r="K746" s="102"/>
      <c r="L746" s="103" t="str">
        <f aca="false">IF(OR($B746="", $H746="", $I746="", $J746="", $K746=""),"",ROUND((VLOOKUP($H746,Lists!$E$2:$F$5,2,FALSE())*VLOOKUP($I746,Lists!$H$2:$I$4,2,FALSE())*VLOOKUP($J746,Lists!$K$2:$L$4,2,FALSE()))/VLOOKUP($K746,Lists!$N$2:$O$6,2,FALSE()),2))</f>
        <v/>
      </c>
      <c r="M746" s="104" t="str">
        <f aca="false">IF($B746="","",IF($AC746&lt;&gt;"",$AC746,IF($H746="Critical","P0",IF(NOT(ISNUMBER($L746)),"",IF($L746&gt;=Lists!$AM$2,"P0",IF($L746&gt;=Lists!$AM$3,"P1",IF($L746&gt;=Lists!$AM$4,"P2","P3")))))))</f>
        <v/>
      </c>
      <c r="N746" s="102"/>
      <c r="O746" s="101"/>
      <c r="P746" s="102"/>
      <c r="Q746" s="105"/>
      <c r="R746" s="106" t="str">
        <f aca="true">IF($Q746="","", TODAY()-$Q746)</f>
        <v/>
      </c>
      <c r="S746" s="102"/>
      <c r="T746" s="105"/>
      <c r="U746" s="105"/>
      <c r="V746" s="101"/>
      <c r="W746" s="101"/>
      <c r="X746" s="101"/>
      <c r="Y746" s="96"/>
      <c r="Z746" s="96"/>
      <c r="AA746" s="96"/>
      <c r="AC746" s="102"/>
      <c r="AD746" s="107" t="str">
        <f aca="false">IF($B746="","",IF(ISNUMBER($T746),$T746,IF(OR(NOT(ISNUMBER($Q746)),$S746=""),"",IFERROR(IF(ISNUMBER(INDEX(Lists!$AJ$2:$AJ$7,MATCH($S746,Lists!$AI$2:$AI$7,0))),$Q746+INDEX(Lists!$AJ$2:$AJ$7,MATCH($S746,Lists!$AI$2:$AI$7,0)),""),""))))</f>
        <v/>
      </c>
      <c r="AE746" s="104" t="str">
        <f aca="true">IF($B746="","",IF(AND(ISNUMBER($AD746),N($AD746)&lt;TODAY(),$N746&lt;&gt;"Done",$N746&lt;&gt;"Won't Fix",$N746&lt;&gt;"Duplicate"),"Yes","No"))</f>
        <v/>
      </c>
      <c r="AF746" s="101"/>
      <c r="AG746" s="108" t="str">
        <f aca="false">IF($AF746="","",IFERROR(VLOOKUP($AF746,'Application Portfolio'!$A$2:$B$1000,2,FALSE()),"Unknown App ID"))</f>
        <v/>
      </c>
      <c r="AH746" s="108" t="str">
        <f aca="false">IF(OR($B746="",$AF746=""),"",IFERROR(VLOOKUP($AF746,'Application Portfolio'!$A$2:$AB$1000,28,FALSE()),""))</f>
        <v/>
      </c>
    </row>
    <row r="747" customFormat="false" ht="15.75" hidden="false" customHeight="true" outlineLevel="0" collapsed="false">
      <c r="A747" s="100"/>
      <c r="B747" s="101"/>
      <c r="C747" s="101"/>
      <c r="D747" s="101"/>
      <c r="E747" s="101"/>
      <c r="F747" s="102"/>
      <c r="G747" s="102"/>
      <c r="H747" s="102"/>
      <c r="I747" s="102"/>
      <c r="J747" s="102"/>
      <c r="K747" s="102"/>
      <c r="L747" s="103" t="str">
        <f aca="false">IF(OR($B747="", $H747="", $I747="", $J747="", $K747=""),"",ROUND((VLOOKUP($H747,Lists!$E$2:$F$5,2,FALSE())*VLOOKUP($I747,Lists!$H$2:$I$4,2,FALSE())*VLOOKUP($J747,Lists!$K$2:$L$4,2,FALSE()))/VLOOKUP($K747,Lists!$N$2:$O$6,2,FALSE()),2))</f>
        <v/>
      </c>
      <c r="M747" s="104" t="str">
        <f aca="false">IF($B747="","",IF($AC747&lt;&gt;"",$AC747,IF($H747="Critical","P0",IF(NOT(ISNUMBER($L747)),"",IF($L747&gt;=Lists!$AM$2,"P0",IF($L747&gt;=Lists!$AM$3,"P1",IF($L747&gt;=Lists!$AM$4,"P2","P3")))))))</f>
        <v/>
      </c>
      <c r="N747" s="102"/>
      <c r="O747" s="101"/>
      <c r="P747" s="102"/>
      <c r="Q747" s="105"/>
      <c r="R747" s="106" t="str">
        <f aca="true">IF($Q747="","", TODAY()-$Q747)</f>
        <v/>
      </c>
      <c r="S747" s="102"/>
      <c r="T747" s="105"/>
      <c r="U747" s="105"/>
      <c r="V747" s="101"/>
      <c r="W747" s="101"/>
      <c r="X747" s="101"/>
      <c r="Y747" s="96"/>
      <c r="Z747" s="96"/>
      <c r="AA747" s="96"/>
      <c r="AC747" s="102"/>
      <c r="AD747" s="107" t="str">
        <f aca="false">IF($B747="","",IF(ISNUMBER($T747),$T747,IF(OR(NOT(ISNUMBER($Q747)),$S747=""),"",IFERROR(IF(ISNUMBER(INDEX(Lists!$AJ$2:$AJ$7,MATCH($S747,Lists!$AI$2:$AI$7,0))),$Q747+INDEX(Lists!$AJ$2:$AJ$7,MATCH($S747,Lists!$AI$2:$AI$7,0)),""),""))))</f>
        <v/>
      </c>
      <c r="AE747" s="104" t="str">
        <f aca="true">IF($B747="","",IF(AND(ISNUMBER($AD747),N($AD747)&lt;TODAY(),$N747&lt;&gt;"Done",$N747&lt;&gt;"Won't Fix",$N747&lt;&gt;"Duplicate"),"Yes","No"))</f>
        <v/>
      </c>
      <c r="AF747" s="101"/>
      <c r="AG747" s="108" t="str">
        <f aca="false">IF($AF747="","",IFERROR(VLOOKUP($AF747,'Application Portfolio'!$A$2:$B$1000,2,FALSE()),"Unknown App ID"))</f>
        <v/>
      </c>
      <c r="AH747" s="108" t="str">
        <f aca="false">IF(OR($B747="",$AF747=""),"",IFERROR(VLOOKUP($AF747,'Application Portfolio'!$A$2:$AB$1000,28,FALSE()),""))</f>
        <v/>
      </c>
    </row>
    <row r="748" customFormat="false" ht="15.75" hidden="false" customHeight="true" outlineLevel="0" collapsed="false">
      <c r="A748" s="100"/>
      <c r="B748" s="101"/>
      <c r="C748" s="101"/>
      <c r="D748" s="101"/>
      <c r="E748" s="101"/>
      <c r="F748" s="102"/>
      <c r="G748" s="102"/>
      <c r="H748" s="102"/>
      <c r="I748" s="102"/>
      <c r="J748" s="102"/>
      <c r="K748" s="102"/>
      <c r="L748" s="103" t="str">
        <f aca="false">IF(OR($B748="", $H748="", $I748="", $J748="", $K748=""),"",ROUND((VLOOKUP($H748,Lists!$E$2:$F$5,2,FALSE())*VLOOKUP($I748,Lists!$H$2:$I$4,2,FALSE())*VLOOKUP($J748,Lists!$K$2:$L$4,2,FALSE()))/VLOOKUP($K748,Lists!$N$2:$O$6,2,FALSE()),2))</f>
        <v/>
      </c>
      <c r="M748" s="104" t="str">
        <f aca="false">IF($B748="","",IF($AC748&lt;&gt;"",$AC748,IF($H748="Critical","P0",IF(NOT(ISNUMBER($L748)),"",IF($L748&gt;=Lists!$AM$2,"P0",IF($L748&gt;=Lists!$AM$3,"P1",IF($L748&gt;=Lists!$AM$4,"P2","P3")))))))</f>
        <v/>
      </c>
      <c r="N748" s="102"/>
      <c r="O748" s="101"/>
      <c r="P748" s="102"/>
      <c r="Q748" s="105"/>
      <c r="R748" s="106" t="str">
        <f aca="true">IF($Q748="","", TODAY()-$Q748)</f>
        <v/>
      </c>
      <c r="S748" s="102"/>
      <c r="T748" s="105"/>
      <c r="U748" s="105"/>
      <c r="V748" s="101"/>
      <c r="W748" s="101"/>
      <c r="X748" s="101"/>
      <c r="Y748" s="96"/>
      <c r="Z748" s="96"/>
      <c r="AA748" s="96"/>
      <c r="AC748" s="102"/>
      <c r="AD748" s="107" t="str">
        <f aca="false">IF($B748="","",IF(ISNUMBER($T748),$T748,IF(OR(NOT(ISNUMBER($Q748)),$S748=""),"",IFERROR(IF(ISNUMBER(INDEX(Lists!$AJ$2:$AJ$7,MATCH($S748,Lists!$AI$2:$AI$7,0))),$Q748+INDEX(Lists!$AJ$2:$AJ$7,MATCH($S748,Lists!$AI$2:$AI$7,0)),""),""))))</f>
        <v/>
      </c>
      <c r="AE748" s="104" t="str">
        <f aca="true">IF($B748="","",IF(AND(ISNUMBER($AD748),N($AD748)&lt;TODAY(),$N748&lt;&gt;"Done",$N748&lt;&gt;"Won't Fix",$N748&lt;&gt;"Duplicate"),"Yes","No"))</f>
        <v/>
      </c>
      <c r="AF748" s="101"/>
      <c r="AG748" s="108" t="str">
        <f aca="false">IF($AF748="","",IFERROR(VLOOKUP($AF748,'Application Portfolio'!$A$2:$B$1000,2,FALSE()),"Unknown App ID"))</f>
        <v/>
      </c>
      <c r="AH748" s="108" t="str">
        <f aca="false">IF(OR($B748="",$AF748=""),"",IFERROR(VLOOKUP($AF748,'Application Portfolio'!$A$2:$AB$1000,28,FALSE()),""))</f>
        <v/>
      </c>
    </row>
    <row r="749" customFormat="false" ht="15.75" hidden="false" customHeight="true" outlineLevel="0" collapsed="false">
      <c r="A749" s="100"/>
      <c r="B749" s="101"/>
      <c r="C749" s="101"/>
      <c r="D749" s="101"/>
      <c r="E749" s="101"/>
      <c r="F749" s="102"/>
      <c r="G749" s="102"/>
      <c r="H749" s="102"/>
      <c r="I749" s="102"/>
      <c r="J749" s="102"/>
      <c r="K749" s="102"/>
      <c r="L749" s="103" t="str">
        <f aca="false">IF(OR($B749="", $H749="", $I749="", $J749="", $K749=""),"",ROUND((VLOOKUP($H749,Lists!$E$2:$F$5,2,FALSE())*VLOOKUP($I749,Lists!$H$2:$I$4,2,FALSE())*VLOOKUP($J749,Lists!$K$2:$L$4,2,FALSE()))/VLOOKUP($K749,Lists!$N$2:$O$6,2,FALSE()),2))</f>
        <v/>
      </c>
      <c r="M749" s="104" t="str">
        <f aca="false">IF($B749="","",IF($AC749&lt;&gt;"",$AC749,IF($H749="Critical","P0",IF(NOT(ISNUMBER($L749)),"",IF($L749&gt;=Lists!$AM$2,"P0",IF($L749&gt;=Lists!$AM$3,"P1",IF($L749&gt;=Lists!$AM$4,"P2","P3")))))))</f>
        <v/>
      </c>
      <c r="N749" s="102"/>
      <c r="O749" s="101"/>
      <c r="P749" s="102"/>
      <c r="Q749" s="105"/>
      <c r="R749" s="106" t="str">
        <f aca="true">IF($Q749="","", TODAY()-$Q749)</f>
        <v/>
      </c>
      <c r="S749" s="102"/>
      <c r="T749" s="105"/>
      <c r="U749" s="105"/>
      <c r="V749" s="101"/>
      <c r="W749" s="101"/>
      <c r="X749" s="101"/>
      <c r="Y749" s="96"/>
      <c r="Z749" s="96"/>
      <c r="AA749" s="96"/>
      <c r="AC749" s="102"/>
      <c r="AD749" s="107" t="str">
        <f aca="false">IF($B749="","",IF(ISNUMBER($T749),$T749,IF(OR(NOT(ISNUMBER($Q749)),$S749=""),"",IFERROR(IF(ISNUMBER(INDEX(Lists!$AJ$2:$AJ$7,MATCH($S749,Lists!$AI$2:$AI$7,0))),$Q749+INDEX(Lists!$AJ$2:$AJ$7,MATCH($S749,Lists!$AI$2:$AI$7,0)),""),""))))</f>
        <v/>
      </c>
      <c r="AE749" s="104" t="str">
        <f aca="true">IF($B749="","",IF(AND(ISNUMBER($AD749),N($AD749)&lt;TODAY(),$N749&lt;&gt;"Done",$N749&lt;&gt;"Won't Fix",$N749&lt;&gt;"Duplicate"),"Yes","No"))</f>
        <v/>
      </c>
      <c r="AF749" s="101"/>
      <c r="AG749" s="108" t="str">
        <f aca="false">IF($AF749="","",IFERROR(VLOOKUP($AF749,'Application Portfolio'!$A$2:$B$1000,2,FALSE()),"Unknown App ID"))</f>
        <v/>
      </c>
      <c r="AH749" s="108" t="str">
        <f aca="false">IF(OR($B749="",$AF749=""),"",IFERROR(VLOOKUP($AF749,'Application Portfolio'!$A$2:$AB$1000,28,FALSE()),""))</f>
        <v/>
      </c>
    </row>
    <row r="750" customFormat="false" ht="15.75" hidden="false" customHeight="true" outlineLevel="0" collapsed="false">
      <c r="A750" s="100"/>
      <c r="B750" s="101"/>
      <c r="C750" s="101"/>
      <c r="D750" s="101"/>
      <c r="E750" s="101"/>
      <c r="F750" s="102"/>
      <c r="G750" s="102"/>
      <c r="H750" s="102"/>
      <c r="I750" s="102"/>
      <c r="J750" s="102"/>
      <c r="K750" s="102"/>
      <c r="L750" s="103" t="str">
        <f aca="false">IF(OR($B750="", $H750="", $I750="", $J750="", $K750=""),"",ROUND((VLOOKUP($H750,Lists!$E$2:$F$5,2,FALSE())*VLOOKUP($I750,Lists!$H$2:$I$4,2,FALSE())*VLOOKUP($J750,Lists!$K$2:$L$4,2,FALSE()))/VLOOKUP($K750,Lists!$N$2:$O$6,2,FALSE()),2))</f>
        <v/>
      </c>
      <c r="M750" s="104" t="str">
        <f aca="false">IF($B750="","",IF($AC750&lt;&gt;"",$AC750,IF($H750="Critical","P0",IF(NOT(ISNUMBER($L750)),"",IF($L750&gt;=Lists!$AM$2,"P0",IF($L750&gt;=Lists!$AM$3,"P1",IF($L750&gt;=Lists!$AM$4,"P2","P3")))))))</f>
        <v/>
      </c>
      <c r="N750" s="102"/>
      <c r="O750" s="101"/>
      <c r="P750" s="102"/>
      <c r="Q750" s="105"/>
      <c r="R750" s="106" t="str">
        <f aca="true">IF($Q750="","", TODAY()-$Q750)</f>
        <v/>
      </c>
      <c r="S750" s="102"/>
      <c r="T750" s="105"/>
      <c r="U750" s="105"/>
      <c r="V750" s="101"/>
      <c r="W750" s="101"/>
      <c r="X750" s="101"/>
      <c r="Y750" s="96"/>
      <c r="Z750" s="96"/>
      <c r="AA750" s="96"/>
      <c r="AC750" s="102"/>
      <c r="AD750" s="107" t="str">
        <f aca="false">IF($B750="","",IF(ISNUMBER($T750),$T750,IF(OR(NOT(ISNUMBER($Q750)),$S750=""),"",IFERROR(IF(ISNUMBER(INDEX(Lists!$AJ$2:$AJ$7,MATCH($S750,Lists!$AI$2:$AI$7,0))),$Q750+INDEX(Lists!$AJ$2:$AJ$7,MATCH($S750,Lists!$AI$2:$AI$7,0)),""),""))))</f>
        <v/>
      </c>
      <c r="AE750" s="104" t="str">
        <f aca="true">IF($B750="","",IF(AND(ISNUMBER($AD750),N($AD750)&lt;TODAY(),$N750&lt;&gt;"Done",$N750&lt;&gt;"Won't Fix",$N750&lt;&gt;"Duplicate"),"Yes","No"))</f>
        <v/>
      </c>
      <c r="AF750" s="101"/>
      <c r="AG750" s="108" t="str">
        <f aca="false">IF($AF750="","",IFERROR(VLOOKUP($AF750,'Application Portfolio'!$A$2:$B$1000,2,FALSE()),"Unknown App ID"))</f>
        <v/>
      </c>
      <c r="AH750" s="108" t="str">
        <f aca="false">IF(OR($B750="",$AF750=""),"",IFERROR(VLOOKUP($AF750,'Application Portfolio'!$A$2:$AB$1000,28,FALSE()),""))</f>
        <v/>
      </c>
    </row>
    <row r="751" customFormat="false" ht="15.75" hidden="false" customHeight="true" outlineLevel="0" collapsed="false">
      <c r="A751" s="100"/>
      <c r="B751" s="101"/>
      <c r="C751" s="101"/>
      <c r="D751" s="101"/>
      <c r="E751" s="101"/>
      <c r="F751" s="102"/>
      <c r="G751" s="102"/>
      <c r="H751" s="102"/>
      <c r="I751" s="102"/>
      <c r="J751" s="102"/>
      <c r="K751" s="102"/>
      <c r="L751" s="103" t="str">
        <f aca="false">IF(OR($B751="", $H751="", $I751="", $J751="", $K751=""),"",ROUND((VLOOKUP($H751,Lists!$E$2:$F$5,2,FALSE())*VLOOKUP($I751,Lists!$H$2:$I$4,2,FALSE())*VLOOKUP($J751,Lists!$K$2:$L$4,2,FALSE()))/VLOOKUP($K751,Lists!$N$2:$O$6,2,FALSE()),2))</f>
        <v/>
      </c>
      <c r="M751" s="104" t="str">
        <f aca="false">IF($B751="","",IF($AC751&lt;&gt;"",$AC751,IF($H751="Critical","P0",IF(NOT(ISNUMBER($L751)),"",IF($L751&gt;=Lists!$AM$2,"P0",IF($L751&gt;=Lists!$AM$3,"P1",IF($L751&gt;=Lists!$AM$4,"P2","P3")))))))</f>
        <v/>
      </c>
      <c r="N751" s="102"/>
      <c r="O751" s="101"/>
      <c r="P751" s="102"/>
      <c r="Q751" s="105"/>
      <c r="R751" s="106" t="str">
        <f aca="true">IF($Q751="","", TODAY()-$Q751)</f>
        <v/>
      </c>
      <c r="S751" s="102"/>
      <c r="T751" s="105"/>
      <c r="U751" s="105"/>
      <c r="V751" s="101"/>
      <c r="W751" s="101"/>
      <c r="X751" s="101"/>
      <c r="Y751" s="96"/>
      <c r="Z751" s="96"/>
      <c r="AA751" s="96"/>
      <c r="AC751" s="102"/>
      <c r="AD751" s="107" t="str">
        <f aca="false">IF($B751="","",IF(ISNUMBER($T751),$T751,IF(OR(NOT(ISNUMBER($Q751)),$S751=""),"",IFERROR(IF(ISNUMBER(INDEX(Lists!$AJ$2:$AJ$7,MATCH($S751,Lists!$AI$2:$AI$7,0))),$Q751+INDEX(Lists!$AJ$2:$AJ$7,MATCH($S751,Lists!$AI$2:$AI$7,0)),""),""))))</f>
        <v/>
      </c>
      <c r="AE751" s="104" t="str">
        <f aca="true">IF($B751="","",IF(AND(ISNUMBER($AD751),N($AD751)&lt;TODAY(),$N751&lt;&gt;"Done",$N751&lt;&gt;"Won't Fix",$N751&lt;&gt;"Duplicate"),"Yes","No"))</f>
        <v/>
      </c>
      <c r="AF751" s="101"/>
      <c r="AG751" s="108" t="str">
        <f aca="false">IF($AF751="","",IFERROR(VLOOKUP($AF751,'Application Portfolio'!$A$2:$B$1000,2,FALSE()),"Unknown App ID"))</f>
        <v/>
      </c>
      <c r="AH751" s="108" t="str">
        <f aca="false">IF(OR($B751="",$AF751=""),"",IFERROR(VLOOKUP($AF751,'Application Portfolio'!$A$2:$AB$1000,28,FALSE()),""))</f>
        <v/>
      </c>
    </row>
    <row r="752" customFormat="false" ht="15.75" hidden="false" customHeight="true" outlineLevel="0" collapsed="false">
      <c r="A752" s="100"/>
      <c r="B752" s="101"/>
      <c r="C752" s="101"/>
      <c r="D752" s="101"/>
      <c r="E752" s="101"/>
      <c r="F752" s="102"/>
      <c r="G752" s="102"/>
      <c r="H752" s="102"/>
      <c r="I752" s="102"/>
      <c r="J752" s="102"/>
      <c r="K752" s="102"/>
      <c r="L752" s="103" t="str">
        <f aca="false">IF(OR($B752="", $H752="", $I752="", $J752="", $K752=""),"",ROUND((VLOOKUP($H752,Lists!$E$2:$F$5,2,FALSE())*VLOOKUP($I752,Lists!$H$2:$I$4,2,FALSE())*VLOOKUP($J752,Lists!$K$2:$L$4,2,FALSE()))/VLOOKUP($K752,Lists!$N$2:$O$6,2,FALSE()),2))</f>
        <v/>
      </c>
      <c r="M752" s="104" t="str">
        <f aca="false">IF($B752="","",IF($AC752&lt;&gt;"",$AC752,IF($H752="Critical","P0",IF(NOT(ISNUMBER($L752)),"",IF($L752&gt;=Lists!$AM$2,"P0",IF($L752&gt;=Lists!$AM$3,"P1",IF($L752&gt;=Lists!$AM$4,"P2","P3")))))))</f>
        <v/>
      </c>
      <c r="N752" s="102"/>
      <c r="O752" s="101"/>
      <c r="P752" s="102"/>
      <c r="Q752" s="105"/>
      <c r="R752" s="106" t="str">
        <f aca="true">IF($Q752="","", TODAY()-$Q752)</f>
        <v/>
      </c>
      <c r="S752" s="102"/>
      <c r="T752" s="105"/>
      <c r="U752" s="105"/>
      <c r="V752" s="101"/>
      <c r="W752" s="101"/>
      <c r="X752" s="101"/>
      <c r="Y752" s="96"/>
      <c r="Z752" s="96"/>
      <c r="AA752" s="96"/>
      <c r="AC752" s="102"/>
      <c r="AD752" s="107" t="str">
        <f aca="false">IF($B752="","",IF(ISNUMBER($T752),$T752,IF(OR(NOT(ISNUMBER($Q752)),$S752=""),"",IFERROR(IF(ISNUMBER(INDEX(Lists!$AJ$2:$AJ$7,MATCH($S752,Lists!$AI$2:$AI$7,0))),$Q752+INDEX(Lists!$AJ$2:$AJ$7,MATCH($S752,Lists!$AI$2:$AI$7,0)),""),""))))</f>
        <v/>
      </c>
      <c r="AE752" s="104" t="str">
        <f aca="true">IF($B752="","",IF(AND(ISNUMBER($AD752),N($AD752)&lt;TODAY(),$N752&lt;&gt;"Done",$N752&lt;&gt;"Won't Fix",$N752&lt;&gt;"Duplicate"),"Yes","No"))</f>
        <v/>
      </c>
      <c r="AF752" s="101"/>
      <c r="AG752" s="108" t="str">
        <f aca="false">IF($AF752="","",IFERROR(VLOOKUP($AF752,'Application Portfolio'!$A$2:$B$1000,2,FALSE()),"Unknown App ID"))</f>
        <v/>
      </c>
      <c r="AH752" s="108" t="str">
        <f aca="false">IF(OR($B752="",$AF752=""),"",IFERROR(VLOOKUP($AF752,'Application Portfolio'!$A$2:$AB$1000,28,FALSE()),""))</f>
        <v/>
      </c>
    </row>
    <row r="753" customFormat="false" ht="15.75" hidden="false" customHeight="true" outlineLevel="0" collapsed="false">
      <c r="A753" s="100"/>
      <c r="B753" s="101"/>
      <c r="C753" s="101"/>
      <c r="D753" s="101"/>
      <c r="E753" s="101"/>
      <c r="F753" s="102"/>
      <c r="G753" s="102"/>
      <c r="H753" s="102"/>
      <c r="I753" s="102"/>
      <c r="J753" s="102"/>
      <c r="K753" s="102"/>
      <c r="L753" s="103" t="str">
        <f aca="false">IF(OR($B753="", $H753="", $I753="", $J753="", $K753=""),"",ROUND((VLOOKUP($H753,Lists!$E$2:$F$5,2,FALSE())*VLOOKUP($I753,Lists!$H$2:$I$4,2,FALSE())*VLOOKUP($J753,Lists!$K$2:$L$4,2,FALSE()))/VLOOKUP($K753,Lists!$N$2:$O$6,2,FALSE()),2))</f>
        <v/>
      </c>
      <c r="M753" s="104" t="str">
        <f aca="false">IF($B753="","",IF($AC753&lt;&gt;"",$AC753,IF($H753="Critical","P0",IF(NOT(ISNUMBER($L753)),"",IF($L753&gt;=Lists!$AM$2,"P0",IF($L753&gt;=Lists!$AM$3,"P1",IF($L753&gt;=Lists!$AM$4,"P2","P3")))))))</f>
        <v/>
      </c>
      <c r="N753" s="102"/>
      <c r="O753" s="101"/>
      <c r="P753" s="102"/>
      <c r="Q753" s="105"/>
      <c r="R753" s="106" t="str">
        <f aca="true">IF($Q753="","", TODAY()-$Q753)</f>
        <v/>
      </c>
      <c r="S753" s="102"/>
      <c r="T753" s="105"/>
      <c r="U753" s="105"/>
      <c r="V753" s="101"/>
      <c r="W753" s="101"/>
      <c r="X753" s="101"/>
      <c r="Y753" s="96"/>
      <c r="Z753" s="96"/>
      <c r="AA753" s="96"/>
      <c r="AC753" s="102"/>
      <c r="AD753" s="107" t="str">
        <f aca="false">IF($B753="","",IF(ISNUMBER($T753),$T753,IF(OR(NOT(ISNUMBER($Q753)),$S753=""),"",IFERROR(IF(ISNUMBER(INDEX(Lists!$AJ$2:$AJ$7,MATCH($S753,Lists!$AI$2:$AI$7,0))),$Q753+INDEX(Lists!$AJ$2:$AJ$7,MATCH($S753,Lists!$AI$2:$AI$7,0)),""),""))))</f>
        <v/>
      </c>
      <c r="AE753" s="104" t="str">
        <f aca="true">IF($B753="","",IF(AND(ISNUMBER($AD753),N($AD753)&lt;TODAY(),$N753&lt;&gt;"Done",$N753&lt;&gt;"Won't Fix",$N753&lt;&gt;"Duplicate"),"Yes","No"))</f>
        <v/>
      </c>
      <c r="AF753" s="101"/>
      <c r="AG753" s="108" t="str">
        <f aca="false">IF($AF753="","",IFERROR(VLOOKUP($AF753,'Application Portfolio'!$A$2:$B$1000,2,FALSE()),"Unknown App ID"))</f>
        <v/>
      </c>
      <c r="AH753" s="108" t="str">
        <f aca="false">IF(OR($B753="",$AF753=""),"",IFERROR(VLOOKUP($AF753,'Application Portfolio'!$A$2:$AB$1000,28,FALSE()),""))</f>
        <v/>
      </c>
    </row>
    <row r="754" customFormat="false" ht="15.75" hidden="false" customHeight="true" outlineLevel="0" collapsed="false">
      <c r="A754" s="100"/>
      <c r="B754" s="101"/>
      <c r="C754" s="101"/>
      <c r="D754" s="101"/>
      <c r="E754" s="101"/>
      <c r="F754" s="102"/>
      <c r="G754" s="102"/>
      <c r="H754" s="102"/>
      <c r="I754" s="102"/>
      <c r="J754" s="102"/>
      <c r="K754" s="102"/>
      <c r="L754" s="103" t="str">
        <f aca="false">IF(OR($B754="", $H754="", $I754="", $J754="", $K754=""),"",ROUND((VLOOKUP($H754,Lists!$E$2:$F$5,2,FALSE())*VLOOKUP($I754,Lists!$H$2:$I$4,2,FALSE())*VLOOKUP($J754,Lists!$K$2:$L$4,2,FALSE()))/VLOOKUP($K754,Lists!$N$2:$O$6,2,FALSE()),2))</f>
        <v/>
      </c>
      <c r="M754" s="104" t="str">
        <f aca="false">IF($B754="","",IF($AC754&lt;&gt;"",$AC754,IF($H754="Critical","P0",IF(NOT(ISNUMBER($L754)),"",IF($L754&gt;=Lists!$AM$2,"P0",IF($L754&gt;=Lists!$AM$3,"P1",IF($L754&gt;=Lists!$AM$4,"P2","P3")))))))</f>
        <v/>
      </c>
      <c r="N754" s="102"/>
      <c r="O754" s="101"/>
      <c r="P754" s="102"/>
      <c r="Q754" s="105"/>
      <c r="R754" s="106" t="str">
        <f aca="true">IF($Q754="","", TODAY()-$Q754)</f>
        <v/>
      </c>
      <c r="S754" s="102"/>
      <c r="T754" s="105"/>
      <c r="U754" s="105"/>
      <c r="V754" s="101"/>
      <c r="W754" s="101"/>
      <c r="X754" s="101"/>
      <c r="Y754" s="96"/>
      <c r="Z754" s="96"/>
      <c r="AA754" s="96"/>
      <c r="AC754" s="102"/>
      <c r="AD754" s="107" t="str">
        <f aca="false">IF($B754="","",IF(ISNUMBER($T754),$T754,IF(OR(NOT(ISNUMBER($Q754)),$S754=""),"",IFERROR(IF(ISNUMBER(INDEX(Lists!$AJ$2:$AJ$7,MATCH($S754,Lists!$AI$2:$AI$7,0))),$Q754+INDEX(Lists!$AJ$2:$AJ$7,MATCH($S754,Lists!$AI$2:$AI$7,0)),""),""))))</f>
        <v/>
      </c>
      <c r="AE754" s="104" t="str">
        <f aca="true">IF($B754="","",IF(AND(ISNUMBER($AD754),N($AD754)&lt;TODAY(),$N754&lt;&gt;"Done",$N754&lt;&gt;"Won't Fix",$N754&lt;&gt;"Duplicate"),"Yes","No"))</f>
        <v/>
      </c>
      <c r="AF754" s="101"/>
      <c r="AG754" s="108" t="str">
        <f aca="false">IF($AF754="","",IFERROR(VLOOKUP($AF754,'Application Portfolio'!$A$2:$B$1000,2,FALSE()),"Unknown App ID"))</f>
        <v/>
      </c>
      <c r="AH754" s="108" t="str">
        <f aca="false">IF(OR($B754="",$AF754=""),"",IFERROR(VLOOKUP($AF754,'Application Portfolio'!$A$2:$AB$1000,28,FALSE()),""))</f>
        <v/>
      </c>
    </row>
    <row r="755" customFormat="false" ht="15.75" hidden="false" customHeight="true" outlineLevel="0" collapsed="false">
      <c r="A755" s="100"/>
      <c r="B755" s="101"/>
      <c r="C755" s="101"/>
      <c r="D755" s="101"/>
      <c r="E755" s="101"/>
      <c r="F755" s="102"/>
      <c r="G755" s="102"/>
      <c r="H755" s="102"/>
      <c r="I755" s="102"/>
      <c r="J755" s="102"/>
      <c r="K755" s="102"/>
      <c r="L755" s="103" t="str">
        <f aca="false">IF(OR($B755="", $H755="", $I755="", $J755="", $K755=""),"",ROUND((VLOOKUP($H755,Lists!$E$2:$F$5,2,FALSE())*VLOOKUP($I755,Lists!$H$2:$I$4,2,FALSE())*VLOOKUP($J755,Lists!$K$2:$L$4,2,FALSE()))/VLOOKUP($K755,Lists!$N$2:$O$6,2,FALSE()),2))</f>
        <v/>
      </c>
      <c r="M755" s="104" t="str">
        <f aca="false">IF($B755="","",IF($AC755&lt;&gt;"",$AC755,IF($H755="Critical","P0",IF(NOT(ISNUMBER($L755)),"",IF($L755&gt;=Lists!$AM$2,"P0",IF($L755&gt;=Lists!$AM$3,"P1",IF($L755&gt;=Lists!$AM$4,"P2","P3")))))))</f>
        <v/>
      </c>
      <c r="N755" s="102"/>
      <c r="O755" s="101"/>
      <c r="P755" s="102"/>
      <c r="Q755" s="105"/>
      <c r="R755" s="106" t="str">
        <f aca="true">IF($Q755="","", TODAY()-$Q755)</f>
        <v/>
      </c>
      <c r="S755" s="102"/>
      <c r="T755" s="105"/>
      <c r="U755" s="105"/>
      <c r="V755" s="101"/>
      <c r="W755" s="101"/>
      <c r="X755" s="101"/>
      <c r="Y755" s="96"/>
      <c r="Z755" s="96"/>
      <c r="AA755" s="96"/>
      <c r="AC755" s="102"/>
      <c r="AD755" s="107" t="str">
        <f aca="false">IF($B755="","",IF(ISNUMBER($T755),$T755,IF(OR(NOT(ISNUMBER($Q755)),$S755=""),"",IFERROR(IF(ISNUMBER(INDEX(Lists!$AJ$2:$AJ$7,MATCH($S755,Lists!$AI$2:$AI$7,0))),$Q755+INDEX(Lists!$AJ$2:$AJ$7,MATCH($S755,Lists!$AI$2:$AI$7,0)),""),""))))</f>
        <v/>
      </c>
      <c r="AE755" s="104" t="str">
        <f aca="true">IF($B755="","",IF(AND(ISNUMBER($AD755),N($AD755)&lt;TODAY(),$N755&lt;&gt;"Done",$N755&lt;&gt;"Won't Fix",$N755&lt;&gt;"Duplicate"),"Yes","No"))</f>
        <v/>
      </c>
      <c r="AF755" s="101"/>
      <c r="AG755" s="108" t="str">
        <f aca="false">IF($AF755="","",IFERROR(VLOOKUP($AF755,'Application Portfolio'!$A$2:$B$1000,2,FALSE()),"Unknown App ID"))</f>
        <v/>
      </c>
      <c r="AH755" s="108" t="str">
        <f aca="false">IF(OR($B755="",$AF755=""),"",IFERROR(VLOOKUP($AF755,'Application Portfolio'!$A$2:$AB$1000,28,FALSE()),""))</f>
        <v/>
      </c>
    </row>
    <row r="756" customFormat="false" ht="15.75" hidden="false" customHeight="true" outlineLevel="0" collapsed="false">
      <c r="A756" s="100"/>
      <c r="B756" s="101"/>
      <c r="C756" s="101"/>
      <c r="D756" s="101"/>
      <c r="E756" s="101"/>
      <c r="F756" s="102"/>
      <c r="G756" s="102"/>
      <c r="H756" s="102"/>
      <c r="I756" s="102"/>
      <c r="J756" s="102"/>
      <c r="K756" s="102"/>
      <c r="L756" s="103" t="str">
        <f aca="false">IF(OR($B756="", $H756="", $I756="", $J756="", $K756=""),"",ROUND((VLOOKUP($H756,Lists!$E$2:$F$5,2,FALSE())*VLOOKUP($I756,Lists!$H$2:$I$4,2,FALSE())*VLOOKUP($J756,Lists!$K$2:$L$4,2,FALSE()))/VLOOKUP($K756,Lists!$N$2:$O$6,2,FALSE()),2))</f>
        <v/>
      </c>
      <c r="M756" s="104" t="str">
        <f aca="false">IF($B756="","",IF($AC756&lt;&gt;"",$AC756,IF($H756="Critical","P0",IF(NOT(ISNUMBER($L756)),"",IF($L756&gt;=Lists!$AM$2,"P0",IF($L756&gt;=Lists!$AM$3,"P1",IF($L756&gt;=Lists!$AM$4,"P2","P3")))))))</f>
        <v/>
      </c>
      <c r="N756" s="102"/>
      <c r="O756" s="101"/>
      <c r="P756" s="102"/>
      <c r="Q756" s="105"/>
      <c r="R756" s="106" t="str">
        <f aca="true">IF($Q756="","", TODAY()-$Q756)</f>
        <v/>
      </c>
      <c r="S756" s="102"/>
      <c r="T756" s="105"/>
      <c r="U756" s="105"/>
      <c r="V756" s="101"/>
      <c r="W756" s="101"/>
      <c r="X756" s="101"/>
      <c r="Y756" s="96"/>
      <c r="Z756" s="96"/>
      <c r="AA756" s="96"/>
      <c r="AC756" s="102"/>
      <c r="AD756" s="107" t="str">
        <f aca="false">IF($B756="","",IF(ISNUMBER($T756),$T756,IF(OR(NOT(ISNUMBER($Q756)),$S756=""),"",IFERROR(IF(ISNUMBER(INDEX(Lists!$AJ$2:$AJ$7,MATCH($S756,Lists!$AI$2:$AI$7,0))),$Q756+INDEX(Lists!$AJ$2:$AJ$7,MATCH($S756,Lists!$AI$2:$AI$7,0)),""),""))))</f>
        <v/>
      </c>
      <c r="AE756" s="104" t="str">
        <f aca="true">IF($B756="","",IF(AND(ISNUMBER($AD756),N($AD756)&lt;TODAY(),$N756&lt;&gt;"Done",$N756&lt;&gt;"Won't Fix",$N756&lt;&gt;"Duplicate"),"Yes","No"))</f>
        <v/>
      </c>
      <c r="AF756" s="101"/>
      <c r="AG756" s="108" t="str">
        <f aca="false">IF($AF756="","",IFERROR(VLOOKUP($AF756,'Application Portfolio'!$A$2:$B$1000,2,FALSE()),"Unknown App ID"))</f>
        <v/>
      </c>
      <c r="AH756" s="108" t="str">
        <f aca="false">IF(OR($B756="",$AF756=""),"",IFERROR(VLOOKUP($AF756,'Application Portfolio'!$A$2:$AB$1000,28,FALSE()),""))</f>
        <v/>
      </c>
    </row>
    <row r="757" customFormat="false" ht="15.75" hidden="false" customHeight="true" outlineLevel="0" collapsed="false">
      <c r="A757" s="100"/>
      <c r="B757" s="101"/>
      <c r="C757" s="101"/>
      <c r="D757" s="101"/>
      <c r="E757" s="101"/>
      <c r="F757" s="102"/>
      <c r="G757" s="102"/>
      <c r="H757" s="102"/>
      <c r="I757" s="102"/>
      <c r="J757" s="102"/>
      <c r="K757" s="102"/>
      <c r="L757" s="103" t="str">
        <f aca="false">IF(OR($B757="", $H757="", $I757="", $J757="", $K757=""),"",ROUND((VLOOKUP($H757,Lists!$E$2:$F$5,2,FALSE())*VLOOKUP($I757,Lists!$H$2:$I$4,2,FALSE())*VLOOKUP($J757,Lists!$K$2:$L$4,2,FALSE()))/VLOOKUP($K757,Lists!$N$2:$O$6,2,FALSE()),2))</f>
        <v/>
      </c>
      <c r="M757" s="104" t="str">
        <f aca="false">IF($B757="","",IF($AC757&lt;&gt;"",$AC757,IF($H757="Critical","P0",IF(NOT(ISNUMBER($L757)),"",IF($L757&gt;=Lists!$AM$2,"P0",IF($L757&gt;=Lists!$AM$3,"P1",IF($L757&gt;=Lists!$AM$4,"P2","P3")))))))</f>
        <v/>
      </c>
      <c r="N757" s="102"/>
      <c r="O757" s="101"/>
      <c r="P757" s="102"/>
      <c r="Q757" s="105"/>
      <c r="R757" s="106" t="str">
        <f aca="true">IF($Q757="","", TODAY()-$Q757)</f>
        <v/>
      </c>
      <c r="S757" s="102"/>
      <c r="T757" s="105"/>
      <c r="U757" s="105"/>
      <c r="V757" s="101"/>
      <c r="W757" s="101"/>
      <c r="X757" s="101"/>
      <c r="Y757" s="96"/>
      <c r="Z757" s="96"/>
      <c r="AA757" s="96"/>
      <c r="AC757" s="102"/>
      <c r="AD757" s="107" t="str">
        <f aca="false">IF($B757="","",IF(ISNUMBER($T757),$T757,IF(OR(NOT(ISNUMBER($Q757)),$S757=""),"",IFERROR(IF(ISNUMBER(INDEX(Lists!$AJ$2:$AJ$7,MATCH($S757,Lists!$AI$2:$AI$7,0))),$Q757+INDEX(Lists!$AJ$2:$AJ$7,MATCH($S757,Lists!$AI$2:$AI$7,0)),""),""))))</f>
        <v/>
      </c>
      <c r="AE757" s="104" t="str">
        <f aca="true">IF($B757="","",IF(AND(ISNUMBER($AD757),N($AD757)&lt;TODAY(),$N757&lt;&gt;"Done",$N757&lt;&gt;"Won't Fix",$N757&lt;&gt;"Duplicate"),"Yes","No"))</f>
        <v/>
      </c>
      <c r="AF757" s="101"/>
      <c r="AG757" s="108" t="str">
        <f aca="false">IF($AF757="","",IFERROR(VLOOKUP($AF757,'Application Portfolio'!$A$2:$B$1000,2,FALSE()),"Unknown App ID"))</f>
        <v/>
      </c>
      <c r="AH757" s="108" t="str">
        <f aca="false">IF(OR($B757="",$AF757=""),"",IFERROR(VLOOKUP($AF757,'Application Portfolio'!$A$2:$AB$1000,28,FALSE()),""))</f>
        <v/>
      </c>
    </row>
    <row r="758" customFormat="false" ht="15.75" hidden="false" customHeight="true" outlineLevel="0" collapsed="false">
      <c r="A758" s="100"/>
      <c r="B758" s="101"/>
      <c r="C758" s="101"/>
      <c r="D758" s="101"/>
      <c r="E758" s="101"/>
      <c r="F758" s="102"/>
      <c r="G758" s="102"/>
      <c r="H758" s="102"/>
      <c r="I758" s="102"/>
      <c r="J758" s="102"/>
      <c r="K758" s="102"/>
      <c r="L758" s="103" t="str">
        <f aca="false">IF(OR($B758="", $H758="", $I758="", $J758="", $K758=""),"",ROUND((VLOOKUP($H758,Lists!$E$2:$F$5,2,FALSE())*VLOOKUP($I758,Lists!$H$2:$I$4,2,FALSE())*VLOOKUP($J758,Lists!$K$2:$L$4,2,FALSE()))/VLOOKUP($K758,Lists!$N$2:$O$6,2,FALSE()),2))</f>
        <v/>
      </c>
      <c r="M758" s="104" t="str">
        <f aca="false">IF($B758="","",IF($AC758&lt;&gt;"",$AC758,IF($H758="Critical","P0",IF(NOT(ISNUMBER($L758)),"",IF($L758&gt;=Lists!$AM$2,"P0",IF($L758&gt;=Lists!$AM$3,"P1",IF($L758&gt;=Lists!$AM$4,"P2","P3")))))))</f>
        <v/>
      </c>
      <c r="N758" s="102"/>
      <c r="O758" s="101"/>
      <c r="P758" s="102"/>
      <c r="Q758" s="105"/>
      <c r="R758" s="106" t="str">
        <f aca="true">IF($Q758="","", TODAY()-$Q758)</f>
        <v/>
      </c>
      <c r="S758" s="102"/>
      <c r="T758" s="105"/>
      <c r="U758" s="105"/>
      <c r="V758" s="101"/>
      <c r="W758" s="101"/>
      <c r="X758" s="101"/>
      <c r="Y758" s="96"/>
      <c r="Z758" s="96"/>
      <c r="AA758" s="96"/>
      <c r="AC758" s="102"/>
      <c r="AD758" s="107" t="str">
        <f aca="false">IF($B758="","",IF(ISNUMBER($T758),$T758,IF(OR(NOT(ISNUMBER($Q758)),$S758=""),"",IFERROR(IF(ISNUMBER(INDEX(Lists!$AJ$2:$AJ$7,MATCH($S758,Lists!$AI$2:$AI$7,0))),$Q758+INDEX(Lists!$AJ$2:$AJ$7,MATCH($S758,Lists!$AI$2:$AI$7,0)),""),""))))</f>
        <v/>
      </c>
      <c r="AE758" s="104" t="str">
        <f aca="true">IF($B758="","",IF(AND(ISNUMBER($AD758),N($AD758)&lt;TODAY(),$N758&lt;&gt;"Done",$N758&lt;&gt;"Won't Fix",$N758&lt;&gt;"Duplicate"),"Yes","No"))</f>
        <v/>
      </c>
      <c r="AF758" s="101"/>
      <c r="AG758" s="108" t="str">
        <f aca="false">IF($AF758="","",IFERROR(VLOOKUP($AF758,'Application Portfolio'!$A$2:$B$1000,2,FALSE()),"Unknown App ID"))</f>
        <v/>
      </c>
      <c r="AH758" s="108" t="str">
        <f aca="false">IF(OR($B758="",$AF758=""),"",IFERROR(VLOOKUP($AF758,'Application Portfolio'!$A$2:$AB$1000,28,FALSE()),""))</f>
        <v/>
      </c>
    </row>
    <row r="759" customFormat="false" ht="15.75" hidden="false" customHeight="true" outlineLevel="0" collapsed="false">
      <c r="A759" s="100"/>
      <c r="B759" s="101"/>
      <c r="C759" s="101"/>
      <c r="D759" s="101"/>
      <c r="E759" s="101"/>
      <c r="F759" s="102"/>
      <c r="G759" s="102"/>
      <c r="H759" s="102"/>
      <c r="I759" s="102"/>
      <c r="J759" s="102"/>
      <c r="K759" s="102"/>
      <c r="L759" s="103" t="str">
        <f aca="false">IF(OR($B759="", $H759="", $I759="", $J759="", $K759=""),"",ROUND((VLOOKUP($H759,Lists!$E$2:$F$5,2,FALSE())*VLOOKUP($I759,Lists!$H$2:$I$4,2,FALSE())*VLOOKUP($J759,Lists!$K$2:$L$4,2,FALSE()))/VLOOKUP($K759,Lists!$N$2:$O$6,2,FALSE()),2))</f>
        <v/>
      </c>
      <c r="M759" s="104" t="str">
        <f aca="false">IF($B759="","",IF($AC759&lt;&gt;"",$AC759,IF($H759="Critical","P0",IF(NOT(ISNUMBER($L759)),"",IF($L759&gt;=Lists!$AM$2,"P0",IF($L759&gt;=Lists!$AM$3,"P1",IF($L759&gt;=Lists!$AM$4,"P2","P3")))))))</f>
        <v/>
      </c>
      <c r="N759" s="102"/>
      <c r="O759" s="101"/>
      <c r="P759" s="102"/>
      <c r="Q759" s="105"/>
      <c r="R759" s="106" t="str">
        <f aca="true">IF($Q759="","", TODAY()-$Q759)</f>
        <v/>
      </c>
      <c r="S759" s="102"/>
      <c r="T759" s="105"/>
      <c r="U759" s="105"/>
      <c r="V759" s="101"/>
      <c r="W759" s="101"/>
      <c r="X759" s="101"/>
      <c r="Y759" s="96"/>
      <c r="Z759" s="96"/>
      <c r="AA759" s="96"/>
      <c r="AC759" s="102"/>
      <c r="AD759" s="107" t="str">
        <f aca="false">IF($B759="","",IF(ISNUMBER($T759),$T759,IF(OR(NOT(ISNUMBER($Q759)),$S759=""),"",IFERROR(IF(ISNUMBER(INDEX(Lists!$AJ$2:$AJ$7,MATCH($S759,Lists!$AI$2:$AI$7,0))),$Q759+INDEX(Lists!$AJ$2:$AJ$7,MATCH($S759,Lists!$AI$2:$AI$7,0)),""),""))))</f>
        <v/>
      </c>
      <c r="AE759" s="104" t="str">
        <f aca="true">IF($B759="","",IF(AND(ISNUMBER($AD759),N($AD759)&lt;TODAY(),$N759&lt;&gt;"Done",$N759&lt;&gt;"Won't Fix",$N759&lt;&gt;"Duplicate"),"Yes","No"))</f>
        <v/>
      </c>
      <c r="AF759" s="101"/>
      <c r="AG759" s="108" t="str">
        <f aca="false">IF($AF759="","",IFERROR(VLOOKUP($AF759,'Application Portfolio'!$A$2:$B$1000,2,FALSE()),"Unknown App ID"))</f>
        <v/>
      </c>
      <c r="AH759" s="108" t="str">
        <f aca="false">IF(OR($B759="",$AF759=""),"",IFERROR(VLOOKUP($AF759,'Application Portfolio'!$A$2:$AB$1000,28,FALSE()),""))</f>
        <v/>
      </c>
    </row>
    <row r="760" customFormat="false" ht="15.75" hidden="false" customHeight="true" outlineLevel="0" collapsed="false">
      <c r="A760" s="100"/>
      <c r="B760" s="101"/>
      <c r="C760" s="101"/>
      <c r="D760" s="101"/>
      <c r="E760" s="101"/>
      <c r="F760" s="102"/>
      <c r="G760" s="102"/>
      <c r="H760" s="102"/>
      <c r="I760" s="102"/>
      <c r="J760" s="102"/>
      <c r="K760" s="102"/>
      <c r="L760" s="103" t="str">
        <f aca="false">IF(OR($B760="", $H760="", $I760="", $J760="", $K760=""),"",ROUND((VLOOKUP($H760,Lists!$E$2:$F$5,2,FALSE())*VLOOKUP($I760,Lists!$H$2:$I$4,2,FALSE())*VLOOKUP($J760,Lists!$K$2:$L$4,2,FALSE()))/VLOOKUP($K760,Lists!$N$2:$O$6,2,FALSE()),2))</f>
        <v/>
      </c>
      <c r="M760" s="104" t="str">
        <f aca="false">IF($B760="","",IF($AC760&lt;&gt;"",$AC760,IF($H760="Critical","P0",IF(NOT(ISNUMBER($L760)),"",IF($L760&gt;=Lists!$AM$2,"P0",IF($L760&gt;=Lists!$AM$3,"P1",IF($L760&gt;=Lists!$AM$4,"P2","P3")))))))</f>
        <v/>
      </c>
      <c r="N760" s="102"/>
      <c r="O760" s="101"/>
      <c r="P760" s="102"/>
      <c r="Q760" s="105"/>
      <c r="R760" s="106" t="str">
        <f aca="true">IF($Q760="","", TODAY()-$Q760)</f>
        <v/>
      </c>
      <c r="S760" s="102"/>
      <c r="T760" s="105"/>
      <c r="U760" s="105"/>
      <c r="V760" s="101"/>
      <c r="W760" s="101"/>
      <c r="X760" s="101"/>
      <c r="Y760" s="96"/>
      <c r="Z760" s="96"/>
      <c r="AA760" s="96"/>
      <c r="AC760" s="102"/>
      <c r="AD760" s="107" t="str">
        <f aca="false">IF($B760="","",IF(ISNUMBER($T760),$T760,IF(OR(NOT(ISNUMBER($Q760)),$S760=""),"",IFERROR(IF(ISNUMBER(INDEX(Lists!$AJ$2:$AJ$7,MATCH($S760,Lists!$AI$2:$AI$7,0))),$Q760+INDEX(Lists!$AJ$2:$AJ$7,MATCH($S760,Lists!$AI$2:$AI$7,0)),""),""))))</f>
        <v/>
      </c>
      <c r="AE760" s="104" t="str">
        <f aca="true">IF($B760="","",IF(AND(ISNUMBER($AD760),N($AD760)&lt;TODAY(),$N760&lt;&gt;"Done",$N760&lt;&gt;"Won't Fix",$N760&lt;&gt;"Duplicate"),"Yes","No"))</f>
        <v/>
      </c>
      <c r="AF760" s="101"/>
      <c r="AG760" s="108" t="str">
        <f aca="false">IF($AF760="","",IFERROR(VLOOKUP($AF760,'Application Portfolio'!$A$2:$B$1000,2,FALSE()),"Unknown App ID"))</f>
        <v/>
      </c>
      <c r="AH760" s="108" t="str">
        <f aca="false">IF(OR($B760="",$AF760=""),"",IFERROR(VLOOKUP($AF760,'Application Portfolio'!$A$2:$AB$1000,28,FALSE()),""))</f>
        <v/>
      </c>
    </row>
    <row r="761" customFormat="false" ht="15.75" hidden="false" customHeight="true" outlineLevel="0" collapsed="false">
      <c r="A761" s="100"/>
      <c r="B761" s="101"/>
      <c r="C761" s="101"/>
      <c r="D761" s="101"/>
      <c r="E761" s="101"/>
      <c r="F761" s="102"/>
      <c r="G761" s="102"/>
      <c r="H761" s="102"/>
      <c r="I761" s="102"/>
      <c r="J761" s="102"/>
      <c r="K761" s="102"/>
      <c r="L761" s="103" t="str">
        <f aca="false">IF(OR($B761="", $H761="", $I761="", $J761="", $K761=""),"",ROUND((VLOOKUP($H761,Lists!$E$2:$F$5,2,FALSE())*VLOOKUP($I761,Lists!$H$2:$I$4,2,FALSE())*VLOOKUP($J761,Lists!$K$2:$L$4,2,FALSE()))/VLOOKUP($K761,Lists!$N$2:$O$6,2,FALSE()),2))</f>
        <v/>
      </c>
      <c r="M761" s="104" t="str">
        <f aca="false">IF($B761="","",IF($AC761&lt;&gt;"",$AC761,IF($H761="Critical","P0",IF(NOT(ISNUMBER($L761)),"",IF($L761&gt;=Lists!$AM$2,"P0",IF($L761&gt;=Lists!$AM$3,"P1",IF($L761&gt;=Lists!$AM$4,"P2","P3")))))))</f>
        <v/>
      </c>
      <c r="N761" s="102"/>
      <c r="O761" s="101"/>
      <c r="P761" s="102"/>
      <c r="Q761" s="105"/>
      <c r="R761" s="106" t="str">
        <f aca="true">IF($Q761="","", TODAY()-$Q761)</f>
        <v/>
      </c>
      <c r="S761" s="102"/>
      <c r="T761" s="105"/>
      <c r="U761" s="105"/>
      <c r="V761" s="101"/>
      <c r="W761" s="101"/>
      <c r="X761" s="101"/>
      <c r="Y761" s="96"/>
      <c r="Z761" s="96"/>
      <c r="AA761" s="96"/>
      <c r="AC761" s="102"/>
      <c r="AD761" s="107" t="str">
        <f aca="false">IF($B761="","",IF(ISNUMBER($T761),$T761,IF(OR(NOT(ISNUMBER($Q761)),$S761=""),"",IFERROR(IF(ISNUMBER(INDEX(Lists!$AJ$2:$AJ$7,MATCH($S761,Lists!$AI$2:$AI$7,0))),$Q761+INDEX(Lists!$AJ$2:$AJ$7,MATCH($S761,Lists!$AI$2:$AI$7,0)),""),""))))</f>
        <v/>
      </c>
      <c r="AE761" s="104" t="str">
        <f aca="true">IF($B761="","",IF(AND(ISNUMBER($AD761),N($AD761)&lt;TODAY(),$N761&lt;&gt;"Done",$N761&lt;&gt;"Won't Fix",$N761&lt;&gt;"Duplicate"),"Yes","No"))</f>
        <v/>
      </c>
      <c r="AF761" s="101"/>
      <c r="AG761" s="108" t="str">
        <f aca="false">IF($AF761="","",IFERROR(VLOOKUP($AF761,'Application Portfolio'!$A$2:$B$1000,2,FALSE()),"Unknown App ID"))</f>
        <v/>
      </c>
      <c r="AH761" s="108" t="str">
        <f aca="false">IF(OR($B761="",$AF761=""),"",IFERROR(VLOOKUP($AF761,'Application Portfolio'!$A$2:$AB$1000,28,FALSE()),""))</f>
        <v/>
      </c>
    </row>
    <row r="762" customFormat="false" ht="15.75" hidden="false" customHeight="true" outlineLevel="0" collapsed="false">
      <c r="A762" s="100"/>
      <c r="B762" s="101"/>
      <c r="C762" s="101"/>
      <c r="D762" s="101"/>
      <c r="E762" s="101"/>
      <c r="F762" s="102"/>
      <c r="G762" s="102"/>
      <c r="H762" s="102"/>
      <c r="I762" s="102"/>
      <c r="J762" s="102"/>
      <c r="K762" s="102"/>
      <c r="L762" s="103" t="str">
        <f aca="false">IF(OR($B762="", $H762="", $I762="", $J762="", $K762=""),"",ROUND((VLOOKUP($H762,Lists!$E$2:$F$5,2,FALSE())*VLOOKUP($I762,Lists!$H$2:$I$4,2,FALSE())*VLOOKUP($J762,Lists!$K$2:$L$4,2,FALSE()))/VLOOKUP($K762,Lists!$N$2:$O$6,2,FALSE()),2))</f>
        <v/>
      </c>
      <c r="M762" s="104" t="str">
        <f aca="false">IF($B762="","",IF($AC762&lt;&gt;"",$AC762,IF($H762="Critical","P0",IF(NOT(ISNUMBER($L762)),"",IF($L762&gt;=Lists!$AM$2,"P0",IF($L762&gt;=Lists!$AM$3,"P1",IF($L762&gt;=Lists!$AM$4,"P2","P3")))))))</f>
        <v/>
      </c>
      <c r="N762" s="102"/>
      <c r="O762" s="101"/>
      <c r="P762" s="102"/>
      <c r="Q762" s="105"/>
      <c r="R762" s="106" t="str">
        <f aca="true">IF($Q762="","", TODAY()-$Q762)</f>
        <v/>
      </c>
      <c r="S762" s="102"/>
      <c r="T762" s="105"/>
      <c r="U762" s="105"/>
      <c r="V762" s="101"/>
      <c r="W762" s="101"/>
      <c r="X762" s="101"/>
      <c r="Y762" s="96"/>
      <c r="Z762" s="96"/>
      <c r="AA762" s="96"/>
      <c r="AC762" s="102"/>
      <c r="AD762" s="107" t="str">
        <f aca="false">IF($B762="","",IF(ISNUMBER($T762),$T762,IF(OR(NOT(ISNUMBER($Q762)),$S762=""),"",IFERROR(IF(ISNUMBER(INDEX(Lists!$AJ$2:$AJ$7,MATCH($S762,Lists!$AI$2:$AI$7,0))),$Q762+INDEX(Lists!$AJ$2:$AJ$7,MATCH($S762,Lists!$AI$2:$AI$7,0)),""),""))))</f>
        <v/>
      </c>
      <c r="AE762" s="104" t="str">
        <f aca="true">IF($B762="","",IF(AND(ISNUMBER($AD762),N($AD762)&lt;TODAY(),$N762&lt;&gt;"Done",$N762&lt;&gt;"Won't Fix",$N762&lt;&gt;"Duplicate"),"Yes","No"))</f>
        <v/>
      </c>
      <c r="AF762" s="101"/>
      <c r="AG762" s="108" t="str">
        <f aca="false">IF($AF762="","",IFERROR(VLOOKUP($AF762,'Application Portfolio'!$A$2:$B$1000,2,FALSE()),"Unknown App ID"))</f>
        <v/>
      </c>
      <c r="AH762" s="108" t="str">
        <f aca="false">IF(OR($B762="",$AF762=""),"",IFERROR(VLOOKUP($AF762,'Application Portfolio'!$A$2:$AB$1000,28,FALSE()),""))</f>
        <v/>
      </c>
    </row>
    <row r="763" customFormat="false" ht="15.75" hidden="false" customHeight="true" outlineLevel="0" collapsed="false">
      <c r="A763" s="100"/>
      <c r="B763" s="101"/>
      <c r="C763" s="101"/>
      <c r="D763" s="101"/>
      <c r="E763" s="101"/>
      <c r="F763" s="102"/>
      <c r="G763" s="102"/>
      <c r="H763" s="102"/>
      <c r="I763" s="102"/>
      <c r="J763" s="102"/>
      <c r="K763" s="102"/>
      <c r="L763" s="103" t="str">
        <f aca="false">IF(OR($B763="", $H763="", $I763="", $J763="", $K763=""),"",ROUND((VLOOKUP($H763,Lists!$E$2:$F$5,2,FALSE())*VLOOKUP($I763,Lists!$H$2:$I$4,2,FALSE())*VLOOKUP($J763,Lists!$K$2:$L$4,2,FALSE()))/VLOOKUP($K763,Lists!$N$2:$O$6,2,FALSE()),2))</f>
        <v/>
      </c>
      <c r="M763" s="104" t="str">
        <f aca="false">IF($B763="","",IF($AC763&lt;&gt;"",$AC763,IF($H763="Critical","P0",IF(NOT(ISNUMBER($L763)),"",IF($L763&gt;=Lists!$AM$2,"P0",IF($L763&gt;=Lists!$AM$3,"P1",IF($L763&gt;=Lists!$AM$4,"P2","P3")))))))</f>
        <v/>
      </c>
      <c r="N763" s="102"/>
      <c r="O763" s="101"/>
      <c r="P763" s="102"/>
      <c r="Q763" s="105"/>
      <c r="R763" s="106" t="str">
        <f aca="true">IF($Q763="","", TODAY()-$Q763)</f>
        <v/>
      </c>
      <c r="S763" s="102"/>
      <c r="T763" s="105"/>
      <c r="U763" s="105"/>
      <c r="V763" s="101"/>
      <c r="W763" s="101"/>
      <c r="X763" s="101"/>
      <c r="Y763" s="96"/>
      <c r="Z763" s="96"/>
      <c r="AA763" s="96"/>
      <c r="AC763" s="102"/>
      <c r="AD763" s="107" t="str">
        <f aca="false">IF($B763="","",IF(ISNUMBER($T763),$T763,IF(OR(NOT(ISNUMBER($Q763)),$S763=""),"",IFERROR(IF(ISNUMBER(INDEX(Lists!$AJ$2:$AJ$7,MATCH($S763,Lists!$AI$2:$AI$7,0))),$Q763+INDEX(Lists!$AJ$2:$AJ$7,MATCH($S763,Lists!$AI$2:$AI$7,0)),""),""))))</f>
        <v/>
      </c>
      <c r="AE763" s="104" t="str">
        <f aca="true">IF($B763="","",IF(AND(ISNUMBER($AD763),N($AD763)&lt;TODAY(),$N763&lt;&gt;"Done",$N763&lt;&gt;"Won't Fix",$N763&lt;&gt;"Duplicate"),"Yes","No"))</f>
        <v/>
      </c>
      <c r="AF763" s="101"/>
      <c r="AG763" s="108" t="str">
        <f aca="false">IF($AF763="","",IFERROR(VLOOKUP($AF763,'Application Portfolio'!$A$2:$B$1000,2,FALSE()),"Unknown App ID"))</f>
        <v/>
      </c>
      <c r="AH763" s="108" t="str">
        <f aca="false">IF(OR($B763="",$AF763=""),"",IFERROR(VLOOKUP($AF763,'Application Portfolio'!$A$2:$AB$1000,28,FALSE()),""))</f>
        <v/>
      </c>
    </row>
    <row r="764" customFormat="false" ht="15.75" hidden="false" customHeight="true" outlineLevel="0" collapsed="false">
      <c r="A764" s="100"/>
      <c r="B764" s="101"/>
      <c r="C764" s="101"/>
      <c r="D764" s="101"/>
      <c r="E764" s="101"/>
      <c r="F764" s="102"/>
      <c r="G764" s="102"/>
      <c r="H764" s="102"/>
      <c r="I764" s="102"/>
      <c r="J764" s="102"/>
      <c r="K764" s="102"/>
      <c r="L764" s="103" t="str">
        <f aca="false">IF(OR($B764="", $H764="", $I764="", $J764="", $K764=""),"",ROUND((VLOOKUP($H764,Lists!$E$2:$F$5,2,FALSE())*VLOOKUP($I764,Lists!$H$2:$I$4,2,FALSE())*VLOOKUP($J764,Lists!$K$2:$L$4,2,FALSE()))/VLOOKUP($K764,Lists!$N$2:$O$6,2,FALSE()),2))</f>
        <v/>
      </c>
      <c r="M764" s="104" t="str">
        <f aca="false">IF($B764="","",IF($AC764&lt;&gt;"",$AC764,IF($H764="Critical","P0",IF(NOT(ISNUMBER($L764)),"",IF($L764&gt;=Lists!$AM$2,"P0",IF($L764&gt;=Lists!$AM$3,"P1",IF($L764&gt;=Lists!$AM$4,"P2","P3")))))))</f>
        <v/>
      </c>
      <c r="N764" s="102"/>
      <c r="O764" s="101"/>
      <c r="P764" s="102"/>
      <c r="Q764" s="105"/>
      <c r="R764" s="106" t="str">
        <f aca="true">IF($Q764="","", TODAY()-$Q764)</f>
        <v/>
      </c>
      <c r="S764" s="102"/>
      <c r="T764" s="105"/>
      <c r="U764" s="105"/>
      <c r="V764" s="101"/>
      <c r="W764" s="101"/>
      <c r="X764" s="101"/>
      <c r="Y764" s="96"/>
      <c r="Z764" s="96"/>
      <c r="AA764" s="96"/>
      <c r="AC764" s="102"/>
      <c r="AD764" s="107" t="str">
        <f aca="false">IF($B764="","",IF(ISNUMBER($T764),$T764,IF(OR(NOT(ISNUMBER($Q764)),$S764=""),"",IFERROR(IF(ISNUMBER(INDEX(Lists!$AJ$2:$AJ$7,MATCH($S764,Lists!$AI$2:$AI$7,0))),$Q764+INDEX(Lists!$AJ$2:$AJ$7,MATCH($S764,Lists!$AI$2:$AI$7,0)),""),""))))</f>
        <v/>
      </c>
      <c r="AE764" s="104" t="str">
        <f aca="true">IF($B764="","",IF(AND(ISNUMBER($AD764),N($AD764)&lt;TODAY(),$N764&lt;&gt;"Done",$N764&lt;&gt;"Won't Fix",$N764&lt;&gt;"Duplicate"),"Yes","No"))</f>
        <v/>
      </c>
      <c r="AF764" s="101"/>
      <c r="AG764" s="108" t="str">
        <f aca="false">IF($AF764="","",IFERROR(VLOOKUP($AF764,'Application Portfolio'!$A$2:$B$1000,2,FALSE()),"Unknown App ID"))</f>
        <v/>
      </c>
      <c r="AH764" s="108" t="str">
        <f aca="false">IF(OR($B764="",$AF764=""),"",IFERROR(VLOOKUP($AF764,'Application Portfolio'!$A$2:$AB$1000,28,FALSE()),""))</f>
        <v/>
      </c>
    </row>
    <row r="765" customFormat="false" ht="15.75" hidden="false" customHeight="true" outlineLevel="0" collapsed="false">
      <c r="A765" s="100"/>
      <c r="B765" s="101"/>
      <c r="C765" s="101"/>
      <c r="D765" s="101"/>
      <c r="E765" s="101"/>
      <c r="F765" s="102"/>
      <c r="G765" s="102"/>
      <c r="H765" s="102"/>
      <c r="I765" s="102"/>
      <c r="J765" s="102"/>
      <c r="K765" s="102"/>
      <c r="L765" s="103" t="str">
        <f aca="false">IF(OR($B765="", $H765="", $I765="", $J765="", $K765=""),"",ROUND((VLOOKUP($H765,Lists!$E$2:$F$5,2,FALSE())*VLOOKUP($I765,Lists!$H$2:$I$4,2,FALSE())*VLOOKUP($J765,Lists!$K$2:$L$4,2,FALSE()))/VLOOKUP($K765,Lists!$N$2:$O$6,2,FALSE()),2))</f>
        <v/>
      </c>
      <c r="M765" s="104" t="str">
        <f aca="false">IF($B765="","",IF($AC765&lt;&gt;"",$AC765,IF($H765="Critical","P0",IF(NOT(ISNUMBER($L765)),"",IF($L765&gt;=Lists!$AM$2,"P0",IF($L765&gt;=Lists!$AM$3,"P1",IF($L765&gt;=Lists!$AM$4,"P2","P3")))))))</f>
        <v/>
      </c>
      <c r="N765" s="102"/>
      <c r="O765" s="101"/>
      <c r="P765" s="102"/>
      <c r="Q765" s="105"/>
      <c r="R765" s="106" t="str">
        <f aca="true">IF($Q765="","", TODAY()-$Q765)</f>
        <v/>
      </c>
      <c r="S765" s="102"/>
      <c r="T765" s="105"/>
      <c r="U765" s="105"/>
      <c r="V765" s="101"/>
      <c r="W765" s="101"/>
      <c r="X765" s="101"/>
      <c r="Y765" s="96"/>
      <c r="Z765" s="96"/>
      <c r="AA765" s="96"/>
      <c r="AC765" s="102"/>
      <c r="AD765" s="107" t="str">
        <f aca="false">IF($B765="","",IF(ISNUMBER($T765),$T765,IF(OR(NOT(ISNUMBER($Q765)),$S765=""),"",IFERROR(IF(ISNUMBER(INDEX(Lists!$AJ$2:$AJ$7,MATCH($S765,Lists!$AI$2:$AI$7,0))),$Q765+INDEX(Lists!$AJ$2:$AJ$7,MATCH($S765,Lists!$AI$2:$AI$7,0)),""),""))))</f>
        <v/>
      </c>
      <c r="AE765" s="104" t="str">
        <f aca="true">IF($B765="","",IF(AND(ISNUMBER($AD765),N($AD765)&lt;TODAY(),$N765&lt;&gt;"Done",$N765&lt;&gt;"Won't Fix",$N765&lt;&gt;"Duplicate"),"Yes","No"))</f>
        <v/>
      </c>
      <c r="AF765" s="101"/>
      <c r="AG765" s="108" t="str">
        <f aca="false">IF($AF765="","",IFERROR(VLOOKUP($AF765,'Application Portfolio'!$A$2:$B$1000,2,FALSE()),"Unknown App ID"))</f>
        <v/>
      </c>
      <c r="AH765" s="108" t="str">
        <f aca="false">IF(OR($B765="",$AF765=""),"",IFERROR(VLOOKUP($AF765,'Application Portfolio'!$A$2:$AB$1000,28,FALSE()),""))</f>
        <v/>
      </c>
    </row>
    <row r="766" customFormat="false" ht="15.75" hidden="false" customHeight="true" outlineLevel="0" collapsed="false">
      <c r="A766" s="100"/>
      <c r="B766" s="101"/>
      <c r="C766" s="101"/>
      <c r="D766" s="101"/>
      <c r="E766" s="101"/>
      <c r="F766" s="102"/>
      <c r="G766" s="102"/>
      <c r="H766" s="102"/>
      <c r="I766" s="102"/>
      <c r="J766" s="102"/>
      <c r="K766" s="102"/>
      <c r="L766" s="103" t="str">
        <f aca="false">IF(OR($B766="", $H766="", $I766="", $J766="", $K766=""),"",ROUND((VLOOKUP($H766,Lists!$E$2:$F$5,2,FALSE())*VLOOKUP($I766,Lists!$H$2:$I$4,2,FALSE())*VLOOKUP($J766,Lists!$K$2:$L$4,2,FALSE()))/VLOOKUP($K766,Lists!$N$2:$O$6,2,FALSE()),2))</f>
        <v/>
      </c>
      <c r="M766" s="104" t="str">
        <f aca="false">IF($B766="","",IF($AC766&lt;&gt;"",$AC766,IF($H766="Critical","P0",IF(NOT(ISNUMBER($L766)),"",IF($L766&gt;=Lists!$AM$2,"P0",IF($L766&gt;=Lists!$AM$3,"P1",IF($L766&gt;=Lists!$AM$4,"P2","P3")))))))</f>
        <v/>
      </c>
      <c r="N766" s="102"/>
      <c r="O766" s="101"/>
      <c r="P766" s="102"/>
      <c r="Q766" s="105"/>
      <c r="R766" s="106" t="str">
        <f aca="true">IF($Q766="","", TODAY()-$Q766)</f>
        <v/>
      </c>
      <c r="S766" s="102"/>
      <c r="T766" s="105"/>
      <c r="U766" s="105"/>
      <c r="V766" s="101"/>
      <c r="W766" s="101"/>
      <c r="X766" s="101"/>
      <c r="Y766" s="96"/>
      <c r="Z766" s="96"/>
      <c r="AA766" s="96"/>
      <c r="AC766" s="102"/>
      <c r="AD766" s="107" t="str">
        <f aca="false">IF($B766="","",IF(ISNUMBER($T766),$T766,IF(OR(NOT(ISNUMBER($Q766)),$S766=""),"",IFERROR(IF(ISNUMBER(INDEX(Lists!$AJ$2:$AJ$7,MATCH($S766,Lists!$AI$2:$AI$7,0))),$Q766+INDEX(Lists!$AJ$2:$AJ$7,MATCH($S766,Lists!$AI$2:$AI$7,0)),""),""))))</f>
        <v/>
      </c>
      <c r="AE766" s="104" t="str">
        <f aca="true">IF($B766="","",IF(AND(ISNUMBER($AD766),N($AD766)&lt;TODAY(),$N766&lt;&gt;"Done",$N766&lt;&gt;"Won't Fix",$N766&lt;&gt;"Duplicate"),"Yes","No"))</f>
        <v/>
      </c>
      <c r="AF766" s="101"/>
      <c r="AG766" s="108" t="str">
        <f aca="false">IF($AF766="","",IFERROR(VLOOKUP($AF766,'Application Portfolio'!$A$2:$B$1000,2,FALSE()),"Unknown App ID"))</f>
        <v/>
      </c>
      <c r="AH766" s="108" t="str">
        <f aca="false">IF(OR($B766="",$AF766=""),"",IFERROR(VLOOKUP($AF766,'Application Portfolio'!$A$2:$AB$1000,28,FALSE()),""))</f>
        <v/>
      </c>
    </row>
    <row r="767" customFormat="false" ht="15.75" hidden="false" customHeight="true" outlineLevel="0" collapsed="false">
      <c r="A767" s="100"/>
      <c r="B767" s="101"/>
      <c r="C767" s="101"/>
      <c r="D767" s="101"/>
      <c r="E767" s="101"/>
      <c r="F767" s="102"/>
      <c r="G767" s="102"/>
      <c r="H767" s="102"/>
      <c r="I767" s="102"/>
      <c r="J767" s="102"/>
      <c r="K767" s="102"/>
      <c r="L767" s="103" t="str">
        <f aca="false">IF(OR($B767="", $H767="", $I767="", $J767="", $K767=""),"",ROUND((VLOOKUP($H767,Lists!$E$2:$F$5,2,FALSE())*VLOOKUP($I767,Lists!$H$2:$I$4,2,FALSE())*VLOOKUP($J767,Lists!$K$2:$L$4,2,FALSE()))/VLOOKUP($K767,Lists!$N$2:$O$6,2,FALSE()),2))</f>
        <v/>
      </c>
      <c r="M767" s="104" t="str">
        <f aca="false">IF($B767="","",IF($AC767&lt;&gt;"",$AC767,IF($H767="Critical","P0",IF(NOT(ISNUMBER($L767)),"",IF($L767&gt;=Lists!$AM$2,"P0",IF($L767&gt;=Lists!$AM$3,"P1",IF($L767&gt;=Lists!$AM$4,"P2","P3")))))))</f>
        <v/>
      </c>
      <c r="N767" s="102"/>
      <c r="O767" s="101"/>
      <c r="P767" s="102"/>
      <c r="Q767" s="105"/>
      <c r="R767" s="106" t="str">
        <f aca="true">IF($Q767="","", TODAY()-$Q767)</f>
        <v/>
      </c>
      <c r="S767" s="102"/>
      <c r="T767" s="105"/>
      <c r="U767" s="105"/>
      <c r="V767" s="101"/>
      <c r="W767" s="101"/>
      <c r="X767" s="101"/>
      <c r="Y767" s="96"/>
      <c r="Z767" s="96"/>
      <c r="AA767" s="96"/>
      <c r="AC767" s="102"/>
      <c r="AD767" s="107" t="str">
        <f aca="false">IF($B767="","",IF(ISNUMBER($T767),$T767,IF(OR(NOT(ISNUMBER($Q767)),$S767=""),"",IFERROR(IF(ISNUMBER(INDEX(Lists!$AJ$2:$AJ$7,MATCH($S767,Lists!$AI$2:$AI$7,0))),$Q767+INDEX(Lists!$AJ$2:$AJ$7,MATCH($S767,Lists!$AI$2:$AI$7,0)),""),""))))</f>
        <v/>
      </c>
      <c r="AE767" s="104" t="str">
        <f aca="true">IF($B767="","",IF(AND(ISNUMBER($AD767),N($AD767)&lt;TODAY(),$N767&lt;&gt;"Done",$N767&lt;&gt;"Won't Fix",$N767&lt;&gt;"Duplicate"),"Yes","No"))</f>
        <v/>
      </c>
      <c r="AF767" s="101"/>
      <c r="AG767" s="108" t="str">
        <f aca="false">IF($AF767="","",IFERROR(VLOOKUP($AF767,'Application Portfolio'!$A$2:$B$1000,2,FALSE()),"Unknown App ID"))</f>
        <v/>
      </c>
      <c r="AH767" s="108" t="str">
        <f aca="false">IF(OR($B767="",$AF767=""),"",IFERROR(VLOOKUP($AF767,'Application Portfolio'!$A$2:$AB$1000,28,FALSE()),""))</f>
        <v/>
      </c>
    </row>
    <row r="768" customFormat="false" ht="15.75" hidden="false" customHeight="true" outlineLevel="0" collapsed="false">
      <c r="A768" s="100"/>
      <c r="B768" s="101"/>
      <c r="C768" s="101"/>
      <c r="D768" s="101"/>
      <c r="E768" s="101"/>
      <c r="F768" s="102"/>
      <c r="G768" s="102"/>
      <c r="H768" s="102"/>
      <c r="I768" s="102"/>
      <c r="J768" s="102"/>
      <c r="K768" s="102"/>
      <c r="L768" s="103" t="str">
        <f aca="false">IF(OR($B768="", $H768="", $I768="", $J768="", $K768=""),"",ROUND((VLOOKUP($H768,Lists!$E$2:$F$5,2,FALSE())*VLOOKUP($I768,Lists!$H$2:$I$4,2,FALSE())*VLOOKUP($J768,Lists!$K$2:$L$4,2,FALSE()))/VLOOKUP($K768,Lists!$N$2:$O$6,2,FALSE()),2))</f>
        <v/>
      </c>
      <c r="M768" s="104" t="str">
        <f aca="false">IF($B768="","",IF($AC768&lt;&gt;"",$AC768,IF($H768="Critical","P0",IF(NOT(ISNUMBER($L768)),"",IF($L768&gt;=Lists!$AM$2,"P0",IF($L768&gt;=Lists!$AM$3,"P1",IF($L768&gt;=Lists!$AM$4,"P2","P3")))))))</f>
        <v/>
      </c>
      <c r="N768" s="102"/>
      <c r="O768" s="101"/>
      <c r="P768" s="102"/>
      <c r="Q768" s="105"/>
      <c r="R768" s="106" t="str">
        <f aca="true">IF($Q768="","", TODAY()-$Q768)</f>
        <v/>
      </c>
      <c r="S768" s="102"/>
      <c r="T768" s="105"/>
      <c r="U768" s="105"/>
      <c r="V768" s="101"/>
      <c r="W768" s="101"/>
      <c r="X768" s="101"/>
      <c r="Y768" s="96"/>
      <c r="Z768" s="96"/>
      <c r="AA768" s="96"/>
      <c r="AC768" s="102"/>
      <c r="AD768" s="107" t="str">
        <f aca="false">IF($B768="","",IF(ISNUMBER($T768),$T768,IF(OR(NOT(ISNUMBER($Q768)),$S768=""),"",IFERROR(IF(ISNUMBER(INDEX(Lists!$AJ$2:$AJ$7,MATCH($S768,Lists!$AI$2:$AI$7,0))),$Q768+INDEX(Lists!$AJ$2:$AJ$7,MATCH($S768,Lists!$AI$2:$AI$7,0)),""),""))))</f>
        <v/>
      </c>
      <c r="AE768" s="104" t="str">
        <f aca="true">IF($B768="","",IF(AND(ISNUMBER($AD768),N($AD768)&lt;TODAY(),$N768&lt;&gt;"Done",$N768&lt;&gt;"Won't Fix",$N768&lt;&gt;"Duplicate"),"Yes","No"))</f>
        <v/>
      </c>
      <c r="AF768" s="101"/>
      <c r="AG768" s="108" t="str">
        <f aca="false">IF($AF768="","",IFERROR(VLOOKUP($AF768,'Application Portfolio'!$A$2:$B$1000,2,FALSE()),"Unknown App ID"))</f>
        <v/>
      </c>
      <c r="AH768" s="108" t="str">
        <f aca="false">IF(OR($B768="",$AF768=""),"",IFERROR(VLOOKUP($AF768,'Application Portfolio'!$A$2:$AB$1000,28,FALSE()),""))</f>
        <v/>
      </c>
    </row>
    <row r="769" customFormat="false" ht="15.75" hidden="false" customHeight="true" outlineLevel="0" collapsed="false">
      <c r="A769" s="100"/>
      <c r="B769" s="101"/>
      <c r="C769" s="101"/>
      <c r="D769" s="101"/>
      <c r="E769" s="101"/>
      <c r="F769" s="102"/>
      <c r="G769" s="102"/>
      <c r="H769" s="102"/>
      <c r="I769" s="102"/>
      <c r="J769" s="102"/>
      <c r="K769" s="102"/>
      <c r="L769" s="103" t="str">
        <f aca="false">IF(OR($B769="", $H769="", $I769="", $J769="", $K769=""),"",ROUND((VLOOKUP($H769,Lists!$E$2:$F$5,2,FALSE())*VLOOKUP($I769,Lists!$H$2:$I$4,2,FALSE())*VLOOKUP($J769,Lists!$K$2:$L$4,2,FALSE()))/VLOOKUP($K769,Lists!$N$2:$O$6,2,FALSE()),2))</f>
        <v/>
      </c>
      <c r="M769" s="104" t="str">
        <f aca="false">IF($B769="","",IF($AC769&lt;&gt;"",$AC769,IF($H769="Critical","P0",IF(NOT(ISNUMBER($L769)),"",IF($L769&gt;=Lists!$AM$2,"P0",IF($L769&gt;=Lists!$AM$3,"P1",IF($L769&gt;=Lists!$AM$4,"P2","P3")))))))</f>
        <v/>
      </c>
      <c r="N769" s="102"/>
      <c r="O769" s="101"/>
      <c r="P769" s="102"/>
      <c r="Q769" s="105"/>
      <c r="R769" s="106" t="str">
        <f aca="true">IF($Q769="","", TODAY()-$Q769)</f>
        <v/>
      </c>
      <c r="S769" s="102"/>
      <c r="T769" s="105"/>
      <c r="U769" s="105"/>
      <c r="V769" s="101"/>
      <c r="W769" s="101"/>
      <c r="X769" s="101"/>
      <c r="Y769" s="96"/>
      <c r="Z769" s="96"/>
      <c r="AA769" s="96"/>
      <c r="AC769" s="102"/>
      <c r="AD769" s="107" t="str">
        <f aca="false">IF($B769="","",IF(ISNUMBER($T769),$T769,IF(OR(NOT(ISNUMBER($Q769)),$S769=""),"",IFERROR(IF(ISNUMBER(INDEX(Lists!$AJ$2:$AJ$7,MATCH($S769,Lists!$AI$2:$AI$7,0))),$Q769+INDEX(Lists!$AJ$2:$AJ$7,MATCH($S769,Lists!$AI$2:$AI$7,0)),""),""))))</f>
        <v/>
      </c>
      <c r="AE769" s="104" t="str">
        <f aca="true">IF($B769="","",IF(AND(ISNUMBER($AD769),N($AD769)&lt;TODAY(),$N769&lt;&gt;"Done",$N769&lt;&gt;"Won't Fix",$N769&lt;&gt;"Duplicate"),"Yes","No"))</f>
        <v/>
      </c>
      <c r="AF769" s="101"/>
      <c r="AG769" s="108" t="str">
        <f aca="false">IF($AF769="","",IFERROR(VLOOKUP($AF769,'Application Portfolio'!$A$2:$B$1000,2,FALSE()),"Unknown App ID"))</f>
        <v/>
      </c>
      <c r="AH769" s="108" t="str">
        <f aca="false">IF(OR($B769="",$AF769=""),"",IFERROR(VLOOKUP($AF769,'Application Portfolio'!$A$2:$AB$1000,28,FALSE()),""))</f>
        <v/>
      </c>
    </row>
    <row r="770" customFormat="false" ht="15.75" hidden="false" customHeight="true" outlineLevel="0" collapsed="false">
      <c r="A770" s="100"/>
      <c r="B770" s="101"/>
      <c r="C770" s="101"/>
      <c r="D770" s="101"/>
      <c r="E770" s="101"/>
      <c r="F770" s="102"/>
      <c r="G770" s="102"/>
      <c r="H770" s="102"/>
      <c r="I770" s="102"/>
      <c r="J770" s="102"/>
      <c r="K770" s="102"/>
      <c r="L770" s="103" t="str">
        <f aca="false">IF(OR($B770="", $H770="", $I770="", $J770="", $K770=""),"",ROUND((VLOOKUP($H770,Lists!$E$2:$F$5,2,FALSE())*VLOOKUP($I770,Lists!$H$2:$I$4,2,FALSE())*VLOOKUP($J770,Lists!$K$2:$L$4,2,FALSE()))/VLOOKUP($K770,Lists!$N$2:$O$6,2,FALSE()),2))</f>
        <v/>
      </c>
      <c r="M770" s="104" t="str">
        <f aca="false">IF($B770="","",IF($AC770&lt;&gt;"",$AC770,IF($H770="Critical","P0",IF(NOT(ISNUMBER($L770)),"",IF($L770&gt;=Lists!$AM$2,"P0",IF($L770&gt;=Lists!$AM$3,"P1",IF($L770&gt;=Lists!$AM$4,"P2","P3")))))))</f>
        <v/>
      </c>
      <c r="N770" s="102"/>
      <c r="O770" s="101"/>
      <c r="P770" s="102"/>
      <c r="Q770" s="105"/>
      <c r="R770" s="106" t="str">
        <f aca="true">IF($Q770="","", TODAY()-$Q770)</f>
        <v/>
      </c>
      <c r="S770" s="102"/>
      <c r="T770" s="105"/>
      <c r="U770" s="105"/>
      <c r="V770" s="101"/>
      <c r="W770" s="101"/>
      <c r="X770" s="101"/>
      <c r="Y770" s="96"/>
      <c r="Z770" s="96"/>
      <c r="AA770" s="96"/>
      <c r="AC770" s="102"/>
      <c r="AD770" s="107" t="str">
        <f aca="false">IF($B770="","",IF(ISNUMBER($T770),$T770,IF(OR(NOT(ISNUMBER($Q770)),$S770=""),"",IFERROR(IF(ISNUMBER(INDEX(Lists!$AJ$2:$AJ$7,MATCH($S770,Lists!$AI$2:$AI$7,0))),$Q770+INDEX(Lists!$AJ$2:$AJ$7,MATCH($S770,Lists!$AI$2:$AI$7,0)),""),""))))</f>
        <v/>
      </c>
      <c r="AE770" s="104" t="str">
        <f aca="true">IF($B770="","",IF(AND(ISNUMBER($AD770),N($AD770)&lt;TODAY(),$N770&lt;&gt;"Done",$N770&lt;&gt;"Won't Fix",$N770&lt;&gt;"Duplicate"),"Yes","No"))</f>
        <v/>
      </c>
      <c r="AF770" s="101"/>
      <c r="AG770" s="108" t="str">
        <f aca="false">IF($AF770="","",IFERROR(VLOOKUP($AF770,'Application Portfolio'!$A$2:$B$1000,2,FALSE()),"Unknown App ID"))</f>
        <v/>
      </c>
      <c r="AH770" s="108" t="str">
        <f aca="false">IF(OR($B770="",$AF770=""),"",IFERROR(VLOOKUP($AF770,'Application Portfolio'!$A$2:$AB$1000,28,FALSE()),""))</f>
        <v/>
      </c>
    </row>
    <row r="771" customFormat="false" ht="15.75" hidden="false" customHeight="true" outlineLevel="0" collapsed="false">
      <c r="A771" s="100"/>
      <c r="B771" s="101"/>
      <c r="C771" s="101"/>
      <c r="D771" s="101"/>
      <c r="E771" s="101"/>
      <c r="F771" s="102"/>
      <c r="G771" s="102"/>
      <c r="H771" s="102"/>
      <c r="I771" s="102"/>
      <c r="J771" s="102"/>
      <c r="K771" s="102"/>
      <c r="L771" s="103" t="str">
        <f aca="false">IF(OR($B771="", $H771="", $I771="", $J771="", $K771=""),"",ROUND((VLOOKUP($H771,Lists!$E$2:$F$5,2,FALSE())*VLOOKUP($I771,Lists!$H$2:$I$4,2,FALSE())*VLOOKUP($J771,Lists!$K$2:$L$4,2,FALSE()))/VLOOKUP($K771,Lists!$N$2:$O$6,2,FALSE()),2))</f>
        <v/>
      </c>
      <c r="M771" s="104" t="str">
        <f aca="false">IF($B771="","",IF($AC771&lt;&gt;"",$AC771,IF($H771="Critical","P0",IF(NOT(ISNUMBER($L771)),"",IF($L771&gt;=Lists!$AM$2,"P0",IF($L771&gt;=Lists!$AM$3,"P1",IF($L771&gt;=Lists!$AM$4,"P2","P3")))))))</f>
        <v/>
      </c>
      <c r="N771" s="102"/>
      <c r="O771" s="101"/>
      <c r="P771" s="102"/>
      <c r="Q771" s="105"/>
      <c r="R771" s="106" t="str">
        <f aca="true">IF($Q771="","", TODAY()-$Q771)</f>
        <v/>
      </c>
      <c r="S771" s="102"/>
      <c r="T771" s="105"/>
      <c r="U771" s="105"/>
      <c r="V771" s="101"/>
      <c r="W771" s="101"/>
      <c r="X771" s="101"/>
      <c r="Y771" s="96"/>
      <c r="Z771" s="96"/>
      <c r="AA771" s="96"/>
      <c r="AC771" s="102"/>
      <c r="AD771" s="107" t="str">
        <f aca="false">IF($B771="","",IF(ISNUMBER($T771),$T771,IF(OR(NOT(ISNUMBER($Q771)),$S771=""),"",IFERROR(IF(ISNUMBER(INDEX(Lists!$AJ$2:$AJ$7,MATCH($S771,Lists!$AI$2:$AI$7,0))),$Q771+INDEX(Lists!$AJ$2:$AJ$7,MATCH($S771,Lists!$AI$2:$AI$7,0)),""),""))))</f>
        <v/>
      </c>
      <c r="AE771" s="104" t="str">
        <f aca="true">IF($B771="","",IF(AND(ISNUMBER($AD771),N($AD771)&lt;TODAY(),$N771&lt;&gt;"Done",$N771&lt;&gt;"Won't Fix",$N771&lt;&gt;"Duplicate"),"Yes","No"))</f>
        <v/>
      </c>
      <c r="AF771" s="101"/>
      <c r="AG771" s="108" t="str">
        <f aca="false">IF($AF771="","",IFERROR(VLOOKUP($AF771,'Application Portfolio'!$A$2:$B$1000,2,FALSE()),"Unknown App ID"))</f>
        <v/>
      </c>
      <c r="AH771" s="108" t="str">
        <f aca="false">IF(OR($B771="",$AF771=""),"",IFERROR(VLOOKUP($AF771,'Application Portfolio'!$A$2:$AB$1000,28,FALSE()),""))</f>
        <v/>
      </c>
    </row>
    <row r="772" customFormat="false" ht="15.75" hidden="false" customHeight="true" outlineLevel="0" collapsed="false">
      <c r="A772" s="100"/>
      <c r="B772" s="101"/>
      <c r="C772" s="101"/>
      <c r="D772" s="101"/>
      <c r="E772" s="101"/>
      <c r="F772" s="102"/>
      <c r="G772" s="102"/>
      <c r="H772" s="102"/>
      <c r="I772" s="102"/>
      <c r="J772" s="102"/>
      <c r="K772" s="102"/>
      <c r="L772" s="103" t="str">
        <f aca="false">IF(OR($B772="", $H772="", $I772="", $J772="", $K772=""),"",ROUND((VLOOKUP($H772,Lists!$E$2:$F$5,2,FALSE())*VLOOKUP($I772,Lists!$H$2:$I$4,2,FALSE())*VLOOKUP($J772,Lists!$K$2:$L$4,2,FALSE()))/VLOOKUP($K772,Lists!$N$2:$O$6,2,FALSE()),2))</f>
        <v/>
      </c>
      <c r="M772" s="104" t="str">
        <f aca="false">IF($B772="","",IF($AC772&lt;&gt;"",$AC772,IF($H772="Critical","P0",IF(NOT(ISNUMBER($L772)),"",IF($L772&gt;=Lists!$AM$2,"P0",IF($L772&gt;=Lists!$AM$3,"P1",IF($L772&gt;=Lists!$AM$4,"P2","P3")))))))</f>
        <v/>
      </c>
      <c r="N772" s="102"/>
      <c r="O772" s="101"/>
      <c r="P772" s="102"/>
      <c r="Q772" s="105"/>
      <c r="R772" s="106" t="str">
        <f aca="true">IF($Q772="","", TODAY()-$Q772)</f>
        <v/>
      </c>
      <c r="S772" s="102"/>
      <c r="T772" s="105"/>
      <c r="U772" s="105"/>
      <c r="V772" s="101"/>
      <c r="W772" s="101"/>
      <c r="X772" s="101"/>
      <c r="Y772" s="96"/>
      <c r="Z772" s="96"/>
      <c r="AA772" s="96"/>
      <c r="AC772" s="102"/>
      <c r="AD772" s="107" t="str">
        <f aca="false">IF($B772="","",IF(ISNUMBER($T772),$T772,IF(OR(NOT(ISNUMBER($Q772)),$S772=""),"",IFERROR(IF(ISNUMBER(INDEX(Lists!$AJ$2:$AJ$7,MATCH($S772,Lists!$AI$2:$AI$7,0))),$Q772+INDEX(Lists!$AJ$2:$AJ$7,MATCH($S772,Lists!$AI$2:$AI$7,0)),""),""))))</f>
        <v/>
      </c>
      <c r="AE772" s="104" t="str">
        <f aca="true">IF($B772="","",IF(AND(ISNUMBER($AD772),N($AD772)&lt;TODAY(),$N772&lt;&gt;"Done",$N772&lt;&gt;"Won't Fix",$N772&lt;&gt;"Duplicate"),"Yes","No"))</f>
        <v/>
      </c>
      <c r="AF772" s="101"/>
      <c r="AG772" s="108" t="str">
        <f aca="false">IF($AF772="","",IFERROR(VLOOKUP($AF772,'Application Portfolio'!$A$2:$B$1000,2,FALSE()),"Unknown App ID"))</f>
        <v/>
      </c>
      <c r="AH772" s="108" t="str">
        <f aca="false">IF(OR($B772="",$AF772=""),"",IFERROR(VLOOKUP($AF772,'Application Portfolio'!$A$2:$AB$1000,28,FALSE()),""))</f>
        <v/>
      </c>
    </row>
    <row r="773" customFormat="false" ht="15.75" hidden="false" customHeight="true" outlineLevel="0" collapsed="false">
      <c r="A773" s="100"/>
      <c r="B773" s="101"/>
      <c r="C773" s="101"/>
      <c r="D773" s="101"/>
      <c r="E773" s="101"/>
      <c r="F773" s="102"/>
      <c r="G773" s="102"/>
      <c r="H773" s="102"/>
      <c r="I773" s="102"/>
      <c r="J773" s="102"/>
      <c r="K773" s="102"/>
      <c r="L773" s="103" t="str">
        <f aca="false">IF(OR($B773="", $H773="", $I773="", $J773="", $K773=""),"",ROUND((VLOOKUP($H773,Lists!$E$2:$F$5,2,FALSE())*VLOOKUP($I773,Lists!$H$2:$I$4,2,FALSE())*VLOOKUP($J773,Lists!$K$2:$L$4,2,FALSE()))/VLOOKUP($K773,Lists!$N$2:$O$6,2,FALSE()),2))</f>
        <v/>
      </c>
      <c r="M773" s="104" t="str">
        <f aca="false">IF($B773="","",IF($AC773&lt;&gt;"",$AC773,IF($H773="Critical","P0",IF(NOT(ISNUMBER($L773)),"",IF($L773&gt;=Lists!$AM$2,"P0",IF($L773&gt;=Lists!$AM$3,"P1",IF($L773&gt;=Lists!$AM$4,"P2","P3")))))))</f>
        <v/>
      </c>
      <c r="N773" s="102"/>
      <c r="O773" s="101"/>
      <c r="P773" s="102"/>
      <c r="Q773" s="105"/>
      <c r="R773" s="106" t="str">
        <f aca="true">IF($Q773="","", TODAY()-$Q773)</f>
        <v/>
      </c>
      <c r="S773" s="102"/>
      <c r="T773" s="105"/>
      <c r="U773" s="105"/>
      <c r="V773" s="101"/>
      <c r="W773" s="101"/>
      <c r="X773" s="101"/>
      <c r="Y773" s="96"/>
      <c r="Z773" s="96"/>
      <c r="AA773" s="96"/>
      <c r="AC773" s="102"/>
      <c r="AD773" s="107" t="str">
        <f aca="false">IF($B773="","",IF(ISNUMBER($T773),$T773,IF(OR(NOT(ISNUMBER($Q773)),$S773=""),"",IFERROR(IF(ISNUMBER(INDEX(Lists!$AJ$2:$AJ$7,MATCH($S773,Lists!$AI$2:$AI$7,0))),$Q773+INDEX(Lists!$AJ$2:$AJ$7,MATCH($S773,Lists!$AI$2:$AI$7,0)),""),""))))</f>
        <v/>
      </c>
      <c r="AE773" s="104" t="str">
        <f aca="true">IF($B773="","",IF(AND(ISNUMBER($AD773),N($AD773)&lt;TODAY(),$N773&lt;&gt;"Done",$N773&lt;&gt;"Won't Fix",$N773&lt;&gt;"Duplicate"),"Yes","No"))</f>
        <v/>
      </c>
      <c r="AF773" s="101"/>
      <c r="AG773" s="108" t="str">
        <f aca="false">IF($AF773="","",IFERROR(VLOOKUP($AF773,'Application Portfolio'!$A$2:$B$1000,2,FALSE()),"Unknown App ID"))</f>
        <v/>
      </c>
      <c r="AH773" s="108" t="str">
        <f aca="false">IF(OR($B773="",$AF773=""),"",IFERROR(VLOOKUP($AF773,'Application Portfolio'!$A$2:$AB$1000,28,FALSE()),""))</f>
        <v/>
      </c>
    </row>
    <row r="774" customFormat="false" ht="15.75" hidden="false" customHeight="true" outlineLevel="0" collapsed="false">
      <c r="A774" s="100"/>
      <c r="B774" s="101"/>
      <c r="C774" s="101"/>
      <c r="D774" s="101"/>
      <c r="E774" s="101"/>
      <c r="F774" s="102"/>
      <c r="G774" s="102"/>
      <c r="H774" s="102"/>
      <c r="I774" s="102"/>
      <c r="J774" s="102"/>
      <c r="K774" s="102"/>
      <c r="L774" s="103" t="str">
        <f aca="false">IF(OR($B774="", $H774="", $I774="", $J774="", $K774=""),"",ROUND((VLOOKUP($H774,Lists!$E$2:$F$5,2,FALSE())*VLOOKUP($I774,Lists!$H$2:$I$4,2,FALSE())*VLOOKUP($J774,Lists!$K$2:$L$4,2,FALSE()))/VLOOKUP($K774,Lists!$N$2:$O$6,2,FALSE()),2))</f>
        <v/>
      </c>
      <c r="M774" s="104" t="str">
        <f aca="false">IF($B774="","",IF($AC774&lt;&gt;"",$AC774,IF($H774="Critical","P0",IF(NOT(ISNUMBER($L774)),"",IF($L774&gt;=Lists!$AM$2,"P0",IF($L774&gt;=Lists!$AM$3,"P1",IF($L774&gt;=Lists!$AM$4,"P2","P3")))))))</f>
        <v/>
      </c>
      <c r="N774" s="102"/>
      <c r="O774" s="101"/>
      <c r="P774" s="102"/>
      <c r="Q774" s="105"/>
      <c r="R774" s="106" t="str">
        <f aca="true">IF($Q774="","", TODAY()-$Q774)</f>
        <v/>
      </c>
      <c r="S774" s="102"/>
      <c r="T774" s="105"/>
      <c r="U774" s="105"/>
      <c r="V774" s="101"/>
      <c r="W774" s="101"/>
      <c r="X774" s="101"/>
      <c r="Y774" s="96"/>
      <c r="Z774" s="96"/>
      <c r="AA774" s="96"/>
      <c r="AC774" s="102"/>
      <c r="AD774" s="107" t="str">
        <f aca="false">IF($B774="","",IF(ISNUMBER($T774),$T774,IF(OR(NOT(ISNUMBER($Q774)),$S774=""),"",IFERROR(IF(ISNUMBER(INDEX(Lists!$AJ$2:$AJ$7,MATCH($S774,Lists!$AI$2:$AI$7,0))),$Q774+INDEX(Lists!$AJ$2:$AJ$7,MATCH($S774,Lists!$AI$2:$AI$7,0)),""),""))))</f>
        <v/>
      </c>
      <c r="AE774" s="104" t="str">
        <f aca="true">IF($B774="","",IF(AND(ISNUMBER($AD774),N($AD774)&lt;TODAY(),$N774&lt;&gt;"Done",$N774&lt;&gt;"Won't Fix",$N774&lt;&gt;"Duplicate"),"Yes","No"))</f>
        <v/>
      </c>
      <c r="AF774" s="101"/>
      <c r="AG774" s="108" t="str">
        <f aca="false">IF($AF774="","",IFERROR(VLOOKUP($AF774,'Application Portfolio'!$A$2:$B$1000,2,FALSE()),"Unknown App ID"))</f>
        <v/>
      </c>
      <c r="AH774" s="108" t="str">
        <f aca="false">IF(OR($B774="",$AF774=""),"",IFERROR(VLOOKUP($AF774,'Application Portfolio'!$A$2:$AB$1000,28,FALSE()),""))</f>
        <v/>
      </c>
    </row>
    <row r="775" customFormat="false" ht="15.75" hidden="false" customHeight="true" outlineLevel="0" collapsed="false">
      <c r="A775" s="100"/>
      <c r="B775" s="101"/>
      <c r="C775" s="101"/>
      <c r="D775" s="101"/>
      <c r="E775" s="101"/>
      <c r="F775" s="102"/>
      <c r="G775" s="102"/>
      <c r="H775" s="102"/>
      <c r="I775" s="102"/>
      <c r="J775" s="102"/>
      <c r="K775" s="102"/>
      <c r="L775" s="103" t="str">
        <f aca="false">IF(OR($B775="", $H775="", $I775="", $J775="", $K775=""),"",ROUND((VLOOKUP($H775,Lists!$E$2:$F$5,2,FALSE())*VLOOKUP($I775,Lists!$H$2:$I$4,2,FALSE())*VLOOKUP($J775,Lists!$K$2:$L$4,2,FALSE()))/VLOOKUP($K775,Lists!$N$2:$O$6,2,FALSE()),2))</f>
        <v/>
      </c>
      <c r="M775" s="104" t="str">
        <f aca="false">IF($B775="","",IF($AC775&lt;&gt;"",$AC775,IF($H775="Critical","P0",IF(NOT(ISNUMBER($L775)),"",IF($L775&gt;=Lists!$AM$2,"P0",IF($L775&gt;=Lists!$AM$3,"P1",IF($L775&gt;=Lists!$AM$4,"P2","P3")))))))</f>
        <v/>
      </c>
      <c r="N775" s="102"/>
      <c r="O775" s="101"/>
      <c r="P775" s="102"/>
      <c r="Q775" s="105"/>
      <c r="R775" s="106" t="str">
        <f aca="true">IF($Q775="","", TODAY()-$Q775)</f>
        <v/>
      </c>
      <c r="S775" s="102"/>
      <c r="T775" s="105"/>
      <c r="U775" s="105"/>
      <c r="V775" s="101"/>
      <c r="W775" s="101"/>
      <c r="X775" s="101"/>
      <c r="Y775" s="96"/>
      <c r="Z775" s="96"/>
      <c r="AA775" s="96"/>
      <c r="AC775" s="102"/>
      <c r="AD775" s="107" t="str">
        <f aca="false">IF($B775="","",IF(ISNUMBER($T775),$T775,IF(OR(NOT(ISNUMBER($Q775)),$S775=""),"",IFERROR(IF(ISNUMBER(INDEX(Lists!$AJ$2:$AJ$7,MATCH($S775,Lists!$AI$2:$AI$7,0))),$Q775+INDEX(Lists!$AJ$2:$AJ$7,MATCH($S775,Lists!$AI$2:$AI$7,0)),""),""))))</f>
        <v/>
      </c>
      <c r="AE775" s="104" t="str">
        <f aca="true">IF($B775="","",IF(AND(ISNUMBER($AD775),N($AD775)&lt;TODAY(),$N775&lt;&gt;"Done",$N775&lt;&gt;"Won't Fix",$N775&lt;&gt;"Duplicate"),"Yes","No"))</f>
        <v/>
      </c>
      <c r="AF775" s="101"/>
      <c r="AG775" s="108" t="str">
        <f aca="false">IF($AF775="","",IFERROR(VLOOKUP($AF775,'Application Portfolio'!$A$2:$B$1000,2,FALSE()),"Unknown App ID"))</f>
        <v/>
      </c>
      <c r="AH775" s="108" t="str">
        <f aca="false">IF(OR($B775="",$AF775=""),"",IFERROR(VLOOKUP($AF775,'Application Portfolio'!$A$2:$AB$1000,28,FALSE()),""))</f>
        <v/>
      </c>
    </row>
    <row r="776" customFormat="false" ht="15.75" hidden="false" customHeight="true" outlineLevel="0" collapsed="false">
      <c r="A776" s="100"/>
      <c r="B776" s="101"/>
      <c r="C776" s="101"/>
      <c r="D776" s="101"/>
      <c r="E776" s="101"/>
      <c r="F776" s="102"/>
      <c r="G776" s="102"/>
      <c r="H776" s="102"/>
      <c r="I776" s="102"/>
      <c r="J776" s="102"/>
      <c r="K776" s="102"/>
      <c r="L776" s="103" t="str">
        <f aca="false">IF(OR($B776="", $H776="", $I776="", $J776="", $K776=""),"",ROUND((VLOOKUP($H776,Lists!$E$2:$F$5,2,FALSE())*VLOOKUP($I776,Lists!$H$2:$I$4,2,FALSE())*VLOOKUP($J776,Lists!$K$2:$L$4,2,FALSE()))/VLOOKUP($K776,Lists!$N$2:$O$6,2,FALSE()),2))</f>
        <v/>
      </c>
      <c r="M776" s="104" t="str">
        <f aca="false">IF($B776="","",IF($AC776&lt;&gt;"",$AC776,IF($H776="Critical","P0",IF(NOT(ISNUMBER($L776)),"",IF($L776&gt;=Lists!$AM$2,"P0",IF($L776&gt;=Lists!$AM$3,"P1",IF($L776&gt;=Lists!$AM$4,"P2","P3")))))))</f>
        <v/>
      </c>
      <c r="N776" s="102"/>
      <c r="O776" s="101"/>
      <c r="P776" s="102"/>
      <c r="Q776" s="105"/>
      <c r="R776" s="106" t="str">
        <f aca="true">IF($Q776="","", TODAY()-$Q776)</f>
        <v/>
      </c>
      <c r="S776" s="102"/>
      <c r="T776" s="105"/>
      <c r="U776" s="105"/>
      <c r="V776" s="101"/>
      <c r="W776" s="101"/>
      <c r="X776" s="101"/>
      <c r="Y776" s="96"/>
      <c r="Z776" s="96"/>
      <c r="AA776" s="96"/>
      <c r="AC776" s="102"/>
      <c r="AD776" s="107" t="str">
        <f aca="false">IF($B776="","",IF(ISNUMBER($T776),$T776,IF(OR(NOT(ISNUMBER($Q776)),$S776=""),"",IFERROR(IF(ISNUMBER(INDEX(Lists!$AJ$2:$AJ$7,MATCH($S776,Lists!$AI$2:$AI$7,0))),$Q776+INDEX(Lists!$AJ$2:$AJ$7,MATCH($S776,Lists!$AI$2:$AI$7,0)),""),""))))</f>
        <v/>
      </c>
      <c r="AE776" s="104" t="str">
        <f aca="true">IF($B776="","",IF(AND(ISNUMBER($AD776),N($AD776)&lt;TODAY(),$N776&lt;&gt;"Done",$N776&lt;&gt;"Won't Fix",$N776&lt;&gt;"Duplicate"),"Yes","No"))</f>
        <v/>
      </c>
      <c r="AF776" s="101"/>
      <c r="AG776" s="108" t="str">
        <f aca="false">IF($AF776="","",IFERROR(VLOOKUP($AF776,'Application Portfolio'!$A$2:$B$1000,2,FALSE()),"Unknown App ID"))</f>
        <v/>
      </c>
      <c r="AH776" s="108" t="str">
        <f aca="false">IF(OR($B776="",$AF776=""),"",IFERROR(VLOOKUP($AF776,'Application Portfolio'!$A$2:$AB$1000,28,FALSE()),""))</f>
        <v/>
      </c>
    </row>
    <row r="777" customFormat="false" ht="15.75" hidden="false" customHeight="true" outlineLevel="0" collapsed="false">
      <c r="A777" s="100"/>
      <c r="B777" s="101"/>
      <c r="C777" s="101"/>
      <c r="D777" s="101"/>
      <c r="E777" s="101"/>
      <c r="F777" s="102"/>
      <c r="G777" s="102"/>
      <c r="H777" s="102"/>
      <c r="I777" s="102"/>
      <c r="J777" s="102"/>
      <c r="K777" s="102"/>
      <c r="L777" s="103" t="str">
        <f aca="false">IF(OR($B777="", $H777="", $I777="", $J777="", $K777=""),"",ROUND((VLOOKUP($H777,Lists!$E$2:$F$5,2,FALSE())*VLOOKUP($I777,Lists!$H$2:$I$4,2,FALSE())*VLOOKUP($J777,Lists!$K$2:$L$4,2,FALSE()))/VLOOKUP($K777,Lists!$N$2:$O$6,2,FALSE()),2))</f>
        <v/>
      </c>
      <c r="M777" s="104" t="str">
        <f aca="false">IF($B777="","",IF($AC777&lt;&gt;"",$AC777,IF($H777="Critical","P0",IF(NOT(ISNUMBER($L777)),"",IF($L777&gt;=Lists!$AM$2,"P0",IF($L777&gt;=Lists!$AM$3,"P1",IF($L777&gt;=Lists!$AM$4,"P2","P3")))))))</f>
        <v/>
      </c>
      <c r="N777" s="102"/>
      <c r="O777" s="101"/>
      <c r="P777" s="102"/>
      <c r="Q777" s="105"/>
      <c r="R777" s="106" t="str">
        <f aca="true">IF($Q777="","", TODAY()-$Q777)</f>
        <v/>
      </c>
      <c r="S777" s="102"/>
      <c r="T777" s="105"/>
      <c r="U777" s="105"/>
      <c r="V777" s="101"/>
      <c r="W777" s="101"/>
      <c r="X777" s="101"/>
      <c r="Y777" s="96"/>
      <c r="Z777" s="96"/>
      <c r="AA777" s="96"/>
      <c r="AC777" s="102"/>
      <c r="AD777" s="107" t="str">
        <f aca="false">IF($B777="","",IF(ISNUMBER($T777),$T777,IF(OR(NOT(ISNUMBER($Q777)),$S777=""),"",IFERROR(IF(ISNUMBER(INDEX(Lists!$AJ$2:$AJ$7,MATCH($S777,Lists!$AI$2:$AI$7,0))),$Q777+INDEX(Lists!$AJ$2:$AJ$7,MATCH($S777,Lists!$AI$2:$AI$7,0)),""),""))))</f>
        <v/>
      </c>
      <c r="AE777" s="104" t="str">
        <f aca="true">IF($B777="","",IF(AND(ISNUMBER($AD777),N($AD777)&lt;TODAY(),$N777&lt;&gt;"Done",$N777&lt;&gt;"Won't Fix",$N777&lt;&gt;"Duplicate"),"Yes","No"))</f>
        <v/>
      </c>
      <c r="AF777" s="101"/>
      <c r="AG777" s="108" t="str">
        <f aca="false">IF($AF777="","",IFERROR(VLOOKUP($AF777,'Application Portfolio'!$A$2:$B$1000,2,FALSE()),"Unknown App ID"))</f>
        <v/>
      </c>
      <c r="AH777" s="108" t="str">
        <f aca="false">IF(OR($B777="",$AF777=""),"",IFERROR(VLOOKUP($AF777,'Application Portfolio'!$A$2:$AB$1000,28,FALSE()),""))</f>
        <v/>
      </c>
    </row>
    <row r="778" customFormat="false" ht="15.75" hidden="false" customHeight="true" outlineLevel="0" collapsed="false">
      <c r="A778" s="100"/>
      <c r="B778" s="101"/>
      <c r="C778" s="101"/>
      <c r="D778" s="101"/>
      <c r="E778" s="101"/>
      <c r="F778" s="102"/>
      <c r="G778" s="102"/>
      <c r="H778" s="102"/>
      <c r="I778" s="102"/>
      <c r="J778" s="102"/>
      <c r="K778" s="102"/>
      <c r="L778" s="103" t="str">
        <f aca="false">IF(OR($B778="", $H778="", $I778="", $J778="", $K778=""),"",ROUND((VLOOKUP($H778,Lists!$E$2:$F$5,2,FALSE())*VLOOKUP($I778,Lists!$H$2:$I$4,2,FALSE())*VLOOKUP($J778,Lists!$K$2:$L$4,2,FALSE()))/VLOOKUP($K778,Lists!$N$2:$O$6,2,FALSE()),2))</f>
        <v/>
      </c>
      <c r="M778" s="104" t="str">
        <f aca="false">IF($B778="","",IF($AC778&lt;&gt;"",$AC778,IF($H778="Critical","P0",IF(NOT(ISNUMBER($L778)),"",IF($L778&gt;=Lists!$AM$2,"P0",IF($L778&gt;=Lists!$AM$3,"P1",IF($L778&gt;=Lists!$AM$4,"P2","P3")))))))</f>
        <v/>
      </c>
      <c r="N778" s="102"/>
      <c r="O778" s="101"/>
      <c r="P778" s="102"/>
      <c r="Q778" s="105"/>
      <c r="R778" s="106" t="str">
        <f aca="true">IF($Q778="","", TODAY()-$Q778)</f>
        <v/>
      </c>
      <c r="S778" s="102"/>
      <c r="T778" s="105"/>
      <c r="U778" s="105"/>
      <c r="V778" s="101"/>
      <c r="W778" s="101"/>
      <c r="X778" s="101"/>
      <c r="Y778" s="96"/>
      <c r="Z778" s="96"/>
      <c r="AA778" s="96"/>
      <c r="AC778" s="102"/>
      <c r="AD778" s="107" t="str">
        <f aca="false">IF($B778="","",IF(ISNUMBER($T778),$T778,IF(OR(NOT(ISNUMBER($Q778)),$S778=""),"",IFERROR(IF(ISNUMBER(INDEX(Lists!$AJ$2:$AJ$7,MATCH($S778,Lists!$AI$2:$AI$7,0))),$Q778+INDEX(Lists!$AJ$2:$AJ$7,MATCH($S778,Lists!$AI$2:$AI$7,0)),""),""))))</f>
        <v/>
      </c>
      <c r="AE778" s="104" t="str">
        <f aca="true">IF($B778="","",IF(AND(ISNUMBER($AD778),N($AD778)&lt;TODAY(),$N778&lt;&gt;"Done",$N778&lt;&gt;"Won't Fix",$N778&lt;&gt;"Duplicate"),"Yes","No"))</f>
        <v/>
      </c>
      <c r="AF778" s="101"/>
      <c r="AG778" s="108" t="str">
        <f aca="false">IF($AF778="","",IFERROR(VLOOKUP($AF778,'Application Portfolio'!$A$2:$B$1000,2,FALSE()),"Unknown App ID"))</f>
        <v/>
      </c>
      <c r="AH778" s="108" t="str">
        <f aca="false">IF(OR($B778="",$AF778=""),"",IFERROR(VLOOKUP($AF778,'Application Portfolio'!$A$2:$AB$1000,28,FALSE()),""))</f>
        <v/>
      </c>
    </row>
    <row r="779" customFormat="false" ht="15.75" hidden="false" customHeight="true" outlineLevel="0" collapsed="false">
      <c r="A779" s="100"/>
      <c r="B779" s="101"/>
      <c r="C779" s="101"/>
      <c r="D779" s="101"/>
      <c r="E779" s="101"/>
      <c r="F779" s="102"/>
      <c r="G779" s="102"/>
      <c r="H779" s="102"/>
      <c r="I779" s="102"/>
      <c r="J779" s="102"/>
      <c r="K779" s="102"/>
      <c r="L779" s="103" t="str">
        <f aca="false">IF(OR($B779="", $H779="", $I779="", $J779="", $K779=""),"",ROUND((VLOOKUP($H779,Lists!$E$2:$F$5,2,FALSE())*VLOOKUP($I779,Lists!$H$2:$I$4,2,FALSE())*VLOOKUP($J779,Lists!$K$2:$L$4,2,FALSE()))/VLOOKUP($K779,Lists!$N$2:$O$6,2,FALSE()),2))</f>
        <v/>
      </c>
      <c r="M779" s="104" t="str">
        <f aca="false">IF($B779="","",IF($AC779&lt;&gt;"",$AC779,IF($H779="Critical","P0",IF(NOT(ISNUMBER($L779)),"",IF($L779&gt;=Lists!$AM$2,"P0",IF($L779&gt;=Lists!$AM$3,"P1",IF($L779&gt;=Lists!$AM$4,"P2","P3")))))))</f>
        <v/>
      </c>
      <c r="N779" s="102"/>
      <c r="O779" s="101"/>
      <c r="P779" s="102"/>
      <c r="Q779" s="105"/>
      <c r="R779" s="106" t="str">
        <f aca="true">IF($Q779="","", TODAY()-$Q779)</f>
        <v/>
      </c>
      <c r="S779" s="102"/>
      <c r="T779" s="105"/>
      <c r="U779" s="105"/>
      <c r="V779" s="101"/>
      <c r="W779" s="101"/>
      <c r="X779" s="101"/>
      <c r="Y779" s="96"/>
      <c r="Z779" s="96"/>
      <c r="AA779" s="96"/>
      <c r="AC779" s="102"/>
      <c r="AD779" s="107" t="str">
        <f aca="false">IF($B779="","",IF(ISNUMBER($T779),$T779,IF(OR(NOT(ISNUMBER($Q779)),$S779=""),"",IFERROR(IF(ISNUMBER(INDEX(Lists!$AJ$2:$AJ$7,MATCH($S779,Lists!$AI$2:$AI$7,0))),$Q779+INDEX(Lists!$AJ$2:$AJ$7,MATCH($S779,Lists!$AI$2:$AI$7,0)),""),""))))</f>
        <v/>
      </c>
      <c r="AE779" s="104" t="str">
        <f aca="true">IF($B779="","",IF(AND(ISNUMBER($AD779),N($AD779)&lt;TODAY(),$N779&lt;&gt;"Done",$N779&lt;&gt;"Won't Fix",$N779&lt;&gt;"Duplicate"),"Yes","No"))</f>
        <v/>
      </c>
      <c r="AF779" s="101"/>
      <c r="AG779" s="108" t="str">
        <f aca="false">IF($AF779="","",IFERROR(VLOOKUP($AF779,'Application Portfolio'!$A$2:$B$1000,2,FALSE()),"Unknown App ID"))</f>
        <v/>
      </c>
      <c r="AH779" s="108" t="str">
        <f aca="false">IF(OR($B779="",$AF779=""),"",IFERROR(VLOOKUP($AF779,'Application Portfolio'!$A$2:$AB$1000,28,FALSE()),""))</f>
        <v/>
      </c>
    </row>
    <row r="780" customFormat="false" ht="15.75" hidden="false" customHeight="true" outlineLevel="0" collapsed="false">
      <c r="A780" s="100"/>
      <c r="B780" s="101"/>
      <c r="C780" s="101"/>
      <c r="D780" s="101"/>
      <c r="E780" s="101"/>
      <c r="F780" s="102"/>
      <c r="G780" s="102"/>
      <c r="H780" s="102"/>
      <c r="I780" s="102"/>
      <c r="J780" s="102"/>
      <c r="K780" s="102"/>
      <c r="L780" s="103" t="str">
        <f aca="false">IF(OR($B780="", $H780="", $I780="", $J780="", $K780=""),"",ROUND((VLOOKUP($H780,Lists!$E$2:$F$5,2,FALSE())*VLOOKUP($I780,Lists!$H$2:$I$4,2,FALSE())*VLOOKUP($J780,Lists!$K$2:$L$4,2,FALSE()))/VLOOKUP($K780,Lists!$N$2:$O$6,2,FALSE()),2))</f>
        <v/>
      </c>
      <c r="M780" s="104" t="str">
        <f aca="false">IF($B780="","",IF($AC780&lt;&gt;"",$AC780,IF($H780="Critical","P0",IF(NOT(ISNUMBER($L780)),"",IF($L780&gt;=Lists!$AM$2,"P0",IF($L780&gt;=Lists!$AM$3,"P1",IF($L780&gt;=Lists!$AM$4,"P2","P3")))))))</f>
        <v/>
      </c>
      <c r="N780" s="102"/>
      <c r="O780" s="101"/>
      <c r="P780" s="102"/>
      <c r="Q780" s="105"/>
      <c r="R780" s="106" t="str">
        <f aca="true">IF($Q780="","", TODAY()-$Q780)</f>
        <v/>
      </c>
      <c r="S780" s="102"/>
      <c r="T780" s="105"/>
      <c r="U780" s="105"/>
      <c r="V780" s="101"/>
      <c r="W780" s="101"/>
      <c r="X780" s="101"/>
      <c r="Y780" s="96"/>
      <c r="Z780" s="96"/>
      <c r="AA780" s="96"/>
      <c r="AC780" s="102"/>
      <c r="AD780" s="107" t="str">
        <f aca="false">IF($B780="","",IF(ISNUMBER($T780),$T780,IF(OR(NOT(ISNUMBER($Q780)),$S780=""),"",IFERROR(IF(ISNUMBER(INDEX(Lists!$AJ$2:$AJ$7,MATCH($S780,Lists!$AI$2:$AI$7,0))),$Q780+INDEX(Lists!$AJ$2:$AJ$7,MATCH($S780,Lists!$AI$2:$AI$7,0)),""),""))))</f>
        <v/>
      </c>
      <c r="AE780" s="104" t="str">
        <f aca="true">IF($B780="","",IF(AND(ISNUMBER($AD780),N($AD780)&lt;TODAY(),$N780&lt;&gt;"Done",$N780&lt;&gt;"Won't Fix",$N780&lt;&gt;"Duplicate"),"Yes","No"))</f>
        <v/>
      </c>
      <c r="AF780" s="101"/>
      <c r="AG780" s="108" t="str">
        <f aca="false">IF($AF780="","",IFERROR(VLOOKUP($AF780,'Application Portfolio'!$A$2:$B$1000,2,FALSE()),"Unknown App ID"))</f>
        <v/>
      </c>
      <c r="AH780" s="108" t="str">
        <f aca="false">IF(OR($B780="",$AF780=""),"",IFERROR(VLOOKUP($AF780,'Application Portfolio'!$A$2:$AB$1000,28,FALSE()),""))</f>
        <v/>
      </c>
    </row>
    <row r="781" customFormat="false" ht="15.75" hidden="false" customHeight="true" outlineLevel="0" collapsed="false">
      <c r="A781" s="100"/>
      <c r="B781" s="101"/>
      <c r="C781" s="101"/>
      <c r="D781" s="101"/>
      <c r="E781" s="101"/>
      <c r="F781" s="102"/>
      <c r="G781" s="102"/>
      <c r="H781" s="102"/>
      <c r="I781" s="102"/>
      <c r="J781" s="102"/>
      <c r="K781" s="102"/>
      <c r="L781" s="103" t="str">
        <f aca="false">IF(OR($B781="", $H781="", $I781="", $J781="", $K781=""),"",ROUND((VLOOKUP($H781,Lists!$E$2:$F$5,2,FALSE())*VLOOKUP($I781,Lists!$H$2:$I$4,2,FALSE())*VLOOKUP($J781,Lists!$K$2:$L$4,2,FALSE()))/VLOOKUP($K781,Lists!$N$2:$O$6,2,FALSE()),2))</f>
        <v/>
      </c>
      <c r="M781" s="104" t="str">
        <f aca="false">IF($B781="","",IF($AC781&lt;&gt;"",$AC781,IF($H781="Critical","P0",IF(NOT(ISNUMBER($L781)),"",IF($L781&gt;=Lists!$AM$2,"P0",IF($L781&gt;=Lists!$AM$3,"P1",IF($L781&gt;=Lists!$AM$4,"P2","P3")))))))</f>
        <v/>
      </c>
      <c r="N781" s="102"/>
      <c r="O781" s="101"/>
      <c r="P781" s="102"/>
      <c r="Q781" s="105"/>
      <c r="R781" s="106" t="str">
        <f aca="true">IF($Q781="","", TODAY()-$Q781)</f>
        <v/>
      </c>
      <c r="S781" s="102"/>
      <c r="T781" s="105"/>
      <c r="U781" s="105"/>
      <c r="V781" s="101"/>
      <c r="W781" s="101"/>
      <c r="X781" s="101"/>
      <c r="Y781" s="96"/>
      <c r="Z781" s="96"/>
      <c r="AA781" s="96"/>
      <c r="AC781" s="102"/>
      <c r="AD781" s="107" t="str">
        <f aca="false">IF($B781="","",IF(ISNUMBER($T781),$T781,IF(OR(NOT(ISNUMBER($Q781)),$S781=""),"",IFERROR(IF(ISNUMBER(INDEX(Lists!$AJ$2:$AJ$7,MATCH($S781,Lists!$AI$2:$AI$7,0))),$Q781+INDEX(Lists!$AJ$2:$AJ$7,MATCH($S781,Lists!$AI$2:$AI$7,0)),""),""))))</f>
        <v/>
      </c>
      <c r="AE781" s="104" t="str">
        <f aca="true">IF($B781="","",IF(AND(ISNUMBER($AD781),N($AD781)&lt;TODAY(),$N781&lt;&gt;"Done",$N781&lt;&gt;"Won't Fix",$N781&lt;&gt;"Duplicate"),"Yes","No"))</f>
        <v/>
      </c>
      <c r="AF781" s="101"/>
      <c r="AG781" s="108" t="str">
        <f aca="false">IF($AF781="","",IFERROR(VLOOKUP($AF781,'Application Portfolio'!$A$2:$B$1000,2,FALSE()),"Unknown App ID"))</f>
        <v/>
      </c>
      <c r="AH781" s="108" t="str">
        <f aca="false">IF(OR($B781="",$AF781=""),"",IFERROR(VLOOKUP($AF781,'Application Portfolio'!$A$2:$AB$1000,28,FALSE()),""))</f>
        <v/>
      </c>
    </row>
    <row r="782" customFormat="false" ht="15.75" hidden="false" customHeight="true" outlineLevel="0" collapsed="false">
      <c r="A782" s="100"/>
      <c r="B782" s="101"/>
      <c r="C782" s="101"/>
      <c r="D782" s="101"/>
      <c r="E782" s="101"/>
      <c r="F782" s="102"/>
      <c r="G782" s="102"/>
      <c r="H782" s="102"/>
      <c r="I782" s="102"/>
      <c r="J782" s="102"/>
      <c r="K782" s="102"/>
      <c r="L782" s="103" t="str">
        <f aca="false">IF(OR($B782="", $H782="", $I782="", $J782="", $K782=""),"",ROUND((VLOOKUP($H782,Lists!$E$2:$F$5,2,FALSE())*VLOOKUP($I782,Lists!$H$2:$I$4,2,FALSE())*VLOOKUP($J782,Lists!$K$2:$L$4,2,FALSE()))/VLOOKUP($K782,Lists!$N$2:$O$6,2,FALSE()),2))</f>
        <v/>
      </c>
      <c r="M782" s="104" t="str">
        <f aca="false">IF($B782="","",IF($AC782&lt;&gt;"",$AC782,IF($H782="Critical","P0",IF(NOT(ISNUMBER($L782)),"",IF($L782&gt;=Lists!$AM$2,"P0",IF($L782&gt;=Lists!$AM$3,"P1",IF($L782&gt;=Lists!$AM$4,"P2","P3")))))))</f>
        <v/>
      </c>
      <c r="N782" s="102"/>
      <c r="O782" s="101"/>
      <c r="P782" s="102"/>
      <c r="Q782" s="105"/>
      <c r="R782" s="106" t="str">
        <f aca="true">IF($Q782="","", TODAY()-$Q782)</f>
        <v/>
      </c>
      <c r="S782" s="102"/>
      <c r="T782" s="105"/>
      <c r="U782" s="105"/>
      <c r="V782" s="101"/>
      <c r="W782" s="101"/>
      <c r="X782" s="101"/>
      <c r="Y782" s="96"/>
      <c r="Z782" s="96"/>
      <c r="AA782" s="96"/>
      <c r="AC782" s="102"/>
      <c r="AD782" s="107" t="str">
        <f aca="false">IF($B782="","",IF(ISNUMBER($T782),$T782,IF(OR(NOT(ISNUMBER($Q782)),$S782=""),"",IFERROR(IF(ISNUMBER(INDEX(Lists!$AJ$2:$AJ$7,MATCH($S782,Lists!$AI$2:$AI$7,0))),$Q782+INDEX(Lists!$AJ$2:$AJ$7,MATCH($S782,Lists!$AI$2:$AI$7,0)),""),""))))</f>
        <v/>
      </c>
      <c r="AE782" s="104" t="str">
        <f aca="true">IF($B782="","",IF(AND(ISNUMBER($AD782),N($AD782)&lt;TODAY(),$N782&lt;&gt;"Done",$N782&lt;&gt;"Won't Fix",$N782&lt;&gt;"Duplicate"),"Yes","No"))</f>
        <v/>
      </c>
      <c r="AF782" s="101"/>
      <c r="AG782" s="108" t="str">
        <f aca="false">IF($AF782="","",IFERROR(VLOOKUP($AF782,'Application Portfolio'!$A$2:$B$1000,2,FALSE()),"Unknown App ID"))</f>
        <v/>
      </c>
      <c r="AH782" s="108" t="str">
        <f aca="false">IF(OR($B782="",$AF782=""),"",IFERROR(VLOOKUP($AF782,'Application Portfolio'!$A$2:$AB$1000,28,FALSE()),""))</f>
        <v/>
      </c>
    </row>
    <row r="783" customFormat="false" ht="15.75" hidden="false" customHeight="true" outlineLevel="0" collapsed="false">
      <c r="A783" s="100"/>
      <c r="B783" s="101"/>
      <c r="C783" s="101"/>
      <c r="D783" s="101"/>
      <c r="E783" s="101"/>
      <c r="F783" s="102"/>
      <c r="G783" s="102"/>
      <c r="H783" s="102"/>
      <c r="I783" s="102"/>
      <c r="J783" s="102"/>
      <c r="K783" s="102"/>
      <c r="L783" s="103" t="str">
        <f aca="false">IF(OR($B783="", $H783="", $I783="", $J783="", $K783=""),"",ROUND((VLOOKUP($H783,Lists!$E$2:$F$5,2,FALSE())*VLOOKUP($I783,Lists!$H$2:$I$4,2,FALSE())*VLOOKUP($J783,Lists!$K$2:$L$4,2,FALSE()))/VLOOKUP($K783,Lists!$N$2:$O$6,2,FALSE()),2))</f>
        <v/>
      </c>
      <c r="M783" s="104" t="str">
        <f aca="false">IF($B783="","",IF($AC783&lt;&gt;"",$AC783,IF($H783="Critical","P0",IF(NOT(ISNUMBER($L783)),"",IF($L783&gt;=Lists!$AM$2,"P0",IF($L783&gt;=Lists!$AM$3,"P1",IF($L783&gt;=Lists!$AM$4,"P2","P3")))))))</f>
        <v/>
      </c>
      <c r="N783" s="102"/>
      <c r="O783" s="101"/>
      <c r="P783" s="102"/>
      <c r="Q783" s="105"/>
      <c r="R783" s="106" t="str">
        <f aca="true">IF($Q783="","", TODAY()-$Q783)</f>
        <v/>
      </c>
      <c r="S783" s="102"/>
      <c r="T783" s="105"/>
      <c r="U783" s="105"/>
      <c r="V783" s="101"/>
      <c r="W783" s="101"/>
      <c r="X783" s="101"/>
      <c r="Y783" s="96"/>
      <c r="Z783" s="96"/>
      <c r="AA783" s="96"/>
      <c r="AC783" s="102"/>
      <c r="AD783" s="107" t="str">
        <f aca="false">IF($B783="","",IF(ISNUMBER($T783),$T783,IF(OR(NOT(ISNUMBER($Q783)),$S783=""),"",IFERROR(IF(ISNUMBER(INDEX(Lists!$AJ$2:$AJ$7,MATCH($S783,Lists!$AI$2:$AI$7,0))),$Q783+INDEX(Lists!$AJ$2:$AJ$7,MATCH($S783,Lists!$AI$2:$AI$7,0)),""),""))))</f>
        <v/>
      </c>
      <c r="AE783" s="104" t="str">
        <f aca="true">IF($B783="","",IF(AND(ISNUMBER($AD783),N($AD783)&lt;TODAY(),$N783&lt;&gt;"Done",$N783&lt;&gt;"Won't Fix",$N783&lt;&gt;"Duplicate"),"Yes","No"))</f>
        <v/>
      </c>
      <c r="AF783" s="101"/>
      <c r="AG783" s="108" t="str">
        <f aca="false">IF($AF783="","",IFERROR(VLOOKUP($AF783,'Application Portfolio'!$A$2:$B$1000,2,FALSE()),"Unknown App ID"))</f>
        <v/>
      </c>
      <c r="AH783" s="108" t="str">
        <f aca="false">IF(OR($B783="",$AF783=""),"",IFERROR(VLOOKUP($AF783,'Application Portfolio'!$A$2:$AB$1000,28,FALSE()),""))</f>
        <v/>
      </c>
    </row>
    <row r="784" customFormat="false" ht="15.75" hidden="false" customHeight="true" outlineLevel="0" collapsed="false">
      <c r="A784" s="100"/>
      <c r="B784" s="101"/>
      <c r="C784" s="101"/>
      <c r="D784" s="101"/>
      <c r="E784" s="101"/>
      <c r="F784" s="102"/>
      <c r="G784" s="102"/>
      <c r="H784" s="102"/>
      <c r="I784" s="102"/>
      <c r="J784" s="102"/>
      <c r="K784" s="102"/>
      <c r="L784" s="103" t="str">
        <f aca="false">IF(OR($B784="", $H784="", $I784="", $J784="", $K784=""),"",ROUND((VLOOKUP($H784,Lists!$E$2:$F$5,2,FALSE())*VLOOKUP($I784,Lists!$H$2:$I$4,2,FALSE())*VLOOKUP($J784,Lists!$K$2:$L$4,2,FALSE()))/VLOOKUP($K784,Lists!$N$2:$O$6,2,FALSE()),2))</f>
        <v/>
      </c>
      <c r="M784" s="104" t="str">
        <f aca="false">IF($B784="","",IF($AC784&lt;&gt;"",$AC784,IF($H784="Critical","P0",IF(NOT(ISNUMBER($L784)),"",IF($L784&gt;=Lists!$AM$2,"P0",IF($L784&gt;=Lists!$AM$3,"P1",IF($L784&gt;=Lists!$AM$4,"P2","P3")))))))</f>
        <v/>
      </c>
      <c r="N784" s="102"/>
      <c r="O784" s="101"/>
      <c r="P784" s="102"/>
      <c r="Q784" s="105"/>
      <c r="R784" s="106" t="str">
        <f aca="true">IF($Q784="","", TODAY()-$Q784)</f>
        <v/>
      </c>
      <c r="S784" s="102"/>
      <c r="T784" s="105"/>
      <c r="U784" s="105"/>
      <c r="V784" s="101"/>
      <c r="W784" s="101"/>
      <c r="X784" s="101"/>
      <c r="Y784" s="96"/>
      <c r="Z784" s="96"/>
      <c r="AA784" s="96"/>
      <c r="AC784" s="102"/>
      <c r="AD784" s="107" t="str">
        <f aca="false">IF($B784="","",IF(ISNUMBER($T784),$T784,IF(OR(NOT(ISNUMBER($Q784)),$S784=""),"",IFERROR(IF(ISNUMBER(INDEX(Lists!$AJ$2:$AJ$7,MATCH($S784,Lists!$AI$2:$AI$7,0))),$Q784+INDEX(Lists!$AJ$2:$AJ$7,MATCH($S784,Lists!$AI$2:$AI$7,0)),""),""))))</f>
        <v/>
      </c>
      <c r="AE784" s="104" t="str">
        <f aca="true">IF($B784="","",IF(AND(ISNUMBER($AD784),N($AD784)&lt;TODAY(),$N784&lt;&gt;"Done",$N784&lt;&gt;"Won't Fix",$N784&lt;&gt;"Duplicate"),"Yes","No"))</f>
        <v/>
      </c>
      <c r="AF784" s="101"/>
      <c r="AG784" s="108" t="str">
        <f aca="false">IF($AF784="","",IFERROR(VLOOKUP($AF784,'Application Portfolio'!$A$2:$B$1000,2,FALSE()),"Unknown App ID"))</f>
        <v/>
      </c>
      <c r="AH784" s="108" t="str">
        <f aca="false">IF(OR($B784="",$AF784=""),"",IFERROR(VLOOKUP($AF784,'Application Portfolio'!$A$2:$AB$1000,28,FALSE()),""))</f>
        <v/>
      </c>
    </row>
    <row r="785" customFormat="false" ht="15.75" hidden="false" customHeight="true" outlineLevel="0" collapsed="false">
      <c r="A785" s="100"/>
      <c r="B785" s="101"/>
      <c r="C785" s="101"/>
      <c r="D785" s="101"/>
      <c r="E785" s="101"/>
      <c r="F785" s="102"/>
      <c r="G785" s="102"/>
      <c r="H785" s="102"/>
      <c r="I785" s="102"/>
      <c r="J785" s="102"/>
      <c r="K785" s="102"/>
      <c r="L785" s="103" t="str">
        <f aca="false">IF(OR($B785="", $H785="", $I785="", $J785="", $K785=""),"",ROUND((VLOOKUP($H785,Lists!$E$2:$F$5,2,FALSE())*VLOOKUP($I785,Lists!$H$2:$I$4,2,FALSE())*VLOOKUP($J785,Lists!$K$2:$L$4,2,FALSE()))/VLOOKUP($K785,Lists!$N$2:$O$6,2,FALSE()),2))</f>
        <v/>
      </c>
      <c r="M785" s="104" t="str">
        <f aca="false">IF($B785="","",IF($AC785&lt;&gt;"",$AC785,IF($H785="Critical","P0",IF(NOT(ISNUMBER($L785)),"",IF($L785&gt;=Lists!$AM$2,"P0",IF($L785&gt;=Lists!$AM$3,"P1",IF($L785&gt;=Lists!$AM$4,"P2","P3")))))))</f>
        <v/>
      </c>
      <c r="N785" s="102"/>
      <c r="O785" s="101"/>
      <c r="P785" s="102"/>
      <c r="Q785" s="105"/>
      <c r="R785" s="106" t="str">
        <f aca="true">IF($Q785="","", TODAY()-$Q785)</f>
        <v/>
      </c>
      <c r="S785" s="102"/>
      <c r="T785" s="105"/>
      <c r="U785" s="105"/>
      <c r="V785" s="101"/>
      <c r="W785" s="101"/>
      <c r="X785" s="101"/>
      <c r="Y785" s="96"/>
      <c r="Z785" s="96"/>
      <c r="AA785" s="96"/>
      <c r="AC785" s="102"/>
      <c r="AD785" s="107" t="str">
        <f aca="false">IF($B785="","",IF(ISNUMBER($T785),$T785,IF(OR(NOT(ISNUMBER($Q785)),$S785=""),"",IFERROR(IF(ISNUMBER(INDEX(Lists!$AJ$2:$AJ$7,MATCH($S785,Lists!$AI$2:$AI$7,0))),$Q785+INDEX(Lists!$AJ$2:$AJ$7,MATCH($S785,Lists!$AI$2:$AI$7,0)),""),""))))</f>
        <v/>
      </c>
      <c r="AE785" s="104" t="str">
        <f aca="true">IF($B785="","",IF(AND(ISNUMBER($AD785),N($AD785)&lt;TODAY(),$N785&lt;&gt;"Done",$N785&lt;&gt;"Won't Fix",$N785&lt;&gt;"Duplicate"),"Yes","No"))</f>
        <v/>
      </c>
      <c r="AF785" s="101"/>
      <c r="AG785" s="108" t="str">
        <f aca="false">IF($AF785="","",IFERROR(VLOOKUP($AF785,'Application Portfolio'!$A$2:$B$1000,2,FALSE()),"Unknown App ID"))</f>
        <v/>
      </c>
      <c r="AH785" s="108" t="str">
        <f aca="false">IF(OR($B785="",$AF785=""),"",IFERROR(VLOOKUP($AF785,'Application Portfolio'!$A$2:$AB$1000,28,FALSE()),""))</f>
        <v/>
      </c>
    </row>
    <row r="786" customFormat="false" ht="15.75" hidden="false" customHeight="true" outlineLevel="0" collapsed="false">
      <c r="A786" s="100"/>
      <c r="B786" s="101"/>
      <c r="C786" s="101"/>
      <c r="D786" s="101"/>
      <c r="E786" s="101"/>
      <c r="F786" s="102"/>
      <c r="G786" s="102"/>
      <c r="H786" s="102"/>
      <c r="I786" s="102"/>
      <c r="J786" s="102"/>
      <c r="K786" s="102"/>
      <c r="L786" s="103" t="str">
        <f aca="false">IF(OR($B786="", $H786="", $I786="", $J786="", $K786=""),"",ROUND((VLOOKUP($H786,Lists!$E$2:$F$5,2,FALSE())*VLOOKUP($I786,Lists!$H$2:$I$4,2,FALSE())*VLOOKUP($J786,Lists!$K$2:$L$4,2,FALSE()))/VLOOKUP($K786,Lists!$N$2:$O$6,2,FALSE()),2))</f>
        <v/>
      </c>
      <c r="M786" s="104" t="str">
        <f aca="false">IF($B786="","",IF($AC786&lt;&gt;"",$AC786,IF($H786="Critical","P0",IF(NOT(ISNUMBER($L786)),"",IF($L786&gt;=Lists!$AM$2,"P0",IF($L786&gt;=Lists!$AM$3,"P1",IF($L786&gt;=Lists!$AM$4,"P2","P3")))))))</f>
        <v/>
      </c>
      <c r="N786" s="102"/>
      <c r="O786" s="101"/>
      <c r="P786" s="102"/>
      <c r="Q786" s="105"/>
      <c r="R786" s="106" t="str">
        <f aca="true">IF($Q786="","", TODAY()-$Q786)</f>
        <v/>
      </c>
      <c r="S786" s="102"/>
      <c r="T786" s="105"/>
      <c r="U786" s="105"/>
      <c r="V786" s="101"/>
      <c r="W786" s="101"/>
      <c r="X786" s="101"/>
      <c r="Y786" s="96"/>
      <c r="Z786" s="96"/>
      <c r="AA786" s="96"/>
      <c r="AC786" s="102"/>
      <c r="AD786" s="107" t="str">
        <f aca="false">IF($B786="","",IF(ISNUMBER($T786),$T786,IF(OR(NOT(ISNUMBER($Q786)),$S786=""),"",IFERROR(IF(ISNUMBER(INDEX(Lists!$AJ$2:$AJ$7,MATCH($S786,Lists!$AI$2:$AI$7,0))),$Q786+INDEX(Lists!$AJ$2:$AJ$7,MATCH($S786,Lists!$AI$2:$AI$7,0)),""),""))))</f>
        <v/>
      </c>
      <c r="AE786" s="104" t="str">
        <f aca="true">IF($B786="","",IF(AND(ISNUMBER($AD786),N($AD786)&lt;TODAY(),$N786&lt;&gt;"Done",$N786&lt;&gt;"Won't Fix",$N786&lt;&gt;"Duplicate"),"Yes","No"))</f>
        <v/>
      </c>
      <c r="AF786" s="101"/>
      <c r="AG786" s="108" t="str">
        <f aca="false">IF($AF786="","",IFERROR(VLOOKUP($AF786,'Application Portfolio'!$A$2:$B$1000,2,FALSE()),"Unknown App ID"))</f>
        <v/>
      </c>
      <c r="AH786" s="108" t="str">
        <f aca="false">IF(OR($B786="",$AF786=""),"",IFERROR(VLOOKUP($AF786,'Application Portfolio'!$A$2:$AB$1000,28,FALSE()),""))</f>
        <v/>
      </c>
    </row>
    <row r="787" customFormat="false" ht="15.75" hidden="false" customHeight="true" outlineLevel="0" collapsed="false">
      <c r="A787" s="100"/>
      <c r="B787" s="101"/>
      <c r="C787" s="101"/>
      <c r="D787" s="101"/>
      <c r="E787" s="101"/>
      <c r="F787" s="102"/>
      <c r="G787" s="102"/>
      <c r="H787" s="102"/>
      <c r="I787" s="102"/>
      <c r="J787" s="102"/>
      <c r="K787" s="102"/>
      <c r="L787" s="103" t="str">
        <f aca="false">IF(OR($B787="", $H787="", $I787="", $J787="", $K787=""),"",ROUND((VLOOKUP($H787,Lists!$E$2:$F$5,2,FALSE())*VLOOKUP($I787,Lists!$H$2:$I$4,2,FALSE())*VLOOKUP($J787,Lists!$K$2:$L$4,2,FALSE()))/VLOOKUP($K787,Lists!$N$2:$O$6,2,FALSE()),2))</f>
        <v/>
      </c>
      <c r="M787" s="104" t="str">
        <f aca="false">IF($B787="","",IF($AC787&lt;&gt;"",$AC787,IF($H787="Critical","P0",IF(NOT(ISNUMBER($L787)),"",IF($L787&gt;=Lists!$AM$2,"P0",IF($L787&gt;=Lists!$AM$3,"P1",IF($L787&gt;=Lists!$AM$4,"P2","P3")))))))</f>
        <v/>
      </c>
      <c r="N787" s="102"/>
      <c r="O787" s="101"/>
      <c r="P787" s="102"/>
      <c r="Q787" s="105"/>
      <c r="R787" s="106" t="str">
        <f aca="true">IF($Q787="","", TODAY()-$Q787)</f>
        <v/>
      </c>
      <c r="S787" s="102"/>
      <c r="T787" s="105"/>
      <c r="U787" s="105"/>
      <c r="V787" s="101"/>
      <c r="W787" s="101"/>
      <c r="X787" s="101"/>
      <c r="Y787" s="96"/>
      <c r="Z787" s="96"/>
      <c r="AA787" s="96"/>
      <c r="AC787" s="102"/>
      <c r="AD787" s="107" t="str">
        <f aca="false">IF($B787="","",IF(ISNUMBER($T787),$T787,IF(OR(NOT(ISNUMBER($Q787)),$S787=""),"",IFERROR(IF(ISNUMBER(INDEX(Lists!$AJ$2:$AJ$7,MATCH($S787,Lists!$AI$2:$AI$7,0))),$Q787+INDEX(Lists!$AJ$2:$AJ$7,MATCH($S787,Lists!$AI$2:$AI$7,0)),""),""))))</f>
        <v/>
      </c>
      <c r="AE787" s="104" t="str">
        <f aca="true">IF($B787="","",IF(AND(ISNUMBER($AD787),N($AD787)&lt;TODAY(),$N787&lt;&gt;"Done",$N787&lt;&gt;"Won't Fix",$N787&lt;&gt;"Duplicate"),"Yes","No"))</f>
        <v/>
      </c>
      <c r="AF787" s="101"/>
      <c r="AG787" s="108" t="str">
        <f aca="false">IF($AF787="","",IFERROR(VLOOKUP($AF787,'Application Portfolio'!$A$2:$B$1000,2,FALSE()),"Unknown App ID"))</f>
        <v/>
      </c>
      <c r="AH787" s="108" t="str">
        <f aca="false">IF(OR($B787="",$AF787=""),"",IFERROR(VLOOKUP($AF787,'Application Portfolio'!$A$2:$AB$1000,28,FALSE()),""))</f>
        <v/>
      </c>
    </row>
    <row r="788" customFormat="false" ht="15.75" hidden="false" customHeight="true" outlineLevel="0" collapsed="false">
      <c r="A788" s="100"/>
      <c r="B788" s="101"/>
      <c r="C788" s="101"/>
      <c r="D788" s="101"/>
      <c r="E788" s="101"/>
      <c r="F788" s="102"/>
      <c r="G788" s="102"/>
      <c r="H788" s="102"/>
      <c r="I788" s="102"/>
      <c r="J788" s="102"/>
      <c r="K788" s="102"/>
      <c r="L788" s="103" t="str">
        <f aca="false">IF(OR($B788="", $H788="", $I788="", $J788="", $K788=""),"",ROUND((VLOOKUP($H788,Lists!$E$2:$F$5,2,FALSE())*VLOOKUP($I788,Lists!$H$2:$I$4,2,FALSE())*VLOOKUP($J788,Lists!$K$2:$L$4,2,FALSE()))/VLOOKUP($K788,Lists!$N$2:$O$6,2,FALSE()),2))</f>
        <v/>
      </c>
      <c r="M788" s="104" t="str">
        <f aca="false">IF($B788="","",IF($AC788&lt;&gt;"",$AC788,IF($H788="Critical","P0",IF(NOT(ISNUMBER($L788)),"",IF($L788&gt;=Lists!$AM$2,"P0",IF($L788&gt;=Lists!$AM$3,"P1",IF($L788&gt;=Lists!$AM$4,"P2","P3")))))))</f>
        <v/>
      </c>
      <c r="N788" s="102"/>
      <c r="O788" s="101"/>
      <c r="P788" s="102"/>
      <c r="Q788" s="105"/>
      <c r="R788" s="106" t="str">
        <f aca="true">IF($Q788="","", TODAY()-$Q788)</f>
        <v/>
      </c>
      <c r="S788" s="102"/>
      <c r="T788" s="105"/>
      <c r="U788" s="105"/>
      <c r="V788" s="101"/>
      <c r="W788" s="101"/>
      <c r="X788" s="101"/>
      <c r="Y788" s="96"/>
      <c r="Z788" s="96"/>
      <c r="AA788" s="96"/>
      <c r="AC788" s="102"/>
      <c r="AD788" s="107" t="str">
        <f aca="false">IF($B788="","",IF(ISNUMBER($T788),$T788,IF(OR(NOT(ISNUMBER($Q788)),$S788=""),"",IFERROR(IF(ISNUMBER(INDEX(Lists!$AJ$2:$AJ$7,MATCH($S788,Lists!$AI$2:$AI$7,0))),$Q788+INDEX(Lists!$AJ$2:$AJ$7,MATCH($S788,Lists!$AI$2:$AI$7,0)),""),""))))</f>
        <v/>
      </c>
      <c r="AE788" s="104" t="str">
        <f aca="true">IF($B788="","",IF(AND(ISNUMBER($AD788),N($AD788)&lt;TODAY(),$N788&lt;&gt;"Done",$N788&lt;&gt;"Won't Fix",$N788&lt;&gt;"Duplicate"),"Yes","No"))</f>
        <v/>
      </c>
      <c r="AF788" s="101"/>
      <c r="AG788" s="108" t="str">
        <f aca="false">IF($AF788="","",IFERROR(VLOOKUP($AF788,'Application Portfolio'!$A$2:$B$1000,2,FALSE()),"Unknown App ID"))</f>
        <v/>
      </c>
      <c r="AH788" s="108" t="str">
        <f aca="false">IF(OR($B788="",$AF788=""),"",IFERROR(VLOOKUP($AF788,'Application Portfolio'!$A$2:$AB$1000,28,FALSE()),""))</f>
        <v/>
      </c>
    </row>
    <row r="789" customFormat="false" ht="15.75" hidden="false" customHeight="true" outlineLevel="0" collapsed="false">
      <c r="A789" s="100"/>
      <c r="B789" s="101"/>
      <c r="C789" s="101"/>
      <c r="D789" s="101"/>
      <c r="E789" s="101"/>
      <c r="F789" s="102"/>
      <c r="G789" s="102"/>
      <c r="H789" s="102"/>
      <c r="I789" s="102"/>
      <c r="J789" s="102"/>
      <c r="K789" s="102"/>
      <c r="L789" s="103" t="str">
        <f aca="false">IF(OR($B789="", $H789="", $I789="", $J789="", $K789=""),"",ROUND((VLOOKUP($H789,Lists!$E$2:$F$5,2,FALSE())*VLOOKUP($I789,Lists!$H$2:$I$4,2,FALSE())*VLOOKUP($J789,Lists!$K$2:$L$4,2,FALSE()))/VLOOKUP($K789,Lists!$N$2:$O$6,2,FALSE()),2))</f>
        <v/>
      </c>
      <c r="M789" s="104" t="str">
        <f aca="false">IF($B789="","",IF($AC789&lt;&gt;"",$AC789,IF($H789="Critical","P0",IF(NOT(ISNUMBER($L789)),"",IF($L789&gt;=Lists!$AM$2,"P0",IF($L789&gt;=Lists!$AM$3,"P1",IF($L789&gt;=Lists!$AM$4,"P2","P3")))))))</f>
        <v/>
      </c>
      <c r="N789" s="102"/>
      <c r="O789" s="101"/>
      <c r="P789" s="102"/>
      <c r="Q789" s="105"/>
      <c r="R789" s="106" t="str">
        <f aca="true">IF($Q789="","", TODAY()-$Q789)</f>
        <v/>
      </c>
      <c r="S789" s="102"/>
      <c r="T789" s="105"/>
      <c r="U789" s="105"/>
      <c r="V789" s="101"/>
      <c r="W789" s="101"/>
      <c r="X789" s="101"/>
      <c r="Y789" s="96"/>
      <c r="Z789" s="96"/>
      <c r="AA789" s="96"/>
      <c r="AC789" s="102"/>
      <c r="AD789" s="107" t="str">
        <f aca="false">IF($B789="","",IF(ISNUMBER($T789),$T789,IF(OR(NOT(ISNUMBER($Q789)),$S789=""),"",IFERROR(IF(ISNUMBER(INDEX(Lists!$AJ$2:$AJ$7,MATCH($S789,Lists!$AI$2:$AI$7,0))),$Q789+INDEX(Lists!$AJ$2:$AJ$7,MATCH($S789,Lists!$AI$2:$AI$7,0)),""),""))))</f>
        <v/>
      </c>
      <c r="AE789" s="104" t="str">
        <f aca="true">IF($B789="","",IF(AND(ISNUMBER($AD789),N($AD789)&lt;TODAY(),$N789&lt;&gt;"Done",$N789&lt;&gt;"Won't Fix",$N789&lt;&gt;"Duplicate"),"Yes","No"))</f>
        <v/>
      </c>
      <c r="AF789" s="101"/>
      <c r="AG789" s="108" t="str">
        <f aca="false">IF($AF789="","",IFERROR(VLOOKUP($AF789,'Application Portfolio'!$A$2:$B$1000,2,FALSE()),"Unknown App ID"))</f>
        <v/>
      </c>
      <c r="AH789" s="108" t="str">
        <f aca="false">IF(OR($B789="",$AF789=""),"",IFERROR(VLOOKUP($AF789,'Application Portfolio'!$A$2:$AB$1000,28,FALSE()),""))</f>
        <v/>
      </c>
    </row>
    <row r="790" customFormat="false" ht="15.75" hidden="false" customHeight="true" outlineLevel="0" collapsed="false">
      <c r="A790" s="100"/>
      <c r="B790" s="101"/>
      <c r="C790" s="101"/>
      <c r="D790" s="101"/>
      <c r="E790" s="101"/>
      <c r="F790" s="102"/>
      <c r="G790" s="102"/>
      <c r="H790" s="102"/>
      <c r="I790" s="102"/>
      <c r="J790" s="102"/>
      <c r="K790" s="102"/>
      <c r="L790" s="103" t="str">
        <f aca="false">IF(OR($B790="", $H790="", $I790="", $J790="", $K790=""),"",ROUND((VLOOKUP($H790,Lists!$E$2:$F$5,2,FALSE())*VLOOKUP($I790,Lists!$H$2:$I$4,2,FALSE())*VLOOKUP($J790,Lists!$K$2:$L$4,2,FALSE()))/VLOOKUP($K790,Lists!$N$2:$O$6,2,FALSE()),2))</f>
        <v/>
      </c>
      <c r="M790" s="104" t="str">
        <f aca="false">IF($B790="","",IF($AC790&lt;&gt;"",$AC790,IF($H790="Critical","P0",IF(NOT(ISNUMBER($L790)),"",IF($L790&gt;=Lists!$AM$2,"P0",IF($L790&gt;=Lists!$AM$3,"P1",IF($L790&gt;=Lists!$AM$4,"P2","P3")))))))</f>
        <v/>
      </c>
      <c r="N790" s="102"/>
      <c r="O790" s="101"/>
      <c r="P790" s="102"/>
      <c r="Q790" s="105"/>
      <c r="R790" s="106" t="str">
        <f aca="true">IF($Q790="","", TODAY()-$Q790)</f>
        <v/>
      </c>
      <c r="S790" s="102"/>
      <c r="T790" s="105"/>
      <c r="U790" s="105"/>
      <c r="V790" s="101"/>
      <c r="W790" s="101"/>
      <c r="X790" s="101"/>
      <c r="Y790" s="96"/>
      <c r="Z790" s="96"/>
      <c r="AA790" s="96"/>
      <c r="AC790" s="102"/>
      <c r="AD790" s="107" t="str">
        <f aca="false">IF($B790="","",IF(ISNUMBER($T790),$T790,IF(OR(NOT(ISNUMBER($Q790)),$S790=""),"",IFERROR(IF(ISNUMBER(INDEX(Lists!$AJ$2:$AJ$7,MATCH($S790,Lists!$AI$2:$AI$7,0))),$Q790+INDEX(Lists!$AJ$2:$AJ$7,MATCH($S790,Lists!$AI$2:$AI$7,0)),""),""))))</f>
        <v/>
      </c>
      <c r="AE790" s="104" t="str">
        <f aca="true">IF($B790="","",IF(AND(ISNUMBER($AD790),N($AD790)&lt;TODAY(),$N790&lt;&gt;"Done",$N790&lt;&gt;"Won't Fix",$N790&lt;&gt;"Duplicate"),"Yes","No"))</f>
        <v/>
      </c>
      <c r="AF790" s="101"/>
      <c r="AG790" s="108" t="str">
        <f aca="false">IF($AF790="","",IFERROR(VLOOKUP($AF790,'Application Portfolio'!$A$2:$B$1000,2,FALSE()),"Unknown App ID"))</f>
        <v/>
      </c>
      <c r="AH790" s="108" t="str">
        <f aca="false">IF(OR($B790="",$AF790=""),"",IFERROR(VLOOKUP($AF790,'Application Portfolio'!$A$2:$AB$1000,28,FALSE()),""))</f>
        <v/>
      </c>
    </row>
    <row r="791" customFormat="false" ht="15.75" hidden="false" customHeight="true" outlineLevel="0" collapsed="false">
      <c r="A791" s="100"/>
      <c r="B791" s="101"/>
      <c r="C791" s="101"/>
      <c r="D791" s="101"/>
      <c r="E791" s="101"/>
      <c r="F791" s="102"/>
      <c r="G791" s="102"/>
      <c r="H791" s="102"/>
      <c r="I791" s="102"/>
      <c r="J791" s="102"/>
      <c r="K791" s="102"/>
      <c r="L791" s="103" t="str">
        <f aca="false">IF(OR($B791="", $H791="", $I791="", $J791="", $K791=""),"",ROUND((VLOOKUP($H791,Lists!$E$2:$F$5,2,FALSE())*VLOOKUP($I791,Lists!$H$2:$I$4,2,FALSE())*VLOOKUP($J791,Lists!$K$2:$L$4,2,FALSE()))/VLOOKUP($K791,Lists!$N$2:$O$6,2,FALSE()),2))</f>
        <v/>
      </c>
      <c r="M791" s="104" t="str">
        <f aca="false">IF($B791="","",IF($AC791&lt;&gt;"",$AC791,IF($H791="Critical","P0",IF(NOT(ISNUMBER($L791)),"",IF($L791&gt;=Lists!$AM$2,"P0",IF($L791&gt;=Lists!$AM$3,"P1",IF($L791&gt;=Lists!$AM$4,"P2","P3")))))))</f>
        <v/>
      </c>
      <c r="N791" s="102"/>
      <c r="O791" s="101"/>
      <c r="P791" s="102"/>
      <c r="Q791" s="105"/>
      <c r="R791" s="106" t="str">
        <f aca="true">IF($Q791="","", TODAY()-$Q791)</f>
        <v/>
      </c>
      <c r="S791" s="102"/>
      <c r="T791" s="105"/>
      <c r="U791" s="105"/>
      <c r="V791" s="101"/>
      <c r="W791" s="101"/>
      <c r="X791" s="101"/>
      <c r="Y791" s="96"/>
      <c r="Z791" s="96"/>
      <c r="AA791" s="96"/>
      <c r="AC791" s="102"/>
      <c r="AD791" s="107" t="str">
        <f aca="false">IF($B791="","",IF(ISNUMBER($T791),$T791,IF(OR(NOT(ISNUMBER($Q791)),$S791=""),"",IFERROR(IF(ISNUMBER(INDEX(Lists!$AJ$2:$AJ$7,MATCH($S791,Lists!$AI$2:$AI$7,0))),$Q791+INDEX(Lists!$AJ$2:$AJ$7,MATCH($S791,Lists!$AI$2:$AI$7,0)),""),""))))</f>
        <v/>
      </c>
      <c r="AE791" s="104" t="str">
        <f aca="true">IF($B791="","",IF(AND(ISNUMBER($AD791),N($AD791)&lt;TODAY(),$N791&lt;&gt;"Done",$N791&lt;&gt;"Won't Fix",$N791&lt;&gt;"Duplicate"),"Yes","No"))</f>
        <v/>
      </c>
      <c r="AF791" s="101"/>
      <c r="AG791" s="108" t="str">
        <f aca="false">IF($AF791="","",IFERROR(VLOOKUP($AF791,'Application Portfolio'!$A$2:$B$1000,2,FALSE()),"Unknown App ID"))</f>
        <v/>
      </c>
      <c r="AH791" s="108" t="str">
        <f aca="false">IF(OR($B791="",$AF791=""),"",IFERROR(VLOOKUP($AF791,'Application Portfolio'!$A$2:$AB$1000,28,FALSE()),""))</f>
        <v/>
      </c>
    </row>
    <row r="792" customFormat="false" ht="15.75" hidden="false" customHeight="true" outlineLevel="0" collapsed="false">
      <c r="A792" s="100"/>
      <c r="B792" s="101"/>
      <c r="C792" s="101"/>
      <c r="D792" s="101"/>
      <c r="E792" s="101"/>
      <c r="F792" s="102"/>
      <c r="G792" s="102"/>
      <c r="H792" s="102"/>
      <c r="I792" s="102"/>
      <c r="J792" s="102"/>
      <c r="K792" s="102"/>
      <c r="L792" s="103" t="str">
        <f aca="false">IF(OR($B792="", $H792="", $I792="", $J792="", $K792=""),"",ROUND((VLOOKUP($H792,Lists!$E$2:$F$5,2,FALSE())*VLOOKUP($I792,Lists!$H$2:$I$4,2,FALSE())*VLOOKUP($J792,Lists!$K$2:$L$4,2,FALSE()))/VLOOKUP($K792,Lists!$N$2:$O$6,2,FALSE()),2))</f>
        <v/>
      </c>
      <c r="M792" s="104" t="str">
        <f aca="false">IF($B792="","",IF($AC792&lt;&gt;"",$AC792,IF($H792="Critical","P0",IF(NOT(ISNUMBER($L792)),"",IF($L792&gt;=Lists!$AM$2,"P0",IF($L792&gt;=Lists!$AM$3,"P1",IF($L792&gt;=Lists!$AM$4,"P2","P3")))))))</f>
        <v/>
      </c>
      <c r="N792" s="102"/>
      <c r="O792" s="101"/>
      <c r="P792" s="102"/>
      <c r="Q792" s="105"/>
      <c r="R792" s="106" t="str">
        <f aca="true">IF($Q792="","", TODAY()-$Q792)</f>
        <v/>
      </c>
      <c r="S792" s="102"/>
      <c r="T792" s="105"/>
      <c r="U792" s="105"/>
      <c r="V792" s="101"/>
      <c r="W792" s="101"/>
      <c r="X792" s="101"/>
      <c r="Y792" s="96"/>
      <c r="Z792" s="96"/>
      <c r="AA792" s="96"/>
      <c r="AC792" s="102"/>
      <c r="AD792" s="107" t="str">
        <f aca="false">IF($B792="","",IF(ISNUMBER($T792),$T792,IF(OR(NOT(ISNUMBER($Q792)),$S792=""),"",IFERROR(IF(ISNUMBER(INDEX(Lists!$AJ$2:$AJ$7,MATCH($S792,Lists!$AI$2:$AI$7,0))),$Q792+INDEX(Lists!$AJ$2:$AJ$7,MATCH($S792,Lists!$AI$2:$AI$7,0)),""),""))))</f>
        <v/>
      </c>
      <c r="AE792" s="104" t="str">
        <f aca="true">IF($B792="","",IF(AND(ISNUMBER($AD792),N($AD792)&lt;TODAY(),$N792&lt;&gt;"Done",$N792&lt;&gt;"Won't Fix",$N792&lt;&gt;"Duplicate"),"Yes","No"))</f>
        <v/>
      </c>
      <c r="AF792" s="101"/>
      <c r="AG792" s="108" t="str">
        <f aca="false">IF($AF792="","",IFERROR(VLOOKUP($AF792,'Application Portfolio'!$A$2:$B$1000,2,FALSE()),"Unknown App ID"))</f>
        <v/>
      </c>
      <c r="AH792" s="108" t="str">
        <f aca="false">IF(OR($B792="",$AF792=""),"",IFERROR(VLOOKUP($AF792,'Application Portfolio'!$A$2:$AB$1000,28,FALSE()),""))</f>
        <v/>
      </c>
    </row>
    <row r="793" customFormat="false" ht="15.75" hidden="false" customHeight="true" outlineLevel="0" collapsed="false">
      <c r="A793" s="100"/>
      <c r="B793" s="101"/>
      <c r="C793" s="101"/>
      <c r="D793" s="101"/>
      <c r="E793" s="101"/>
      <c r="F793" s="102"/>
      <c r="G793" s="102"/>
      <c r="H793" s="102"/>
      <c r="I793" s="102"/>
      <c r="J793" s="102"/>
      <c r="K793" s="102"/>
      <c r="L793" s="103" t="str">
        <f aca="false">IF(OR($B793="", $H793="", $I793="", $J793="", $K793=""),"",ROUND((VLOOKUP($H793,Lists!$E$2:$F$5,2,FALSE())*VLOOKUP($I793,Lists!$H$2:$I$4,2,FALSE())*VLOOKUP($J793,Lists!$K$2:$L$4,2,FALSE()))/VLOOKUP($K793,Lists!$N$2:$O$6,2,FALSE()),2))</f>
        <v/>
      </c>
      <c r="M793" s="104" t="str">
        <f aca="false">IF($B793="","",IF($AC793&lt;&gt;"",$AC793,IF($H793="Critical","P0",IF(NOT(ISNUMBER($L793)),"",IF($L793&gt;=Lists!$AM$2,"P0",IF($L793&gt;=Lists!$AM$3,"P1",IF($L793&gt;=Lists!$AM$4,"P2","P3")))))))</f>
        <v/>
      </c>
      <c r="N793" s="102"/>
      <c r="O793" s="101"/>
      <c r="P793" s="102"/>
      <c r="Q793" s="105"/>
      <c r="R793" s="106" t="str">
        <f aca="true">IF($Q793="","", TODAY()-$Q793)</f>
        <v/>
      </c>
      <c r="S793" s="102"/>
      <c r="T793" s="105"/>
      <c r="U793" s="105"/>
      <c r="V793" s="101"/>
      <c r="W793" s="101"/>
      <c r="X793" s="101"/>
      <c r="Y793" s="96"/>
      <c r="Z793" s="96"/>
      <c r="AA793" s="96"/>
      <c r="AC793" s="102"/>
      <c r="AD793" s="107" t="str">
        <f aca="false">IF($B793="","",IF(ISNUMBER($T793),$T793,IF(OR(NOT(ISNUMBER($Q793)),$S793=""),"",IFERROR(IF(ISNUMBER(INDEX(Lists!$AJ$2:$AJ$7,MATCH($S793,Lists!$AI$2:$AI$7,0))),$Q793+INDEX(Lists!$AJ$2:$AJ$7,MATCH($S793,Lists!$AI$2:$AI$7,0)),""),""))))</f>
        <v/>
      </c>
      <c r="AE793" s="104" t="str">
        <f aca="true">IF($B793="","",IF(AND(ISNUMBER($AD793),N($AD793)&lt;TODAY(),$N793&lt;&gt;"Done",$N793&lt;&gt;"Won't Fix",$N793&lt;&gt;"Duplicate"),"Yes","No"))</f>
        <v/>
      </c>
      <c r="AF793" s="101"/>
      <c r="AG793" s="108" t="str">
        <f aca="false">IF($AF793="","",IFERROR(VLOOKUP($AF793,'Application Portfolio'!$A$2:$B$1000,2,FALSE()),"Unknown App ID"))</f>
        <v/>
      </c>
      <c r="AH793" s="108" t="str">
        <f aca="false">IF(OR($B793="",$AF793=""),"",IFERROR(VLOOKUP($AF793,'Application Portfolio'!$A$2:$AB$1000,28,FALSE()),""))</f>
        <v/>
      </c>
    </row>
    <row r="794" customFormat="false" ht="15.75" hidden="false" customHeight="true" outlineLevel="0" collapsed="false">
      <c r="A794" s="100"/>
      <c r="B794" s="101"/>
      <c r="C794" s="101"/>
      <c r="D794" s="101"/>
      <c r="E794" s="101"/>
      <c r="F794" s="102"/>
      <c r="G794" s="102"/>
      <c r="H794" s="102"/>
      <c r="I794" s="102"/>
      <c r="J794" s="102"/>
      <c r="K794" s="102"/>
      <c r="L794" s="103" t="str">
        <f aca="false">IF(OR($B794="", $H794="", $I794="", $J794="", $K794=""),"",ROUND((VLOOKUP($H794,Lists!$E$2:$F$5,2,FALSE())*VLOOKUP($I794,Lists!$H$2:$I$4,2,FALSE())*VLOOKUP($J794,Lists!$K$2:$L$4,2,FALSE()))/VLOOKUP($K794,Lists!$N$2:$O$6,2,FALSE()),2))</f>
        <v/>
      </c>
      <c r="M794" s="104" t="str">
        <f aca="false">IF($B794="","",IF($AC794&lt;&gt;"",$AC794,IF($H794="Critical","P0",IF(NOT(ISNUMBER($L794)),"",IF($L794&gt;=Lists!$AM$2,"P0",IF($L794&gt;=Lists!$AM$3,"P1",IF($L794&gt;=Lists!$AM$4,"P2","P3")))))))</f>
        <v/>
      </c>
      <c r="N794" s="102"/>
      <c r="O794" s="101"/>
      <c r="P794" s="102"/>
      <c r="Q794" s="105"/>
      <c r="R794" s="106" t="str">
        <f aca="true">IF($Q794="","", TODAY()-$Q794)</f>
        <v/>
      </c>
      <c r="S794" s="102"/>
      <c r="T794" s="105"/>
      <c r="U794" s="105"/>
      <c r="V794" s="101"/>
      <c r="W794" s="101"/>
      <c r="X794" s="101"/>
      <c r="Y794" s="96"/>
      <c r="Z794" s="96"/>
      <c r="AA794" s="96"/>
      <c r="AC794" s="102"/>
      <c r="AD794" s="107" t="str">
        <f aca="false">IF($B794="","",IF(ISNUMBER($T794),$T794,IF(OR(NOT(ISNUMBER($Q794)),$S794=""),"",IFERROR(IF(ISNUMBER(INDEX(Lists!$AJ$2:$AJ$7,MATCH($S794,Lists!$AI$2:$AI$7,0))),$Q794+INDEX(Lists!$AJ$2:$AJ$7,MATCH($S794,Lists!$AI$2:$AI$7,0)),""),""))))</f>
        <v/>
      </c>
      <c r="AE794" s="104" t="str">
        <f aca="true">IF($B794="","",IF(AND(ISNUMBER($AD794),N($AD794)&lt;TODAY(),$N794&lt;&gt;"Done",$N794&lt;&gt;"Won't Fix",$N794&lt;&gt;"Duplicate"),"Yes","No"))</f>
        <v/>
      </c>
      <c r="AF794" s="101"/>
      <c r="AG794" s="108" t="str">
        <f aca="false">IF($AF794="","",IFERROR(VLOOKUP($AF794,'Application Portfolio'!$A$2:$B$1000,2,FALSE()),"Unknown App ID"))</f>
        <v/>
      </c>
      <c r="AH794" s="108" t="str">
        <f aca="false">IF(OR($B794="",$AF794=""),"",IFERROR(VLOOKUP($AF794,'Application Portfolio'!$A$2:$AB$1000,28,FALSE()),""))</f>
        <v/>
      </c>
    </row>
    <row r="795" customFormat="false" ht="15.75" hidden="false" customHeight="true" outlineLevel="0" collapsed="false">
      <c r="A795" s="100"/>
      <c r="B795" s="101"/>
      <c r="C795" s="101"/>
      <c r="D795" s="101"/>
      <c r="E795" s="101"/>
      <c r="F795" s="102"/>
      <c r="G795" s="102"/>
      <c r="H795" s="102"/>
      <c r="I795" s="102"/>
      <c r="J795" s="102"/>
      <c r="K795" s="102"/>
      <c r="L795" s="103" t="str">
        <f aca="false">IF(OR($B795="", $H795="", $I795="", $J795="", $K795=""),"",ROUND((VLOOKUP($H795,Lists!$E$2:$F$5,2,FALSE())*VLOOKUP($I795,Lists!$H$2:$I$4,2,FALSE())*VLOOKUP($J795,Lists!$K$2:$L$4,2,FALSE()))/VLOOKUP($K795,Lists!$N$2:$O$6,2,FALSE()),2))</f>
        <v/>
      </c>
      <c r="M795" s="104" t="str">
        <f aca="false">IF($B795="","",IF($AC795&lt;&gt;"",$AC795,IF($H795="Critical","P0",IF(NOT(ISNUMBER($L795)),"",IF($L795&gt;=Lists!$AM$2,"P0",IF($L795&gt;=Lists!$AM$3,"P1",IF($L795&gt;=Lists!$AM$4,"P2","P3")))))))</f>
        <v/>
      </c>
      <c r="N795" s="102"/>
      <c r="O795" s="101"/>
      <c r="P795" s="102"/>
      <c r="Q795" s="105"/>
      <c r="R795" s="106" t="str">
        <f aca="true">IF($Q795="","", TODAY()-$Q795)</f>
        <v/>
      </c>
      <c r="S795" s="102"/>
      <c r="T795" s="105"/>
      <c r="U795" s="105"/>
      <c r="V795" s="101"/>
      <c r="W795" s="101"/>
      <c r="X795" s="101"/>
      <c r="Y795" s="96"/>
      <c r="Z795" s="96"/>
      <c r="AA795" s="96"/>
      <c r="AC795" s="102"/>
      <c r="AD795" s="107" t="str">
        <f aca="false">IF($B795="","",IF(ISNUMBER($T795),$T795,IF(OR(NOT(ISNUMBER($Q795)),$S795=""),"",IFERROR(IF(ISNUMBER(INDEX(Lists!$AJ$2:$AJ$7,MATCH($S795,Lists!$AI$2:$AI$7,0))),$Q795+INDEX(Lists!$AJ$2:$AJ$7,MATCH($S795,Lists!$AI$2:$AI$7,0)),""),""))))</f>
        <v/>
      </c>
      <c r="AE795" s="104" t="str">
        <f aca="true">IF($B795="","",IF(AND(ISNUMBER($AD795),N($AD795)&lt;TODAY(),$N795&lt;&gt;"Done",$N795&lt;&gt;"Won't Fix",$N795&lt;&gt;"Duplicate"),"Yes","No"))</f>
        <v/>
      </c>
      <c r="AF795" s="101"/>
      <c r="AG795" s="108" t="str">
        <f aca="false">IF($AF795="","",IFERROR(VLOOKUP($AF795,'Application Portfolio'!$A$2:$B$1000,2,FALSE()),"Unknown App ID"))</f>
        <v/>
      </c>
      <c r="AH795" s="108" t="str">
        <f aca="false">IF(OR($B795="",$AF795=""),"",IFERROR(VLOOKUP($AF795,'Application Portfolio'!$A$2:$AB$1000,28,FALSE()),""))</f>
        <v/>
      </c>
    </row>
    <row r="796" customFormat="false" ht="15.75" hidden="false" customHeight="true" outlineLevel="0" collapsed="false">
      <c r="A796" s="100"/>
      <c r="B796" s="101"/>
      <c r="C796" s="101"/>
      <c r="D796" s="101"/>
      <c r="E796" s="101"/>
      <c r="F796" s="102"/>
      <c r="G796" s="102"/>
      <c r="H796" s="102"/>
      <c r="I796" s="102"/>
      <c r="J796" s="102"/>
      <c r="K796" s="102"/>
      <c r="L796" s="103" t="str">
        <f aca="false">IF(OR($B796="", $H796="", $I796="", $J796="", $K796=""),"",ROUND((VLOOKUP($H796,Lists!$E$2:$F$5,2,FALSE())*VLOOKUP($I796,Lists!$H$2:$I$4,2,FALSE())*VLOOKUP($J796,Lists!$K$2:$L$4,2,FALSE()))/VLOOKUP($K796,Lists!$N$2:$O$6,2,FALSE()),2))</f>
        <v/>
      </c>
      <c r="M796" s="104" t="str">
        <f aca="false">IF($B796="","",IF($AC796&lt;&gt;"",$AC796,IF($H796="Critical","P0",IF(NOT(ISNUMBER($L796)),"",IF($L796&gt;=Lists!$AM$2,"P0",IF($L796&gt;=Lists!$AM$3,"P1",IF($L796&gt;=Lists!$AM$4,"P2","P3")))))))</f>
        <v/>
      </c>
      <c r="N796" s="102"/>
      <c r="O796" s="101"/>
      <c r="P796" s="102"/>
      <c r="Q796" s="105"/>
      <c r="R796" s="106" t="str">
        <f aca="true">IF($Q796="","", TODAY()-$Q796)</f>
        <v/>
      </c>
      <c r="S796" s="102"/>
      <c r="T796" s="105"/>
      <c r="U796" s="105"/>
      <c r="V796" s="101"/>
      <c r="W796" s="101"/>
      <c r="X796" s="101"/>
      <c r="Y796" s="96"/>
      <c r="Z796" s="96"/>
      <c r="AA796" s="96"/>
      <c r="AC796" s="102"/>
      <c r="AD796" s="107" t="str">
        <f aca="false">IF($B796="","",IF(ISNUMBER($T796),$T796,IF(OR(NOT(ISNUMBER($Q796)),$S796=""),"",IFERROR(IF(ISNUMBER(INDEX(Lists!$AJ$2:$AJ$7,MATCH($S796,Lists!$AI$2:$AI$7,0))),$Q796+INDEX(Lists!$AJ$2:$AJ$7,MATCH($S796,Lists!$AI$2:$AI$7,0)),""),""))))</f>
        <v/>
      </c>
      <c r="AE796" s="104" t="str">
        <f aca="true">IF($B796="","",IF(AND(ISNUMBER($AD796),N($AD796)&lt;TODAY(),$N796&lt;&gt;"Done",$N796&lt;&gt;"Won't Fix",$N796&lt;&gt;"Duplicate"),"Yes","No"))</f>
        <v/>
      </c>
      <c r="AF796" s="101"/>
      <c r="AG796" s="108" t="str">
        <f aca="false">IF($AF796="","",IFERROR(VLOOKUP($AF796,'Application Portfolio'!$A$2:$B$1000,2,FALSE()),"Unknown App ID"))</f>
        <v/>
      </c>
      <c r="AH796" s="108" t="str">
        <f aca="false">IF(OR($B796="",$AF796=""),"",IFERROR(VLOOKUP($AF796,'Application Portfolio'!$A$2:$AB$1000,28,FALSE()),""))</f>
        <v/>
      </c>
    </row>
    <row r="797" customFormat="false" ht="15.75" hidden="false" customHeight="true" outlineLevel="0" collapsed="false">
      <c r="A797" s="100"/>
      <c r="B797" s="101"/>
      <c r="C797" s="101"/>
      <c r="D797" s="101"/>
      <c r="E797" s="101"/>
      <c r="F797" s="102"/>
      <c r="G797" s="102"/>
      <c r="H797" s="102"/>
      <c r="I797" s="102"/>
      <c r="J797" s="102"/>
      <c r="K797" s="102"/>
      <c r="L797" s="103" t="str">
        <f aca="false">IF(OR($B797="", $H797="", $I797="", $J797="", $K797=""),"",ROUND((VLOOKUP($H797,Lists!$E$2:$F$5,2,FALSE())*VLOOKUP($I797,Lists!$H$2:$I$4,2,FALSE())*VLOOKUP($J797,Lists!$K$2:$L$4,2,FALSE()))/VLOOKUP($K797,Lists!$N$2:$O$6,2,FALSE()),2))</f>
        <v/>
      </c>
      <c r="M797" s="104" t="str">
        <f aca="false">IF($B797="","",IF($AC797&lt;&gt;"",$AC797,IF($H797="Critical","P0",IF(NOT(ISNUMBER($L797)),"",IF($L797&gt;=Lists!$AM$2,"P0",IF($L797&gt;=Lists!$AM$3,"P1",IF($L797&gt;=Lists!$AM$4,"P2","P3")))))))</f>
        <v/>
      </c>
      <c r="N797" s="102"/>
      <c r="O797" s="101"/>
      <c r="P797" s="102"/>
      <c r="Q797" s="105"/>
      <c r="R797" s="106" t="str">
        <f aca="true">IF($Q797="","", TODAY()-$Q797)</f>
        <v/>
      </c>
      <c r="S797" s="102"/>
      <c r="T797" s="105"/>
      <c r="U797" s="105"/>
      <c r="V797" s="101"/>
      <c r="W797" s="101"/>
      <c r="X797" s="101"/>
      <c r="Y797" s="96"/>
      <c r="Z797" s="96"/>
      <c r="AA797" s="96"/>
      <c r="AC797" s="102"/>
      <c r="AD797" s="107" t="str">
        <f aca="false">IF($B797="","",IF(ISNUMBER($T797),$T797,IF(OR(NOT(ISNUMBER($Q797)),$S797=""),"",IFERROR(IF(ISNUMBER(INDEX(Lists!$AJ$2:$AJ$7,MATCH($S797,Lists!$AI$2:$AI$7,0))),$Q797+INDEX(Lists!$AJ$2:$AJ$7,MATCH($S797,Lists!$AI$2:$AI$7,0)),""),""))))</f>
        <v/>
      </c>
      <c r="AE797" s="104" t="str">
        <f aca="true">IF($B797="","",IF(AND(ISNUMBER($AD797),N($AD797)&lt;TODAY(),$N797&lt;&gt;"Done",$N797&lt;&gt;"Won't Fix",$N797&lt;&gt;"Duplicate"),"Yes","No"))</f>
        <v/>
      </c>
      <c r="AF797" s="101"/>
      <c r="AG797" s="108" t="str">
        <f aca="false">IF($AF797="","",IFERROR(VLOOKUP($AF797,'Application Portfolio'!$A$2:$B$1000,2,FALSE()),"Unknown App ID"))</f>
        <v/>
      </c>
      <c r="AH797" s="108" t="str">
        <f aca="false">IF(OR($B797="",$AF797=""),"",IFERROR(VLOOKUP($AF797,'Application Portfolio'!$A$2:$AB$1000,28,FALSE()),""))</f>
        <v/>
      </c>
    </row>
    <row r="798" customFormat="false" ht="15.75" hidden="false" customHeight="true" outlineLevel="0" collapsed="false">
      <c r="A798" s="100"/>
      <c r="B798" s="101"/>
      <c r="C798" s="101"/>
      <c r="D798" s="101"/>
      <c r="E798" s="101"/>
      <c r="F798" s="102"/>
      <c r="G798" s="102"/>
      <c r="H798" s="102"/>
      <c r="I798" s="102"/>
      <c r="J798" s="102"/>
      <c r="K798" s="102"/>
      <c r="L798" s="103" t="str">
        <f aca="false">IF(OR($B798="", $H798="", $I798="", $J798="", $K798=""),"",ROUND((VLOOKUP($H798,Lists!$E$2:$F$5,2,FALSE())*VLOOKUP($I798,Lists!$H$2:$I$4,2,FALSE())*VLOOKUP($J798,Lists!$K$2:$L$4,2,FALSE()))/VLOOKUP($K798,Lists!$N$2:$O$6,2,FALSE()),2))</f>
        <v/>
      </c>
      <c r="M798" s="104" t="str">
        <f aca="false">IF($B798="","",IF($AC798&lt;&gt;"",$AC798,IF($H798="Critical","P0",IF(NOT(ISNUMBER($L798)),"",IF($L798&gt;=Lists!$AM$2,"P0",IF($L798&gt;=Lists!$AM$3,"P1",IF($L798&gt;=Lists!$AM$4,"P2","P3")))))))</f>
        <v/>
      </c>
      <c r="N798" s="102"/>
      <c r="O798" s="101"/>
      <c r="P798" s="102"/>
      <c r="Q798" s="105"/>
      <c r="R798" s="106" t="str">
        <f aca="true">IF($Q798="","", TODAY()-$Q798)</f>
        <v/>
      </c>
      <c r="S798" s="102"/>
      <c r="T798" s="105"/>
      <c r="U798" s="105"/>
      <c r="V798" s="101"/>
      <c r="W798" s="101"/>
      <c r="X798" s="101"/>
      <c r="Y798" s="96"/>
      <c r="Z798" s="96"/>
      <c r="AA798" s="96"/>
      <c r="AC798" s="102"/>
      <c r="AD798" s="107" t="str">
        <f aca="false">IF($B798="","",IF(ISNUMBER($T798),$T798,IF(OR(NOT(ISNUMBER($Q798)),$S798=""),"",IFERROR(IF(ISNUMBER(INDEX(Lists!$AJ$2:$AJ$7,MATCH($S798,Lists!$AI$2:$AI$7,0))),$Q798+INDEX(Lists!$AJ$2:$AJ$7,MATCH($S798,Lists!$AI$2:$AI$7,0)),""),""))))</f>
        <v/>
      </c>
      <c r="AE798" s="104" t="str">
        <f aca="true">IF($B798="","",IF(AND(ISNUMBER($AD798),N($AD798)&lt;TODAY(),$N798&lt;&gt;"Done",$N798&lt;&gt;"Won't Fix",$N798&lt;&gt;"Duplicate"),"Yes","No"))</f>
        <v/>
      </c>
      <c r="AF798" s="101"/>
      <c r="AG798" s="108" t="str">
        <f aca="false">IF($AF798="","",IFERROR(VLOOKUP($AF798,'Application Portfolio'!$A$2:$B$1000,2,FALSE()),"Unknown App ID"))</f>
        <v/>
      </c>
      <c r="AH798" s="108" t="str">
        <f aca="false">IF(OR($B798="",$AF798=""),"",IFERROR(VLOOKUP($AF798,'Application Portfolio'!$A$2:$AB$1000,28,FALSE()),""))</f>
        <v/>
      </c>
    </row>
    <row r="799" customFormat="false" ht="15.75" hidden="false" customHeight="true" outlineLevel="0" collapsed="false">
      <c r="A799" s="100"/>
      <c r="B799" s="101"/>
      <c r="C799" s="101"/>
      <c r="D799" s="101"/>
      <c r="E799" s="101"/>
      <c r="F799" s="102"/>
      <c r="G799" s="102"/>
      <c r="H799" s="102"/>
      <c r="I799" s="102"/>
      <c r="J799" s="102"/>
      <c r="K799" s="102"/>
      <c r="L799" s="103" t="str">
        <f aca="false">IF(OR($B799="", $H799="", $I799="", $J799="", $K799=""),"",ROUND((VLOOKUP($H799,Lists!$E$2:$F$5,2,FALSE())*VLOOKUP($I799,Lists!$H$2:$I$4,2,FALSE())*VLOOKUP($J799,Lists!$K$2:$L$4,2,FALSE()))/VLOOKUP($K799,Lists!$N$2:$O$6,2,FALSE()),2))</f>
        <v/>
      </c>
      <c r="M799" s="104" t="str">
        <f aca="false">IF($B799="","",IF($AC799&lt;&gt;"",$AC799,IF($H799="Critical","P0",IF(NOT(ISNUMBER($L799)),"",IF($L799&gt;=Lists!$AM$2,"P0",IF($L799&gt;=Lists!$AM$3,"P1",IF($L799&gt;=Lists!$AM$4,"P2","P3")))))))</f>
        <v/>
      </c>
      <c r="N799" s="102"/>
      <c r="O799" s="101"/>
      <c r="P799" s="102"/>
      <c r="Q799" s="105"/>
      <c r="R799" s="106" t="str">
        <f aca="true">IF($Q799="","", TODAY()-$Q799)</f>
        <v/>
      </c>
      <c r="S799" s="102"/>
      <c r="T799" s="105"/>
      <c r="U799" s="105"/>
      <c r="V799" s="101"/>
      <c r="W799" s="101"/>
      <c r="X799" s="101"/>
      <c r="Y799" s="96"/>
      <c r="Z799" s="96"/>
      <c r="AA799" s="96"/>
      <c r="AC799" s="102"/>
      <c r="AD799" s="107" t="str">
        <f aca="false">IF($B799="","",IF(ISNUMBER($T799),$T799,IF(OR(NOT(ISNUMBER($Q799)),$S799=""),"",IFERROR(IF(ISNUMBER(INDEX(Lists!$AJ$2:$AJ$7,MATCH($S799,Lists!$AI$2:$AI$7,0))),$Q799+INDEX(Lists!$AJ$2:$AJ$7,MATCH($S799,Lists!$AI$2:$AI$7,0)),""),""))))</f>
        <v/>
      </c>
      <c r="AE799" s="104" t="str">
        <f aca="true">IF($B799="","",IF(AND(ISNUMBER($AD799),N($AD799)&lt;TODAY(),$N799&lt;&gt;"Done",$N799&lt;&gt;"Won't Fix",$N799&lt;&gt;"Duplicate"),"Yes","No"))</f>
        <v/>
      </c>
      <c r="AF799" s="101"/>
      <c r="AG799" s="108" t="str">
        <f aca="false">IF($AF799="","",IFERROR(VLOOKUP($AF799,'Application Portfolio'!$A$2:$B$1000,2,FALSE()),"Unknown App ID"))</f>
        <v/>
      </c>
      <c r="AH799" s="108" t="str">
        <f aca="false">IF(OR($B799="",$AF799=""),"",IFERROR(VLOOKUP($AF799,'Application Portfolio'!$A$2:$AB$1000,28,FALSE()),""))</f>
        <v/>
      </c>
    </row>
    <row r="800" customFormat="false" ht="15.75" hidden="false" customHeight="true" outlineLevel="0" collapsed="false">
      <c r="A800" s="100"/>
      <c r="B800" s="101"/>
      <c r="C800" s="101"/>
      <c r="D800" s="101"/>
      <c r="E800" s="101"/>
      <c r="F800" s="102"/>
      <c r="G800" s="102"/>
      <c r="H800" s="102"/>
      <c r="I800" s="102"/>
      <c r="J800" s="102"/>
      <c r="K800" s="102"/>
      <c r="L800" s="103" t="str">
        <f aca="false">IF(OR($B800="", $H800="", $I800="", $J800="", $K800=""),"",ROUND((VLOOKUP($H800,Lists!$E$2:$F$5,2,FALSE())*VLOOKUP($I800,Lists!$H$2:$I$4,2,FALSE())*VLOOKUP($J800,Lists!$K$2:$L$4,2,FALSE()))/VLOOKUP($K800,Lists!$N$2:$O$6,2,FALSE()),2))</f>
        <v/>
      </c>
      <c r="M800" s="104" t="str">
        <f aca="false">IF($B800="","",IF($AC800&lt;&gt;"",$AC800,IF($H800="Critical","P0",IF(NOT(ISNUMBER($L800)),"",IF($L800&gt;=Lists!$AM$2,"P0",IF($L800&gt;=Lists!$AM$3,"P1",IF($L800&gt;=Lists!$AM$4,"P2","P3")))))))</f>
        <v/>
      </c>
      <c r="N800" s="102"/>
      <c r="O800" s="101"/>
      <c r="P800" s="102"/>
      <c r="Q800" s="105"/>
      <c r="R800" s="106" t="str">
        <f aca="true">IF($Q800="","", TODAY()-$Q800)</f>
        <v/>
      </c>
      <c r="S800" s="102"/>
      <c r="T800" s="105"/>
      <c r="U800" s="105"/>
      <c r="V800" s="101"/>
      <c r="W800" s="101"/>
      <c r="X800" s="101"/>
      <c r="Y800" s="96"/>
      <c r="Z800" s="96"/>
      <c r="AA800" s="96"/>
      <c r="AC800" s="102"/>
      <c r="AD800" s="107" t="str">
        <f aca="false">IF($B800="","",IF(ISNUMBER($T800),$T800,IF(OR(NOT(ISNUMBER($Q800)),$S800=""),"",IFERROR(IF(ISNUMBER(INDEX(Lists!$AJ$2:$AJ$7,MATCH($S800,Lists!$AI$2:$AI$7,0))),$Q800+INDEX(Lists!$AJ$2:$AJ$7,MATCH($S800,Lists!$AI$2:$AI$7,0)),""),""))))</f>
        <v/>
      </c>
      <c r="AE800" s="104" t="str">
        <f aca="true">IF($B800="","",IF(AND(ISNUMBER($AD800),N($AD800)&lt;TODAY(),$N800&lt;&gt;"Done",$N800&lt;&gt;"Won't Fix",$N800&lt;&gt;"Duplicate"),"Yes","No"))</f>
        <v/>
      </c>
      <c r="AF800" s="101"/>
      <c r="AG800" s="108" t="str">
        <f aca="false">IF($AF800="","",IFERROR(VLOOKUP($AF800,'Application Portfolio'!$A$2:$B$1000,2,FALSE()),"Unknown App ID"))</f>
        <v/>
      </c>
      <c r="AH800" s="108" t="str">
        <f aca="false">IF(OR($B800="",$AF800=""),"",IFERROR(VLOOKUP($AF800,'Application Portfolio'!$A$2:$AB$1000,28,FALSE()),""))</f>
        <v/>
      </c>
    </row>
    <row r="801" customFormat="false" ht="15.75" hidden="false" customHeight="true" outlineLevel="0" collapsed="false">
      <c r="A801" s="100"/>
      <c r="B801" s="101"/>
      <c r="C801" s="101"/>
      <c r="D801" s="101"/>
      <c r="E801" s="101"/>
      <c r="F801" s="102"/>
      <c r="G801" s="102"/>
      <c r="H801" s="102"/>
      <c r="I801" s="102"/>
      <c r="J801" s="102"/>
      <c r="K801" s="102"/>
      <c r="L801" s="103" t="str">
        <f aca="false">IF(OR($B801="", $H801="", $I801="", $J801="", $K801=""),"",ROUND((VLOOKUP($H801,Lists!$E$2:$F$5,2,FALSE())*VLOOKUP($I801,Lists!$H$2:$I$4,2,FALSE())*VLOOKUP($J801,Lists!$K$2:$L$4,2,FALSE()))/VLOOKUP($K801,Lists!$N$2:$O$6,2,FALSE()),2))</f>
        <v/>
      </c>
      <c r="M801" s="104" t="str">
        <f aca="false">IF($B801="","",IF($AC801&lt;&gt;"",$AC801,IF($H801="Critical","P0",IF(NOT(ISNUMBER($L801)),"",IF($L801&gt;=Lists!$AM$2,"P0",IF($L801&gt;=Lists!$AM$3,"P1",IF($L801&gt;=Lists!$AM$4,"P2","P3")))))))</f>
        <v/>
      </c>
      <c r="N801" s="102"/>
      <c r="O801" s="101"/>
      <c r="P801" s="102"/>
      <c r="Q801" s="105"/>
      <c r="R801" s="106" t="str">
        <f aca="true">IF($Q801="","", TODAY()-$Q801)</f>
        <v/>
      </c>
      <c r="S801" s="102"/>
      <c r="T801" s="105"/>
      <c r="U801" s="105"/>
      <c r="V801" s="101"/>
      <c r="W801" s="101"/>
      <c r="X801" s="101"/>
      <c r="Y801" s="96"/>
      <c r="Z801" s="96"/>
      <c r="AA801" s="96"/>
      <c r="AC801" s="102"/>
      <c r="AD801" s="107" t="str">
        <f aca="false">IF($B801="","",IF(ISNUMBER($T801),$T801,IF(OR(NOT(ISNUMBER($Q801)),$S801=""),"",IFERROR(IF(ISNUMBER(INDEX(Lists!$AJ$2:$AJ$7,MATCH($S801,Lists!$AI$2:$AI$7,0))),$Q801+INDEX(Lists!$AJ$2:$AJ$7,MATCH($S801,Lists!$AI$2:$AI$7,0)),""),""))))</f>
        <v/>
      </c>
      <c r="AE801" s="104" t="str">
        <f aca="true">IF($B801="","",IF(AND(ISNUMBER($AD801),N($AD801)&lt;TODAY(),$N801&lt;&gt;"Done",$N801&lt;&gt;"Won't Fix",$N801&lt;&gt;"Duplicate"),"Yes","No"))</f>
        <v/>
      </c>
      <c r="AF801" s="101"/>
      <c r="AG801" s="108" t="str">
        <f aca="false">IF($AF801="","",IFERROR(VLOOKUP($AF801,'Application Portfolio'!$A$2:$B$1000,2,FALSE()),"Unknown App ID"))</f>
        <v/>
      </c>
      <c r="AH801" s="108" t="str">
        <f aca="false">IF(OR($B801="",$AF801=""),"",IFERROR(VLOOKUP($AF801,'Application Portfolio'!$A$2:$AB$1000,28,FALSE()),""))</f>
        <v/>
      </c>
    </row>
    <row r="802" customFormat="false" ht="15.75" hidden="false" customHeight="true" outlineLevel="0" collapsed="false">
      <c r="A802" s="100"/>
      <c r="B802" s="101"/>
      <c r="C802" s="101"/>
      <c r="D802" s="101"/>
      <c r="E802" s="101"/>
      <c r="F802" s="102"/>
      <c r="G802" s="102"/>
      <c r="H802" s="102"/>
      <c r="I802" s="102"/>
      <c r="J802" s="102"/>
      <c r="K802" s="102"/>
      <c r="L802" s="103" t="str">
        <f aca="false">IF(OR($B802="", $H802="", $I802="", $J802="", $K802=""),"",ROUND((VLOOKUP($H802,Lists!$E$2:$F$5,2,FALSE())*VLOOKUP($I802,Lists!$H$2:$I$4,2,FALSE())*VLOOKUP($J802,Lists!$K$2:$L$4,2,FALSE()))/VLOOKUP($K802,Lists!$N$2:$O$6,2,FALSE()),2))</f>
        <v/>
      </c>
      <c r="M802" s="104" t="str">
        <f aca="false">IF($B802="","",IF($AC802&lt;&gt;"",$AC802,IF($H802="Critical","P0",IF(NOT(ISNUMBER($L802)),"",IF($L802&gt;=Lists!$AM$2,"P0",IF($L802&gt;=Lists!$AM$3,"P1",IF($L802&gt;=Lists!$AM$4,"P2","P3")))))))</f>
        <v/>
      </c>
      <c r="N802" s="102"/>
      <c r="O802" s="101"/>
      <c r="P802" s="102"/>
      <c r="Q802" s="105"/>
      <c r="R802" s="106" t="str">
        <f aca="true">IF($Q802="","", TODAY()-$Q802)</f>
        <v/>
      </c>
      <c r="S802" s="102"/>
      <c r="T802" s="105"/>
      <c r="U802" s="105"/>
      <c r="V802" s="101"/>
      <c r="W802" s="101"/>
      <c r="X802" s="101"/>
      <c r="Y802" s="96"/>
      <c r="Z802" s="96"/>
      <c r="AA802" s="96"/>
      <c r="AC802" s="102"/>
      <c r="AD802" s="107" t="str">
        <f aca="false">IF($B802="","",IF(ISNUMBER($T802),$T802,IF(OR(NOT(ISNUMBER($Q802)),$S802=""),"",IFERROR(IF(ISNUMBER(INDEX(Lists!$AJ$2:$AJ$7,MATCH($S802,Lists!$AI$2:$AI$7,0))),$Q802+INDEX(Lists!$AJ$2:$AJ$7,MATCH($S802,Lists!$AI$2:$AI$7,0)),""),""))))</f>
        <v/>
      </c>
      <c r="AE802" s="104" t="str">
        <f aca="true">IF($B802="","",IF(AND(ISNUMBER($AD802),N($AD802)&lt;TODAY(),$N802&lt;&gt;"Done",$N802&lt;&gt;"Won't Fix",$N802&lt;&gt;"Duplicate"),"Yes","No"))</f>
        <v/>
      </c>
      <c r="AF802" s="101"/>
      <c r="AG802" s="108" t="str">
        <f aca="false">IF($AF802="","",IFERROR(VLOOKUP($AF802,'Application Portfolio'!$A$2:$B$1000,2,FALSE()),"Unknown App ID"))</f>
        <v/>
      </c>
      <c r="AH802" s="108" t="str">
        <f aca="false">IF(OR($B802="",$AF802=""),"",IFERROR(VLOOKUP($AF802,'Application Portfolio'!$A$2:$AB$1000,28,FALSE()),""))</f>
        <v/>
      </c>
    </row>
    <row r="803" customFormat="false" ht="15.75" hidden="false" customHeight="true" outlineLevel="0" collapsed="false">
      <c r="A803" s="100"/>
      <c r="B803" s="101"/>
      <c r="C803" s="101"/>
      <c r="D803" s="101"/>
      <c r="E803" s="101"/>
      <c r="F803" s="102"/>
      <c r="G803" s="102"/>
      <c r="H803" s="102"/>
      <c r="I803" s="102"/>
      <c r="J803" s="102"/>
      <c r="K803" s="102"/>
      <c r="L803" s="103" t="str">
        <f aca="false">IF(OR($B803="", $H803="", $I803="", $J803="", $K803=""),"",ROUND((VLOOKUP($H803,Lists!$E$2:$F$5,2,FALSE())*VLOOKUP($I803,Lists!$H$2:$I$4,2,FALSE())*VLOOKUP($J803,Lists!$K$2:$L$4,2,FALSE()))/VLOOKUP($K803,Lists!$N$2:$O$6,2,FALSE()),2))</f>
        <v/>
      </c>
      <c r="M803" s="104" t="str">
        <f aca="false">IF($B803="","",IF($AC803&lt;&gt;"",$AC803,IF($H803="Critical","P0",IF(NOT(ISNUMBER($L803)),"",IF($L803&gt;=Lists!$AM$2,"P0",IF($L803&gt;=Lists!$AM$3,"P1",IF($L803&gt;=Lists!$AM$4,"P2","P3")))))))</f>
        <v/>
      </c>
      <c r="N803" s="102"/>
      <c r="O803" s="101"/>
      <c r="P803" s="102"/>
      <c r="Q803" s="105"/>
      <c r="R803" s="106" t="str">
        <f aca="true">IF($Q803="","", TODAY()-$Q803)</f>
        <v/>
      </c>
      <c r="S803" s="102"/>
      <c r="T803" s="105"/>
      <c r="U803" s="105"/>
      <c r="V803" s="101"/>
      <c r="W803" s="101"/>
      <c r="X803" s="101"/>
      <c r="Y803" s="96"/>
      <c r="Z803" s="96"/>
      <c r="AA803" s="96"/>
      <c r="AC803" s="102"/>
      <c r="AD803" s="107" t="str">
        <f aca="false">IF($B803="","",IF(ISNUMBER($T803),$T803,IF(OR(NOT(ISNUMBER($Q803)),$S803=""),"",IFERROR(IF(ISNUMBER(INDEX(Lists!$AJ$2:$AJ$7,MATCH($S803,Lists!$AI$2:$AI$7,0))),$Q803+INDEX(Lists!$AJ$2:$AJ$7,MATCH($S803,Lists!$AI$2:$AI$7,0)),""),""))))</f>
        <v/>
      </c>
      <c r="AE803" s="104" t="str">
        <f aca="true">IF($B803="","",IF(AND(ISNUMBER($AD803),N($AD803)&lt;TODAY(),$N803&lt;&gt;"Done",$N803&lt;&gt;"Won't Fix",$N803&lt;&gt;"Duplicate"),"Yes","No"))</f>
        <v/>
      </c>
      <c r="AF803" s="101"/>
      <c r="AG803" s="108" t="str">
        <f aca="false">IF($AF803="","",IFERROR(VLOOKUP($AF803,'Application Portfolio'!$A$2:$B$1000,2,FALSE()),"Unknown App ID"))</f>
        <v/>
      </c>
      <c r="AH803" s="108" t="str">
        <f aca="false">IF(OR($B803="",$AF803=""),"",IFERROR(VLOOKUP($AF803,'Application Portfolio'!$A$2:$AB$1000,28,FALSE()),""))</f>
        <v/>
      </c>
    </row>
    <row r="804" customFormat="false" ht="15.75" hidden="false" customHeight="true" outlineLevel="0" collapsed="false">
      <c r="A804" s="100"/>
      <c r="B804" s="101"/>
      <c r="C804" s="101"/>
      <c r="D804" s="101"/>
      <c r="E804" s="101"/>
      <c r="F804" s="102"/>
      <c r="G804" s="102"/>
      <c r="H804" s="102"/>
      <c r="I804" s="102"/>
      <c r="J804" s="102"/>
      <c r="K804" s="102"/>
      <c r="L804" s="103" t="str">
        <f aca="false">IF(OR($B804="", $H804="", $I804="", $J804="", $K804=""),"",ROUND((VLOOKUP($H804,Lists!$E$2:$F$5,2,FALSE())*VLOOKUP($I804,Lists!$H$2:$I$4,2,FALSE())*VLOOKUP($J804,Lists!$K$2:$L$4,2,FALSE()))/VLOOKUP($K804,Lists!$N$2:$O$6,2,FALSE()),2))</f>
        <v/>
      </c>
      <c r="M804" s="104" t="str">
        <f aca="false">IF($B804="","",IF($AC804&lt;&gt;"",$AC804,IF($H804="Critical","P0",IF(NOT(ISNUMBER($L804)),"",IF($L804&gt;=Lists!$AM$2,"P0",IF($L804&gt;=Lists!$AM$3,"P1",IF($L804&gt;=Lists!$AM$4,"P2","P3")))))))</f>
        <v/>
      </c>
      <c r="N804" s="102"/>
      <c r="O804" s="101"/>
      <c r="P804" s="102"/>
      <c r="Q804" s="105"/>
      <c r="R804" s="106" t="str">
        <f aca="true">IF($Q804="","", TODAY()-$Q804)</f>
        <v/>
      </c>
      <c r="S804" s="102"/>
      <c r="T804" s="105"/>
      <c r="U804" s="105"/>
      <c r="V804" s="101"/>
      <c r="W804" s="101"/>
      <c r="X804" s="101"/>
      <c r="Y804" s="96"/>
      <c r="Z804" s="96"/>
      <c r="AA804" s="96"/>
      <c r="AC804" s="102"/>
      <c r="AD804" s="107" t="str">
        <f aca="false">IF($B804="","",IF(ISNUMBER($T804),$T804,IF(OR(NOT(ISNUMBER($Q804)),$S804=""),"",IFERROR(IF(ISNUMBER(INDEX(Lists!$AJ$2:$AJ$7,MATCH($S804,Lists!$AI$2:$AI$7,0))),$Q804+INDEX(Lists!$AJ$2:$AJ$7,MATCH($S804,Lists!$AI$2:$AI$7,0)),""),""))))</f>
        <v/>
      </c>
      <c r="AE804" s="104" t="str">
        <f aca="true">IF($B804="","",IF(AND(ISNUMBER($AD804),N($AD804)&lt;TODAY(),$N804&lt;&gt;"Done",$N804&lt;&gt;"Won't Fix",$N804&lt;&gt;"Duplicate"),"Yes","No"))</f>
        <v/>
      </c>
      <c r="AF804" s="101"/>
      <c r="AG804" s="108" t="str">
        <f aca="false">IF($AF804="","",IFERROR(VLOOKUP($AF804,'Application Portfolio'!$A$2:$B$1000,2,FALSE()),"Unknown App ID"))</f>
        <v/>
      </c>
      <c r="AH804" s="108" t="str">
        <f aca="false">IF(OR($B804="",$AF804=""),"",IFERROR(VLOOKUP($AF804,'Application Portfolio'!$A$2:$AB$1000,28,FALSE()),""))</f>
        <v/>
      </c>
    </row>
    <row r="805" customFormat="false" ht="15.75" hidden="false" customHeight="true" outlineLevel="0" collapsed="false">
      <c r="A805" s="100"/>
      <c r="B805" s="101"/>
      <c r="C805" s="101"/>
      <c r="D805" s="101"/>
      <c r="E805" s="101"/>
      <c r="F805" s="102"/>
      <c r="G805" s="102"/>
      <c r="H805" s="102"/>
      <c r="I805" s="102"/>
      <c r="J805" s="102"/>
      <c r="K805" s="102"/>
      <c r="L805" s="103" t="str">
        <f aca="false">IF(OR($B805="", $H805="", $I805="", $J805="", $K805=""),"",ROUND((VLOOKUP($H805,Lists!$E$2:$F$5,2,FALSE())*VLOOKUP($I805,Lists!$H$2:$I$4,2,FALSE())*VLOOKUP($J805,Lists!$K$2:$L$4,2,FALSE()))/VLOOKUP($K805,Lists!$N$2:$O$6,2,FALSE()),2))</f>
        <v/>
      </c>
      <c r="M805" s="104" t="str">
        <f aca="false">IF($B805="","",IF($AC805&lt;&gt;"",$AC805,IF($H805="Critical","P0",IF(NOT(ISNUMBER($L805)),"",IF($L805&gt;=Lists!$AM$2,"P0",IF($L805&gt;=Lists!$AM$3,"P1",IF($L805&gt;=Lists!$AM$4,"P2","P3")))))))</f>
        <v/>
      </c>
      <c r="N805" s="102"/>
      <c r="O805" s="101"/>
      <c r="P805" s="102"/>
      <c r="Q805" s="105"/>
      <c r="R805" s="106" t="str">
        <f aca="true">IF($Q805="","", TODAY()-$Q805)</f>
        <v/>
      </c>
      <c r="S805" s="102"/>
      <c r="T805" s="105"/>
      <c r="U805" s="105"/>
      <c r="V805" s="101"/>
      <c r="W805" s="101"/>
      <c r="X805" s="101"/>
      <c r="Y805" s="96"/>
      <c r="Z805" s="96"/>
      <c r="AA805" s="96"/>
      <c r="AC805" s="102"/>
      <c r="AD805" s="107" t="str">
        <f aca="false">IF($B805="","",IF(ISNUMBER($T805),$T805,IF(OR(NOT(ISNUMBER($Q805)),$S805=""),"",IFERROR(IF(ISNUMBER(INDEX(Lists!$AJ$2:$AJ$7,MATCH($S805,Lists!$AI$2:$AI$7,0))),$Q805+INDEX(Lists!$AJ$2:$AJ$7,MATCH($S805,Lists!$AI$2:$AI$7,0)),""),""))))</f>
        <v/>
      </c>
      <c r="AE805" s="104" t="str">
        <f aca="true">IF($B805="","",IF(AND(ISNUMBER($AD805),N($AD805)&lt;TODAY(),$N805&lt;&gt;"Done",$N805&lt;&gt;"Won't Fix",$N805&lt;&gt;"Duplicate"),"Yes","No"))</f>
        <v/>
      </c>
      <c r="AF805" s="101"/>
      <c r="AG805" s="108" t="str">
        <f aca="false">IF($AF805="","",IFERROR(VLOOKUP($AF805,'Application Portfolio'!$A$2:$B$1000,2,FALSE()),"Unknown App ID"))</f>
        <v/>
      </c>
      <c r="AH805" s="108" t="str">
        <f aca="false">IF(OR($B805="",$AF805=""),"",IFERROR(VLOOKUP($AF805,'Application Portfolio'!$A$2:$AB$1000,28,FALSE()),""))</f>
        <v/>
      </c>
    </row>
    <row r="806" customFormat="false" ht="15.75" hidden="false" customHeight="true" outlineLevel="0" collapsed="false">
      <c r="A806" s="100"/>
      <c r="B806" s="101"/>
      <c r="C806" s="101"/>
      <c r="D806" s="101"/>
      <c r="E806" s="101"/>
      <c r="F806" s="102"/>
      <c r="G806" s="102"/>
      <c r="H806" s="102"/>
      <c r="I806" s="102"/>
      <c r="J806" s="102"/>
      <c r="K806" s="102"/>
      <c r="L806" s="103" t="str">
        <f aca="false">IF(OR($B806="", $H806="", $I806="", $J806="", $K806=""),"",ROUND((VLOOKUP($H806,Lists!$E$2:$F$5,2,FALSE())*VLOOKUP($I806,Lists!$H$2:$I$4,2,FALSE())*VLOOKUP($J806,Lists!$K$2:$L$4,2,FALSE()))/VLOOKUP($K806,Lists!$N$2:$O$6,2,FALSE()),2))</f>
        <v/>
      </c>
      <c r="M806" s="104" t="str">
        <f aca="false">IF($B806="","",IF($AC806&lt;&gt;"",$AC806,IF($H806="Critical","P0",IF(NOT(ISNUMBER($L806)),"",IF($L806&gt;=Lists!$AM$2,"P0",IF($L806&gt;=Lists!$AM$3,"P1",IF($L806&gt;=Lists!$AM$4,"P2","P3")))))))</f>
        <v/>
      </c>
      <c r="N806" s="102"/>
      <c r="O806" s="101"/>
      <c r="P806" s="102"/>
      <c r="Q806" s="105"/>
      <c r="R806" s="106" t="str">
        <f aca="true">IF($Q806="","", TODAY()-$Q806)</f>
        <v/>
      </c>
      <c r="S806" s="102"/>
      <c r="T806" s="105"/>
      <c r="U806" s="105"/>
      <c r="V806" s="101"/>
      <c r="W806" s="101"/>
      <c r="X806" s="101"/>
      <c r="Y806" s="96"/>
      <c r="Z806" s="96"/>
      <c r="AA806" s="96"/>
      <c r="AC806" s="102"/>
      <c r="AD806" s="107" t="str">
        <f aca="false">IF($B806="","",IF(ISNUMBER($T806),$T806,IF(OR(NOT(ISNUMBER($Q806)),$S806=""),"",IFERROR(IF(ISNUMBER(INDEX(Lists!$AJ$2:$AJ$7,MATCH($S806,Lists!$AI$2:$AI$7,0))),$Q806+INDEX(Lists!$AJ$2:$AJ$7,MATCH($S806,Lists!$AI$2:$AI$7,0)),""),""))))</f>
        <v/>
      </c>
      <c r="AE806" s="104" t="str">
        <f aca="true">IF($B806="","",IF(AND(ISNUMBER($AD806),N($AD806)&lt;TODAY(),$N806&lt;&gt;"Done",$N806&lt;&gt;"Won't Fix",$N806&lt;&gt;"Duplicate"),"Yes","No"))</f>
        <v/>
      </c>
      <c r="AF806" s="101"/>
      <c r="AG806" s="108" t="str">
        <f aca="false">IF($AF806="","",IFERROR(VLOOKUP($AF806,'Application Portfolio'!$A$2:$B$1000,2,FALSE()),"Unknown App ID"))</f>
        <v/>
      </c>
      <c r="AH806" s="108" t="str">
        <f aca="false">IF(OR($B806="",$AF806=""),"",IFERROR(VLOOKUP($AF806,'Application Portfolio'!$A$2:$AB$1000,28,FALSE()),""))</f>
        <v/>
      </c>
    </row>
    <row r="807" customFormat="false" ht="15.75" hidden="false" customHeight="true" outlineLevel="0" collapsed="false">
      <c r="A807" s="100"/>
      <c r="B807" s="101"/>
      <c r="C807" s="101"/>
      <c r="D807" s="101"/>
      <c r="E807" s="101"/>
      <c r="F807" s="102"/>
      <c r="G807" s="102"/>
      <c r="H807" s="102"/>
      <c r="I807" s="102"/>
      <c r="J807" s="102"/>
      <c r="K807" s="102"/>
      <c r="L807" s="103" t="str">
        <f aca="false">IF(OR($B807="", $H807="", $I807="", $J807="", $K807=""),"",ROUND((VLOOKUP($H807,Lists!$E$2:$F$5,2,FALSE())*VLOOKUP($I807,Lists!$H$2:$I$4,2,FALSE())*VLOOKUP($J807,Lists!$K$2:$L$4,2,FALSE()))/VLOOKUP($K807,Lists!$N$2:$O$6,2,FALSE()),2))</f>
        <v/>
      </c>
      <c r="M807" s="104" t="str">
        <f aca="false">IF($B807="","",IF($AC807&lt;&gt;"",$AC807,IF($H807="Critical","P0",IF(NOT(ISNUMBER($L807)),"",IF($L807&gt;=Lists!$AM$2,"P0",IF($L807&gt;=Lists!$AM$3,"P1",IF($L807&gt;=Lists!$AM$4,"P2","P3")))))))</f>
        <v/>
      </c>
      <c r="N807" s="102"/>
      <c r="O807" s="101"/>
      <c r="P807" s="102"/>
      <c r="Q807" s="105"/>
      <c r="R807" s="106" t="str">
        <f aca="true">IF($Q807="","", TODAY()-$Q807)</f>
        <v/>
      </c>
      <c r="S807" s="102"/>
      <c r="T807" s="105"/>
      <c r="U807" s="105"/>
      <c r="V807" s="101"/>
      <c r="W807" s="101"/>
      <c r="X807" s="101"/>
      <c r="Y807" s="96"/>
      <c r="Z807" s="96"/>
      <c r="AA807" s="96"/>
      <c r="AC807" s="102"/>
      <c r="AD807" s="107" t="str">
        <f aca="false">IF($B807="","",IF(ISNUMBER($T807),$T807,IF(OR(NOT(ISNUMBER($Q807)),$S807=""),"",IFERROR(IF(ISNUMBER(INDEX(Lists!$AJ$2:$AJ$7,MATCH($S807,Lists!$AI$2:$AI$7,0))),$Q807+INDEX(Lists!$AJ$2:$AJ$7,MATCH($S807,Lists!$AI$2:$AI$7,0)),""),""))))</f>
        <v/>
      </c>
      <c r="AE807" s="104" t="str">
        <f aca="true">IF($B807="","",IF(AND(ISNUMBER($AD807),N($AD807)&lt;TODAY(),$N807&lt;&gt;"Done",$N807&lt;&gt;"Won't Fix",$N807&lt;&gt;"Duplicate"),"Yes","No"))</f>
        <v/>
      </c>
      <c r="AF807" s="101"/>
      <c r="AG807" s="108" t="str">
        <f aca="false">IF($AF807="","",IFERROR(VLOOKUP($AF807,'Application Portfolio'!$A$2:$B$1000,2,FALSE()),"Unknown App ID"))</f>
        <v/>
      </c>
      <c r="AH807" s="108" t="str">
        <f aca="false">IF(OR($B807="",$AF807=""),"",IFERROR(VLOOKUP($AF807,'Application Portfolio'!$A$2:$AB$1000,28,FALSE()),""))</f>
        <v/>
      </c>
    </row>
    <row r="808" customFormat="false" ht="15.75" hidden="false" customHeight="true" outlineLevel="0" collapsed="false">
      <c r="A808" s="100"/>
      <c r="B808" s="101"/>
      <c r="C808" s="101"/>
      <c r="D808" s="101"/>
      <c r="E808" s="101"/>
      <c r="F808" s="102"/>
      <c r="G808" s="102"/>
      <c r="H808" s="102"/>
      <c r="I808" s="102"/>
      <c r="J808" s="102"/>
      <c r="K808" s="102"/>
      <c r="L808" s="103" t="str">
        <f aca="false">IF(OR($B808="", $H808="", $I808="", $J808="", $K808=""),"",ROUND((VLOOKUP($H808,Lists!$E$2:$F$5,2,FALSE())*VLOOKUP($I808,Lists!$H$2:$I$4,2,FALSE())*VLOOKUP($J808,Lists!$K$2:$L$4,2,FALSE()))/VLOOKUP($K808,Lists!$N$2:$O$6,2,FALSE()),2))</f>
        <v/>
      </c>
      <c r="M808" s="104" t="str">
        <f aca="false">IF($B808="","",IF($AC808&lt;&gt;"",$AC808,IF($H808="Critical","P0",IF(NOT(ISNUMBER($L808)),"",IF($L808&gt;=Lists!$AM$2,"P0",IF($L808&gt;=Lists!$AM$3,"P1",IF($L808&gt;=Lists!$AM$4,"P2","P3")))))))</f>
        <v/>
      </c>
      <c r="N808" s="102"/>
      <c r="O808" s="101"/>
      <c r="P808" s="102"/>
      <c r="Q808" s="105"/>
      <c r="R808" s="106" t="str">
        <f aca="true">IF($Q808="","", TODAY()-$Q808)</f>
        <v/>
      </c>
      <c r="S808" s="102"/>
      <c r="T808" s="105"/>
      <c r="U808" s="105"/>
      <c r="V808" s="101"/>
      <c r="W808" s="101"/>
      <c r="X808" s="101"/>
      <c r="Y808" s="96"/>
      <c r="Z808" s="96"/>
      <c r="AA808" s="96"/>
      <c r="AC808" s="102"/>
      <c r="AD808" s="107" t="str">
        <f aca="false">IF($B808="","",IF(ISNUMBER($T808),$T808,IF(OR(NOT(ISNUMBER($Q808)),$S808=""),"",IFERROR(IF(ISNUMBER(INDEX(Lists!$AJ$2:$AJ$7,MATCH($S808,Lists!$AI$2:$AI$7,0))),$Q808+INDEX(Lists!$AJ$2:$AJ$7,MATCH($S808,Lists!$AI$2:$AI$7,0)),""),""))))</f>
        <v/>
      </c>
      <c r="AE808" s="104" t="str">
        <f aca="true">IF($B808="","",IF(AND(ISNUMBER($AD808),N($AD808)&lt;TODAY(),$N808&lt;&gt;"Done",$N808&lt;&gt;"Won't Fix",$N808&lt;&gt;"Duplicate"),"Yes","No"))</f>
        <v/>
      </c>
      <c r="AF808" s="101"/>
      <c r="AG808" s="108" t="str">
        <f aca="false">IF($AF808="","",IFERROR(VLOOKUP($AF808,'Application Portfolio'!$A$2:$B$1000,2,FALSE()),"Unknown App ID"))</f>
        <v/>
      </c>
      <c r="AH808" s="108" t="str">
        <f aca="false">IF(OR($B808="",$AF808=""),"",IFERROR(VLOOKUP($AF808,'Application Portfolio'!$A$2:$AB$1000,28,FALSE()),""))</f>
        <v/>
      </c>
    </row>
    <row r="809" customFormat="false" ht="15.75" hidden="false" customHeight="true" outlineLevel="0" collapsed="false">
      <c r="A809" s="100"/>
      <c r="B809" s="101"/>
      <c r="C809" s="101"/>
      <c r="D809" s="101"/>
      <c r="E809" s="101"/>
      <c r="F809" s="102"/>
      <c r="G809" s="102"/>
      <c r="H809" s="102"/>
      <c r="I809" s="102"/>
      <c r="J809" s="102"/>
      <c r="K809" s="102"/>
      <c r="L809" s="103" t="str">
        <f aca="false">IF(OR($B809="", $H809="", $I809="", $J809="", $K809=""),"",ROUND((VLOOKUP($H809,Lists!$E$2:$F$5,2,FALSE())*VLOOKUP($I809,Lists!$H$2:$I$4,2,FALSE())*VLOOKUP($J809,Lists!$K$2:$L$4,2,FALSE()))/VLOOKUP($K809,Lists!$N$2:$O$6,2,FALSE()),2))</f>
        <v/>
      </c>
      <c r="M809" s="104" t="str">
        <f aca="false">IF($B809="","",IF($AC809&lt;&gt;"",$AC809,IF($H809="Critical","P0",IF(NOT(ISNUMBER($L809)),"",IF($L809&gt;=Lists!$AM$2,"P0",IF($L809&gt;=Lists!$AM$3,"P1",IF($L809&gt;=Lists!$AM$4,"P2","P3")))))))</f>
        <v/>
      </c>
      <c r="N809" s="102"/>
      <c r="O809" s="101"/>
      <c r="P809" s="102"/>
      <c r="Q809" s="105"/>
      <c r="R809" s="106" t="str">
        <f aca="true">IF($Q809="","", TODAY()-$Q809)</f>
        <v/>
      </c>
      <c r="S809" s="102"/>
      <c r="T809" s="105"/>
      <c r="U809" s="105"/>
      <c r="V809" s="101"/>
      <c r="W809" s="101"/>
      <c r="X809" s="101"/>
      <c r="Y809" s="96"/>
      <c r="Z809" s="96"/>
      <c r="AA809" s="96"/>
      <c r="AC809" s="102"/>
      <c r="AD809" s="107" t="str">
        <f aca="false">IF($B809="","",IF(ISNUMBER($T809),$T809,IF(OR(NOT(ISNUMBER($Q809)),$S809=""),"",IFERROR(IF(ISNUMBER(INDEX(Lists!$AJ$2:$AJ$7,MATCH($S809,Lists!$AI$2:$AI$7,0))),$Q809+INDEX(Lists!$AJ$2:$AJ$7,MATCH($S809,Lists!$AI$2:$AI$7,0)),""),""))))</f>
        <v/>
      </c>
      <c r="AE809" s="104" t="str">
        <f aca="true">IF($B809="","",IF(AND(ISNUMBER($AD809),N($AD809)&lt;TODAY(),$N809&lt;&gt;"Done",$N809&lt;&gt;"Won't Fix",$N809&lt;&gt;"Duplicate"),"Yes","No"))</f>
        <v/>
      </c>
      <c r="AF809" s="101"/>
      <c r="AG809" s="108" t="str">
        <f aca="false">IF($AF809="","",IFERROR(VLOOKUP($AF809,'Application Portfolio'!$A$2:$B$1000,2,FALSE()),"Unknown App ID"))</f>
        <v/>
      </c>
      <c r="AH809" s="108" t="str">
        <f aca="false">IF(OR($B809="",$AF809=""),"",IFERROR(VLOOKUP($AF809,'Application Portfolio'!$A$2:$AB$1000,28,FALSE()),""))</f>
        <v/>
      </c>
    </row>
    <row r="810" customFormat="false" ht="15.75" hidden="false" customHeight="true" outlineLevel="0" collapsed="false">
      <c r="A810" s="100"/>
      <c r="B810" s="101"/>
      <c r="C810" s="101"/>
      <c r="D810" s="101"/>
      <c r="E810" s="101"/>
      <c r="F810" s="102"/>
      <c r="G810" s="102"/>
      <c r="H810" s="102"/>
      <c r="I810" s="102"/>
      <c r="J810" s="102"/>
      <c r="K810" s="102"/>
      <c r="L810" s="103" t="str">
        <f aca="false">IF(OR($B810="", $H810="", $I810="", $J810="", $K810=""),"",ROUND((VLOOKUP($H810,Lists!$E$2:$F$5,2,FALSE())*VLOOKUP($I810,Lists!$H$2:$I$4,2,FALSE())*VLOOKUP($J810,Lists!$K$2:$L$4,2,FALSE()))/VLOOKUP($K810,Lists!$N$2:$O$6,2,FALSE()),2))</f>
        <v/>
      </c>
      <c r="M810" s="104" t="str">
        <f aca="false">IF($B810="","",IF($AC810&lt;&gt;"",$AC810,IF($H810="Critical","P0",IF(NOT(ISNUMBER($L810)),"",IF($L810&gt;=Lists!$AM$2,"P0",IF($L810&gt;=Lists!$AM$3,"P1",IF($L810&gt;=Lists!$AM$4,"P2","P3")))))))</f>
        <v/>
      </c>
      <c r="N810" s="102"/>
      <c r="O810" s="101"/>
      <c r="P810" s="102"/>
      <c r="Q810" s="105"/>
      <c r="R810" s="106" t="str">
        <f aca="true">IF($Q810="","", TODAY()-$Q810)</f>
        <v/>
      </c>
      <c r="S810" s="102"/>
      <c r="T810" s="105"/>
      <c r="U810" s="105"/>
      <c r="V810" s="101"/>
      <c r="W810" s="101"/>
      <c r="X810" s="101"/>
      <c r="Y810" s="96"/>
      <c r="Z810" s="96"/>
      <c r="AA810" s="96"/>
      <c r="AC810" s="102"/>
      <c r="AD810" s="107" t="str">
        <f aca="false">IF($B810="","",IF(ISNUMBER($T810),$T810,IF(OR(NOT(ISNUMBER($Q810)),$S810=""),"",IFERROR(IF(ISNUMBER(INDEX(Lists!$AJ$2:$AJ$7,MATCH($S810,Lists!$AI$2:$AI$7,0))),$Q810+INDEX(Lists!$AJ$2:$AJ$7,MATCH($S810,Lists!$AI$2:$AI$7,0)),""),""))))</f>
        <v/>
      </c>
      <c r="AE810" s="104" t="str">
        <f aca="true">IF($B810="","",IF(AND(ISNUMBER($AD810),N($AD810)&lt;TODAY(),$N810&lt;&gt;"Done",$N810&lt;&gt;"Won't Fix",$N810&lt;&gt;"Duplicate"),"Yes","No"))</f>
        <v/>
      </c>
      <c r="AF810" s="101"/>
      <c r="AG810" s="108" t="str">
        <f aca="false">IF($AF810="","",IFERROR(VLOOKUP($AF810,'Application Portfolio'!$A$2:$B$1000,2,FALSE()),"Unknown App ID"))</f>
        <v/>
      </c>
      <c r="AH810" s="108" t="str">
        <f aca="false">IF(OR($B810="",$AF810=""),"",IFERROR(VLOOKUP($AF810,'Application Portfolio'!$A$2:$AB$1000,28,FALSE()),""))</f>
        <v/>
      </c>
    </row>
    <row r="811" customFormat="false" ht="15.75" hidden="false" customHeight="true" outlineLevel="0" collapsed="false">
      <c r="A811" s="100"/>
      <c r="B811" s="101"/>
      <c r="C811" s="101"/>
      <c r="D811" s="101"/>
      <c r="E811" s="101"/>
      <c r="F811" s="102"/>
      <c r="G811" s="102"/>
      <c r="H811" s="102"/>
      <c r="I811" s="102"/>
      <c r="J811" s="102"/>
      <c r="K811" s="102"/>
      <c r="L811" s="103" t="str">
        <f aca="false">IF(OR($B811="", $H811="", $I811="", $J811="", $K811=""),"",ROUND((VLOOKUP($H811,Lists!$E$2:$F$5,2,FALSE())*VLOOKUP($I811,Lists!$H$2:$I$4,2,FALSE())*VLOOKUP($J811,Lists!$K$2:$L$4,2,FALSE()))/VLOOKUP($K811,Lists!$N$2:$O$6,2,FALSE()),2))</f>
        <v/>
      </c>
      <c r="M811" s="104" t="str">
        <f aca="false">IF($B811="","",IF($AC811&lt;&gt;"",$AC811,IF($H811="Critical","P0",IF(NOT(ISNUMBER($L811)),"",IF($L811&gt;=Lists!$AM$2,"P0",IF($L811&gt;=Lists!$AM$3,"P1",IF($L811&gt;=Lists!$AM$4,"P2","P3")))))))</f>
        <v/>
      </c>
      <c r="N811" s="102"/>
      <c r="O811" s="101"/>
      <c r="P811" s="102"/>
      <c r="Q811" s="105"/>
      <c r="R811" s="106" t="str">
        <f aca="true">IF($Q811="","", TODAY()-$Q811)</f>
        <v/>
      </c>
      <c r="S811" s="102"/>
      <c r="T811" s="105"/>
      <c r="U811" s="105"/>
      <c r="V811" s="101"/>
      <c r="W811" s="101"/>
      <c r="X811" s="101"/>
      <c r="Y811" s="96"/>
      <c r="Z811" s="96"/>
      <c r="AA811" s="96"/>
      <c r="AC811" s="102"/>
      <c r="AD811" s="107" t="str">
        <f aca="false">IF($B811="","",IF(ISNUMBER($T811),$T811,IF(OR(NOT(ISNUMBER($Q811)),$S811=""),"",IFERROR(IF(ISNUMBER(INDEX(Lists!$AJ$2:$AJ$7,MATCH($S811,Lists!$AI$2:$AI$7,0))),$Q811+INDEX(Lists!$AJ$2:$AJ$7,MATCH($S811,Lists!$AI$2:$AI$7,0)),""),""))))</f>
        <v/>
      </c>
      <c r="AE811" s="104" t="str">
        <f aca="true">IF($B811="","",IF(AND(ISNUMBER($AD811),N($AD811)&lt;TODAY(),$N811&lt;&gt;"Done",$N811&lt;&gt;"Won't Fix",$N811&lt;&gt;"Duplicate"),"Yes","No"))</f>
        <v/>
      </c>
      <c r="AF811" s="101"/>
      <c r="AG811" s="108" t="str">
        <f aca="false">IF($AF811="","",IFERROR(VLOOKUP($AF811,'Application Portfolio'!$A$2:$B$1000,2,FALSE()),"Unknown App ID"))</f>
        <v/>
      </c>
      <c r="AH811" s="108" t="str">
        <f aca="false">IF(OR($B811="",$AF811=""),"",IFERROR(VLOOKUP($AF811,'Application Portfolio'!$A$2:$AB$1000,28,FALSE()),""))</f>
        <v/>
      </c>
    </row>
    <row r="812" customFormat="false" ht="15.75" hidden="false" customHeight="true" outlineLevel="0" collapsed="false">
      <c r="A812" s="100"/>
      <c r="B812" s="101"/>
      <c r="C812" s="101"/>
      <c r="D812" s="101"/>
      <c r="E812" s="101"/>
      <c r="F812" s="102"/>
      <c r="G812" s="102"/>
      <c r="H812" s="102"/>
      <c r="I812" s="102"/>
      <c r="J812" s="102"/>
      <c r="K812" s="102"/>
      <c r="L812" s="103" t="str">
        <f aca="false">IF(OR($B812="", $H812="", $I812="", $J812="", $K812=""),"",ROUND((VLOOKUP($H812,Lists!$E$2:$F$5,2,FALSE())*VLOOKUP($I812,Lists!$H$2:$I$4,2,FALSE())*VLOOKUP($J812,Lists!$K$2:$L$4,2,FALSE()))/VLOOKUP($K812,Lists!$N$2:$O$6,2,FALSE()),2))</f>
        <v/>
      </c>
      <c r="M812" s="104" t="str">
        <f aca="false">IF($B812="","",IF($AC812&lt;&gt;"",$AC812,IF($H812="Critical","P0",IF(NOT(ISNUMBER($L812)),"",IF($L812&gt;=Lists!$AM$2,"P0",IF($L812&gt;=Lists!$AM$3,"P1",IF($L812&gt;=Lists!$AM$4,"P2","P3")))))))</f>
        <v/>
      </c>
      <c r="N812" s="102"/>
      <c r="O812" s="101"/>
      <c r="P812" s="102"/>
      <c r="Q812" s="105"/>
      <c r="R812" s="106" t="str">
        <f aca="true">IF($Q812="","", TODAY()-$Q812)</f>
        <v/>
      </c>
      <c r="S812" s="102"/>
      <c r="T812" s="105"/>
      <c r="U812" s="105"/>
      <c r="V812" s="101"/>
      <c r="W812" s="101"/>
      <c r="X812" s="101"/>
      <c r="Y812" s="96"/>
      <c r="Z812" s="96"/>
      <c r="AA812" s="96"/>
      <c r="AC812" s="102"/>
      <c r="AD812" s="107" t="str">
        <f aca="false">IF($B812="","",IF(ISNUMBER($T812),$T812,IF(OR(NOT(ISNUMBER($Q812)),$S812=""),"",IFERROR(IF(ISNUMBER(INDEX(Lists!$AJ$2:$AJ$7,MATCH($S812,Lists!$AI$2:$AI$7,0))),$Q812+INDEX(Lists!$AJ$2:$AJ$7,MATCH($S812,Lists!$AI$2:$AI$7,0)),""),""))))</f>
        <v/>
      </c>
      <c r="AE812" s="104" t="str">
        <f aca="true">IF($B812="","",IF(AND(ISNUMBER($AD812),N($AD812)&lt;TODAY(),$N812&lt;&gt;"Done",$N812&lt;&gt;"Won't Fix",$N812&lt;&gt;"Duplicate"),"Yes","No"))</f>
        <v/>
      </c>
      <c r="AF812" s="101"/>
      <c r="AG812" s="108" t="str">
        <f aca="false">IF($AF812="","",IFERROR(VLOOKUP($AF812,'Application Portfolio'!$A$2:$B$1000,2,FALSE()),"Unknown App ID"))</f>
        <v/>
      </c>
      <c r="AH812" s="108" t="str">
        <f aca="false">IF(OR($B812="",$AF812=""),"",IFERROR(VLOOKUP($AF812,'Application Portfolio'!$A$2:$AB$1000,28,FALSE()),""))</f>
        <v/>
      </c>
    </row>
    <row r="813" customFormat="false" ht="15.75" hidden="false" customHeight="true" outlineLevel="0" collapsed="false">
      <c r="A813" s="100"/>
      <c r="B813" s="101"/>
      <c r="C813" s="101"/>
      <c r="D813" s="101"/>
      <c r="E813" s="101"/>
      <c r="F813" s="102"/>
      <c r="G813" s="102"/>
      <c r="H813" s="102"/>
      <c r="I813" s="102"/>
      <c r="J813" s="102"/>
      <c r="K813" s="102"/>
      <c r="L813" s="103" t="str">
        <f aca="false">IF(OR($B813="", $H813="", $I813="", $J813="", $K813=""),"",ROUND((VLOOKUP($H813,Lists!$E$2:$F$5,2,FALSE())*VLOOKUP($I813,Lists!$H$2:$I$4,2,FALSE())*VLOOKUP($J813,Lists!$K$2:$L$4,2,FALSE()))/VLOOKUP($K813,Lists!$N$2:$O$6,2,FALSE()),2))</f>
        <v/>
      </c>
      <c r="M813" s="104" t="str">
        <f aca="false">IF($B813="","",IF($AC813&lt;&gt;"",$AC813,IF($H813="Critical","P0",IF(NOT(ISNUMBER($L813)),"",IF($L813&gt;=Lists!$AM$2,"P0",IF($L813&gt;=Lists!$AM$3,"P1",IF($L813&gt;=Lists!$AM$4,"P2","P3")))))))</f>
        <v/>
      </c>
      <c r="N813" s="102"/>
      <c r="O813" s="101"/>
      <c r="P813" s="102"/>
      <c r="Q813" s="105"/>
      <c r="R813" s="106" t="str">
        <f aca="true">IF($Q813="","", TODAY()-$Q813)</f>
        <v/>
      </c>
      <c r="S813" s="102"/>
      <c r="T813" s="105"/>
      <c r="U813" s="105"/>
      <c r="V813" s="101"/>
      <c r="W813" s="101"/>
      <c r="X813" s="101"/>
      <c r="Y813" s="96"/>
      <c r="Z813" s="96"/>
      <c r="AA813" s="96"/>
      <c r="AC813" s="102"/>
      <c r="AD813" s="107" t="str">
        <f aca="false">IF($B813="","",IF(ISNUMBER($T813),$T813,IF(OR(NOT(ISNUMBER($Q813)),$S813=""),"",IFERROR(IF(ISNUMBER(INDEX(Lists!$AJ$2:$AJ$7,MATCH($S813,Lists!$AI$2:$AI$7,0))),$Q813+INDEX(Lists!$AJ$2:$AJ$7,MATCH($S813,Lists!$AI$2:$AI$7,0)),""),""))))</f>
        <v/>
      </c>
      <c r="AE813" s="104" t="str">
        <f aca="true">IF($B813="","",IF(AND(ISNUMBER($AD813),N($AD813)&lt;TODAY(),$N813&lt;&gt;"Done",$N813&lt;&gt;"Won't Fix",$N813&lt;&gt;"Duplicate"),"Yes","No"))</f>
        <v/>
      </c>
      <c r="AF813" s="101"/>
      <c r="AG813" s="108" t="str">
        <f aca="false">IF($AF813="","",IFERROR(VLOOKUP($AF813,'Application Portfolio'!$A$2:$B$1000,2,FALSE()),"Unknown App ID"))</f>
        <v/>
      </c>
      <c r="AH813" s="108" t="str">
        <f aca="false">IF(OR($B813="",$AF813=""),"",IFERROR(VLOOKUP($AF813,'Application Portfolio'!$A$2:$AB$1000,28,FALSE()),""))</f>
        <v/>
      </c>
    </row>
    <row r="814" customFormat="false" ht="15.75" hidden="false" customHeight="true" outlineLevel="0" collapsed="false">
      <c r="A814" s="100"/>
      <c r="B814" s="101"/>
      <c r="C814" s="101"/>
      <c r="D814" s="101"/>
      <c r="E814" s="101"/>
      <c r="F814" s="102"/>
      <c r="G814" s="102"/>
      <c r="H814" s="102"/>
      <c r="I814" s="102"/>
      <c r="J814" s="102"/>
      <c r="K814" s="102"/>
      <c r="L814" s="103" t="str">
        <f aca="false">IF(OR($B814="", $H814="", $I814="", $J814="", $K814=""),"",ROUND((VLOOKUP($H814,Lists!$E$2:$F$5,2,FALSE())*VLOOKUP($I814,Lists!$H$2:$I$4,2,FALSE())*VLOOKUP($J814,Lists!$K$2:$L$4,2,FALSE()))/VLOOKUP($K814,Lists!$N$2:$O$6,2,FALSE()),2))</f>
        <v/>
      </c>
      <c r="M814" s="104" t="str">
        <f aca="false">IF($B814="","",IF($AC814&lt;&gt;"",$AC814,IF($H814="Critical","P0",IF(NOT(ISNUMBER($L814)),"",IF($L814&gt;=Lists!$AM$2,"P0",IF($L814&gt;=Lists!$AM$3,"P1",IF($L814&gt;=Lists!$AM$4,"P2","P3")))))))</f>
        <v/>
      </c>
      <c r="N814" s="102"/>
      <c r="O814" s="101"/>
      <c r="P814" s="102"/>
      <c r="Q814" s="105"/>
      <c r="R814" s="106" t="str">
        <f aca="true">IF($Q814="","", TODAY()-$Q814)</f>
        <v/>
      </c>
      <c r="S814" s="102"/>
      <c r="T814" s="105"/>
      <c r="U814" s="105"/>
      <c r="V814" s="101"/>
      <c r="W814" s="101"/>
      <c r="X814" s="101"/>
      <c r="Y814" s="96"/>
      <c r="Z814" s="96"/>
      <c r="AA814" s="96"/>
      <c r="AC814" s="102"/>
      <c r="AD814" s="107" t="str">
        <f aca="false">IF($B814="","",IF(ISNUMBER($T814),$T814,IF(OR(NOT(ISNUMBER($Q814)),$S814=""),"",IFERROR(IF(ISNUMBER(INDEX(Lists!$AJ$2:$AJ$7,MATCH($S814,Lists!$AI$2:$AI$7,0))),$Q814+INDEX(Lists!$AJ$2:$AJ$7,MATCH($S814,Lists!$AI$2:$AI$7,0)),""),""))))</f>
        <v/>
      </c>
      <c r="AE814" s="104" t="str">
        <f aca="true">IF($B814="","",IF(AND(ISNUMBER($AD814),N($AD814)&lt;TODAY(),$N814&lt;&gt;"Done",$N814&lt;&gt;"Won't Fix",$N814&lt;&gt;"Duplicate"),"Yes","No"))</f>
        <v/>
      </c>
      <c r="AF814" s="101"/>
      <c r="AG814" s="108" t="str">
        <f aca="false">IF($AF814="","",IFERROR(VLOOKUP($AF814,'Application Portfolio'!$A$2:$B$1000,2,FALSE()),"Unknown App ID"))</f>
        <v/>
      </c>
      <c r="AH814" s="108" t="str">
        <f aca="false">IF(OR($B814="",$AF814=""),"",IFERROR(VLOOKUP($AF814,'Application Portfolio'!$A$2:$AB$1000,28,FALSE()),""))</f>
        <v/>
      </c>
    </row>
    <row r="815" customFormat="false" ht="15.75" hidden="false" customHeight="true" outlineLevel="0" collapsed="false">
      <c r="A815" s="100"/>
      <c r="B815" s="101"/>
      <c r="C815" s="101"/>
      <c r="D815" s="101"/>
      <c r="E815" s="101"/>
      <c r="F815" s="102"/>
      <c r="G815" s="102"/>
      <c r="H815" s="102"/>
      <c r="I815" s="102"/>
      <c r="J815" s="102"/>
      <c r="K815" s="102"/>
      <c r="L815" s="103" t="str">
        <f aca="false">IF(OR($B815="", $H815="", $I815="", $J815="", $K815=""),"",ROUND((VLOOKUP($H815,Lists!$E$2:$F$5,2,FALSE())*VLOOKUP($I815,Lists!$H$2:$I$4,2,FALSE())*VLOOKUP($J815,Lists!$K$2:$L$4,2,FALSE()))/VLOOKUP($K815,Lists!$N$2:$O$6,2,FALSE()),2))</f>
        <v/>
      </c>
      <c r="M815" s="104" t="str">
        <f aca="false">IF($B815="","",IF($AC815&lt;&gt;"",$AC815,IF($H815="Critical","P0",IF(NOT(ISNUMBER($L815)),"",IF($L815&gt;=Lists!$AM$2,"P0",IF($L815&gt;=Lists!$AM$3,"P1",IF($L815&gt;=Lists!$AM$4,"P2","P3")))))))</f>
        <v/>
      </c>
      <c r="N815" s="102"/>
      <c r="O815" s="101"/>
      <c r="P815" s="102"/>
      <c r="Q815" s="105"/>
      <c r="R815" s="106" t="str">
        <f aca="true">IF($Q815="","", TODAY()-$Q815)</f>
        <v/>
      </c>
      <c r="S815" s="102"/>
      <c r="T815" s="105"/>
      <c r="U815" s="105"/>
      <c r="V815" s="101"/>
      <c r="W815" s="101"/>
      <c r="X815" s="101"/>
      <c r="Y815" s="96"/>
      <c r="Z815" s="96"/>
      <c r="AA815" s="96"/>
      <c r="AC815" s="102"/>
      <c r="AD815" s="107" t="str">
        <f aca="false">IF($B815="","",IF(ISNUMBER($T815),$T815,IF(OR(NOT(ISNUMBER($Q815)),$S815=""),"",IFERROR(IF(ISNUMBER(INDEX(Lists!$AJ$2:$AJ$7,MATCH($S815,Lists!$AI$2:$AI$7,0))),$Q815+INDEX(Lists!$AJ$2:$AJ$7,MATCH($S815,Lists!$AI$2:$AI$7,0)),""),""))))</f>
        <v/>
      </c>
      <c r="AE815" s="104" t="str">
        <f aca="true">IF($B815="","",IF(AND(ISNUMBER($AD815),N($AD815)&lt;TODAY(),$N815&lt;&gt;"Done",$N815&lt;&gt;"Won't Fix",$N815&lt;&gt;"Duplicate"),"Yes","No"))</f>
        <v/>
      </c>
      <c r="AF815" s="101"/>
      <c r="AG815" s="108" t="str">
        <f aca="false">IF($AF815="","",IFERROR(VLOOKUP($AF815,'Application Portfolio'!$A$2:$B$1000,2,FALSE()),"Unknown App ID"))</f>
        <v/>
      </c>
      <c r="AH815" s="108" t="str">
        <f aca="false">IF(OR($B815="",$AF815=""),"",IFERROR(VLOOKUP($AF815,'Application Portfolio'!$A$2:$AB$1000,28,FALSE()),""))</f>
        <v/>
      </c>
    </row>
    <row r="816" customFormat="false" ht="15.75" hidden="false" customHeight="true" outlineLevel="0" collapsed="false">
      <c r="A816" s="100"/>
      <c r="B816" s="101"/>
      <c r="C816" s="101"/>
      <c r="D816" s="101"/>
      <c r="E816" s="101"/>
      <c r="F816" s="102"/>
      <c r="G816" s="102"/>
      <c r="H816" s="102"/>
      <c r="I816" s="102"/>
      <c r="J816" s="102"/>
      <c r="K816" s="102"/>
      <c r="L816" s="103" t="str">
        <f aca="false">IF(OR($B816="", $H816="", $I816="", $J816="", $K816=""),"",ROUND((VLOOKUP($H816,Lists!$E$2:$F$5,2,FALSE())*VLOOKUP($I816,Lists!$H$2:$I$4,2,FALSE())*VLOOKUP($J816,Lists!$K$2:$L$4,2,FALSE()))/VLOOKUP($K816,Lists!$N$2:$O$6,2,FALSE()),2))</f>
        <v/>
      </c>
      <c r="M816" s="104" t="str">
        <f aca="false">IF($B816="","",IF($AC816&lt;&gt;"",$AC816,IF($H816="Critical","P0",IF(NOT(ISNUMBER($L816)),"",IF($L816&gt;=Lists!$AM$2,"P0",IF($L816&gt;=Lists!$AM$3,"P1",IF($L816&gt;=Lists!$AM$4,"P2","P3")))))))</f>
        <v/>
      </c>
      <c r="N816" s="102"/>
      <c r="O816" s="101"/>
      <c r="P816" s="102"/>
      <c r="Q816" s="105"/>
      <c r="R816" s="106" t="str">
        <f aca="true">IF($Q816="","", TODAY()-$Q816)</f>
        <v/>
      </c>
      <c r="S816" s="102"/>
      <c r="T816" s="105"/>
      <c r="U816" s="105"/>
      <c r="V816" s="101"/>
      <c r="W816" s="101"/>
      <c r="X816" s="101"/>
      <c r="Y816" s="96"/>
      <c r="Z816" s="96"/>
      <c r="AA816" s="96"/>
      <c r="AC816" s="102"/>
      <c r="AD816" s="107" t="str">
        <f aca="false">IF($B816="","",IF(ISNUMBER($T816),$T816,IF(OR(NOT(ISNUMBER($Q816)),$S816=""),"",IFERROR(IF(ISNUMBER(INDEX(Lists!$AJ$2:$AJ$7,MATCH($S816,Lists!$AI$2:$AI$7,0))),$Q816+INDEX(Lists!$AJ$2:$AJ$7,MATCH($S816,Lists!$AI$2:$AI$7,0)),""),""))))</f>
        <v/>
      </c>
      <c r="AE816" s="104" t="str">
        <f aca="true">IF($B816="","",IF(AND(ISNUMBER($AD816),N($AD816)&lt;TODAY(),$N816&lt;&gt;"Done",$N816&lt;&gt;"Won't Fix",$N816&lt;&gt;"Duplicate"),"Yes","No"))</f>
        <v/>
      </c>
      <c r="AF816" s="101"/>
      <c r="AG816" s="108" t="str">
        <f aca="false">IF($AF816="","",IFERROR(VLOOKUP($AF816,'Application Portfolio'!$A$2:$B$1000,2,FALSE()),"Unknown App ID"))</f>
        <v/>
      </c>
      <c r="AH816" s="108" t="str">
        <f aca="false">IF(OR($B816="",$AF816=""),"",IFERROR(VLOOKUP($AF816,'Application Portfolio'!$A$2:$AB$1000,28,FALSE()),""))</f>
        <v/>
      </c>
    </row>
    <row r="817" customFormat="false" ht="15.75" hidden="false" customHeight="true" outlineLevel="0" collapsed="false">
      <c r="A817" s="100"/>
      <c r="B817" s="101"/>
      <c r="C817" s="101"/>
      <c r="D817" s="101"/>
      <c r="E817" s="101"/>
      <c r="F817" s="102"/>
      <c r="G817" s="102"/>
      <c r="H817" s="102"/>
      <c r="I817" s="102"/>
      <c r="J817" s="102"/>
      <c r="K817" s="102"/>
      <c r="L817" s="103" t="str">
        <f aca="false">IF(OR($B817="", $H817="", $I817="", $J817="", $K817=""),"",ROUND((VLOOKUP($H817,Lists!$E$2:$F$5,2,FALSE())*VLOOKUP($I817,Lists!$H$2:$I$4,2,FALSE())*VLOOKUP($J817,Lists!$K$2:$L$4,2,FALSE()))/VLOOKUP($K817,Lists!$N$2:$O$6,2,FALSE()),2))</f>
        <v/>
      </c>
      <c r="M817" s="104" t="str">
        <f aca="false">IF($B817="","",IF($AC817&lt;&gt;"",$AC817,IF($H817="Critical","P0",IF(NOT(ISNUMBER($L817)),"",IF($L817&gt;=Lists!$AM$2,"P0",IF($L817&gt;=Lists!$AM$3,"P1",IF($L817&gt;=Lists!$AM$4,"P2","P3")))))))</f>
        <v/>
      </c>
      <c r="N817" s="102"/>
      <c r="O817" s="101"/>
      <c r="P817" s="102"/>
      <c r="Q817" s="105"/>
      <c r="R817" s="106" t="str">
        <f aca="true">IF($Q817="","", TODAY()-$Q817)</f>
        <v/>
      </c>
      <c r="S817" s="102"/>
      <c r="T817" s="105"/>
      <c r="U817" s="105"/>
      <c r="V817" s="101"/>
      <c r="W817" s="101"/>
      <c r="X817" s="101"/>
      <c r="Y817" s="96"/>
      <c r="Z817" s="96"/>
      <c r="AA817" s="96"/>
      <c r="AC817" s="102"/>
      <c r="AD817" s="107" t="str">
        <f aca="false">IF($B817="","",IF(ISNUMBER($T817),$T817,IF(OR(NOT(ISNUMBER($Q817)),$S817=""),"",IFERROR(IF(ISNUMBER(INDEX(Lists!$AJ$2:$AJ$7,MATCH($S817,Lists!$AI$2:$AI$7,0))),$Q817+INDEX(Lists!$AJ$2:$AJ$7,MATCH($S817,Lists!$AI$2:$AI$7,0)),""),""))))</f>
        <v/>
      </c>
      <c r="AE817" s="104" t="str">
        <f aca="true">IF($B817="","",IF(AND(ISNUMBER($AD817),N($AD817)&lt;TODAY(),$N817&lt;&gt;"Done",$N817&lt;&gt;"Won't Fix",$N817&lt;&gt;"Duplicate"),"Yes","No"))</f>
        <v/>
      </c>
      <c r="AF817" s="101"/>
      <c r="AG817" s="108" t="str">
        <f aca="false">IF($AF817="","",IFERROR(VLOOKUP($AF817,'Application Portfolio'!$A$2:$B$1000,2,FALSE()),"Unknown App ID"))</f>
        <v/>
      </c>
      <c r="AH817" s="108" t="str">
        <f aca="false">IF(OR($B817="",$AF817=""),"",IFERROR(VLOOKUP($AF817,'Application Portfolio'!$A$2:$AB$1000,28,FALSE()),""))</f>
        <v/>
      </c>
    </row>
    <row r="818" customFormat="false" ht="15.75" hidden="false" customHeight="true" outlineLevel="0" collapsed="false">
      <c r="A818" s="100"/>
      <c r="B818" s="101"/>
      <c r="C818" s="101"/>
      <c r="D818" s="101"/>
      <c r="E818" s="101"/>
      <c r="F818" s="102"/>
      <c r="G818" s="102"/>
      <c r="H818" s="102"/>
      <c r="I818" s="102"/>
      <c r="J818" s="102"/>
      <c r="K818" s="102"/>
      <c r="L818" s="103" t="str">
        <f aca="false">IF(OR($B818="", $H818="", $I818="", $J818="", $K818=""),"",ROUND((VLOOKUP($H818,Lists!$E$2:$F$5,2,FALSE())*VLOOKUP($I818,Lists!$H$2:$I$4,2,FALSE())*VLOOKUP($J818,Lists!$K$2:$L$4,2,FALSE()))/VLOOKUP($K818,Lists!$N$2:$O$6,2,FALSE()),2))</f>
        <v/>
      </c>
      <c r="M818" s="104" t="str">
        <f aca="false">IF($B818="","",IF($AC818&lt;&gt;"",$AC818,IF($H818="Critical","P0",IF(NOT(ISNUMBER($L818)),"",IF($L818&gt;=Lists!$AM$2,"P0",IF($L818&gt;=Lists!$AM$3,"P1",IF($L818&gt;=Lists!$AM$4,"P2","P3")))))))</f>
        <v/>
      </c>
      <c r="N818" s="102"/>
      <c r="O818" s="101"/>
      <c r="P818" s="102"/>
      <c r="Q818" s="105"/>
      <c r="R818" s="106" t="str">
        <f aca="true">IF($Q818="","", TODAY()-$Q818)</f>
        <v/>
      </c>
      <c r="S818" s="102"/>
      <c r="T818" s="105"/>
      <c r="U818" s="105"/>
      <c r="V818" s="101"/>
      <c r="W818" s="101"/>
      <c r="X818" s="101"/>
      <c r="Y818" s="96"/>
      <c r="Z818" s="96"/>
      <c r="AA818" s="96"/>
      <c r="AC818" s="102"/>
      <c r="AD818" s="107" t="str">
        <f aca="false">IF($B818="","",IF(ISNUMBER($T818),$T818,IF(OR(NOT(ISNUMBER($Q818)),$S818=""),"",IFERROR(IF(ISNUMBER(INDEX(Lists!$AJ$2:$AJ$7,MATCH($S818,Lists!$AI$2:$AI$7,0))),$Q818+INDEX(Lists!$AJ$2:$AJ$7,MATCH($S818,Lists!$AI$2:$AI$7,0)),""),""))))</f>
        <v/>
      </c>
      <c r="AE818" s="104" t="str">
        <f aca="true">IF($B818="","",IF(AND(ISNUMBER($AD818),N($AD818)&lt;TODAY(),$N818&lt;&gt;"Done",$N818&lt;&gt;"Won't Fix",$N818&lt;&gt;"Duplicate"),"Yes","No"))</f>
        <v/>
      </c>
      <c r="AF818" s="101"/>
      <c r="AG818" s="108" t="str">
        <f aca="false">IF($AF818="","",IFERROR(VLOOKUP($AF818,'Application Portfolio'!$A$2:$B$1000,2,FALSE()),"Unknown App ID"))</f>
        <v/>
      </c>
      <c r="AH818" s="108" t="str">
        <f aca="false">IF(OR($B818="",$AF818=""),"",IFERROR(VLOOKUP($AF818,'Application Portfolio'!$A$2:$AB$1000,28,FALSE()),""))</f>
        <v/>
      </c>
    </row>
    <row r="819" customFormat="false" ht="15.75" hidden="false" customHeight="true" outlineLevel="0" collapsed="false">
      <c r="A819" s="100"/>
      <c r="B819" s="101"/>
      <c r="C819" s="101"/>
      <c r="D819" s="101"/>
      <c r="E819" s="101"/>
      <c r="F819" s="102"/>
      <c r="G819" s="102"/>
      <c r="H819" s="102"/>
      <c r="I819" s="102"/>
      <c r="J819" s="102"/>
      <c r="K819" s="102"/>
      <c r="L819" s="103" t="str">
        <f aca="false">IF(OR($B819="", $H819="", $I819="", $J819="", $K819=""),"",ROUND((VLOOKUP($H819,Lists!$E$2:$F$5,2,FALSE())*VLOOKUP($I819,Lists!$H$2:$I$4,2,FALSE())*VLOOKUP($J819,Lists!$K$2:$L$4,2,FALSE()))/VLOOKUP($K819,Lists!$N$2:$O$6,2,FALSE()),2))</f>
        <v/>
      </c>
      <c r="M819" s="104" t="str">
        <f aca="false">IF($B819="","",IF($AC819&lt;&gt;"",$AC819,IF($H819="Critical","P0",IF(NOT(ISNUMBER($L819)),"",IF($L819&gt;=Lists!$AM$2,"P0",IF($L819&gt;=Lists!$AM$3,"P1",IF($L819&gt;=Lists!$AM$4,"P2","P3")))))))</f>
        <v/>
      </c>
      <c r="N819" s="102"/>
      <c r="O819" s="101"/>
      <c r="P819" s="102"/>
      <c r="Q819" s="105"/>
      <c r="R819" s="106" t="str">
        <f aca="true">IF($Q819="","", TODAY()-$Q819)</f>
        <v/>
      </c>
      <c r="S819" s="102"/>
      <c r="T819" s="105"/>
      <c r="U819" s="105"/>
      <c r="V819" s="101"/>
      <c r="W819" s="101"/>
      <c r="X819" s="101"/>
      <c r="Y819" s="96"/>
      <c r="Z819" s="96"/>
      <c r="AA819" s="96"/>
      <c r="AC819" s="102"/>
      <c r="AD819" s="107" t="str">
        <f aca="false">IF($B819="","",IF(ISNUMBER($T819),$T819,IF(OR(NOT(ISNUMBER($Q819)),$S819=""),"",IFERROR(IF(ISNUMBER(INDEX(Lists!$AJ$2:$AJ$7,MATCH($S819,Lists!$AI$2:$AI$7,0))),$Q819+INDEX(Lists!$AJ$2:$AJ$7,MATCH($S819,Lists!$AI$2:$AI$7,0)),""),""))))</f>
        <v/>
      </c>
      <c r="AE819" s="104" t="str">
        <f aca="true">IF($B819="","",IF(AND(ISNUMBER($AD819),N($AD819)&lt;TODAY(),$N819&lt;&gt;"Done",$N819&lt;&gt;"Won't Fix",$N819&lt;&gt;"Duplicate"),"Yes","No"))</f>
        <v/>
      </c>
      <c r="AF819" s="101"/>
      <c r="AG819" s="108" t="str">
        <f aca="false">IF($AF819="","",IFERROR(VLOOKUP($AF819,'Application Portfolio'!$A$2:$B$1000,2,FALSE()),"Unknown App ID"))</f>
        <v/>
      </c>
      <c r="AH819" s="108" t="str">
        <f aca="false">IF(OR($B819="",$AF819=""),"",IFERROR(VLOOKUP($AF819,'Application Portfolio'!$A$2:$AB$1000,28,FALSE()),""))</f>
        <v/>
      </c>
    </row>
    <row r="820" customFormat="false" ht="15.75" hidden="false" customHeight="true" outlineLevel="0" collapsed="false">
      <c r="A820" s="100"/>
      <c r="B820" s="101"/>
      <c r="C820" s="101"/>
      <c r="D820" s="101"/>
      <c r="E820" s="101"/>
      <c r="F820" s="102"/>
      <c r="G820" s="102"/>
      <c r="H820" s="102"/>
      <c r="I820" s="102"/>
      <c r="J820" s="102"/>
      <c r="K820" s="102"/>
      <c r="L820" s="103" t="str">
        <f aca="false">IF(OR($B820="", $H820="", $I820="", $J820="", $K820=""),"",ROUND((VLOOKUP($H820,Lists!$E$2:$F$5,2,FALSE())*VLOOKUP($I820,Lists!$H$2:$I$4,2,FALSE())*VLOOKUP($J820,Lists!$K$2:$L$4,2,FALSE()))/VLOOKUP($K820,Lists!$N$2:$O$6,2,FALSE()),2))</f>
        <v/>
      </c>
      <c r="M820" s="104" t="str">
        <f aca="false">IF($B820="","",IF($AC820&lt;&gt;"",$AC820,IF($H820="Critical","P0",IF(NOT(ISNUMBER($L820)),"",IF($L820&gt;=Lists!$AM$2,"P0",IF($L820&gt;=Lists!$AM$3,"P1",IF($L820&gt;=Lists!$AM$4,"P2","P3")))))))</f>
        <v/>
      </c>
      <c r="N820" s="102"/>
      <c r="O820" s="101"/>
      <c r="P820" s="102"/>
      <c r="Q820" s="105"/>
      <c r="R820" s="106" t="str">
        <f aca="true">IF($Q820="","", TODAY()-$Q820)</f>
        <v/>
      </c>
      <c r="S820" s="102"/>
      <c r="T820" s="105"/>
      <c r="U820" s="105"/>
      <c r="V820" s="101"/>
      <c r="W820" s="101"/>
      <c r="X820" s="101"/>
      <c r="Y820" s="96"/>
      <c r="Z820" s="96"/>
      <c r="AA820" s="96"/>
      <c r="AC820" s="102"/>
      <c r="AD820" s="107" t="str">
        <f aca="false">IF($B820="","",IF(ISNUMBER($T820),$T820,IF(OR(NOT(ISNUMBER($Q820)),$S820=""),"",IFERROR(IF(ISNUMBER(INDEX(Lists!$AJ$2:$AJ$7,MATCH($S820,Lists!$AI$2:$AI$7,0))),$Q820+INDEX(Lists!$AJ$2:$AJ$7,MATCH($S820,Lists!$AI$2:$AI$7,0)),""),""))))</f>
        <v/>
      </c>
      <c r="AE820" s="104" t="str">
        <f aca="true">IF($B820="","",IF(AND(ISNUMBER($AD820),N($AD820)&lt;TODAY(),$N820&lt;&gt;"Done",$N820&lt;&gt;"Won't Fix",$N820&lt;&gt;"Duplicate"),"Yes","No"))</f>
        <v/>
      </c>
      <c r="AF820" s="101"/>
      <c r="AG820" s="108" t="str">
        <f aca="false">IF($AF820="","",IFERROR(VLOOKUP($AF820,'Application Portfolio'!$A$2:$B$1000,2,FALSE()),"Unknown App ID"))</f>
        <v/>
      </c>
      <c r="AH820" s="108" t="str">
        <f aca="false">IF(OR($B820="",$AF820=""),"",IFERROR(VLOOKUP($AF820,'Application Portfolio'!$A$2:$AB$1000,28,FALSE()),""))</f>
        <v/>
      </c>
    </row>
    <row r="821" customFormat="false" ht="15.75" hidden="false" customHeight="true" outlineLevel="0" collapsed="false">
      <c r="A821" s="100"/>
      <c r="B821" s="101"/>
      <c r="C821" s="101"/>
      <c r="D821" s="101"/>
      <c r="E821" s="101"/>
      <c r="F821" s="102"/>
      <c r="G821" s="102"/>
      <c r="H821" s="102"/>
      <c r="I821" s="102"/>
      <c r="J821" s="102"/>
      <c r="K821" s="102"/>
      <c r="L821" s="103" t="str">
        <f aca="false">IF(OR($B821="", $H821="", $I821="", $J821="", $K821=""),"",ROUND((VLOOKUP($H821,Lists!$E$2:$F$5,2,FALSE())*VLOOKUP($I821,Lists!$H$2:$I$4,2,FALSE())*VLOOKUP($J821,Lists!$K$2:$L$4,2,FALSE()))/VLOOKUP($K821,Lists!$N$2:$O$6,2,FALSE()),2))</f>
        <v/>
      </c>
      <c r="M821" s="104" t="str">
        <f aca="false">IF($B821="","",IF($AC821&lt;&gt;"",$AC821,IF($H821="Critical","P0",IF(NOT(ISNUMBER($L821)),"",IF($L821&gt;=Lists!$AM$2,"P0",IF($L821&gt;=Lists!$AM$3,"P1",IF($L821&gt;=Lists!$AM$4,"P2","P3")))))))</f>
        <v/>
      </c>
      <c r="N821" s="102"/>
      <c r="O821" s="101"/>
      <c r="P821" s="102"/>
      <c r="Q821" s="105"/>
      <c r="R821" s="106" t="str">
        <f aca="true">IF($Q821="","", TODAY()-$Q821)</f>
        <v/>
      </c>
      <c r="S821" s="102"/>
      <c r="T821" s="105"/>
      <c r="U821" s="105"/>
      <c r="V821" s="101"/>
      <c r="W821" s="101"/>
      <c r="X821" s="101"/>
      <c r="Y821" s="96"/>
      <c r="Z821" s="96"/>
      <c r="AA821" s="96"/>
      <c r="AC821" s="102"/>
      <c r="AD821" s="107" t="str">
        <f aca="false">IF($B821="","",IF(ISNUMBER($T821),$T821,IF(OR(NOT(ISNUMBER($Q821)),$S821=""),"",IFERROR(IF(ISNUMBER(INDEX(Lists!$AJ$2:$AJ$7,MATCH($S821,Lists!$AI$2:$AI$7,0))),$Q821+INDEX(Lists!$AJ$2:$AJ$7,MATCH($S821,Lists!$AI$2:$AI$7,0)),""),""))))</f>
        <v/>
      </c>
      <c r="AE821" s="104" t="str">
        <f aca="true">IF($B821="","",IF(AND(ISNUMBER($AD821),N($AD821)&lt;TODAY(),$N821&lt;&gt;"Done",$N821&lt;&gt;"Won't Fix",$N821&lt;&gt;"Duplicate"),"Yes","No"))</f>
        <v/>
      </c>
      <c r="AF821" s="101"/>
      <c r="AG821" s="108" t="str">
        <f aca="false">IF($AF821="","",IFERROR(VLOOKUP($AF821,'Application Portfolio'!$A$2:$B$1000,2,FALSE()),"Unknown App ID"))</f>
        <v/>
      </c>
      <c r="AH821" s="108" t="str">
        <f aca="false">IF(OR($B821="",$AF821=""),"",IFERROR(VLOOKUP($AF821,'Application Portfolio'!$A$2:$AB$1000,28,FALSE()),""))</f>
        <v/>
      </c>
    </row>
    <row r="822" customFormat="false" ht="15.75" hidden="false" customHeight="true" outlineLevel="0" collapsed="false">
      <c r="A822" s="100"/>
      <c r="B822" s="101"/>
      <c r="C822" s="101"/>
      <c r="D822" s="101"/>
      <c r="E822" s="101"/>
      <c r="F822" s="102"/>
      <c r="G822" s="102"/>
      <c r="H822" s="102"/>
      <c r="I822" s="102"/>
      <c r="J822" s="102"/>
      <c r="K822" s="102"/>
      <c r="L822" s="103" t="str">
        <f aca="false">IF(OR($B822="", $H822="", $I822="", $J822="", $K822=""),"",ROUND((VLOOKUP($H822,Lists!$E$2:$F$5,2,FALSE())*VLOOKUP($I822,Lists!$H$2:$I$4,2,FALSE())*VLOOKUP($J822,Lists!$K$2:$L$4,2,FALSE()))/VLOOKUP($K822,Lists!$N$2:$O$6,2,FALSE()),2))</f>
        <v/>
      </c>
      <c r="M822" s="104" t="str">
        <f aca="false">IF($B822="","",IF($AC822&lt;&gt;"",$AC822,IF($H822="Critical","P0",IF(NOT(ISNUMBER($L822)),"",IF($L822&gt;=Lists!$AM$2,"P0",IF($L822&gt;=Lists!$AM$3,"P1",IF($L822&gt;=Lists!$AM$4,"P2","P3")))))))</f>
        <v/>
      </c>
      <c r="N822" s="102"/>
      <c r="O822" s="101"/>
      <c r="P822" s="102"/>
      <c r="Q822" s="105"/>
      <c r="R822" s="106" t="str">
        <f aca="true">IF($Q822="","", TODAY()-$Q822)</f>
        <v/>
      </c>
      <c r="S822" s="102"/>
      <c r="T822" s="105"/>
      <c r="U822" s="105"/>
      <c r="V822" s="101"/>
      <c r="W822" s="101"/>
      <c r="X822" s="101"/>
      <c r="Y822" s="96"/>
      <c r="Z822" s="96"/>
      <c r="AA822" s="96"/>
      <c r="AC822" s="102"/>
      <c r="AD822" s="107" t="str">
        <f aca="false">IF($B822="","",IF(ISNUMBER($T822),$T822,IF(OR(NOT(ISNUMBER($Q822)),$S822=""),"",IFERROR(IF(ISNUMBER(INDEX(Lists!$AJ$2:$AJ$7,MATCH($S822,Lists!$AI$2:$AI$7,0))),$Q822+INDEX(Lists!$AJ$2:$AJ$7,MATCH($S822,Lists!$AI$2:$AI$7,0)),""),""))))</f>
        <v/>
      </c>
      <c r="AE822" s="104" t="str">
        <f aca="true">IF($B822="","",IF(AND(ISNUMBER($AD822),N($AD822)&lt;TODAY(),$N822&lt;&gt;"Done",$N822&lt;&gt;"Won't Fix",$N822&lt;&gt;"Duplicate"),"Yes","No"))</f>
        <v/>
      </c>
      <c r="AF822" s="101"/>
      <c r="AG822" s="108" t="str">
        <f aca="false">IF($AF822="","",IFERROR(VLOOKUP($AF822,'Application Portfolio'!$A$2:$B$1000,2,FALSE()),"Unknown App ID"))</f>
        <v/>
      </c>
      <c r="AH822" s="108" t="str">
        <f aca="false">IF(OR($B822="",$AF822=""),"",IFERROR(VLOOKUP($AF822,'Application Portfolio'!$A$2:$AB$1000,28,FALSE()),""))</f>
        <v/>
      </c>
    </row>
    <row r="823" customFormat="false" ht="15.75" hidden="false" customHeight="true" outlineLevel="0" collapsed="false">
      <c r="A823" s="100"/>
      <c r="B823" s="101"/>
      <c r="C823" s="101"/>
      <c r="D823" s="101"/>
      <c r="E823" s="101"/>
      <c r="F823" s="102"/>
      <c r="G823" s="102"/>
      <c r="H823" s="102"/>
      <c r="I823" s="102"/>
      <c r="J823" s="102"/>
      <c r="K823" s="102"/>
      <c r="L823" s="103" t="str">
        <f aca="false">IF(OR($B823="", $H823="", $I823="", $J823="", $K823=""),"",ROUND((VLOOKUP($H823,Lists!$E$2:$F$5,2,FALSE())*VLOOKUP($I823,Lists!$H$2:$I$4,2,FALSE())*VLOOKUP($J823,Lists!$K$2:$L$4,2,FALSE()))/VLOOKUP($K823,Lists!$N$2:$O$6,2,FALSE()),2))</f>
        <v/>
      </c>
      <c r="M823" s="104" t="str">
        <f aca="false">IF($B823="","",IF($AC823&lt;&gt;"",$AC823,IF($H823="Critical","P0",IF(NOT(ISNUMBER($L823)),"",IF($L823&gt;=Lists!$AM$2,"P0",IF($L823&gt;=Lists!$AM$3,"P1",IF($L823&gt;=Lists!$AM$4,"P2","P3")))))))</f>
        <v/>
      </c>
      <c r="N823" s="102"/>
      <c r="O823" s="101"/>
      <c r="P823" s="102"/>
      <c r="Q823" s="105"/>
      <c r="R823" s="106" t="str">
        <f aca="true">IF($Q823="","", TODAY()-$Q823)</f>
        <v/>
      </c>
      <c r="S823" s="102"/>
      <c r="T823" s="105"/>
      <c r="U823" s="105"/>
      <c r="V823" s="101"/>
      <c r="W823" s="101"/>
      <c r="X823" s="101"/>
      <c r="Y823" s="96"/>
      <c r="Z823" s="96"/>
      <c r="AA823" s="96"/>
      <c r="AC823" s="102"/>
      <c r="AD823" s="107" t="str">
        <f aca="false">IF($B823="","",IF(ISNUMBER($T823),$T823,IF(OR(NOT(ISNUMBER($Q823)),$S823=""),"",IFERROR(IF(ISNUMBER(INDEX(Lists!$AJ$2:$AJ$7,MATCH($S823,Lists!$AI$2:$AI$7,0))),$Q823+INDEX(Lists!$AJ$2:$AJ$7,MATCH($S823,Lists!$AI$2:$AI$7,0)),""),""))))</f>
        <v/>
      </c>
      <c r="AE823" s="104" t="str">
        <f aca="true">IF($B823="","",IF(AND(ISNUMBER($AD823),N($AD823)&lt;TODAY(),$N823&lt;&gt;"Done",$N823&lt;&gt;"Won't Fix",$N823&lt;&gt;"Duplicate"),"Yes","No"))</f>
        <v/>
      </c>
      <c r="AF823" s="101"/>
      <c r="AG823" s="108" t="str">
        <f aca="false">IF($AF823="","",IFERROR(VLOOKUP($AF823,'Application Portfolio'!$A$2:$B$1000,2,FALSE()),"Unknown App ID"))</f>
        <v/>
      </c>
      <c r="AH823" s="108" t="str">
        <f aca="false">IF(OR($B823="",$AF823=""),"",IFERROR(VLOOKUP($AF823,'Application Portfolio'!$A$2:$AB$1000,28,FALSE()),""))</f>
        <v/>
      </c>
    </row>
    <row r="824" customFormat="false" ht="15.75" hidden="false" customHeight="true" outlineLevel="0" collapsed="false">
      <c r="A824" s="100"/>
      <c r="B824" s="101"/>
      <c r="C824" s="101"/>
      <c r="D824" s="101"/>
      <c r="E824" s="101"/>
      <c r="F824" s="102"/>
      <c r="G824" s="102"/>
      <c r="H824" s="102"/>
      <c r="I824" s="102"/>
      <c r="J824" s="102"/>
      <c r="K824" s="102"/>
      <c r="L824" s="103" t="str">
        <f aca="false">IF(OR($B824="", $H824="", $I824="", $J824="", $K824=""),"",ROUND((VLOOKUP($H824,Lists!$E$2:$F$5,2,FALSE())*VLOOKUP($I824,Lists!$H$2:$I$4,2,FALSE())*VLOOKUP($J824,Lists!$K$2:$L$4,2,FALSE()))/VLOOKUP($K824,Lists!$N$2:$O$6,2,FALSE()),2))</f>
        <v/>
      </c>
      <c r="M824" s="104" t="str">
        <f aca="false">IF($B824="","",IF($AC824&lt;&gt;"",$AC824,IF($H824="Critical","P0",IF(NOT(ISNUMBER($L824)),"",IF($L824&gt;=Lists!$AM$2,"P0",IF($L824&gt;=Lists!$AM$3,"P1",IF($L824&gt;=Lists!$AM$4,"P2","P3")))))))</f>
        <v/>
      </c>
      <c r="N824" s="102"/>
      <c r="O824" s="101"/>
      <c r="P824" s="102"/>
      <c r="Q824" s="105"/>
      <c r="R824" s="106" t="str">
        <f aca="true">IF($Q824="","", TODAY()-$Q824)</f>
        <v/>
      </c>
      <c r="S824" s="102"/>
      <c r="T824" s="105"/>
      <c r="U824" s="105"/>
      <c r="V824" s="101"/>
      <c r="W824" s="101"/>
      <c r="X824" s="101"/>
      <c r="Y824" s="96"/>
      <c r="Z824" s="96"/>
      <c r="AA824" s="96"/>
      <c r="AC824" s="102"/>
      <c r="AD824" s="107" t="str">
        <f aca="false">IF($B824="","",IF(ISNUMBER($T824),$T824,IF(OR(NOT(ISNUMBER($Q824)),$S824=""),"",IFERROR(IF(ISNUMBER(INDEX(Lists!$AJ$2:$AJ$7,MATCH($S824,Lists!$AI$2:$AI$7,0))),$Q824+INDEX(Lists!$AJ$2:$AJ$7,MATCH($S824,Lists!$AI$2:$AI$7,0)),""),""))))</f>
        <v/>
      </c>
      <c r="AE824" s="104" t="str">
        <f aca="true">IF($B824="","",IF(AND(ISNUMBER($AD824),N($AD824)&lt;TODAY(),$N824&lt;&gt;"Done",$N824&lt;&gt;"Won't Fix",$N824&lt;&gt;"Duplicate"),"Yes","No"))</f>
        <v/>
      </c>
      <c r="AF824" s="101"/>
      <c r="AG824" s="108" t="str">
        <f aca="false">IF($AF824="","",IFERROR(VLOOKUP($AF824,'Application Portfolio'!$A$2:$B$1000,2,FALSE()),"Unknown App ID"))</f>
        <v/>
      </c>
      <c r="AH824" s="108" t="str">
        <f aca="false">IF(OR($B824="",$AF824=""),"",IFERROR(VLOOKUP($AF824,'Application Portfolio'!$A$2:$AB$1000,28,FALSE()),""))</f>
        <v/>
      </c>
    </row>
    <row r="825" customFormat="false" ht="15.75" hidden="false" customHeight="true" outlineLevel="0" collapsed="false">
      <c r="A825" s="100"/>
      <c r="B825" s="101"/>
      <c r="C825" s="101"/>
      <c r="D825" s="101"/>
      <c r="E825" s="101"/>
      <c r="F825" s="102"/>
      <c r="G825" s="102"/>
      <c r="H825" s="102"/>
      <c r="I825" s="102"/>
      <c r="J825" s="102"/>
      <c r="K825" s="102"/>
      <c r="L825" s="103" t="str">
        <f aca="false">IF(OR($B825="", $H825="", $I825="", $J825="", $K825=""),"",ROUND((VLOOKUP($H825,Lists!$E$2:$F$5,2,FALSE())*VLOOKUP($I825,Lists!$H$2:$I$4,2,FALSE())*VLOOKUP($J825,Lists!$K$2:$L$4,2,FALSE()))/VLOOKUP($K825,Lists!$N$2:$O$6,2,FALSE()),2))</f>
        <v/>
      </c>
      <c r="M825" s="104" t="str">
        <f aca="false">IF($B825="","",IF($AC825&lt;&gt;"",$AC825,IF($H825="Critical","P0",IF(NOT(ISNUMBER($L825)),"",IF($L825&gt;=Lists!$AM$2,"P0",IF($L825&gt;=Lists!$AM$3,"P1",IF($L825&gt;=Lists!$AM$4,"P2","P3")))))))</f>
        <v/>
      </c>
      <c r="N825" s="102"/>
      <c r="O825" s="101"/>
      <c r="P825" s="102"/>
      <c r="Q825" s="105"/>
      <c r="R825" s="106" t="str">
        <f aca="true">IF($Q825="","", TODAY()-$Q825)</f>
        <v/>
      </c>
      <c r="S825" s="102"/>
      <c r="T825" s="105"/>
      <c r="U825" s="105"/>
      <c r="V825" s="101"/>
      <c r="W825" s="101"/>
      <c r="X825" s="101"/>
      <c r="Y825" s="96"/>
      <c r="Z825" s="96"/>
      <c r="AA825" s="96"/>
      <c r="AC825" s="102"/>
      <c r="AD825" s="107" t="str">
        <f aca="false">IF($B825="","",IF(ISNUMBER($T825),$T825,IF(OR(NOT(ISNUMBER($Q825)),$S825=""),"",IFERROR(IF(ISNUMBER(INDEX(Lists!$AJ$2:$AJ$7,MATCH($S825,Lists!$AI$2:$AI$7,0))),$Q825+INDEX(Lists!$AJ$2:$AJ$7,MATCH($S825,Lists!$AI$2:$AI$7,0)),""),""))))</f>
        <v/>
      </c>
      <c r="AE825" s="104" t="str">
        <f aca="true">IF($B825="","",IF(AND(ISNUMBER($AD825),N($AD825)&lt;TODAY(),$N825&lt;&gt;"Done",$N825&lt;&gt;"Won't Fix",$N825&lt;&gt;"Duplicate"),"Yes","No"))</f>
        <v/>
      </c>
      <c r="AF825" s="101"/>
      <c r="AG825" s="108" t="str">
        <f aca="false">IF($AF825="","",IFERROR(VLOOKUP($AF825,'Application Portfolio'!$A$2:$B$1000,2,FALSE()),"Unknown App ID"))</f>
        <v/>
      </c>
      <c r="AH825" s="108" t="str">
        <f aca="false">IF(OR($B825="",$AF825=""),"",IFERROR(VLOOKUP($AF825,'Application Portfolio'!$A$2:$AB$1000,28,FALSE()),""))</f>
        <v/>
      </c>
    </row>
    <row r="826" customFormat="false" ht="15.75" hidden="false" customHeight="true" outlineLevel="0" collapsed="false">
      <c r="A826" s="100"/>
      <c r="B826" s="101"/>
      <c r="C826" s="101"/>
      <c r="D826" s="101"/>
      <c r="E826" s="101"/>
      <c r="F826" s="102"/>
      <c r="G826" s="102"/>
      <c r="H826" s="102"/>
      <c r="I826" s="102"/>
      <c r="J826" s="102"/>
      <c r="K826" s="102"/>
      <c r="L826" s="103" t="str">
        <f aca="false">IF(OR($B826="", $H826="", $I826="", $J826="", $K826=""),"",ROUND((VLOOKUP($H826,Lists!$E$2:$F$5,2,FALSE())*VLOOKUP($I826,Lists!$H$2:$I$4,2,FALSE())*VLOOKUP($J826,Lists!$K$2:$L$4,2,FALSE()))/VLOOKUP($K826,Lists!$N$2:$O$6,2,FALSE()),2))</f>
        <v/>
      </c>
      <c r="M826" s="104" t="str">
        <f aca="false">IF($B826="","",IF($AC826&lt;&gt;"",$AC826,IF($H826="Critical","P0",IF(NOT(ISNUMBER($L826)),"",IF($L826&gt;=Lists!$AM$2,"P0",IF($L826&gt;=Lists!$AM$3,"P1",IF($L826&gt;=Lists!$AM$4,"P2","P3")))))))</f>
        <v/>
      </c>
      <c r="N826" s="102"/>
      <c r="O826" s="101"/>
      <c r="P826" s="102"/>
      <c r="Q826" s="105"/>
      <c r="R826" s="106" t="str">
        <f aca="true">IF($Q826="","", TODAY()-$Q826)</f>
        <v/>
      </c>
      <c r="S826" s="102"/>
      <c r="T826" s="105"/>
      <c r="U826" s="105"/>
      <c r="V826" s="101"/>
      <c r="W826" s="101"/>
      <c r="X826" s="101"/>
      <c r="Y826" s="96"/>
      <c r="Z826" s="96"/>
      <c r="AA826" s="96"/>
      <c r="AC826" s="102"/>
      <c r="AD826" s="107" t="str">
        <f aca="false">IF($B826="","",IF(ISNUMBER($T826),$T826,IF(OR(NOT(ISNUMBER($Q826)),$S826=""),"",IFERROR(IF(ISNUMBER(INDEX(Lists!$AJ$2:$AJ$7,MATCH($S826,Lists!$AI$2:$AI$7,0))),$Q826+INDEX(Lists!$AJ$2:$AJ$7,MATCH($S826,Lists!$AI$2:$AI$7,0)),""),""))))</f>
        <v/>
      </c>
      <c r="AE826" s="104" t="str">
        <f aca="true">IF($B826="","",IF(AND(ISNUMBER($AD826),N($AD826)&lt;TODAY(),$N826&lt;&gt;"Done",$N826&lt;&gt;"Won't Fix",$N826&lt;&gt;"Duplicate"),"Yes","No"))</f>
        <v/>
      </c>
      <c r="AF826" s="101"/>
      <c r="AG826" s="108" t="str">
        <f aca="false">IF($AF826="","",IFERROR(VLOOKUP($AF826,'Application Portfolio'!$A$2:$B$1000,2,FALSE()),"Unknown App ID"))</f>
        <v/>
      </c>
      <c r="AH826" s="108" t="str">
        <f aca="false">IF(OR($B826="",$AF826=""),"",IFERROR(VLOOKUP($AF826,'Application Portfolio'!$A$2:$AB$1000,28,FALSE()),""))</f>
        <v/>
      </c>
    </row>
    <row r="827" customFormat="false" ht="15.75" hidden="false" customHeight="true" outlineLevel="0" collapsed="false">
      <c r="A827" s="100"/>
      <c r="B827" s="101"/>
      <c r="C827" s="101"/>
      <c r="D827" s="101"/>
      <c r="E827" s="101"/>
      <c r="F827" s="102"/>
      <c r="G827" s="102"/>
      <c r="H827" s="102"/>
      <c r="I827" s="102"/>
      <c r="J827" s="102"/>
      <c r="K827" s="102"/>
      <c r="L827" s="103" t="str">
        <f aca="false">IF(OR($B827="", $H827="", $I827="", $J827="", $K827=""),"",ROUND((VLOOKUP($H827,Lists!$E$2:$F$5,2,FALSE())*VLOOKUP($I827,Lists!$H$2:$I$4,2,FALSE())*VLOOKUP($J827,Lists!$K$2:$L$4,2,FALSE()))/VLOOKUP($K827,Lists!$N$2:$O$6,2,FALSE()),2))</f>
        <v/>
      </c>
      <c r="M827" s="104" t="str">
        <f aca="false">IF($B827="","",IF($AC827&lt;&gt;"",$AC827,IF($H827="Critical","P0",IF(NOT(ISNUMBER($L827)),"",IF($L827&gt;=Lists!$AM$2,"P0",IF($L827&gt;=Lists!$AM$3,"P1",IF($L827&gt;=Lists!$AM$4,"P2","P3")))))))</f>
        <v/>
      </c>
      <c r="N827" s="102"/>
      <c r="O827" s="101"/>
      <c r="P827" s="102"/>
      <c r="Q827" s="105"/>
      <c r="R827" s="106" t="str">
        <f aca="true">IF($Q827="","", TODAY()-$Q827)</f>
        <v/>
      </c>
      <c r="S827" s="102"/>
      <c r="T827" s="105"/>
      <c r="U827" s="105"/>
      <c r="V827" s="101"/>
      <c r="W827" s="101"/>
      <c r="X827" s="101"/>
      <c r="Y827" s="96"/>
      <c r="Z827" s="96"/>
      <c r="AA827" s="96"/>
      <c r="AC827" s="102"/>
      <c r="AD827" s="107" t="str">
        <f aca="false">IF($B827="","",IF(ISNUMBER($T827),$T827,IF(OR(NOT(ISNUMBER($Q827)),$S827=""),"",IFERROR(IF(ISNUMBER(INDEX(Lists!$AJ$2:$AJ$7,MATCH($S827,Lists!$AI$2:$AI$7,0))),$Q827+INDEX(Lists!$AJ$2:$AJ$7,MATCH($S827,Lists!$AI$2:$AI$7,0)),""),""))))</f>
        <v/>
      </c>
      <c r="AE827" s="104" t="str">
        <f aca="true">IF($B827="","",IF(AND(ISNUMBER($AD827),N($AD827)&lt;TODAY(),$N827&lt;&gt;"Done",$N827&lt;&gt;"Won't Fix",$N827&lt;&gt;"Duplicate"),"Yes","No"))</f>
        <v/>
      </c>
      <c r="AF827" s="101"/>
      <c r="AG827" s="108" t="str">
        <f aca="false">IF($AF827="","",IFERROR(VLOOKUP($AF827,'Application Portfolio'!$A$2:$B$1000,2,FALSE()),"Unknown App ID"))</f>
        <v/>
      </c>
      <c r="AH827" s="108" t="str">
        <f aca="false">IF(OR($B827="",$AF827=""),"",IFERROR(VLOOKUP($AF827,'Application Portfolio'!$A$2:$AB$1000,28,FALSE()),""))</f>
        <v/>
      </c>
    </row>
    <row r="828" customFormat="false" ht="15.75" hidden="false" customHeight="true" outlineLevel="0" collapsed="false">
      <c r="A828" s="100"/>
      <c r="B828" s="101"/>
      <c r="C828" s="101"/>
      <c r="D828" s="101"/>
      <c r="E828" s="101"/>
      <c r="F828" s="102"/>
      <c r="G828" s="102"/>
      <c r="H828" s="102"/>
      <c r="I828" s="102"/>
      <c r="J828" s="102"/>
      <c r="K828" s="102"/>
      <c r="L828" s="103" t="str">
        <f aca="false">IF(OR($B828="", $H828="", $I828="", $J828="", $K828=""),"",ROUND((VLOOKUP($H828,Lists!$E$2:$F$5,2,FALSE())*VLOOKUP($I828,Lists!$H$2:$I$4,2,FALSE())*VLOOKUP($J828,Lists!$K$2:$L$4,2,FALSE()))/VLOOKUP($K828,Lists!$N$2:$O$6,2,FALSE()),2))</f>
        <v/>
      </c>
      <c r="M828" s="104" t="str">
        <f aca="false">IF($B828="","",IF($AC828&lt;&gt;"",$AC828,IF($H828="Critical","P0",IF(NOT(ISNUMBER($L828)),"",IF($L828&gt;=Lists!$AM$2,"P0",IF($L828&gt;=Lists!$AM$3,"P1",IF($L828&gt;=Lists!$AM$4,"P2","P3")))))))</f>
        <v/>
      </c>
      <c r="N828" s="102"/>
      <c r="O828" s="101"/>
      <c r="P828" s="102"/>
      <c r="Q828" s="105"/>
      <c r="R828" s="106" t="str">
        <f aca="true">IF($Q828="","", TODAY()-$Q828)</f>
        <v/>
      </c>
      <c r="S828" s="102"/>
      <c r="T828" s="105"/>
      <c r="U828" s="105"/>
      <c r="V828" s="101"/>
      <c r="W828" s="101"/>
      <c r="X828" s="101"/>
      <c r="Y828" s="96"/>
      <c r="Z828" s="96"/>
      <c r="AA828" s="96"/>
      <c r="AC828" s="102"/>
      <c r="AD828" s="107" t="str">
        <f aca="false">IF($B828="","",IF(ISNUMBER($T828),$T828,IF(OR(NOT(ISNUMBER($Q828)),$S828=""),"",IFERROR(IF(ISNUMBER(INDEX(Lists!$AJ$2:$AJ$7,MATCH($S828,Lists!$AI$2:$AI$7,0))),$Q828+INDEX(Lists!$AJ$2:$AJ$7,MATCH($S828,Lists!$AI$2:$AI$7,0)),""),""))))</f>
        <v/>
      </c>
      <c r="AE828" s="104" t="str">
        <f aca="true">IF($B828="","",IF(AND(ISNUMBER($AD828),N($AD828)&lt;TODAY(),$N828&lt;&gt;"Done",$N828&lt;&gt;"Won't Fix",$N828&lt;&gt;"Duplicate"),"Yes","No"))</f>
        <v/>
      </c>
      <c r="AF828" s="101"/>
      <c r="AG828" s="108" t="str">
        <f aca="false">IF($AF828="","",IFERROR(VLOOKUP($AF828,'Application Portfolio'!$A$2:$B$1000,2,FALSE()),"Unknown App ID"))</f>
        <v/>
      </c>
      <c r="AH828" s="108" t="str">
        <f aca="false">IF(OR($B828="",$AF828=""),"",IFERROR(VLOOKUP($AF828,'Application Portfolio'!$A$2:$AB$1000,28,FALSE()),""))</f>
        <v/>
      </c>
    </row>
    <row r="829" customFormat="false" ht="15.75" hidden="false" customHeight="true" outlineLevel="0" collapsed="false">
      <c r="A829" s="100"/>
      <c r="B829" s="101"/>
      <c r="C829" s="101"/>
      <c r="D829" s="101"/>
      <c r="E829" s="101"/>
      <c r="F829" s="102"/>
      <c r="G829" s="102"/>
      <c r="H829" s="102"/>
      <c r="I829" s="102"/>
      <c r="J829" s="102"/>
      <c r="K829" s="102"/>
      <c r="L829" s="103" t="str">
        <f aca="false">IF(OR($B829="", $H829="", $I829="", $J829="", $K829=""),"",ROUND((VLOOKUP($H829,Lists!$E$2:$F$5,2,FALSE())*VLOOKUP($I829,Lists!$H$2:$I$4,2,FALSE())*VLOOKUP($J829,Lists!$K$2:$L$4,2,FALSE()))/VLOOKUP($K829,Lists!$N$2:$O$6,2,FALSE()),2))</f>
        <v/>
      </c>
      <c r="M829" s="104" t="str">
        <f aca="false">IF($B829="","",IF($AC829&lt;&gt;"",$AC829,IF($H829="Critical","P0",IF(NOT(ISNUMBER($L829)),"",IF($L829&gt;=Lists!$AM$2,"P0",IF($L829&gt;=Lists!$AM$3,"P1",IF($L829&gt;=Lists!$AM$4,"P2","P3")))))))</f>
        <v/>
      </c>
      <c r="N829" s="102"/>
      <c r="O829" s="101"/>
      <c r="P829" s="102"/>
      <c r="Q829" s="105"/>
      <c r="R829" s="106" t="str">
        <f aca="true">IF($Q829="","", TODAY()-$Q829)</f>
        <v/>
      </c>
      <c r="S829" s="102"/>
      <c r="T829" s="105"/>
      <c r="U829" s="105"/>
      <c r="V829" s="101"/>
      <c r="W829" s="101"/>
      <c r="X829" s="101"/>
      <c r="Y829" s="96"/>
      <c r="Z829" s="96"/>
      <c r="AA829" s="96"/>
      <c r="AC829" s="102"/>
      <c r="AD829" s="107" t="str">
        <f aca="false">IF($B829="","",IF(ISNUMBER($T829),$T829,IF(OR(NOT(ISNUMBER($Q829)),$S829=""),"",IFERROR(IF(ISNUMBER(INDEX(Lists!$AJ$2:$AJ$7,MATCH($S829,Lists!$AI$2:$AI$7,0))),$Q829+INDEX(Lists!$AJ$2:$AJ$7,MATCH($S829,Lists!$AI$2:$AI$7,0)),""),""))))</f>
        <v/>
      </c>
      <c r="AE829" s="104" t="str">
        <f aca="true">IF($B829="","",IF(AND(ISNUMBER($AD829),N($AD829)&lt;TODAY(),$N829&lt;&gt;"Done",$N829&lt;&gt;"Won't Fix",$N829&lt;&gt;"Duplicate"),"Yes","No"))</f>
        <v/>
      </c>
      <c r="AF829" s="101"/>
      <c r="AG829" s="108" t="str">
        <f aca="false">IF($AF829="","",IFERROR(VLOOKUP($AF829,'Application Portfolio'!$A$2:$B$1000,2,FALSE()),"Unknown App ID"))</f>
        <v/>
      </c>
      <c r="AH829" s="108" t="str">
        <f aca="false">IF(OR($B829="",$AF829=""),"",IFERROR(VLOOKUP($AF829,'Application Portfolio'!$A$2:$AB$1000,28,FALSE()),""))</f>
        <v/>
      </c>
    </row>
    <row r="830" customFormat="false" ht="15.75" hidden="false" customHeight="true" outlineLevel="0" collapsed="false">
      <c r="A830" s="100"/>
      <c r="B830" s="101"/>
      <c r="C830" s="101"/>
      <c r="D830" s="101"/>
      <c r="E830" s="101"/>
      <c r="F830" s="102"/>
      <c r="G830" s="102"/>
      <c r="H830" s="102"/>
      <c r="I830" s="102"/>
      <c r="J830" s="102"/>
      <c r="K830" s="102"/>
      <c r="L830" s="103" t="str">
        <f aca="false">IF(OR($B830="", $H830="", $I830="", $J830="", $K830=""),"",ROUND((VLOOKUP($H830,Lists!$E$2:$F$5,2,FALSE())*VLOOKUP($I830,Lists!$H$2:$I$4,2,FALSE())*VLOOKUP($J830,Lists!$K$2:$L$4,2,FALSE()))/VLOOKUP($K830,Lists!$N$2:$O$6,2,FALSE()),2))</f>
        <v/>
      </c>
      <c r="M830" s="104" t="str">
        <f aca="false">IF($B830="","",IF($AC830&lt;&gt;"",$AC830,IF($H830="Critical","P0",IF(NOT(ISNUMBER($L830)),"",IF($L830&gt;=Lists!$AM$2,"P0",IF($L830&gt;=Lists!$AM$3,"P1",IF($L830&gt;=Lists!$AM$4,"P2","P3")))))))</f>
        <v/>
      </c>
      <c r="N830" s="102"/>
      <c r="O830" s="101"/>
      <c r="P830" s="102"/>
      <c r="Q830" s="105"/>
      <c r="R830" s="106" t="str">
        <f aca="true">IF($Q830="","", TODAY()-$Q830)</f>
        <v/>
      </c>
      <c r="S830" s="102"/>
      <c r="T830" s="105"/>
      <c r="U830" s="105"/>
      <c r="V830" s="101"/>
      <c r="W830" s="101"/>
      <c r="X830" s="101"/>
      <c r="Y830" s="96"/>
      <c r="Z830" s="96"/>
      <c r="AA830" s="96"/>
      <c r="AC830" s="102"/>
      <c r="AD830" s="107" t="str">
        <f aca="false">IF($B830="","",IF(ISNUMBER($T830),$T830,IF(OR(NOT(ISNUMBER($Q830)),$S830=""),"",IFERROR(IF(ISNUMBER(INDEX(Lists!$AJ$2:$AJ$7,MATCH($S830,Lists!$AI$2:$AI$7,0))),$Q830+INDEX(Lists!$AJ$2:$AJ$7,MATCH($S830,Lists!$AI$2:$AI$7,0)),""),""))))</f>
        <v/>
      </c>
      <c r="AE830" s="104" t="str">
        <f aca="true">IF($B830="","",IF(AND(ISNUMBER($AD830),N($AD830)&lt;TODAY(),$N830&lt;&gt;"Done",$N830&lt;&gt;"Won't Fix",$N830&lt;&gt;"Duplicate"),"Yes","No"))</f>
        <v/>
      </c>
      <c r="AF830" s="101"/>
      <c r="AG830" s="108" t="str">
        <f aca="false">IF($AF830="","",IFERROR(VLOOKUP($AF830,'Application Portfolio'!$A$2:$B$1000,2,FALSE()),"Unknown App ID"))</f>
        <v/>
      </c>
      <c r="AH830" s="108" t="str">
        <f aca="false">IF(OR($B830="",$AF830=""),"",IFERROR(VLOOKUP($AF830,'Application Portfolio'!$A$2:$AB$1000,28,FALSE()),""))</f>
        <v/>
      </c>
    </row>
    <row r="831" customFormat="false" ht="15.75" hidden="false" customHeight="true" outlineLevel="0" collapsed="false">
      <c r="A831" s="100"/>
      <c r="B831" s="101"/>
      <c r="C831" s="101"/>
      <c r="D831" s="101"/>
      <c r="E831" s="101"/>
      <c r="F831" s="102"/>
      <c r="G831" s="102"/>
      <c r="H831" s="102"/>
      <c r="I831" s="102"/>
      <c r="J831" s="102"/>
      <c r="K831" s="102"/>
      <c r="L831" s="103" t="str">
        <f aca="false">IF(OR($B831="", $H831="", $I831="", $J831="", $K831=""),"",ROUND((VLOOKUP($H831,Lists!$E$2:$F$5,2,FALSE())*VLOOKUP($I831,Lists!$H$2:$I$4,2,FALSE())*VLOOKUP($J831,Lists!$K$2:$L$4,2,FALSE()))/VLOOKUP($K831,Lists!$N$2:$O$6,2,FALSE()),2))</f>
        <v/>
      </c>
      <c r="M831" s="104" t="str">
        <f aca="false">IF($B831="","",IF($AC831&lt;&gt;"",$AC831,IF($H831="Critical","P0",IF(NOT(ISNUMBER($L831)),"",IF($L831&gt;=Lists!$AM$2,"P0",IF($L831&gt;=Lists!$AM$3,"P1",IF($L831&gt;=Lists!$AM$4,"P2","P3")))))))</f>
        <v/>
      </c>
      <c r="N831" s="102"/>
      <c r="O831" s="101"/>
      <c r="P831" s="102"/>
      <c r="Q831" s="105"/>
      <c r="R831" s="106" t="str">
        <f aca="true">IF($Q831="","", TODAY()-$Q831)</f>
        <v/>
      </c>
      <c r="S831" s="102"/>
      <c r="T831" s="105"/>
      <c r="U831" s="105"/>
      <c r="V831" s="101"/>
      <c r="W831" s="101"/>
      <c r="X831" s="101"/>
      <c r="Y831" s="96"/>
      <c r="Z831" s="96"/>
      <c r="AA831" s="96"/>
      <c r="AC831" s="102"/>
      <c r="AD831" s="107" t="str">
        <f aca="false">IF($B831="","",IF(ISNUMBER($T831),$T831,IF(OR(NOT(ISNUMBER($Q831)),$S831=""),"",IFERROR(IF(ISNUMBER(INDEX(Lists!$AJ$2:$AJ$7,MATCH($S831,Lists!$AI$2:$AI$7,0))),$Q831+INDEX(Lists!$AJ$2:$AJ$7,MATCH($S831,Lists!$AI$2:$AI$7,0)),""),""))))</f>
        <v/>
      </c>
      <c r="AE831" s="104" t="str">
        <f aca="true">IF($B831="","",IF(AND(ISNUMBER($AD831),N($AD831)&lt;TODAY(),$N831&lt;&gt;"Done",$N831&lt;&gt;"Won't Fix",$N831&lt;&gt;"Duplicate"),"Yes","No"))</f>
        <v/>
      </c>
      <c r="AF831" s="101"/>
      <c r="AG831" s="108" t="str">
        <f aca="false">IF($AF831="","",IFERROR(VLOOKUP($AF831,'Application Portfolio'!$A$2:$B$1000,2,FALSE()),"Unknown App ID"))</f>
        <v/>
      </c>
      <c r="AH831" s="108" t="str">
        <f aca="false">IF(OR($B831="",$AF831=""),"",IFERROR(VLOOKUP($AF831,'Application Portfolio'!$A$2:$AB$1000,28,FALSE()),""))</f>
        <v/>
      </c>
    </row>
    <row r="832" customFormat="false" ht="15.75" hidden="false" customHeight="true" outlineLevel="0" collapsed="false">
      <c r="A832" s="100"/>
      <c r="B832" s="101"/>
      <c r="C832" s="101"/>
      <c r="D832" s="101"/>
      <c r="E832" s="101"/>
      <c r="F832" s="102"/>
      <c r="G832" s="102"/>
      <c r="H832" s="102"/>
      <c r="I832" s="102"/>
      <c r="J832" s="102"/>
      <c r="K832" s="102"/>
      <c r="L832" s="103" t="str">
        <f aca="false">IF(OR($B832="", $H832="", $I832="", $J832="", $K832=""),"",ROUND((VLOOKUP($H832,Lists!$E$2:$F$5,2,FALSE())*VLOOKUP($I832,Lists!$H$2:$I$4,2,FALSE())*VLOOKUP($J832,Lists!$K$2:$L$4,2,FALSE()))/VLOOKUP($K832,Lists!$N$2:$O$6,2,FALSE()),2))</f>
        <v/>
      </c>
      <c r="M832" s="104" t="str">
        <f aca="false">IF($B832="","",IF($AC832&lt;&gt;"",$AC832,IF($H832="Critical","P0",IF(NOT(ISNUMBER($L832)),"",IF($L832&gt;=Lists!$AM$2,"P0",IF($L832&gt;=Lists!$AM$3,"P1",IF($L832&gt;=Lists!$AM$4,"P2","P3")))))))</f>
        <v/>
      </c>
      <c r="N832" s="102"/>
      <c r="O832" s="101"/>
      <c r="P832" s="102"/>
      <c r="Q832" s="105"/>
      <c r="R832" s="106" t="str">
        <f aca="true">IF($Q832="","", TODAY()-$Q832)</f>
        <v/>
      </c>
      <c r="S832" s="102"/>
      <c r="T832" s="105"/>
      <c r="U832" s="105"/>
      <c r="V832" s="101"/>
      <c r="W832" s="101"/>
      <c r="X832" s="101"/>
      <c r="Y832" s="96"/>
      <c r="Z832" s="96"/>
      <c r="AA832" s="96"/>
      <c r="AC832" s="102"/>
      <c r="AD832" s="107" t="str">
        <f aca="false">IF($B832="","",IF(ISNUMBER($T832),$T832,IF(OR(NOT(ISNUMBER($Q832)),$S832=""),"",IFERROR(IF(ISNUMBER(INDEX(Lists!$AJ$2:$AJ$7,MATCH($S832,Lists!$AI$2:$AI$7,0))),$Q832+INDEX(Lists!$AJ$2:$AJ$7,MATCH($S832,Lists!$AI$2:$AI$7,0)),""),""))))</f>
        <v/>
      </c>
      <c r="AE832" s="104" t="str">
        <f aca="true">IF($B832="","",IF(AND(ISNUMBER($AD832),N($AD832)&lt;TODAY(),$N832&lt;&gt;"Done",$N832&lt;&gt;"Won't Fix",$N832&lt;&gt;"Duplicate"),"Yes","No"))</f>
        <v/>
      </c>
      <c r="AF832" s="101"/>
      <c r="AG832" s="108" t="str">
        <f aca="false">IF($AF832="","",IFERROR(VLOOKUP($AF832,'Application Portfolio'!$A$2:$B$1000,2,FALSE()),"Unknown App ID"))</f>
        <v/>
      </c>
      <c r="AH832" s="108" t="str">
        <f aca="false">IF(OR($B832="",$AF832=""),"",IFERROR(VLOOKUP($AF832,'Application Portfolio'!$A$2:$AB$1000,28,FALSE()),""))</f>
        <v/>
      </c>
    </row>
    <row r="833" customFormat="false" ht="15.75" hidden="false" customHeight="true" outlineLevel="0" collapsed="false">
      <c r="A833" s="100"/>
      <c r="B833" s="101"/>
      <c r="C833" s="101"/>
      <c r="D833" s="101"/>
      <c r="E833" s="101"/>
      <c r="F833" s="102"/>
      <c r="G833" s="102"/>
      <c r="H833" s="102"/>
      <c r="I833" s="102"/>
      <c r="J833" s="102"/>
      <c r="K833" s="102"/>
      <c r="L833" s="103" t="str">
        <f aca="false">IF(OR($B833="", $H833="", $I833="", $J833="", $K833=""),"",ROUND((VLOOKUP($H833,Lists!$E$2:$F$5,2,FALSE())*VLOOKUP($I833,Lists!$H$2:$I$4,2,FALSE())*VLOOKUP($J833,Lists!$K$2:$L$4,2,FALSE()))/VLOOKUP($K833,Lists!$N$2:$O$6,2,FALSE()),2))</f>
        <v/>
      </c>
      <c r="M833" s="104" t="str">
        <f aca="false">IF($B833="","",IF($AC833&lt;&gt;"",$AC833,IF($H833="Critical","P0",IF(NOT(ISNUMBER($L833)),"",IF($L833&gt;=Lists!$AM$2,"P0",IF($L833&gt;=Lists!$AM$3,"P1",IF($L833&gt;=Lists!$AM$4,"P2","P3")))))))</f>
        <v/>
      </c>
      <c r="N833" s="102"/>
      <c r="O833" s="101"/>
      <c r="P833" s="102"/>
      <c r="Q833" s="105"/>
      <c r="R833" s="106" t="str">
        <f aca="true">IF($Q833="","", TODAY()-$Q833)</f>
        <v/>
      </c>
      <c r="S833" s="102"/>
      <c r="T833" s="105"/>
      <c r="U833" s="105"/>
      <c r="V833" s="101"/>
      <c r="W833" s="101"/>
      <c r="X833" s="101"/>
      <c r="Y833" s="96"/>
      <c r="Z833" s="96"/>
      <c r="AA833" s="96"/>
      <c r="AC833" s="102"/>
      <c r="AD833" s="107" t="str">
        <f aca="false">IF($B833="","",IF(ISNUMBER($T833),$T833,IF(OR(NOT(ISNUMBER($Q833)),$S833=""),"",IFERROR(IF(ISNUMBER(INDEX(Lists!$AJ$2:$AJ$7,MATCH($S833,Lists!$AI$2:$AI$7,0))),$Q833+INDEX(Lists!$AJ$2:$AJ$7,MATCH($S833,Lists!$AI$2:$AI$7,0)),""),""))))</f>
        <v/>
      </c>
      <c r="AE833" s="104" t="str">
        <f aca="true">IF($B833="","",IF(AND(ISNUMBER($AD833),N($AD833)&lt;TODAY(),$N833&lt;&gt;"Done",$N833&lt;&gt;"Won't Fix",$N833&lt;&gt;"Duplicate"),"Yes","No"))</f>
        <v/>
      </c>
      <c r="AF833" s="101"/>
      <c r="AG833" s="108" t="str">
        <f aca="false">IF($AF833="","",IFERROR(VLOOKUP($AF833,'Application Portfolio'!$A$2:$B$1000,2,FALSE()),"Unknown App ID"))</f>
        <v/>
      </c>
      <c r="AH833" s="108" t="str">
        <f aca="false">IF(OR($B833="",$AF833=""),"",IFERROR(VLOOKUP($AF833,'Application Portfolio'!$A$2:$AB$1000,28,FALSE()),""))</f>
        <v/>
      </c>
    </row>
    <row r="834" customFormat="false" ht="15.75" hidden="false" customHeight="true" outlineLevel="0" collapsed="false">
      <c r="A834" s="100"/>
      <c r="B834" s="101"/>
      <c r="C834" s="101"/>
      <c r="D834" s="101"/>
      <c r="E834" s="101"/>
      <c r="F834" s="102"/>
      <c r="G834" s="102"/>
      <c r="H834" s="102"/>
      <c r="I834" s="102"/>
      <c r="J834" s="102"/>
      <c r="K834" s="102"/>
      <c r="L834" s="103" t="str">
        <f aca="false">IF(OR($B834="", $H834="", $I834="", $J834="", $K834=""),"",ROUND((VLOOKUP($H834,Lists!$E$2:$F$5,2,FALSE())*VLOOKUP($I834,Lists!$H$2:$I$4,2,FALSE())*VLOOKUP($J834,Lists!$K$2:$L$4,2,FALSE()))/VLOOKUP($K834,Lists!$N$2:$O$6,2,FALSE()),2))</f>
        <v/>
      </c>
      <c r="M834" s="104" t="str">
        <f aca="false">IF($B834="","",IF($AC834&lt;&gt;"",$AC834,IF($H834="Critical","P0",IF(NOT(ISNUMBER($L834)),"",IF($L834&gt;=Lists!$AM$2,"P0",IF($L834&gt;=Lists!$AM$3,"P1",IF($L834&gt;=Lists!$AM$4,"P2","P3")))))))</f>
        <v/>
      </c>
      <c r="N834" s="102"/>
      <c r="O834" s="101"/>
      <c r="P834" s="102"/>
      <c r="Q834" s="105"/>
      <c r="R834" s="106" t="str">
        <f aca="true">IF($Q834="","", TODAY()-$Q834)</f>
        <v/>
      </c>
      <c r="S834" s="102"/>
      <c r="T834" s="105"/>
      <c r="U834" s="105"/>
      <c r="V834" s="101"/>
      <c r="W834" s="101"/>
      <c r="X834" s="101"/>
      <c r="Y834" s="96"/>
      <c r="Z834" s="96"/>
      <c r="AA834" s="96"/>
      <c r="AC834" s="102"/>
      <c r="AD834" s="107" t="str">
        <f aca="false">IF($B834="","",IF(ISNUMBER($T834),$T834,IF(OR(NOT(ISNUMBER($Q834)),$S834=""),"",IFERROR(IF(ISNUMBER(INDEX(Lists!$AJ$2:$AJ$7,MATCH($S834,Lists!$AI$2:$AI$7,0))),$Q834+INDEX(Lists!$AJ$2:$AJ$7,MATCH($S834,Lists!$AI$2:$AI$7,0)),""),""))))</f>
        <v/>
      </c>
      <c r="AE834" s="104" t="str">
        <f aca="true">IF($B834="","",IF(AND(ISNUMBER($AD834),N($AD834)&lt;TODAY(),$N834&lt;&gt;"Done",$N834&lt;&gt;"Won't Fix",$N834&lt;&gt;"Duplicate"),"Yes","No"))</f>
        <v/>
      </c>
      <c r="AF834" s="101"/>
      <c r="AG834" s="108" t="str">
        <f aca="false">IF($AF834="","",IFERROR(VLOOKUP($AF834,'Application Portfolio'!$A$2:$B$1000,2,FALSE()),"Unknown App ID"))</f>
        <v/>
      </c>
      <c r="AH834" s="108" t="str">
        <f aca="false">IF(OR($B834="",$AF834=""),"",IFERROR(VLOOKUP($AF834,'Application Portfolio'!$A$2:$AB$1000,28,FALSE()),""))</f>
        <v/>
      </c>
    </row>
    <row r="835" customFormat="false" ht="15.75" hidden="false" customHeight="true" outlineLevel="0" collapsed="false">
      <c r="A835" s="100"/>
      <c r="B835" s="101"/>
      <c r="C835" s="101"/>
      <c r="D835" s="101"/>
      <c r="E835" s="101"/>
      <c r="F835" s="102"/>
      <c r="G835" s="102"/>
      <c r="H835" s="102"/>
      <c r="I835" s="102"/>
      <c r="J835" s="102"/>
      <c r="K835" s="102"/>
      <c r="L835" s="103" t="str">
        <f aca="false">IF(OR($B835="", $H835="", $I835="", $J835="", $K835=""),"",ROUND((VLOOKUP($H835,Lists!$E$2:$F$5,2,FALSE())*VLOOKUP($I835,Lists!$H$2:$I$4,2,FALSE())*VLOOKUP($J835,Lists!$K$2:$L$4,2,FALSE()))/VLOOKUP($K835,Lists!$N$2:$O$6,2,FALSE()),2))</f>
        <v/>
      </c>
      <c r="M835" s="104" t="str">
        <f aca="false">IF($B835="","",IF($AC835&lt;&gt;"",$AC835,IF($H835="Critical","P0",IF(NOT(ISNUMBER($L835)),"",IF($L835&gt;=Lists!$AM$2,"P0",IF($L835&gt;=Lists!$AM$3,"P1",IF($L835&gt;=Lists!$AM$4,"P2","P3")))))))</f>
        <v/>
      </c>
      <c r="N835" s="102"/>
      <c r="O835" s="101"/>
      <c r="P835" s="102"/>
      <c r="Q835" s="105"/>
      <c r="R835" s="106" t="str">
        <f aca="true">IF($Q835="","", TODAY()-$Q835)</f>
        <v/>
      </c>
      <c r="S835" s="102"/>
      <c r="T835" s="105"/>
      <c r="U835" s="105"/>
      <c r="V835" s="101"/>
      <c r="W835" s="101"/>
      <c r="X835" s="101"/>
      <c r="Y835" s="96"/>
      <c r="Z835" s="96"/>
      <c r="AA835" s="96"/>
      <c r="AC835" s="102"/>
      <c r="AD835" s="107" t="str">
        <f aca="false">IF($B835="","",IF(ISNUMBER($T835),$T835,IF(OR(NOT(ISNUMBER($Q835)),$S835=""),"",IFERROR(IF(ISNUMBER(INDEX(Lists!$AJ$2:$AJ$7,MATCH($S835,Lists!$AI$2:$AI$7,0))),$Q835+INDEX(Lists!$AJ$2:$AJ$7,MATCH($S835,Lists!$AI$2:$AI$7,0)),""),""))))</f>
        <v/>
      </c>
      <c r="AE835" s="104" t="str">
        <f aca="true">IF($B835="","",IF(AND(ISNUMBER($AD835),N($AD835)&lt;TODAY(),$N835&lt;&gt;"Done",$N835&lt;&gt;"Won't Fix",$N835&lt;&gt;"Duplicate"),"Yes","No"))</f>
        <v/>
      </c>
      <c r="AF835" s="101"/>
      <c r="AG835" s="108" t="str">
        <f aca="false">IF($AF835="","",IFERROR(VLOOKUP($AF835,'Application Portfolio'!$A$2:$B$1000,2,FALSE()),"Unknown App ID"))</f>
        <v/>
      </c>
      <c r="AH835" s="108" t="str">
        <f aca="false">IF(OR($B835="",$AF835=""),"",IFERROR(VLOOKUP($AF835,'Application Portfolio'!$A$2:$AB$1000,28,FALSE()),""))</f>
        <v/>
      </c>
    </row>
    <row r="836" customFormat="false" ht="15.75" hidden="false" customHeight="true" outlineLevel="0" collapsed="false">
      <c r="A836" s="100"/>
      <c r="B836" s="101"/>
      <c r="C836" s="101"/>
      <c r="D836" s="101"/>
      <c r="E836" s="101"/>
      <c r="F836" s="102"/>
      <c r="G836" s="102"/>
      <c r="H836" s="102"/>
      <c r="I836" s="102"/>
      <c r="J836" s="102"/>
      <c r="K836" s="102"/>
      <c r="L836" s="103" t="str">
        <f aca="false">IF(OR($B836="", $H836="", $I836="", $J836="", $K836=""),"",ROUND((VLOOKUP($H836,Lists!$E$2:$F$5,2,FALSE())*VLOOKUP($I836,Lists!$H$2:$I$4,2,FALSE())*VLOOKUP($J836,Lists!$K$2:$L$4,2,FALSE()))/VLOOKUP($K836,Lists!$N$2:$O$6,2,FALSE()),2))</f>
        <v/>
      </c>
      <c r="M836" s="104" t="str">
        <f aca="false">IF($B836="","",IF($AC836&lt;&gt;"",$AC836,IF($H836="Critical","P0",IF(NOT(ISNUMBER($L836)),"",IF($L836&gt;=Lists!$AM$2,"P0",IF($L836&gt;=Lists!$AM$3,"P1",IF($L836&gt;=Lists!$AM$4,"P2","P3")))))))</f>
        <v/>
      </c>
      <c r="N836" s="102"/>
      <c r="O836" s="101"/>
      <c r="P836" s="102"/>
      <c r="Q836" s="105"/>
      <c r="R836" s="106" t="str">
        <f aca="true">IF($Q836="","", TODAY()-$Q836)</f>
        <v/>
      </c>
      <c r="S836" s="102"/>
      <c r="T836" s="105"/>
      <c r="U836" s="105"/>
      <c r="V836" s="101"/>
      <c r="W836" s="101"/>
      <c r="X836" s="101"/>
      <c r="Y836" s="96"/>
      <c r="Z836" s="96"/>
      <c r="AA836" s="96"/>
      <c r="AC836" s="102"/>
      <c r="AD836" s="107" t="str">
        <f aca="false">IF($B836="","",IF(ISNUMBER($T836),$T836,IF(OR(NOT(ISNUMBER($Q836)),$S836=""),"",IFERROR(IF(ISNUMBER(INDEX(Lists!$AJ$2:$AJ$7,MATCH($S836,Lists!$AI$2:$AI$7,0))),$Q836+INDEX(Lists!$AJ$2:$AJ$7,MATCH($S836,Lists!$AI$2:$AI$7,0)),""),""))))</f>
        <v/>
      </c>
      <c r="AE836" s="104" t="str">
        <f aca="true">IF($B836="","",IF(AND(ISNUMBER($AD836),N($AD836)&lt;TODAY(),$N836&lt;&gt;"Done",$N836&lt;&gt;"Won't Fix",$N836&lt;&gt;"Duplicate"),"Yes","No"))</f>
        <v/>
      </c>
      <c r="AF836" s="101"/>
      <c r="AG836" s="108" t="str">
        <f aca="false">IF($AF836="","",IFERROR(VLOOKUP($AF836,'Application Portfolio'!$A$2:$B$1000,2,FALSE()),"Unknown App ID"))</f>
        <v/>
      </c>
      <c r="AH836" s="108" t="str">
        <f aca="false">IF(OR($B836="",$AF836=""),"",IFERROR(VLOOKUP($AF836,'Application Portfolio'!$A$2:$AB$1000,28,FALSE()),""))</f>
        <v/>
      </c>
    </row>
    <row r="837" customFormat="false" ht="15.75" hidden="false" customHeight="true" outlineLevel="0" collapsed="false">
      <c r="A837" s="100"/>
      <c r="B837" s="101"/>
      <c r="C837" s="101"/>
      <c r="D837" s="101"/>
      <c r="E837" s="101"/>
      <c r="F837" s="102"/>
      <c r="G837" s="102"/>
      <c r="H837" s="102"/>
      <c r="I837" s="102"/>
      <c r="J837" s="102"/>
      <c r="K837" s="102"/>
      <c r="L837" s="103" t="str">
        <f aca="false">IF(OR($B837="", $H837="", $I837="", $J837="", $K837=""),"",ROUND((VLOOKUP($H837,Lists!$E$2:$F$5,2,FALSE())*VLOOKUP($I837,Lists!$H$2:$I$4,2,FALSE())*VLOOKUP($J837,Lists!$K$2:$L$4,2,FALSE()))/VLOOKUP($K837,Lists!$N$2:$O$6,2,FALSE()),2))</f>
        <v/>
      </c>
      <c r="M837" s="104" t="str">
        <f aca="false">IF($B837="","",IF($AC837&lt;&gt;"",$AC837,IF($H837="Critical","P0",IF(NOT(ISNUMBER($L837)),"",IF($L837&gt;=Lists!$AM$2,"P0",IF($L837&gt;=Lists!$AM$3,"P1",IF($L837&gt;=Lists!$AM$4,"P2","P3")))))))</f>
        <v/>
      </c>
      <c r="N837" s="102"/>
      <c r="O837" s="101"/>
      <c r="P837" s="102"/>
      <c r="Q837" s="105"/>
      <c r="R837" s="106" t="str">
        <f aca="true">IF($Q837="","", TODAY()-$Q837)</f>
        <v/>
      </c>
      <c r="S837" s="102"/>
      <c r="T837" s="105"/>
      <c r="U837" s="105"/>
      <c r="V837" s="101"/>
      <c r="W837" s="101"/>
      <c r="X837" s="101"/>
      <c r="Y837" s="96"/>
      <c r="Z837" s="96"/>
      <c r="AA837" s="96"/>
      <c r="AC837" s="102"/>
      <c r="AD837" s="107" t="str">
        <f aca="false">IF($B837="","",IF(ISNUMBER($T837),$T837,IF(OR(NOT(ISNUMBER($Q837)),$S837=""),"",IFERROR(IF(ISNUMBER(INDEX(Lists!$AJ$2:$AJ$7,MATCH($S837,Lists!$AI$2:$AI$7,0))),$Q837+INDEX(Lists!$AJ$2:$AJ$7,MATCH($S837,Lists!$AI$2:$AI$7,0)),""),""))))</f>
        <v/>
      </c>
      <c r="AE837" s="104" t="str">
        <f aca="true">IF($B837="","",IF(AND(ISNUMBER($AD837),N($AD837)&lt;TODAY(),$N837&lt;&gt;"Done",$N837&lt;&gt;"Won't Fix",$N837&lt;&gt;"Duplicate"),"Yes","No"))</f>
        <v/>
      </c>
      <c r="AF837" s="101"/>
      <c r="AG837" s="108" t="str">
        <f aca="false">IF($AF837="","",IFERROR(VLOOKUP($AF837,'Application Portfolio'!$A$2:$B$1000,2,FALSE()),"Unknown App ID"))</f>
        <v/>
      </c>
      <c r="AH837" s="108" t="str">
        <f aca="false">IF(OR($B837="",$AF837=""),"",IFERROR(VLOOKUP($AF837,'Application Portfolio'!$A$2:$AB$1000,28,FALSE()),""))</f>
        <v/>
      </c>
    </row>
    <row r="838" customFormat="false" ht="15.75" hidden="false" customHeight="true" outlineLevel="0" collapsed="false">
      <c r="A838" s="100"/>
      <c r="B838" s="101"/>
      <c r="C838" s="101"/>
      <c r="D838" s="101"/>
      <c r="E838" s="101"/>
      <c r="F838" s="102"/>
      <c r="G838" s="102"/>
      <c r="H838" s="102"/>
      <c r="I838" s="102"/>
      <c r="J838" s="102"/>
      <c r="K838" s="102"/>
      <c r="L838" s="103" t="str">
        <f aca="false">IF(OR($B838="", $H838="", $I838="", $J838="", $K838=""),"",ROUND((VLOOKUP($H838,Lists!$E$2:$F$5,2,FALSE())*VLOOKUP($I838,Lists!$H$2:$I$4,2,FALSE())*VLOOKUP($J838,Lists!$K$2:$L$4,2,FALSE()))/VLOOKUP($K838,Lists!$N$2:$O$6,2,FALSE()),2))</f>
        <v/>
      </c>
      <c r="M838" s="104" t="str">
        <f aca="false">IF($B838="","",IF($AC838&lt;&gt;"",$AC838,IF($H838="Critical","P0",IF(NOT(ISNUMBER($L838)),"",IF($L838&gt;=Lists!$AM$2,"P0",IF($L838&gt;=Lists!$AM$3,"P1",IF($L838&gt;=Lists!$AM$4,"P2","P3")))))))</f>
        <v/>
      </c>
      <c r="N838" s="102"/>
      <c r="O838" s="101"/>
      <c r="P838" s="102"/>
      <c r="Q838" s="105"/>
      <c r="R838" s="106" t="str">
        <f aca="true">IF($Q838="","", TODAY()-$Q838)</f>
        <v/>
      </c>
      <c r="S838" s="102"/>
      <c r="T838" s="105"/>
      <c r="U838" s="105"/>
      <c r="V838" s="101"/>
      <c r="W838" s="101"/>
      <c r="X838" s="101"/>
      <c r="Y838" s="96"/>
      <c r="Z838" s="96"/>
      <c r="AA838" s="96"/>
      <c r="AC838" s="102"/>
      <c r="AD838" s="107" t="str">
        <f aca="false">IF($B838="","",IF(ISNUMBER($T838),$T838,IF(OR(NOT(ISNUMBER($Q838)),$S838=""),"",IFERROR(IF(ISNUMBER(INDEX(Lists!$AJ$2:$AJ$7,MATCH($S838,Lists!$AI$2:$AI$7,0))),$Q838+INDEX(Lists!$AJ$2:$AJ$7,MATCH($S838,Lists!$AI$2:$AI$7,0)),""),""))))</f>
        <v/>
      </c>
      <c r="AE838" s="104" t="str">
        <f aca="true">IF($B838="","",IF(AND(ISNUMBER($AD838),N($AD838)&lt;TODAY(),$N838&lt;&gt;"Done",$N838&lt;&gt;"Won't Fix",$N838&lt;&gt;"Duplicate"),"Yes","No"))</f>
        <v/>
      </c>
      <c r="AF838" s="101"/>
      <c r="AG838" s="108" t="str">
        <f aca="false">IF($AF838="","",IFERROR(VLOOKUP($AF838,'Application Portfolio'!$A$2:$B$1000,2,FALSE()),"Unknown App ID"))</f>
        <v/>
      </c>
      <c r="AH838" s="108" t="str">
        <f aca="false">IF(OR($B838="",$AF838=""),"",IFERROR(VLOOKUP($AF838,'Application Portfolio'!$A$2:$AB$1000,28,FALSE()),""))</f>
        <v/>
      </c>
    </row>
    <row r="839" customFormat="false" ht="15.75" hidden="false" customHeight="true" outlineLevel="0" collapsed="false">
      <c r="A839" s="100"/>
      <c r="B839" s="101"/>
      <c r="C839" s="101"/>
      <c r="D839" s="101"/>
      <c r="E839" s="101"/>
      <c r="F839" s="102"/>
      <c r="G839" s="102"/>
      <c r="H839" s="102"/>
      <c r="I839" s="102"/>
      <c r="J839" s="102"/>
      <c r="K839" s="102"/>
      <c r="L839" s="103" t="str">
        <f aca="false">IF(OR($B839="", $H839="", $I839="", $J839="", $K839=""),"",ROUND((VLOOKUP($H839,Lists!$E$2:$F$5,2,FALSE())*VLOOKUP($I839,Lists!$H$2:$I$4,2,FALSE())*VLOOKUP($J839,Lists!$K$2:$L$4,2,FALSE()))/VLOOKUP($K839,Lists!$N$2:$O$6,2,FALSE()),2))</f>
        <v/>
      </c>
      <c r="M839" s="104" t="str">
        <f aca="false">IF($B839="","",IF($AC839&lt;&gt;"",$AC839,IF($H839="Critical","P0",IF(NOT(ISNUMBER($L839)),"",IF($L839&gt;=Lists!$AM$2,"P0",IF($L839&gt;=Lists!$AM$3,"P1",IF($L839&gt;=Lists!$AM$4,"P2","P3")))))))</f>
        <v/>
      </c>
      <c r="N839" s="102"/>
      <c r="O839" s="101"/>
      <c r="P839" s="102"/>
      <c r="Q839" s="105"/>
      <c r="R839" s="106" t="str">
        <f aca="true">IF($Q839="","", TODAY()-$Q839)</f>
        <v/>
      </c>
      <c r="S839" s="102"/>
      <c r="T839" s="105"/>
      <c r="U839" s="105"/>
      <c r="V839" s="101"/>
      <c r="W839" s="101"/>
      <c r="X839" s="101"/>
      <c r="Y839" s="96"/>
      <c r="Z839" s="96"/>
      <c r="AA839" s="96"/>
      <c r="AC839" s="102"/>
      <c r="AD839" s="107" t="str">
        <f aca="false">IF($B839="","",IF(ISNUMBER($T839),$T839,IF(OR(NOT(ISNUMBER($Q839)),$S839=""),"",IFERROR(IF(ISNUMBER(INDEX(Lists!$AJ$2:$AJ$7,MATCH($S839,Lists!$AI$2:$AI$7,0))),$Q839+INDEX(Lists!$AJ$2:$AJ$7,MATCH($S839,Lists!$AI$2:$AI$7,0)),""),""))))</f>
        <v/>
      </c>
      <c r="AE839" s="104" t="str">
        <f aca="true">IF($B839="","",IF(AND(ISNUMBER($AD839),N($AD839)&lt;TODAY(),$N839&lt;&gt;"Done",$N839&lt;&gt;"Won't Fix",$N839&lt;&gt;"Duplicate"),"Yes","No"))</f>
        <v/>
      </c>
      <c r="AF839" s="101"/>
      <c r="AG839" s="108" t="str">
        <f aca="false">IF($AF839="","",IFERROR(VLOOKUP($AF839,'Application Portfolio'!$A$2:$B$1000,2,FALSE()),"Unknown App ID"))</f>
        <v/>
      </c>
      <c r="AH839" s="108" t="str">
        <f aca="false">IF(OR($B839="",$AF839=""),"",IFERROR(VLOOKUP($AF839,'Application Portfolio'!$A$2:$AB$1000,28,FALSE()),""))</f>
        <v/>
      </c>
    </row>
    <row r="840" customFormat="false" ht="15.75" hidden="false" customHeight="true" outlineLevel="0" collapsed="false">
      <c r="A840" s="100"/>
      <c r="B840" s="101"/>
      <c r="C840" s="101"/>
      <c r="D840" s="101"/>
      <c r="E840" s="101"/>
      <c r="F840" s="102"/>
      <c r="G840" s="102"/>
      <c r="H840" s="102"/>
      <c r="I840" s="102"/>
      <c r="J840" s="102"/>
      <c r="K840" s="102"/>
      <c r="L840" s="103" t="str">
        <f aca="false">IF(OR($B840="", $H840="", $I840="", $J840="", $K840=""),"",ROUND((VLOOKUP($H840,Lists!$E$2:$F$5,2,FALSE())*VLOOKUP($I840,Lists!$H$2:$I$4,2,FALSE())*VLOOKUP($J840,Lists!$K$2:$L$4,2,FALSE()))/VLOOKUP($K840,Lists!$N$2:$O$6,2,FALSE()),2))</f>
        <v/>
      </c>
      <c r="M840" s="104" t="str">
        <f aca="false">IF($B840="","",IF($AC840&lt;&gt;"",$AC840,IF($H840="Critical","P0",IF(NOT(ISNUMBER($L840)),"",IF($L840&gt;=Lists!$AM$2,"P0",IF($L840&gt;=Lists!$AM$3,"P1",IF($L840&gt;=Lists!$AM$4,"P2","P3")))))))</f>
        <v/>
      </c>
      <c r="N840" s="102"/>
      <c r="O840" s="101"/>
      <c r="P840" s="102"/>
      <c r="Q840" s="105"/>
      <c r="R840" s="106" t="str">
        <f aca="true">IF($Q840="","", TODAY()-$Q840)</f>
        <v/>
      </c>
      <c r="S840" s="102"/>
      <c r="T840" s="105"/>
      <c r="U840" s="105"/>
      <c r="V840" s="101"/>
      <c r="W840" s="101"/>
      <c r="X840" s="101"/>
      <c r="Y840" s="96"/>
      <c r="Z840" s="96"/>
      <c r="AA840" s="96"/>
      <c r="AC840" s="102"/>
      <c r="AD840" s="107" t="str">
        <f aca="false">IF($B840="","",IF(ISNUMBER($T840),$T840,IF(OR(NOT(ISNUMBER($Q840)),$S840=""),"",IFERROR(IF(ISNUMBER(INDEX(Lists!$AJ$2:$AJ$7,MATCH($S840,Lists!$AI$2:$AI$7,0))),$Q840+INDEX(Lists!$AJ$2:$AJ$7,MATCH($S840,Lists!$AI$2:$AI$7,0)),""),""))))</f>
        <v/>
      </c>
      <c r="AE840" s="104" t="str">
        <f aca="true">IF($B840="","",IF(AND(ISNUMBER($AD840),N($AD840)&lt;TODAY(),$N840&lt;&gt;"Done",$N840&lt;&gt;"Won't Fix",$N840&lt;&gt;"Duplicate"),"Yes","No"))</f>
        <v/>
      </c>
      <c r="AF840" s="101"/>
      <c r="AG840" s="108" t="str">
        <f aca="false">IF($AF840="","",IFERROR(VLOOKUP($AF840,'Application Portfolio'!$A$2:$B$1000,2,FALSE()),"Unknown App ID"))</f>
        <v/>
      </c>
      <c r="AH840" s="108" t="str">
        <f aca="false">IF(OR($B840="",$AF840=""),"",IFERROR(VLOOKUP($AF840,'Application Portfolio'!$A$2:$AB$1000,28,FALSE()),""))</f>
        <v/>
      </c>
    </row>
    <row r="841" customFormat="false" ht="15.75" hidden="false" customHeight="true" outlineLevel="0" collapsed="false">
      <c r="A841" s="100"/>
      <c r="B841" s="101"/>
      <c r="C841" s="101"/>
      <c r="D841" s="101"/>
      <c r="E841" s="101"/>
      <c r="F841" s="102"/>
      <c r="G841" s="102"/>
      <c r="H841" s="102"/>
      <c r="I841" s="102"/>
      <c r="J841" s="102"/>
      <c r="K841" s="102"/>
      <c r="L841" s="103" t="str">
        <f aca="false">IF(OR($B841="", $H841="", $I841="", $J841="", $K841=""),"",ROUND((VLOOKUP($H841,Lists!$E$2:$F$5,2,FALSE())*VLOOKUP($I841,Lists!$H$2:$I$4,2,FALSE())*VLOOKUP($J841,Lists!$K$2:$L$4,2,FALSE()))/VLOOKUP($K841,Lists!$N$2:$O$6,2,FALSE()),2))</f>
        <v/>
      </c>
      <c r="M841" s="104" t="str">
        <f aca="false">IF($B841="","",IF($AC841&lt;&gt;"",$AC841,IF($H841="Critical","P0",IF(NOT(ISNUMBER($L841)),"",IF($L841&gt;=Lists!$AM$2,"P0",IF($L841&gt;=Lists!$AM$3,"P1",IF($L841&gt;=Lists!$AM$4,"P2","P3")))))))</f>
        <v/>
      </c>
      <c r="N841" s="102"/>
      <c r="O841" s="101"/>
      <c r="P841" s="102"/>
      <c r="Q841" s="105"/>
      <c r="R841" s="106" t="str">
        <f aca="true">IF($Q841="","", TODAY()-$Q841)</f>
        <v/>
      </c>
      <c r="S841" s="102"/>
      <c r="T841" s="105"/>
      <c r="U841" s="105"/>
      <c r="V841" s="101"/>
      <c r="W841" s="101"/>
      <c r="X841" s="101"/>
      <c r="Y841" s="96"/>
      <c r="Z841" s="96"/>
      <c r="AA841" s="96"/>
      <c r="AC841" s="102"/>
      <c r="AD841" s="107" t="str">
        <f aca="false">IF($B841="","",IF(ISNUMBER($T841),$T841,IF(OR(NOT(ISNUMBER($Q841)),$S841=""),"",IFERROR(IF(ISNUMBER(INDEX(Lists!$AJ$2:$AJ$7,MATCH($S841,Lists!$AI$2:$AI$7,0))),$Q841+INDEX(Lists!$AJ$2:$AJ$7,MATCH($S841,Lists!$AI$2:$AI$7,0)),""),""))))</f>
        <v/>
      </c>
      <c r="AE841" s="104" t="str">
        <f aca="true">IF($B841="","",IF(AND(ISNUMBER($AD841),N($AD841)&lt;TODAY(),$N841&lt;&gt;"Done",$N841&lt;&gt;"Won't Fix",$N841&lt;&gt;"Duplicate"),"Yes","No"))</f>
        <v/>
      </c>
      <c r="AF841" s="101"/>
      <c r="AG841" s="108" t="str">
        <f aca="false">IF($AF841="","",IFERROR(VLOOKUP($AF841,'Application Portfolio'!$A$2:$B$1000,2,FALSE()),"Unknown App ID"))</f>
        <v/>
      </c>
      <c r="AH841" s="108" t="str">
        <f aca="false">IF(OR($B841="",$AF841=""),"",IFERROR(VLOOKUP($AF841,'Application Portfolio'!$A$2:$AB$1000,28,FALSE()),""))</f>
        <v/>
      </c>
    </row>
    <row r="842" customFormat="false" ht="15.75" hidden="false" customHeight="true" outlineLevel="0" collapsed="false">
      <c r="A842" s="100"/>
      <c r="B842" s="101"/>
      <c r="C842" s="101"/>
      <c r="D842" s="101"/>
      <c r="E842" s="101"/>
      <c r="F842" s="102"/>
      <c r="G842" s="102"/>
      <c r="H842" s="102"/>
      <c r="I842" s="102"/>
      <c r="J842" s="102"/>
      <c r="K842" s="102"/>
      <c r="L842" s="103" t="str">
        <f aca="false">IF(OR($B842="", $H842="", $I842="", $J842="", $K842=""),"",ROUND((VLOOKUP($H842,Lists!$E$2:$F$5,2,FALSE())*VLOOKUP($I842,Lists!$H$2:$I$4,2,FALSE())*VLOOKUP($J842,Lists!$K$2:$L$4,2,FALSE()))/VLOOKUP($K842,Lists!$N$2:$O$6,2,FALSE()),2))</f>
        <v/>
      </c>
      <c r="M842" s="104" t="str">
        <f aca="false">IF($B842="","",IF($AC842&lt;&gt;"",$AC842,IF($H842="Critical","P0",IF(NOT(ISNUMBER($L842)),"",IF($L842&gt;=Lists!$AM$2,"P0",IF($L842&gt;=Lists!$AM$3,"P1",IF($L842&gt;=Lists!$AM$4,"P2","P3")))))))</f>
        <v/>
      </c>
      <c r="N842" s="102"/>
      <c r="O842" s="101"/>
      <c r="P842" s="102"/>
      <c r="Q842" s="105"/>
      <c r="R842" s="106" t="str">
        <f aca="true">IF($Q842="","", TODAY()-$Q842)</f>
        <v/>
      </c>
      <c r="S842" s="102"/>
      <c r="T842" s="105"/>
      <c r="U842" s="105"/>
      <c r="V842" s="101"/>
      <c r="W842" s="101"/>
      <c r="X842" s="101"/>
      <c r="Y842" s="96"/>
      <c r="Z842" s="96"/>
      <c r="AA842" s="96"/>
      <c r="AC842" s="102"/>
      <c r="AD842" s="107" t="str">
        <f aca="false">IF($B842="","",IF(ISNUMBER($T842),$T842,IF(OR(NOT(ISNUMBER($Q842)),$S842=""),"",IFERROR(IF(ISNUMBER(INDEX(Lists!$AJ$2:$AJ$7,MATCH($S842,Lists!$AI$2:$AI$7,0))),$Q842+INDEX(Lists!$AJ$2:$AJ$7,MATCH($S842,Lists!$AI$2:$AI$7,0)),""),""))))</f>
        <v/>
      </c>
      <c r="AE842" s="104" t="str">
        <f aca="true">IF($B842="","",IF(AND(ISNUMBER($AD842),N($AD842)&lt;TODAY(),$N842&lt;&gt;"Done",$N842&lt;&gt;"Won't Fix",$N842&lt;&gt;"Duplicate"),"Yes","No"))</f>
        <v/>
      </c>
      <c r="AF842" s="101"/>
      <c r="AG842" s="108" t="str">
        <f aca="false">IF($AF842="","",IFERROR(VLOOKUP($AF842,'Application Portfolio'!$A$2:$B$1000,2,FALSE()),"Unknown App ID"))</f>
        <v/>
      </c>
      <c r="AH842" s="108" t="str">
        <f aca="false">IF(OR($B842="",$AF842=""),"",IFERROR(VLOOKUP($AF842,'Application Portfolio'!$A$2:$AB$1000,28,FALSE()),""))</f>
        <v/>
      </c>
    </row>
    <row r="843" customFormat="false" ht="15.75" hidden="false" customHeight="true" outlineLevel="0" collapsed="false">
      <c r="A843" s="100"/>
      <c r="B843" s="101"/>
      <c r="C843" s="101"/>
      <c r="D843" s="101"/>
      <c r="E843" s="101"/>
      <c r="F843" s="102"/>
      <c r="G843" s="102"/>
      <c r="H843" s="102"/>
      <c r="I843" s="102"/>
      <c r="J843" s="102"/>
      <c r="K843" s="102"/>
      <c r="L843" s="103" t="str">
        <f aca="false">IF(OR($B843="", $H843="", $I843="", $J843="", $K843=""),"",ROUND((VLOOKUP($H843,Lists!$E$2:$F$5,2,FALSE())*VLOOKUP($I843,Lists!$H$2:$I$4,2,FALSE())*VLOOKUP($J843,Lists!$K$2:$L$4,2,FALSE()))/VLOOKUP($K843,Lists!$N$2:$O$6,2,FALSE()),2))</f>
        <v/>
      </c>
      <c r="M843" s="104" t="str">
        <f aca="false">IF($B843="","",IF($AC843&lt;&gt;"",$AC843,IF($H843="Critical","P0",IF(NOT(ISNUMBER($L843)),"",IF($L843&gt;=Lists!$AM$2,"P0",IF($L843&gt;=Lists!$AM$3,"P1",IF($L843&gt;=Lists!$AM$4,"P2","P3")))))))</f>
        <v/>
      </c>
      <c r="N843" s="102"/>
      <c r="O843" s="101"/>
      <c r="P843" s="102"/>
      <c r="Q843" s="105"/>
      <c r="R843" s="106" t="str">
        <f aca="true">IF($Q843="","", TODAY()-$Q843)</f>
        <v/>
      </c>
      <c r="S843" s="102"/>
      <c r="T843" s="105"/>
      <c r="U843" s="105"/>
      <c r="V843" s="101"/>
      <c r="W843" s="101"/>
      <c r="X843" s="101"/>
      <c r="Y843" s="96"/>
      <c r="Z843" s="96"/>
      <c r="AA843" s="96"/>
      <c r="AC843" s="102"/>
      <c r="AD843" s="107" t="str">
        <f aca="false">IF($B843="","",IF(ISNUMBER($T843),$T843,IF(OR(NOT(ISNUMBER($Q843)),$S843=""),"",IFERROR(IF(ISNUMBER(INDEX(Lists!$AJ$2:$AJ$7,MATCH($S843,Lists!$AI$2:$AI$7,0))),$Q843+INDEX(Lists!$AJ$2:$AJ$7,MATCH($S843,Lists!$AI$2:$AI$7,0)),""),""))))</f>
        <v/>
      </c>
      <c r="AE843" s="104" t="str">
        <f aca="true">IF($B843="","",IF(AND(ISNUMBER($AD843),N($AD843)&lt;TODAY(),$N843&lt;&gt;"Done",$N843&lt;&gt;"Won't Fix",$N843&lt;&gt;"Duplicate"),"Yes","No"))</f>
        <v/>
      </c>
      <c r="AF843" s="101"/>
      <c r="AG843" s="108" t="str">
        <f aca="false">IF($AF843="","",IFERROR(VLOOKUP($AF843,'Application Portfolio'!$A$2:$B$1000,2,FALSE()),"Unknown App ID"))</f>
        <v/>
      </c>
      <c r="AH843" s="108" t="str">
        <f aca="false">IF(OR($B843="",$AF843=""),"",IFERROR(VLOOKUP($AF843,'Application Portfolio'!$A$2:$AB$1000,28,FALSE()),""))</f>
        <v/>
      </c>
    </row>
    <row r="844" customFormat="false" ht="15.75" hidden="false" customHeight="true" outlineLevel="0" collapsed="false">
      <c r="A844" s="100"/>
      <c r="B844" s="101"/>
      <c r="C844" s="101"/>
      <c r="D844" s="101"/>
      <c r="E844" s="101"/>
      <c r="F844" s="102"/>
      <c r="G844" s="102"/>
      <c r="H844" s="102"/>
      <c r="I844" s="102"/>
      <c r="J844" s="102"/>
      <c r="K844" s="102"/>
      <c r="L844" s="103" t="str">
        <f aca="false">IF(OR($B844="", $H844="", $I844="", $J844="", $K844=""),"",ROUND((VLOOKUP($H844,Lists!$E$2:$F$5,2,FALSE())*VLOOKUP($I844,Lists!$H$2:$I$4,2,FALSE())*VLOOKUP($J844,Lists!$K$2:$L$4,2,FALSE()))/VLOOKUP($K844,Lists!$N$2:$O$6,2,FALSE()),2))</f>
        <v/>
      </c>
      <c r="M844" s="104" t="str">
        <f aca="false">IF($B844="","",IF($AC844&lt;&gt;"",$AC844,IF($H844="Critical","P0",IF(NOT(ISNUMBER($L844)),"",IF($L844&gt;=Lists!$AM$2,"P0",IF($L844&gt;=Lists!$AM$3,"P1",IF($L844&gt;=Lists!$AM$4,"P2","P3")))))))</f>
        <v/>
      </c>
      <c r="N844" s="102"/>
      <c r="O844" s="101"/>
      <c r="P844" s="102"/>
      <c r="Q844" s="105"/>
      <c r="R844" s="106" t="str">
        <f aca="true">IF($Q844="","", TODAY()-$Q844)</f>
        <v/>
      </c>
      <c r="S844" s="102"/>
      <c r="T844" s="105"/>
      <c r="U844" s="105"/>
      <c r="V844" s="101"/>
      <c r="W844" s="101"/>
      <c r="X844" s="101"/>
      <c r="Y844" s="96"/>
      <c r="Z844" s="96"/>
      <c r="AA844" s="96"/>
      <c r="AC844" s="102"/>
      <c r="AD844" s="107" t="str">
        <f aca="false">IF($B844="","",IF(ISNUMBER($T844),$T844,IF(OR(NOT(ISNUMBER($Q844)),$S844=""),"",IFERROR(IF(ISNUMBER(INDEX(Lists!$AJ$2:$AJ$7,MATCH($S844,Lists!$AI$2:$AI$7,0))),$Q844+INDEX(Lists!$AJ$2:$AJ$7,MATCH($S844,Lists!$AI$2:$AI$7,0)),""),""))))</f>
        <v/>
      </c>
      <c r="AE844" s="104" t="str">
        <f aca="true">IF($B844="","",IF(AND(ISNUMBER($AD844),N($AD844)&lt;TODAY(),$N844&lt;&gt;"Done",$N844&lt;&gt;"Won't Fix",$N844&lt;&gt;"Duplicate"),"Yes","No"))</f>
        <v/>
      </c>
      <c r="AF844" s="101"/>
      <c r="AG844" s="108" t="str">
        <f aca="false">IF($AF844="","",IFERROR(VLOOKUP($AF844,'Application Portfolio'!$A$2:$B$1000,2,FALSE()),"Unknown App ID"))</f>
        <v/>
      </c>
      <c r="AH844" s="108" t="str">
        <f aca="false">IF(OR($B844="",$AF844=""),"",IFERROR(VLOOKUP($AF844,'Application Portfolio'!$A$2:$AB$1000,28,FALSE()),""))</f>
        <v/>
      </c>
    </row>
    <row r="845" customFormat="false" ht="15.75" hidden="false" customHeight="true" outlineLevel="0" collapsed="false">
      <c r="A845" s="100"/>
      <c r="B845" s="101"/>
      <c r="C845" s="101"/>
      <c r="D845" s="101"/>
      <c r="E845" s="101"/>
      <c r="F845" s="102"/>
      <c r="G845" s="102"/>
      <c r="H845" s="102"/>
      <c r="I845" s="102"/>
      <c r="J845" s="102"/>
      <c r="K845" s="102"/>
      <c r="L845" s="103" t="str">
        <f aca="false">IF(OR($B845="", $H845="", $I845="", $J845="", $K845=""),"",ROUND((VLOOKUP($H845,Lists!$E$2:$F$5,2,FALSE())*VLOOKUP($I845,Lists!$H$2:$I$4,2,FALSE())*VLOOKUP($J845,Lists!$K$2:$L$4,2,FALSE()))/VLOOKUP($K845,Lists!$N$2:$O$6,2,FALSE()),2))</f>
        <v/>
      </c>
      <c r="M845" s="104" t="str">
        <f aca="false">IF($B845="","",IF($AC845&lt;&gt;"",$AC845,IF($H845="Critical","P0",IF(NOT(ISNUMBER($L845)),"",IF($L845&gt;=Lists!$AM$2,"P0",IF($L845&gt;=Lists!$AM$3,"P1",IF($L845&gt;=Lists!$AM$4,"P2","P3")))))))</f>
        <v/>
      </c>
      <c r="N845" s="102"/>
      <c r="O845" s="101"/>
      <c r="P845" s="102"/>
      <c r="Q845" s="105"/>
      <c r="R845" s="106" t="str">
        <f aca="true">IF($Q845="","", TODAY()-$Q845)</f>
        <v/>
      </c>
      <c r="S845" s="102"/>
      <c r="T845" s="105"/>
      <c r="U845" s="105"/>
      <c r="V845" s="101"/>
      <c r="W845" s="101"/>
      <c r="X845" s="101"/>
      <c r="Y845" s="96"/>
      <c r="Z845" s="96"/>
      <c r="AA845" s="96"/>
      <c r="AC845" s="102"/>
      <c r="AD845" s="107" t="str">
        <f aca="false">IF($B845="","",IF(ISNUMBER($T845),$T845,IF(OR(NOT(ISNUMBER($Q845)),$S845=""),"",IFERROR(IF(ISNUMBER(INDEX(Lists!$AJ$2:$AJ$7,MATCH($S845,Lists!$AI$2:$AI$7,0))),$Q845+INDEX(Lists!$AJ$2:$AJ$7,MATCH($S845,Lists!$AI$2:$AI$7,0)),""),""))))</f>
        <v/>
      </c>
      <c r="AE845" s="104" t="str">
        <f aca="true">IF($B845="","",IF(AND(ISNUMBER($AD845),N($AD845)&lt;TODAY(),$N845&lt;&gt;"Done",$N845&lt;&gt;"Won't Fix",$N845&lt;&gt;"Duplicate"),"Yes","No"))</f>
        <v/>
      </c>
      <c r="AF845" s="101"/>
      <c r="AG845" s="108" t="str">
        <f aca="false">IF($AF845="","",IFERROR(VLOOKUP($AF845,'Application Portfolio'!$A$2:$B$1000,2,FALSE()),"Unknown App ID"))</f>
        <v/>
      </c>
      <c r="AH845" s="108" t="str">
        <f aca="false">IF(OR($B845="",$AF845=""),"",IFERROR(VLOOKUP($AF845,'Application Portfolio'!$A$2:$AB$1000,28,FALSE()),""))</f>
        <v/>
      </c>
    </row>
    <row r="846" customFormat="false" ht="15.75" hidden="false" customHeight="true" outlineLevel="0" collapsed="false">
      <c r="A846" s="100"/>
      <c r="B846" s="101"/>
      <c r="C846" s="101"/>
      <c r="D846" s="101"/>
      <c r="E846" s="101"/>
      <c r="F846" s="102"/>
      <c r="G846" s="102"/>
      <c r="H846" s="102"/>
      <c r="I846" s="102"/>
      <c r="J846" s="102"/>
      <c r="K846" s="102"/>
      <c r="L846" s="103" t="str">
        <f aca="false">IF(OR($B846="", $H846="", $I846="", $J846="", $K846=""),"",ROUND((VLOOKUP($H846,Lists!$E$2:$F$5,2,FALSE())*VLOOKUP($I846,Lists!$H$2:$I$4,2,FALSE())*VLOOKUP($J846,Lists!$K$2:$L$4,2,FALSE()))/VLOOKUP($K846,Lists!$N$2:$O$6,2,FALSE()),2))</f>
        <v/>
      </c>
      <c r="M846" s="104" t="str">
        <f aca="false">IF($B846="","",IF($AC846&lt;&gt;"",$AC846,IF($H846="Critical","P0",IF(NOT(ISNUMBER($L846)),"",IF($L846&gt;=Lists!$AM$2,"P0",IF($L846&gt;=Lists!$AM$3,"P1",IF($L846&gt;=Lists!$AM$4,"P2","P3")))))))</f>
        <v/>
      </c>
      <c r="N846" s="102"/>
      <c r="O846" s="101"/>
      <c r="P846" s="102"/>
      <c r="Q846" s="105"/>
      <c r="R846" s="106" t="str">
        <f aca="true">IF($Q846="","", TODAY()-$Q846)</f>
        <v/>
      </c>
      <c r="S846" s="102"/>
      <c r="T846" s="105"/>
      <c r="U846" s="105"/>
      <c r="V846" s="101"/>
      <c r="W846" s="101"/>
      <c r="X846" s="101"/>
      <c r="Y846" s="96"/>
      <c r="Z846" s="96"/>
      <c r="AA846" s="96"/>
      <c r="AC846" s="102"/>
      <c r="AD846" s="107" t="str">
        <f aca="false">IF($B846="","",IF(ISNUMBER($T846),$T846,IF(OR(NOT(ISNUMBER($Q846)),$S846=""),"",IFERROR(IF(ISNUMBER(INDEX(Lists!$AJ$2:$AJ$7,MATCH($S846,Lists!$AI$2:$AI$7,0))),$Q846+INDEX(Lists!$AJ$2:$AJ$7,MATCH($S846,Lists!$AI$2:$AI$7,0)),""),""))))</f>
        <v/>
      </c>
      <c r="AE846" s="104" t="str">
        <f aca="true">IF($B846="","",IF(AND(ISNUMBER($AD846),N($AD846)&lt;TODAY(),$N846&lt;&gt;"Done",$N846&lt;&gt;"Won't Fix",$N846&lt;&gt;"Duplicate"),"Yes","No"))</f>
        <v/>
      </c>
      <c r="AF846" s="101"/>
      <c r="AG846" s="108" t="str">
        <f aca="false">IF($AF846="","",IFERROR(VLOOKUP($AF846,'Application Portfolio'!$A$2:$B$1000,2,FALSE()),"Unknown App ID"))</f>
        <v/>
      </c>
      <c r="AH846" s="108" t="str">
        <f aca="false">IF(OR($B846="",$AF846=""),"",IFERROR(VLOOKUP($AF846,'Application Portfolio'!$A$2:$AB$1000,28,FALSE()),""))</f>
        <v/>
      </c>
    </row>
    <row r="847" customFormat="false" ht="15.75" hidden="false" customHeight="true" outlineLevel="0" collapsed="false">
      <c r="A847" s="100"/>
      <c r="B847" s="101"/>
      <c r="C847" s="101"/>
      <c r="D847" s="101"/>
      <c r="E847" s="101"/>
      <c r="F847" s="102"/>
      <c r="G847" s="102"/>
      <c r="H847" s="102"/>
      <c r="I847" s="102"/>
      <c r="J847" s="102"/>
      <c r="K847" s="102"/>
      <c r="L847" s="103" t="str">
        <f aca="false">IF(OR($B847="", $H847="", $I847="", $J847="", $K847=""),"",ROUND((VLOOKUP($H847,Lists!$E$2:$F$5,2,FALSE())*VLOOKUP($I847,Lists!$H$2:$I$4,2,FALSE())*VLOOKUP($J847,Lists!$K$2:$L$4,2,FALSE()))/VLOOKUP($K847,Lists!$N$2:$O$6,2,FALSE()),2))</f>
        <v/>
      </c>
      <c r="M847" s="104" t="str">
        <f aca="false">IF($B847="","",IF($AC847&lt;&gt;"",$AC847,IF($H847="Critical","P0",IF(NOT(ISNUMBER($L847)),"",IF($L847&gt;=Lists!$AM$2,"P0",IF($L847&gt;=Lists!$AM$3,"P1",IF($L847&gt;=Lists!$AM$4,"P2","P3")))))))</f>
        <v/>
      </c>
      <c r="N847" s="102"/>
      <c r="O847" s="101"/>
      <c r="P847" s="102"/>
      <c r="Q847" s="105"/>
      <c r="R847" s="106" t="str">
        <f aca="true">IF($Q847="","", TODAY()-$Q847)</f>
        <v/>
      </c>
      <c r="S847" s="102"/>
      <c r="T847" s="105"/>
      <c r="U847" s="105"/>
      <c r="V847" s="101"/>
      <c r="W847" s="101"/>
      <c r="X847" s="101"/>
      <c r="Y847" s="96"/>
      <c r="Z847" s="96"/>
      <c r="AA847" s="96"/>
      <c r="AC847" s="102"/>
      <c r="AD847" s="107" t="str">
        <f aca="false">IF($B847="","",IF(ISNUMBER($T847),$T847,IF(OR(NOT(ISNUMBER($Q847)),$S847=""),"",IFERROR(IF(ISNUMBER(INDEX(Lists!$AJ$2:$AJ$7,MATCH($S847,Lists!$AI$2:$AI$7,0))),$Q847+INDEX(Lists!$AJ$2:$AJ$7,MATCH($S847,Lists!$AI$2:$AI$7,0)),""),""))))</f>
        <v/>
      </c>
      <c r="AE847" s="104" t="str">
        <f aca="true">IF($B847="","",IF(AND(ISNUMBER($AD847),N($AD847)&lt;TODAY(),$N847&lt;&gt;"Done",$N847&lt;&gt;"Won't Fix",$N847&lt;&gt;"Duplicate"),"Yes","No"))</f>
        <v/>
      </c>
      <c r="AF847" s="101"/>
      <c r="AG847" s="108" t="str">
        <f aca="false">IF($AF847="","",IFERROR(VLOOKUP($AF847,'Application Portfolio'!$A$2:$B$1000,2,FALSE()),"Unknown App ID"))</f>
        <v/>
      </c>
      <c r="AH847" s="108" t="str">
        <f aca="false">IF(OR($B847="",$AF847=""),"",IFERROR(VLOOKUP($AF847,'Application Portfolio'!$A$2:$AB$1000,28,FALSE()),""))</f>
        <v/>
      </c>
    </row>
    <row r="848" customFormat="false" ht="15.75" hidden="false" customHeight="true" outlineLevel="0" collapsed="false">
      <c r="A848" s="100"/>
      <c r="B848" s="101"/>
      <c r="C848" s="101"/>
      <c r="D848" s="101"/>
      <c r="E848" s="101"/>
      <c r="F848" s="102"/>
      <c r="G848" s="102"/>
      <c r="H848" s="102"/>
      <c r="I848" s="102"/>
      <c r="J848" s="102"/>
      <c r="K848" s="102"/>
      <c r="L848" s="103" t="str">
        <f aca="false">IF(OR($B848="", $H848="", $I848="", $J848="", $K848=""),"",ROUND((VLOOKUP($H848,Lists!$E$2:$F$5,2,FALSE())*VLOOKUP($I848,Lists!$H$2:$I$4,2,FALSE())*VLOOKUP($J848,Lists!$K$2:$L$4,2,FALSE()))/VLOOKUP($K848,Lists!$N$2:$O$6,2,FALSE()),2))</f>
        <v/>
      </c>
      <c r="M848" s="104" t="str">
        <f aca="false">IF($B848="","",IF($AC848&lt;&gt;"",$AC848,IF($H848="Critical","P0",IF(NOT(ISNUMBER($L848)),"",IF($L848&gt;=Lists!$AM$2,"P0",IF($L848&gt;=Lists!$AM$3,"P1",IF($L848&gt;=Lists!$AM$4,"P2","P3")))))))</f>
        <v/>
      </c>
      <c r="N848" s="102"/>
      <c r="O848" s="101"/>
      <c r="P848" s="102"/>
      <c r="Q848" s="105"/>
      <c r="R848" s="106" t="str">
        <f aca="true">IF($Q848="","", TODAY()-$Q848)</f>
        <v/>
      </c>
      <c r="S848" s="102"/>
      <c r="T848" s="105"/>
      <c r="U848" s="105"/>
      <c r="V848" s="101"/>
      <c r="W848" s="101"/>
      <c r="X848" s="101"/>
      <c r="Y848" s="96"/>
      <c r="Z848" s="96"/>
      <c r="AA848" s="96"/>
      <c r="AC848" s="102"/>
      <c r="AD848" s="107" t="str">
        <f aca="false">IF($B848="","",IF(ISNUMBER($T848),$T848,IF(OR(NOT(ISNUMBER($Q848)),$S848=""),"",IFERROR(IF(ISNUMBER(INDEX(Lists!$AJ$2:$AJ$7,MATCH($S848,Lists!$AI$2:$AI$7,0))),$Q848+INDEX(Lists!$AJ$2:$AJ$7,MATCH($S848,Lists!$AI$2:$AI$7,0)),""),""))))</f>
        <v/>
      </c>
      <c r="AE848" s="104" t="str">
        <f aca="true">IF($B848="","",IF(AND(ISNUMBER($AD848),N($AD848)&lt;TODAY(),$N848&lt;&gt;"Done",$N848&lt;&gt;"Won't Fix",$N848&lt;&gt;"Duplicate"),"Yes","No"))</f>
        <v/>
      </c>
      <c r="AF848" s="101"/>
      <c r="AG848" s="108" t="str">
        <f aca="false">IF($AF848="","",IFERROR(VLOOKUP($AF848,'Application Portfolio'!$A$2:$B$1000,2,FALSE()),"Unknown App ID"))</f>
        <v/>
      </c>
      <c r="AH848" s="108" t="str">
        <f aca="false">IF(OR($B848="",$AF848=""),"",IFERROR(VLOOKUP($AF848,'Application Portfolio'!$A$2:$AB$1000,28,FALSE()),""))</f>
        <v/>
      </c>
    </row>
    <row r="849" customFormat="false" ht="15.75" hidden="false" customHeight="true" outlineLevel="0" collapsed="false">
      <c r="A849" s="100"/>
      <c r="B849" s="101"/>
      <c r="C849" s="101"/>
      <c r="D849" s="101"/>
      <c r="E849" s="101"/>
      <c r="F849" s="102"/>
      <c r="G849" s="102"/>
      <c r="H849" s="102"/>
      <c r="I849" s="102"/>
      <c r="J849" s="102"/>
      <c r="K849" s="102"/>
      <c r="L849" s="103" t="str">
        <f aca="false">IF(OR($B849="", $H849="", $I849="", $J849="", $K849=""),"",ROUND((VLOOKUP($H849,Lists!$E$2:$F$5,2,FALSE())*VLOOKUP($I849,Lists!$H$2:$I$4,2,FALSE())*VLOOKUP($J849,Lists!$K$2:$L$4,2,FALSE()))/VLOOKUP($K849,Lists!$N$2:$O$6,2,FALSE()),2))</f>
        <v/>
      </c>
      <c r="M849" s="104" t="str">
        <f aca="false">IF($B849="","",IF($AC849&lt;&gt;"",$AC849,IF($H849="Critical","P0",IF(NOT(ISNUMBER($L849)),"",IF($L849&gt;=Lists!$AM$2,"P0",IF($L849&gt;=Lists!$AM$3,"P1",IF($L849&gt;=Lists!$AM$4,"P2","P3")))))))</f>
        <v/>
      </c>
      <c r="N849" s="102"/>
      <c r="O849" s="101"/>
      <c r="P849" s="102"/>
      <c r="Q849" s="105"/>
      <c r="R849" s="106" t="str">
        <f aca="true">IF($Q849="","", TODAY()-$Q849)</f>
        <v/>
      </c>
      <c r="S849" s="102"/>
      <c r="T849" s="105"/>
      <c r="U849" s="105"/>
      <c r="V849" s="101"/>
      <c r="W849" s="101"/>
      <c r="X849" s="101"/>
      <c r="Y849" s="96"/>
      <c r="Z849" s="96"/>
      <c r="AA849" s="96"/>
      <c r="AC849" s="102"/>
      <c r="AD849" s="107" t="str">
        <f aca="false">IF($B849="","",IF(ISNUMBER($T849),$T849,IF(OR(NOT(ISNUMBER($Q849)),$S849=""),"",IFERROR(IF(ISNUMBER(INDEX(Lists!$AJ$2:$AJ$7,MATCH($S849,Lists!$AI$2:$AI$7,0))),$Q849+INDEX(Lists!$AJ$2:$AJ$7,MATCH($S849,Lists!$AI$2:$AI$7,0)),""),""))))</f>
        <v/>
      </c>
      <c r="AE849" s="104" t="str">
        <f aca="true">IF($B849="","",IF(AND(ISNUMBER($AD849),N($AD849)&lt;TODAY(),$N849&lt;&gt;"Done",$N849&lt;&gt;"Won't Fix",$N849&lt;&gt;"Duplicate"),"Yes","No"))</f>
        <v/>
      </c>
      <c r="AF849" s="101"/>
      <c r="AG849" s="108" t="str">
        <f aca="false">IF($AF849="","",IFERROR(VLOOKUP($AF849,'Application Portfolio'!$A$2:$B$1000,2,FALSE()),"Unknown App ID"))</f>
        <v/>
      </c>
      <c r="AH849" s="108" t="str">
        <f aca="false">IF(OR($B849="",$AF849=""),"",IFERROR(VLOOKUP($AF849,'Application Portfolio'!$A$2:$AB$1000,28,FALSE()),""))</f>
        <v/>
      </c>
    </row>
    <row r="850" customFormat="false" ht="15.75" hidden="false" customHeight="true" outlineLevel="0" collapsed="false">
      <c r="A850" s="100"/>
      <c r="B850" s="101"/>
      <c r="C850" s="101"/>
      <c r="D850" s="101"/>
      <c r="E850" s="101"/>
      <c r="F850" s="102"/>
      <c r="G850" s="102"/>
      <c r="H850" s="102"/>
      <c r="I850" s="102"/>
      <c r="J850" s="102"/>
      <c r="K850" s="102"/>
      <c r="L850" s="103" t="str">
        <f aca="false">IF(OR($B850="", $H850="", $I850="", $J850="", $K850=""),"",ROUND((VLOOKUP($H850,Lists!$E$2:$F$5,2,FALSE())*VLOOKUP($I850,Lists!$H$2:$I$4,2,FALSE())*VLOOKUP($J850,Lists!$K$2:$L$4,2,FALSE()))/VLOOKUP($K850,Lists!$N$2:$O$6,2,FALSE()),2))</f>
        <v/>
      </c>
      <c r="M850" s="104" t="str">
        <f aca="false">IF($B850="","",IF($AC850&lt;&gt;"",$AC850,IF($H850="Critical","P0",IF(NOT(ISNUMBER($L850)),"",IF($L850&gt;=Lists!$AM$2,"P0",IF($L850&gt;=Lists!$AM$3,"P1",IF($L850&gt;=Lists!$AM$4,"P2","P3")))))))</f>
        <v/>
      </c>
      <c r="N850" s="102"/>
      <c r="O850" s="101"/>
      <c r="P850" s="102"/>
      <c r="Q850" s="105"/>
      <c r="R850" s="106" t="str">
        <f aca="true">IF($Q850="","", TODAY()-$Q850)</f>
        <v/>
      </c>
      <c r="S850" s="102"/>
      <c r="T850" s="105"/>
      <c r="U850" s="105"/>
      <c r="V850" s="101"/>
      <c r="W850" s="101"/>
      <c r="X850" s="101"/>
      <c r="Y850" s="96"/>
      <c r="Z850" s="96"/>
      <c r="AA850" s="96"/>
      <c r="AC850" s="102"/>
      <c r="AD850" s="107" t="str">
        <f aca="false">IF($B850="","",IF(ISNUMBER($T850),$T850,IF(OR(NOT(ISNUMBER($Q850)),$S850=""),"",IFERROR(IF(ISNUMBER(INDEX(Lists!$AJ$2:$AJ$7,MATCH($S850,Lists!$AI$2:$AI$7,0))),$Q850+INDEX(Lists!$AJ$2:$AJ$7,MATCH($S850,Lists!$AI$2:$AI$7,0)),""),""))))</f>
        <v/>
      </c>
      <c r="AE850" s="104" t="str">
        <f aca="true">IF($B850="","",IF(AND(ISNUMBER($AD850),N($AD850)&lt;TODAY(),$N850&lt;&gt;"Done",$N850&lt;&gt;"Won't Fix",$N850&lt;&gt;"Duplicate"),"Yes","No"))</f>
        <v/>
      </c>
      <c r="AF850" s="101"/>
      <c r="AG850" s="108" t="str">
        <f aca="false">IF($AF850="","",IFERROR(VLOOKUP($AF850,'Application Portfolio'!$A$2:$B$1000,2,FALSE()),"Unknown App ID"))</f>
        <v/>
      </c>
      <c r="AH850" s="108" t="str">
        <f aca="false">IF(OR($B850="",$AF850=""),"",IFERROR(VLOOKUP($AF850,'Application Portfolio'!$A$2:$AB$1000,28,FALSE()),""))</f>
        <v/>
      </c>
    </row>
    <row r="851" customFormat="false" ht="15.75" hidden="false" customHeight="true" outlineLevel="0" collapsed="false">
      <c r="A851" s="100"/>
      <c r="B851" s="101"/>
      <c r="C851" s="101"/>
      <c r="D851" s="101"/>
      <c r="E851" s="101"/>
      <c r="F851" s="102"/>
      <c r="G851" s="102"/>
      <c r="H851" s="102"/>
      <c r="I851" s="102"/>
      <c r="J851" s="102"/>
      <c r="K851" s="102"/>
      <c r="L851" s="103" t="str">
        <f aca="false">IF(OR($B851="", $H851="", $I851="", $J851="", $K851=""),"",ROUND((VLOOKUP($H851,Lists!$E$2:$F$5,2,FALSE())*VLOOKUP($I851,Lists!$H$2:$I$4,2,FALSE())*VLOOKUP($J851,Lists!$K$2:$L$4,2,FALSE()))/VLOOKUP($K851,Lists!$N$2:$O$6,2,FALSE()),2))</f>
        <v/>
      </c>
      <c r="M851" s="104" t="str">
        <f aca="false">IF($B851="","",IF($AC851&lt;&gt;"",$AC851,IF($H851="Critical","P0",IF(NOT(ISNUMBER($L851)),"",IF($L851&gt;=Lists!$AM$2,"P0",IF($L851&gt;=Lists!$AM$3,"P1",IF($L851&gt;=Lists!$AM$4,"P2","P3")))))))</f>
        <v/>
      </c>
      <c r="N851" s="102"/>
      <c r="O851" s="101"/>
      <c r="P851" s="102"/>
      <c r="Q851" s="105"/>
      <c r="R851" s="106" t="str">
        <f aca="true">IF($Q851="","", TODAY()-$Q851)</f>
        <v/>
      </c>
      <c r="S851" s="102"/>
      <c r="T851" s="105"/>
      <c r="U851" s="105"/>
      <c r="V851" s="101"/>
      <c r="W851" s="101"/>
      <c r="X851" s="101"/>
      <c r="Y851" s="96"/>
      <c r="Z851" s="96"/>
      <c r="AA851" s="96"/>
      <c r="AC851" s="102"/>
      <c r="AD851" s="107" t="str">
        <f aca="false">IF($B851="","",IF(ISNUMBER($T851),$T851,IF(OR(NOT(ISNUMBER($Q851)),$S851=""),"",IFERROR(IF(ISNUMBER(INDEX(Lists!$AJ$2:$AJ$7,MATCH($S851,Lists!$AI$2:$AI$7,0))),$Q851+INDEX(Lists!$AJ$2:$AJ$7,MATCH($S851,Lists!$AI$2:$AI$7,0)),""),""))))</f>
        <v/>
      </c>
      <c r="AE851" s="104" t="str">
        <f aca="true">IF($B851="","",IF(AND(ISNUMBER($AD851),N($AD851)&lt;TODAY(),$N851&lt;&gt;"Done",$N851&lt;&gt;"Won't Fix",$N851&lt;&gt;"Duplicate"),"Yes","No"))</f>
        <v/>
      </c>
      <c r="AF851" s="101"/>
      <c r="AG851" s="108" t="str">
        <f aca="false">IF($AF851="","",IFERROR(VLOOKUP($AF851,'Application Portfolio'!$A$2:$B$1000,2,FALSE()),"Unknown App ID"))</f>
        <v/>
      </c>
      <c r="AH851" s="108" t="str">
        <f aca="false">IF(OR($B851="",$AF851=""),"",IFERROR(VLOOKUP($AF851,'Application Portfolio'!$A$2:$AB$1000,28,FALSE()),""))</f>
        <v/>
      </c>
    </row>
    <row r="852" customFormat="false" ht="15.75" hidden="false" customHeight="true" outlineLevel="0" collapsed="false">
      <c r="A852" s="100"/>
      <c r="B852" s="101"/>
      <c r="C852" s="101"/>
      <c r="D852" s="101"/>
      <c r="E852" s="101"/>
      <c r="F852" s="102"/>
      <c r="G852" s="102"/>
      <c r="H852" s="102"/>
      <c r="I852" s="102"/>
      <c r="J852" s="102"/>
      <c r="K852" s="102"/>
      <c r="L852" s="103" t="str">
        <f aca="false">IF(OR($B852="", $H852="", $I852="", $J852="", $K852=""),"",ROUND((VLOOKUP($H852,Lists!$E$2:$F$5,2,FALSE())*VLOOKUP($I852,Lists!$H$2:$I$4,2,FALSE())*VLOOKUP($J852,Lists!$K$2:$L$4,2,FALSE()))/VLOOKUP($K852,Lists!$N$2:$O$6,2,FALSE()),2))</f>
        <v/>
      </c>
      <c r="M852" s="104" t="str">
        <f aca="false">IF($B852="","",IF($AC852&lt;&gt;"",$AC852,IF($H852="Critical","P0",IF(NOT(ISNUMBER($L852)),"",IF($L852&gt;=Lists!$AM$2,"P0",IF($L852&gt;=Lists!$AM$3,"P1",IF($L852&gt;=Lists!$AM$4,"P2","P3")))))))</f>
        <v/>
      </c>
      <c r="N852" s="102"/>
      <c r="O852" s="101"/>
      <c r="P852" s="102"/>
      <c r="Q852" s="105"/>
      <c r="R852" s="106" t="str">
        <f aca="true">IF($Q852="","", TODAY()-$Q852)</f>
        <v/>
      </c>
      <c r="S852" s="102"/>
      <c r="T852" s="105"/>
      <c r="U852" s="105"/>
      <c r="V852" s="101"/>
      <c r="W852" s="101"/>
      <c r="X852" s="101"/>
      <c r="Y852" s="96"/>
      <c r="Z852" s="96"/>
      <c r="AA852" s="96"/>
      <c r="AC852" s="102"/>
      <c r="AD852" s="107" t="str">
        <f aca="false">IF($B852="","",IF(ISNUMBER($T852),$T852,IF(OR(NOT(ISNUMBER($Q852)),$S852=""),"",IFERROR(IF(ISNUMBER(INDEX(Lists!$AJ$2:$AJ$7,MATCH($S852,Lists!$AI$2:$AI$7,0))),$Q852+INDEX(Lists!$AJ$2:$AJ$7,MATCH($S852,Lists!$AI$2:$AI$7,0)),""),""))))</f>
        <v/>
      </c>
      <c r="AE852" s="104" t="str">
        <f aca="true">IF($B852="","",IF(AND(ISNUMBER($AD852),N($AD852)&lt;TODAY(),$N852&lt;&gt;"Done",$N852&lt;&gt;"Won't Fix",$N852&lt;&gt;"Duplicate"),"Yes","No"))</f>
        <v/>
      </c>
      <c r="AF852" s="101"/>
      <c r="AG852" s="108" t="str">
        <f aca="false">IF($AF852="","",IFERROR(VLOOKUP($AF852,'Application Portfolio'!$A$2:$B$1000,2,FALSE()),"Unknown App ID"))</f>
        <v/>
      </c>
      <c r="AH852" s="108" t="str">
        <f aca="false">IF(OR($B852="",$AF852=""),"",IFERROR(VLOOKUP($AF852,'Application Portfolio'!$A$2:$AB$1000,28,FALSE()),""))</f>
        <v/>
      </c>
    </row>
    <row r="853" customFormat="false" ht="15.75" hidden="false" customHeight="true" outlineLevel="0" collapsed="false">
      <c r="A853" s="100"/>
      <c r="B853" s="101"/>
      <c r="C853" s="101"/>
      <c r="D853" s="101"/>
      <c r="E853" s="101"/>
      <c r="F853" s="102"/>
      <c r="G853" s="102"/>
      <c r="H853" s="102"/>
      <c r="I853" s="102"/>
      <c r="J853" s="102"/>
      <c r="K853" s="102"/>
      <c r="L853" s="103" t="str">
        <f aca="false">IF(OR($B853="", $H853="", $I853="", $J853="", $K853=""),"",ROUND((VLOOKUP($H853,Lists!$E$2:$F$5,2,FALSE())*VLOOKUP($I853,Lists!$H$2:$I$4,2,FALSE())*VLOOKUP($J853,Lists!$K$2:$L$4,2,FALSE()))/VLOOKUP($K853,Lists!$N$2:$O$6,2,FALSE()),2))</f>
        <v/>
      </c>
      <c r="M853" s="104" t="str">
        <f aca="false">IF($B853="","",IF($AC853&lt;&gt;"",$AC853,IF($H853="Critical","P0",IF(NOT(ISNUMBER($L853)),"",IF($L853&gt;=Lists!$AM$2,"P0",IF($L853&gt;=Lists!$AM$3,"P1",IF($L853&gt;=Lists!$AM$4,"P2","P3")))))))</f>
        <v/>
      </c>
      <c r="N853" s="102"/>
      <c r="O853" s="101"/>
      <c r="P853" s="102"/>
      <c r="Q853" s="105"/>
      <c r="R853" s="106" t="str">
        <f aca="true">IF($Q853="","", TODAY()-$Q853)</f>
        <v/>
      </c>
      <c r="S853" s="102"/>
      <c r="T853" s="105"/>
      <c r="U853" s="105"/>
      <c r="V853" s="101"/>
      <c r="W853" s="101"/>
      <c r="X853" s="101"/>
      <c r="Y853" s="96"/>
      <c r="Z853" s="96"/>
      <c r="AA853" s="96"/>
      <c r="AC853" s="102"/>
      <c r="AD853" s="107" t="str">
        <f aca="false">IF($B853="","",IF(ISNUMBER($T853),$T853,IF(OR(NOT(ISNUMBER($Q853)),$S853=""),"",IFERROR(IF(ISNUMBER(INDEX(Lists!$AJ$2:$AJ$7,MATCH($S853,Lists!$AI$2:$AI$7,0))),$Q853+INDEX(Lists!$AJ$2:$AJ$7,MATCH($S853,Lists!$AI$2:$AI$7,0)),""),""))))</f>
        <v/>
      </c>
      <c r="AE853" s="104" t="str">
        <f aca="true">IF($B853="","",IF(AND(ISNUMBER($AD853),N($AD853)&lt;TODAY(),$N853&lt;&gt;"Done",$N853&lt;&gt;"Won't Fix",$N853&lt;&gt;"Duplicate"),"Yes","No"))</f>
        <v/>
      </c>
      <c r="AF853" s="101"/>
      <c r="AG853" s="108" t="str">
        <f aca="false">IF($AF853="","",IFERROR(VLOOKUP($AF853,'Application Portfolio'!$A$2:$B$1000,2,FALSE()),"Unknown App ID"))</f>
        <v/>
      </c>
      <c r="AH853" s="108" t="str">
        <f aca="false">IF(OR($B853="",$AF853=""),"",IFERROR(VLOOKUP($AF853,'Application Portfolio'!$A$2:$AB$1000,28,FALSE()),""))</f>
        <v/>
      </c>
    </row>
    <row r="854" customFormat="false" ht="15.75" hidden="false" customHeight="true" outlineLevel="0" collapsed="false">
      <c r="A854" s="100"/>
      <c r="B854" s="101"/>
      <c r="C854" s="101"/>
      <c r="D854" s="101"/>
      <c r="E854" s="101"/>
      <c r="F854" s="102"/>
      <c r="G854" s="102"/>
      <c r="H854" s="102"/>
      <c r="I854" s="102"/>
      <c r="J854" s="102"/>
      <c r="K854" s="102"/>
      <c r="L854" s="103" t="str">
        <f aca="false">IF(OR($B854="", $H854="", $I854="", $J854="", $K854=""),"",ROUND((VLOOKUP($H854,Lists!$E$2:$F$5,2,FALSE())*VLOOKUP($I854,Lists!$H$2:$I$4,2,FALSE())*VLOOKUP($J854,Lists!$K$2:$L$4,2,FALSE()))/VLOOKUP($K854,Lists!$N$2:$O$6,2,FALSE()),2))</f>
        <v/>
      </c>
      <c r="M854" s="104" t="str">
        <f aca="false">IF($B854="","",IF($AC854&lt;&gt;"",$AC854,IF($H854="Critical","P0",IF(NOT(ISNUMBER($L854)),"",IF($L854&gt;=Lists!$AM$2,"P0",IF($L854&gt;=Lists!$AM$3,"P1",IF($L854&gt;=Lists!$AM$4,"P2","P3")))))))</f>
        <v/>
      </c>
      <c r="N854" s="102"/>
      <c r="O854" s="101"/>
      <c r="P854" s="102"/>
      <c r="Q854" s="105"/>
      <c r="R854" s="106" t="str">
        <f aca="true">IF($Q854="","", TODAY()-$Q854)</f>
        <v/>
      </c>
      <c r="S854" s="102"/>
      <c r="T854" s="105"/>
      <c r="U854" s="105"/>
      <c r="V854" s="101"/>
      <c r="W854" s="101"/>
      <c r="X854" s="101"/>
      <c r="Y854" s="96"/>
      <c r="Z854" s="96"/>
      <c r="AA854" s="96"/>
      <c r="AC854" s="102"/>
      <c r="AD854" s="107" t="str">
        <f aca="false">IF($B854="","",IF(ISNUMBER($T854),$T854,IF(OR(NOT(ISNUMBER($Q854)),$S854=""),"",IFERROR(IF(ISNUMBER(INDEX(Lists!$AJ$2:$AJ$7,MATCH($S854,Lists!$AI$2:$AI$7,0))),$Q854+INDEX(Lists!$AJ$2:$AJ$7,MATCH($S854,Lists!$AI$2:$AI$7,0)),""),""))))</f>
        <v/>
      </c>
      <c r="AE854" s="104" t="str">
        <f aca="true">IF($B854="","",IF(AND(ISNUMBER($AD854),N($AD854)&lt;TODAY(),$N854&lt;&gt;"Done",$N854&lt;&gt;"Won't Fix",$N854&lt;&gt;"Duplicate"),"Yes","No"))</f>
        <v/>
      </c>
      <c r="AF854" s="101"/>
      <c r="AG854" s="108" t="str">
        <f aca="false">IF($AF854="","",IFERROR(VLOOKUP($AF854,'Application Portfolio'!$A$2:$B$1000,2,FALSE()),"Unknown App ID"))</f>
        <v/>
      </c>
      <c r="AH854" s="108" t="str">
        <f aca="false">IF(OR($B854="",$AF854=""),"",IFERROR(VLOOKUP($AF854,'Application Portfolio'!$A$2:$AB$1000,28,FALSE()),""))</f>
        <v/>
      </c>
    </row>
    <row r="855" customFormat="false" ht="15.75" hidden="false" customHeight="true" outlineLevel="0" collapsed="false">
      <c r="A855" s="100"/>
      <c r="B855" s="101"/>
      <c r="C855" s="101"/>
      <c r="D855" s="101"/>
      <c r="E855" s="101"/>
      <c r="F855" s="102"/>
      <c r="G855" s="102"/>
      <c r="H855" s="102"/>
      <c r="I855" s="102"/>
      <c r="J855" s="102"/>
      <c r="K855" s="102"/>
      <c r="L855" s="103" t="str">
        <f aca="false">IF(OR($B855="", $H855="", $I855="", $J855="", $K855=""),"",ROUND((VLOOKUP($H855,Lists!$E$2:$F$5,2,FALSE())*VLOOKUP($I855,Lists!$H$2:$I$4,2,FALSE())*VLOOKUP($J855,Lists!$K$2:$L$4,2,FALSE()))/VLOOKUP($K855,Lists!$N$2:$O$6,2,FALSE()),2))</f>
        <v/>
      </c>
      <c r="M855" s="104" t="str">
        <f aca="false">IF($B855="","",IF($AC855&lt;&gt;"",$AC855,IF($H855="Critical","P0",IF(NOT(ISNUMBER($L855)),"",IF($L855&gt;=Lists!$AM$2,"P0",IF($L855&gt;=Lists!$AM$3,"P1",IF($L855&gt;=Lists!$AM$4,"P2","P3")))))))</f>
        <v/>
      </c>
      <c r="N855" s="102"/>
      <c r="O855" s="101"/>
      <c r="P855" s="102"/>
      <c r="Q855" s="105"/>
      <c r="R855" s="106" t="str">
        <f aca="true">IF($Q855="","", TODAY()-$Q855)</f>
        <v/>
      </c>
      <c r="S855" s="102"/>
      <c r="T855" s="105"/>
      <c r="U855" s="105"/>
      <c r="V855" s="101"/>
      <c r="W855" s="101"/>
      <c r="X855" s="101"/>
      <c r="Y855" s="96"/>
      <c r="Z855" s="96"/>
      <c r="AA855" s="96"/>
      <c r="AC855" s="102"/>
      <c r="AD855" s="107" t="str">
        <f aca="false">IF($B855="","",IF(ISNUMBER($T855),$T855,IF(OR(NOT(ISNUMBER($Q855)),$S855=""),"",IFERROR(IF(ISNUMBER(INDEX(Lists!$AJ$2:$AJ$7,MATCH($S855,Lists!$AI$2:$AI$7,0))),$Q855+INDEX(Lists!$AJ$2:$AJ$7,MATCH($S855,Lists!$AI$2:$AI$7,0)),""),""))))</f>
        <v/>
      </c>
      <c r="AE855" s="104" t="str">
        <f aca="true">IF($B855="","",IF(AND(ISNUMBER($AD855),N($AD855)&lt;TODAY(),$N855&lt;&gt;"Done",$N855&lt;&gt;"Won't Fix",$N855&lt;&gt;"Duplicate"),"Yes","No"))</f>
        <v/>
      </c>
      <c r="AF855" s="101"/>
      <c r="AG855" s="108" t="str">
        <f aca="false">IF($AF855="","",IFERROR(VLOOKUP($AF855,'Application Portfolio'!$A$2:$B$1000,2,FALSE()),"Unknown App ID"))</f>
        <v/>
      </c>
      <c r="AH855" s="108" t="str">
        <f aca="false">IF(OR($B855="",$AF855=""),"",IFERROR(VLOOKUP($AF855,'Application Portfolio'!$A$2:$AB$1000,28,FALSE()),""))</f>
        <v/>
      </c>
    </row>
    <row r="856" customFormat="false" ht="15.75" hidden="false" customHeight="true" outlineLevel="0" collapsed="false">
      <c r="A856" s="100"/>
      <c r="B856" s="101"/>
      <c r="C856" s="101"/>
      <c r="D856" s="101"/>
      <c r="E856" s="101"/>
      <c r="F856" s="102"/>
      <c r="G856" s="102"/>
      <c r="H856" s="102"/>
      <c r="I856" s="102"/>
      <c r="J856" s="102"/>
      <c r="K856" s="102"/>
      <c r="L856" s="103" t="str">
        <f aca="false">IF(OR($B856="", $H856="", $I856="", $J856="", $K856=""),"",ROUND((VLOOKUP($H856,Lists!$E$2:$F$5,2,FALSE())*VLOOKUP($I856,Lists!$H$2:$I$4,2,FALSE())*VLOOKUP($J856,Lists!$K$2:$L$4,2,FALSE()))/VLOOKUP($K856,Lists!$N$2:$O$6,2,FALSE()),2))</f>
        <v/>
      </c>
      <c r="M856" s="104" t="str">
        <f aca="false">IF($B856="","",IF($AC856&lt;&gt;"",$AC856,IF($H856="Critical","P0",IF(NOT(ISNUMBER($L856)),"",IF($L856&gt;=Lists!$AM$2,"P0",IF($L856&gt;=Lists!$AM$3,"P1",IF($L856&gt;=Lists!$AM$4,"P2","P3")))))))</f>
        <v/>
      </c>
      <c r="N856" s="102"/>
      <c r="O856" s="101"/>
      <c r="P856" s="102"/>
      <c r="Q856" s="105"/>
      <c r="R856" s="106" t="str">
        <f aca="true">IF($Q856="","", TODAY()-$Q856)</f>
        <v/>
      </c>
      <c r="S856" s="102"/>
      <c r="T856" s="105"/>
      <c r="U856" s="105"/>
      <c r="V856" s="101"/>
      <c r="W856" s="101"/>
      <c r="X856" s="101"/>
      <c r="Y856" s="96"/>
      <c r="Z856" s="96"/>
      <c r="AA856" s="96"/>
      <c r="AC856" s="102"/>
      <c r="AD856" s="107" t="str">
        <f aca="false">IF($B856="","",IF(ISNUMBER($T856),$T856,IF(OR(NOT(ISNUMBER($Q856)),$S856=""),"",IFERROR(IF(ISNUMBER(INDEX(Lists!$AJ$2:$AJ$7,MATCH($S856,Lists!$AI$2:$AI$7,0))),$Q856+INDEX(Lists!$AJ$2:$AJ$7,MATCH($S856,Lists!$AI$2:$AI$7,0)),""),""))))</f>
        <v/>
      </c>
      <c r="AE856" s="104" t="str">
        <f aca="true">IF($B856="","",IF(AND(ISNUMBER($AD856),N($AD856)&lt;TODAY(),$N856&lt;&gt;"Done",$N856&lt;&gt;"Won't Fix",$N856&lt;&gt;"Duplicate"),"Yes","No"))</f>
        <v/>
      </c>
      <c r="AF856" s="101"/>
      <c r="AG856" s="108" t="str">
        <f aca="false">IF($AF856="","",IFERROR(VLOOKUP($AF856,'Application Portfolio'!$A$2:$B$1000,2,FALSE()),"Unknown App ID"))</f>
        <v/>
      </c>
      <c r="AH856" s="108" t="str">
        <f aca="false">IF(OR($B856="",$AF856=""),"",IFERROR(VLOOKUP($AF856,'Application Portfolio'!$A$2:$AB$1000,28,FALSE()),""))</f>
        <v/>
      </c>
    </row>
    <row r="857" customFormat="false" ht="15.75" hidden="false" customHeight="true" outlineLevel="0" collapsed="false">
      <c r="A857" s="100"/>
      <c r="B857" s="101"/>
      <c r="C857" s="101"/>
      <c r="D857" s="101"/>
      <c r="E857" s="101"/>
      <c r="F857" s="102"/>
      <c r="G857" s="102"/>
      <c r="H857" s="102"/>
      <c r="I857" s="102"/>
      <c r="J857" s="102"/>
      <c r="K857" s="102"/>
      <c r="L857" s="103" t="str">
        <f aca="false">IF(OR($B857="", $H857="", $I857="", $J857="", $K857=""),"",ROUND((VLOOKUP($H857,Lists!$E$2:$F$5,2,FALSE())*VLOOKUP($I857,Lists!$H$2:$I$4,2,FALSE())*VLOOKUP($J857,Lists!$K$2:$L$4,2,FALSE()))/VLOOKUP($K857,Lists!$N$2:$O$6,2,FALSE()),2))</f>
        <v/>
      </c>
      <c r="M857" s="104" t="str">
        <f aca="false">IF($B857="","",IF($AC857&lt;&gt;"",$AC857,IF($H857="Critical","P0",IF(NOT(ISNUMBER($L857)),"",IF($L857&gt;=Lists!$AM$2,"P0",IF($L857&gt;=Lists!$AM$3,"P1",IF($L857&gt;=Lists!$AM$4,"P2","P3")))))))</f>
        <v/>
      </c>
      <c r="N857" s="102"/>
      <c r="O857" s="101"/>
      <c r="P857" s="102"/>
      <c r="Q857" s="105"/>
      <c r="R857" s="106" t="str">
        <f aca="true">IF($Q857="","", TODAY()-$Q857)</f>
        <v/>
      </c>
      <c r="S857" s="102"/>
      <c r="T857" s="105"/>
      <c r="U857" s="105"/>
      <c r="V857" s="101"/>
      <c r="W857" s="101"/>
      <c r="X857" s="101"/>
      <c r="Y857" s="96"/>
      <c r="Z857" s="96"/>
      <c r="AA857" s="96"/>
      <c r="AC857" s="102"/>
      <c r="AD857" s="107" t="str">
        <f aca="false">IF($B857="","",IF(ISNUMBER($T857),$T857,IF(OR(NOT(ISNUMBER($Q857)),$S857=""),"",IFERROR(IF(ISNUMBER(INDEX(Lists!$AJ$2:$AJ$7,MATCH($S857,Lists!$AI$2:$AI$7,0))),$Q857+INDEX(Lists!$AJ$2:$AJ$7,MATCH($S857,Lists!$AI$2:$AI$7,0)),""),""))))</f>
        <v/>
      </c>
      <c r="AE857" s="104" t="str">
        <f aca="true">IF($B857="","",IF(AND(ISNUMBER($AD857),N($AD857)&lt;TODAY(),$N857&lt;&gt;"Done",$N857&lt;&gt;"Won't Fix",$N857&lt;&gt;"Duplicate"),"Yes","No"))</f>
        <v/>
      </c>
      <c r="AF857" s="101"/>
      <c r="AG857" s="108" t="str">
        <f aca="false">IF($AF857="","",IFERROR(VLOOKUP($AF857,'Application Portfolio'!$A$2:$B$1000,2,FALSE()),"Unknown App ID"))</f>
        <v/>
      </c>
      <c r="AH857" s="108" t="str">
        <f aca="false">IF(OR($B857="",$AF857=""),"",IFERROR(VLOOKUP($AF857,'Application Portfolio'!$A$2:$AB$1000,28,FALSE()),""))</f>
        <v/>
      </c>
    </row>
    <row r="858" customFormat="false" ht="15.75" hidden="false" customHeight="true" outlineLevel="0" collapsed="false">
      <c r="A858" s="100"/>
      <c r="B858" s="101"/>
      <c r="C858" s="101"/>
      <c r="D858" s="101"/>
      <c r="E858" s="101"/>
      <c r="F858" s="102"/>
      <c r="G858" s="102"/>
      <c r="H858" s="102"/>
      <c r="I858" s="102"/>
      <c r="J858" s="102"/>
      <c r="K858" s="102"/>
      <c r="L858" s="103" t="str">
        <f aca="false">IF(OR($B858="", $H858="", $I858="", $J858="", $K858=""),"",ROUND((VLOOKUP($H858,Lists!$E$2:$F$5,2,FALSE())*VLOOKUP($I858,Lists!$H$2:$I$4,2,FALSE())*VLOOKUP($J858,Lists!$K$2:$L$4,2,FALSE()))/VLOOKUP($K858,Lists!$N$2:$O$6,2,FALSE()),2))</f>
        <v/>
      </c>
      <c r="M858" s="104" t="str">
        <f aca="false">IF($B858="","",IF($AC858&lt;&gt;"",$AC858,IF($H858="Critical","P0",IF(NOT(ISNUMBER($L858)),"",IF($L858&gt;=Lists!$AM$2,"P0",IF($L858&gt;=Lists!$AM$3,"P1",IF($L858&gt;=Lists!$AM$4,"P2","P3")))))))</f>
        <v/>
      </c>
      <c r="N858" s="102"/>
      <c r="O858" s="101"/>
      <c r="P858" s="102"/>
      <c r="Q858" s="105"/>
      <c r="R858" s="106" t="str">
        <f aca="true">IF($Q858="","", TODAY()-$Q858)</f>
        <v/>
      </c>
      <c r="S858" s="102"/>
      <c r="T858" s="105"/>
      <c r="U858" s="105"/>
      <c r="V858" s="101"/>
      <c r="W858" s="101"/>
      <c r="X858" s="101"/>
      <c r="Y858" s="96"/>
      <c r="Z858" s="96"/>
      <c r="AA858" s="96"/>
      <c r="AC858" s="102"/>
      <c r="AD858" s="107" t="str">
        <f aca="false">IF($B858="","",IF(ISNUMBER($T858),$T858,IF(OR(NOT(ISNUMBER($Q858)),$S858=""),"",IFERROR(IF(ISNUMBER(INDEX(Lists!$AJ$2:$AJ$7,MATCH($S858,Lists!$AI$2:$AI$7,0))),$Q858+INDEX(Lists!$AJ$2:$AJ$7,MATCH($S858,Lists!$AI$2:$AI$7,0)),""),""))))</f>
        <v/>
      </c>
      <c r="AE858" s="104" t="str">
        <f aca="true">IF($B858="","",IF(AND(ISNUMBER($AD858),N($AD858)&lt;TODAY(),$N858&lt;&gt;"Done",$N858&lt;&gt;"Won't Fix",$N858&lt;&gt;"Duplicate"),"Yes","No"))</f>
        <v/>
      </c>
      <c r="AF858" s="101"/>
      <c r="AG858" s="108" t="str">
        <f aca="false">IF($AF858="","",IFERROR(VLOOKUP($AF858,'Application Portfolio'!$A$2:$B$1000,2,FALSE()),"Unknown App ID"))</f>
        <v/>
      </c>
      <c r="AH858" s="108" t="str">
        <f aca="false">IF(OR($B858="",$AF858=""),"",IFERROR(VLOOKUP($AF858,'Application Portfolio'!$A$2:$AB$1000,28,FALSE()),""))</f>
        <v/>
      </c>
    </row>
    <row r="859" customFormat="false" ht="15.75" hidden="false" customHeight="true" outlineLevel="0" collapsed="false">
      <c r="A859" s="100"/>
      <c r="B859" s="101"/>
      <c r="C859" s="101"/>
      <c r="D859" s="101"/>
      <c r="E859" s="101"/>
      <c r="F859" s="102"/>
      <c r="G859" s="102"/>
      <c r="H859" s="102"/>
      <c r="I859" s="102"/>
      <c r="J859" s="102"/>
      <c r="K859" s="102"/>
      <c r="L859" s="103" t="str">
        <f aca="false">IF(OR($B859="", $H859="", $I859="", $J859="", $K859=""),"",ROUND((VLOOKUP($H859,Lists!$E$2:$F$5,2,FALSE())*VLOOKUP($I859,Lists!$H$2:$I$4,2,FALSE())*VLOOKUP($J859,Lists!$K$2:$L$4,2,FALSE()))/VLOOKUP($K859,Lists!$N$2:$O$6,2,FALSE()),2))</f>
        <v/>
      </c>
      <c r="M859" s="104" t="str">
        <f aca="false">IF($B859="","",IF($AC859&lt;&gt;"",$AC859,IF($H859="Critical","P0",IF(NOT(ISNUMBER($L859)),"",IF($L859&gt;=Lists!$AM$2,"P0",IF($L859&gt;=Lists!$AM$3,"P1",IF($L859&gt;=Lists!$AM$4,"P2","P3")))))))</f>
        <v/>
      </c>
      <c r="N859" s="102"/>
      <c r="O859" s="101"/>
      <c r="P859" s="102"/>
      <c r="Q859" s="105"/>
      <c r="R859" s="106" t="str">
        <f aca="true">IF($Q859="","", TODAY()-$Q859)</f>
        <v/>
      </c>
      <c r="S859" s="102"/>
      <c r="T859" s="105"/>
      <c r="U859" s="105"/>
      <c r="V859" s="101"/>
      <c r="W859" s="101"/>
      <c r="X859" s="101"/>
      <c r="Y859" s="96"/>
      <c r="Z859" s="96"/>
      <c r="AA859" s="96"/>
      <c r="AC859" s="102"/>
      <c r="AD859" s="107" t="str">
        <f aca="false">IF($B859="","",IF(ISNUMBER($T859),$T859,IF(OR(NOT(ISNUMBER($Q859)),$S859=""),"",IFERROR(IF(ISNUMBER(INDEX(Lists!$AJ$2:$AJ$7,MATCH($S859,Lists!$AI$2:$AI$7,0))),$Q859+INDEX(Lists!$AJ$2:$AJ$7,MATCH($S859,Lists!$AI$2:$AI$7,0)),""),""))))</f>
        <v/>
      </c>
      <c r="AE859" s="104" t="str">
        <f aca="true">IF($B859="","",IF(AND(ISNUMBER($AD859),N($AD859)&lt;TODAY(),$N859&lt;&gt;"Done",$N859&lt;&gt;"Won't Fix",$N859&lt;&gt;"Duplicate"),"Yes","No"))</f>
        <v/>
      </c>
      <c r="AF859" s="101"/>
      <c r="AG859" s="108" t="str">
        <f aca="false">IF($AF859="","",IFERROR(VLOOKUP($AF859,'Application Portfolio'!$A$2:$B$1000,2,FALSE()),"Unknown App ID"))</f>
        <v/>
      </c>
      <c r="AH859" s="108" t="str">
        <f aca="false">IF(OR($B859="",$AF859=""),"",IFERROR(VLOOKUP($AF859,'Application Portfolio'!$A$2:$AB$1000,28,FALSE()),""))</f>
        <v/>
      </c>
    </row>
    <row r="860" customFormat="false" ht="15.75" hidden="false" customHeight="true" outlineLevel="0" collapsed="false">
      <c r="A860" s="100"/>
      <c r="B860" s="101"/>
      <c r="C860" s="101"/>
      <c r="D860" s="101"/>
      <c r="E860" s="101"/>
      <c r="F860" s="102"/>
      <c r="G860" s="102"/>
      <c r="H860" s="102"/>
      <c r="I860" s="102"/>
      <c r="J860" s="102"/>
      <c r="K860" s="102"/>
      <c r="L860" s="103" t="str">
        <f aca="false">IF(OR($B860="", $H860="", $I860="", $J860="", $K860=""),"",ROUND((VLOOKUP($H860,Lists!$E$2:$F$5,2,FALSE())*VLOOKUP($I860,Lists!$H$2:$I$4,2,FALSE())*VLOOKUP($J860,Lists!$K$2:$L$4,2,FALSE()))/VLOOKUP($K860,Lists!$N$2:$O$6,2,FALSE()),2))</f>
        <v/>
      </c>
      <c r="M860" s="104" t="str">
        <f aca="false">IF($B860="","",IF($AC860&lt;&gt;"",$AC860,IF($H860="Critical","P0",IF(NOT(ISNUMBER($L860)),"",IF($L860&gt;=Lists!$AM$2,"P0",IF($L860&gt;=Lists!$AM$3,"P1",IF($L860&gt;=Lists!$AM$4,"P2","P3")))))))</f>
        <v/>
      </c>
      <c r="N860" s="102"/>
      <c r="O860" s="101"/>
      <c r="P860" s="102"/>
      <c r="Q860" s="105"/>
      <c r="R860" s="106" t="str">
        <f aca="true">IF($Q860="","", TODAY()-$Q860)</f>
        <v/>
      </c>
      <c r="S860" s="102"/>
      <c r="T860" s="105"/>
      <c r="U860" s="105"/>
      <c r="V860" s="101"/>
      <c r="W860" s="101"/>
      <c r="X860" s="101"/>
      <c r="Y860" s="96"/>
      <c r="Z860" s="96"/>
      <c r="AA860" s="96"/>
      <c r="AC860" s="102"/>
      <c r="AD860" s="107" t="str">
        <f aca="false">IF($B860="","",IF(ISNUMBER($T860),$T860,IF(OR(NOT(ISNUMBER($Q860)),$S860=""),"",IFERROR(IF(ISNUMBER(INDEX(Lists!$AJ$2:$AJ$7,MATCH($S860,Lists!$AI$2:$AI$7,0))),$Q860+INDEX(Lists!$AJ$2:$AJ$7,MATCH($S860,Lists!$AI$2:$AI$7,0)),""),""))))</f>
        <v/>
      </c>
      <c r="AE860" s="104" t="str">
        <f aca="true">IF($B860="","",IF(AND(ISNUMBER($AD860),N($AD860)&lt;TODAY(),$N860&lt;&gt;"Done",$N860&lt;&gt;"Won't Fix",$N860&lt;&gt;"Duplicate"),"Yes","No"))</f>
        <v/>
      </c>
      <c r="AF860" s="101"/>
      <c r="AG860" s="108" t="str">
        <f aca="false">IF($AF860="","",IFERROR(VLOOKUP($AF860,'Application Portfolio'!$A$2:$B$1000,2,FALSE()),"Unknown App ID"))</f>
        <v/>
      </c>
      <c r="AH860" s="108" t="str">
        <f aca="false">IF(OR($B860="",$AF860=""),"",IFERROR(VLOOKUP($AF860,'Application Portfolio'!$A$2:$AB$1000,28,FALSE()),""))</f>
        <v/>
      </c>
    </row>
    <row r="861" customFormat="false" ht="15.75" hidden="false" customHeight="true" outlineLevel="0" collapsed="false">
      <c r="A861" s="100"/>
      <c r="B861" s="101"/>
      <c r="C861" s="101"/>
      <c r="D861" s="101"/>
      <c r="E861" s="101"/>
      <c r="F861" s="102"/>
      <c r="G861" s="102"/>
      <c r="H861" s="102"/>
      <c r="I861" s="102"/>
      <c r="J861" s="102"/>
      <c r="K861" s="102"/>
      <c r="L861" s="103" t="str">
        <f aca="false">IF(OR($B861="", $H861="", $I861="", $J861="", $K861=""),"",ROUND((VLOOKUP($H861,Lists!$E$2:$F$5,2,FALSE())*VLOOKUP($I861,Lists!$H$2:$I$4,2,FALSE())*VLOOKUP($J861,Lists!$K$2:$L$4,2,FALSE()))/VLOOKUP($K861,Lists!$N$2:$O$6,2,FALSE()),2))</f>
        <v/>
      </c>
      <c r="M861" s="104" t="str">
        <f aca="false">IF($B861="","",IF($AC861&lt;&gt;"",$AC861,IF($H861="Critical","P0",IF(NOT(ISNUMBER($L861)),"",IF($L861&gt;=Lists!$AM$2,"P0",IF($L861&gt;=Lists!$AM$3,"P1",IF($L861&gt;=Lists!$AM$4,"P2","P3")))))))</f>
        <v/>
      </c>
      <c r="N861" s="102"/>
      <c r="O861" s="101"/>
      <c r="P861" s="102"/>
      <c r="Q861" s="105"/>
      <c r="R861" s="106" t="str">
        <f aca="true">IF($Q861="","", TODAY()-$Q861)</f>
        <v/>
      </c>
      <c r="S861" s="102"/>
      <c r="T861" s="105"/>
      <c r="U861" s="105"/>
      <c r="V861" s="101"/>
      <c r="W861" s="101"/>
      <c r="X861" s="101"/>
      <c r="Y861" s="96"/>
      <c r="Z861" s="96"/>
      <c r="AA861" s="96"/>
      <c r="AC861" s="102"/>
      <c r="AD861" s="107" t="str">
        <f aca="false">IF($B861="","",IF(ISNUMBER($T861),$T861,IF(OR(NOT(ISNUMBER($Q861)),$S861=""),"",IFERROR(IF(ISNUMBER(INDEX(Lists!$AJ$2:$AJ$7,MATCH($S861,Lists!$AI$2:$AI$7,0))),$Q861+INDEX(Lists!$AJ$2:$AJ$7,MATCH($S861,Lists!$AI$2:$AI$7,0)),""),""))))</f>
        <v/>
      </c>
      <c r="AE861" s="104" t="str">
        <f aca="true">IF($B861="","",IF(AND(ISNUMBER($AD861),N($AD861)&lt;TODAY(),$N861&lt;&gt;"Done",$N861&lt;&gt;"Won't Fix",$N861&lt;&gt;"Duplicate"),"Yes","No"))</f>
        <v/>
      </c>
      <c r="AF861" s="101"/>
      <c r="AG861" s="108" t="str">
        <f aca="false">IF($AF861="","",IFERROR(VLOOKUP($AF861,'Application Portfolio'!$A$2:$B$1000,2,FALSE()),"Unknown App ID"))</f>
        <v/>
      </c>
      <c r="AH861" s="108" t="str">
        <f aca="false">IF(OR($B861="",$AF861=""),"",IFERROR(VLOOKUP($AF861,'Application Portfolio'!$A$2:$AB$1000,28,FALSE()),""))</f>
        <v/>
      </c>
    </row>
    <row r="862" customFormat="false" ht="15.75" hidden="false" customHeight="true" outlineLevel="0" collapsed="false">
      <c r="A862" s="100"/>
      <c r="B862" s="101"/>
      <c r="C862" s="101"/>
      <c r="D862" s="101"/>
      <c r="E862" s="101"/>
      <c r="F862" s="102"/>
      <c r="G862" s="102"/>
      <c r="H862" s="102"/>
      <c r="I862" s="102"/>
      <c r="J862" s="102"/>
      <c r="K862" s="102"/>
      <c r="L862" s="103" t="str">
        <f aca="false">IF(OR($B862="", $H862="", $I862="", $J862="", $K862=""),"",ROUND((VLOOKUP($H862,Lists!$E$2:$F$5,2,FALSE())*VLOOKUP($I862,Lists!$H$2:$I$4,2,FALSE())*VLOOKUP($J862,Lists!$K$2:$L$4,2,FALSE()))/VLOOKUP($K862,Lists!$N$2:$O$6,2,FALSE()),2))</f>
        <v/>
      </c>
      <c r="M862" s="104" t="str">
        <f aca="false">IF($B862="","",IF($AC862&lt;&gt;"",$AC862,IF($H862="Critical","P0",IF(NOT(ISNUMBER($L862)),"",IF($L862&gt;=Lists!$AM$2,"P0",IF($L862&gt;=Lists!$AM$3,"P1",IF($L862&gt;=Lists!$AM$4,"P2","P3")))))))</f>
        <v/>
      </c>
      <c r="N862" s="102"/>
      <c r="O862" s="101"/>
      <c r="P862" s="102"/>
      <c r="Q862" s="105"/>
      <c r="R862" s="106" t="str">
        <f aca="true">IF($Q862="","", TODAY()-$Q862)</f>
        <v/>
      </c>
      <c r="S862" s="102"/>
      <c r="T862" s="105"/>
      <c r="U862" s="105"/>
      <c r="V862" s="101"/>
      <c r="W862" s="101"/>
      <c r="X862" s="101"/>
      <c r="Y862" s="96"/>
      <c r="Z862" s="96"/>
      <c r="AA862" s="96"/>
      <c r="AC862" s="102"/>
      <c r="AD862" s="107" t="str">
        <f aca="false">IF($B862="","",IF(ISNUMBER($T862),$T862,IF(OR(NOT(ISNUMBER($Q862)),$S862=""),"",IFERROR(IF(ISNUMBER(INDEX(Lists!$AJ$2:$AJ$7,MATCH($S862,Lists!$AI$2:$AI$7,0))),$Q862+INDEX(Lists!$AJ$2:$AJ$7,MATCH($S862,Lists!$AI$2:$AI$7,0)),""),""))))</f>
        <v/>
      </c>
      <c r="AE862" s="104" t="str">
        <f aca="true">IF($B862="","",IF(AND(ISNUMBER($AD862),N($AD862)&lt;TODAY(),$N862&lt;&gt;"Done",$N862&lt;&gt;"Won't Fix",$N862&lt;&gt;"Duplicate"),"Yes","No"))</f>
        <v/>
      </c>
      <c r="AF862" s="101"/>
      <c r="AG862" s="108" t="str">
        <f aca="false">IF($AF862="","",IFERROR(VLOOKUP($AF862,'Application Portfolio'!$A$2:$B$1000,2,FALSE()),"Unknown App ID"))</f>
        <v/>
      </c>
      <c r="AH862" s="108" t="str">
        <f aca="false">IF(OR($B862="",$AF862=""),"",IFERROR(VLOOKUP($AF862,'Application Portfolio'!$A$2:$AB$1000,28,FALSE()),""))</f>
        <v/>
      </c>
    </row>
    <row r="863" customFormat="false" ht="15.75" hidden="false" customHeight="true" outlineLevel="0" collapsed="false">
      <c r="A863" s="100"/>
      <c r="B863" s="101"/>
      <c r="C863" s="101"/>
      <c r="D863" s="101"/>
      <c r="E863" s="101"/>
      <c r="F863" s="102"/>
      <c r="G863" s="102"/>
      <c r="H863" s="102"/>
      <c r="I863" s="102"/>
      <c r="J863" s="102"/>
      <c r="K863" s="102"/>
      <c r="L863" s="103" t="str">
        <f aca="false">IF(OR($B863="", $H863="", $I863="", $J863="", $K863=""),"",ROUND((VLOOKUP($H863,Lists!$E$2:$F$5,2,FALSE())*VLOOKUP($I863,Lists!$H$2:$I$4,2,FALSE())*VLOOKUP($J863,Lists!$K$2:$L$4,2,FALSE()))/VLOOKUP($K863,Lists!$N$2:$O$6,2,FALSE()),2))</f>
        <v/>
      </c>
      <c r="M863" s="104" t="str">
        <f aca="false">IF($B863="","",IF($AC863&lt;&gt;"",$AC863,IF($H863="Critical","P0",IF(NOT(ISNUMBER($L863)),"",IF($L863&gt;=Lists!$AM$2,"P0",IF($L863&gt;=Lists!$AM$3,"P1",IF($L863&gt;=Lists!$AM$4,"P2","P3")))))))</f>
        <v/>
      </c>
      <c r="N863" s="102"/>
      <c r="O863" s="101"/>
      <c r="P863" s="102"/>
      <c r="Q863" s="105"/>
      <c r="R863" s="106" t="str">
        <f aca="true">IF($Q863="","", TODAY()-$Q863)</f>
        <v/>
      </c>
      <c r="S863" s="102"/>
      <c r="T863" s="105"/>
      <c r="U863" s="105"/>
      <c r="V863" s="101"/>
      <c r="W863" s="101"/>
      <c r="X863" s="101"/>
      <c r="Y863" s="96"/>
      <c r="Z863" s="96"/>
      <c r="AA863" s="96"/>
      <c r="AC863" s="102"/>
      <c r="AD863" s="107" t="str">
        <f aca="false">IF($B863="","",IF(ISNUMBER($T863),$T863,IF(OR(NOT(ISNUMBER($Q863)),$S863=""),"",IFERROR(IF(ISNUMBER(INDEX(Lists!$AJ$2:$AJ$7,MATCH($S863,Lists!$AI$2:$AI$7,0))),$Q863+INDEX(Lists!$AJ$2:$AJ$7,MATCH($S863,Lists!$AI$2:$AI$7,0)),""),""))))</f>
        <v/>
      </c>
      <c r="AE863" s="104" t="str">
        <f aca="true">IF($B863="","",IF(AND(ISNUMBER($AD863),N($AD863)&lt;TODAY(),$N863&lt;&gt;"Done",$N863&lt;&gt;"Won't Fix",$N863&lt;&gt;"Duplicate"),"Yes","No"))</f>
        <v/>
      </c>
      <c r="AF863" s="101"/>
      <c r="AG863" s="108" t="str">
        <f aca="false">IF($AF863="","",IFERROR(VLOOKUP($AF863,'Application Portfolio'!$A$2:$B$1000,2,FALSE()),"Unknown App ID"))</f>
        <v/>
      </c>
      <c r="AH863" s="108" t="str">
        <f aca="false">IF(OR($B863="",$AF863=""),"",IFERROR(VLOOKUP($AF863,'Application Portfolio'!$A$2:$AB$1000,28,FALSE()),""))</f>
        <v/>
      </c>
    </row>
    <row r="864" customFormat="false" ht="15.75" hidden="false" customHeight="true" outlineLevel="0" collapsed="false">
      <c r="A864" s="100"/>
      <c r="B864" s="101"/>
      <c r="C864" s="101"/>
      <c r="D864" s="101"/>
      <c r="E864" s="101"/>
      <c r="F864" s="102"/>
      <c r="G864" s="102"/>
      <c r="H864" s="102"/>
      <c r="I864" s="102"/>
      <c r="J864" s="102"/>
      <c r="K864" s="102"/>
      <c r="L864" s="103" t="str">
        <f aca="false">IF(OR($B864="", $H864="", $I864="", $J864="", $K864=""),"",ROUND((VLOOKUP($H864,Lists!$E$2:$F$5,2,FALSE())*VLOOKUP($I864,Lists!$H$2:$I$4,2,FALSE())*VLOOKUP($J864,Lists!$K$2:$L$4,2,FALSE()))/VLOOKUP($K864,Lists!$N$2:$O$6,2,FALSE()),2))</f>
        <v/>
      </c>
      <c r="M864" s="104" t="str">
        <f aca="false">IF($B864="","",IF($AC864&lt;&gt;"",$AC864,IF($H864="Critical","P0",IF(NOT(ISNUMBER($L864)),"",IF($L864&gt;=Lists!$AM$2,"P0",IF($L864&gt;=Lists!$AM$3,"P1",IF($L864&gt;=Lists!$AM$4,"P2","P3")))))))</f>
        <v/>
      </c>
      <c r="N864" s="102"/>
      <c r="O864" s="101"/>
      <c r="P864" s="102"/>
      <c r="Q864" s="105"/>
      <c r="R864" s="106" t="str">
        <f aca="true">IF($Q864="","", TODAY()-$Q864)</f>
        <v/>
      </c>
      <c r="S864" s="102"/>
      <c r="T864" s="105"/>
      <c r="U864" s="105"/>
      <c r="V864" s="101"/>
      <c r="W864" s="101"/>
      <c r="X864" s="101"/>
      <c r="Y864" s="96"/>
      <c r="Z864" s="96"/>
      <c r="AA864" s="96"/>
      <c r="AC864" s="102"/>
      <c r="AD864" s="107" t="str">
        <f aca="false">IF($B864="","",IF(ISNUMBER($T864),$T864,IF(OR(NOT(ISNUMBER($Q864)),$S864=""),"",IFERROR(IF(ISNUMBER(INDEX(Lists!$AJ$2:$AJ$7,MATCH($S864,Lists!$AI$2:$AI$7,0))),$Q864+INDEX(Lists!$AJ$2:$AJ$7,MATCH($S864,Lists!$AI$2:$AI$7,0)),""),""))))</f>
        <v/>
      </c>
      <c r="AE864" s="104" t="str">
        <f aca="true">IF($B864="","",IF(AND(ISNUMBER($AD864),N($AD864)&lt;TODAY(),$N864&lt;&gt;"Done",$N864&lt;&gt;"Won't Fix",$N864&lt;&gt;"Duplicate"),"Yes","No"))</f>
        <v/>
      </c>
      <c r="AF864" s="101"/>
      <c r="AG864" s="108" t="str">
        <f aca="false">IF($AF864="","",IFERROR(VLOOKUP($AF864,'Application Portfolio'!$A$2:$B$1000,2,FALSE()),"Unknown App ID"))</f>
        <v/>
      </c>
      <c r="AH864" s="108" t="str">
        <f aca="false">IF(OR($B864="",$AF864=""),"",IFERROR(VLOOKUP($AF864,'Application Portfolio'!$A$2:$AB$1000,28,FALSE()),""))</f>
        <v/>
      </c>
    </row>
    <row r="865" customFormat="false" ht="15.75" hidden="false" customHeight="true" outlineLevel="0" collapsed="false">
      <c r="A865" s="100"/>
      <c r="B865" s="101"/>
      <c r="C865" s="101"/>
      <c r="D865" s="101"/>
      <c r="E865" s="101"/>
      <c r="F865" s="102"/>
      <c r="G865" s="102"/>
      <c r="H865" s="102"/>
      <c r="I865" s="102"/>
      <c r="J865" s="102"/>
      <c r="K865" s="102"/>
      <c r="L865" s="103" t="str">
        <f aca="false">IF(OR($B865="", $H865="", $I865="", $J865="", $K865=""),"",ROUND((VLOOKUP($H865,Lists!$E$2:$F$5,2,FALSE())*VLOOKUP($I865,Lists!$H$2:$I$4,2,FALSE())*VLOOKUP($J865,Lists!$K$2:$L$4,2,FALSE()))/VLOOKUP($K865,Lists!$N$2:$O$6,2,FALSE()),2))</f>
        <v/>
      </c>
      <c r="M865" s="104" t="str">
        <f aca="false">IF($B865="","",IF($AC865&lt;&gt;"",$AC865,IF($H865="Critical","P0",IF(NOT(ISNUMBER($L865)),"",IF($L865&gt;=Lists!$AM$2,"P0",IF($L865&gt;=Lists!$AM$3,"P1",IF($L865&gt;=Lists!$AM$4,"P2","P3")))))))</f>
        <v/>
      </c>
      <c r="N865" s="102"/>
      <c r="O865" s="101"/>
      <c r="P865" s="102"/>
      <c r="Q865" s="105"/>
      <c r="R865" s="106" t="str">
        <f aca="true">IF($Q865="","", TODAY()-$Q865)</f>
        <v/>
      </c>
      <c r="S865" s="102"/>
      <c r="T865" s="105"/>
      <c r="U865" s="105"/>
      <c r="V865" s="101"/>
      <c r="W865" s="101"/>
      <c r="X865" s="101"/>
      <c r="Y865" s="96"/>
      <c r="Z865" s="96"/>
      <c r="AA865" s="96"/>
      <c r="AC865" s="102"/>
      <c r="AD865" s="107" t="str">
        <f aca="false">IF($B865="","",IF(ISNUMBER($T865),$T865,IF(OR(NOT(ISNUMBER($Q865)),$S865=""),"",IFERROR(IF(ISNUMBER(INDEX(Lists!$AJ$2:$AJ$7,MATCH($S865,Lists!$AI$2:$AI$7,0))),$Q865+INDEX(Lists!$AJ$2:$AJ$7,MATCH($S865,Lists!$AI$2:$AI$7,0)),""),""))))</f>
        <v/>
      </c>
      <c r="AE865" s="104" t="str">
        <f aca="true">IF($B865="","",IF(AND(ISNUMBER($AD865),N($AD865)&lt;TODAY(),$N865&lt;&gt;"Done",$N865&lt;&gt;"Won't Fix",$N865&lt;&gt;"Duplicate"),"Yes","No"))</f>
        <v/>
      </c>
      <c r="AF865" s="101"/>
      <c r="AG865" s="108" t="str">
        <f aca="false">IF($AF865="","",IFERROR(VLOOKUP($AF865,'Application Portfolio'!$A$2:$B$1000,2,FALSE()),"Unknown App ID"))</f>
        <v/>
      </c>
      <c r="AH865" s="108" t="str">
        <f aca="false">IF(OR($B865="",$AF865=""),"",IFERROR(VLOOKUP($AF865,'Application Portfolio'!$A$2:$AB$1000,28,FALSE()),""))</f>
        <v/>
      </c>
    </row>
    <row r="866" customFormat="false" ht="15.75" hidden="false" customHeight="true" outlineLevel="0" collapsed="false">
      <c r="A866" s="100"/>
      <c r="B866" s="101"/>
      <c r="C866" s="101"/>
      <c r="D866" s="101"/>
      <c r="E866" s="101"/>
      <c r="F866" s="102"/>
      <c r="G866" s="102"/>
      <c r="H866" s="102"/>
      <c r="I866" s="102"/>
      <c r="J866" s="102"/>
      <c r="K866" s="102"/>
      <c r="L866" s="103" t="str">
        <f aca="false">IF(OR($B866="", $H866="", $I866="", $J866="", $K866=""),"",ROUND((VLOOKUP($H866,Lists!$E$2:$F$5,2,FALSE())*VLOOKUP($I866,Lists!$H$2:$I$4,2,FALSE())*VLOOKUP($J866,Lists!$K$2:$L$4,2,FALSE()))/VLOOKUP($K866,Lists!$N$2:$O$6,2,FALSE()),2))</f>
        <v/>
      </c>
      <c r="M866" s="104" t="str">
        <f aca="false">IF($B866="","",IF($AC866&lt;&gt;"",$AC866,IF($H866="Critical","P0",IF(NOT(ISNUMBER($L866)),"",IF($L866&gt;=Lists!$AM$2,"P0",IF($L866&gt;=Lists!$AM$3,"P1",IF($L866&gt;=Lists!$AM$4,"P2","P3")))))))</f>
        <v/>
      </c>
      <c r="N866" s="102"/>
      <c r="O866" s="101"/>
      <c r="P866" s="102"/>
      <c r="Q866" s="105"/>
      <c r="R866" s="106" t="str">
        <f aca="true">IF($Q866="","", TODAY()-$Q866)</f>
        <v/>
      </c>
      <c r="S866" s="102"/>
      <c r="T866" s="105"/>
      <c r="U866" s="105"/>
      <c r="V866" s="101"/>
      <c r="W866" s="101"/>
      <c r="X866" s="101"/>
      <c r="Y866" s="96"/>
      <c r="Z866" s="96"/>
      <c r="AA866" s="96"/>
      <c r="AC866" s="102"/>
      <c r="AD866" s="107" t="str">
        <f aca="false">IF($B866="","",IF(ISNUMBER($T866),$T866,IF(OR(NOT(ISNUMBER($Q866)),$S866=""),"",IFERROR(IF(ISNUMBER(INDEX(Lists!$AJ$2:$AJ$7,MATCH($S866,Lists!$AI$2:$AI$7,0))),$Q866+INDEX(Lists!$AJ$2:$AJ$7,MATCH($S866,Lists!$AI$2:$AI$7,0)),""),""))))</f>
        <v/>
      </c>
      <c r="AE866" s="104" t="str">
        <f aca="true">IF($B866="","",IF(AND(ISNUMBER($AD866),N($AD866)&lt;TODAY(),$N866&lt;&gt;"Done",$N866&lt;&gt;"Won't Fix",$N866&lt;&gt;"Duplicate"),"Yes","No"))</f>
        <v/>
      </c>
      <c r="AF866" s="101"/>
      <c r="AG866" s="108" t="str">
        <f aca="false">IF($AF866="","",IFERROR(VLOOKUP($AF866,'Application Portfolio'!$A$2:$B$1000,2,FALSE()),"Unknown App ID"))</f>
        <v/>
      </c>
      <c r="AH866" s="108" t="str">
        <f aca="false">IF(OR($B866="",$AF866=""),"",IFERROR(VLOOKUP($AF866,'Application Portfolio'!$A$2:$AB$1000,28,FALSE()),""))</f>
        <v/>
      </c>
    </row>
    <row r="867" customFormat="false" ht="15.75" hidden="false" customHeight="true" outlineLevel="0" collapsed="false">
      <c r="A867" s="100"/>
      <c r="B867" s="101"/>
      <c r="C867" s="101"/>
      <c r="D867" s="101"/>
      <c r="E867" s="101"/>
      <c r="F867" s="102"/>
      <c r="G867" s="102"/>
      <c r="H867" s="102"/>
      <c r="I867" s="102"/>
      <c r="J867" s="102"/>
      <c r="K867" s="102"/>
      <c r="L867" s="103" t="str">
        <f aca="false">IF(OR($B867="", $H867="", $I867="", $J867="", $K867=""),"",ROUND((VLOOKUP($H867,Lists!$E$2:$F$5,2,FALSE())*VLOOKUP($I867,Lists!$H$2:$I$4,2,FALSE())*VLOOKUP($J867,Lists!$K$2:$L$4,2,FALSE()))/VLOOKUP($K867,Lists!$N$2:$O$6,2,FALSE()),2))</f>
        <v/>
      </c>
      <c r="M867" s="104" t="str">
        <f aca="false">IF($B867="","",IF($AC867&lt;&gt;"",$AC867,IF($H867="Critical","P0",IF(NOT(ISNUMBER($L867)),"",IF($L867&gt;=Lists!$AM$2,"P0",IF($L867&gt;=Lists!$AM$3,"P1",IF($L867&gt;=Lists!$AM$4,"P2","P3")))))))</f>
        <v/>
      </c>
      <c r="N867" s="102"/>
      <c r="O867" s="101"/>
      <c r="P867" s="102"/>
      <c r="Q867" s="105"/>
      <c r="R867" s="106" t="str">
        <f aca="true">IF($Q867="","", TODAY()-$Q867)</f>
        <v/>
      </c>
      <c r="S867" s="102"/>
      <c r="T867" s="105"/>
      <c r="U867" s="105"/>
      <c r="V867" s="101"/>
      <c r="W867" s="101"/>
      <c r="X867" s="101"/>
      <c r="Y867" s="96"/>
      <c r="Z867" s="96"/>
      <c r="AA867" s="96"/>
      <c r="AC867" s="102"/>
      <c r="AD867" s="107" t="str">
        <f aca="false">IF($B867="","",IF(ISNUMBER($T867),$T867,IF(OR(NOT(ISNUMBER($Q867)),$S867=""),"",IFERROR(IF(ISNUMBER(INDEX(Lists!$AJ$2:$AJ$7,MATCH($S867,Lists!$AI$2:$AI$7,0))),$Q867+INDEX(Lists!$AJ$2:$AJ$7,MATCH($S867,Lists!$AI$2:$AI$7,0)),""),""))))</f>
        <v/>
      </c>
      <c r="AE867" s="104" t="str">
        <f aca="true">IF($B867="","",IF(AND(ISNUMBER($AD867),N($AD867)&lt;TODAY(),$N867&lt;&gt;"Done",$N867&lt;&gt;"Won't Fix",$N867&lt;&gt;"Duplicate"),"Yes","No"))</f>
        <v/>
      </c>
      <c r="AF867" s="101"/>
      <c r="AG867" s="108" t="str">
        <f aca="false">IF($AF867="","",IFERROR(VLOOKUP($AF867,'Application Portfolio'!$A$2:$B$1000,2,FALSE()),"Unknown App ID"))</f>
        <v/>
      </c>
      <c r="AH867" s="108" t="str">
        <f aca="false">IF(OR($B867="",$AF867=""),"",IFERROR(VLOOKUP($AF867,'Application Portfolio'!$A$2:$AB$1000,28,FALSE()),""))</f>
        <v/>
      </c>
    </row>
    <row r="868" customFormat="false" ht="15.75" hidden="false" customHeight="true" outlineLevel="0" collapsed="false">
      <c r="A868" s="100"/>
      <c r="B868" s="101"/>
      <c r="C868" s="101"/>
      <c r="D868" s="101"/>
      <c r="E868" s="101"/>
      <c r="F868" s="102"/>
      <c r="G868" s="102"/>
      <c r="H868" s="102"/>
      <c r="I868" s="102"/>
      <c r="J868" s="102"/>
      <c r="K868" s="102"/>
      <c r="L868" s="103" t="str">
        <f aca="false">IF(OR($B868="", $H868="", $I868="", $J868="", $K868=""),"",ROUND((VLOOKUP($H868,Lists!$E$2:$F$5,2,FALSE())*VLOOKUP($I868,Lists!$H$2:$I$4,2,FALSE())*VLOOKUP($J868,Lists!$K$2:$L$4,2,FALSE()))/VLOOKUP($K868,Lists!$N$2:$O$6,2,FALSE()),2))</f>
        <v/>
      </c>
      <c r="M868" s="104" t="str">
        <f aca="false">IF($B868="","",IF($AC868&lt;&gt;"",$AC868,IF($H868="Critical","P0",IF(NOT(ISNUMBER($L868)),"",IF($L868&gt;=Lists!$AM$2,"P0",IF($L868&gt;=Lists!$AM$3,"P1",IF($L868&gt;=Lists!$AM$4,"P2","P3")))))))</f>
        <v/>
      </c>
      <c r="N868" s="102"/>
      <c r="O868" s="101"/>
      <c r="P868" s="102"/>
      <c r="Q868" s="105"/>
      <c r="R868" s="106" t="str">
        <f aca="true">IF($Q868="","", TODAY()-$Q868)</f>
        <v/>
      </c>
      <c r="S868" s="102"/>
      <c r="T868" s="105"/>
      <c r="U868" s="105"/>
      <c r="V868" s="101"/>
      <c r="W868" s="101"/>
      <c r="X868" s="101"/>
      <c r="Y868" s="96"/>
      <c r="Z868" s="96"/>
      <c r="AA868" s="96"/>
      <c r="AC868" s="102"/>
      <c r="AD868" s="107" t="str">
        <f aca="false">IF($B868="","",IF(ISNUMBER($T868),$T868,IF(OR(NOT(ISNUMBER($Q868)),$S868=""),"",IFERROR(IF(ISNUMBER(INDEX(Lists!$AJ$2:$AJ$7,MATCH($S868,Lists!$AI$2:$AI$7,0))),$Q868+INDEX(Lists!$AJ$2:$AJ$7,MATCH($S868,Lists!$AI$2:$AI$7,0)),""),""))))</f>
        <v/>
      </c>
      <c r="AE868" s="104" t="str">
        <f aca="true">IF($B868="","",IF(AND(ISNUMBER($AD868),N($AD868)&lt;TODAY(),$N868&lt;&gt;"Done",$N868&lt;&gt;"Won't Fix",$N868&lt;&gt;"Duplicate"),"Yes","No"))</f>
        <v/>
      </c>
      <c r="AF868" s="101"/>
      <c r="AG868" s="108" t="str">
        <f aca="false">IF($AF868="","",IFERROR(VLOOKUP($AF868,'Application Portfolio'!$A$2:$B$1000,2,FALSE()),"Unknown App ID"))</f>
        <v/>
      </c>
      <c r="AH868" s="108" t="str">
        <f aca="false">IF(OR($B868="",$AF868=""),"",IFERROR(VLOOKUP($AF868,'Application Portfolio'!$A$2:$AB$1000,28,FALSE()),""))</f>
        <v/>
      </c>
    </row>
    <row r="869" customFormat="false" ht="15.75" hidden="false" customHeight="true" outlineLevel="0" collapsed="false">
      <c r="A869" s="100"/>
      <c r="B869" s="101"/>
      <c r="C869" s="101"/>
      <c r="D869" s="101"/>
      <c r="E869" s="101"/>
      <c r="F869" s="102"/>
      <c r="G869" s="102"/>
      <c r="H869" s="102"/>
      <c r="I869" s="102"/>
      <c r="J869" s="102"/>
      <c r="K869" s="102"/>
      <c r="L869" s="103" t="str">
        <f aca="false">IF(OR($B869="", $H869="", $I869="", $J869="", $K869=""),"",ROUND((VLOOKUP($H869,Lists!$E$2:$F$5,2,FALSE())*VLOOKUP($I869,Lists!$H$2:$I$4,2,FALSE())*VLOOKUP($J869,Lists!$K$2:$L$4,2,FALSE()))/VLOOKUP($K869,Lists!$N$2:$O$6,2,FALSE()),2))</f>
        <v/>
      </c>
      <c r="M869" s="104" t="str">
        <f aca="false">IF($B869="","",IF($AC869&lt;&gt;"",$AC869,IF($H869="Critical","P0",IF(NOT(ISNUMBER($L869)),"",IF($L869&gt;=Lists!$AM$2,"P0",IF($L869&gt;=Lists!$AM$3,"P1",IF($L869&gt;=Lists!$AM$4,"P2","P3")))))))</f>
        <v/>
      </c>
      <c r="N869" s="102"/>
      <c r="O869" s="101"/>
      <c r="P869" s="102"/>
      <c r="Q869" s="105"/>
      <c r="R869" s="106" t="str">
        <f aca="true">IF($Q869="","", TODAY()-$Q869)</f>
        <v/>
      </c>
      <c r="S869" s="102"/>
      <c r="T869" s="105"/>
      <c r="U869" s="105"/>
      <c r="V869" s="101"/>
      <c r="W869" s="101"/>
      <c r="X869" s="101"/>
      <c r="Y869" s="96"/>
      <c r="Z869" s="96"/>
      <c r="AA869" s="96"/>
      <c r="AC869" s="102"/>
      <c r="AD869" s="107" t="str">
        <f aca="false">IF($B869="","",IF(ISNUMBER($T869),$T869,IF(OR(NOT(ISNUMBER($Q869)),$S869=""),"",IFERROR(IF(ISNUMBER(INDEX(Lists!$AJ$2:$AJ$7,MATCH($S869,Lists!$AI$2:$AI$7,0))),$Q869+INDEX(Lists!$AJ$2:$AJ$7,MATCH($S869,Lists!$AI$2:$AI$7,0)),""),""))))</f>
        <v/>
      </c>
      <c r="AE869" s="104" t="str">
        <f aca="true">IF($B869="","",IF(AND(ISNUMBER($AD869),N($AD869)&lt;TODAY(),$N869&lt;&gt;"Done",$N869&lt;&gt;"Won't Fix",$N869&lt;&gt;"Duplicate"),"Yes","No"))</f>
        <v/>
      </c>
      <c r="AF869" s="101"/>
      <c r="AG869" s="108" t="str">
        <f aca="false">IF($AF869="","",IFERROR(VLOOKUP($AF869,'Application Portfolio'!$A$2:$B$1000,2,FALSE()),"Unknown App ID"))</f>
        <v/>
      </c>
      <c r="AH869" s="108" t="str">
        <f aca="false">IF(OR($B869="",$AF869=""),"",IFERROR(VLOOKUP($AF869,'Application Portfolio'!$A$2:$AB$1000,28,FALSE()),""))</f>
        <v/>
      </c>
    </row>
    <row r="870" customFormat="false" ht="15.75" hidden="false" customHeight="true" outlineLevel="0" collapsed="false">
      <c r="A870" s="100"/>
      <c r="B870" s="101"/>
      <c r="C870" s="101"/>
      <c r="D870" s="101"/>
      <c r="E870" s="101"/>
      <c r="F870" s="102"/>
      <c r="G870" s="102"/>
      <c r="H870" s="102"/>
      <c r="I870" s="102"/>
      <c r="J870" s="102"/>
      <c r="K870" s="102"/>
      <c r="L870" s="103" t="str">
        <f aca="false">IF(OR($B870="", $H870="", $I870="", $J870="", $K870=""),"",ROUND((VLOOKUP($H870,Lists!$E$2:$F$5,2,FALSE())*VLOOKUP($I870,Lists!$H$2:$I$4,2,FALSE())*VLOOKUP($J870,Lists!$K$2:$L$4,2,FALSE()))/VLOOKUP($K870,Lists!$N$2:$O$6,2,FALSE()),2))</f>
        <v/>
      </c>
      <c r="M870" s="104" t="str">
        <f aca="false">IF($B870="","",IF($AC870&lt;&gt;"",$AC870,IF($H870="Critical","P0",IF(NOT(ISNUMBER($L870)),"",IF($L870&gt;=Lists!$AM$2,"P0",IF($L870&gt;=Lists!$AM$3,"P1",IF($L870&gt;=Lists!$AM$4,"P2","P3")))))))</f>
        <v/>
      </c>
      <c r="N870" s="102"/>
      <c r="O870" s="101"/>
      <c r="P870" s="102"/>
      <c r="Q870" s="105"/>
      <c r="R870" s="106" t="str">
        <f aca="true">IF($Q870="","", TODAY()-$Q870)</f>
        <v/>
      </c>
      <c r="S870" s="102"/>
      <c r="T870" s="105"/>
      <c r="U870" s="105"/>
      <c r="V870" s="101"/>
      <c r="W870" s="101"/>
      <c r="X870" s="101"/>
      <c r="Y870" s="96"/>
      <c r="Z870" s="96"/>
      <c r="AA870" s="96"/>
      <c r="AC870" s="102"/>
      <c r="AD870" s="107" t="str">
        <f aca="false">IF($B870="","",IF(ISNUMBER($T870),$T870,IF(OR(NOT(ISNUMBER($Q870)),$S870=""),"",IFERROR(IF(ISNUMBER(INDEX(Lists!$AJ$2:$AJ$7,MATCH($S870,Lists!$AI$2:$AI$7,0))),$Q870+INDEX(Lists!$AJ$2:$AJ$7,MATCH($S870,Lists!$AI$2:$AI$7,0)),""),""))))</f>
        <v/>
      </c>
      <c r="AE870" s="104" t="str">
        <f aca="true">IF($B870="","",IF(AND(ISNUMBER($AD870),N($AD870)&lt;TODAY(),$N870&lt;&gt;"Done",$N870&lt;&gt;"Won't Fix",$N870&lt;&gt;"Duplicate"),"Yes","No"))</f>
        <v/>
      </c>
      <c r="AF870" s="101"/>
      <c r="AG870" s="108" t="str">
        <f aca="false">IF($AF870="","",IFERROR(VLOOKUP($AF870,'Application Portfolio'!$A$2:$B$1000,2,FALSE()),"Unknown App ID"))</f>
        <v/>
      </c>
      <c r="AH870" s="108" t="str">
        <f aca="false">IF(OR($B870="",$AF870=""),"",IFERROR(VLOOKUP($AF870,'Application Portfolio'!$A$2:$AB$1000,28,FALSE()),""))</f>
        <v/>
      </c>
    </row>
    <row r="871" customFormat="false" ht="15.75" hidden="false" customHeight="true" outlineLevel="0" collapsed="false">
      <c r="A871" s="100"/>
      <c r="B871" s="101"/>
      <c r="C871" s="101"/>
      <c r="D871" s="101"/>
      <c r="E871" s="101"/>
      <c r="F871" s="102"/>
      <c r="G871" s="102"/>
      <c r="H871" s="102"/>
      <c r="I871" s="102"/>
      <c r="J871" s="102"/>
      <c r="K871" s="102"/>
      <c r="L871" s="103" t="str">
        <f aca="false">IF(OR($B871="", $H871="", $I871="", $J871="", $K871=""),"",ROUND((VLOOKUP($H871,Lists!$E$2:$F$5,2,FALSE())*VLOOKUP($I871,Lists!$H$2:$I$4,2,FALSE())*VLOOKUP($J871,Lists!$K$2:$L$4,2,FALSE()))/VLOOKUP($K871,Lists!$N$2:$O$6,2,FALSE()),2))</f>
        <v/>
      </c>
      <c r="M871" s="104" t="str">
        <f aca="false">IF($B871="","",IF($AC871&lt;&gt;"",$AC871,IF($H871="Critical","P0",IF(NOT(ISNUMBER($L871)),"",IF($L871&gt;=Lists!$AM$2,"P0",IF($L871&gt;=Lists!$AM$3,"P1",IF($L871&gt;=Lists!$AM$4,"P2","P3")))))))</f>
        <v/>
      </c>
      <c r="N871" s="102"/>
      <c r="O871" s="101"/>
      <c r="P871" s="102"/>
      <c r="Q871" s="105"/>
      <c r="R871" s="106" t="str">
        <f aca="true">IF($Q871="","", TODAY()-$Q871)</f>
        <v/>
      </c>
      <c r="S871" s="102"/>
      <c r="T871" s="105"/>
      <c r="U871" s="105"/>
      <c r="V871" s="101"/>
      <c r="W871" s="101"/>
      <c r="X871" s="101"/>
      <c r="Y871" s="96"/>
      <c r="Z871" s="96"/>
      <c r="AA871" s="96"/>
      <c r="AC871" s="102"/>
      <c r="AD871" s="107" t="str">
        <f aca="false">IF($B871="","",IF(ISNUMBER($T871),$T871,IF(OR(NOT(ISNUMBER($Q871)),$S871=""),"",IFERROR(IF(ISNUMBER(INDEX(Lists!$AJ$2:$AJ$7,MATCH($S871,Lists!$AI$2:$AI$7,0))),$Q871+INDEX(Lists!$AJ$2:$AJ$7,MATCH($S871,Lists!$AI$2:$AI$7,0)),""),""))))</f>
        <v/>
      </c>
      <c r="AE871" s="104" t="str">
        <f aca="true">IF($B871="","",IF(AND(ISNUMBER($AD871),N($AD871)&lt;TODAY(),$N871&lt;&gt;"Done",$N871&lt;&gt;"Won't Fix",$N871&lt;&gt;"Duplicate"),"Yes","No"))</f>
        <v/>
      </c>
      <c r="AF871" s="101"/>
      <c r="AG871" s="108" t="str">
        <f aca="false">IF($AF871="","",IFERROR(VLOOKUP($AF871,'Application Portfolio'!$A$2:$B$1000,2,FALSE()),"Unknown App ID"))</f>
        <v/>
      </c>
      <c r="AH871" s="108" t="str">
        <f aca="false">IF(OR($B871="",$AF871=""),"",IFERROR(VLOOKUP($AF871,'Application Portfolio'!$A$2:$AB$1000,28,FALSE()),""))</f>
        <v/>
      </c>
    </row>
    <row r="872" customFormat="false" ht="15.75" hidden="false" customHeight="true" outlineLevel="0" collapsed="false">
      <c r="A872" s="100"/>
      <c r="B872" s="101"/>
      <c r="C872" s="101"/>
      <c r="D872" s="101"/>
      <c r="E872" s="101"/>
      <c r="F872" s="102"/>
      <c r="G872" s="102"/>
      <c r="H872" s="102"/>
      <c r="I872" s="102"/>
      <c r="J872" s="102"/>
      <c r="K872" s="102"/>
      <c r="L872" s="103" t="str">
        <f aca="false">IF(OR($B872="", $H872="", $I872="", $J872="", $K872=""),"",ROUND((VLOOKUP($H872,Lists!$E$2:$F$5,2,FALSE())*VLOOKUP($I872,Lists!$H$2:$I$4,2,FALSE())*VLOOKUP($J872,Lists!$K$2:$L$4,2,FALSE()))/VLOOKUP($K872,Lists!$N$2:$O$6,2,FALSE()),2))</f>
        <v/>
      </c>
      <c r="M872" s="104" t="str">
        <f aca="false">IF($B872="","",IF($AC872&lt;&gt;"",$AC872,IF($H872="Critical","P0",IF(NOT(ISNUMBER($L872)),"",IF($L872&gt;=Lists!$AM$2,"P0",IF($L872&gt;=Lists!$AM$3,"P1",IF($L872&gt;=Lists!$AM$4,"P2","P3")))))))</f>
        <v/>
      </c>
      <c r="N872" s="102"/>
      <c r="O872" s="101"/>
      <c r="P872" s="102"/>
      <c r="Q872" s="105"/>
      <c r="R872" s="106" t="str">
        <f aca="true">IF($Q872="","", TODAY()-$Q872)</f>
        <v/>
      </c>
      <c r="S872" s="102"/>
      <c r="T872" s="105"/>
      <c r="U872" s="105"/>
      <c r="V872" s="101"/>
      <c r="W872" s="101"/>
      <c r="X872" s="101"/>
      <c r="Y872" s="96"/>
      <c r="Z872" s="96"/>
      <c r="AA872" s="96"/>
      <c r="AC872" s="102"/>
      <c r="AD872" s="107" t="str">
        <f aca="false">IF($B872="","",IF(ISNUMBER($T872),$T872,IF(OR(NOT(ISNUMBER($Q872)),$S872=""),"",IFERROR(IF(ISNUMBER(INDEX(Lists!$AJ$2:$AJ$7,MATCH($S872,Lists!$AI$2:$AI$7,0))),$Q872+INDEX(Lists!$AJ$2:$AJ$7,MATCH($S872,Lists!$AI$2:$AI$7,0)),""),""))))</f>
        <v/>
      </c>
      <c r="AE872" s="104" t="str">
        <f aca="true">IF($B872="","",IF(AND(ISNUMBER($AD872),N($AD872)&lt;TODAY(),$N872&lt;&gt;"Done",$N872&lt;&gt;"Won't Fix",$N872&lt;&gt;"Duplicate"),"Yes","No"))</f>
        <v/>
      </c>
      <c r="AF872" s="101"/>
      <c r="AG872" s="108" t="str">
        <f aca="false">IF($AF872="","",IFERROR(VLOOKUP($AF872,'Application Portfolio'!$A$2:$B$1000,2,FALSE()),"Unknown App ID"))</f>
        <v/>
      </c>
      <c r="AH872" s="108" t="str">
        <f aca="false">IF(OR($B872="",$AF872=""),"",IFERROR(VLOOKUP($AF872,'Application Portfolio'!$A$2:$AB$1000,28,FALSE()),""))</f>
        <v/>
      </c>
    </row>
    <row r="873" customFormat="false" ht="15.75" hidden="false" customHeight="true" outlineLevel="0" collapsed="false">
      <c r="A873" s="100"/>
      <c r="B873" s="101"/>
      <c r="C873" s="101"/>
      <c r="D873" s="101"/>
      <c r="E873" s="101"/>
      <c r="F873" s="102"/>
      <c r="G873" s="102"/>
      <c r="H873" s="102"/>
      <c r="I873" s="102"/>
      <c r="J873" s="102"/>
      <c r="K873" s="102"/>
      <c r="L873" s="103" t="str">
        <f aca="false">IF(OR($B873="", $H873="", $I873="", $J873="", $K873=""),"",ROUND((VLOOKUP($H873,Lists!$E$2:$F$5,2,FALSE())*VLOOKUP($I873,Lists!$H$2:$I$4,2,FALSE())*VLOOKUP($J873,Lists!$K$2:$L$4,2,FALSE()))/VLOOKUP($K873,Lists!$N$2:$O$6,2,FALSE()),2))</f>
        <v/>
      </c>
      <c r="M873" s="104" t="str">
        <f aca="false">IF($B873="","",IF($AC873&lt;&gt;"",$AC873,IF($H873="Critical","P0",IF(NOT(ISNUMBER($L873)),"",IF($L873&gt;=Lists!$AM$2,"P0",IF($L873&gt;=Lists!$AM$3,"P1",IF($L873&gt;=Lists!$AM$4,"P2","P3")))))))</f>
        <v/>
      </c>
      <c r="N873" s="102"/>
      <c r="O873" s="101"/>
      <c r="P873" s="102"/>
      <c r="Q873" s="105"/>
      <c r="R873" s="106" t="str">
        <f aca="true">IF($Q873="","", TODAY()-$Q873)</f>
        <v/>
      </c>
      <c r="S873" s="102"/>
      <c r="T873" s="105"/>
      <c r="U873" s="105"/>
      <c r="V873" s="101"/>
      <c r="W873" s="101"/>
      <c r="X873" s="101"/>
      <c r="Y873" s="96"/>
      <c r="Z873" s="96"/>
      <c r="AA873" s="96"/>
      <c r="AC873" s="102"/>
      <c r="AD873" s="107" t="str">
        <f aca="false">IF($B873="","",IF(ISNUMBER($T873),$T873,IF(OR(NOT(ISNUMBER($Q873)),$S873=""),"",IFERROR(IF(ISNUMBER(INDEX(Lists!$AJ$2:$AJ$7,MATCH($S873,Lists!$AI$2:$AI$7,0))),$Q873+INDEX(Lists!$AJ$2:$AJ$7,MATCH($S873,Lists!$AI$2:$AI$7,0)),""),""))))</f>
        <v/>
      </c>
      <c r="AE873" s="104" t="str">
        <f aca="true">IF($B873="","",IF(AND(ISNUMBER($AD873),N($AD873)&lt;TODAY(),$N873&lt;&gt;"Done",$N873&lt;&gt;"Won't Fix",$N873&lt;&gt;"Duplicate"),"Yes","No"))</f>
        <v/>
      </c>
      <c r="AF873" s="101"/>
      <c r="AG873" s="108" t="str">
        <f aca="false">IF($AF873="","",IFERROR(VLOOKUP($AF873,'Application Portfolio'!$A$2:$B$1000,2,FALSE()),"Unknown App ID"))</f>
        <v/>
      </c>
      <c r="AH873" s="108" t="str">
        <f aca="false">IF(OR($B873="",$AF873=""),"",IFERROR(VLOOKUP($AF873,'Application Portfolio'!$A$2:$AB$1000,28,FALSE()),""))</f>
        <v/>
      </c>
    </row>
    <row r="874" customFormat="false" ht="15.75" hidden="false" customHeight="true" outlineLevel="0" collapsed="false">
      <c r="A874" s="100"/>
      <c r="B874" s="101"/>
      <c r="C874" s="101"/>
      <c r="D874" s="101"/>
      <c r="E874" s="101"/>
      <c r="F874" s="102"/>
      <c r="G874" s="102"/>
      <c r="H874" s="102"/>
      <c r="I874" s="102"/>
      <c r="J874" s="102"/>
      <c r="K874" s="102"/>
      <c r="L874" s="103" t="str">
        <f aca="false">IF(OR($B874="", $H874="", $I874="", $J874="", $K874=""),"",ROUND((VLOOKUP($H874,Lists!$E$2:$F$5,2,FALSE())*VLOOKUP($I874,Lists!$H$2:$I$4,2,FALSE())*VLOOKUP($J874,Lists!$K$2:$L$4,2,FALSE()))/VLOOKUP($K874,Lists!$N$2:$O$6,2,FALSE()),2))</f>
        <v/>
      </c>
      <c r="M874" s="104" t="str">
        <f aca="false">IF($B874="","",IF($AC874&lt;&gt;"",$AC874,IF($H874="Critical","P0",IF(NOT(ISNUMBER($L874)),"",IF($L874&gt;=Lists!$AM$2,"P0",IF($L874&gt;=Lists!$AM$3,"P1",IF($L874&gt;=Lists!$AM$4,"P2","P3")))))))</f>
        <v/>
      </c>
      <c r="N874" s="102"/>
      <c r="O874" s="101"/>
      <c r="P874" s="102"/>
      <c r="Q874" s="105"/>
      <c r="R874" s="106" t="str">
        <f aca="true">IF($Q874="","", TODAY()-$Q874)</f>
        <v/>
      </c>
      <c r="S874" s="102"/>
      <c r="T874" s="105"/>
      <c r="U874" s="105"/>
      <c r="V874" s="101"/>
      <c r="W874" s="101"/>
      <c r="X874" s="101"/>
      <c r="Y874" s="96"/>
      <c r="Z874" s="96"/>
      <c r="AA874" s="96"/>
      <c r="AC874" s="102"/>
      <c r="AD874" s="107" t="str">
        <f aca="false">IF($B874="","",IF(ISNUMBER($T874),$T874,IF(OR(NOT(ISNUMBER($Q874)),$S874=""),"",IFERROR(IF(ISNUMBER(INDEX(Lists!$AJ$2:$AJ$7,MATCH($S874,Lists!$AI$2:$AI$7,0))),$Q874+INDEX(Lists!$AJ$2:$AJ$7,MATCH($S874,Lists!$AI$2:$AI$7,0)),""),""))))</f>
        <v/>
      </c>
      <c r="AE874" s="104" t="str">
        <f aca="true">IF($B874="","",IF(AND(ISNUMBER($AD874),N($AD874)&lt;TODAY(),$N874&lt;&gt;"Done",$N874&lt;&gt;"Won't Fix",$N874&lt;&gt;"Duplicate"),"Yes","No"))</f>
        <v/>
      </c>
      <c r="AF874" s="101"/>
      <c r="AG874" s="108" t="str">
        <f aca="false">IF($AF874="","",IFERROR(VLOOKUP($AF874,'Application Portfolio'!$A$2:$B$1000,2,FALSE()),"Unknown App ID"))</f>
        <v/>
      </c>
      <c r="AH874" s="108" t="str">
        <f aca="false">IF(OR($B874="",$AF874=""),"",IFERROR(VLOOKUP($AF874,'Application Portfolio'!$A$2:$AB$1000,28,FALSE()),""))</f>
        <v/>
      </c>
    </row>
    <row r="875" customFormat="false" ht="15.75" hidden="false" customHeight="true" outlineLevel="0" collapsed="false">
      <c r="A875" s="100"/>
      <c r="B875" s="101"/>
      <c r="C875" s="101"/>
      <c r="D875" s="101"/>
      <c r="E875" s="101"/>
      <c r="F875" s="102"/>
      <c r="G875" s="102"/>
      <c r="H875" s="102"/>
      <c r="I875" s="102"/>
      <c r="J875" s="102"/>
      <c r="K875" s="102"/>
      <c r="L875" s="103" t="str">
        <f aca="false">IF(OR($B875="", $H875="", $I875="", $J875="", $K875=""),"",ROUND((VLOOKUP($H875,Lists!$E$2:$F$5,2,FALSE())*VLOOKUP($I875,Lists!$H$2:$I$4,2,FALSE())*VLOOKUP($J875,Lists!$K$2:$L$4,2,FALSE()))/VLOOKUP($K875,Lists!$N$2:$O$6,2,FALSE()),2))</f>
        <v/>
      </c>
      <c r="M875" s="104" t="str">
        <f aca="false">IF($B875="","",IF($AC875&lt;&gt;"",$AC875,IF($H875="Critical","P0",IF(NOT(ISNUMBER($L875)),"",IF($L875&gt;=Lists!$AM$2,"P0",IF($L875&gt;=Lists!$AM$3,"P1",IF($L875&gt;=Lists!$AM$4,"P2","P3")))))))</f>
        <v/>
      </c>
      <c r="N875" s="102"/>
      <c r="O875" s="101"/>
      <c r="P875" s="102"/>
      <c r="Q875" s="105"/>
      <c r="R875" s="106" t="str">
        <f aca="true">IF($Q875="","", TODAY()-$Q875)</f>
        <v/>
      </c>
      <c r="S875" s="102"/>
      <c r="T875" s="105"/>
      <c r="U875" s="105"/>
      <c r="V875" s="101"/>
      <c r="W875" s="101"/>
      <c r="X875" s="101"/>
      <c r="Y875" s="96"/>
      <c r="Z875" s="96"/>
      <c r="AA875" s="96"/>
      <c r="AC875" s="102"/>
      <c r="AD875" s="107" t="str">
        <f aca="false">IF($B875="","",IF(ISNUMBER($T875),$T875,IF(OR(NOT(ISNUMBER($Q875)),$S875=""),"",IFERROR(IF(ISNUMBER(INDEX(Lists!$AJ$2:$AJ$7,MATCH($S875,Lists!$AI$2:$AI$7,0))),$Q875+INDEX(Lists!$AJ$2:$AJ$7,MATCH($S875,Lists!$AI$2:$AI$7,0)),""),""))))</f>
        <v/>
      </c>
      <c r="AE875" s="104" t="str">
        <f aca="true">IF($B875="","",IF(AND(ISNUMBER($AD875),N($AD875)&lt;TODAY(),$N875&lt;&gt;"Done",$N875&lt;&gt;"Won't Fix",$N875&lt;&gt;"Duplicate"),"Yes","No"))</f>
        <v/>
      </c>
      <c r="AF875" s="101"/>
      <c r="AG875" s="108" t="str">
        <f aca="false">IF($AF875="","",IFERROR(VLOOKUP($AF875,'Application Portfolio'!$A$2:$B$1000,2,FALSE()),"Unknown App ID"))</f>
        <v/>
      </c>
      <c r="AH875" s="108" t="str">
        <f aca="false">IF(OR($B875="",$AF875=""),"",IFERROR(VLOOKUP($AF875,'Application Portfolio'!$A$2:$AB$1000,28,FALSE()),""))</f>
        <v/>
      </c>
    </row>
    <row r="876" customFormat="false" ht="15.75" hidden="false" customHeight="true" outlineLevel="0" collapsed="false">
      <c r="A876" s="100"/>
      <c r="B876" s="101"/>
      <c r="C876" s="101"/>
      <c r="D876" s="101"/>
      <c r="E876" s="101"/>
      <c r="F876" s="102"/>
      <c r="G876" s="102"/>
      <c r="H876" s="102"/>
      <c r="I876" s="102"/>
      <c r="J876" s="102"/>
      <c r="K876" s="102"/>
      <c r="L876" s="103" t="str">
        <f aca="false">IF(OR($B876="", $H876="", $I876="", $J876="", $K876=""),"",ROUND((VLOOKUP($H876,Lists!$E$2:$F$5,2,FALSE())*VLOOKUP($I876,Lists!$H$2:$I$4,2,FALSE())*VLOOKUP($J876,Lists!$K$2:$L$4,2,FALSE()))/VLOOKUP($K876,Lists!$N$2:$O$6,2,FALSE()),2))</f>
        <v/>
      </c>
      <c r="M876" s="104" t="str">
        <f aca="false">IF($B876="","",IF($AC876&lt;&gt;"",$AC876,IF($H876="Critical","P0",IF(NOT(ISNUMBER($L876)),"",IF($L876&gt;=Lists!$AM$2,"P0",IF($L876&gt;=Lists!$AM$3,"P1",IF($L876&gt;=Lists!$AM$4,"P2","P3")))))))</f>
        <v/>
      </c>
      <c r="N876" s="102"/>
      <c r="O876" s="101"/>
      <c r="P876" s="102"/>
      <c r="Q876" s="105"/>
      <c r="R876" s="106" t="str">
        <f aca="true">IF($Q876="","", TODAY()-$Q876)</f>
        <v/>
      </c>
      <c r="S876" s="102"/>
      <c r="T876" s="105"/>
      <c r="U876" s="105"/>
      <c r="V876" s="101"/>
      <c r="W876" s="101"/>
      <c r="X876" s="101"/>
      <c r="Y876" s="96"/>
      <c r="Z876" s="96"/>
      <c r="AA876" s="96"/>
      <c r="AC876" s="102"/>
      <c r="AD876" s="107" t="str">
        <f aca="false">IF($B876="","",IF(ISNUMBER($T876),$T876,IF(OR(NOT(ISNUMBER($Q876)),$S876=""),"",IFERROR(IF(ISNUMBER(INDEX(Lists!$AJ$2:$AJ$7,MATCH($S876,Lists!$AI$2:$AI$7,0))),$Q876+INDEX(Lists!$AJ$2:$AJ$7,MATCH($S876,Lists!$AI$2:$AI$7,0)),""),""))))</f>
        <v/>
      </c>
      <c r="AE876" s="104" t="str">
        <f aca="true">IF($B876="","",IF(AND(ISNUMBER($AD876),N($AD876)&lt;TODAY(),$N876&lt;&gt;"Done",$N876&lt;&gt;"Won't Fix",$N876&lt;&gt;"Duplicate"),"Yes","No"))</f>
        <v/>
      </c>
      <c r="AF876" s="101"/>
      <c r="AG876" s="108" t="str">
        <f aca="false">IF($AF876="","",IFERROR(VLOOKUP($AF876,'Application Portfolio'!$A$2:$B$1000,2,FALSE()),"Unknown App ID"))</f>
        <v/>
      </c>
      <c r="AH876" s="108" t="str">
        <f aca="false">IF(OR($B876="",$AF876=""),"",IFERROR(VLOOKUP($AF876,'Application Portfolio'!$A$2:$AB$1000,28,FALSE()),""))</f>
        <v/>
      </c>
    </row>
    <row r="877" customFormat="false" ht="15.75" hidden="false" customHeight="true" outlineLevel="0" collapsed="false">
      <c r="A877" s="100"/>
      <c r="B877" s="101"/>
      <c r="C877" s="101"/>
      <c r="D877" s="101"/>
      <c r="E877" s="101"/>
      <c r="F877" s="102"/>
      <c r="G877" s="102"/>
      <c r="H877" s="102"/>
      <c r="I877" s="102"/>
      <c r="J877" s="102"/>
      <c r="K877" s="102"/>
      <c r="L877" s="103" t="str">
        <f aca="false">IF(OR($B877="", $H877="", $I877="", $J877="", $K877=""),"",ROUND((VLOOKUP($H877,Lists!$E$2:$F$5,2,FALSE())*VLOOKUP($I877,Lists!$H$2:$I$4,2,FALSE())*VLOOKUP($J877,Lists!$K$2:$L$4,2,FALSE()))/VLOOKUP($K877,Lists!$N$2:$O$6,2,FALSE()),2))</f>
        <v/>
      </c>
      <c r="M877" s="104" t="str">
        <f aca="false">IF($B877="","",IF($AC877&lt;&gt;"",$AC877,IF($H877="Critical","P0",IF(NOT(ISNUMBER($L877)),"",IF($L877&gt;=Lists!$AM$2,"P0",IF($L877&gt;=Lists!$AM$3,"P1",IF($L877&gt;=Lists!$AM$4,"P2","P3")))))))</f>
        <v/>
      </c>
      <c r="N877" s="102"/>
      <c r="O877" s="101"/>
      <c r="P877" s="102"/>
      <c r="Q877" s="105"/>
      <c r="R877" s="106" t="str">
        <f aca="true">IF($Q877="","", TODAY()-$Q877)</f>
        <v/>
      </c>
      <c r="S877" s="102"/>
      <c r="T877" s="105"/>
      <c r="U877" s="105"/>
      <c r="V877" s="101"/>
      <c r="W877" s="101"/>
      <c r="X877" s="101"/>
      <c r="Y877" s="96"/>
      <c r="Z877" s="96"/>
      <c r="AA877" s="96"/>
      <c r="AC877" s="102"/>
      <c r="AD877" s="107" t="str">
        <f aca="false">IF($B877="","",IF(ISNUMBER($T877),$T877,IF(OR(NOT(ISNUMBER($Q877)),$S877=""),"",IFERROR(IF(ISNUMBER(INDEX(Lists!$AJ$2:$AJ$7,MATCH($S877,Lists!$AI$2:$AI$7,0))),$Q877+INDEX(Lists!$AJ$2:$AJ$7,MATCH($S877,Lists!$AI$2:$AI$7,0)),""),""))))</f>
        <v/>
      </c>
      <c r="AE877" s="104" t="str">
        <f aca="true">IF($B877="","",IF(AND(ISNUMBER($AD877),N($AD877)&lt;TODAY(),$N877&lt;&gt;"Done",$N877&lt;&gt;"Won't Fix",$N877&lt;&gt;"Duplicate"),"Yes","No"))</f>
        <v/>
      </c>
      <c r="AF877" s="101"/>
      <c r="AG877" s="108" t="str">
        <f aca="false">IF($AF877="","",IFERROR(VLOOKUP($AF877,'Application Portfolio'!$A$2:$B$1000,2,FALSE()),"Unknown App ID"))</f>
        <v/>
      </c>
      <c r="AH877" s="108" t="str">
        <f aca="false">IF(OR($B877="",$AF877=""),"",IFERROR(VLOOKUP($AF877,'Application Portfolio'!$A$2:$AB$1000,28,FALSE()),""))</f>
        <v/>
      </c>
    </row>
    <row r="878" customFormat="false" ht="15.75" hidden="false" customHeight="true" outlineLevel="0" collapsed="false">
      <c r="A878" s="100"/>
      <c r="B878" s="101"/>
      <c r="C878" s="101"/>
      <c r="D878" s="101"/>
      <c r="E878" s="101"/>
      <c r="F878" s="102"/>
      <c r="G878" s="102"/>
      <c r="H878" s="102"/>
      <c r="I878" s="102"/>
      <c r="J878" s="102"/>
      <c r="K878" s="102"/>
      <c r="L878" s="103" t="str">
        <f aca="false">IF(OR($B878="", $H878="", $I878="", $J878="", $K878=""),"",ROUND((VLOOKUP($H878,Lists!$E$2:$F$5,2,FALSE())*VLOOKUP($I878,Lists!$H$2:$I$4,2,FALSE())*VLOOKUP($J878,Lists!$K$2:$L$4,2,FALSE()))/VLOOKUP($K878,Lists!$N$2:$O$6,2,FALSE()),2))</f>
        <v/>
      </c>
      <c r="M878" s="104" t="str">
        <f aca="false">IF($B878="","",IF($AC878&lt;&gt;"",$AC878,IF($H878="Critical","P0",IF(NOT(ISNUMBER($L878)),"",IF($L878&gt;=Lists!$AM$2,"P0",IF($L878&gt;=Lists!$AM$3,"P1",IF($L878&gt;=Lists!$AM$4,"P2","P3")))))))</f>
        <v/>
      </c>
      <c r="N878" s="102"/>
      <c r="O878" s="101"/>
      <c r="P878" s="102"/>
      <c r="Q878" s="105"/>
      <c r="R878" s="106" t="str">
        <f aca="true">IF($Q878="","", TODAY()-$Q878)</f>
        <v/>
      </c>
      <c r="S878" s="102"/>
      <c r="T878" s="105"/>
      <c r="U878" s="105"/>
      <c r="V878" s="101"/>
      <c r="W878" s="101"/>
      <c r="X878" s="101"/>
      <c r="Y878" s="96"/>
      <c r="Z878" s="96"/>
      <c r="AA878" s="96"/>
      <c r="AC878" s="102"/>
      <c r="AD878" s="107" t="str">
        <f aca="false">IF($B878="","",IF(ISNUMBER($T878),$T878,IF(OR(NOT(ISNUMBER($Q878)),$S878=""),"",IFERROR(IF(ISNUMBER(INDEX(Lists!$AJ$2:$AJ$7,MATCH($S878,Lists!$AI$2:$AI$7,0))),$Q878+INDEX(Lists!$AJ$2:$AJ$7,MATCH($S878,Lists!$AI$2:$AI$7,0)),""),""))))</f>
        <v/>
      </c>
      <c r="AE878" s="104" t="str">
        <f aca="true">IF($B878="","",IF(AND(ISNUMBER($AD878),N($AD878)&lt;TODAY(),$N878&lt;&gt;"Done",$N878&lt;&gt;"Won't Fix",$N878&lt;&gt;"Duplicate"),"Yes","No"))</f>
        <v/>
      </c>
      <c r="AF878" s="101"/>
      <c r="AG878" s="108" t="str">
        <f aca="false">IF($AF878="","",IFERROR(VLOOKUP($AF878,'Application Portfolio'!$A$2:$B$1000,2,FALSE()),"Unknown App ID"))</f>
        <v/>
      </c>
      <c r="AH878" s="108" t="str">
        <f aca="false">IF(OR($B878="",$AF878=""),"",IFERROR(VLOOKUP($AF878,'Application Portfolio'!$A$2:$AB$1000,28,FALSE()),""))</f>
        <v/>
      </c>
    </row>
    <row r="879" customFormat="false" ht="15.75" hidden="false" customHeight="true" outlineLevel="0" collapsed="false">
      <c r="A879" s="100"/>
      <c r="B879" s="101"/>
      <c r="C879" s="101"/>
      <c r="D879" s="101"/>
      <c r="E879" s="101"/>
      <c r="F879" s="102"/>
      <c r="G879" s="102"/>
      <c r="H879" s="102"/>
      <c r="I879" s="102"/>
      <c r="J879" s="102"/>
      <c r="K879" s="102"/>
      <c r="L879" s="103" t="str">
        <f aca="false">IF(OR($B879="", $H879="", $I879="", $J879="", $K879=""),"",ROUND((VLOOKUP($H879,Lists!$E$2:$F$5,2,FALSE())*VLOOKUP($I879,Lists!$H$2:$I$4,2,FALSE())*VLOOKUP($J879,Lists!$K$2:$L$4,2,FALSE()))/VLOOKUP($K879,Lists!$N$2:$O$6,2,FALSE()),2))</f>
        <v/>
      </c>
      <c r="M879" s="104" t="str">
        <f aca="false">IF($B879="","",IF($AC879&lt;&gt;"",$AC879,IF($H879="Critical","P0",IF(NOT(ISNUMBER($L879)),"",IF($L879&gt;=Lists!$AM$2,"P0",IF($L879&gt;=Lists!$AM$3,"P1",IF($L879&gt;=Lists!$AM$4,"P2","P3")))))))</f>
        <v/>
      </c>
      <c r="N879" s="102"/>
      <c r="O879" s="101"/>
      <c r="P879" s="102"/>
      <c r="Q879" s="105"/>
      <c r="R879" s="106" t="str">
        <f aca="true">IF($Q879="","", TODAY()-$Q879)</f>
        <v/>
      </c>
      <c r="S879" s="102"/>
      <c r="T879" s="105"/>
      <c r="U879" s="105"/>
      <c r="V879" s="101"/>
      <c r="W879" s="101"/>
      <c r="X879" s="101"/>
      <c r="Y879" s="96"/>
      <c r="Z879" s="96"/>
      <c r="AA879" s="96"/>
      <c r="AC879" s="102"/>
      <c r="AD879" s="107" t="str">
        <f aca="false">IF($B879="","",IF(ISNUMBER($T879),$T879,IF(OR(NOT(ISNUMBER($Q879)),$S879=""),"",IFERROR(IF(ISNUMBER(INDEX(Lists!$AJ$2:$AJ$7,MATCH($S879,Lists!$AI$2:$AI$7,0))),$Q879+INDEX(Lists!$AJ$2:$AJ$7,MATCH($S879,Lists!$AI$2:$AI$7,0)),""),""))))</f>
        <v/>
      </c>
      <c r="AE879" s="104" t="str">
        <f aca="true">IF($B879="","",IF(AND(ISNUMBER($AD879),N($AD879)&lt;TODAY(),$N879&lt;&gt;"Done",$N879&lt;&gt;"Won't Fix",$N879&lt;&gt;"Duplicate"),"Yes","No"))</f>
        <v/>
      </c>
      <c r="AF879" s="101"/>
      <c r="AG879" s="108" t="str">
        <f aca="false">IF($AF879="","",IFERROR(VLOOKUP($AF879,'Application Portfolio'!$A$2:$B$1000,2,FALSE()),"Unknown App ID"))</f>
        <v/>
      </c>
      <c r="AH879" s="108" t="str">
        <f aca="false">IF(OR($B879="",$AF879=""),"",IFERROR(VLOOKUP($AF879,'Application Portfolio'!$A$2:$AB$1000,28,FALSE()),""))</f>
        <v/>
      </c>
    </row>
    <row r="880" customFormat="false" ht="15.75" hidden="false" customHeight="true" outlineLevel="0" collapsed="false">
      <c r="A880" s="100"/>
      <c r="B880" s="101"/>
      <c r="C880" s="101"/>
      <c r="D880" s="101"/>
      <c r="E880" s="101"/>
      <c r="F880" s="102"/>
      <c r="G880" s="102"/>
      <c r="H880" s="102"/>
      <c r="I880" s="102"/>
      <c r="J880" s="102"/>
      <c r="K880" s="102"/>
      <c r="L880" s="103" t="str">
        <f aca="false">IF(OR($B880="", $H880="", $I880="", $J880="", $K880=""),"",ROUND((VLOOKUP($H880,Lists!$E$2:$F$5,2,FALSE())*VLOOKUP($I880,Lists!$H$2:$I$4,2,FALSE())*VLOOKUP($J880,Lists!$K$2:$L$4,2,FALSE()))/VLOOKUP($K880,Lists!$N$2:$O$6,2,FALSE()),2))</f>
        <v/>
      </c>
      <c r="M880" s="104" t="str">
        <f aca="false">IF($B880="","",IF($AC880&lt;&gt;"",$AC880,IF($H880="Critical","P0",IF(NOT(ISNUMBER($L880)),"",IF($L880&gt;=Lists!$AM$2,"P0",IF($L880&gt;=Lists!$AM$3,"P1",IF($L880&gt;=Lists!$AM$4,"P2","P3")))))))</f>
        <v/>
      </c>
      <c r="N880" s="102"/>
      <c r="O880" s="101"/>
      <c r="P880" s="102"/>
      <c r="Q880" s="105"/>
      <c r="R880" s="106" t="str">
        <f aca="true">IF($Q880="","", TODAY()-$Q880)</f>
        <v/>
      </c>
      <c r="S880" s="102"/>
      <c r="T880" s="105"/>
      <c r="U880" s="105"/>
      <c r="V880" s="101"/>
      <c r="W880" s="101"/>
      <c r="X880" s="101"/>
      <c r="Y880" s="96"/>
      <c r="Z880" s="96"/>
      <c r="AA880" s="96"/>
      <c r="AC880" s="102"/>
      <c r="AD880" s="107" t="str">
        <f aca="false">IF($B880="","",IF(ISNUMBER($T880),$T880,IF(OR(NOT(ISNUMBER($Q880)),$S880=""),"",IFERROR(IF(ISNUMBER(INDEX(Lists!$AJ$2:$AJ$7,MATCH($S880,Lists!$AI$2:$AI$7,0))),$Q880+INDEX(Lists!$AJ$2:$AJ$7,MATCH($S880,Lists!$AI$2:$AI$7,0)),""),""))))</f>
        <v/>
      </c>
      <c r="AE880" s="104" t="str">
        <f aca="true">IF($B880="","",IF(AND(ISNUMBER($AD880),N($AD880)&lt;TODAY(),$N880&lt;&gt;"Done",$N880&lt;&gt;"Won't Fix",$N880&lt;&gt;"Duplicate"),"Yes","No"))</f>
        <v/>
      </c>
      <c r="AF880" s="101"/>
      <c r="AG880" s="108" t="str">
        <f aca="false">IF($AF880="","",IFERROR(VLOOKUP($AF880,'Application Portfolio'!$A$2:$B$1000,2,FALSE()),"Unknown App ID"))</f>
        <v/>
      </c>
      <c r="AH880" s="108" t="str">
        <f aca="false">IF(OR($B880="",$AF880=""),"",IFERROR(VLOOKUP($AF880,'Application Portfolio'!$A$2:$AB$1000,28,FALSE()),""))</f>
        <v/>
      </c>
    </row>
    <row r="881" customFormat="false" ht="15.75" hidden="false" customHeight="true" outlineLevel="0" collapsed="false">
      <c r="A881" s="100"/>
      <c r="B881" s="101"/>
      <c r="C881" s="101"/>
      <c r="D881" s="101"/>
      <c r="E881" s="101"/>
      <c r="F881" s="102"/>
      <c r="G881" s="102"/>
      <c r="H881" s="102"/>
      <c r="I881" s="102"/>
      <c r="J881" s="102"/>
      <c r="K881" s="102"/>
      <c r="L881" s="103" t="str">
        <f aca="false">IF(OR($B881="", $H881="", $I881="", $J881="", $K881=""),"",ROUND((VLOOKUP($H881,Lists!$E$2:$F$5,2,FALSE())*VLOOKUP($I881,Lists!$H$2:$I$4,2,FALSE())*VLOOKUP($J881,Lists!$K$2:$L$4,2,FALSE()))/VLOOKUP($K881,Lists!$N$2:$O$6,2,FALSE()),2))</f>
        <v/>
      </c>
      <c r="M881" s="104" t="str">
        <f aca="false">IF($B881="","",IF($AC881&lt;&gt;"",$AC881,IF($H881="Critical","P0",IF(NOT(ISNUMBER($L881)),"",IF($L881&gt;=Lists!$AM$2,"P0",IF($L881&gt;=Lists!$AM$3,"P1",IF($L881&gt;=Lists!$AM$4,"P2","P3")))))))</f>
        <v/>
      </c>
      <c r="N881" s="102"/>
      <c r="O881" s="101"/>
      <c r="P881" s="102"/>
      <c r="Q881" s="105"/>
      <c r="R881" s="106" t="str">
        <f aca="true">IF($Q881="","", TODAY()-$Q881)</f>
        <v/>
      </c>
      <c r="S881" s="102"/>
      <c r="T881" s="105"/>
      <c r="U881" s="105"/>
      <c r="V881" s="101"/>
      <c r="W881" s="101"/>
      <c r="X881" s="101"/>
      <c r="Y881" s="96"/>
      <c r="Z881" s="96"/>
      <c r="AA881" s="96"/>
      <c r="AC881" s="102"/>
      <c r="AD881" s="107" t="str">
        <f aca="false">IF($B881="","",IF(ISNUMBER($T881),$T881,IF(OR(NOT(ISNUMBER($Q881)),$S881=""),"",IFERROR(IF(ISNUMBER(INDEX(Lists!$AJ$2:$AJ$7,MATCH($S881,Lists!$AI$2:$AI$7,0))),$Q881+INDEX(Lists!$AJ$2:$AJ$7,MATCH($S881,Lists!$AI$2:$AI$7,0)),""),""))))</f>
        <v/>
      </c>
      <c r="AE881" s="104" t="str">
        <f aca="true">IF($B881="","",IF(AND(ISNUMBER($AD881),N($AD881)&lt;TODAY(),$N881&lt;&gt;"Done",$N881&lt;&gt;"Won't Fix",$N881&lt;&gt;"Duplicate"),"Yes","No"))</f>
        <v/>
      </c>
      <c r="AF881" s="101"/>
      <c r="AG881" s="108" t="str">
        <f aca="false">IF($AF881="","",IFERROR(VLOOKUP($AF881,'Application Portfolio'!$A$2:$B$1000,2,FALSE()),"Unknown App ID"))</f>
        <v/>
      </c>
      <c r="AH881" s="108" t="str">
        <f aca="false">IF(OR($B881="",$AF881=""),"",IFERROR(VLOOKUP($AF881,'Application Portfolio'!$A$2:$AB$1000,28,FALSE()),""))</f>
        <v/>
      </c>
    </row>
    <row r="882" customFormat="false" ht="15.75" hidden="false" customHeight="true" outlineLevel="0" collapsed="false">
      <c r="A882" s="100"/>
      <c r="B882" s="101"/>
      <c r="C882" s="101"/>
      <c r="D882" s="101"/>
      <c r="E882" s="101"/>
      <c r="F882" s="102"/>
      <c r="G882" s="102"/>
      <c r="H882" s="102"/>
      <c r="I882" s="102"/>
      <c r="J882" s="102"/>
      <c r="K882" s="102"/>
      <c r="L882" s="103" t="str">
        <f aca="false">IF(OR($B882="", $H882="", $I882="", $J882="", $K882=""),"",ROUND((VLOOKUP($H882,Lists!$E$2:$F$5,2,FALSE())*VLOOKUP($I882,Lists!$H$2:$I$4,2,FALSE())*VLOOKUP($J882,Lists!$K$2:$L$4,2,FALSE()))/VLOOKUP($K882,Lists!$N$2:$O$6,2,FALSE()),2))</f>
        <v/>
      </c>
      <c r="M882" s="104" t="str">
        <f aca="false">IF($B882="","",IF($AC882&lt;&gt;"",$AC882,IF($H882="Critical","P0",IF(NOT(ISNUMBER($L882)),"",IF($L882&gt;=Lists!$AM$2,"P0",IF($L882&gt;=Lists!$AM$3,"P1",IF($L882&gt;=Lists!$AM$4,"P2","P3")))))))</f>
        <v/>
      </c>
      <c r="N882" s="102"/>
      <c r="O882" s="101"/>
      <c r="P882" s="102"/>
      <c r="Q882" s="105"/>
      <c r="R882" s="106" t="str">
        <f aca="true">IF($Q882="","", TODAY()-$Q882)</f>
        <v/>
      </c>
      <c r="S882" s="102"/>
      <c r="T882" s="105"/>
      <c r="U882" s="105"/>
      <c r="V882" s="101"/>
      <c r="W882" s="101"/>
      <c r="X882" s="101"/>
      <c r="Y882" s="96"/>
      <c r="Z882" s="96"/>
      <c r="AA882" s="96"/>
      <c r="AC882" s="102"/>
      <c r="AD882" s="107" t="str">
        <f aca="false">IF($B882="","",IF(ISNUMBER($T882),$T882,IF(OR(NOT(ISNUMBER($Q882)),$S882=""),"",IFERROR(IF(ISNUMBER(INDEX(Lists!$AJ$2:$AJ$7,MATCH($S882,Lists!$AI$2:$AI$7,0))),$Q882+INDEX(Lists!$AJ$2:$AJ$7,MATCH($S882,Lists!$AI$2:$AI$7,0)),""),""))))</f>
        <v/>
      </c>
      <c r="AE882" s="104" t="str">
        <f aca="true">IF($B882="","",IF(AND(ISNUMBER($AD882),N($AD882)&lt;TODAY(),$N882&lt;&gt;"Done",$N882&lt;&gt;"Won't Fix",$N882&lt;&gt;"Duplicate"),"Yes","No"))</f>
        <v/>
      </c>
      <c r="AF882" s="101"/>
      <c r="AG882" s="108" t="str">
        <f aca="false">IF($AF882="","",IFERROR(VLOOKUP($AF882,'Application Portfolio'!$A$2:$B$1000,2,FALSE()),"Unknown App ID"))</f>
        <v/>
      </c>
      <c r="AH882" s="108" t="str">
        <f aca="false">IF(OR($B882="",$AF882=""),"",IFERROR(VLOOKUP($AF882,'Application Portfolio'!$A$2:$AB$1000,28,FALSE()),""))</f>
        <v/>
      </c>
    </row>
    <row r="883" customFormat="false" ht="15.75" hidden="false" customHeight="true" outlineLevel="0" collapsed="false">
      <c r="A883" s="100"/>
      <c r="B883" s="101"/>
      <c r="C883" s="101"/>
      <c r="D883" s="101"/>
      <c r="E883" s="101"/>
      <c r="F883" s="102"/>
      <c r="G883" s="102"/>
      <c r="H883" s="102"/>
      <c r="I883" s="102"/>
      <c r="J883" s="102"/>
      <c r="K883" s="102"/>
      <c r="L883" s="103" t="str">
        <f aca="false">IF(OR($B883="", $H883="", $I883="", $J883="", $K883=""),"",ROUND((VLOOKUP($H883,Lists!$E$2:$F$5,2,FALSE())*VLOOKUP($I883,Lists!$H$2:$I$4,2,FALSE())*VLOOKUP($J883,Lists!$K$2:$L$4,2,FALSE()))/VLOOKUP($K883,Lists!$N$2:$O$6,2,FALSE()),2))</f>
        <v/>
      </c>
      <c r="M883" s="104" t="str">
        <f aca="false">IF($B883="","",IF($AC883&lt;&gt;"",$AC883,IF($H883="Critical","P0",IF(NOT(ISNUMBER($L883)),"",IF($L883&gt;=Lists!$AM$2,"P0",IF($L883&gt;=Lists!$AM$3,"P1",IF($L883&gt;=Lists!$AM$4,"P2","P3")))))))</f>
        <v/>
      </c>
      <c r="N883" s="102"/>
      <c r="O883" s="101"/>
      <c r="P883" s="102"/>
      <c r="Q883" s="105"/>
      <c r="R883" s="106" t="str">
        <f aca="true">IF($Q883="","", TODAY()-$Q883)</f>
        <v/>
      </c>
      <c r="S883" s="102"/>
      <c r="T883" s="105"/>
      <c r="U883" s="105"/>
      <c r="V883" s="101"/>
      <c r="W883" s="101"/>
      <c r="X883" s="101"/>
      <c r="Y883" s="96"/>
      <c r="Z883" s="96"/>
      <c r="AA883" s="96"/>
      <c r="AC883" s="102"/>
      <c r="AD883" s="107" t="str">
        <f aca="false">IF($B883="","",IF(ISNUMBER($T883),$T883,IF(OR(NOT(ISNUMBER($Q883)),$S883=""),"",IFERROR(IF(ISNUMBER(INDEX(Lists!$AJ$2:$AJ$7,MATCH($S883,Lists!$AI$2:$AI$7,0))),$Q883+INDEX(Lists!$AJ$2:$AJ$7,MATCH($S883,Lists!$AI$2:$AI$7,0)),""),""))))</f>
        <v/>
      </c>
      <c r="AE883" s="104" t="str">
        <f aca="true">IF($B883="","",IF(AND(ISNUMBER($AD883),N($AD883)&lt;TODAY(),$N883&lt;&gt;"Done",$N883&lt;&gt;"Won't Fix",$N883&lt;&gt;"Duplicate"),"Yes","No"))</f>
        <v/>
      </c>
      <c r="AF883" s="101"/>
      <c r="AG883" s="108" t="str">
        <f aca="false">IF($AF883="","",IFERROR(VLOOKUP($AF883,'Application Portfolio'!$A$2:$B$1000,2,FALSE()),"Unknown App ID"))</f>
        <v/>
      </c>
      <c r="AH883" s="108" t="str">
        <f aca="false">IF(OR($B883="",$AF883=""),"",IFERROR(VLOOKUP($AF883,'Application Portfolio'!$A$2:$AB$1000,28,FALSE()),""))</f>
        <v/>
      </c>
    </row>
    <row r="884" customFormat="false" ht="15.75" hidden="false" customHeight="true" outlineLevel="0" collapsed="false">
      <c r="A884" s="100"/>
      <c r="B884" s="101"/>
      <c r="C884" s="101"/>
      <c r="D884" s="101"/>
      <c r="E884" s="101"/>
      <c r="F884" s="102"/>
      <c r="G884" s="102"/>
      <c r="H884" s="102"/>
      <c r="I884" s="102"/>
      <c r="J884" s="102"/>
      <c r="K884" s="102"/>
      <c r="L884" s="103" t="str">
        <f aca="false">IF(OR($B884="", $H884="", $I884="", $J884="", $K884=""),"",ROUND((VLOOKUP($H884,Lists!$E$2:$F$5,2,FALSE())*VLOOKUP($I884,Lists!$H$2:$I$4,2,FALSE())*VLOOKUP($J884,Lists!$K$2:$L$4,2,FALSE()))/VLOOKUP($K884,Lists!$N$2:$O$6,2,FALSE()),2))</f>
        <v/>
      </c>
      <c r="M884" s="104" t="str">
        <f aca="false">IF($B884="","",IF($AC884&lt;&gt;"",$AC884,IF($H884="Critical","P0",IF(NOT(ISNUMBER($L884)),"",IF($L884&gt;=Lists!$AM$2,"P0",IF($L884&gt;=Lists!$AM$3,"P1",IF($L884&gt;=Lists!$AM$4,"P2","P3")))))))</f>
        <v/>
      </c>
      <c r="N884" s="102"/>
      <c r="O884" s="101"/>
      <c r="P884" s="102"/>
      <c r="Q884" s="105"/>
      <c r="R884" s="106" t="str">
        <f aca="true">IF($Q884="","", TODAY()-$Q884)</f>
        <v/>
      </c>
      <c r="S884" s="102"/>
      <c r="T884" s="105"/>
      <c r="U884" s="105"/>
      <c r="V884" s="101"/>
      <c r="W884" s="101"/>
      <c r="X884" s="101"/>
      <c r="Y884" s="96"/>
      <c r="Z884" s="96"/>
      <c r="AA884" s="96"/>
      <c r="AC884" s="102"/>
      <c r="AD884" s="107" t="str">
        <f aca="false">IF($B884="","",IF(ISNUMBER($T884),$T884,IF(OR(NOT(ISNUMBER($Q884)),$S884=""),"",IFERROR(IF(ISNUMBER(INDEX(Lists!$AJ$2:$AJ$7,MATCH($S884,Lists!$AI$2:$AI$7,0))),$Q884+INDEX(Lists!$AJ$2:$AJ$7,MATCH($S884,Lists!$AI$2:$AI$7,0)),""),""))))</f>
        <v/>
      </c>
      <c r="AE884" s="104" t="str">
        <f aca="true">IF($B884="","",IF(AND(ISNUMBER($AD884),N($AD884)&lt;TODAY(),$N884&lt;&gt;"Done",$N884&lt;&gt;"Won't Fix",$N884&lt;&gt;"Duplicate"),"Yes","No"))</f>
        <v/>
      </c>
      <c r="AF884" s="101"/>
      <c r="AG884" s="108" t="str">
        <f aca="false">IF($AF884="","",IFERROR(VLOOKUP($AF884,'Application Portfolio'!$A$2:$B$1000,2,FALSE()),"Unknown App ID"))</f>
        <v/>
      </c>
      <c r="AH884" s="108" t="str">
        <f aca="false">IF(OR($B884="",$AF884=""),"",IFERROR(VLOOKUP($AF884,'Application Portfolio'!$A$2:$AB$1000,28,FALSE()),""))</f>
        <v/>
      </c>
    </row>
    <row r="885" customFormat="false" ht="15.75" hidden="false" customHeight="true" outlineLevel="0" collapsed="false">
      <c r="A885" s="100"/>
      <c r="B885" s="101"/>
      <c r="C885" s="101"/>
      <c r="D885" s="101"/>
      <c r="E885" s="101"/>
      <c r="F885" s="102"/>
      <c r="G885" s="102"/>
      <c r="H885" s="102"/>
      <c r="I885" s="102"/>
      <c r="J885" s="102"/>
      <c r="K885" s="102"/>
      <c r="L885" s="103" t="str">
        <f aca="false">IF(OR($B885="", $H885="", $I885="", $J885="", $K885=""),"",ROUND((VLOOKUP($H885,Lists!$E$2:$F$5,2,FALSE())*VLOOKUP($I885,Lists!$H$2:$I$4,2,FALSE())*VLOOKUP($J885,Lists!$K$2:$L$4,2,FALSE()))/VLOOKUP($K885,Lists!$N$2:$O$6,2,FALSE()),2))</f>
        <v/>
      </c>
      <c r="M885" s="104" t="str">
        <f aca="false">IF($B885="","",IF($AC885&lt;&gt;"",$AC885,IF($H885="Critical","P0",IF(NOT(ISNUMBER($L885)),"",IF($L885&gt;=Lists!$AM$2,"P0",IF($L885&gt;=Lists!$AM$3,"P1",IF($L885&gt;=Lists!$AM$4,"P2","P3")))))))</f>
        <v/>
      </c>
      <c r="N885" s="102"/>
      <c r="O885" s="101"/>
      <c r="P885" s="102"/>
      <c r="Q885" s="105"/>
      <c r="R885" s="106" t="str">
        <f aca="true">IF($Q885="","", TODAY()-$Q885)</f>
        <v/>
      </c>
      <c r="S885" s="102"/>
      <c r="T885" s="105"/>
      <c r="U885" s="105"/>
      <c r="V885" s="101"/>
      <c r="W885" s="101"/>
      <c r="X885" s="101"/>
      <c r="Y885" s="96"/>
      <c r="Z885" s="96"/>
      <c r="AA885" s="96"/>
      <c r="AC885" s="102"/>
      <c r="AD885" s="107" t="str">
        <f aca="false">IF($B885="","",IF(ISNUMBER($T885),$T885,IF(OR(NOT(ISNUMBER($Q885)),$S885=""),"",IFERROR(IF(ISNUMBER(INDEX(Lists!$AJ$2:$AJ$7,MATCH($S885,Lists!$AI$2:$AI$7,0))),$Q885+INDEX(Lists!$AJ$2:$AJ$7,MATCH($S885,Lists!$AI$2:$AI$7,0)),""),""))))</f>
        <v/>
      </c>
      <c r="AE885" s="104" t="str">
        <f aca="true">IF($B885="","",IF(AND(ISNUMBER($AD885),N($AD885)&lt;TODAY(),$N885&lt;&gt;"Done",$N885&lt;&gt;"Won't Fix",$N885&lt;&gt;"Duplicate"),"Yes","No"))</f>
        <v/>
      </c>
      <c r="AF885" s="101"/>
      <c r="AG885" s="108" t="str">
        <f aca="false">IF($AF885="","",IFERROR(VLOOKUP($AF885,'Application Portfolio'!$A$2:$B$1000,2,FALSE()),"Unknown App ID"))</f>
        <v/>
      </c>
      <c r="AH885" s="108" t="str">
        <f aca="false">IF(OR($B885="",$AF885=""),"",IFERROR(VLOOKUP($AF885,'Application Portfolio'!$A$2:$AB$1000,28,FALSE()),""))</f>
        <v/>
      </c>
    </row>
    <row r="886" customFormat="false" ht="15.75" hidden="false" customHeight="true" outlineLevel="0" collapsed="false">
      <c r="A886" s="100"/>
      <c r="B886" s="101"/>
      <c r="C886" s="101"/>
      <c r="D886" s="101"/>
      <c r="E886" s="101"/>
      <c r="F886" s="102"/>
      <c r="G886" s="102"/>
      <c r="H886" s="102"/>
      <c r="I886" s="102"/>
      <c r="J886" s="102"/>
      <c r="K886" s="102"/>
      <c r="L886" s="103" t="str">
        <f aca="false">IF(OR($B886="", $H886="", $I886="", $J886="", $K886=""),"",ROUND((VLOOKUP($H886,Lists!$E$2:$F$5,2,FALSE())*VLOOKUP($I886,Lists!$H$2:$I$4,2,FALSE())*VLOOKUP($J886,Lists!$K$2:$L$4,2,FALSE()))/VLOOKUP($K886,Lists!$N$2:$O$6,2,FALSE()),2))</f>
        <v/>
      </c>
      <c r="M886" s="104" t="str">
        <f aca="false">IF($B886="","",IF($AC886&lt;&gt;"",$AC886,IF($H886="Critical","P0",IF(NOT(ISNUMBER($L886)),"",IF($L886&gt;=Lists!$AM$2,"P0",IF($L886&gt;=Lists!$AM$3,"P1",IF($L886&gt;=Lists!$AM$4,"P2","P3")))))))</f>
        <v/>
      </c>
      <c r="N886" s="102"/>
      <c r="O886" s="101"/>
      <c r="P886" s="102"/>
      <c r="Q886" s="105"/>
      <c r="R886" s="106" t="str">
        <f aca="true">IF($Q886="","", TODAY()-$Q886)</f>
        <v/>
      </c>
      <c r="S886" s="102"/>
      <c r="T886" s="105"/>
      <c r="U886" s="105"/>
      <c r="V886" s="101"/>
      <c r="W886" s="101"/>
      <c r="X886" s="101"/>
      <c r="Y886" s="96"/>
      <c r="Z886" s="96"/>
      <c r="AA886" s="96"/>
      <c r="AC886" s="102"/>
      <c r="AD886" s="107" t="str">
        <f aca="false">IF($B886="","",IF(ISNUMBER($T886),$T886,IF(OR(NOT(ISNUMBER($Q886)),$S886=""),"",IFERROR(IF(ISNUMBER(INDEX(Lists!$AJ$2:$AJ$7,MATCH($S886,Lists!$AI$2:$AI$7,0))),$Q886+INDEX(Lists!$AJ$2:$AJ$7,MATCH($S886,Lists!$AI$2:$AI$7,0)),""),""))))</f>
        <v/>
      </c>
      <c r="AE886" s="104" t="str">
        <f aca="true">IF($B886="","",IF(AND(ISNUMBER($AD886),N($AD886)&lt;TODAY(),$N886&lt;&gt;"Done",$N886&lt;&gt;"Won't Fix",$N886&lt;&gt;"Duplicate"),"Yes","No"))</f>
        <v/>
      </c>
      <c r="AF886" s="101"/>
      <c r="AG886" s="108" t="str">
        <f aca="false">IF($AF886="","",IFERROR(VLOOKUP($AF886,'Application Portfolio'!$A$2:$B$1000,2,FALSE()),"Unknown App ID"))</f>
        <v/>
      </c>
      <c r="AH886" s="108" t="str">
        <f aca="false">IF(OR($B886="",$AF886=""),"",IFERROR(VLOOKUP($AF886,'Application Portfolio'!$A$2:$AB$1000,28,FALSE()),""))</f>
        <v/>
      </c>
    </row>
    <row r="887" customFormat="false" ht="15.75" hidden="false" customHeight="true" outlineLevel="0" collapsed="false">
      <c r="A887" s="100"/>
      <c r="B887" s="101"/>
      <c r="C887" s="101"/>
      <c r="D887" s="101"/>
      <c r="E887" s="101"/>
      <c r="F887" s="102"/>
      <c r="G887" s="102"/>
      <c r="H887" s="102"/>
      <c r="I887" s="102"/>
      <c r="J887" s="102"/>
      <c r="K887" s="102"/>
      <c r="L887" s="103" t="str">
        <f aca="false">IF(OR($B887="", $H887="", $I887="", $J887="", $K887=""),"",ROUND((VLOOKUP($H887,Lists!$E$2:$F$5,2,FALSE())*VLOOKUP($I887,Lists!$H$2:$I$4,2,FALSE())*VLOOKUP($J887,Lists!$K$2:$L$4,2,FALSE()))/VLOOKUP($K887,Lists!$N$2:$O$6,2,FALSE()),2))</f>
        <v/>
      </c>
      <c r="M887" s="104" t="str">
        <f aca="false">IF($B887="","",IF($AC887&lt;&gt;"",$AC887,IF($H887="Critical","P0",IF(NOT(ISNUMBER($L887)),"",IF($L887&gt;=Lists!$AM$2,"P0",IF($L887&gt;=Lists!$AM$3,"P1",IF($L887&gt;=Lists!$AM$4,"P2","P3")))))))</f>
        <v/>
      </c>
      <c r="N887" s="102"/>
      <c r="O887" s="101"/>
      <c r="P887" s="102"/>
      <c r="Q887" s="105"/>
      <c r="R887" s="106" t="str">
        <f aca="true">IF($Q887="","", TODAY()-$Q887)</f>
        <v/>
      </c>
      <c r="S887" s="102"/>
      <c r="T887" s="105"/>
      <c r="U887" s="105"/>
      <c r="V887" s="101"/>
      <c r="W887" s="101"/>
      <c r="X887" s="101"/>
      <c r="Y887" s="96"/>
      <c r="Z887" s="96"/>
      <c r="AA887" s="96"/>
      <c r="AC887" s="102"/>
      <c r="AD887" s="107" t="str">
        <f aca="false">IF($B887="","",IF(ISNUMBER($T887),$T887,IF(OR(NOT(ISNUMBER($Q887)),$S887=""),"",IFERROR(IF(ISNUMBER(INDEX(Lists!$AJ$2:$AJ$7,MATCH($S887,Lists!$AI$2:$AI$7,0))),$Q887+INDEX(Lists!$AJ$2:$AJ$7,MATCH($S887,Lists!$AI$2:$AI$7,0)),""),""))))</f>
        <v/>
      </c>
      <c r="AE887" s="104" t="str">
        <f aca="true">IF($B887="","",IF(AND(ISNUMBER($AD887),N($AD887)&lt;TODAY(),$N887&lt;&gt;"Done",$N887&lt;&gt;"Won't Fix",$N887&lt;&gt;"Duplicate"),"Yes","No"))</f>
        <v/>
      </c>
      <c r="AF887" s="101"/>
      <c r="AG887" s="108" t="str">
        <f aca="false">IF($AF887="","",IFERROR(VLOOKUP($AF887,'Application Portfolio'!$A$2:$B$1000,2,FALSE()),"Unknown App ID"))</f>
        <v/>
      </c>
      <c r="AH887" s="108" t="str">
        <f aca="false">IF(OR($B887="",$AF887=""),"",IFERROR(VLOOKUP($AF887,'Application Portfolio'!$A$2:$AB$1000,28,FALSE()),""))</f>
        <v/>
      </c>
    </row>
    <row r="888" customFormat="false" ht="15.75" hidden="false" customHeight="true" outlineLevel="0" collapsed="false">
      <c r="A888" s="100"/>
      <c r="B888" s="101"/>
      <c r="C888" s="101"/>
      <c r="D888" s="101"/>
      <c r="E888" s="101"/>
      <c r="F888" s="102"/>
      <c r="G888" s="102"/>
      <c r="H888" s="102"/>
      <c r="I888" s="102"/>
      <c r="J888" s="102"/>
      <c r="K888" s="102"/>
      <c r="L888" s="103" t="str">
        <f aca="false">IF(OR($B888="", $H888="", $I888="", $J888="", $K888=""),"",ROUND((VLOOKUP($H888,Lists!$E$2:$F$5,2,FALSE())*VLOOKUP($I888,Lists!$H$2:$I$4,2,FALSE())*VLOOKUP($J888,Lists!$K$2:$L$4,2,FALSE()))/VLOOKUP($K888,Lists!$N$2:$O$6,2,FALSE()),2))</f>
        <v/>
      </c>
      <c r="M888" s="104" t="str">
        <f aca="false">IF($B888="","",IF($AC888&lt;&gt;"",$AC888,IF($H888="Critical","P0",IF(NOT(ISNUMBER($L888)),"",IF($L888&gt;=Lists!$AM$2,"P0",IF($L888&gt;=Lists!$AM$3,"P1",IF($L888&gt;=Lists!$AM$4,"P2","P3")))))))</f>
        <v/>
      </c>
      <c r="N888" s="102"/>
      <c r="O888" s="101"/>
      <c r="P888" s="102"/>
      <c r="Q888" s="105"/>
      <c r="R888" s="106" t="str">
        <f aca="true">IF($Q888="","", TODAY()-$Q888)</f>
        <v/>
      </c>
      <c r="S888" s="102"/>
      <c r="T888" s="105"/>
      <c r="U888" s="105"/>
      <c r="V888" s="101"/>
      <c r="W888" s="101"/>
      <c r="X888" s="101"/>
      <c r="Y888" s="96"/>
      <c r="Z888" s="96"/>
      <c r="AA888" s="96"/>
      <c r="AC888" s="102"/>
      <c r="AD888" s="107" t="str">
        <f aca="false">IF($B888="","",IF(ISNUMBER($T888),$T888,IF(OR(NOT(ISNUMBER($Q888)),$S888=""),"",IFERROR(IF(ISNUMBER(INDEX(Lists!$AJ$2:$AJ$7,MATCH($S888,Lists!$AI$2:$AI$7,0))),$Q888+INDEX(Lists!$AJ$2:$AJ$7,MATCH($S888,Lists!$AI$2:$AI$7,0)),""),""))))</f>
        <v/>
      </c>
      <c r="AE888" s="104" t="str">
        <f aca="true">IF($B888="","",IF(AND(ISNUMBER($AD888),N($AD888)&lt;TODAY(),$N888&lt;&gt;"Done",$N888&lt;&gt;"Won't Fix",$N888&lt;&gt;"Duplicate"),"Yes","No"))</f>
        <v/>
      </c>
      <c r="AF888" s="101"/>
      <c r="AG888" s="108" t="str">
        <f aca="false">IF($AF888="","",IFERROR(VLOOKUP($AF888,'Application Portfolio'!$A$2:$B$1000,2,FALSE()),"Unknown App ID"))</f>
        <v/>
      </c>
      <c r="AH888" s="108" t="str">
        <f aca="false">IF(OR($B888="",$AF888=""),"",IFERROR(VLOOKUP($AF888,'Application Portfolio'!$A$2:$AB$1000,28,FALSE()),""))</f>
        <v/>
      </c>
    </row>
    <row r="889" customFormat="false" ht="15.75" hidden="false" customHeight="true" outlineLevel="0" collapsed="false">
      <c r="A889" s="100"/>
      <c r="B889" s="101"/>
      <c r="C889" s="101"/>
      <c r="D889" s="101"/>
      <c r="E889" s="101"/>
      <c r="F889" s="102"/>
      <c r="G889" s="102"/>
      <c r="H889" s="102"/>
      <c r="I889" s="102"/>
      <c r="J889" s="102"/>
      <c r="K889" s="102"/>
      <c r="L889" s="103" t="str">
        <f aca="false">IF(OR($B889="", $H889="", $I889="", $J889="", $K889=""),"",ROUND((VLOOKUP($H889,Lists!$E$2:$F$5,2,FALSE())*VLOOKUP($I889,Lists!$H$2:$I$4,2,FALSE())*VLOOKUP($J889,Lists!$K$2:$L$4,2,FALSE()))/VLOOKUP($K889,Lists!$N$2:$O$6,2,FALSE()),2))</f>
        <v/>
      </c>
      <c r="M889" s="104" t="str">
        <f aca="false">IF($B889="","",IF($AC889&lt;&gt;"",$AC889,IF($H889="Critical","P0",IF(NOT(ISNUMBER($L889)),"",IF($L889&gt;=Lists!$AM$2,"P0",IF($L889&gt;=Lists!$AM$3,"P1",IF($L889&gt;=Lists!$AM$4,"P2","P3")))))))</f>
        <v/>
      </c>
      <c r="N889" s="102"/>
      <c r="O889" s="101"/>
      <c r="P889" s="102"/>
      <c r="Q889" s="105"/>
      <c r="R889" s="106" t="str">
        <f aca="true">IF($Q889="","", TODAY()-$Q889)</f>
        <v/>
      </c>
      <c r="S889" s="102"/>
      <c r="T889" s="105"/>
      <c r="U889" s="105"/>
      <c r="V889" s="101"/>
      <c r="W889" s="101"/>
      <c r="X889" s="101"/>
      <c r="Y889" s="96"/>
      <c r="Z889" s="96"/>
      <c r="AA889" s="96"/>
      <c r="AC889" s="102"/>
      <c r="AD889" s="107" t="str">
        <f aca="false">IF($B889="","",IF(ISNUMBER($T889),$T889,IF(OR(NOT(ISNUMBER($Q889)),$S889=""),"",IFERROR(IF(ISNUMBER(INDEX(Lists!$AJ$2:$AJ$7,MATCH($S889,Lists!$AI$2:$AI$7,0))),$Q889+INDEX(Lists!$AJ$2:$AJ$7,MATCH($S889,Lists!$AI$2:$AI$7,0)),""),""))))</f>
        <v/>
      </c>
      <c r="AE889" s="104" t="str">
        <f aca="true">IF($B889="","",IF(AND(ISNUMBER($AD889),N($AD889)&lt;TODAY(),$N889&lt;&gt;"Done",$N889&lt;&gt;"Won't Fix",$N889&lt;&gt;"Duplicate"),"Yes","No"))</f>
        <v/>
      </c>
      <c r="AF889" s="101"/>
      <c r="AG889" s="108" t="str">
        <f aca="false">IF($AF889="","",IFERROR(VLOOKUP($AF889,'Application Portfolio'!$A$2:$B$1000,2,FALSE()),"Unknown App ID"))</f>
        <v/>
      </c>
      <c r="AH889" s="108" t="str">
        <f aca="false">IF(OR($B889="",$AF889=""),"",IFERROR(VLOOKUP($AF889,'Application Portfolio'!$A$2:$AB$1000,28,FALSE()),""))</f>
        <v/>
      </c>
    </row>
    <row r="890" customFormat="false" ht="15.75" hidden="false" customHeight="true" outlineLevel="0" collapsed="false">
      <c r="A890" s="100"/>
      <c r="B890" s="101"/>
      <c r="C890" s="101"/>
      <c r="D890" s="101"/>
      <c r="E890" s="101"/>
      <c r="F890" s="102"/>
      <c r="G890" s="102"/>
      <c r="H890" s="102"/>
      <c r="I890" s="102"/>
      <c r="J890" s="102"/>
      <c r="K890" s="102"/>
      <c r="L890" s="103" t="str">
        <f aca="false">IF(OR($B890="", $H890="", $I890="", $J890="", $K890=""),"",ROUND((VLOOKUP($H890,Lists!$E$2:$F$5,2,FALSE())*VLOOKUP($I890,Lists!$H$2:$I$4,2,FALSE())*VLOOKUP($J890,Lists!$K$2:$L$4,2,FALSE()))/VLOOKUP($K890,Lists!$N$2:$O$6,2,FALSE()),2))</f>
        <v/>
      </c>
      <c r="M890" s="104" t="str">
        <f aca="false">IF($B890="","",IF($AC890&lt;&gt;"",$AC890,IF($H890="Critical","P0",IF(NOT(ISNUMBER($L890)),"",IF($L890&gt;=Lists!$AM$2,"P0",IF($L890&gt;=Lists!$AM$3,"P1",IF($L890&gt;=Lists!$AM$4,"P2","P3")))))))</f>
        <v/>
      </c>
      <c r="N890" s="102"/>
      <c r="O890" s="101"/>
      <c r="P890" s="102"/>
      <c r="Q890" s="105"/>
      <c r="R890" s="106" t="str">
        <f aca="true">IF($Q890="","", TODAY()-$Q890)</f>
        <v/>
      </c>
      <c r="S890" s="102"/>
      <c r="T890" s="105"/>
      <c r="U890" s="105"/>
      <c r="V890" s="101"/>
      <c r="W890" s="101"/>
      <c r="X890" s="101"/>
      <c r="Y890" s="96"/>
      <c r="Z890" s="96"/>
      <c r="AA890" s="96"/>
      <c r="AC890" s="102"/>
      <c r="AD890" s="107" t="str">
        <f aca="false">IF($B890="","",IF(ISNUMBER($T890),$T890,IF(OR(NOT(ISNUMBER($Q890)),$S890=""),"",IFERROR(IF(ISNUMBER(INDEX(Lists!$AJ$2:$AJ$7,MATCH($S890,Lists!$AI$2:$AI$7,0))),$Q890+INDEX(Lists!$AJ$2:$AJ$7,MATCH($S890,Lists!$AI$2:$AI$7,0)),""),""))))</f>
        <v/>
      </c>
      <c r="AE890" s="104" t="str">
        <f aca="true">IF($B890="","",IF(AND(ISNUMBER($AD890),N($AD890)&lt;TODAY(),$N890&lt;&gt;"Done",$N890&lt;&gt;"Won't Fix",$N890&lt;&gt;"Duplicate"),"Yes","No"))</f>
        <v/>
      </c>
      <c r="AF890" s="101"/>
      <c r="AG890" s="108" t="str">
        <f aca="false">IF($AF890="","",IFERROR(VLOOKUP($AF890,'Application Portfolio'!$A$2:$B$1000,2,FALSE()),"Unknown App ID"))</f>
        <v/>
      </c>
      <c r="AH890" s="108" t="str">
        <f aca="false">IF(OR($B890="",$AF890=""),"",IFERROR(VLOOKUP($AF890,'Application Portfolio'!$A$2:$AB$1000,28,FALSE()),""))</f>
        <v/>
      </c>
    </row>
    <row r="891" customFormat="false" ht="15.75" hidden="false" customHeight="true" outlineLevel="0" collapsed="false">
      <c r="A891" s="100"/>
      <c r="B891" s="101"/>
      <c r="C891" s="101"/>
      <c r="D891" s="101"/>
      <c r="E891" s="101"/>
      <c r="F891" s="102"/>
      <c r="G891" s="102"/>
      <c r="H891" s="102"/>
      <c r="I891" s="102"/>
      <c r="J891" s="102"/>
      <c r="K891" s="102"/>
      <c r="L891" s="103" t="str">
        <f aca="false">IF(OR($B891="", $H891="", $I891="", $J891="", $K891=""),"",ROUND((VLOOKUP($H891,Lists!$E$2:$F$5,2,FALSE())*VLOOKUP($I891,Lists!$H$2:$I$4,2,FALSE())*VLOOKUP($J891,Lists!$K$2:$L$4,2,FALSE()))/VLOOKUP($K891,Lists!$N$2:$O$6,2,FALSE()),2))</f>
        <v/>
      </c>
      <c r="M891" s="104" t="str">
        <f aca="false">IF($B891="","",IF($AC891&lt;&gt;"",$AC891,IF($H891="Critical","P0",IF(NOT(ISNUMBER($L891)),"",IF($L891&gt;=Lists!$AM$2,"P0",IF($L891&gt;=Lists!$AM$3,"P1",IF($L891&gt;=Lists!$AM$4,"P2","P3")))))))</f>
        <v/>
      </c>
      <c r="N891" s="102"/>
      <c r="O891" s="101"/>
      <c r="P891" s="102"/>
      <c r="Q891" s="105"/>
      <c r="R891" s="106" t="str">
        <f aca="true">IF($Q891="","", TODAY()-$Q891)</f>
        <v/>
      </c>
      <c r="S891" s="102"/>
      <c r="T891" s="105"/>
      <c r="U891" s="105"/>
      <c r="V891" s="101"/>
      <c r="W891" s="101"/>
      <c r="X891" s="101"/>
      <c r="Y891" s="96"/>
      <c r="Z891" s="96"/>
      <c r="AA891" s="96"/>
      <c r="AC891" s="102"/>
      <c r="AD891" s="107" t="str">
        <f aca="false">IF($B891="","",IF(ISNUMBER($T891),$T891,IF(OR(NOT(ISNUMBER($Q891)),$S891=""),"",IFERROR(IF(ISNUMBER(INDEX(Lists!$AJ$2:$AJ$7,MATCH($S891,Lists!$AI$2:$AI$7,0))),$Q891+INDEX(Lists!$AJ$2:$AJ$7,MATCH($S891,Lists!$AI$2:$AI$7,0)),""),""))))</f>
        <v/>
      </c>
      <c r="AE891" s="104" t="str">
        <f aca="true">IF($B891="","",IF(AND(ISNUMBER($AD891),N($AD891)&lt;TODAY(),$N891&lt;&gt;"Done",$N891&lt;&gt;"Won't Fix",$N891&lt;&gt;"Duplicate"),"Yes","No"))</f>
        <v/>
      </c>
      <c r="AF891" s="101"/>
      <c r="AG891" s="108" t="str">
        <f aca="false">IF($AF891="","",IFERROR(VLOOKUP($AF891,'Application Portfolio'!$A$2:$B$1000,2,FALSE()),"Unknown App ID"))</f>
        <v/>
      </c>
      <c r="AH891" s="108" t="str">
        <f aca="false">IF(OR($B891="",$AF891=""),"",IFERROR(VLOOKUP($AF891,'Application Portfolio'!$A$2:$AB$1000,28,FALSE()),""))</f>
        <v/>
      </c>
    </row>
    <row r="892" customFormat="false" ht="15.75" hidden="false" customHeight="true" outlineLevel="0" collapsed="false">
      <c r="A892" s="100"/>
      <c r="B892" s="101"/>
      <c r="C892" s="101"/>
      <c r="D892" s="101"/>
      <c r="E892" s="101"/>
      <c r="F892" s="102"/>
      <c r="G892" s="102"/>
      <c r="H892" s="102"/>
      <c r="I892" s="102"/>
      <c r="J892" s="102"/>
      <c r="K892" s="102"/>
      <c r="L892" s="103" t="str">
        <f aca="false">IF(OR($B892="", $H892="", $I892="", $J892="", $K892=""),"",ROUND((VLOOKUP($H892,Lists!$E$2:$F$5,2,FALSE())*VLOOKUP($I892,Lists!$H$2:$I$4,2,FALSE())*VLOOKUP($J892,Lists!$K$2:$L$4,2,FALSE()))/VLOOKUP($K892,Lists!$N$2:$O$6,2,FALSE()),2))</f>
        <v/>
      </c>
      <c r="M892" s="104" t="str">
        <f aca="false">IF($B892="","",IF($AC892&lt;&gt;"",$AC892,IF($H892="Critical","P0",IF(NOT(ISNUMBER($L892)),"",IF($L892&gt;=Lists!$AM$2,"P0",IF($L892&gt;=Lists!$AM$3,"P1",IF($L892&gt;=Lists!$AM$4,"P2","P3")))))))</f>
        <v/>
      </c>
      <c r="N892" s="102"/>
      <c r="O892" s="101"/>
      <c r="P892" s="102"/>
      <c r="Q892" s="105"/>
      <c r="R892" s="106" t="str">
        <f aca="true">IF($Q892="","", TODAY()-$Q892)</f>
        <v/>
      </c>
      <c r="S892" s="102"/>
      <c r="T892" s="105"/>
      <c r="U892" s="105"/>
      <c r="V892" s="101"/>
      <c r="W892" s="101"/>
      <c r="X892" s="101"/>
      <c r="Y892" s="96"/>
      <c r="Z892" s="96"/>
      <c r="AA892" s="96"/>
      <c r="AC892" s="102"/>
      <c r="AD892" s="107" t="str">
        <f aca="false">IF($B892="","",IF(ISNUMBER($T892),$T892,IF(OR(NOT(ISNUMBER($Q892)),$S892=""),"",IFERROR(IF(ISNUMBER(INDEX(Lists!$AJ$2:$AJ$7,MATCH($S892,Lists!$AI$2:$AI$7,0))),$Q892+INDEX(Lists!$AJ$2:$AJ$7,MATCH($S892,Lists!$AI$2:$AI$7,0)),""),""))))</f>
        <v/>
      </c>
      <c r="AE892" s="104" t="str">
        <f aca="true">IF($B892="","",IF(AND(ISNUMBER($AD892),N($AD892)&lt;TODAY(),$N892&lt;&gt;"Done",$N892&lt;&gt;"Won't Fix",$N892&lt;&gt;"Duplicate"),"Yes","No"))</f>
        <v/>
      </c>
      <c r="AF892" s="101"/>
      <c r="AG892" s="108" t="str">
        <f aca="false">IF($AF892="","",IFERROR(VLOOKUP($AF892,'Application Portfolio'!$A$2:$B$1000,2,FALSE()),"Unknown App ID"))</f>
        <v/>
      </c>
      <c r="AH892" s="108" t="str">
        <f aca="false">IF(OR($B892="",$AF892=""),"",IFERROR(VLOOKUP($AF892,'Application Portfolio'!$A$2:$AB$1000,28,FALSE()),""))</f>
        <v/>
      </c>
    </row>
    <row r="893" customFormat="false" ht="15.75" hidden="false" customHeight="true" outlineLevel="0" collapsed="false">
      <c r="A893" s="100"/>
      <c r="B893" s="101"/>
      <c r="C893" s="101"/>
      <c r="D893" s="101"/>
      <c r="E893" s="101"/>
      <c r="F893" s="102"/>
      <c r="G893" s="102"/>
      <c r="H893" s="102"/>
      <c r="I893" s="102"/>
      <c r="J893" s="102"/>
      <c r="K893" s="102"/>
      <c r="L893" s="103" t="str">
        <f aca="false">IF(OR($B893="", $H893="", $I893="", $J893="", $K893=""),"",ROUND((VLOOKUP($H893,Lists!$E$2:$F$5,2,FALSE())*VLOOKUP($I893,Lists!$H$2:$I$4,2,FALSE())*VLOOKUP($J893,Lists!$K$2:$L$4,2,FALSE()))/VLOOKUP($K893,Lists!$N$2:$O$6,2,FALSE()),2))</f>
        <v/>
      </c>
      <c r="M893" s="104" t="str">
        <f aca="false">IF($B893="","",IF($AC893&lt;&gt;"",$AC893,IF($H893="Critical","P0",IF(NOT(ISNUMBER($L893)),"",IF($L893&gt;=Lists!$AM$2,"P0",IF($L893&gt;=Lists!$AM$3,"P1",IF($L893&gt;=Lists!$AM$4,"P2","P3")))))))</f>
        <v/>
      </c>
      <c r="N893" s="102"/>
      <c r="O893" s="101"/>
      <c r="P893" s="102"/>
      <c r="Q893" s="105"/>
      <c r="R893" s="106" t="str">
        <f aca="true">IF($Q893="","", TODAY()-$Q893)</f>
        <v/>
      </c>
      <c r="S893" s="102"/>
      <c r="T893" s="105"/>
      <c r="U893" s="105"/>
      <c r="V893" s="101"/>
      <c r="W893" s="101"/>
      <c r="X893" s="101"/>
      <c r="Y893" s="96"/>
      <c r="Z893" s="96"/>
      <c r="AA893" s="96"/>
      <c r="AC893" s="102"/>
      <c r="AD893" s="107" t="str">
        <f aca="false">IF($B893="","",IF(ISNUMBER($T893),$T893,IF(OR(NOT(ISNUMBER($Q893)),$S893=""),"",IFERROR(IF(ISNUMBER(INDEX(Lists!$AJ$2:$AJ$7,MATCH($S893,Lists!$AI$2:$AI$7,0))),$Q893+INDEX(Lists!$AJ$2:$AJ$7,MATCH($S893,Lists!$AI$2:$AI$7,0)),""),""))))</f>
        <v/>
      </c>
      <c r="AE893" s="104" t="str">
        <f aca="true">IF($B893="","",IF(AND(ISNUMBER($AD893),N($AD893)&lt;TODAY(),$N893&lt;&gt;"Done",$N893&lt;&gt;"Won't Fix",$N893&lt;&gt;"Duplicate"),"Yes","No"))</f>
        <v/>
      </c>
      <c r="AF893" s="101"/>
      <c r="AG893" s="108" t="str">
        <f aca="false">IF($AF893="","",IFERROR(VLOOKUP($AF893,'Application Portfolio'!$A$2:$B$1000,2,FALSE()),"Unknown App ID"))</f>
        <v/>
      </c>
      <c r="AH893" s="108" t="str">
        <f aca="false">IF(OR($B893="",$AF893=""),"",IFERROR(VLOOKUP($AF893,'Application Portfolio'!$A$2:$AB$1000,28,FALSE()),""))</f>
        <v/>
      </c>
    </row>
    <row r="894" customFormat="false" ht="15.75" hidden="false" customHeight="true" outlineLevel="0" collapsed="false">
      <c r="A894" s="100"/>
      <c r="B894" s="101"/>
      <c r="C894" s="101"/>
      <c r="D894" s="101"/>
      <c r="E894" s="101"/>
      <c r="F894" s="102"/>
      <c r="G894" s="102"/>
      <c r="H894" s="102"/>
      <c r="I894" s="102"/>
      <c r="J894" s="102"/>
      <c r="K894" s="102"/>
      <c r="L894" s="103" t="str">
        <f aca="false">IF(OR($B894="", $H894="", $I894="", $J894="", $K894=""),"",ROUND((VLOOKUP($H894,Lists!$E$2:$F$5,2,FALSE())*VLOOKUP($I894,Lists!$H$2:$I$4,2,FALSE())*VLOOKUP($J894,Lists!$K$2:$L$4,2,FALSE()))/VLOOKUP($K894,Lists!$N$2:$O$6,2,FALSE()),2))</f>
        <v/>
      </c>
      <c r="M894" s="104" t="str">
        <f aca="false">IF($B894="","",IF($AC894&lt;&gt;"",$AC894,IF($H894="Critical","P0",IF(NOT(ISNUMBER($L894)),"",IF($L894&gt;=Lists!$AM$2,"P0",IF($L894&gt;=Lists!$AM$3,"P1",IF($L894&gt;=Lists!$AM$4,"P2","P3")))))))</f>
        <v/>
      </c>
      <c r="N894" s="102"/>
      <c r="O894" s="101"/>
      <c r="P894" s="102"/>
      <c r="Q894" s="105"/>
      <c r="R894" s="106" t="str">
        <f aca="true">IF($Q894="","", TODAY()-$Q894)</f>
        <v/>
      </c>
      <c r="S894" s="102"/>
      <c r="T894" s="105"/>
      <c r="U894" s="105"/>
      <c r="V894" s="101"/>
      <c r="W894" s="101"/>
      <c r="X894" s="101"/>
      <c r="Y894" s="96"/>
      <c r="Z894" s="96"/>
      <c r="AA894" s="96"/>
      <c r="AC894" s="102"/>
      <c r="AD894" s="107" t="str">
        <f aca="false">IF($B894="","",IF(ISNUMBER($T894),$T894,IF(OR(NOT(ISNUMBER($Q894)),$S894=""),"",IFERROR(IF(ISNUMBER(INDEX(Lists!$AJ$2:$AJ$7,MATCH($S894,Lists!$AI$2:$AI$7,0))),$Q894+INDEX(Lists!$AJ$2:$AJ$7,MATCH($S894,Lists!$AI$2:$AI$7,0)),""),""))))</f>
        <v/>
      </c>
      <c r="AE894" s="104" t="str">
        <f aca="true">IF($B894="","",IF(AND(ISNUMBER($AD894),N($AD894)&lt;TODAY(),$N894&lt;&gt;"Done",$N894&lt;&gt;"Won't Fix",$N894&lt;&gt;"Duplicate"),"Yes","No"))</f>
        <v/>
      </c>
      <c r="AF894" s="101"/>
      <c r="AG894" s="108" t="str">
        <f aca="false">IF($AF894="","",IFERROR(VLOOKUP($AF894,'Application Portfolio'!$A$2:$B$1000,2,FALSE()),"Unknown App ID"))</f>
        <v/>
      </c>
      <c r="AH894" s="108" t="str">
        <f aca="false">IF(OR($B894="",$AF894=""),"",IFERROR(VLOOKUP($AF894,'Application Portfolio'!$A$2:$AB$1000,28,FALSE()),""))</f>
        <v/>
      </c>
    </row>
    <row r="895" customFormat="false" ht="15.75" hidden="false" customHeight="true" outlineLevel="0" collapsed="false">
      <c r="A895" s="100"/>
      <c r="B895" s="101"/>
      <c r="C895" s="101"/>
      <c r="D895" s="101"/>
      <c r="E895" s="101"/>
      <c r="F895" s="102"/>
      <c r="G895" s="102"/>
      <c r="H895" s="102"/>
      <c r="I895" s="102"/>
      <c r="J895" s="102"/>
      <c r="K895" s="102"/>
      <c r="L895" s="103" t="str">
        <f aca="false">IF(OR($B895="", $H895="", $I895="", $J895="", $K895=""),"",ROUND((VLOOKUP($H895,Lists!$E$2:$F$5,2,FALSE())*VLOOKUP($I895,Lists!$H$2:$I$4,2,FALSE())*VLOOKUP($J895,Lists!$K$2:$L$4,2,FALSE()))/VLOOKUP($K895,Lists!$N$2:$O$6,2,FALSE()),2))</f>
        <v/>
      </c>
      <c r="M895" s="104" t="str">
        <f aca="false">IF($B895="","",IF($AC895&lt;&gt;"",$AC895,IF($H895="Critical","P0",IF(NOT(ISNUMBER($L895)),"",IF($L895&gt;=Lists!$AM$2,"P0",IF($L895&gt;=Lists!$AM$3,"P1",IF($L895&gt;=Lists!$AM$4,"P2","P3")))))))</f>
        <v/>
      </c>
      <c r="N895" s="102"/>
      <c r="O895" s="101"/>
      <c r="P895" s="102"/>
      <c r="Q895" s="105"/>
      <c r="R895" s="106" t="str">
        <f aca="true">IF($Q895="","", TODAY()-$Q895)</f>
        <v/>
      </c>
      <c r="S895" s="102"/>
      <c r="T895" s="105"/>
      <c r="U895" s="105"/>
      <c r="V895" s="101"/>
      <c r="W895" s="101"/>
      <c r="X895" s="101"/>
      <c r="Y895" s="96"/>
      <c r="Z895" s="96"/>
      <c r="AA895" s="96"/>
      <c r="AC895" s="102"/>
      <c r="AD895" s="107" t="str">
        <f aca="false">IF($B895="","",IF(ISNUMBER($T895),$T895,IF(OR(NOT(ISNUMBER($Q895)),$S895=""),"",IFERROR(IF(ISNUMBER(INDEX(Lists!$AJ$2:$AJ$7,MATCH($S895,Lists!$AI$2:$AI$7,0))),$Q895+INDEX(Lists!$AJ$2:$AJ$7,MATCH($S895,Lists!$AI$2:$AI$7,0)),""),""))))</f>
        <v/>
      </c>
      <c r="AE895" s="104" t="str">
        <f aca="true">IF($B895="","",IF(AND(ISNUMBER($AD895),N($AD895)&lt;TODAY(),$N895&lt;&gt;"Done",$N895&lt;&gt;"Won't Fix",$N895&lt;&gt;"Duplicate"),"Yes","No"))</f>
        <v/>
      </c>
      <c r="AF895" s="101"/>
      <c r="AG895" s="108" t="str">
        <f aca="false">IF($AF895="","",IFERROR(VLOOKUP($AF895,'Application Portfolio'!$A$2:$B$1000,2,FALSE()),"Unknown App ID"))</f>
        <v/>
      </c>
      <c r="AH895" s="108" t="str">
        <f aca="false">IF(OR($B895="",$AF895=""),"",IFERROR(VLOOKUP($AF895,'Application Portfolio'!$A$2:$AB$1000,28,FALSE()),""))</f>
        <v/>
      </c>
    </row>
    <row r="896" customFormat="false" ht="15.75" hidden="false" customHeight="true" outlineLevel="0" collapsed="false">
      <c r="A896" s="100"/>
      <c r="B896" s="101"/>
      <c r="C896" s="101"/>
      <c r="D896" s="101"/>
      <c r="E896" s="101"/>
      <c r="F896" s="102"/>
      <c r="G896" s="102"/>
      <c r="H896" s="102"/>
      <c r="I896" s="102"/>
      <c r="J896" s="102"/>
      <c r="K896" s="102"/>
      <c r="L896" s="103" t="str">
        <f aca="false">IF(OR($B896="", $H896="", $I896="", $J896="", $K896=""),"",ROUND((VLOOKUP($H896,Lists!$E$2:$F$5,2,FALSE())*VLOOKUP($I896,Lists!$H$2:$I$4,2,FALSE())*VLOOKUP($J896,Lists!$K$2:$L$4,2,FALSE()))/VLOOKUP($K896,Lists!$N$2:$O$6,2,FALSE()),2))</f>
        <v/>
      </c>
      <c r="M896" s="104" t="str">
        <f aca="false">IF($B896="","",IF($AC896&lt;&gt;"",$AC896,IF($H896="Critical","P0",IF(NOT(ISNUMBER($L896)),"",IF($L896&gt;=Lists!$AM$2,"P0",IF($L896&gt;=Lists!$AM$3,"P1",IF($L896&gt;=Lists!$AM$4,"P2","P3")))))))</f>
        <v/>
      </c>
      <c r="N896" s="102"/>
      <c r="O896" s="101"/>
      <c r="P896" s="102"/>
      <c r="Q896" s="105"/>
      <c r="R896" s="106" t="str">
        <f aca="true">IF($Q896="","", TODAY()-$Q896)</f>
        <v/>
      </c>
      <c r="S896" s="102"/>
      <c r="T896" s="105"/>
      <c r="U896" s="105"/>
      <c r="V896" s="101"/>
      <c r="W896" s="101"/>
      <c r="X896" s="101"/>
      <c r="Y896" s="96"/>
      <c r="Z896" s="96"/>
      <c r="AA896" s="96"/>
      <c r="AC896" s="102"/>
      <c r="AD896" s="107" t="str">
        <f aca="false">IF($B896="","",IF(ISNUMBER($T896),$T896,IF(OR(NOT(ISNUMBER($Q896)),$S896=""),"",IFERROR(IF(ISNUMBER(INDEX(Lists!$AJ$2:$AJ$7,MATCH($S896,Lists!$AI$2:$AI$7,0))),$Q896+INDEX(Lists!$AJ$2:$AJ$7,MATCH($S896,Lists!$AI$2:$AI$7,0)),""),""))))</f>
        <v/>
      </c>
      <c r="AE896" s="104" t="str">
        <f aca="true">IF($B896="","",IF(AND(ISNUMBER($AD896),N($AD896)&lt;TODAY(),$N896&lt;&gt;"Done",$N896&lt;&gt;"Won't Fix",$N896&lt;&gt;"Duplicate"),"Yes","No"))</f>
        <v/>
      </c>
      <c r="AF896" s="101"/>
      <c r="AG896" s="108" t="str">
        <f aca="false">IF($AF896="","",IFERROR(VLOOKUP($AF896,'Application Portfolio'!$A$2:$B$1000,2,FALSE()),"Unknown App ID"))</f>
        <v/>
      </c>
      <c r="AH896" s="108" t="str">
        <f aca="false">IF(OR($B896="",$AF896=""),"",IFERROR(VLOOKUP($AF896,'Application Portfolio'!$A$2:$AB$1000,28,FALSE()),""))</f>
        <v/>
      </c>
    </row>
    <row r="897" customFormat="false" ht="15.75" hidden="false" customHeight="true" outlineLevel="0" collapsed="false">
      <c r="A897" s="100"/>
      <c r="B897" s="101"/>
      <c r="C897" s="101"/>
      <c r="D897" s="101"/>
      <c r="E897" s="101"/>
      <c r="F897" s="102"/>
      <c r="G897" s="102"/>
      <c r="H897" s="102"/>
      <c r="I897" s="102"/>
      <c r="J897" s="102"/>
      <c r="K897" s="102"/>
      <c r="L897" s="103" t="str">
        <f aca="false">IF(OR($B897="", $H897="", $I897="", $J897="", $K897=""),"",ROUND((VLOOKUP($H897,Lists!$E$2:$F$5,2,FALSE())*VLOOKUP($I897,Lists!$H$2:$I$4,2,FALSE())*VLOOKUP($J897,Lists!$K$2:$L$4,2,FALSE()))/VLOOKUP($K897,Lists!$N$2:$O$6,2,FALSE()),2))</f>
        <v/>
      </c>
      <c r="M897" s="104" t="str">
        <f aca="false">IF($B897="","",IF($AC897&lt;&gt;"",$AC897,IF($H897="Critical","P0",IF(NOT(ISNUMBER($L897)),"",IF($L897&gt;=Lists!$AM$2,"P0",IF($L897&gt;=Lists!$AM$3,"P1",IF($L897&gt;=Lists!$AM$4,"P2","P3")))))))</f>
        <v/>
      </c>
      <c r="N897" s="102"/>
      <c r="O897" s="101"/>
      <c r="P897" s="102"/>
      <c r="Q897" s="105"/>
      <c r="R897" s="106" t="str">
        <f aca="true">IF($Q897="","", TODAY()-$Q897)</f>
        <v/>
      </c>
      <c r="S897" s="102"/>
      <c r="T897" s="105"/>
      <c r="U897" s="105"/>
      <c r="V897" s="101"/>
      <c r="W897" s="101"/>
      <c r="X897" s="101"/>
      <c r="Y897" s="96"/>
      <c r="Z897" s="96"/>
      <c r="AA897" s="96"/>
      <c r="AC897" s="102"/>
      <c r="AD897" s="107" t="str">
        <f aca="false">IF($B897="","",IF(ISNUMBER($T897),$T897,IF(OR(NOT(ISNUMBER($Q897)),$S897=""),"",IFERROR(IF(ISNUMBER(INDEX(Lists!$AJ$2:$AJ$7,MATCH($S897,Lists!$AI$2:$AI$7,0))),$Q897+INDEX(Lists!$AJ$2:$AJ$7,MATCH($S897,Lists!$AI$2:$AI$7,0)),""),""))))</f>
        <v/>
      </c>
      <c r="AE897" s="104" t="str">
        <f aca="true">IF($B897="","",IF(AND(ISNUMBER($AD897),N($AD897)&lt;TODAY(),$N897&lt;&gt;"Done",$N897&lt;&gt;"Won't Fix",$N897&lt;&gt;"Duplicate"),"Yes","No"))</f>
        <v/>
      </c>
      <c r="AF897" s="101"/>
      <c r="AG897" s="108" t="str">
        <f aca="false">IF($AF897="","",IFERROR(VLOOKUP($AF897,'Application Portfolio'!$A$2:$B$1000,2,FALSE()),"Unknown App ID"))</f>
        <v/>
      </c>
      <c r="AH897" s="108" t="str">
        <f aca="false">IF(OR($B897="",$AF897=""),"",IFERROR(VLOOKUP($AF897,'Application Portfolio'!$A$2:$AB$1000,28,FALSE()),""))</f>
        <v/>
      </c>
    </row>
    <row r="898" customFormat="false" ht="15.75" hidden="false" customHeight="true" outlineLevel="0" collapsed="false">
      <c r="A898" s="100"/>
      <c r="B898" s="101"/>
      <c r="C898" s="101"/>
      <c r="D898" s="101"/>
      <c r="E898" s="101"/>
      <c r="F898" s="102"/>
      <c r="G898" s="102"/>
      <c r="H898" s="102"/>
      <c r="I898" s="102"/>
      <c r="J898" s="102"/>
      <c r="K898" s="102"/>
      <c r="L898" s="103" t="str">
        <f aca="false">IF(OR($B898="", $H898="", $I898="", $J898="", $K898=""),"",ROUND((VLOOKUP($H898,Lists!$E$2:$F$5,2,FALSE())*VLOOKUP($I898,Lists!$H$2:$I$4,2,FALSE())*VLOOKUP($J898,Lists!$K$2:$L$4,2,FALSE()))/VLOOKUP($K898,Lists!$N$2:$O$6,2,FALSE()),2))</f>
        <v/>
      </c>
      <c r="M898" s="104" t="str">
        <f aca="false">IF($B898="","",IF($AC898&lt;&gt;"",$AC898,IF($H898="Critical","P0",IF(NOT(ISNUMBER($L898)),"",IF($L898&gt;=Lists!$AM$2,"P0",IF($L898&gt;=Lists!$AM$3,"P1",IF($L898&gt;=Lists!$AM$4,"P2","P3")))))))</f>
        <v/>
      </c>
      <c r="N898" s="102"/>
      <c r="O898" s="101"/>
      <c r="P898" s="102"/>
      <c r="Q898" s="105"/>
      <c r="R898" s="106" t="str">
        <f aca="true">IF($Q898="","", TODAY()-$Q898)</f>
        <v/>
      </c>
      <c r="S898" s="102"/>
      <c r="T898" s="105"/>
      <c r="U898" s="105"/>
      <c r="V898" s="101"/>
      <c r="W898" s="101"/>
      <c r="X898" s="101"/>
      <c r="Y898" s="96"/>
      <c r="Z898" s="96"/>
      <c r="AA898" s="96"/>
      <c r="AC898" s="102"/>
      <c r="AD898" s="107" t="str">
        <f aca="false">IF($B898="","",IF(ISNUMBER($T898),$T898,IF(OR(NOT(ISNUMBER($Q898)),$S898=""),"",IFERROR(IF(ISNUMBER(INDEX(Lists!$AJ$2:$AJ$7,MATCH($S898,Lists!$AI$2:$AI$7,0))),$Q898+INDEX(Lists!$AJ$2:$AJ$7,MATCH($S898,Lists!$AI$2:$AI$7,0)),""),""))))</f>
        <v/>
      </c>
      <c r="AE898" s="104" t="str">
        <f aca="true">IF($B898="","",IF(AND(ISNUMBER($AD898),N($AD898)&lt;TODAY(),$N898&lt;&gt;"Done",$N898&lt;&gt;"Won't Fix",$N898&lt;&gt;"Duplicate"),"Yes","No"))</f>
        <v/>
      </c>
      <c r="AF898" s="101"/>
      <c r="AG898" s="108" t="str">
        <f aca="false">IF($AF898="","",IFERROR(VLOOKUP($AF898,'Application Portfolio'!$A$2:$B$1000,2,FALSE()),"Unknown App ID"))</f>
        <v/>
      </c>
      <c r="AH898" s="108" t="str">
        <f aca="false">IF(OR($B898="",$AF898=""),"",IFERROR(VLOOKUP($AF898,'Application Portfolio'!$A$2:$AB$1000,28,FALSE()),""))</f>
        <v/>
      </c>
    </row>
    <row r="899" customFormat="false" ht="15.75" hidden="false" customHeight="true" outlineLevel="0" collapsed="false">
      <c r="A899" s="100"/>
      <c r="B899" s="101"/>
      <c r="C899" s="101"/>
      <c r="D899" s="101"/>
      <c r="E899" s="101"/>
      <c r="F899" s="102"/>
      <c r="G899" s="102"/>
      <c r="H899" s="102"/>
      <c r="I899" s="102"/>
      <c r="J899" s="102"/>
      <c r="K899" s="102"/>
      <c r="L899" s="103" t="str">
        <f aca="false">IF(OR($B899="", $H899="", $I899="", $J899="", $K899=""),"",ROUND((VLOOKUP($H899,Lists!$E$2:$F$5,2,FALSE())*VLOOKUP($I899,Lists!$H$2:$I$4,2,FALSE())*VLOOKUP($J899,Lists!$K$2:$L$4,2,FALSE()))/VLOOKUP($K899,Lists!$N$2:$O$6,2,FALSE()),2))</f>
        <v/>
      </c>
      <c r="M899" s="104" t="str">
        <f aca="false">IF($B899="","",IF($AC899&lt;&gt;"",$AC899,IF($H899="Critical","P0",IF(NOT(ISNUMBER($L899)),"",IF($L899&gt;=Lists!$AM$2,"P0",IF($L899&gt;=Lists!$AM$3,"P1",IF($L899&gt;=Lists!$AM$4,"P2","P3")))))))</f>
        <v/>
      </c>
      <c r="N899" s="102"/>
      <c r="O899" s="101"/>
      <c r="P899" s="102"/>
      <c r="Q899" s="105"/>
      <c r="R899" s="106" t="str">
        <f aca="true">IF($Q899="","", TODAY()-$Q899)</f>
        <v/>
      </c>
      <c r="S899" s="102"/>
      <c r="T899" s="105"/>
      <c r="U899" s="105"/>
      <c r="V899" s="101"/>
      <c r="W899" s="101"/>
      <c r="X899" s="101"/>
      <c r="Y899" s="96"/>
      <c r="Z899" s="96"/>
      <c r="AA899" s="96"/>
      <c r="AC899" s="102"/>
      <c r="AD899" s="107" t="str">
        <f aca="false">IF($B899="","",IF(ISNUMBER($T899),$T899,IF(OR(NOT(ISNUMBER($Q899)),$S899=""),"",IFERROR(IF(ISNUMBER(INDEX(Lists!$AJ$2:$AJ$7,MATCH($S899,Lists!$AI$2:$AI$7,0))),$Q899+INDEX(Lists!$AJ$2:$AJ$7,MATCH($S899,Lists!$AI$2:$AI$7,0)),""),""))))</f>
        <v/>
      </c>
      <c r="AE899" s="104" t="str">
        <f aca="true">IF($B899="","",IF(AND(ISNUMBER($AD899),N($AD899)&lt;TODAY(),$N899&lt;&gt;"Done",$N899&lt;&gt;"Won't Fix",$N899&lt;&gt;"Duplicate"),"Yes","No"))</f>
        <v/>
      </c>
      <c r="AF899" s="101"/>
      <c r="AG899" s="108" t="str">
        <f aca="false">IF($AF899="","",IFERROR(VLOOKUP($AF899,'Application Portfolio'!$A$2:$B$1000,2,FALSE()),"Unknown App ID"))</f>
        <v/>
      </c>
      <c r="AH899" s="108" t="str">
        <f aca="false">IF(OR($B899="",$AF899=""),"",IFERROR(VLOOKUP($AF899,'Application Portfolio'!$A$2:$AB$1000,28,FALSE()),""))</f>
        <v/>
      </c>
    </row>
    <row r="900" customFormat="false" ht="15.75" hidden="false" customHeight="true" outlineLevel="0" collapsed="false">
      <c r="A900" s="100"/>
      <c r="B900" s="101"/>
      <c r="C900" s="101"/>
      <c r="D900" s="101"/>
      <c r="E900" s="101"/>
      <c r="F900" s="102"/>
      <c r="G900" s="102"/>
      <c r="H900" s="102"/>
      <c r="I900" s="102"/>
      <c r="J900" s="102"/>
      <c r="K900" s="102"/>
      <c r="L900" s="103" t="str">
        <f aca="false">IF(OR($B900="", $H900="", $I900="", $J900="", $K900=""),"",ROUND((VLOOKUP($H900,Lists!$E$2:$F$5,2,FALSE())*VLOOKUP($I900,Lists!$H$2:$I$4,2,FALSE())*VLOOKUP($J900,Lists!$K$2:$L$4,2,FALSE()))/VLOOKUP($K900,Lists!$N$2:$O$6,2,FALSE()),2))</f>
        <v/>
      </c>
      <c r="M900" s="104" t="str">
        <f aca="false">IF($B900="","",IF($AC900&lt;&gt;"",$AC900,IF($H900="Critical","P0",IF(NOT(ISNUMBER($L900)),"",IF($L900&gt;=Lists!$AM$2,"P0",IF($L900&gt;=Lists!$AM$3,"P1",IF($L900&gt;=Lists!$AM$4,"P2","P3")))))))</f>
        <v/>
      </c>
      <c r="N900" s="102"/>
      <c r="O900" s="101"/>
      <c r="P900" s="102"/>
      <c r="Q900" s="105"/>
      <c r="R900" s="106" t="str">
        <f aca="true">IF($Q900="","", TODAY()-$Q900)</f>
        <v/>
      </c>
      <c r="S900" s="102"/>
      <c r="T900" s="105"/>
      <c r="U900" s="105"/>
      <c r="V900" s="101"/>
      <c r="W900" s="101"/>
      <c r="X900" s="101"/>
      <c r="Y900" s="96"/>
      <c r="Z900" s="96"/>
      <c r="AA900" s="96"/>
      <c r="AC900" s="102"/>
      <c r="AD900" s="107" t="str">
        <f aca="false">IF($B900="","",IF(ISNUMBER($T900),$T900,IF(OR(NOT(ISNUMBER($Q900)),$S900=""),"",IFERROR(IF(ISNUMBER(INDEX(Lists!$AJ$2:$AJ$7,MATCH($S900,Lists!$AI$2:$AI$7,0))),$Q900+INDEX(Lists!$AJ$2:$AJ$7,MATCH($S900,Lists!$AI$2:$AI$7,0)),""),""))))</f>
        <v/>
      </c>
      <c r="AE900" s="104" t="str">
        <f aca="true">IF($B900="","",IF(AND(ISNUMBER($AD900),N($AD900)&lt;TODAY(),$N900&lt;&gt;"Done",$N900&lt;&gt;"Won't Fix",$N900&lt;&gt;"Duplicate"),"Yes","No"))</f>
        <v/>
      </c>
      <c r="AF900" s="101"/>
      <c r="AG900" s="108" t="str">
        <f aca="false">IF($AF900="","",IFERROR(VLOOKUP($AF900,'Application Portfolio'!$A$2:$B$1000,2,FALSE()),"Unknown App ID"))</f>
        <v/>
      </c>
      <c r="AH900" s="108" t="str">
        <f aca="false">IF(OR($B900="",$AF900=""),"",IFERROR(VLOOKUP($AF900,'Application Portfolio'!$A$2:$AB$1000,28,FALSE()),""))</f>
        <v/>
      </c>
    </row>
    <row r="901" customFormat="false" ht="15.75" hidden="false" customHeight="true" outlineLevel="0" collapsed="false">
      <c r="A901" s="100"/>
      <c r="B901" s="101"/>
      <c r="C901" s="101"/>
      <c r="D901" s="101"/>
      <c r="E901" s="101"/>
      <c r="F901" s="102"/>
      <c r="G901" s="102"/>
      <c r="H901" s="102"/>
      <c r="I901" s="102"/>
      <c r="J901" s="102"/>
      <c r="K901" s="102"/>
      <c r="L901" s="103" t="str">
        <f aca="false">IF(OR($B901="", $H901="", $I901="", $J901="", $K901=""),"",ROUND((VLOOKUP($H901,Lists!$E$2:$F$5,2,FALSE())*VLOOKUP($I901,Lists!$H$2:$I$4,2,FALSE())*VLOOKUP($J901,Lists!$K$2:$L$4,2,FALSE()))/VLOOKUP($K901,Lists!$N$2:$O$6,2,FALSE()),2))</f>
        <v/>
      </c>
      <c r="M901" s="104" t="str">
        <f aca="false">IF($B901="","",IF($AC901&lt;&gt;"",$AC901,IF($H901="Critical","P0",IF(NOT(ISNUMBER($L901)),"",IF($L901&gt;=Lists!$AM$2,"P0",IF($L901&gt;=Lists!$AM$3,"P1",IF($L901&gt;=Lists!$AM$4,"P2","P3")))))))</f>
        <v/>
      </c>
      <c r="N901" s="102"/>
      <c r="O901" s="101"/>
      <c r="P901" s="102"/>
      <c r="Q901" s="105"/>
      <c r="R901" s="106" t="str">
        <f aca="true">IF($Q901="","", TODAY()-$Q901)</f>
        <v/>
      </c>
      <c r="S901" s="102"/>
      <c r="T901" s="105"/>
      <c r="U901" s="105"/>
      <c r="V901" s="101"/>
      <c r="W901" s="101"/>
      <c r="X901" s="101"/>
      <c r="Y901" s="96"/>
      <c r="Z901" s="96"/>
      <c r="AA901" s="96"/>
      <c r="AC901" s="102"/>
      <c r="AD901" s="107" t="str">
        <f aca="false">IF($B901="","",IF(ISNUMBER($T901),$T901,IF(OR(NOT(ISNUMBER($Q901)),$S901=""),"",IFERROR(IF(ISNUMBER(INDEX(Lists!$AJ$2:$AJ$7,MATCH($S901,Lists!$AI$2:$AI$7,0))),$Q901+INDEX(Lists!$AJ$2:$AJ$7,MATCH($S901,Lists!$AI$2:$AI$7,0)),""),""))))</f>
        <v/>
      </c>
      <c r="AE901" s="104" t="str">
        <f aca="true">IF($B901="","",IF(AND(ISNUMBER($AD901),N($AD901)&lt;TODAY(),$N901&lt;&gt;"Done",$N901&lt;&gt;"Won't Fix",$N901&lt;&gt;"Duplicate"),"Yes","No"))</f>
        <v/>
      </c>
      <c r="AF901" s="101"/>
      <c r="AG901" s="108" t="str">
        <f aca="false">IF($AF901="","",IFERROR(VLOOKUP($AF901,'Application Portfolio'!$A$2:$B$1000,2,FALSE()),"Unknown App ID"))</f>
        <v/>
      </c>
      <c r="AH901" s="108" t="str">
        <f aca="false">IF(OR($B901="",$AF901=""),"",IFERROR(VLOOKUP($AF901,'Application Portfolio'!$A$2:$AB$1000,28,FALSE()),""))</f>
        <v/>
      </c>
    </row>
    <row r="902" customFormat="false" ht="15.75" hidden="false" customHeight="true" outlineLevel="0" collapsed="false">
      <c r="A902" s="100"/>
      <c r="B902" s="101"/>
      <c r="C902" s="101"/>
      <c r="D902" s="101"/>
      <c r="E902" s="101"/>
      <c r="F902" s="102"/>
      <c r="G902" s="102"/>
      <c r="H902" s="102"/>
      <c r="I902" s="102"/>
      <c r="J902" s="102"/>
      <c r="K902" s="102"/>
      <c r="L902" s="103" t="str">
        <f aca="false">IF(OR($B902="", $H902="", $I902="", $J902="", $K902=""),"",ROUND((VLOOKUP($H902,Lists!$E$2:$F$5,2,FALSE())*VLOOKUP($I902,Lists!$H$2:$I$4,2,FALSE())*VLOOKUP($J902,Lists!$K$2:$L$4,2,FALSE()))/VLOOKUP($K902,Lists!$N$2:$O$6,2,FALSE()),2))</f>
        <v/>
      </c>
      <c r="M902" s="104" t="str">
        <f aca="false">IF($B902="","",IF($AC902&lt;&gt;"",$AC902,IF($H902="Critical","P0",IF(NOT(ISNUMBER($L902)),"",IF($L902&gt;=Lists!$AM$2,"P0",IF($L902&gt;=Lists!$AM$3,"P1",IF($L902&gt;=Lists!$AM$4,"P2","P3")))))))</f>
        <v/>
      </c>
      <c r="N902" s="102"/>
      <c r="O902" s="101"/>
      <c r="P902" s="102"/>
      <c r="Q902" s="105"/>
      <c r="R902" s="106" t="str">
        <f aca="true">IF($Q902="","", TODAY()-$Q902)</f>
        <v/>
      </c>
      <c r="S902" s="102"/>
      <c r="T902" s="105"/>
      <c r="U902" s="105"/>
      <c r="V902" s="101"/>
      <c r="W902" s="101"/>
      <c r="X902" s="101"/>
      <c r="Y902" s="96"/>
      <c r="Z902" s="96"/>
      <c r="AA902" s="96"/>
      <c r="AC902" s="102"/>
      <c r="AD902" s="107" t="str">
        <f aca="false">IF($B902="","",IF(ISNUMBER($T902),$T902,IF(OR(NOT(ISNUMBER($Q902)),$S902=""),"",IFERROR(IF(ISNUMBER(INDEX(Lists!$AJ$2:$AJ$7,MATCH($S902,Lists!$AI$2:$AI$7,0))),$Q902+INDEX(Lists!$AJ$2:$AJ$7,MATCH($S902,Lists!$AI$2:$AI$7,0)),""),""))))</f>
        <v/>
      </c>
      <c r="AE902" s="104" t="str">
        <f aca="true">IF($B902="","",IF(AND(ISNUMBER($AD902),N($AD902)&lt;TODAY(),$N902&lt;&gt;"Done",$N902&lt;&gt;"Won't Fix",$N902&lt;&gt;"Duplicate"),"Yes","No"))</f>
        <v/>
      </c>
      <c r="AF902" s="101"/>
      <c r="AG902" s="108" t="str">
        <f aca="false">IF($AF902="","",IFERROR(VLOOKUP($AF902,'Application Portfolio'!$A$2:$B$1000,2,FALSE()),"Unknown App ID"))</f>
        <v/>
      </c>
      <c r="AH902" s="108" t="str">
        <f aca="false">IF(OR($B902="",$AF902=""),"",IFERROR(VLOOKUP($AF902,'Application Portfolio'!$A$2:$AB$1000,28,FALSE()),""))</f>
        <v/>
      </c>
    </row>
    <row r="903" customFormat="false" ht="15.75" hidden="false" customHeight="true" outlineLevel="0" collapsed="false">
      <c r="A903" s="100"/>
      <c r="B903" s="101"/>
      <c r="C903" s="101"/>
      <c r="D903" s="101"/>
      <c r="E903" s="101"/>
      <c r="F903" s="102"/>
      <c r="G903" s="102"/>
      <c r="H903" s="102"/>
      <c r="I903" s="102"/>
      <c r="J903" s="102"/>
      <c r="K903" s="102"/>
      <c r="L903" s="103" t="str">
        <f aca="false">IF(OR($B903="", $H903="", $I903="", $J903="", $K903=""),"",ROUND((VLOOKUP($H903,Lists!$E$2:$F$5,2,FALSE())*VLOOKUP($I903,Lists!$H$2:$I$4,2,FALSE())*VLOOKUP($J903,Lists!$K$2:$L$4,2,FALSE()))/VLOOKUP($K903,Lists!$N$2:$O$6,2,FALSE()),2))</f>
        <v/>
      </c>
      <c r="M903" s="104" t="str">
        <f aca="false">IF($B903="","",IF($AC903&lt;&gt;"",$AC903,IF($H903="Critical","P0",IF(NOT(ISNUMBER($L903)),"",IF($L903&gt;=Lists!$AM$2,"P0",IF($L903&gt;=Lists!$AM$3,"P1",IF($L903&gt;=Lists!$AM$4,"P2","P3")))))))</f>
        <v/>
      </c>
      <c r="N903" s="102"/>
      <c r="O903" s="101"/>
      <c r="P903" s="102"/>
      <c r="Q903" s="105"/>
      <c r="R903" s="106" t="str">
        <f aca="true">IF($Q903="","", TODAY()-$Q903)</f>
        <v/>
      </c>
      <c r="S903" s="102"/>
      <c r="T903" s="105"/>
      <c r="U903" s="105"/>
      <c r="V903" s="101"/>
      <c r="W903" s="101"/>
      <c r="X903" s="101"/>
      <c r="Y903" s="96"/>
      <c r="Z903" s="96"/>
      <c r="AA903" s="96"/>
      <c r="AC903" s="102"/>
      <c r="AD903" s="107" t="str">
        <f aca="false">IF($B903="","",IF(ISNUMBER($T903),$T903,IF(OR(NOT(ISNUMBER($Q903)),$S903=""),"",IFERROR(IF(ISNUMBER(INDEX(Lists!$AJ$2:$AJ$7,MATCH($S903,Lists!$AI$2:$AI$7,0))),$Q903+INDEX(Lists!$AJ$2:$AJ$7,MATCH($S903,Lists!$AI$2:$AI$7,0)),""),""))))</f>
        <v/>
      </c>
      <c r="AE903" s="104" t="str">
        <f aca="true">IF($B903="","",IF(AND(ISNUMBER($AD903),N($AD903)&lt;TODAY(),$N903&lt;&gt;"Done",$N903&lt;&gt;"Won't Fix",$N903&lt;&gt;"Duplicate"),"Yes","No"))</f>
        <v/>
      </c>
      <c r="AF903" s="101"/>
      <c r="AG903" s="108" t="str">
        <f aca="false">IF($AF903="","",IFERROR(VLOOKUP($AF903,'Application Portfolio'!$A$2:$B$1000,2,FALSE()),"Unknown App ID"))</f>
        <v/>
      </c>
      <c r="AH903" s="108" t="str">
        <f aca="false">IF(OR($B903="",$AF903=""),"",IFERROR(VLOOKUP($AF903,'Application Portfolio'!$A$2:$AB$1000,28,FALSE()),""))</f>
        <v/>
      </c>
    </row>
    <row r="904" customFormat="false" ht="15.75" hidden="false" customHeight="true" outlineLevel="0" collapsed="false">
      <c r="A904" s="100"/>
      <c r="B904" s="101"/>
      <c r="C904" s="101"/>
      <c r="D904" s="101"/>
      <c r="E904" s="101"/>
      <c r="F904" s="102"/>
      <c r="G904" s="102"/>
      <c r="H904" s="102"/>
      <c r="I904" s="102"/>
      <c r="J904" s="102"/>
      <c r="K904" s="102"/>
      <c r="L904" s="103" t="str">
        <f aca="false">IF(OR($B904="", $H904="", $I904="", $J904="", $K904=""),"",ROUND((VLOOKUP($H904,Lists!$E$2:$F$5,2,FALSE())*VLOOKUP($I904,Lists!$H$2:$I$4,2,FALSE())*VLOOKUP($J904,Lists!$K$2:$L$4,2,FALSE()))/VLOOKUP($K904,Lists!$N$2:$O$6,2,FALSE()),2))</f>
        <v/>
      </c>
      <c r="M904" s="104" t="str">
        <f aca="false">IF($B904="","",IF($AC904&lt;&gt;"",$AC904,IF($H904="Critical","P0",IF(NOT(ISNUMBER($L904)),"",IF($L904&gt;=Lists!$AM$2,"P0",IF($L904&gt;=Lists!$AM$3,"P1",IF($L904&gt;=Lists!$AM$4,"P2","P3")))))))</f>
        <v/>
      </c>
      <c r="N904" s="102"/>
      <c r="O904" s="101"/>
      <c r="P904" s="102"/>
      <c r="Q904" s="105"/>
      <c r="R904" s="106" t="str">
        <f aca="true">IF($Q904="","", TODAY()-$Q904)</f>
        <v/>
      </c>
      <c r="S904" s="102"/>
      <c r="T904" s="105"/>
      <c r="U904" s="105"/>
      <c r="V904" s="101"/>
      <c r="W904" s="101"/>
      <c r="X904" s="101"/>
      <c r="Y904" s="96"/>
      <c r="Z904" s="96"/>
      <c r="AA904" s="96"/>
      <c r="AC904" s="102"/>
      <c r="AD904" s="107" t="str">
        <f aca="false">IF($B904="","",IF(ISNUMBER($T904),$T904,IF(OR(NOT(ISNUMBER($Q904)),$S904=""),"",IFERROR(IF(ISNUMBER(INDEX(Lists!$AJ$2:$AJ$7,MATCH($S904,Lists!$AI$2:$AI$7,0))),$Q904+INDEX(Lists!$AJ$2:$AJ$7,MATCH($S904,Lists!$AI$2:$AI$7,0)),""),""))))</f>
        <v/>
      </c>
      <c r="AE904" s="104" t="str">
        <f aca="true">IF($B904="","",IF(AND(ISNUMBER($AD904),N($AD904)&lt;TODAY(),$N904&lt;&gt;"Done",$N904&lt;&gt;"Won't Fix",$N904&lt;&gt;"Duplicate"),"Yes","No"))</f>
        <v/>
      </c>
      <c r="AF904" s="101"/>
      <c r="AG904" s="108" t="str">
        <f aca="false">IF($AF904="","",IFERROR(VLOOKUP($AF904,'Application Portfolio'!$A$2:$B$1000,2,FALSE()),"Unknown App ID"))</f>
        <v/>
      </c>
      <c r="AH904" s="108" t="str">
        <f aca="false">IF(OR($B904="",$AF904=""),"",IFERROR(VLOOKUP($AF904,'Application Portfolio'!$A$2:$AB$1000,28,FALSE()),""))</f>
        <v/>
      </c>
    </row>
    <row r="905" customFormat="false" ht="15.75" hidden="false" customHeight="true" outlineLevel="0" collapsed="false">
      <c r="A905" s="100"/>
      <c r="B905" s="101"/>
      <c r="C905" s="101"/>
      <c r="D905" s="101"/>
      <c r="E905" s="101"/>
      <c r="F905" s="102"/>
      <c r="G905" s="102"/>
      <c r="H905" s="102"/>
      <c r="I905" s="102"/>
      <c r="J905" s="102"/>
      <c r="K905" s="102"/>
      <c r="L905" s="103" t="str">
        <f aca="false">IF(OR($B905="", $H905="", $I905="", $J905="", $K905=""),"",ROUND((VLOOKUP($H905,Lists!$E$2:$F$5,2,FALSE())*VLOOKUP($I905,Lists!$H$2:$I$4,2,FALSE())*VLOOKUP($J905,Lists!$K$2:$L$4,2,FALSE()))/VLOOKUP($K905,Lists!$N$2:$O$6,2,FALSE()),2))</f>
        <v/>
      </c>
      <c r="M905" s="104" t="str">
        <f aca="false">IF($B905="","",IF($AC905&lt;&gt;"",$AC905,IF($H905="Critical","P0",IF(NOT(ISNUMBER($L905)),"",IF($L905&gt;=Lists!$AM$2,"P0",IF($L905&gt;=Lists!$AM$3,"P1",IF($L905&gt;=Lists!$AM$4,"P2","P3")))))))</f>
        <v/>
      </c>
      <c r="N905" s="102"/>
      <c r="O905" s="101"/>
      <c r="P905" s="102"/>
      <c r="Q905" s="105"/>
      <c r="R905" s="106" t="str">
        <f aca="true">IF($Q905="","", TODAY()-$Q905)</f>
        <v/>
      </c>
      <c r="S905" s="102"/>
      <c r="T905" s="105"/>
      <c r="U905" s="105"/>
      <c r="V905" s="101"/>
      <c r="W905" s="101"/>
      <c r="X905" s="101"/>
      <c r="Y905" s="96"/>
      <c r="Z905" s="96"/>
      <c r="AA905" s="96"/>
      <c r="AC905" s="102"/>
      <c r="AD905" s="107" t="str">
        <f aca="false">IF($B905="","",IF(ISNUMBER($T905),$T905,IF(OR(NOT(ISNUMBER($Q905)),$S905=""),"",IFERROR(IF(ISNUMBER(INDEX(Lists!$AJ$2:$AJ$7,MATCH($S905,Lists!$AI$2:$AI$7,0))),$Q905+INDEX(Lists!$AJ$2:$AJ$7,MATCH($S905,Lists!$AI$2:$AI$7,0)),""),""))))</f>
        <v/>
      </c>
      <c r="AE905" s="104" t="str">
        <f aca="true">IF($B905="","",IF(AND(ISNUMBER($AD905),N($AD905)&lt;TODAY(),$N905&lt;&gt;"Done",$N905&lt;&gt;"Won't Fix",$N905&lt;&gt;"Duplicate"),"Yes","No"))</f>
        <v/>
      </c>
      <c r="AF905" s="101"/>
      <c r="AG905" s="108" t="str">
        <f aca="false">IF($AF905="","",IFERROR(VLOOKUP($AF905,'Application Portfolio'!$A$2:$B$1000,2,FALSE()),"Unknown App ID"))</f>
        <v/>
      </c>
      <c r="AH905" s="108" t="str">
        <f aca="false">IF(OR($B905="",$AF905=""),"",IFERROR(VLOOKUP($AF905,'Application Portfolio'!$A$2:$AB$1000,28,FALSE()),""))</f>
        <v/>
      </c>
    </row>
    <row r="906" customFormat="false" ht="15.75" hidden="false" customHeight="true" outlineLevel="0" collapsed="false">
      <c r="A906" s="100"/>
      <c r="B906" s="101"/>
      <c r="C906" s="101"/>
      <c r="D906" s="101"/>
      <c r="E906" s="101"/>
      <c r="F906" s="102"/>
      <c r="G906" s="102"/>
      <c r="H906" s="102"/>
      <c r="I906" s="102"/>
      <c r="J906" s="102"/>
      <c r="K906" s="102"/>
      <c r="L906" s="103" t="str">
        <f aca="false">IF(OR($B906="", $H906="", $I906="", $J906="", $K906=""),"",ROUND((VLOOKUP($H906,Lists!$E$2:$F$5,2,FALSE())*VLOOKUP($I906,Lists!$H$2:$I$4,2,FALSE())*VLOOKUP($J906,Lists!$K$2:$L$4,2,FALSE()))/VLOOKUP($K906,Lists!$N$2:$O$6,2,FALSE()),2))</f>
        <v/>
      </c>
      <c r="M906" s="104" t="str">
        <f aca="false">IF($B906="","",IF($AC906&lt;&gt;"",$AC906,IF($H906="Critical","P0",IF(NOT(ISNUMBER($L906)),"",IF($L906&gt;=Lists!$AM$2,"P0",IF($L906&gt;=Lists!$AM$3,"P1",IF($L906&gt;=Lists!$AM$4,"P2","P3")))))))</f>
        <v/>
      </c>
      <c r="N906" s="102"/>
      <c r="O906" s="101"/>
      <c r="P906" s="102"/>
      <c r="Q906" s="105"/>
      <c r="R906" s="106" t="str">
        <f aca="true">IF($Q906="","", TODAY()-$Q906)</f>
        <v/>
      </c>
      <c r="S906" s="102"/>
      <c r="T906" s="105"/>
      <c r="U906" s="105"/>
      <c r="V906" s="101"/>
      <c r="W906" s="101"/>
      <c r="X906" s="101"/>
      <c r="Y906" s="96"/>
      <c r="Z906" s="96"/>
      <c r="AA906" s="96"/>
      <c r="AC906" s="102"/>
      <c r="AD906" s="107" t="str">
        <f aca="false">IF($B906="","",IF(ISNUMBER($T906),$T906,IF(OR(NOT(ISNUMBER($Q906)),$S906=""),"",IFERROR(IF(ISNUMBER(INDEX(Lists!$AJ$2:$AJ$7,MATCH($S906,Lists!$AI$2:$AI$7,0))),$Q906+INDEX(Lists!$AJ$2:$AJ$7,MATCH($S906,Lists!$AI$2:$AI$7,0)),""),""))))</f>
        <v/>
      </c>
      <c r="AE906" s="104" t="str">
        <f aca="true">IF($B906="","",IF(AND(ISNUMBER($AD906),N($AD906)&lt;TODAY(),$N906&lt;&gt;"Done",$N906&lt;&gt;"Won't Fix",$N906&lt;&gt;"Duplicate"),"Yes","No"))</f>
        <v/>
      </c>
      <c r="AF906" s="101"/>
      <c r="AG906" s="108" t="str">
        <f aca="false">IF($AF906="","",IFERROR(VLOOKUP($AF906,'Application Portfolio'!$A$2:$B$1000,2,FALSE()),"Unknown App ID"))</f>
        <v/>
      </c>
      <c r="AH906" s="108" t="str">
        <f aca="false">IF(OR($B906="",$AF906=""),"",IFERROR(VLOOKUP($AF906,'Application Portfolio'!$A$2:$AB$1000,28,FALSE()),""))</f>
        <v/>
      </c>
    </row>
    <row r="907" customFormat="false" ht="15.75" hidden="false" customHeight="true" outlineLevel="0" collapsed="false">
      <c r="A907" s="100"/>
      <c r="B907" s="101"/>
      <c r="C907" s="101"/>
      <c r="D907" s="101"/>
      <c r="E907" s="101"/>
      <c r="F907" s="102"/>
      <c r="G907" s="102"/>
      <c r="H907" s="102"/>
      <c r="I907" s="102"/>
      <c r="J907" s="102"/>
      <c r="K907" s="102"/>
      <c r="L907" s="103" t="str">
        <f aca="false">IF(OR($B907="", $H907="", $I907="", $J907="", $K907=""),"",ROUND((VLOOKUP($H907,Lists!$E$2:$F$5,2,FALSE())*VLOOKUP($I907,Lists!$H$2:$I$4,2,FALSE())*VLOOKUP($J907,Lists!$K$2:$L$4,2,FALSE()))/VLOOKUP($K907,Lists!$N$2:$O$6,2,FALSE()),2))</f>
        <v/>
      </c>
      <c r="M907" s="104" t="str">
        <f aca="false">IF($B907="","",IF($AC907&lt;&gt;"",$AC907,IF($H907="Critical","P0",IF(NOT(ISNUMBER($L907)),"",IF($L907&gt;=Lists!$AM$2,"P0",IF($L907&gt;=Lists!$AM$3,"P1",IF($L907&gt;=Lists!$AM$4,"P2","P3")))))))</f>
        <v/>
      </c>
      <c r="N907" s="102"/>
      <c r="O907" s="101"/>
      <c r="P907" s="102"/>
      <c r="Q907" s="105"/>
      <c r="R907" s="106" t="str">
        <f aca="true">IF($Q907="","", TODAY()-$Q907)</f>
        <v/>
      </c>
      <c r="S907" s="102"/>
      <c r="T907" s="105"/>
      <c r="U907" s="105"/>
      <c r="V907" s="101"/>
      <c r="W907" s="101"/>
      <c r="X907" s="101"/>
      <c r="Y907" s="96"/>
      <c r="Z907" s="96"/>
      <c r="AA907" s="96"/>
      <c r="AC907" s="102"/>
      <c r="AD907" s="107" t="str">
        <f aca="false">IF($B907="","",IF(ISNUMBER($T907),$T907,IF(OR(NOT(ISNUMBER($Q907)),$S907=""),"",IFERROR(IF(ISNUMBER(INDEX(Lists!$AJ$2:$AJ$7,MATCH($S907,Lists!$AI$2:$AI$7,0))),$Q907+INDEX(Lists!$AJ$2:$AJ$7,MATCH($S907,Lists!$AI$2:$AI$7,0)),""),""))))</f>
        <v/>
      </c>
      <c r="AE907" s="104" t="str">
        <f aca="true">IF($B907="","",IF(AND(ISNUMBER($AD907),N($AD907)&lt;TODAY(),$N907&lt;&gt;"Done",$N907&lt;&gt;"Won't Fix",$N907&lt;&gt;"Duplicate"),"Yes","No"))</f>
        <v/>
      </c>
      <c r="AF907" s="101"/>
      <c r="AG907" s="108" t="str">
        <f aca="false">IF($AF907="","",IFERROR(VLOOKUP($AF907,'Application Portfolio'!$A$2:$B$1000,2,FALSE()),"Unknown App ID"))</f>
        <v/>
      </c>
      <c r="AH907" s="108" t="str">
        <f aca="false">IF(OR($B907="",$AF907=""),"",IFERROR(VLOOKUP($AF907,'Application Portfolio'!$A$2:$AB$1000,28,FALSE()),""))</f>
        <v/>
      </c>
    </row>
    <row r="908" customFormat="false" ht="15.75" hidden="false" customHeight="true" outlineLevel="0" collapsed="false">
      <c r="A908" s="100"/>
      <c r="B908" s="101"/>
      <c r="C908" s="101"/>
      <c r="D908" s="101"/>
      <c r="E908" s="101"/>
      <c r="F908" s="102"/>
      <c r="G908" s="102"/>
      <c r="H908" s="102"/>
      <c r="I908" s="102"/>
      <c r="J908" s="102"/>
      <c r="K908" s="102"/>
      <c r="L908" s="103" t="str">
        <f aca="false">IF(OR($B908="", $H908="", $I908="", $J908="", $K908=""),"",ROUND((VLOOKUP($H908,Lists!$E$2:$F$5,2,FALSE())*VLOOKUP($I908,Lists!$H$2:$I$4,2,FALSE())*VLOOKUP($J908,Lists!$K$2:$L$4,2,FALSE()))/VLOOKUP($K908,Lists!$N$2:$O$6,2,FALSE()),2))</f>
        <v/>
      </c>
      <c r="M908" s="104" t="str">
        <f aca="false">IF($B908="","",IF($AC908&lt;&gt;"",$AC908,IF($H908="Critical","P0",IF(NOT(ISNUMBER($L908)),"",IF($L908&gt;=Lists!$AM$2,"P0",IF($L908&gt;=Lists!$AM$3,"P1",IF($L908&gt;=Lists!$AM$4,"P2","P3")))))))</f>
        <v/>
      </c>
      <c r="N908" s="102"/>
      <c r="O908" s="101"/>
      <c r="P908" s="102"/>
      <c r="Q908" s="105"/>
      <c r="R908" s="106" t="str">
        <f aca="true">IF($Q908="","", TODAY()-$Q908)</f>
        <v/>
      </c>
      <c r="S908" s="102"/>
      <c r="T908" s="105"/>
      <c r="U908" s="105"/>
      <c r="V908" s="101"/>
      <c r="W908" s="101"/>
      <c r="X908" s="101"/>
      <c r="Y908" s="96"/>
      <c r="Z908" s="96"/>
      <c r="AA908" s="96"/>
      <c r="AC908" s="102"/>
      <c r="AD908" s="107" t="str">
        <f aca="false">IF($B908="","",IF(ISNUMBER($T908),$T908,IF(OR(NOT(ISNUMBER($Q908)),$S908=""),"",IFERROR(IF(ISNUMBER(INDEX(Lists!$AJ$2:$AJ$7,MATCH($S908,Lists!$AI$2:$AI$7,0))),$Q908+INDEX(Lists!$AJ$2:$AJ$7,MATCH($S908,Lists!$AI$2:$AI$7,0)),""),""))))</f>
        <v/>
      </c>
      <c r="AE908" s="104" t="str">
        <f aca="true">IF($B908="","",IF(AND(ISNUMBER($AD908),N($AD908)&lt;TODAY(),$N908&lt;&gt;"Done",$N908&lt;&gt;"Won't Fix",$N908&lt;&gt;"Duplicate"),"Yes","No"))</f>
        <v/>
      </c>
      <c r="AF908" s="101"/>
      <c r="AG908" s="108" t="str">
        <f aca="false">IF($AF908="","",IFERROR(VLOOKUP($AF908,'Application Portfolio'!$A$2:$B$1000,2,FALSE()),"Unknown App ID"))</f>
        <v/>
      </c>
      <c r="AH908" s="108" t="str">
        <f aca="false">IF(OR($B908="",$AF908=""),"",IFERROR(VLOOKUP($AF908,'Application Portfolio'!$A$2:$AB$1000,28,FALSE()),""))</f>
        <v/>
      </c>
    </row>
    <row r="909" customFormat="false" ht="15.75" hidden="false" customHeight="true" outlineLevel="0" collapsed="false">
      <c r="A909" s="100"/>
      <c r="B909" s="101"/>
      <c r="C909" s="101"/>
      <c r="D909" s="101"/>
      <c r="E909" s="101"/>
      <c r="F909" s="102"/>
      <c r="G909" s="102"/>
      <c r="H909" s="102"/>
      <c r="I909" s="102"/>
      <c r="J909" s="102"/>
      <c r="K909" s="102"/>
      <c r="L909" s="103" t="str">
        <f aca="false">IF(OR($B909="", $H909="", $I909="", $J909="", $K909=""),"",ROUND((VLOOKUP($H909,Lists!$E$2:$F$5,2,FALSE())*VLOOKUP($I909,Lists!$H$2:$I$4,2,FALSE())*VLOOKUP($J909,Lists!$K$2:$L$4,2,FALSE()))/VLOOKUP($K909,Lists!$N$2:$O$6,2,FALSE()),2))</f>
        <v/>
      </c>
      <c r="M909" s="104" t="str">
        <f aca="false">IF($B909="","",IF($AC909&lt;&gt;"",$AC909,IF($H909="Critical","P0",IF(NOT(ISNUMBER($L909)),"",IF($L909&gt;=Lists!$AM$2,"P0",IF($L909&gt;=Lists!$AM$3,"P1",IF($L909&gt;=Lists!$AM$4,"P2","P3")))))))</f>
        <v/>
      </c>
      <c r="N909" s="102"/>
      <c r="O909" s="101"/>
      <c r="P909" s="102"/>
      <c r="Q909" s="105"/>
      <c r="R909" s="106" t="str">
        <f aca="true">IF($Q909="","", TODAY()-$Q909)</f>
        <v/>
      </c>
      <c r="S909" s="102"/>
      <c r="T909" s="105"/>
      <c r="U909" s="105"/>
      <c r="V909" s="101"/>
      <c r="W909" s="101"/>
      <c r="X909" s="101"/>
      <c r="Y909" s="96"/>
      <c r="Z909" s="96"/>
      <c r="AA909" s="96"/>
      <c r="AC909" s="102"/>
      <c r="AD909" s="107" t="str">
        <f aca="false">IF($B909="","",IF(ISNUMBER($T909),$T909,IF(OR(NOT(ISNUMBER($Q909)),$S909=""),"",IFERROR(IF(ISNUMBER(INDEX(Lists!$AJ$2:$AJ$7,MATCH($S909,Lists!$AI$2:$AI$7,0))),$Q909+INDEX(Lists!$AJ$2:$AJ$7,MATCH($S909,Lists!$AI$2:$AI$7,0)),""),""))))</f>
        <v/>
      </c>
      <c r="AE909" s="104" t="str">
        <f aca="true">IF($B909="","",IF(AND(ISNUMBER($AD909),N($AD909)&lt;TODAY(),$N909&lt;&gt;"Done",$N909&lt;&gt;"Won't Fix",$N909&lt;&gt;"Duplicate"),"Yes","No"))</f>
        <v/>
      </c>
      <c r="AF909" s="101"/>
      <c r="AG909" s="108" t="str">
        <f aca="false">IF($AF909="","",IFERROR(VLOOKUP($AF909,'Application Portfolio'!$A$2:$B$1000,2,FALSE()),"Unknown App ID"))</f>
        <v/>
      </c>
      <c r="AH909" s="108" t="str">
        <f aca="false">IF(OR($B909="",$AF909=""),"",IFERROR(VLOOKUP($AF909,'Application Portfolio'!$A$2:$AB$1000,28,FALSE()),""))</f>
        <v/>
      </c>
    </row>
    <row r="910" customFormat="false" ht="15.75" hidden="false" customHeight="true" outlineLevel="0" collapsed="false">
      <c r="A910" s="100"/>
      <c r="B910" s="101"/>
      <c r="C910" s="101"/>
      <c r="D910" s="101"/>
      <c r="E910" s="101"/>
      <c r="F910" s="102"/>
      <c r="G910" s="102"/>
      <c r="H910" s="102"/>
      <c r="I910" s="102"/>
      <c r="J910" s="102"/>
      <c r="K910" s="102"/>
      <c r="L910" s="103" t="str">
        <f aca="false">IF(OR($B910="", $H910="", $I910="", $J910="", $K910=""),"",ROUND((VLOOKUP($H910,Lists!$E$2:$F$5,2,FALSE())*VLOOKUP($I910,Lists!$H$2:$I$4,2,FALSE())*VLOOKUP($J910,Lists!$K$2:$L$4,2,FALSE()))/VLOOKUP($K910,Lists!$N$2:$O$6,2,FALSE()),2))</f>
        <v/>
      </c>
      <c r="M910" s="104" t="str">
        <f aca="false">IF($B910="","",IF($AC910&lt;&gt;"",$AC910,IF($H910="Critical","P0",IF(NOT(ISNUMBER($L910)),"",IF($L910&gt;=Lists!$AM$2,"P0",IF($L910&gt;=Lists!$AM$3,"P1",IF($L910&gt;=Lists!$AM$4,"P2","P3")))))))</f>
        <v/>
      </c>
      <c r="N910" s="102"/>
      <c r="O910" s="101"/>
      <c r="P910" s="102"/>
      <c r="Q910" s="105"/>
      <c r="R910" s="106" t="str">
        <f aca="true">IF($Q910="","", TODAY()-$Q910)</f>
        <v/>
      </c>
      <c r="S910" s="102"/>
      <c r="T910" s="105"/>
      <c r="U910" s="105"/>
      <c r="V910" s="101"/>
      <c r="W910" s="101"/>
      <c r="X910" s="101"/>
      <c r="Y910" s="96"/>
      <c r="Z910" s="96"/>
      <c r="AA910" s="96"/>
      <c r="AC910" s="102"/>
      <c r="AD910" s="107" t="str">
        <f aca="false">IF($B910="","",IF(ISNUMBER($T910),$T910,IF(OR(NOT(ISNUMBER($Q910)),$S910=""),"",IFERROR(IF(ISNUMBER(INDEX(Lists!$AJ$2:$AJ$7,MATCH($S910,Lists!$AI$2:$AI$7,0))),$Q910+INDEX(Lists!$AJ$2:$AJ$7,MATCH($S910,Lists!$AI$2:$AI$7,0)),""),""))))</f>
        <v/>
      </c>
      <c r="AE910" s="104" t="str">
        <f aca="true">IF($B910="","",IF(AND(ISNUMBER($AD910),N($AD910)&lt;TODAY(),$N910&lt;&gt;"Done",$N910&lt;&gt;"Won't Fix",$N910&lt;&gt;"Duplicate"),"Yes","No"))</f>
        <v/>
      </c>
      <c r="AF910" s="101"/>
      <c r="AG910" s="108" t="str">
        <f aca="false">IF($AF910="","",IFERROR(VLOOKUP($AF910,'Application Portfolio'!$A$2:$B$1000,2,FALSE()),"Unknown App ID"))</f>
        <v/>
      </c>
      <c r="AH910" s="108" t="str">
        <f aca="false">IF(OR($B910="",$AF910=""),"",IFERROR(VLOOKUP($AF910,'Application Portfolio'!$A$2:$AB$1000,28,FALSE()),""))</f>
        <v/>
      </c>
    </row>
    <row r="911" customFormat="false" ht="15.75" hidden="false" customHeight="true" outlineLevel="0" collapsed="false">
      <c r="A911" s="100"/>
      <c r="B911" s="101"/>
      <c r="C911" s="101"/>
      <c r="D911" s="101"/>
      <c r="E911" s="101"/>
      <c r="F911" s="102"/>
      <c r="G911" s="102"/>
      <c r="H911" s="102"/>
      <c r="I911" s="102"/>
      <c r="J911" s="102"/>
      <c r="K911" s="102"/>
      <c r="L911" s="103" t="str">
        <f aca="false">IF(OR($B911="", $H911="", $I911="", $J911="", $K911=""),"",ROUND((VLOOKUP($H911,Lists!$E$2:$F$5,2,FALSE())*VLOOKUP($I911,Lists!$H$2:$I$4,2,FALSE())*VLOOKUP($J911,Lists!$K$2:$L$4,2,FALSE()))/VLOOKUP($K911,Lists!$N$2:$O$6,2,FALSE()),2))</f>
        <v/>
      </c>
      <c r="M911" s="104" t="str">
        <f aca="false">IF($B911="","",IF($AC911&lt;&gt;"",$AC911,IF($H911="Critical","P0",IF(NOT(ISNUMBER($L911)),"",IF($L911&gt;=Lists!$AM$2,"P0",IF($L911&gt;=Lists!$AM$3,"P1",IF($L911&gt;=Lists!$AM$4,"P2","P3")))))))</f>
        <v/>
      </c>
      <c r="N911" s="102"/>
      <c r="O911" s="101"/>
      <c r="P911" s="102"/>
      <c r="Q911" s="105"/>
      <c r="R911" s="106" t="str">
        <f aca="true">IF($Q911="","", TODAY()-$Q911)</f>
        <v/>
      </c>
      <c r="S911" s="102"/>
      <c r="T911" s="105"/>
      <c r="U911" s="105"/>
      <c r="V911" s="101"/>
      <c r="W911" s="101"/>
      <c r="X911" s="101"/>
      <c r="Y911" s="96"/>
      <c r="Z911" s="96"/>
      <c r="AA911" s="96"/>
      <c r="AC911" s="102"/>
      <c r="AD911" s="107" t="str">
        <f aca="false">IF($B911="","",IF(ISNUMBER($T911),$T911,IF(OR(NOT(ISNUMBER($Q911)),$S911=""),"",IFERROR(IF(ISNUMBER(INDEX(Lists!$AJ$2:$AJ$7,MATCH($S911,Lists!$AI$2:$AI$7,0))),$Q911+INDEX(Lists!$AJ$2:$AJ$7,MATCH($S911,Lists!$AI$2:$AI$7,0)),""),""))))</f>
        <v/>
      </c>
      <c r="AE911" s="104" t="str">
        <f aca="true">IF($B911="","",IF(AND(ISNUMBER($AD911),N($AD911)&lt;TODAY(),$N911&lt;&gt;"Done",$N911&lt;&gt;"Won't Fix",$N911&lt;&gt;"Duplicate"),"Yes","No"))</f>
        <v/>
      </c>
      <c r="AF911" s="101"/>
      <c r="AG911" s="108" t="str">
        <f aca="false">IF($AF911="","",IFERROR(VLOOKUP($AF911,'Application Portfolio'!$A$2:$B$1000,2,FALSE()),"Unknown App ID"))</f>
        <v/>
      </c>
      <c r="AH911" s="108" t="str">
        <f aca="false">IF(OR($B911="",$AF911=""),"",IFERROR(VLOOKUP($AF911,'Application Portfolio'!$A$2:$AB$1000,28,FALSE()),""))</f>
        <v/>
      </c>
    </row>
    <row r="912" customFormat="false" ht="15.75" hidden="false" customHeight="true" outlineLevel="0" collapsed="false">
      <c r="A912" s="100"/>
      <c r="B912" s="101"/>
      <c r="C912" s="101"/>
      <c r="D912" s="101"/>
      <c r="E912" s="101"/>
      <c r="F912" s="102"/>
      <c r="G912" s="102"/>
      <c r="H912" s="102"/>
      <c r="I912" s="102"/>
      <c r="J912" s="102"/>
      <c r="K912" s="102"/>
      <c r="L912" s="103" t="str">
        <f aca="false">IF(OR($B912="", $H912="", $I912="", $J912="", $K912=""),"",ROUND((VLOOKUP($H912,Lists!$E$2:$F$5,2,FALSE())*VLOOKUP($I912,Lists!$H$2:$I$4,2,FALSE())*VLOOKUP($J912,Lists!$K$2:$L$4,2,FALSE()))/VLOOKUP($K912,Lists!$N$2:$O$6,2,FALSE()),2))</f>
        <v/>
      </c>
      <c r="M912" s="104" t="str">
        <f aca="false">IF($B912="","",IF($AC912&lt;&gt;"",$AC912,IF($H912="Critical","P0",IF(NOT(ISNUMBER($L912)),"",IF($L912&gt;=Lists!$AM$2,"P0",IF($L912&gt;=Lists!$AM$3,"P1",IF($L912&gt;=Lists!$AM$4,"P2","P3")))))))</f>
        <v/>
      </c>
      <c r="N912" s="102"/>
      <c r="O912" s="101"/>
      <c r="P912" s="102"/>
      <c r="Q912" s="105"/>
      <c r="R912" s="106" t="str">
        <f aca="true">IF($Q912="","", TODAY()-$Q912)</f>
        <v/>
      </c>
      <c r="S912" s="102"/>
      <c r="T912" s="105"/>
      <c r="U912" s="105"/>
      <c r="V912" s="101"/>
      <c r="W912" s="101"/>
      <c r="X912" s="101"/>
      <c r="Y912" s="96"/>
      <c r="Z912" s="96"/>
      <c r="AA912" s="96"/>
      <c r="AC912" s="102"/>
      <c r="AD912" s="107" t="str">
        <f aca="false">IF($B912="","",IF(ISNUMBER($T912),$T912,IF(OR(NOT(ISNUMBER($Q912)),$S912=""),"",IFERROR(IF(ISNUMBER(INDEX(Lists!$AJ$2:$AJ$7,MATCH($S912,Lists!$AI$2:$AI$7,0))),$Q912+INDEX(Lists!$AJ$2:$AJ$7,MATCH($S912,Lists!$AI$2:$AI$7,0)),""),""))))</f>
        <v/>
      </c>
      <c r="AE912" s="104" t="str">
        <f aca="true">IF($B912="","",IF(AND(ISNUMBER($AD912),N($AD912)&lt;TODAY(),$N912&lt;&gt;"Done",$N912&lt;&gt;"Won't Fix",$N912&lt;&gt;"Duplicate"),"Yes","No"))</f>
        <v/>
      </c>
      <c r="AF912" s="101"/>
      <c r="AG912" s="108" t="str">
        <f aca="false">IF($AF912="","",IFERROR(VLOOKUP($AF912,'Application Portfolio'!$A$2:$B$1000,2,FALSE()),"Unknown App ID"))</f>
        <v/>
      </c>
      <c r="AH912" s="108" t="str">
        <f aca="false">IF(OR($B912="",$AF912=""),"",IFERROR(VLOOKUP($AF912,'Application Portfolio'!$A$2:$AB$1000,28,FALSE()),""))</f>
        <v/>
      </c>
    </row>
    <row r="913" customFormat="false" ht="15.75" hidden="false" customHeight="true" outlineLevel="0" collapsed="false">
      <c r="A913" s="100"/>
      <c r="B913" s="101"/>
      <c r="C913" s="101"/>
      <c r="D913" s="101"/>
      <c r="E913" s="101"/>
      <c r="F913" s="102"/>
      <c r="G913" s="102"/>
      <c r="H913" s="102"/>
      <c r="I913" s="102"/>
      <c r="J913" s="102"/>
      <c r="K913" s="102"/>
      <c r="L913" s="103" t="str">
        <f aca="false">IF(OR($B913="", $H913="", $I913="", $J913="", $K913=""),"",ROUND((VLOOKUP($H913,Lists!$E$2:$F$5,2,FALSE())*VLOOKUP($I913,Lists!$H$2:$I$4,2,FALSE())*VLOOKUP($J913,Lists!$K$2:$L$4,2,FALSE()))/VLOOKUP($K913,Lists!$N$2:$O$6,2,FALSE()),2))</f>
        <v/>
      </c>
      <c r="M913" s="104" t="str">
        <f aca="false">IF($B913="","",IF($AC913&lt;&gt;"",$AC913,IF($H913="Critical","P0",IF(NOT(ISNUMBER($L913)),"",IF($L913&gt;=Lists!$AM$2,"P0",IF($L913&gt;=Lists!$AM$3,"P1",IF($L913&gt;=Lists!$AM$4,"P2","P3")))))))</f>
        <v/>
      </c>
      <c r="N913" s="102"/>
      <c r="O913" s="101"/>
      <c r="P913" s="102"/>
      <c r="Q913" s="105"/>
      <c r="R913" s="106" t="str">
        <f aca="true">IF($Q913="","", TODAY()-$Q913)</f>
        <v/>
      </c>
      <c r="S913" s="102"/>
      <c r="T913" s="105"/>
      <c r="U913" s="105"/>
      <c r="V913" s="101"/>
      <c r="W913" s="101"/>
      <c r="X913" s="101"/>
      <c r="Y913" s="96"/>
      <c r="Z913" s="96"/>
      <c r="AA913" s="96"/>
      <c r="AC913" s="102"/>
      <c r="AD913" s="107" t="str">
        <f aca="false">IF($B913="","",IF(ISNUMBER($T913),$T913,IF(OR(NOT(ISNUMBER($Q913)),$S913=""),"",IFERROR(IF(ISNUMBER(INDEX(Lists!$AJ$2:$AJ$7,MATCH($S913,Lists!$AI$2:$AI$7,0))),$Q913+INDEX(Lists!$AJ$2:$AJ$7,MATCH($S913,Lists!$AI$2:$AI$7,0)),""),""))))</f>
        <v/>
      </c>
      <c r="AE913" s="104" t="str">
        <f aca="true">IF($B913="","",IF(AND(ISNUMBER($AD913),N($AD913)&lt;TODAY(),$N913&lt;&gt;"Done",$N913&lt;&gt;"Won't Fix",$N913&lt;&gt;"Duplicate"),"Yes","No"))</f>
        <v/>
      </c>
      <c r="AF913" s="101"/>
      <c r="AG913" s="108" t="str">
        <f aca="false">IF($AF913="","",IFERROR(VLOOKUP($AF913,'Application Portfolio'!$A$2:$B$1000,2,FALSE()),"Unknown App ID"))</f>
        <v/>
      </c>
      <c r="AH913" s="108" t="str">
        <f aca="false">IF(OR($B913="",$AF913=""),"",IFERROR(VLOOKUP($AF913,'Application Portfolio'!$A$2:$AB$1000,28,FALSE()),""))</f>
        <v/>
      </c>
    </row>
    <row r="914" customFormat="false" ht="15.75" hidden="false" customHeight="true" outlineLevel="0" collapsed="false">
      <c r="A914" s="100"/>
      <c r="B914" s="101"/>
      <c r="C914" s="101"/>
      <c r="D914" s="101"/>
      <c r="E914" s="101"/>
      <c r="F914" s="102"/>
      <c r="G914" s="102"/>
      <c r="H914" s="102"/>
      <c r="I914" s="102"/>
      <c r="J914" s="102"/>
      <c r="K914" s="102"/>
      <c r="L914" s="103" t="str">
        <f aca="false">IF(OR($B914="", $H914="", $I914="", $J914="", $K914=""),"",ROUND((VLOOKUP($H914,Lists!$E$2:$F$5,2,FALSE())*VLOOKUP($I914,Lists!$H$2:$I$4,2,FALSE())*VLOOKUP($J914,Lists!$K$2:$L$4,2,FALSE()))/VLOOKUP($K914,Lists!$N$2:$O$6,2,FALSE()),2))</f>
        <v/>
      </c>
      <c r="M914" s="104" t="str">
        <f aca="false">IF($B914="","",IF($AC914&lt;&gt;"",$AC914,IF($H914="Critical","P0",IF(NOT(ISNUMBER($L914)),"",IF($L914&gt;=Lists!$AM$2,"P0",IF($L914&gt;=Lists!$AM$3,"P1",IF($L914&gt;=Lists!$AM$4,"P2","P3")))))))</f>
        <v/>
      </c>
      <c r="N914" s="102"/>
      <c r="O914" s="101"/>
      <c r="P914" s="102"/>
      <c r="Q914" s="105"/>
      <c r="R914" s="106" t="str">
        <f aca="true">IF($Q914="","", TODAY()-$Q914)</f>
        <v/>
      </c>
      <c r="S914" s="102"/>
      <c r="T914" s="105"/>
      <c r="U914" s="105"/>
      <c r="V914" s="101"/>
      <c r="W914" s="101"/>
      <c r="X914" s="101"/>
      <c r="Y914" s="96"/>
      <c r="Z914" s="96"/>
      <c r="AA914" s="96"/>
      <c r="AC914" s="102"/>
      <c r="AD914" s="107" t="str">
        <f aca="false">IF($B914="","",IF(ISNUMBER($T914),$T914,IF(OR(NOT(ISNUMBER($Q914)),$S914=""),"",IFERROR(IF(ISNUMBER(INDEX(Lists!$AJ$2:$AJ$7,MATCH($S914,Lists!$AI$2:$AI$7,0))),$Q914+INDEX(Lists!$AJ$2:$AJ$7,MATCH($S914,Lists!$AI$2:$AI$7,0)),""),""))))</f>
        <v/>
      </c>
      <c r="AE914" s="104" t="str">
        <f aca="true">IF($B914="","",IF(AND(ISNUMBER($AD914),N($AD914)&lt;TODAY(),$N914&lt;&gt;"Done",$N914&lt;&gt;"Won't Fix",$N914&lt;&gt;"Duplicate"),"Yes","No"))</f>
        <v/>
      </c>
      <c r="AF914" s="101"/>
      <c r="AG914" s="108" t="str">
        <f aca="false">IF($AF914="","",IFERROR(VLOOKUP($AF914,'Application Portfolio'!$A$2:$B$1000,2,FALSE()),"Unknown App ID"))</f>
        <v/>
      </c>
      <c r="AH914" s="108" t="str">
        <f aca="false">IF(OR($B914="",$AF914=""),"",IFERROR(VLOOKUP($AF914,'Application Portfolio'!$A$2:$AB$1000,28,FALSE()),""))</f>
        <v/>
      </c>
    </row>
    <row r="915" customFormat="false" ht="15.75" hidden="false" customHeight="true" outlineLevel="0" collapsed="false">
      <c r="A915" s="100"/>
      <c r="B915" s="101"/>
      <c r="C915" s="101"/>
      <c r="D915" s="101"/>
      <c r="E915" s="101"/>
      <c r="F915" s="102"/>
      <c r="G915" s="102"/>
      <c r="H915" s="102"/>
      <c r="I915" s="102"/>
      <c r="J915" s="102"/>
      <c r="K915" s="102"/>
      <c r="L915" s="103" t="str">
        <f aca="false">IF(OR($B915="", $H915="", $I915="", $J915="", $K915=""),"",ROUND((VLOOKUP($H915,Lists!$E$2:$F$5,2,FALSE())*VLOOKUP($I915,Lists!$H$2:$I$4,2,FALSE())*VLOOKUP($J915,Lists!$K$2:$L$4,2,FALSE()))/VLOOKUP($K915,Lists!$N$2:$O$6,2,FALSE()),2))</f>
        <v/>
      </c>
      <c r="M915" s="104" t="str">
        <f aca="false">IF($B915="","",IF($AC915&lt;&gt;"",$AC915,IF($H915="Critical","P0",IF(NOT(ISNUMBER($L915)),"",IF($L915&gt;=Lists!$AM$2,"P0",IF($L915&gt;=Lists!$AM$3,"P1",IF($L915&gt;=Lists!$AM$4,"P2","P3")))))))</f>
        <v/>
      </c>
      <c r="N915" s="102"/>
      <c r="O915" s="101"/>
      <c r="P915" s="102"/>
      <c r="Q915" s="105"/>
      <c r="R915" s="106" t="str">
        <f aca="true">IF($Q915="","", TODAY()-$Q915)</f>
        <v/>
      </c>
      <c r="S915" s="102"/>
      <c r="T915" s="105"/>
      <c r="U915" s="105"/>
      <c r="V915" s="101"/>
      <c r="W915" s="101"/>
      <c r="X915" s="101"/>
      <c r="Y915" s="96"/>
      <c r="Z915" s="96"/>
      <c r="AA915" s="96"/>
      <c r="AC915" s="102"/>
      <c r="AD915" s="107" t="str">
        <f aca="false">IF($B915="","",IF(ISNUMBER($T915),$T915,IF(OR(NOT(ISNUMBER($Q915)),$S915=""),"",IFERROR(IF(ISNUMBER(INDEX(Lists!$AJ$2:$AJ$7,MATCH($S915,Lists!$AI$2:$AI$7,0))),$Q915+INDEX(Lists!$AJ$2:$AJ$7,MATCH($S915,Lists!$AI$2:$AI$7,0)),""),""))))</f>
        <v/>
      </c>
      <c r="AE915" s="104" t="str">
        <f aca="true">IF($B915="","",IF(AND(ISNUMBER($AD915),N($AD915)&lt;TODAY(),$N915&lt;&gt;"Done",$N915&lt;&gt;"Won't Fix",$N915&lt;&gt;"Duplicate"),"Yes","No"))</f>
        <v/>
      </c>
      <c r="AF915" s="101"/>
      <c r="AG915" s="108" t="str">
        <f aca="false">IF($AF915="","",IFERROR(VLOOKUP($AF915,'Application Portfolio'!$A$2:$B$1000,2,FALSE()),"Unknown App ID"))</f>
        <v/>
      </c>
      <c r="AH915" s="108" t="str">
        <f aca="false">IF(OR($B915="",$AF915=""),"",IFERROR(VLOOKUP($AF915,'Application Portfolio'!$A$2:$AB$1000,28,FALSE()),""))</f>
        <v/>
      </c>
    </row>
    <row r="916" customFormat="false" ht="15.75" hidden="false" customHeight="true" outlineLevel="0" collapsed="false">
      <c r="A916" s="100"/>
      <c r="B916" s="101"/>
      <c r="C916" s="101"/>
      <c r="D916" s="101"/>
      <c r="E916" s="101"/>
      <c r="F916" s="102"/>
      <c r="G916" s="102"/>
      <c r="H916" s="102"/>
      <c r="I916" s="102"/>
      <c r="J916" s="102"/>
      <c r="K916" s="102"/>
      <c r="L916" s="103" t="str">
        <f aca="false">IF(OR($B916="", $H916="", $I916="", $J916="", $K916=""),"",ROUND((VLOOKUP($H916,Lists!$E$2:$F$5,2,FALSE())*VLOOKUP($I916,Lists!$H$2:$I$4,2,FALSE())*VLOOKUP($J916,Lists!$K$2:$L$4,2,FALSE()))/VLOOKUP($K916,Lists!$N$2:$O$6,2,FALSE()),2))</f>
        <v/>
      </c>
      <c r="M916" s="104" t="str">
        <f aca="false">IF($B916="","",IF($AC916&lt;&gt;"",$AC916,IF($H916="Critical","P0",IF(NOT(ISNUMBER($L916)),"",IF($L916&gt;=Lists!$AM$2,"P0",IF($L916&gt;=Lists!$AM$3,"P1",IF($L916&gt;=Lists!$AM$4,"P2","P3")))))))</f>
        <v/>
      </c>
      <c r="N916" s="102"/>
      <c r="O916" s="101"/>
      <c r="P916" s="102"/>
      <c r="Q916" s="105"/>
      <c r="R916" s="106" t="str">
        <f aca="true">IF($Q916="","", TODAY()-$Q916)</f>
        <v/>
      </c>
      <c r="S916" s="102"/>
      <c r="T916" s="105"/>
      <c r="U916" s="105"/>
      <c r="V916" s="101"/>
      <c r="W916" s="101"/>
      <c r="X916" s="101"/>
      <c r="Y916" s="96"/>
      <c r="Z916" s="96"/>
      <c r="AA916" s="96"/>
      <c r="AC916" s="102"/>
      <c r="AD916" s="107" t="str">
        <f aca="false">IF($B916="","",IF(ISNUMBER($T916),$T916,IF(OR(NOT(ISNUMBER($Q916)),$S916=""),"",IFERROR(IF(ISNUMBER(INDEX(Lists!$AJ$2:$AJ$7,MATCH($S916,Lists!$AI$2:$AI$7,0))),$Q916+INDEX(Lists!$AJ$2:$AJ$7,MATCH($S916,Lists!$AI$2:$AI$7,0)),""),""))))</f>
        <v/>
      </c>
      <c r="AE916" s="104" t="str">
        <f aca="true">IF($B916="","",IF(AND(ISNUMBER($AD916),N($AD916)&lt;TODAY(),$N916&lt;&gt;"Done",$N916&lt;&gt;"Won't Fix",$N916&lt;&gt;"Duplicate"),"Yes","No"))</f>
        <v/>
      </c>
      <c r="AF916" s="101"/>
      <c r="AG916" s="108" t="str">
        <f aca="false">IF($AF916="","",IFERROR(VLOOKUP($AF916,'Application Portfolio'!$A$2:$B$1000,2,FALSE()),"Unknown App ID"))</f>
        <v/>
      </c>
      <c r="AH916" s="108" t="str">
        <f aca="false">IF(OR($B916="",$AF916=""),"",IFERROR(VLOOKUP($AF916,'Application Portfolio'!$A$2:$AB$1000,28,FALSE()),""))</f>
        <v/>
      </c>
    </row>
    <row r="917" customFormat="false" ht="15.75" hidden="false" customHeight="true" outlineLevel="0" collapsed="false">
      <c r="A917" s="100"/>
      <c r="B917" s="101"/>
      <c r="C917" s="101"/>
      <c r="D917" s="101"/>
      <c r="E917" s="101"/>
      <c r="F917" s="102"/>
      <c r="G917" s="102"/>
      <c r="H917" s="102"/>
      <c r="I917" s="102"/>
      <c r="J917" s="102"/>
      <c r="K917" s="102"/>
      <c r="L917" s="103" t="str">
        <f aca="false">IF(OR($B917="", $H917="", $I917="", $J917="", $K917=""),"",ROUND((VLOOKUP($H917,Lists!$E$2:$F$5,2,FALSE())*VLOOKUP($I917,Lists!$H$2:$I$4,2,FALSE())*VLOOKUP($J917,Lists!$K$2:$L$4,2,FALSE()))/VLOOKUP($K917,Lists!$N$2:$O$6,2,FALSE()),2))</f>
        <v/>
      </c>
      <c r="M917" s="104" t="str">
        <f aca="false">IF($B917="","",IF($AC917&lt;&gt;"",$AC917,IF($H917="Critical","P0",IF(NOT(ISNUMBER($L917)),"",IF($L917&gt;=Lists!$AM$2,"P0",IF($L917&gt;=Lists!$AM$3,"P1",IF($L917&gt;=Lists!$AM$4,"P2","P3")))))))</f>
        <v/>
      </c>
      <c r="N917" s="102"/>
      <c r="O917" s="101"/>
      <c r="P917" s="102"/>
      <c r="Q917" s="105"/>
      <c r="R917" s="106" t="str">
        <f aca="true">IF($Q917="","", TODAY()-$Q917)</f>
        <v/>
      </c>
      <c r="S917" s="102"/>
      <c r="T917" s="105"/>
      <c r="U917" s="105"/>
      <c r="V917" s="101"/>
      <c r="W917" s="101"/>
      <c r="X917" s="101"/>
      <c r="Y917" s="96"/>
      <c r="Z917" s="96"/>
      <c r="AA917" s="96"/>
      <c r="AC917" s="102"/>
      <c r="AD917" s="107" t="str">
        <f aca="false">IF($B917="","",IF(ISNUMBER($T917),$T917,IF(OR(NOT(ISNUMBER($Q917)),$S917=""),"",IFERROR(IF(ISNUMBER(INDEX(Lists!$AJ$2:$AJ$7,MATCH($S917,Lists!$AI$2:$AI$7,0))),$Q917+INDEX(Lists!$AJ$2:$AJ$7,MATCH($S917,Lists!$AI$2:$AI$7,0)),""),""))))</f>
        <v/>
      </c>
      <c r="AE917" s="104" t="str">
        <f aca="true">IF($B917="","",IF(AND(ISNUMBER($AD917),N($AD917)&lt;TODAY(),$N917&lt;&gt;"Done",$N917&lt;&gt;"Won't Fix",$N917&lt;&gt;"Duplicate"),"Yes","No"))</f>
        <v/>
      </c>
      <c r="AF917" s="101"/>
      <c r="AG917" s="108" t="str">
        <f aca="false">IF($AF917="","",IFERROR(VLOOKUP($AF917,'Application Portfolio'!$A$2:$B$1000,2,FALSE()),"Unknown App ID"))</f>
        <v/>
      </c>
      <c r="AH917" s="108" t="str">
        <f aca="false">IF(OR($B917="",$AF917=""),"",IFERROR(VLOOKUP($AF917,'Application Portfolio'!$A$2:$AB$1000,28,FALSE()),""))</f>
        <v/>
      </c>
    </row>
    <row r="918" customFormat="false" ht="15.75" hidden="false" customHeight="true" outlineLevel="0" collapsed="false">
      <c r="A918" s="100"/>
      <c r="B918" s="101"/>
      <c r="C918" s="101"/>
      <c r="D918" s="101"/>
      <c r="E918" s="101"/>
      <c r="F918" s="102"/>
      <c r="G918" s="102"/>
      <c r="H918" s="102"/>
      <c r="I918" s="102"/>
      <c r="J918" s="102"/>
      <c r="K918" s="102"/>
      <c r="L918" s="103" t="str">
        <f aca="false">IF(OR($B918="", $H918="", $I918="", $J918="", $K918=""),"",ROUND((VLOOKUP($H918,Lists!$E$2:$F$5,2,FALSE())*VLOOKUP($I918,Lists!$H$2:$I$4,2,FALSE())*VLOOKUP($J918,Lists!$K$2:$L$4,2,FALSE()))/VLOOKUP($K918,Lists!$N$2:$O$6,2,FALSE()),2))</f>
        <v/>
      </c>
      <c r="M918" s="104" t="str">
        <f aca="false">IF($B918="","",IF($AC918&lt;&gt;"",$AC918,IF($H918="Critical","P0",IF(NOT(ISNUMBER($L918)),"",IF($L918&gt;=Lists!$AM$2,"P0",IF($L918&gt;=Lists!$AM$3,"P1",IF($L918&gt;=Lists!$AM$4,"P2","P3")))))))</f>
        <v/>
      </c>
      <c r="N918" s="102"/>
      <c r="O918" s="101"/>
      <c r="P918" s="102"/>
      <c r="Q918" s="105"/>
      <c r="R918" s="106" t="str">
        <f aca="true">IF($Q918="","", TODAY()-$Q918)</f>
        <v/>
      </c>
      <c r="S918" s="102"/>
      <c r="T918" s="105"/>
      <c r="U918" s="105"/>
      <c r="V918" s="101"/>
      <c r="W918" s="101"/>
      <c r="X918" s="101"/>
      <c r="Y918" s="96"/>
      <c r="Z918" s="96"/>
      <c r="AA918" s="96"/>
      <c r="AC918" s="102"/>
      <c r="AD918" s="107" t="str">
        <f aca="false">IF($B918="","",IF(ISNUMBER($T918),$T918,IF(OR(NOT(ISNUMBER($Q918)),$S918=""),"",IFERROR(IF(ISNUMBER(INDEX(Lists!$AJ$2:$AJ$7,MATCH($S918,Lists!$AI$2:$AI$7,0))),$Q918+INDEX(Lists!$AJ$2:$AJ$7,MATCH($S918,Lists!$AI$2:$AI$7,0)),""),""))))</f>
        <v/>
      </c>
      <c r="AE918" s="104" t="str">
        <f aca="true">IF($B918="","",IF(AND(ISNUMBER($AD918),N($AD918)&lt;TODAY(),$N918&lt;&gt;"Done",$N918&lt;&gt;"Won't Fix",$N918&lt;&gt;"Duplicate"),"Yes","No"))</f>
        <v/>
      </c>
      <c r="AF918" s="101"/>
      <c r="AG918" s="108" t="str">
        <f aca="false">IF($AF918="","",IFERROR(VLOOKUP($AF918,'Application Portfolio'!$A$2:$B$1000,2,FALSE()),"Unknown App ID"))</f>
        <v/>
      </c>
      <c r="AH918" s="108" t="str">
        <f aca="false">IF(OR($B918="",$AF918=""),"",IFERROR(VLOOKUP($AF918,'Application Portfolio'!$A$2:$AB$1000,28,FALSE()),""))</f>
        <v/>
      </c>
    </row>
    <row r="919" customFormat="false" ht="15.75" hidden="false" customHeight="true" outlineLevel="0" collapsed="false">
      <c r="A919" s="100"/>
      <c r="B919" s="101"/>
      <c r="C919" s="101"/>
      <c r="D919" s="101"/>
      <c r="E919" s="101"/>
      <c r="F919" s="102"/>
      <c r="G919" s="102"/>
      <c r="H919" s="102"/>
      <c r="I919" s="102"/>
      <c r="J919" s="102"/>
      <c r="K919" s="102"/>
      <c r="L919" s="103" t="str">
        <f aca="false">IF(OR($B919="", $H919="", $I919="", $J919="", $K919=""),"",ROUND((VLOOKUP($H919,Lists!$E$2:$F$5,2,FALSE())*VLOOKUP($I919,Lists!$H$2:$I$4,2,FALSE())*VLOOKUP($J919,Lists!$K$2:$L$4,2,FALSE()))/VLOOKUP($K919,Lists!$N$2:$O$6,2,FALSE()),2))</f>
        <v/>
      </c>
      <c r="M919" s="104" t="str">
        <f aca="false">IF($B919="","",IF($AC919&lt;&gt;"",$AC919,IF($H919="Critical","P0",IF(NOT(ISNUMBER($L919)),"",IF($L919&gt;=Lists!$AM$2,"P0",IF($L919&gt;=Lists!$AM$3,"P1",IF($L919&gt;=Lists!$AM$4,"P2","P3")))))))</f>
        <v/>
      </c>
      <c r="N919" s="102"/>
      <c r="O919" s="101"/>
      <c r="P919" s="102"/>
      <c r="Q919" s="105"/>
      <c r="R919" s="106" t="str">
        <f aca="true">IF($Q919="","", TODAY()-$Q919)</f>
        <v/>
      </c>
      <c r="S919" s="102"/>
      <c r="T919" s="105"/>
      <c r="U919" s="105"/>
      <c r="V919" s="101"/>
      <c r="W919" s="101"/>
      <c r="X919" s="101"/>
      <c r="Y919" s="96"/>
      <c r="Z919" s="96"/>
      <c r="AA919" s="96"/>
      <c r="AC919" s="102"/>
      <c r="AD919" s="107" t="str">
        <f aca="false">IF($B919="","",IF(ISNUMBER($T919),$T919,IF(OR(NOT(ISNUMBER($Q919)),$S919=""),"",IFERROR(IF(ISNUMBER(INDEX(Lists!$AJ$2:$AJ$7,MATCH($S919,Lists!$AI$2:$AI$7,0))),$Q919+INDEX(Lists!$AJ$2:$AJ$7,MATCH($S919,Lists!$AI$2:$AI$7,0)),""),""))))</f>
        <v/>
      </c>
      <c r="AE919" s="104" t="str">
        <f aca="true">IF($B919="","",IF(AND(ISNUMBER($AD919),N($AD919)&lt;TODAY(),$N919&lt;&gt;"Done",$N919&lt;&gt;"Won't Fix",$N919&lt;&gt;"Duplicate"),"Yes","No"))</f>
        <v/>
      </c>
      <c r="AF919" s="101"/>
      <c r="AG919" s="108" t="str">
        <f aca="false">IF($AF919="","",IFERROR(VLOOKUP($AF919,'Application Portfolio'!$A$2:$B$1000,2,FALSE()),"Unknown App ID"))</f>
        <v/>
      </c>
      <c r="AH919" s="108" t="str">
        <f aca="false">IF(OR($B919="",$AF919=""),"",IFERROR(VLOOKUP($AF919,'Application Portfolio'!$A$2:$AB$1000,28,FALSE()),""))</f>
        <v/>
      </c>
    </row>
    <row r="920" customFormat="false" ht="15.75" hidden="false" customHeight="true" outlineLevel="0" collapsed="false">
      <c r="A920" s="100"/>
      <c r="B920" s="101"/>
      <c r="C920" s="101"/>
      <c r="D920" s="101"/>
      <c r="E920" s="101"/>
      <c r="F920" s="102"/>
      <c r="G920" s="102"/>
      <c r="H920" s="102"/>
      <c r="I920" s="102"/>
      <c r="J920" s="102"/>
      <c r="K920" s="102"/>
      <c r="L920" s="103" t="str">
        <f aca="false">IF(OR($B920="", $H920="", $I920="", $J920="", $K920=""),"",ROUND((VLOOKUP($H920,Lists!$E$2:$F$5,2,FALSE())*VLOOKUP($I920,Lists!$H$2:$I$4,2,FALSE())*VLOOKUP($J920,Lists!$K$2:$L$4,2,FALSE()))/VLOOKUP($K920,Lists!$N$2:$O$6,2,FALSE()),2))</f>
        <v/>
      </c>
      <c r="M920" s="104" t="str">
        <f aca="false">IF($B920="","",IF($AC920&lt;&gt;"",$AC920,IF($H920="Critical","P0",IF(NOT(ISNUMBER($L920)),"",IF($L920&gt;=Lists!$AM$2,"P0",IF($L920&gt;=Lists!$AM$3,"P1",IF($L920&gt;=Lists!$AM$4,"P2","P3")))))))</f>
        <v/>
      </c>
      <c r="N920" s="102"/>
      <c r="O920" s="101"/>
      <c r="P920" s="102"/>
      <c r="Q920" s="105"/>
      <c r="R920" s="106" t="str">
        <f aca="true">IF($Q920="","", TODAY()-$Q920)</f>
        <v/>
      </c>
      <c r="S920" s="102"/>
      <c r="T920" s="105"/>
      <c r="U920" s="105"/>
      <c r="V920" s="101"/>
      <c r="W920" s="101"/>
      <c r="X920" s="101"/>
      <c r="Y920" s="96"/>
      <c r="Z920" s="96"/>
      <c r="AA920" s="96"/>
      <c r="AC920" s="102"/>
      <c r="AD920" s="107" t="str">
        <f aca="false">IF($B920="","",IF(ISNUMBER($T920),$T920,IF(OR(NOT(ISNUMBER($Q920)),$S920=""),"",IFERROR(IF(ISNUMBER(INDEX(Lists!$AJ$2:$AJ$7,MATCH($S920,Lists!$AI$2:$AI$7,0))),$Q920+INDEX(Lists!$AJ$2:$AJ$7,MATCH($S920,Lists!$AI$2:$AI$7,0)),""),""))))</f>
        <v/>
      </c>
      <c r="AE920" s="104" t="str">
        <f aca="true">IF($B920="","",IF(AND(ISNUMBER($AD920),N($AD920)&lt;TODAY(),$N920&lt;&gt;"Done",$N920&lt;&gt;"Won't Fix",$N920&lt;&gt;"Duplicate"),"Yes","No"))</f>
        <v/>
      </c>
      <c r="AF920" s="101"/>
      <c r="AG920" s="108" t="str">
        <f aca="false">IF($AF920="","",IFERROR(VLOOKUP($AF920,'Application Portfolio'!$A$2:$B$1000,2,FALSE()),"Unknown App ID"))</f>
        <v/>
      </c>
      <c r="AH920" s="108" t="str">
        <f aca="false">IF(OR($B920="",$AF920=""),"",IFERROR(VLOOKUP($AF920,'Application Portfolio'!$A$2:$AB$1000,28,FALSE()),""))</f>
        <v/>
      </c>
    </row>
    <row r="921" customFormat="false" ht="15.75" hidden="false" customHeight="true" outlineLevel="0" collapsed="false">
      <c r="A921" s="100"/>
      <c r="B921" s="101"/>
      <c r="C921" s="101"/>
      <c r="D921" s="101"/>
      <c r="E921" s="101"/>
      <c r="F921" s="102"/>
      <c r="G921" s="102"/>
      <c r="H921" s="102"/>
      <c r="I921" s="102"/>
      <c r="J921" s="102"/>
      <c r="K921" s="102"/>
      <c r="L921" s="103" t="str">
        <f aca="false">IF(OR($B921="", $H921="", $I921="", $J921="", $K921=""),"",ROUND((VLOOKUP($H921,Lists!$E$2:$F$5,2,FALSE())*VLOOKUP($I921,Lists!$H$2:$I$4,2,FALSE())*VLOOKUP($J921,Lists!$K$2:$L$4,2,FALSE()))/VLOOKUP($K921,Lists!$N$2:$O$6,2,FALSE()),2))</f>
        <v/>
      </c>
      <c r="M921" s="104" t="str">
        <f aca="false">IF($B921="","",IF($AC921&lt;&gt;"",$AC921,IF($H921="Critical","P0",IF(NOT(ISNUMBER($L921)),"",IF($L921&gt;=Lists!$AM$2,"P0",IF($L921&gt;=Lists!$AM$3,"P1",IF($L921&gt;=Lists!$AM$4,"P2","P3")))))))</f>
        <v/>
      </c>
      <c r="N921" s="102"/>
      <c r="O921" s="101"/>
      <c r="P921" s="102"/>
      <c r="Q921" s="105"/>
      <c r="R921" s="106" t="str">
        <f aca="true">IF($Q921="","", TODAY()-$Q921)</f>
        <v/>
      </c>
      <c r="S921" s="102"/>
      <c r="T921" s="105"/>
      <c r="U921" s="105"/>
      <c r="V921" s="101"/>
      <c r="W921" s="101"/>
      <c r="X921" s="101"/>
      <c r="Y921" s="96"/>
      <c r="Z921" s="96"/>
      <c r="AA921" s="96"/>
      <c r="AC921" s="102"/>
      <c r="AD921" s="107" t="str">
        <f aca="false">IF($B921="","",IF(ISNUMBER($T921),$T921,IF(OR(NOT(ISNUMBER($Q921)),$S921=""),"",IFERROR(IF(ISNUMBER(INDEX(Lists!$AJ$2:$AJ$7,MATCH($S921,Lists!$AI$2:$AI$7,0))),$Q921+INDEX(Lists!$AJ$2:$AJ$7,MATCH($S921,Lists!$AI$2:$AI$7,0)),""),""))))</f>
        <v/>
      </c>
      <c r="AE921" s="104" t="str">
        <f aca="true">IF($B921="","",IF(AND(ISNUMBER($AD921),N($AD921)&lt;TODAY(),$N921&lt;&gt;"Done",$N921&lt;&gt;"Won't Fix",$N921&lt;&gt;"Duplicate"),"Yes","No"))</f>
        <v/>
      </c>
      <c r="AF921" s="101"/>
      <c r="AG921" s="108" t="str">
        <f aca="false">IF($AF921="","",IFERROR(VLOOKUP($AF921,'Application Portfolio'!$A$2:$B$1000,2,FALSE()),"Unknown App ID"))</f>
        <v/>
      </c>
      <c r="AH921" s="108" t="str">
        <f aca="false">IF(OR($B921="",$AF921=""),"",IFERROR(VLOOKUP($AF921,'Application Portfolio'!$A$2:$AB$1000,28,FALSE()),""))</f>
        <v/>
      </c>
    </row>
    <row r="922" customFormat="false" ht="15.75" hidden="false" customHeight="true" outlineLevel="0" collapsed="false">
      <c r="A922" s="100"/>
      <c r="B922" s="101"/>
      <c r="C922" s="101"/>
      <c r="D922" s="101"/>
      <c r="E922" s="101"/>
      <c r="F922" s="102"/>
      <c r="G922" s="102"/>
      <c r="H922" s="102"/>
      <c r="I922" s="102"/>
      <c r="J922" s="102"/>
      <c r="K922" s="102"/>
      <c r="L922" s="103" t="str">
        <f aca="false">IF(OR($B922="", $H922="", $I922="", $J922="", $K922=""),"",ROUND((VLOOKUP($H922,Lists!$E$2:$F$5,2,FALSE())*VLOOKUP($I922,Lists!$H$2:$I$4,2,FALSE())*VLOOKUP($J922,Lists!$K$2:$L$4,2,FALSE()))/VLOOKUP($K922,Lists!$N$2:$O$6,2,FALSE()),2))</f>
        <v/>
      </c>
      <c r="M922" s="104" t="str">
        <f aca="false">IF($B922="","",IF($AC922&lt;&gt;"",$AC922,IF($H922="Critical","P0",IF(NOT(ISNUMBER($L922)),"",IF($L922&gt;=Lists!$AM$2,"P0",IF($L922&gt;=Lists!$AM$3,"P1",IF($L922&gt;=Lists!$AM$4,"P2","P3")))))))</f>
        <v/>
      </c>
      <c r="N922" s="102"/>
      <c r="O922" s="101"/>
      <c r="P922" s="102"/>
      <c r="Q922" s="105"/>
      <c r="R922" s="106" t="str">
        <f aca="true">IF($Q922="","", TODAY()-$Q922)</f>
        <v/>
      </c>
      <c r="S922" s="102"/>
      <c r="T922" s="105"/>
      <c r="U922" s="105"/>
      <c r="V922" s="101"/>
      <c r="W922" s="101"/>
      <c r="X922" s="101"/>
      <c r="Y922" s="96"/>
      <c r="Z922" s="96"/>
      <c r="AA922" s="96"/>
      <c r="AC922" s="102"/>
      <c r="AD922" s="107" t="str">
        <f aca="false">IF($B922="","",IF(ISNUMBER($T922),$T922,IF(OR(NOT(ISNUMBER($Q922)),$S922=""),"",IFERROR(IF(ISNUMBER(INDEX(Lists!$AJ$2:$AJ$7,MATCH($S922,Lists!$AI$2:$AI$7,0))),$Q922+INDEX(Lists!$AJ$2:$AJ$7,MATCH($S922,Lists!$AI$2:$AI$7,0)),""),""))))</f>
        <v/>
      </c>
      <c r="AE922" s="104" t="str">
        <f aca="true">IF($B922="","",IF(AND(ISNUMBER($AD922),N($AD922)&lt;TODAY(),$N922&lt;&gt;"Done",$N922&lt;&gt;"Won't Fix",$N922&lt;&gt;"Duplicate"),"Yes","No"))</f>
        <v/>
      </c>
      <c r="AF922" s="101"/>
      <c r="AG922" s="108" t="str">
        <f aca="false">IF($AF922="","",IFERROR(VLOOKUP($AF922,'Application Portfolio'!$A$2:$B$1000,2,FALSE()),"Unknown App ID"))</f>
        <v/>
      </c>
      <c r="AH922" s="108" t="str">
        <f aca="false">IF(OR($B922="",$AF922=""),"",IFERROR(VLOOKUP($AF922,'Application Portfolio'!$A$2:$AB$1000,28,FALSE()),""))</f>
        <v/>
      </c>
    </row>
    <row r="923" customFormat="false" ht="15.75" hidden="false" customHeight="true" outlineLevel="0" collapsed="false">
      <c r="A923" s="100"/>
      <c r="B923" s="101"/>
      <c r="C923" s="101"/>
      <c r="D923" s="101"/>
      <c r="E923" s="101"/>
      <c r="F923" s="102"/>
      <c r="G923" s="102"/>
      <c r="H923" s="102"/>
      <c r="I923" s="102"/>
      <c r="J923" s="102"/>
      <c r="K923" s="102"/>
      <c r="L923" s="103" t="str">
        <f aca="false">IF(OR($B923="", $H923="", $I923="", $J923="", $K923=""),"",ROUND((VLOOKUP($H923,Lists!$E$2:$F$5,2,FALSE())*VLOOKUP($I923,Lists!$H$2:$I$4,2,FALSE())*VLOOKUP($J923,Lists!$K$2:$L$4,2,FALSE()))/VLOOKUP($K923,Lists!$N$2:$O$6,2,FALSE()),2))</f>
        <v/>
      </c>
      <c r="M923" s="104" t="str">
        <f aca="false">IF($B923="","",IF($AC923&lt;&gt;"",$AC923,IF($H923="Critical","P0",IF(NOT(ISNUMBER($L923)),"",IF($L923&gt;=Lists!$AM$2,"P0",IF($L923&gt;=Lists!$AM$3,"P1",IF($L923&gt;=Lists!$AM$4,"P2","P3")))))))</f>
        <v/>
      </c>
      <c r="N923" s="102"/>
      <c r="O923" s="101"/>
      <c r="P923" s="102"/>
      <c r="Q923" s="105"/>
      <c r="R923" s="106" t="str">
        <f aca="true">IF($Q923="","", TODAY()-$Q923)</f>
        <v/>
      </c>
      <c r="S923" s="102"/>
      <c r="T923" s="105"/>
      <c r="U923" s="105"/>
      <c r="V923" s="101"/>
      <c r="W923" s="101"/>
      <c r="X923" s="101"/>
      <c r="Y923" s="96"/>
      <c r="Z923" s="96"/>
      <c r="AA923" s="96"/>
      <c r="AC923" s="102"/>
      <c r="AD923" s="107" t="str">
        <f aca="false">IF($B923="","",IF(ISNUMBER($T923),$T923,IF(OR(NOT(ISNUMBER($Q923)),$S923=""),"",IFERROR(IF(ISNUMBER(INDEX(Lists!$AJ$2:$AJ$7,MATCH($S923,Lists!$AI$2:$AI$7,0))),$Q923+INDEX(Lists!$AJ$2:$AJ$7,MATCH($S923,Lists!$AI$2:$AI$7,0)),""),""))))</f>
        <v/>
      </c>
      <c r="AE923" s="104" t="str">
        <f aca="true">IF($B923="","",IF(AND(ISNUMBER($AD923),N($AD923)&lt;TODAY(),$N923&lt;&gt;"Done",$N923&lt;&gt;"Won't Fix",$N923&lt;&gt;"Duplicate"),"Yes","No"))</f>
        <v/>
      </c>
      <c r="AF923" s="101"/>
      <c r="AG923" s="108" t="str">
        <f aca="false">IF($AF923="","",IFERROR(VLOOKUP($AF923,'Application Portfolio'!$A$2:$B$1000,2,FALSE()),"Unknown App ID"))</f>
        <v/>
      </c>
      <c r="AH923" s="108" t="str">
        <f aca="false">IF(OR($B923="",$AF923=""),"",IFERROR(VLOOKUP($AF923,'Application Portfolio'!$A$2:$AB$1000,28,FALSE()),""))</f>
        <v/>
      </c>
    </row>
    <row r="924" customFormat="false" ht="15.75" hidden="false" customHeight="true" outlineLevel="0" collapsed="false">
      <c r="A924" s="100"/>
      <c r="B924" s="101"/>
      <c r="C924" s="101"/>
      <c r="D924" s="101"/>
      <c r="E924" s="101"/>
      <c r="F924" s="102"/>
      <c r="G924" s="102"/>
      <c r="H924" s="102"/>
      <c r="I924" s="102"/>
      <c r="J924" s="102"/>
      <c r="K924" s="102"/>
      <c r="L924" s="103" t="str">
        <f aca="false">IF(OR($B924="", $H924="", $I924="", $J924="", $K924=""),"",ROUND((VLOOKUP($H924,Lists!$E$2:$F$5,2,FALSE())*VLOOKUP($I924,Lists!$H$2:$I$4,2,FALSE())*VLOOKUP($J924,Lists!$K$2:$L$4,2,FALSE()))/VLOOKUP($K924,Lists!$N$2:$O$6,2,FALSE()),2))</f>
        <v/>
      </c>
      <c r="M924" s="104" t="str">
        <f aca="false">IF($B924="","",IF($AC924&lt;&gt;"",$AC924,IF($H924="Critical","P0",IF(NOT(ISNUMBER($L924)),"",IF($L924&gt;=Lists!$AM$2,"P0",IF($L924&gt;=Lists!$AM$3,"P1",IF($L924&gt;=Lists!$AM$4,"P2","P3")))))))</f>
        <v/>
      </c>
      <c r="N924" s="102"/>
      <c r="O924" s="101"/>
      <c r="P924" s="102"/>
      <c r="Q924" s="105"/>
      <c r="R924" s="106" t="str">
        <f aca="true">IF($Q924="","", TODAY()-$Q924)</f>
        <v/>
      </c>
      <c r="S924" s="102"/>
      <c r="T924" s="105"/>
      <c r="U924" s="105"/>
      <c r="V924" s="101"/>
      <c r="W924" s="101"/>
      <c r="X924" s="101"/>
      <c r="Y924" s="96"/>
      <c r="Z924" s="96"/>
      <c r="AA924" s="96"/>
      <c r="AC924" s="102"/>
      <c r="AD924" s="107" t="str">
        <f aca="false">IF($B924="","",IF(ISNUMBER($T924),$T924,IF(OR(NOT(ISNUMBER($Q924)),$S924=""),"",IFERROR(IF(ISNUMBER(INDEX(Lists!$AJ$2:$AJ$7,MATCH($S924,Lists!$AI$2:$AI$7,0))),$Q924+INDEX(Lists!$AJ$2:$AJ$7,MATCH($S924,Lists!$AI$2:$AI$7,0)),""),""))))</f>
        <v/>
      </c>
      <c r="AE924" s="104" t="str">
        <f aca="true">IF($B924="","",IF(AND(ISNUMBER($AD924),N($AD924)&lt;TODAY(),$N924&lt;&gt;"Done",$N924&lt;&gt;"Won't Fix",$N924&lt;&gt;"Duplicate"),"Yes","No"))</f>
        <v/>
      </c>
      <c r="AF924" s="101"/>
      <c r="AG924" s="108" t="str">
        <f aca="false">IF($AF924="","",IFERROR(VLOOKUP($AF924,'Application Portfolio'!$A$2:$B$1000,2,FALSE()),"Unknown App ID"))</f>
        <v/>
      </c>
      <c r="AH924" s="108" t="str">
        <f aca="false">IF(OR($B924="",$AF924=""),"",IFERROR(VLOOKUP($AF924,'Application Portfolio'!$A$2:$AB$1000,28,FALSE()),""))</f>
        <v/>
      </c>
    </row>
    <row r="925" customFormat="false" ht="15.75" hidden="false" customHeight="true" outlineLevel="0" collapsed="false">
      <c r="A925" s="100"/>
      <c r="B925" s="101"/>
      <c r="C925" s="101"/>
      <c r="D925" s="101"/>
      <c r="E925" s="101"/>
      <c r="F925" s="102"/>
      <c r="G925" s="102"/>
      <c r="H925" s="102"/>
      <c r="I925" s="102"/>
      <c r="J925" s="102"/>
      <c r="K925" s="102"/>
      <c r="L925" s="103" t="str">
        <f aca="false">IF(OR($B925="", $H925="", $I925="", $J925="", $K925=""),"",ROUND((VLOOKUP($H925,Lists!$E$2:$F$5,2,FALSE())*VLOOKUP($I925,Lists!$H$2:$I$4,2,FALSE())*VLOOKUP($J925,Lists!$K$2:$L$4,2,FALSE()))/VLOOKUP($K925,Lists!$N$2:$O$6,2,FALSE()),2))</f>
        <v/>
      </c>
      <c r="M925" s="104" t="str">
        <f aca="false">IF($B925="","",IF($AC925&lt;&gt;"",$AC925,IF($H925="Critical","P0",IF(NOT(ISNUMBER($L925)),"",IF($L925&gt;=Lists!$AM$2,"P0",IF($L925&gt;=Lists!$AM$3,"P1",IF($L925&gt;=Lists!$AM$4,"P2","P3")))))))</f>
        <v/>
      </c>
      <c r="N925" s="102"/>
      <c r="O925" s="101"/>
      <c r="P925" s="102"/>
      <c r="Q925" s="105"/>
      <c r="R925" s="106" t="str">
        <f aca="true">IF($Q925="","", TODAY()-$Q925)</f>
        <v/>
      </c>
      <c r="S925" s="102"/>
      <c r="T925" s="105"/>
      <c r="U925" s="105"/>
      <c r="V925" s="101"/>
      <c r="W925" s="101"/>
      <c r="X925" s="101"/>
      <c r="Y925" s="96"/>
      <c r="Z925" s="96"/>
      <c r="AA925" s="96"/>
      <c r="AC925" s="102"/>
      <c r="AD925" s="107" t="str">
        <f aca="false">IF($B925="","",IF(ISNUMBER($T925),$T925,IF(OR(NOT(ISNUMBER($Q925)),$S925=""),"",IFERROR(IF(ISNUMBER(INDEX(Lists!$AJ$2:$AJ$7,MATCH($S925,Lists!$AI$2:$AI$7,0))),$Q925+INDEX(Lists!$AJ$2:$AJ$7,MATCH($S925,Lists!$AI$2:$AI$7,0)),""),""))))</f>
        <v/>
      </c>
      <c r="AE925" s="104" t="str">
        <f aca="true">IF($B925="","",IF(AND(ISNUMBER($AD925),N($AD925)&lt;TODAY(),$N925&lt;&gt;"Done",$N925&lt;&gt;"Won't Fix",$N925&lt;&gt;"Duplicate"),"Yes","No"))</f>
        <v/>
      </c>
      <c r="AF925" s="101"/>
      <c r="AG925" s="108" t="str">
        <f aca="false">IF($AF925="","",IFERROR(VLOOKUP($AF925,'Application Portfolio'!$A$2:$B$1000,2,FALSE()),"Unknown App ID"))</f>
        <v/>
      </c>
      <c r="AH925" s="108" t="str">
        <f aca="false">IF(OR($B925="",$AF925=""),"",IFERROR(VLOOKUP($AF925,'Application Portfolio'!$A$2:$AB$1000,28,FALSE()),""))</f>
        <v/>
      </c>
    </row>
    <row r="926" customFormat="false" ht="15.75" hidden="false" customHeight="true" outlineLevel="0" collapsed="false">
      <c r="A926" s="100"/>
      <c r="B926" s="101"/>
      <c r="C926" s="101"/>
      <c r="D926" s="101"/>
      <c r="E926" s="101"/>
      <c r="F926" s="102"/>
      <c r="G926" s="102"/>
      <c r="H926" s="102"/>
      <c r="I926" s="102"/>
      <c r="J926" s="102"/>
      <c r="K926" s="102"/>
      <c r="L926" s="103" t="str">
        <f aca="false">IF(OR($B926="", $H926="", $I926="", $J926="", $K926=""),"",ROUND((VLOOKUP($H926,Lists!$E$2:$F$5,2,FALSE())*VLOOKUP($I926,Lists!$H$2:$I$4,2,FALSE())*VLOOKUP($J926,Lists!$K$2:$L$4,2,FALSE()))/VLOOKUP($K926,Lists!$N$2:$O$6,2,FALSE()),2))</f>
        <v/>
      </c>
      <c r="M926" s="104" t="str">
        <f aca="false">IF($B926="","",IF($AC926&lt;&gt;"",$AC926,IF($H926="Critical","P0",IF(NOT(ISNUMBER($L926)),"",IF($L926&gt;=Lists!$AM$2,"P0",IF($L926&gt;=Lists!$AM$3,"P1",IF($L926&gt;=Lists!$AM$4,"P2","P3")))))))</f>
        <v/>
      </c>
      <c r="N926" s="102"/>
      <c r="O926" s="101"/>
      <c r="P926" s="102"/>
      <c r="Q926" s="105"/>
      <c r="R926" s="106" t="str">
        <f aca="true">IF($Q926="","", TODAY()-$Q926)</f>
        <v/>
      </c>
      <c r="S926" s="102"/>
      <c r="T926" s="105"/>
      <c r="U926" s="105"/>
      <c r="V926" s="101"/>
      <c r="W926" s="101"/>
      <c r="X926" s="101"/>
      <c r="Y926" s="96"/>
      <c r="Z926" s="96"/>
      <c r="AA926" s="96"/>
      <c r="AC926" s="102"/>
      <c r="AD926" s="107" t="str">
        <f aca="false">IF($B926="","",IF(ISNUMBER($T926),$T926,IF(OR(NOT(ISNUMBER($Q926)),$S926=""),"",IFERROR(IF(ISNUMBER(INDEX(Lists!$AJ$2:$AJ$7,MATCH($S926,Lists!$AI$2:$AI$7,0))),$Q926+INDEX(Lists!$AJ$2:$AJ$7,MATCH($S926,Lists!$AI$2:$AI$7,0)),""),""))))</f>
        <v/>
      </c>
      <c r="AE926" s="104" t="str">
        <f aca="true">IF($B926="","",IF(AND(ISNUMBER($AD926),N($AD926)&lt;TODAY(),$N926&lt;&gt;"Done",$N926&lt;&gt;"Won't Fix",$N926&lt;&gt;"Duplicate"),"Yes","No"))</f>
        <v/>
      </c>
      <c r="AF926" s="101"/>
      <c r="AG926" s="108" t="str">
        <f aca="false">IF($AF926="","",IFERROR(VLOOKUP($AF926,'Application Portfolio'!$A$2:$B$1000,2,FALSE()),"Unknown App ID"))</f>
        <v/>
      </c>
      <c r="AH926" s="108" t="str">
        <f aca="false">IF(OR($B926="",$AF926=""),"",IFERROR(VLOOKUP($AF926,'Application Portfolio'!$A$2:$AB$1000,28,FALSE()),""))</f>
        <v/>
      </c>
    </row>
    <row r="927" customFormat="false" ht="15.75" hidden="false" customHeight="true" outlineLevel="0" collapsed="false">
      <c r="A927" s="100"/>
      <c r="B927" s="101"/>
      <c r="C927" s="101"/>
      <c r="D927" s="101"/>
      <c r="E927" s="101"/>
      <c r="F927" s="102"/>
      <c r="G927" s="102"/>
      <c r="H927" s="102"/>
      <c r="I927" s="102"/>
      <c r="J927" s="102"/>
      <c r="K927" s="102"/>
      <c r="L927" s="103" t="str">
        <f aca="false">IF(OR($B927="", $H927="", $I927="", $J927="", $K927=""),"",ROUND((VLOOKUP($H927,Lists!$E$2:$F$5,2,FALSE())*VLOOKUP($I927,Lists!$H$2:$I$4,2,FALSE())*VLOOKUP($J927,Lists!$K$2:$L$4,2,FALSE()))/VLOOKUP($K927,Lists!$N$2:$O$6,2,FALSE()),2))</f>
        <v/>
      </c>
      <c r="M927" s="104" t="str">
        <f aca="false">IF($B927="","",IF($AC927&lt;&gt;"",$AC927,IF($H927="Critical","P0",IF(NOT(ISNUMBER($L927)),"",IF($L927&gt;=Lists!$AM$2,"P0",IF($L927&gt;=Lists!$AM$3,"P1",IF($L927&gt;=Lists!$AM$4,"P2","P3")))))))</f>
        <v/>
      </c>
      <c r="N927" s="102"/>
      <c r="O927" s="101"/>
      <c r="P927" s="102"/>
      <c r="Q927" s="105"/>
      <c r="R927" s="106" t="str">
        <f aca="true">IF($Q927="","", TODAY()-$Q927)</f>
        <v/>
      </c>
      <c r="S927" s="102"/>
      <c r="T927" s="105"/>
      <c r="U927" s="105"/>
      <c r="V927" s="101"/>
      <c r="W927" s="101"/>
      <c r="X927" s="101"/>
      <c r="Y927" s="96"/>
      <c r="Z927" s="96"/>
      <c r="AA927" s="96"/>
      <c r="AC927" s="102"/>
      <c r="AD927" s="107" t="str">
        <f aca="false">IF($B927="","",IF(ISNUMBER($T927),$T927,IF(OR(NOT(ISNUMBER($Q927)),$S927=""),"",IFERROR(IF(ISNUMBER(INDEX(Lists!$AJ$2:$AJ$7,MATCH($S927,Lists!$AI$2:$AI$7,0))),$Q927+INDEX(Lists!$AJ$2:$AJ$7,MATCH($S927,Lists!$AI$2:$AI$7,0)),""),""))))</f>
        <v/>
      </c>
      <c r="AE927" s="104" t="str">
        <f aca="true">IF($B927="","",IF(AND(ISNUMBER($AD927),N($AD927)&lt;TODAY(),$N927&lt;&gt;"Done",$N927&lt;&gt;"Won't Fix",$N927&lt;&gt;"Duplicate"),"Yes","No"))</f>
        <v/>
      </c>
      <c r="AF927" s="101"/>
      <c r="AG927" s="108" t="str">
        <f aca="false">IF($AF927="","",IFERROR(VLOOKUP($AF927,'Application Portfolio'!$A$2:$B$1000,2,FALSE()),"Unknown App ID"))</f>
        <v/>
      </c>
      <c r="AH927" s="108" t="str">
        <f aca="false">IF(OR($B927="",$AF927=""),"",IFERROR(VLOOKUP($AF927,'Application Portfolio'!$A$2:$AB$1000,28,FALSE()),""))</f>
        <v/>
      </c>
    </row>
    <row r="928" customFormat="false" ht="15.75" hidden="false" customHeight="true" outlineLevel="0" collapsed="false">
      <c r="A928" s="100"/>
      <c r="B928" s="101"/>
      <c r="C928" s="101"/>
      <c r="D928" s="101"/>
      <c r="E928" s="101"/>
      <c r="F928" s="102"/>
      <c r="G928" s="102"/>
      <c r="H928" s="102"/>
      <c r="I928" s="102"/>
      <c r="J928" s="102"/>
      <c r="K928" s="102"/>
      <c r="L928" s="103" t="str">
        <f aca="false">IF(OR($B928="", $H928="", $I928="", $J928="", $K928=""),"",ROUND((VLOOKUP($H928,Lists!$E$2:$F$5,2,FALSE())*VLOOKUP($I928,Lists!$H$2:$I$4,2,FALSE())*VLOOKUP($J928,Lists!$K$2:$L$4,2,FALSE()))/VLOOKUP($K928,Lists!$N$2:$O$6,2,FALSE()),2))</f>
        <v/>
      </c>
      <c r="M928" s="104" t="str">
        <f aca="false">IF($B928="","",IF($AC928&lt;&gt;"",$AC928,IF($H928="Critical","P0",IF(NOT(ISNUMBER($L928)),"",IF($L928&gt;=Lists!$AM$2,"P0",IF($L928&gt;=Lists!$AM$3,"P1",IF($L928&gt;=Lists!$AM$4,"P2","P3")))))))</f>
        <v/>
      </c>
      <c r="N928" s="102"/>
      <c r="O928" s="101"/>
      <c r="P928" s="102"/>
      <c r="Q928" s="105"/>
      <c r="R928" s="106" t="str">
        <f aca="true">IF($Q928="","", TODAY()-$Q928)</f>
        <v/>
      </c>
      <c r="S928" s="102"/>
      <c r="T928" s="105"/>
      <c r="U928" s="105"/>
      <c r="V928" s="101"/>
      <c r="W928" s="101"/>
      <c r="X928" s="101"/>
      <c r="Y928" s="96"/>
      <c r="Z928" s="96"/>
      <c r="AA928" s="96"/>
      <c r="AC928" s="102"/>
      <c r="AD928" s="107" t="str">
        <f aca="false">IF($B928="","",IF(ISNUMBER($T928),$T928,IF(OR(NOT(ISNUMBER($Q928)),$S928=""),"",IFERROR(IF(ISNUMBER(INDEX(Lists!$AJ$2:$AJ$7,MATCH($S928,Lists!$AI$2:$AI$7,0))),$Q928+INDEX(Lists!$AJ$2:$AJ$7,MATCH($S928,Lists!$AI$2:$AI$7,0)),""),""))))</f>
        <v/>
      </c>
      <c r="AE928" s="104" t="str">
        <f aca="true">IF($B928="","",IF(AND(ISNUMBER($AD928),N($AD928)&lt;TODAY(),$N928&lt;&gt;"Done",$N928&lt;&gt;"Won't Fix",$N928&lt;&gt;"Duplicate"),"Yes","No"))</f>
        <v/>
      </c>
      <c r="AF928" s="101"/>
      <c r="AG928" s="108" t="str">
        <f aca="false">IF($AF928="","",IFERROR(VLOOKUP($AF928,'Application Portfolio'!$A$2:$B$1000,2,FALSE()),"Unknown App ID"))</f>
        <v/>
      </c>
      <c r="AH928" s="108" t="str">
        <f aca="false">IF(OR($B928="",$AF928=""),"",IFERROR(VLOOKUP($AF928,'Application Portfolio'!$A$2:$AB$1000,28,FALSE()),""))</f>
        <v/>
      </c>
    </row>
    <row r="929" customFormat="false" ht="15.75" hidden="false" customHeight="true" outlineLevel="0" collapsed="false">
      <c r="A929" s="100"/>
      <c r="B929" s="101"/>
      <c r="C929" s="101"/>
      <c r="D929" s="101"/>
      <c r="E929" s="101"/>
      <c r="F929" s="102"/>
      <c r="G929" s="102"/>
      <c r="H929" s="102"/>
      <c r="I929" s="102"/>
      <c r="J929" s="102"/>
      <c r="K929" s="102"/>
      <c r="L929" s="103" t="str">
        <f aca="false">IF(OR($B929="", $H929="", $I929="", $J929="", $K929=""),"",ROUND((VLOOKUP($H929,Lists!$E$2:$F$5,2,FALSE())*VLOOKUP($I929,Lists!$H$2:$I$4,2,FALSE())*VLOOKUP($J929,Lists!$K$2:$L$4,2,FALSE()))/VLOOKUP($K929,Lists!$N$2:$O$6,2,FALSE()),2))</f>
        <v/>
      </c>
      <c r="M929" s="104" t="str">
        <f aca="false">IF($B929="","",IF($AC929&lt;&gt;"",$AC929,IF($H929="Critical","P0",IF(NOT(ISNUMBER($L929)),"",IF($L929&gt;=Lists!$AM$2,"P0",IF($L929&gt;=Lists!$AM$3,"P1",IF($L929&gt;=Lists!$AM$4,"P2","P3")))))))</f>
        <v/>
      </c>
      <c r="N929" s="102"/>
      <c r="O929" s="101"/>
      <c r="P929" s="102"/>
      <c r="Q929" s="105"/>
      <c r="R929" s="106" t="str">
        <f aca="true">IF($Q929="","", TODAY()-$Q929)</f>
        <v/>
      </c>
      <c r="S929" s="102"/>
      <c r="T929" s="105"/>
      <c r="U929" s="105"/>
      <c r="V929" s="101"/>
      <c r="W929" s="101"/>
      <c r="X929" s="101"/>
      <c r="Y929" s="96"/>
      <c r="Z929" s="96"/>
      <c r="AA929" s="96"/>
      <c r="AC929" s="102"/>
      <c r="AD929" s="107" t="str">
        <f aca="false">IF($B929="","",IF(ISNUMBER($T929),$T929,IF(OR(NOT(ISNUMBER($Q929)),$S929=""),"",IFERROR(IF(ISNUMBER(INDEX(Lists!$AJ$2:$AJ$7,MATCH($S929,Lists!$AI$2:$AI$7,0))),$Q929+INDEX(Lists!$AJ$2:$AJ$7,MATCH($S929,Lists!$AI$2:$AI$7,0)),""),""))))</f>
        <v/>
      </c>
      <c r="AE929" s="104" t="str">
        <f aca="true">IF($B929="","",IF(AND(ISNUMBER($AD929),N($AD929)&lt;TODAY(),$N929&lt;&gt;"Done",$N929&lt;&gt;"Won't Fix",$N929&lt;&gt;"Duplicate"),"Yes","No"))</f>
        <v/>
      </c>
      <c r="AF929" s="101"/>
      <c r="AG929" s="108" t="str">
        <f aca="false">IF($AF929="","",IFERROR(VLOOKUP($AF929,'Application Portfolio'!$A$2:$B$1000,2,FALSE()),"Unknown App ID"))</f>
        <v/>
      </c>
      <c r="AH929" s="108" t="str">
        <f aca="false">IF(OR($B929="",$AF929=""),"",IFERROR(VLOOKUP($AF929,'Application Portfolio'!$A$2:$AB$1000,28,FALSE()),""))</f>
        <v/>
      </c>
    </row>
    <row r="930" customFormat="false" ht="15.75" hidden="false" customHeight="true" outlineLevel="0" collapsed="false">
      <c r="A930" s="100"/>
      <c r="B930" s="101"/>
      <c r="C930" s="101"/>
      <c r="D930" s="101"/>
      <c r="E930" s="101"/>
      <c r="F930" s="102"/>
      <c r="G930" s="102"/>
      <c r="H930" s="102"/>
      <c r="I930" s="102"/>
      <c r="J930" s="102"/>
      <c r="K930" s="102"/>
      <c r="L930" s="103" t="str">
        <f aca="false">IF(OR($B930="", $H930="", $I930="", $J930="", $K930=""),"",ROUND((VLOOKUP($H930,Lists!$E$2:$F$5,2,FALSE())*VLOOKUP($I930,Lists!$H$2:$I$4,2,FALSE())*VLOOKUP($J930,Lists!$K$2:$L$4,2,FALSE()))/VLOOKUP($K930,Lists!$N$2:$O$6,2,FALSE()),2))</f>
        <v/>
      </c>
      <c r="M930" s="104" t="str">
        <f aca="false">IF($B930="","",IF($AC930&lt;&gt;"",$AC930,IF($H930="Critical","P0",IF(NOT(ISNUMBER($L930)),"",IF($L930&gt;=Lists!$AM$2,"P0",IF($L930&gt;=Lists!$AM$3,"P1",IF($L930&gt;=Lists!$AM$4,"P2","P3")))))))</f>
        <v/>
      </c>
      <c r="N930" s="102"/>
      <c r="O930" s="101"/>
      <c r="P930" s="102"/>
      <c r="Q930" s="105"/>
      <c r="R930" s="106" t="str">
        <f aca="true">IF($Q930="","", TODAY()-$Q930)</f>
        <v/>
      </c>
      <c r="S930" s="102"/>
      <c r="T930" s="105"/>
      <c r="U930" s="105"/>
      <c r="V930" s="101"/>
      <c r="W930" s="101"/>
      <c r="X930" s="101"/>
      <c r="Y930" s="96"/>
      <c r="Z930" s="96"/>
      <c r="AA930" s="96"/>
      <c r="AC930" s="102"/>
      <c r="AD930" s="107" t="str">
        <f aca="false">IF($B930="","",IF(ISNUMBER($T930),$T930,IF(OR(NOT(ISNUMBER($Q930)),$S930=""),"",IFERROR(IF(ISNUMBER(INDEX(Lists!$AJ$2:$AJ$7,MATCH($S930,Lists!$AI$2:$AI$7,0))),$Q930+INDEX(Lists!$AJ$2:$AJ$7,MATCH($S930,Lists!$AI$2:$AI$7,0)),""),""))))</f>
        <v/>
      </c>
      <c r="AE930" s="104" t="str">
        <f aca="true">IF($B930="","",IF(AND(ISNUMBER($AD930),N($AD930)&lt;TODAY(),$N930&lt;&gt;"Done",$N930&lt;&gt;"Won't Fix",$N930&lt;&gt;"Duplicate"),"Yes","No"))</f>
        <v/>
      </c>
      <c r="AF930" s="101"/>
      <c r="AG930" s="108" t="str">
        <f aca="false">IF($AF930="","",IFERROR(VLOOKUP($AF930,'Application Portfolio'!$A$2:$B$1000,2,FALSE()),"Unknown App ID"))</f>
        <v/>
      </c>
      <c r="AH930" s="108" t="str">
        <f aca="false">IF(OR($B930="",$AF930=""),"",IFERROR(VLOOKUP($AF930,'Application Portfolio'!$A$2:$AB$1000,28,FALSE()),""))</f>
        <v/>
      </c>
    </row>
    <row r="931" customFormat="false" ht="15.75" hidden="false" customHeight="true" outlineLevel="0" collapsed="false">
      <c r="A931" s="100"/>
      <c r="B931" s="101"/>
      <c r="C931" s="101"/>
      <c r="D931" s="101"/>
      <c r="E931" s="101"/>
      <c r="F931" s="102"/>
      <c r="G931" s="102"/>
      <c r="H931" s="102"/>
      <c r="I931" s="102"/>
      <c r="J931" s="102"/>
      <c r="K931" s="102"/>
      <c r="L931" s="103" t="str">
        <f aca="false">IF(OR($B931="", $H931="", $I931="", $J931="", $K931=""),"",ROUND((VLOOKUP($H931,Lists!$E$2:$F$5,2,FALSE())*VLOOKUP($I931,Lists!$H$2:$I$4,2,FALSE())*VLOOKUP($J931,Lists!$K$2:$L$4,2,FALSE()))/VLOOKUP($K931,Lists!$N$2:$O$6,2,FALSE()),2))</f>
        <v/>
      </c>
      <c r="M931" s="104" t="str">
        <f aca="false">IF($B931="","",IF($AC931&lt;&gt;"",$AC931,IF($H931="Critical","P0",IF(NOT(ISNUMBER($L931)),"",IF($L931&gt;=Lists!$AM$2,"P0",IF($L931&gt;=Lists!$AM$3,"P1",IF($L931&gt;=Lists!$AM$4,"P2","P3")))))))</f>
        <v/>
      </c>
      <c r="N931" s="102"/>
      <c r="O931" s="101"/>
      <c r="P931" s="102"/>
      <c r="Q931" s="105"/>
      <c r="R931" s="106" t="str">
        <f aca="true">IF($Q931="","", TODAY()-$Q931)</f>
        <v/>
      </c>
      <c r="S931" s="102"/>
      <c r="T931" s="105"/>
      <c r="U931" s="105"/>
      <c r="V931" s="101"/>
      <c r="W931" s="101"/>
      <c r="X931" s="101"/>
      <c r="Y931" s="96"/>
      <c r="Z931" s="96"/>
      <c r="AA931" s="96"/>
      <c r="AC931" s="102"/>
      <c r="AD931" s="107" t="str">
        <f aca="false">IF($B931="","",IF(ISNUMBER($T931),$T931,IF(OR(NOT(ISNUMBER($Q931)),$S931=""),"",IFERROR(IF(ISNUMBER(INDEX(Lists!$AJ$2:$AJ$7,MATCH($S931,Lists!$AI$2:$AI$7,0))),$Q931+INDEX(Lists!$AJ$2:$AJ$7,MATCH($S931,Lists!$AI$2:$AI$7,0)),""),""))))</f>
        <v/>
      </c>
      <c r="AE931" s="104" t="str">
        <f aca="true">IF($B931="","",IF(AND(ISNUMBER($AD931),N($AD931)&lt;TODAY(),$N931&lt;&gt;"Done",$N931&lt;&gt;"Won't Fix",$N931&lt;&gt;"Duplicate"),"Yes","No"))</f>
        <v/>
      </c>
      <c r="AF931" s="101"/>
      <c r="AG931" s="108" t="str">
        <f aca="false">IF($AF931="","",IFERROR(VLOOKUP($AF931,'Application Portfolio'!$A$2:$B$1000,2,FALSE()),"Unknown App ID"))</f>
        <v/>
      </c>
      <c r="AH931" s="108" t="str">
        <f aca="false">IF(OR($B931="",$AF931=""),"",IFERROR(VLOOKUP($AF931,'Application Portfolio'!$A$2:$AB$1000,28,FALSE()),""))</f>
        <v/>
      </c>
    </row>
    <row r="932" customFormat="false" ht="15.75" hidden="false" customHeight="true" outlineLevel="0" collapsed="false">
      <c r="A932" s="100"/>
      <c r="B932" s="101"/>
      <c r="C932" s="101"/>
      <c r="D932" s="101"/>
      <c r="E932" s="101"/>
      <c r="F932" s="102"/>
      <c r="G932" s="102"/>
      <c r="H932" s="102"/>
      <c r="I932" s="102"/>
      <c r="J932" s="102"/>
      <c r="K932" s="102"/>
      <c r="L932" s="103" t="str">
        <f aca="false">IF(OR($B932="", $H932="", $I932="", $J932="", $K932=""),"",ROUND((VLOOKUP($H932,Lists!$E$2:$F$5,2,FALSE())*VLOOKUP($I932,Lists!$H$2:$I$4,2,FALSE())*VLOOKUP($J932,Lists!$K$2:$L$4,2,FALSE()))/VLOOKUP($K932,Lists!$N$2:$O$6,2,FALSE()),2))</f>
        <v/>
      </c>
      <c r="M932" s="104" t="str">
        <f aca="false">IF($B932="","",IF($AC932&lt;&gt;"",$AC932,IF($H932="Critical","P0",IF(NOT(ISNUMBER($L932)),"",IF($L932&gt;=Lists!$AM$2,"P0",IF($L932&gt;=Lists!$AM$3,"P1",IF($L932&gt;=Lists!$AM$4,"P2","P3")))))))</f>
        <v/>
      </c>
      <c r="N932" s="102"/>
      <c r="O932" s="101"/>
      <c r="P932" s="102"/>
      <c r="Q932" s="105"/>
      <c r="R932" s="106" t="str">
        <f aca="true">IF($Q932="","", TODAY()-$Q932)</f>
        <v/>
      </c>
      <c r="S932" s="102"/>
      <c r="T932" s="105"/>
      <c r="U932" s="105"/>
      <c r="V932" s="101"/>
      <c r="W932" s="101"/>
      <c r="X932" s="101"/>
      <c r="Y932" s="96"/>
      <c r="Z932" s="96"/>
      <c r="AA932" s="96"/>
      <c r="AC932" s="102"/>
      <c r="AD932" s="107" t="str">
        <f aca="false">IF($B932="","",IF(ISNUMBER($T932),$T932,IF(OR(NOT(ISNUMBER($Q932)),$S932=""),"",IFERROR(IF(ISNUMBER(INDEX(Lists!$AJ$2:$AJ$7,MATCH($S932,Lists!$AI$2:$AI$7,0))),$Q932+INDEX(Lists!$AJ$2:$AJ$7,MATCH($S932,Lists!$AI$2:$AI$7,0)),""),""))))</f>
        <v/>
      </c>
      <c r="AE932" s="104" t="str">
        <f aca="true">IF($B932="","",IF(AND(ISNUMBER($AD932),N($AD932)&lt;TODAY(),$N932&lt;&gt;"Done",$N932&lt;&gt;"Won't Fix",$N932&lt;&gt;"Duplicate"),"Yes","No"))</f>
        <v/>
      </c>
      <c r="AF932" s="101"/>
      <c r="AG932" s="108" t="str">
        <f aca="false">IF($AF932="","",IFERROR(VLOOKUP($AF932,'Application Portfolio'!$A$2:$B$1000,2,FALSE()),"Unknown App ID"))</f>
        <v/>
      </c>
      <c r="AH932" s="108" t="str">
        <f aca="false">IF(OR($B932="",$AF932=""),"",IFERROR(VLOOKUP($AF932,'Application Portfolio'!$A$2:$AB$1000,28,FALSE()),""))</f>
        <v/>
      </c>
    </row>
    <row r="933" customFormat="false" ht="15.75" hidden="false" customHeight="true" outlineLevel="0" collapsed="false">
      <c r="A933" s="100"/>
      <c r="B933" s="101"/>
      <c r="C933" s="101"/>
      <c r="D933" s="101"/>
      <c r="E933" s="101"/>
      <c r="F933" s="102"/>
      <c r="G933" s="102"/>
      <c r="H933" s="102"/>
      <c r="I933" s="102"/>
      <c r="J933" s="102"/>
      <c r="K933" s="102"/>
      <c r="L933" s="103" t="str">
        <f aca="false">IF(OR($B933="", $H933="", $I933="", $J933="", $K933=""),"",ROUND((VLOOKUP($H933,Lists!$E$2:$F$5,2,FALSE())*VLOOKUP($I933,Lists!$H$2:$I$4,2,FALSE())*VLOOKUP($J933,Lists!$K$2:$L$4,2,FALSE()))/VLOOKUP($K933,Lists!$N$2:$O$6,2,FALSE()),2))</f>
        <v/>
      </c>
      <c r="M933" s="104" t="str">
        <f aca="false">IF($B933="","",IF($AC933&lt;&gt;"",$AC933,IF($H933="Critical","P0",IF(NOT(ISNUMBER($L933)),"",IF($L933&gt;=Lists!$AM$2,"P0",IF($L933&gt;=Lists!$AM$3,"P1",IF($L933&gt;=Lists!$AM$4,"P2","P3")))))))</f>
        <v/>
      </c>
      <c r="N933" s="102"/>
      <c r="O933" s="101"/>
      <c r="P933" s="102"/>
      <c r="Q933" s="105"/>
      <c r="R933" s="106" t="str">
        <f aca="true">IF($Q933="","", TODAY()-$Q933)</f>
        <v/>
      </c>
      <c r="S933" s="102"/>
      <c r="T933" s="105"/>
      <c r="U933" s="105"/>
      <c r="V933" s="101"/>
      <c r="W933" s="101"/>
      <c r="X933" s="101"/>
      <c r="Y933" s="96"/>
      <c r="Z933" s="96"/>
      <c r="AA933" s="96"/>
      <c r="AC933" s="102"/>
      <c r="AD933" s="107" t="str">
        <f aca="false">IF($B933="","",IF(ISNUMBER($T933),$T933,IF(OR(NOT(ISNUMBER($Q933)),$S933=""),"",IFERROR(IF(ISNUMBER(INDEX(Lists!$AJ$2:$AJ$7,MATCH($S933,Lists!$AI$2:$AI$7,0))),$Q933+INDEX(Lists!$AJ$2:$AJ$7,MATCH($S933,Lists!$AI$2:$AI$7,0)),""),""))))</f>
        <v/>
      </c>
      <c r="AE933" s="104" t="str">
        <f aca="true">IF($B933="","",IF(AND(ISNUMBER($AD933),N($AD933)&lt;TODAY(),$N933&lt;&gt;"Done",$N933&lt;&gt;"Won't Fix",$N933&lt;&gt;"Duplicate"),"Yes","No"))</f>
        <v/>
      </c>
      <c r="AF933" s="101"/>
      <c r="AG933" s="108" t="str">
        <f aca="false">IF($AF933="","",IFERROR(VLOOKUP($AF933,'Application Portfolio'!$A$2:$B$1000,2,FALSE()),"Unknown App ID"))</f>
        <v/>
      </c>
      <c r="AH933" s="108" t="str">
        <f aca="false">IF(OR($B933="",$AF933=""),"",IFERROR(VLOOKUP($AF933,'Application Portfolio'!$A$2:$AB$1000,28,FALSE()),""))</f>
        <v/>
      </c>
    </row>
    <row r="934" customFormat="false" ht="15.75" hidden="false" customHeight="true" outlineLevel="0" collapsed="false">
      <c r="A934" s="100"/>
      <c r="B934" s="101"/>
      <c r="C934" s="101"/>
      <c r="D934" s="101"/>
      <c r="E934" s="101"/>
      <c r="F934" s="102"/>
      <c r="G934" s="102"/>
      <c r="H934" s="102"/>
      <c r="I934" s="102"/>
      <c r="J934" s="102"/>
      <c r="K934" s="102"/>
      <c r="L934" s="103" t="str">
        <f aca="false">IF(OR($B934="", $H934="", $I934="", $J934="", $K934=""),"",ROUND((VLOOKUP($H934,Lists!$E$2:$F$5,2,FALSE())*VLOOKUP($I934,Lists!$H$2:$I$4,2,FALSE())*VLOOKUP($J934,Lists!$K$2:$L$4,2,FALSE()))/VLOOKUP($K934,Lists!$N$2:$O$6,2,FALSE()),2))</f>
        <v/>
      </c>
      <c r="M934" s="104" t="str">
        <f aca="false">IF($B934="","",IF($AC934&lt;&gt;"",$AC934,IF($H934="Critical","P0",IF(NOT(ISNUMBER($L934)),"",IF($L934&gt;=Lists!$AM$2,"P0",IF($L934&gt;=Lists!$AM$3,"P1",IF($L934&gt;=Lists!$AM$4,"P2","P3")))))))</f>
        <v/>
      </c>
      <c r="N934" s="102"/>
      <c r="O934" s="101"/>
      <c r="P934" s="102"/>
      <c r="Q934" s="105"/>
      <c r="R934" s="106" t="str">
        <f aca="true">IF($Q934="","", TODAY()-$Q934)</f>
        <v/>
      </c>
      <c r="S934" s="102"/>
      <c r="T934" s="105"/>
      <c r="U934" s="105"/>
      <c r="V934" s="101"/>
      <c r="W934" s="101"/>
      <c r="X934" s="101"/>
      <c r="Y934" s="96"/>
      <c r="Z934" s="96"/>
      <c r="AA934" s="96"/>
      <c r="AC934" s="102"/>
      <c r="AD934" s="107" t="str">
        <f aca="false">IF($B934="","",IF(ISNUMBER($T934),$T934,IF(OR(NOT(ISNUMBER($Q934)),$S934=""),"",IFERROR(IF(ISNUMBER(INDEX(Lists!$AJ$2:$AJ$7,MATCH($S934,Lists!$AI$2:$AI$7,0))),$Q934+INDEX(Lists!$AJ$2:$AJ$7,MATCH($S934,Lists!$AI$2:$AI$7,0)),""),""))))</f>
        <v/>
      </c>
      <c r="AE934" s="104" t="str">
        <f aca="true">IF($B934="","",IF(AND(ISNUMBER($AD934),N($AD934)&lt;TODAY(),$N934&lt;&gt;"Done",$N934&lt;&gt;"Won't Fix",$N934&lt;&gt;"Duplicate"),"Yes","No"))</f>
        <v/>
      </c>
      <c r="AF934" s="101"/>
      <c r="AG934" s="108" t="str">
        <f aca="false">IF($AF934="","",IFERROR(VLOOKUP($AF934,'Application Portfolio'!$A$2:$B$1000,2,FALSE()),"Unknown App ID"))</f>
        <v/>
      </c>
      <c r="AH934" s="108" t="str">
        <f aca="false">IF(OR($B934="",$AF934=""),"",IFERROR(VLOOKUP($AF934,'Application Portfolio'!$A$2:$AB$1000,28,FALSE()),""))</f>
        <v/>
      </c>
    </row>
    <row r="935" customFormat="false" ht="15.75" hidden="false" customHeight="true" outlineLevel="0" collapsed="false">
      <c r="A935" s="100"/>
      <c r="B935" s="101"/>
      <c r="C935" s="101"/>
      <c r="D935" s="101"/>
      <c r="E935" s="101"/>
      <c r="F935" s="102"/>
      <c r="G935" s="102"/>
      <c r="H935" s="102"/>
      <c r="I935" s="102"/>
      <c r="J935" s="102"/>
      <c r="K935" s="102"/>
      <c r="L935" s="103" t="str">
        <f aca="false">IF(OR($B935="", $H935="", $I935="", $J935="", $K935=""),"",ROUND((VLOOKUP($H935,Lists!$E$2:$F$5,2,FALSE())*VLOOKUP($I935,Lists!$H$2:$I$4,2,FALSE())*VLOOKUP($J935,Lists!$K$2:$L$4,2,FALSE()))/VLOOKUP($K935,Lists!$N$2:$O$6,2,FALSE()),2))</f>
        <v/>
      </c>
      <c r="M935" s="104" t="str">
        <f aca="false">IF($B935="","",IF($AC935&lt;&gt;"",$AC935,IF($H935="Critical","P0",IF(NOT(ISNUMBER($L935)),"",IF($L935&gt;=Lists!$AM$2,"P0",IF($L935&gt;=Lists!$AM$3,"P1",IF($L935&gt;=Lists!$AM$4,"P2","P3")))))))</f>
        <v/>
      </c>
      <c r="N935" s="102"/>
      <c r="O935" s="101"/>
      <c r="P935" s="102"/>
      <c r="Q935" s="105"/>
      <c r="R935" s="106" t="str">
        <f aca="true">IF($Q935="","", TODAY()-$Q935)</f>
        <v/>
      </c>
      <c r="S935" s="102"/>
      <c r="T935" s="105"/>
      <c r="U935" s="105"/>
      <c r="V935" s="101"/>
      <c r="W935" s="101"/>
      <c r="X935" s="101"/>
      <c r="Y935" s="96"/>
      <c r="Z935" s="96"/>
      <c r="AA935" s="96"/>
      <c r="AC935" s="102"/>
      <c r="AD935" s="107" t="str">
        <f aca="false">IF($B935="","",IF(ISNUMBER($T935),$T935,IF(OR(NOT(ISNUMBER($Q935)),$S935=""),"",IFERROR(IF(ISNUMBER(INDEX(Lists!$AJ$2:$AJ$7,MATCH($S935,Lists!$AI$2:$AI$7,0))),$Q935+INDEX(Lists!$AJ$2:$AJ$7,MATCH($S935,Lists!$AI$2:$AI$7,0)),""),""))))</f>
        <v/>
      </c>
      <c r="AE935" s="104" t="str">
        <f aca="true">IF($B935="","",IF(AND(ISNUMBER($AD935),N($AD935)&lt;TODAY(),$N935&lt;&gt;"Done",$N935&lt;&gt;"Won't Fix",$N935&lt;&gt;"Duplicate"),"Yes","No"))</f>
        <v/>
      </c>
      <c r="AF935" s="101"/>
      <c r="AG935" s="108" t="str">
        <f aca="false">IF($AF935="","",IFERROR(VLOOKUP($AF935,'Application Portfolio'!$A$2:$B$1000,2,FALSE()),"Unknown App ID"))</f>
        <v/>
      </c>
      <c r="AH935" s="108" t="str">
        <f aca="false">IF(OR($B935="",$AF935=""),"",IFERROR(VLOOKUP($AF935,'Application Portfolio'!$A$2:$AB$1000,28,FALSE()),""))</f>
        <v/>
      </c>
    </row>
    <row r="936" customFormat="false" ht="15.75" hidden="false" customHeight="true" outlineLevel="0" collapsed="false">
      <c r="A936" s="100"/>
      <c r="B936" s="101"/>
      <c r="C936" s="101"/>
      <c r="D936" s="101"/>
      <c r="E936" s="101"/>
      <c r="F936" s="102"/>
      <c r="G936" s="102"/>
      <c r="H936" s="102"/>
      <c r="I936" s="102"/>
      <c r="J936" s="102"/>
      <c r="K936" s="102"/>
      <c r="L936" s="103" t="str">
        <f aca="false">IF(OR($B936="", $H936="", $I936="", $J936="", $K936=""),"",ROUND((VLOOKUP($H936,Lists!$E$2:$F$5,2,FALSE())*VLOOKUP($I936,Lists!$H$2:$I$4,2,FALSE())*VLOOKUP($J936,Lists!$K$2:$L$4,2,FALSE()))/VLOOKUP($K936,Lists!$N$2:$O$6,2,FALSE()),2))</f>
        <v/>
      </c>
      <c r="M936" s="104" t="str">
        <f aca="false">IF($B936="","",IF($AC936&lt;&gt;"",$AC936,IF($H936="Critical","P0",IF(NOT(ISNUMBER($L936)),"",IF($L936&gt;=Lists!$AM$2,"P0",IF($L936&gt;=Lists!$AM$3,"P1",IF($L936&gt;=Lists!$AM$4,"P2","P3")))))))</f>
        <v/>
      </c>
      <c r="N936" s="102"/>
      <c r="O936" s="101"/>
      <c r="P936" s="102"/>
      <c r="Q936" s="105"/>
      <c r="R936" s="106" t="str">
        <f aca="true">IF($Q936="","", TODAY()-$Q936)</f>
        <v/>
      </c>
      <c r="S936" s="102"/>
      <c r="T936" s="105"/>
      <c r="U936" s="105"/>
      <c r="V936" s="101"/>
      <c r="W936" s="101"/>
      <c r="X936" s="101"/>
      <c r="Y936" s="96"/>
      <c r="Z936" s="96"/>
      <c r="AA936" s="96"/>
      <c r="AC936" s="102"/>
      <c r="AD936" s="107" t="str">
        <f aca="false">IF($B936="","",IF(ISNUMBER($T936),$T936,IF(OR(NOT(ISNUMBER($Q936)),$S936=""),"",IFERROR(IF(ISNUMBER(INDEX(Lists!$AJ$2:$AJ$7,MATCH($S936,Lists!$AI$2:$AI$7,0))),$Q936+INDEX(Lists!$AJ$2:$AJ$7,MATCH($S936,Lists!$AI$2:$AI$7,0)),""),""))))</f>
        <v/>
      </c>
      <c r="AE936" s="104" t="str">
        <f aca="true">IF($B936="","",IF(AND(ISNUMBER($AD936),N($AD936)&lt;TODAY(),$N936&lt;&gt;"Done",$N936&lt;&gt;"Won't Fix",$N936&lt;&gt;"Duplicate"),"Yes","No"))</f>
        <v/>
      </c>
      <c r="AF936" s="101"/>
      <c r="AG936" s="108" t="str">
        <f aca="false">IF($AF936="","",IFERROR(VLOOKUP($AF936,'Application Portfolio'!$A$2:$B$1000,2,FALSE()),"Unknown App ID"))</f>
        <v/>
      </c>
      <c r="AH936" s="108" t="str">
        <f aca="false">IF(OR($B936="",$AF936=""),"",IFERROR(VLOOKUP($AF936,'Application Portfolio'!$A$2:$AB$1000,28,FALSE()),""))</f>
        <v/>
      </c>
    </row>
    <row r="937" customFormat="false" ht="15.75" hidden="false" customHeight="true" outlineLevel="0" collapsed="false">
      <c r="A937" s="100"/>
      <c r="B937" s="101"/>
      <c r="C937" s="101"/>
      <c r="D937" s="101"/>
      <c r="E937" s="101"/>
      <c r="F937" s="102"/>
      <c r="G937" s="102"/>
      <c r="H937" s="102"/>
      <c r="I937" s="102"/>
      <c r="J937" s="102"/>
      <c r="K937" s="102"/>
      <c r="L937" s="103" t="str">
        <f aca="false">IF(OR($B937="", $H937="", $I937="", $J937="", $K937=""),"",ROUND((VLOOKUP($H937,Lists!$E$2:$F$5,2,FALSE())*VLOOKUP($I937,Lists!$H$2:$I$4,2,FALSE())*VLOOKUP($J937,Lists!$K$2:$L$4,2,FALSE()))/VLOOKUP($K937,Lists!$N$2:$O$6,2,FALSE()),2))</f>
        <v/>
      </c>
      <c r="M937" s="104" t="str">
        <f aca="false">IF($B937="","",IF($AC937&lt;&gt;"",$AC937,IF($H937="Critical","P0",IF(NOT(ISNUMBER($L937)),"",IF($L937&gt;=Lists!$AM$2,"P0",IF($L937&gt;=Lists!$AM$3,"P1",IF($L937&gt;=Lists!$AM$4,"P2","P3")))))))</f>
        <v/>
      </c>
      <c r="N937" s="102"/>
      <c r="O937" s="101"/>
      <c r="P937" s="102"/>
      <c r="Q937" s="105"/>
      <c r="R937" s="106" t="str">
        <f aca="true">IF($Q937="","", TODAY()-$Q937)</f>
        <v/>
      </c>
      <c r="S937" s="102"/>
      <c r="T937" s="105"/>
      <c r="U937" s="105"/>
      <c r="V937" s="101"/>
      <c r="W937" s="101"/>
      <c r="X937" s="101"/>
      <c r="Y937" s="96"/>
      <c r="Z937" s="96"/>
      <c r="AA937" s="96"/>
      <c r="AC937" s="102"/>
      <c r="AD937" s="107" t="str">
        <f aca="false">IF($B937="","",IF(ISNUMBER($T937),$T937,IF(OR(NOT(ISNUMBER($Q937)),$S937=""),"",IFERROR(IF(ISNUMBER(INDEX(Lists!$AJ$2:$AJ$7,MATCH($S937,Lists!$AI$2:$AI$7,0))),$Q937+INDEX(Lists!$AJ$2:$AJ$7,MATCH($S937,Lists!$AI$2:$AI$7,0)),""),""))))</f>
        <v/>
      </c>
      <c r="AE937" s="104" t="str">
        <f aca="true">IF($B937="","",IF(AND(ISNUMBER($AD937),N($AD937)&lt;TODAY(),$N937&lt;&gt;"Done",$N937&lt;&gt;"Won't Fix",$N937&lt;&gt;"Duplicate"),"Yes","No"))</f>
        <v/>
      </c>
      <c r="AF937" s="101"/>
      <c r="AG937" s="108" t="str">
        <f aca="false">IF($AF937="","",IFERROR(VLOOKUP($AF937,'Application Portfolio'!$A$2:$B$1000,2,FALSE()),"Unknown App ID"))</f>
        <v/>
      </c>
      <c r="AH937" s="108" t="str">
        <f aca="false">IF(OR($B937="",$AF937=""),"",IFERROR(VLOOKUP($AF937,'Application Portfolio'!$A$2:$AB$1000,28,FALSE()),""))</f>
        <v/>
      </c>
    </row>
    <row r="938" customFormat="false" ht="15.75" hidden="false" customHeight="true" outlineLevel="0" collapsed="false">
      <c r="A938" s="100"/>
      <c r="B938" s="101"/>
      <c r="C938" s="101"/>
      <c r="D938" s="101"/>
      <c r="E938" s="101"/>
      <c r="F938" s="102"/>
      <c r="G938" s="102"/>
      <c r="H938" s="102"/>
      <c r="I938" s="102"/>
      <c r="J938" s="102"/>
      <c r="K938" s="102"/>
      <c r="L938" s="103" t="str">
        <f aca="false">IF(OR($B938="", $H938="", $I938="", $J938="", $K938=""),"",ROUND((VLOOKUP($H938,Lists!$E$2:$F$5,2,FALSE())*VLOOKUP($I938,Lists!$H$2:$I$4,2,FALSE())*VLOOKUP($J938,Lists!$K$2:$L$4,2,FALSE()))/VLOOKUP($K938,Lists!$N$2:$O$6,2,FALSE()),2))</f>
        <v/>
      </c>
      <c r="M938" s="104" t="str">
        <f aca="false">IF($B938="","",IF($AC938&lt;&gt;"",$AC938,IF($H938="Critical","P0",IF(NOT(ISNUMBER($L938)),"",IF($L938&gt;=Lists!$AM$2,"P0",IF($L938&gt;=Lists!$AM$3,"P1",IF($L938&gt;=Lists!$AM$4,"P2","P3")))))))</f>
        <v/>
      </c>
      <c r="N938" s="102"/>
      <c r="O938" s="101"/>
      <c r="P938" s="102"/>
      <c r="Q938" s="105"/>
      <c r="R938" s="106" t="str">
        <f aca="true">IF($Q938="","", TODAY()-$Q938)</f>
        <v/>
      </c>
      <c r="S938" s="102"/>
      <c r="T938" s="105"/>
      <c r="U938" s="105"/>
      <c r="V938" s="101"/>
      <c r="W938" s="101"/>
      <c r="X938" s="101"/>
      <c r="Y938" s="96"/>
      <c r="Z938" s="96"/>
      <c r="AA938" s="96"/>
      <c r="AC938" s="102"/>
      <c r="AD938" s="107" t="str">
        <f aca="false">IF($B938="","",IF(ISNUMBER($T938),$T938,IF(OR(NOT(ISNUMBER($Q938)),$S938=""),"",IFERROR(IF(ISNUMBER(INDEX(Lists!$AJ$2:$AJ$7,MATCH($S938,Lists!$AI$2:$AI$7,0))),$Q938+INDEX(Lists!$AJ$2:$AJ$7,MATCH($S938,Lists!$AI$2:$AI$7,0)),""),""))))</f>
        <v/>
      </c>
      <c r="AE938" s="104" t="str">
        <f aca="true">IF($B938="","",IF(AND(ISNUMBER($AD938),N($AD938)&lt;TODAY(),$N938&lt;&gt;"Done",$N938&lt;&gt;"Won't Fix",$N938&lt;&gt;"Duplicate"),"Yes","No"))</f>
        <v/>
      </c>
      <c r="AF938" s="101"/>
      <c r="AG938" s="108" t="str">
        <f aca="false">IF($AF938="","",IFERROR(VLOOKUP($AF938,'Application Portfolio'!$A$2:$B$1000,2,FALSE()),"Unknown App ID"))</f>
        <v/>
      </c>
      <c r="AH938" s="108" t="str">
        <f aca="false">IF(OR($B938="",$AF938=""),"",IFERROR(VLOOKUP($AF938,'Application Portfolio'!$A$2:$AB$1000,28,FALSE()),""))</f>
        <v/>
      </c>
    </row>
    <row r="939" customFormat="false" ht="15.75" hidden="false" customHeight="true" outlineLevel="0" collapsed="false">
      <c r="A939" s="100"/>
      <c r="B939" s="101"/>
      <c r="C939" s="101"/>
      <c r="D939" s="101"/>
      <c r="E939" s="101"/>
      <c r="F939" s="102"/>
      <c r="G939" s="102"/>
      <c r="H939" s="102"/>
      <c r="I939" s="102"/>
      <c r="J939" s="102"/>
      <c r="K939" s="102"/>
      <c r="L939" s="103" t="str">
        <f aca="false">IF(OR($B939="", $H939="", $I939="", $J939="", $K939=""),"",ROUND((VLOOKUP($H939,Lists!$E$2:$F$5,2,FALSE())*VLOOKUP($I939,Lists!$H$2:$I$4,2,FALSE())*VLOOKUP($J939,Lists!$K$2:$L$4,2,FALSE()))/VLOOKUP($K939,Lists!$N$2:$O$6,2,FALSE()),2))</f>
        <v/>
      </c>
      <c r="M939" s="104" t="str">
        <f aca="false">IF($B939="","",IF($AC939&lt;&gt;"",$AC939,IF($H939="Critical","P0",IF(NOT(ISNUMBER($L939)),"",IF($L939&gt;=Lists!$AM$2,"P0",IF($L939&gt;=Lists!$AM$3,"P1",IF($L939&gt;=Lists!$AM$4,"P2","P3")))))))</f>
        <v/>
      </c>
      <c r="N939" s="102"/>
      <c r="O939" s="101"/>
      <c r="P939" s="102"/>
      <c r="Q939" s="105"/>
      <c r="R939" s="106" t="str">
        <f aca="true">IF($Q939="","", TODAY()-$Q939)</f>
        <v/>
      </c>
      <c r="S939" s="102"/>
      <c r="T939" s="105"/>
      <c r="U939" s="105"/>
      <c r="V939" s="101"/>
      <c r="W939" s="101"/>
      <c r="X939" s="101"/>
      <c r="Y939" s="96"/>
      <c r="Z939" s="96"/>
      <c r="AA939" s="96"/>
      <c r="AC939" s="102"/>
      <c r="AD939" s="107" t="str">
        <f aca="false">IF($B939="","",IF(ISNUMBER($T939),$T939,IF(OR(NOT(ISNUMBER($Q939)),$S939=""),"",IFERROR(IF(ISNUMBER(INDEX(Lists!$AJ$2:$AJ$7,MATCH($S939,Lists!$AI$2:$AI$7,0))),$Q939+INDEX(Lists!$AJ$2:$AJ$7,MATCH($S939,Lists!$AI$2:$AI$7,0)),""),""))))</f>
        <v/>
      </c>
      <c r="AE939" s="104" t="str">
        <f aca="true">IF($B939="","",IF(AND(ISNUMBER($AD939),N($AD939)&lt;TODAY(),$N939&lt;&gt;"Done",$N939&lt;&gt;"Won't Fix",$N939&lt;&gt;"Duplicate"),"Yes","No"))</f>
        <v/>
      </c>
      <c r="AF939" s="101"/>
      <c r="AG939" s="108" t="str">
        <f aca="false">IF($AF939="","",IFERROR(VLOOKUP($AF939,'Application Portfolio'!$A$2:$B$1000,2,FALSE()),"Unknown App ID"))</f>
        <v/>
      </c>
      <c r="AH939" s="108" t="str">
        <f aca="false">IF(OR($B939="",$AF939=""),"",IFERROR(VLOOKUP($AF939,'Application Portfolio'!$A$2:$AB$1000,28,FALSE()),""))</f>
        <v/>
      </c>
    </row>
    <row r="940" customFormat="false" ht="15.75" hidden="false" customHeight="true" outlineLevel="0" collapsed="false">
      <c r="A940" s="100"/>
      <c r="B940" s="101"/>
      <c r="C940" s="101"/>
      <c r="D940" s="101"/>
      <c r="E940" s="101"/>
      <c r="F940" s="102"/>
      <c r="G940" s="102"/>
      <c r="H940" s="102"/>
      <c r="I940" s="102"/>
      <c r="J940" s="102"/>
      <c r="K940" s="102"/>
      <c r="L940" s="103" t="str">
        <f aca="false">IF(OR($B940="", $H940="", $I940="", $J940="", $K940=""),"",ROUND((VLOOKUP($H940,Lists!$E$2:$F$5,2,FALSE())*VLOOKUP($I940,Lists!$H$2:$I$4,2,FALSE())*VLOOKUP($J940,Lists!$K$2:$L$4,2,FALSE()))/VLOOKUP($K940,Lists!$N$2:$O$6,2,FALSE()),2))</f>
        <v/>
      </c>
      <c r="M940" s="104" t="str">
        <f aca="false">IF($B940="","",IF($AC940&lt;&gt;"",$AC940,IF($H940="Critical","P0",IF(NOT(ISNUMBER($L940)),"",IF($L940&gt;=Lists!$AM$2,"P0",IF($L940&gt;=Lists!$AM$3,"P1",IF($L940&gt;=Lists!$AM$4,"P2","P3")))))))</f>
        <v/>
      </c>
      <c r="N940" s="102"/>
      <c r="O940" s="101"/>
      <c r="P940" s="102"/>
      <c r="Q940" s="105"/>
      <c r="R940" s="106" t="str">
        <f aca="true">IF($Q940="","", TODAY()-$Q940)</f>
        <v/>
      </c>
      <c r="S940" s="102"/>
      <c r="T940" s="105"/>
      <c r="U940" s="105"/>
      <c r="V940" s="101"/>
      <c r="W940" s="101"/>
      <c r="X940" s="101"/>
      <c r="Y940" s="96"/>
      <c r="Z940" s="96"/>
      <c r="AA940" s="96"/>
      <c r="AC940" s="102"/>
      <c r="AD940" s="107" t="str">
        <f aca="false">IF($B940="","",IF(ISNUMBER($T940),$T940,IF(OR(NOT(ISNUMBER($Q940)),$S940=""),"",IFERROR(IF(ISNUMBER(INDEX(Lists!$AJ$2:$AJ$7,MATCH($S940,Lists!$AI$2:$AI$7,0))),$Q940+INDEX(Lists!$AJ$2:$AJ$7,MATCH($S940,Lists!$AI$2:$AI$7,0)),""),""))))</f>
        <v/>
      </c>
      <c r="AE940" s="104" t="str">
        <f aca="true">IF($B940="","",IF(AND(ISNUMBER($AD940),N($AD940)&lt;TODAY(),$N940&lt;&gt;"Done",$N940&lt;&gt;"Won't Fix",$N940&lt;&gt;"Duplicate"),"Yes","No"))</f>
        <v/>
      </c>
      <c r="AF940" s="101"/>
      <c r="AG940" s="108" t="str">
        <f aca="false">IF($AF940="","",IFERROR(VLOOKUP($AF940,'Application Portfolio'!$A$2:$B$1000,2,FALSE()),"Unknown App ID"))</f>
        <v/>
      </c>
      <c r="AH940" s="108" t="str">
        <f aca="false">IF(OR($B940="",$AF940=""),"",IFERROR(VLOOKUP($AF940,'Application Portfolio'!$A$2:$AB$1000,28,FALSE()),""))</f>
        <v/>
      </c>
    </row>
    <row r="941" customFormat="false" ht="15.75" hidden="false" customHeight="true" outlineLevel="0" collapsed="false">
      <c r="A941" s="100"/>
      <c r="B941" s="101"/>
      <c r="C941" s="101"/>
      <c r="D941" s="101"/>
      <c r="E941" s="101"/>
      <c r="F941" s="102"/>
      <c r="G941" s="102"/>
      <c r="H941" s="102"/>
      <c r="I941" s="102"/>
      <c r="J941" s="102"/>
      <c r="K941" s="102"/>
      <c r="L941" s="103" t="str">
        <f aca="false">IF(OR($B941="", $H941="", $I941="", $J941="", $K941=""),"",ROUND((VLOOKUP($H941,Lists!$E$2:$F$5,2,FALSE())*VLOOKUP($I941,Lists!$H$2:$I$4,2,FALSE())*VLOOKUP($J941,Lists!$K$2:$L$4,2,FALSE()))/VLOOKUP($K941,Lists!$N$2:$O$6,2,FALSE()),2))</f>
        <v/>
      </c>
      <c r="M941" s="104" t="str">
        <f aca="false">IF($B941="","",IF($AC941&lt;&gt;"",$AC941,IF($H941="Critical","P0",IF(NOT(ISNUMBER($L941)),"",IF($L941&gt;=Lists!$AM$2,"P0",IF($L941&gt;=Lists!$AM$3,"P1",IF($L941&gt;=Lists!$AM$4,"P2","P3")))))))</f>
        <v/>
      </c>
      <c r="N941" s="102"/>
      <c r="O941" s="101"/>
      <c r="P941" s="102"/>
      <c r="Q941" s="105"/>
      <c r="R941" s="106" t="str">
        <f aca="true">IF($Q941="","", TODAY()-$Q941)</f>
        <v/>
      </c>
      <c r="S941" s="102"/>
      <c r="T941" s="105"/>
      <c r="U941" s="105"/>
      <c r="V941" s="101"/>
      <c r="W941" s="101"/>
      <c r="X941" s="101"/>
      <c r="Y941" s="96"/>
      <c r="Z941" s="96"/>
      <c r="AA941" s="96"/>
      <c r="AC941" s="102"/>
      <c r="AD941" s="107" t="str">
        <f aca="false">IF($B941="","",IF(ISNUMBER($T941),$T941,IF(OR(NOT(ISNUMBER($Q941)),$S941=""),"",IFERROR(IF(ISNUMBER(INDEX(Lists!$AJ$2:$AJ$7,MATCH($S941,Lists!$AI$2:$AI$7,0))),$Q941+INDEX(Lists!$AJ$2:$AJ$7,MATCH($S941,Lists!$AI$2:$AI$7,0)),""),""))))</f>
        <v/>
      </c>
      <c r="AE941" s="104" t="str">
        <f aca="true">IF($B941="","",IF(AND(ISNUMBER($AD941),N($AD941)&lt;TODAY(),$N941&lt;&gt;"Done",$N941&lt;&gt;"Won't Fix",$N941&lt;&gt;"Duplicate"),"Yes","No"))</f>
        <v/>
      </c>
      <c r="AF941" s="101"/>
      <c r="AG941" s="108" t="str">
        <f aca="false">IF($AF941="","",IFERROR(VLOOKUP($AF941,'Application Portfolio'!$A$2:$B$1000,2,FALSE()),"Unknown App ID"))</f>
        <v/>
      </c>
      <c r="AH941" s="108" t="str">
        <f aca="false">IF(OR($B941="",$AF941=""),"",IFERROR(VLOOKUP($AF941,'Application Portfolio'!$A$2:$AB$1000,28,FALSE()),""))</f>
        <v/>
      </c>
    </row>
    <row r="942" customFormat="false" ht="15.75" hidden="false" customHeight="true" outlineLevel="0" collapsed="false">
      <c r="A942" s="100"/>
      <c r="B942" s="101"/>
      <c r="C942" s="101"/>
      <c r="D942" s="101"/>
      <c r="E942" s="101"/>
      <c r="F942" s="102"/>
      <c r="G942" s="102"/>
      <c r="H942" s="102"/>
      <c r="I942" s="102"/>
      <c r="J942" s="102"/>
      <c r="K942" s="102"/>
      <c r="L942" s="103" t="str">
        <f aca="false">IF(OR($B942="", $H942="", $I942="", $J942="", $K942=""),"",ROUND((VLOOKUP($H942,Lists!$E$2:$F$5,2,FALSE())*VLOOKUP($I942,Lists!$H$2:$I$4,2,FALSE())*VLOOKUP($J942,Lists!$K$2:$L$4,2,FALSE()))/VLOOKUP($K942,Lists!$N$2:$O$6,2,FALSE()),2))</f>
        <v/>
      </c>
      <c r="M942" s="104" t="str">
        <f aca="false">IF($B942="","",IF($AC942&lt;&gt;"",$AC942,IF($H942="Critical","P0",IF(NOT(ISNUMBER($L942)),"",IF($L942&gt;=Lists!$AM$2,"P0",IF($L942&gt;=Lists!$AM$3,"P1",IF($L942&gt;=Lists!$AM$4,"P2","P3")))))))</f>
        <v/>
      </c>
      <c r="N942" s="102"/>
      <c r="O942" s="101"/>
      <c r="P942" s="102"/>
      <c r="Q942" s="105"/>
      <c r="R942" s="106" t="str">
        <f aca="true">IF($Q942="","", TODAY()-$Q942)</f>
        <v/>
      </c>
      <c r="S942" s="102"/>
      <c r="T942" s="105"/>
      <c r="U942" s="105"/>
      <c r="V942" s="101"/>
      <c r="W942" s="101"/>
      <c r="X942" s="101"/>
      <c r="Y942" s="96"/>
      <c r="Z942" s="96"/>
      <c r="AA942" s="96"/>
      <c r="AC942" s="102"/>
      <c r="AD942" s="107" t="str">
        <f aca="false">IF($B942="","",IF(ISNUMBER($T942),$T942,IF(OR(NOT(ISNUMBER($Q942)),$S942=""),"",IFERROR(IF(ISNUMBER(INDEX(Lists!$AJ$2:$AJ$7,MATCH($S942,Lists!$AI$2:$AI$7,0))),$Q942+INDEX(Lists!$AJ$2:$AJ$7,MATCH($S942,Lists!$AI$2:$AI$7,0)),""),""))))</f>
        <v/>
      </c>
      <c r="AE942" s="104" t="str">
        <f aca="true">IF($B942="","",IF(AND(ISNUMBER($AD942),N($AD942)&lt;TODAY(),$N942&lt;&gt;"Done",$N942&lt;&gt;"Won't Fix",$N942&lt;&gt;"Duplicate"),"Yes","No"))</f>
        <v/>
      </c>
      <c r="AF942" s="101"/>
      <c r="AG942" s="108" t="str">
        <f aca="false">IF($AF942="","",IFERROR(VLOOKUP($AF942,'Application Portfolio'!$A$2:$B$1000,2,FALSE()),"Unknown App ID"))</f>
        <v/>
      </c>
      <c r="AH942" s="108" t="str">
        <f aca="false">IF(OR($B942="",$AF942=""),"",IFERROR(VLOOKUP($AF942,'Application Portfolio'!$A$2:$AB$1000,28,FALSE()),""))</f>
        <v/>
      </c>
    </row>
    <row r="943" customFormat="false" ht="15.75" hidden="false" customHeight="true" outlineLevel="0" collapsed="false">
      <c r="A943" s="100"/>
      <c r="B943" s="101"/>
      <c r="C943" s="101"/>
      <c r="D943" s="101"/>
      <c r="E943" s="101"/>
      <c r="F943" s="102"/>
      <c r="G943" s="102"/>
      <c r="H943" s="102"/>
      <c r="I943" s="102"/>
      <c r="J943" s="102"/>
      <c r="K943" s="102"/>
      <c r="L943" s="103" t="str">
        <f aca="false">IF(OR($B943="", $H943="", $I943="", $J943="", $K943=""),"",ROUND((VLOOKUP($H943,Lists!$E$2:$F$5,2,FALSE())*VLOOKUP($I943,Lists!$H$2:$I$4,2,FALSE())*VLOOKUP($J943,Lists!$K$2:$L$4,2,FALSE()))/VLOOKUP($K943,Lists!$N$2:$O$6,2,FALSE()),2))</f>
        <v/>
      </c>
      <c r="M943" s="104" t="str">
        <f aca="false">IF($B943="","",IF($AC943&lt;&gt;"",$AC943,IF($H943="Critical","P0",IF(NOT(ISNUMBER($L943)),"",IF($L943&gt;=Lists!$AM$2,"P0",IF($L943&gt;=Lists!$AM$3,"P1",IF($L943&gt;=Lists!$AM$4,"P2","P3")))))))</f>
        <v/>
      </c>
      <c r="N943" s="102"/>
      <c r="O943" s="101"/>
      <c r="P943" s="102"/>
      <c r="Q943" s="105"/>
      <c r="R943" s="106" t="str">
        <f aca="true">IF($Q943="","", TODAY()-$Q943)</f>
        <v/>
      </c>
      <c r="S943" s="102"/>
      <c r="T943" s="105"/>
      <c r="U943" s="105"/>
      <c r="V943" s="101"/>
      <c r="W943" s="101"/>
      <c r="X943" s="101"/>
      <c r="Y943" s="96"/>
      <c r="Z943" s="96"/>
      <c r="AA943" s="96"/>
      <c r="AC943" s="102"/>
      <c r="AD943" s="107" t="str">
        <f aca="false">IF($B943="","",IF(ISNUMBER($T943),$T943,IF(OR(NOT(ISNUMBER($Q943)),$S943=""),"",IFERROR(IF(ISNUMBER(INDEX(Lists!$AJ$2:$AJ$7,MATCH($S943,Lists!$AI$2:$AI$7,0))),$Q943+INDEX(Lists!$AJ$2:$AJ$7,MATCH($S943,Lists!$AI$2:$AI$7,0)),""),""))))</f>
        <v/>
      </c>
      <c r="AE943" s="104" t="str">
        <f aca="true">IF($B943="","",IF(AND(ISNUMBER($AD943),N($AD943)&lt;TODAY(),$N943&lt;&gt;"Done",$N943&lt;&gt;"Won't Fix",$N943&lt;&gt;"Duplicate"),"Yes","No"))</f>
        <v/>
      </c>
      <c r="AF943" s="101"/>
      <c r="AG943" s="108" t="str">
        <f aca="false">IF($AF943="","",IFERROR(VLOOKUP($AF943,'Application Portfolio'!$A$2:$B$1000,2,FALSE()),"Unknown App ID"))</f>
        <v/>
      </c>
      <c r="AH943" s="108" t="str">
        <f aca="false">IF(OR($B943="",$AF943=""),"",IFERROR(VLOOKUP($AF943,'Application Portfolio'!$A$2:$AB$1000,28,FALSE()),""))</f>
        <v/>
      </c>
    </row>
    <row r="944" customFormat="false" ht="15.75" hidden="false" customHeight="true" outlineLevel="0" collapsed="false">
      <c r="A944" s="100"/>
      <c r="B944" s="101"/>
      <c r="C944" s="101"/>
      <c r="D944" s="101"/>
      <c r="E944" s="101"/>
      <c r="F944" s="102"/>
      <c r="G944" s="102"/>
      <c r="H944" s="102"/>
      <c r="I944" s="102"/>
      <c r="J944" s="102"/>
      <c r="K944" s="102"/>
      <c r="L944" s="103" t="str">
        <f aca="false">IF(OR($B944="", $H944="", $I944="", $J944="", $K944=""),"",ROUND((VLOOKUP($H944,Lists!$E$2:$F$5,2,FALSE())*VLOOKUP($I944,Lists!$H$2:$I$4,2,FALSE())*VLOOKUP($J944,Lists!$K$2:$L$4,2,FALSE()))/VLOOKUP($K944,Lists!$N$2:$O$6,2,FALSE()),2))</f>
        <v/>
      </c>
      <c r="M944" s="104" t="str">
        <f aca="false">IF($B944="","",IF($AC944&lt;&gt;"",$AC944,IF($H944="Critical","P0",IF(NOT(ISNUMBER($L944)),"",IF($L944&gt;=Lists!$AM$2,"P0",IF($L944&gt;=Lists!$AM$3,"P1",IF($L944&gt;=Lists!$AM$4,"P2","P3")))))))</f>
        <v/>
      </c>
      <c r="N944" s="102"/>
      <c r="O944" s="101"/>
      <c r="P944" s="102"/>
      <c r="Q944" s="105"/>
      <c r="R944" s="106" t="str">
        <f aca="true">IF($Q944="","", TODAY()-$Q944)</f>
        <v/>
      </c>
      <c r="S944" s="102"/>
      <c r="T944" s="105"/>
      <c r="U944" s="105"/>
      <c r="V944" s="101"/>
      <c r="W944" s="101"/>
      <c r="X944" s="101"/>
      <c r="Y944" s="96"/>
      <c r="Z944" s="96"/>
      <c r="AA944" s="96"/>
      <c r="AC944" s="102"/>
      <c r="AD944" s="107" t="str">
        <f aca="false">IF($B944="","",IF(ISNUMBER($T944),$T944,IF(OR(NOT(ISNUMBER($Q944)),$S944=""),"",IFERROR(IF(ISNUMBER(INDEX(Lists!$AJ$2:$AJ$7,MATCH($S944,Lists!$AI$2:$AI$7,0))),$Q944+INDEX(Lists!$AJ$2:$AJ$7,MATCH($S944,Lists!$AI$2:$AI$7,0)),""),""))))</f>
        <v/>
      </c>
      <c r="AE944" s="104" t="str">
        <f aca="true">IF($B944="","",IF(AND(ISNUMBER($AD944),N($AD944)&lt;TODAY(),$N944&lt;&gt;"Done",$N944&lt;&gt;"Won't Fix",$N944&lt;&gt;"Duplicate"),"Yes","No"))</f>
        <v/>
      </c>
      <c r="AF944" s="101"/>
      <c r="AG944" s="108" t="str">
        <f aca="false">IF($AF944="","",IFERROR(VLOOKUP($AF944,'Application Portfolio'!$A$2:$B$1000,2,FALSE()),"Unknown App ID"))</f>
        <v/>
      </c>
      <c r="AH944" s="108" t="str">
        <f aca="false">IF(OR($B944="",$AF944=""),"",IFERROR(VLOOKUP($AF944,'Application Portfolio'!$A$2:$AB$1000,28,FALSE()),""))</f>
        <v/>
      </c>
    </row>
    <row r="945" customFormat="false" ht="15.75" hidden="false" customHeight="true" outlineLevel="0" collapsed="false">
      <c r="A945" s="100"/>
      <c r="B945" s="101"/>
      <c r="C945" s="101"/>
      <c r="D945" s="101"/>
      <c r="E945" s="101"/>
      <c r="F945" s="102"/>
      <c r="G945" s="102"/>
      <c r="H945" s="102"/>
      <c r="I945" s="102"/>
      <c r="J945" s="102"/>
      <c r="K945" s="102"/>
      <c r="L945" s="103" t="str">
        <f aca="false">IF(OR($B945="", $H945="", $I945="", $J945="", $K945=""),"",ROUND((VLOOKUP($H945,Lists!$E$2:$F$5,2,FALSE())*VLOOKUP($I945,Lists!$H$2:$I$4,2,FALSE())*VLOOKUP($J945,Lists!$K$2:$L$4,2,FALSE()))/VLOOKUP($K945,Lists!$N$2:$O$6,2,FALSE()),2))</f>
        <v/>
      </c>
      <c r="M945" s="104" t="str">
        <f aca="false">IF($B945="","",IF($AC945&lt;&gt;"",$AC945,IF($H945="Critical","P0",IF(NOT(ISNUMBER($L945)),"",IF($L945&gt;=Lists!$AM$2,"P0",IF($L945&gt;=Lists!$AM$3,"P1",IF($L945&gt;=Lists!$AM$4,"P2","P3")))))))</f>
        <v/>
      </c>
      <c r="N945" s="102"/>
      <c r="O945" s="101"/>
      <c r="P945" s="102"/>
      <c r="Q945" s="105"/>
      <c r="R945" s="106" t="str">
        <f aca="true">IF($Q945="","", TODAY()-$Q945)</f>
        <v/>
      </c>
      <c r="S945" s="102"/>
      <c r="T945" s="105"/>
      <c r="U945" s="105"/>
      <c r="V945" s="101"/>
      <c r="W945" s="101"/>
      <c r="X945" s="101"/>
      <c r="Y945" s="96"/>
      <c r="Z945" s="96"/>
      <c r="AA945" s="96"/>
      <c r="AC945" s="102"/>
      <c r="AD945" s="107" t="str">
        <f aca="false">IF($B945="","",IF(ISNUMBER($T945),$T945,IF(OR(NOT(ISNUMBER($Q945)),$S945=""),"",IFERROR(IF(ISNUMBER(INDEX(Lists!$AJ$2:$AJ$7,MATCH($S945,Lists!$AI$2:$AI$7,0))),$Q945+INDEX(Lists!$AJ$2:$AJ$7,MATCH($S945,Lists!$AI$2:$AI$7,0)),""),""))))</f>
        <v/>
      </c>
      <c r="AE945" s="104" t="str">
        <f aca="true">IF($B945="","",IF(AND(ISNUMBER($AD945),N($AD945)&lt;TODAY(),$N945&lt;&gt;"Done",$N945&lt;&gt;"Won't Fix",$N945&lt;&gt;"Duplicate"),"Yes","No"))</f>
        <v/>
      </c>
      <c r="AF945" s="101"/>
      <c r="AG945" s="108" t="str">
        <f aca="false">IF($AF945="","",IFERROR(VLOOKUP($AF945,'Application Portfolio'!$A$2:$B$1000,2,FALSE()),"Unknown App ID"))</f>
        <v/>
      </c>
      <c r="AH945" s="108" t="str">
        <f aca="false">IF(OR($B945="",$AF945=""),"",IFERROR(VLOOKUP($AF945,'Application Portfolio'!$A$2:$AB$1000,28,FALSE()),""))</f>
        <v/>
      </c>
    </row>
    <row r="946" customFormat="false" ht="15.75" hidden="false" customHeight="true" outlineLevel="0" collapsed="false">
      <c r="A946" s="100"/>
      <c r="B946" s="101"/>
      <c r="C946" s="101"/>
      <c r="D946" s="101"/>
      <c r="E946" s="101"/>
      <c r="F946" s="102"/>
      <c r="G946" s="102"/>
      <c r="H946" s="102"/>
      <c r="I946" s="102"/>
      <c r="J946" s="102"/>
      <c r="K946" s="102"/>
      <c r="L946" s="103" t="str">
        <f aca="false">IF(OR($B946="", $H946="", $I946="", $J946="", $K946=""),"",ROUND((VLOOKUP($H946,Lists!$E$2:$F$5,2,FALSE())*VLOOKUP($I946,Lists!$H$2:$I$4,2,FALSE())*VLOOKUP($J946,Lists!$K$2:$L$4,2,FALSE()))/VLOOKUP($K946,Lists!$N$2:$O$6,2,FALSE()),2))</f>
        <v/>
      </c>
      <c r="M946" s="104" t="str">
        <f aca="false">IF($B946="","",IF($AC946&lt;&gt;"",$AC946,IF($H946="Critical","P0",IF(NOT(ISNUMBER($L946)),"",IF($L946&gt;=Lists!$AM$2,"P0",IF($L946&gt;=Lists!$AM$3,"P1",IF($L946&gt;=Lists!$AM$4,"P2","P3")))))))</f>
        <v/>
      </c>
      <c r="N946" s="102"/>
      <c r="O946" s="101"/>
      <c r="P946" s="102"/>
      <c r="Q946" s="105"/>
      <c r="R946" s="106" t="str">
        <f aca="true">IF($Q946="","", TODAY()-$Q946)</f>
        <v/>
      </c>
      <c r="S946" s="102"/>
      <c r="T946" s="105"/>
      <c r="U946" s="105"/>
      <c r="V946" s="101"/>
      <c r="W946" s="101"/>
      <c r="X946" s="101"/>
      <c r="Y946" s="96"/>
      <c r="Z946" s="96"/>
      <c r="AA946" s="96"/>
      <c r="AC946" s="102"/>
      <c r="AD946" s="107" t="str">
        <f aca="false">IF($B946="","",IF(ISNUMBER($T946),$T946,IF(OR(NOT(ISNUMBER($Q946)),$S946=""),"",IFERROR(IF(ISNUMBER(INDEX(Lists!$AJ$2:$AJ$7,MATCH($S946,Lists!$AI$2:$AI$7,0))),$Q946+INDEX(Lists!$AJ$2:$AJ$7,MATCH($S946,Lists!$AI$2:$AI$7,0)),""),""))))</f>
        <v/>
      </c>
      <c r="AE946" s="104" t="str">
        <f aca="true">IF($B946="","",IF(AND(ISNUMBER($AD946),N($AD946)&lt;TODAY(),$N946&lt;&gt;"Done",$N946&lt;&gt;"Won't Fix",$N946&lt;&gt;"Duplicate"),"Yes","No"))</f>
        <v/>
      </c>
      <c r="AF946" s="101"/>
      <c r="AG946" s="108" t="str">
        <f aca="false">IF($AF946="","",IFERROR(VLOOKUP($AF946,'Application Portfolio'!$A$2:$B$1000,2,FALSE()),"Unknown App ID"))</f>
        <v/>
      </c>
      <c r="AH946" s="108" t="str">
        <f aca="false">IF(OR($B946="",$AF946=""),"",IFERROR(VLOOKUP($AF946,'Application Portfolio'!$A$2:$AB$1000,28,FALSE()),""))</f>
        <v/>
      </c>
    </row>
    <row r="947" customFormat="false" ht="15.75" hidden="false" customHeight="true" outlineLevel="0" collapsed="false">
      <c r="A947" s="100"/>
      <c r="B947" s="101"/>
      <c r="C947" s="101"/>
      <c r="D947" s="101"/>
      <c r="E947" s="101"/>
      <c r="F947" s="102"/>
      <c r="G947" s="102"/>
      <c r="H947" s="102"/>
      <c r="I947" s="102"/>
      <c r="J947" s="102"/>
      <c r="K947" s="102"/>
      <c r="L947" s="103" t="str">
        <f aca="false">IF(OR($B947="", $H947="", $I947="", $J947="", $K947=""),"",ROUND((VLOOKUP($H947,Lists!$E$2:$F$5,2,FALSE())*VLOOKUP($I947,Lists!$H$2:$I$4,2,FALSE())*VLOOKUP($J947,Lists!$K$2:$L$4,2,FALSE()))/VLOOKUP($K947,Lists!$N$2:$O$6,2,FALSE()),2))</f>
        <v/>
      </c>
      <c r="M947" s="104" t="str">
        <f aca="false">IF($B947="","",IF($AC947&lt;&gt;"",$AC947,IF($H947="Critical","P0",IF(NOT(ISNUMBER($L947)),"",IF($L947&gt;=Lists!$AM$2,"P0",IF($L947&gt;=Lists!$AM$3,"P1",IF($L947&gt;=Lists!$AM$4,"P2","P3")))))))</f>
        <v/>
      </c>
      <c r="N947" s="102"/>
      <c r="O947" s="101"/>
      <c r="P947" s="102"/>
      <c r="Q947" s="105"/>
      <c r="R947" s="106" t="str">
        <f aca="true">IF($Q947="","", TODAY()-$Q947)</f>
        <v/>
      </c>
      <c r="S947" s="102"/>
      <c r="T947" s="105"/>
      <c r="U947" s="105"/>
      <c r="V947" s="101"/>
      <c r="W947" s="101"/>
      <c r="X947" s="101"/>
      <c r="Y947" s="96"/>
      <c r="Z947" s="96"/>
      <c r="AA947" s="96"/>
      <c r="AC947" s="102"/>
      <c r="AD947" s="107" t="str">
        <f aca="false">IF($B947="","",IF(ISNUMBER($T947),$T947,IF(OR(NOT(ISNUMBER($Q947)),$S947=""),"",IFERROR(IF(ISNUMBER(INDEX(Lists!$AJ$2:$AJ$7,MATCH($S947,Lists!$AI$2:$AI$7,0))),$Q947+INDEX(Lists!$AJ$2:$AJ$7,MATCH($S947,Lists!$AI$2:$AI$7,0)),""),""))))</f>
        <v/>
      </c>
      <c r="AE947" s="104" t="str">
        <f aca="true">IF($B947="","",IF(AND(ISNUMBER($AD947),N($AD947)&lt;TODAY(),$N947&lt;&gt;"Done",$N947&lt;&gt;"Won't Fix",$N947&lt;&gt;"Duplicate"),"Yes","No"))</f>
        <v/>
      </c>
      <c r="AF947" s="101"/>
      <c r="AG947" s="108" t="str">
        <f aca="false">IF($AF947="","",IFERROR(VLOOKUP($AF947,'Application Portfolio'!$A$2:$B$1000,2,FALSE()),"Unknown App ID"))</f>
        <v/>
      </c>
      <c r="AH947" s="108" t="str">
        <f aca="false">IF(OR($B947="",$AF947=""),"",IFERROR(VLOOKUP($AF947,'Application Portfolio'!$A$2:$AB$1000,28,FALSE()),""))</f>
        <v/>
      </c>
    </row>
    <row r="948" customFormat="false" ht="15.75" hidden="false" customHeight="true" outlineLevel="0" collapsed="false">
      <c r="A948" s="100"/>
      <c r="B948" s="101"/>
      <c r="C948" s="101"/>
      <c r="D948" s="101"/>
      <c r="E948" s="101"/>
      <c r="F948" s="102"/>
      <c r="G948" s="102"/>
      <c r="H948" s="102"/>
      <c r="I948" s="102"/>
      <c r="J948" s="102"/>
      <c r="K948" s="102"/>
      <c r="L948" s="103" t="str">
        <f aca="false">IF(OR($B948="", $H948="", $I948="", $J948="", $K948=""),"",ROUND((VLOOKUP($H948,Lists!$E$2:$F$5,2,FALSE())*VLOOKUP($I948,Lists!$H$2:$I$4,2,FALSE())*VLOOKUP($J948,Lists!$K$2:$L$4,2,FALSE()))/VLOOKUP($K948,Lists!$N$2:$O$6,2,FALSE()),2))</f>
        <v/>
      </c>
      <c r="M948" s="104" t="str">
        <f aca="false">IF($B948="","",IF($AC948&lt;&gt;"",$AC948,IF($H948="Critical","P0",IF(NOT(ISNUMBER($L948)),"",IF($L948&gt;=Lists!$AM$2,"P0",IF($L948&gt;=Lists!$AM$3,"P1",IF($L948&gt;=Lists!$AM$4,"P2","P3")))))))</f>
        <v/>
      </c>
      <c r="N948" s="102"/>
      <c r="O948" s="101"/>
      <c r="P948" s="102"/>
      <c r="Q948" s="105"/>
      <c r="R948" s="106" t="str">
        <f aca="true">IF($Q948="","", TODAY()-$Q948)</f>
        <v/>
      </c>
      <c r="S948" s="102"/>
      <c r="T948" s="105"/>
      <c r="U948" s="105"/>
      <c r="V948" s="101"/>
      <c r="W948" s="101"/>
      <c r="X948" s="101"/>
      <c r="Y948" s="96"/>
      <c r="Z948" s="96"/>
      <c r="AA948" s="96"/>
      <c r="AC948" s="102"/>
      <c r="AD948" s="107" t="str">
        <f aca="false">IF($B948="","",IF(ISNUMBER($T948),$T948,IF(OR(NOT(ISNUMBER($Q948)),$S948=""),"",IFERROR(IF(ISNUMBER(INDEX(Lists!$AJ$2:$AJ$7,MATCH($S948,Lists!$AI$2:$AI$7,0))),$Q948+INDEX(Lists!$AJ$2:$AJ$7,MATCH($S948,Lists!$AI$2:$AI$7,0)),""),""))))</f>
        <v/>
      </c>
      <c r="AE948" s="104" t="str">
        <f aca="true">IF($B948="","",IF(AND(ISNUMBER($AD948),N($AD948)&lt;TODAY(),$N948&lt;&gt;"Done",$N948&lt;&gt;"Won't Fix",$N948&lt;&gt;"Duplicate"),"Yes","No"))</f>
        <v/>
      </c>
      <c r="AF948" s="101"/>
      <c r="AG948" s="108" t="str">
        <f aca="false">IF($AF948="","",IFERROR(VLOOKUP($AF948,'Application Portfolio'!$A$2:$B$1000,2,FALSE()),"Unknown App ID"))</f>
        <v/>
      </c>
      <c r="AH948" s="108" t="str">
        <f aca="false">IF(OR($B948="",$AF948=""),"",IFERROR(VLOOKUP($AF948,'Application Portfolio'!$A$2:$AB$1000,28,FALSE()),""))</f>
        <v/>
      </c>
    </row>
    <row r="949" customFormat="false" ht="15.75" hidden="false" customHeight="true" outlineLevel="0" collapsed="false">
      <c r="A949" s="100"/>
      <c r="B949" s="101"/>
      <c r="C949" s="101"/>
      <c r="D949" s="101"/>
      <c r="E949" s="101"/>
      <c r="F949" s="102"/>
      <c r="G949" s="102"/>
      <c r="H949" s="102"/>
      <c r="I949" s="102"/>
      <c r="J949" s="102"/>
      <c r="K949" s="102"/>
      <c r="L949" s="103" t="str">
        <f aca="false">IF(OR($B949="", $H949="", $I949="", $J949="", $K949=""),"",ROUND((VLOOKUP($H949,Lists!$E$2:$F$5,2,FALSE())*VLOOKUP($I949,Lists!$H$2:$I$4,2,FALSE())*VLOOKUP($J949,Lists!$K$2:$L$4,2,FALSE()))/VLOOKUP($K949,Lists!$N$2:$O$6,2,FALSE()),2))</f>
        <v/>
      </c>
      <c r="M949" s="104" t="str">
        <f aca="false">IF($B949="","",IF($AC949&lt;&gt;"",$AC949,IF($H949="Critical","P0",IF(NOT(ISNUMBER($L949)),"",IF($L949&gt;=Lists!$AM$2,"P0",IF($L949&gt;=Lists!$AM$3,"P1",IF($L949&gt;=Lists!$AM$4,"P2","P3")))))))</f>
        <v/>
      </c>
      <c r="N949" s="102"/>
      <c r="O949" s="101"/>
      <c r="P949" s="102"/>
      <c r="Q949" s="105"/>
      <c r="R949" s="106" t="str">
        <f aca="true">IF($Q949="","", TODAY()-$Q949)</f>
        <v/>
      </c>
      <c r="S949" s="102"/>
      <c r="T949" s="105"/>
      <c r="U949" s="105"/>
      <c r="V949" s="101"/>
      <c r="W949" s="101"/>
      <c r="X949" s="101"/>
      <c r="Y949" s="96"/>
      <c r="Z949" s="96"/>
      <c r="AA949" s="96"/>
      <c r="AC949" s="102"/>
      <c r="AD949" s="107" t="str">
        <f aca="false">IF($B949="","",IF(ISNUMBER($T949),$T949,IF(OR(NOT(ISNUMBER($Q949)),$S949=""),"",IFERROR(IF(ISNUMBER(INDEX(Lists!$AJ$2:$AJ$7,MATCH($S949,Lists!$AI$2:$AI$7,0))),$Q949+INDEX(Lists!$AJ$2:$AJ$7,MATCH($S949,Lists!$AI$2:$AI$7,0)),""),""))))</f>
        <v/>
      </c>
      <c r="AE949" s="104" t="str">
        <f aca="true">IF($B949="","",IF(AND(ISNUMBER($AD949),N($AD949)&lt;TODAY(),$N949&lt;&gt;"Done",$N949&lt;&gt;"Won't Fix",$N949&lt;&gt;"Duplicate"),"Yes","No"))</f>
        <v/>
      </c>
      <c r="AF949" s="101"/>
      <c r="AG949" s="108" t="str">
        <f aca="false">IF($AF949="","",IFERROR(VLOOKUP($AF949,'Application Portfolio'!$A$2:$B$1000,2,FALSE()),"Unknown App ID"))</f>
        <v/>
      </c>
      <c r="AH949" s="108" t="str">
        <f aca="false">IF(OR($B949="",$AF949=""),"",IFERROR(VLOOKUP($AF949,'Application Portfolio'!$A$2:$AB$1000,28,FALSE()),""))</f>
        <v/>
      </c>
    </row>
    <row r="950" customFormat="false" ht="15.75" hidden="false" customHeight="true" outlineLevel="0" collapsed="false">
      <c r="A950" s="100"/>
      <c r="B950" s="101"/>
      <c r="C950" s="101"/>
      <c r="D950" s="101"/>
      <c r="E950" s="101"/>
      <c r="F950" s="102"/>
      <c r="G950" s="102"/>
      <c r="H950" s="102"/>
      <c r="I950" s="102"/>
      <c r="J950" s="102"/>
      <c r="K950" s="102"/>
      <c r="L950" s="103" t="str">
        <f aca="false">IF(OR($B950="", $H950="", $I950="", $J950="", $K950=""),"",ROUND((VLOOKUP($H950,Lists!$E$2:$F$5,2,FALSE())*VLOOKUP($I950,Lists!$H$2:$I$4,2,FALSE())*VLOOKUP($J950,Lists!$K$2:$L$4,2,FALSE()))/VLOOKUP($K950,Lists!$N$2:$O$6,2,FALSE()),2))</f>
        <v/>
      </c>
      <c r="M950" s="104" t="str">
        <f aca="false">IF($B950="","",IF($AC950&lt;&gt;"",$AC950,IF($H950="Critical","P0",IF(NOT(ISNUMBER($L950)),"",IF($L950&gt;=Lists!$AM$2,"P0",IF($L950&gt;=Lists!$AM$3,"P1",IF($L950&gt;=Lists!$AM$4,"P2","P3")))))))</f>
        <v/>
      </c>
      <c r="N950" s="102"/>
      <c r="O950" s="101"/>
      <c r="P950" s="102"/>
      <c r="Q950" s="105"/>
      <c r="R950" s="106" t="str">
        <f aca="true">IF($Q950="","", TODAY()-$Q950)</f>
        <v/>
      </c>
      <c r="S950" s="102"/>
      <c r="T950" s="105"/>
      <c r="U950" s="105"/>
      <c r="V950" s="101"/>
      <c r="W950" s="101"/>
      <c r="X950" s="101"/>
      <c r="Y950" s="96"/>
      <c r="Z950" s="96"/>
      <c r="AA950" s="96"/>
      <c r="AC950" s="102"/>
      <c r="AD950" s="107" t="str">
        <f aca="false">IF($B950="","",IF(ISNUMBER($T950),$T950,IF(OR(NOT(ISNUMBER($Q950)),$S950=""),"",IFERROR(IF(ISNUMBER(INDEX(Lists!$AJ$2:$AJ$7,MATCH($S950,Lists!$AI$2:$AI$7,0))),$Q950+INDEX(Lists!$AJ$2:$AJ$7,MATCH($S950,Lists!$AI$2:$AI$7,0)),""),""))))</f>
        <v/>
      </c>
      <c r="AE950" s="104" t="str">
        <f aca="true">IF($B950="","",IF(AND(ISNUMBER($AD950),N($AD950)&lt;TODAY(),$N950&lt;&gt;"Done",$N950&lt;&gt;"Won't Fix",$N950&lt;&gt;"Duplicate"),"Yes","No"))</f>
        <v/>
      </c>
      <c r="AF950" s="101"/>
      <c r="AG950" s="108" t="str">
        <f aca="false">IF($AF950="","",IFERROR(VLOOKUP($AF950,'Application Portfolio'!$A$2:$B$1000,2,FALSE()),"Unknown App ID"))</f>
        <v/>
      </c>
      <c r="AH950" s="108" t="str">
        <f aca="false">IF(OR($B950="",$AF950=""),"",IFERROR(VLOOKUP($AF950,'Application Portfolio'!$A$2:$AB$1000,28,FALSE()),""))</f>
        <v/>
      </c>
    </row>
    <row r="951" customFormat="false" ht="15.75" hidden="false" customHeight="true" outlineLevel="0" collapsed="false">
      <c r="A951" s="100"/>
      <c r="B951" s="101"/>
      <c r="C951" s="101"/>
      <c r="D951" s="101"/>
      <c r="E951" s="101"/>
      <c r="F951" s="102"/>
      <c r="G951" s="102"/>
      <c r="H951" s="102"/>
      <c r="I951" s="102"/>
      <c r="J951" s="102"/>
      <c r="K951" s="102"/>
      <c r="L951" s="103" t="str">
        <f aca="false">IF(OR($B951="", $H951="", $I951="", $J951="", $K951=""),"",ROUND((VLOOKUP($H951,Lists!$E$2:$F$5,2,FALSE())*VLOOKUP($I951,Lists!$H$2:$I$4,2,FALSE())*VLOOKUP($J951,Lists!$K$2:$L$4,2,FALSE()))/VLOOKUP($K951,Lists!$N$2:$O$6,2,FALSE()),2))</f>
        <v/>
      </c>
      <c r="M951" s="104" t="str">
        <f aca="false">IF($B951="","",IF($AC951&lt;&gt;"",$AC951,IF($H951="Critical","P0",IF(NOT(ISNUMBER($L951)),"",IF($L951&gt;=Lists!$AM$2,"P0",IF($L951&gt;=Lists!$AM$3,"P1",IF($L951&gt;=Lists!$AM$4,"P2","P3")))))))</f>
        <v/>
      </c>
      <c r="N951" s="102"/>
      <c r="O951" s="101"/>
      <c r="P951" s="102"/>
      <c r="Q951" s="105"/>
      <c r="R951" s="106" t="str">
        <f aca="true">IF($Q951="","", TODAY()-$Q951)</f>
        <v/>
      </c>
      <c r="S951" s="102"/>
      <c r="T951" s="105"/>
      <c r="U951" s="105"/>
      <c r="V951" s="101"/>
      <c r="W951" s="101"/>
      <c r="X951" s="101"/>
      <c r="Y951" s="96"/>
      <c r="Z951" s="96"/>
      <c r="AA951" s="96"/>
      <c r="AC951" s="102"/>
      <c r="AD951" s="107" t="str">
        <f aca="false">IF($B951="","",IF(ISNUMBER($T951),$T951,IF(OR(NOT(ISNUMBER($Q951)),$S951=""),"",IFERROR(IF(ISNUMBER(INDEX(Lists!$AJ$2:$AJ$7,MATCH($S951,Lists!$AI$2:$AI$7,0))),$Q951+INDEX(Lists!$AJ$2:$AJ$7,MATCH($S951,Lists!$AI$2:$AI$7,0)),""),""))))</f>
        <v/>
      </c>
      <c r="AE951" s="104" t="str">
        <f aca="true">IF($B951="","",IF(AND(ISNUMBER($AD951),N($AD951)&lt;TODAY(),$N951&lt;&gt;"Done",$N951&lt;&gt;"Won't Fix",$N951&lt;&gt;"Duplicate"),"Yes","No"))</f>
        <v/>
      </c>
      <c r="AF951" s="101"/>
      <c r="AG951" s="108" t="str">
        <f aca="false">IF($AF951="","",IFERROR(VLOOKUP($AF951,'Application Portfolio'!$A$2:$B$1000,2,FALSE()),"Unknown App ID"))</f>
        <v/>
      </c>
      <c r="AH951" s="108" t="str">
        <f aca="false">IF(OR($B951="",$AF951=""),"",IFERROR(VLOOKUP($AF951,'Application Portfolio'!$A$2:$AB$1000,28,FALSE()),""))</f>
        <v/>
      </c>
    </row>
    <row r="952" customFormat="false" ht="15.75" hidden="false" customHeight="true" outlineLevel="0" collapsed="false">
      <c r="A952" s="100"/>
      <c r="B952" s="101"/>
      <c r="C952" s="101"/>
      <c r="D952" s="101"/>
      <c r="E952" s="101"/>
      <c r="F952" s="102"/>
      <c r="G952" s="102"/>
      <c r="H952" s="102"/>
      <c r="I952" s="102"/>
      <c r="J952" s="102"/>
      <c r="K952" s="102"/>
      <c r="L952" s="103" t="str">
        <f aca="false">IF(OR($B952="", $H952="", $I952="", $J952="", $K952=""),"",ROUND((VLOOKUP($H952,Lists!$E$2:$F$5,2,FALSE())*VLOOKUP($I952,Lists!$H$2:$I$4,2,FALSE())*VLOOKUP($J952,Lists!$K$2:$L$4,2,FALSE()))/VLOOKUP($K952,Lists!$N$2:$O$6,2,FALSE()),2))</f>
        <v/>
      </c>
      <c r="M952" s="104" t="str">
        <f aca="false">IF($B952="","",IF($AC952&lt;&gt;"",$AC952,IF($H952="Critical","P0",IF(NOT(ISNUMBER($L952)),"",IF($L952&gt;=Lists!$AM$2,"P0",IF($L952&gt;=Lists!$AM$3,"P1",IF($L952&gt;=Lists!$AM$4,"P2","P3")))))))</f>
        <v/>
      </c>
      <c r="N952" s="102"/>
      <c r="O952" s="101"/>
      <c r="P952" s="102"/>
      <c r="Q952" s="105"/>
      <c r="R952" s="106" t="str">
        <f aca="true">IF($Q952="","", TODAY()-$Q952)</f>
        <v/>
      </c>
      <c r="S952" s="102"/>
      <c r="T952" s="105"/>
      <c r="U952" s="105"/>
      <c r="V952" s="101"/>
      <c r="W952" s="101"/>
      <c r="X952" s="101"/>
      <c r="Y952" s="96"/>
      <c r="Z952" s="96"/>
      <c r="AA952" s="96"/>
      <c r="AC952" s="102"/>
      <c r="AD952" s="107" t="str">
        <f aca="false">IF($B952="","",IF(ISNUMBER($T952),$T952,IF(OR(NOT(ISNUMBER($Q952)),$S952=""),"",IFERROR(IF(ISNUMBER(INDEX(Lists!$AJ$2:$AJ$7,MATCH($S952,Lists!$AI$2:$AI$7,0))),$Q952+INDEX(Lists!$AJ$2:$AJ$7,MATCH($S952,Lists!$AI$2:$AI$7,0)),""),""))))</f>
        <v/>
      </c>
      <c r="AE952" s="104" t="str">
        <f aca="true">IF($B952="","",IF(AND(ISNUMBER($AD952),N($AD952)&lt;TODAY(),$N952&lt;&gt;"Done",$N952&lt;&gt;"Won't Fix",$N952&lt;&gt;"Duplicate"),"Yes","No"))</f>
        <v/>
      </c>
      <c r="AF952" s="101"/>
      <c r="AG952" s="108" t="str">
        <f aca="false">IF($AF952="","",IFERROR(VLOOKUP($AF952,'Application Portfolio'!$A$2:$B$1000,2,FALSE()),"Unknown App ID"))</f>
        <v/>
      </c>
      <c r="AH952" s="108" t="str">
        <f aca="false">IF(OR($B952="",$AF952=""),"",IFERROR(VLOOKUP($AF952,'Application Portfolio'!$A$2:$AB$1000,28,FALSE()),""))</f>
        <v/>
      </c>
    </row>
    <row r="953" customFormat="false" ht="15.75" hidden="false" customHeight="true" outlineLevel="0" collapsed="false">
      <c r="A953" s="100"/>
      <c r="B953" s="101"/>
      <c r="C953" s="101"/>
      <c r="D953" s="101"/>
      <c r="E953" s="101"/>
      <c r="F953" s="102"/>
      <c r="G953" s="102"/>
      <c r="H953" s="102"/>
      <c r="I953" s="102"/>
      <c r="J953" s="102"/>
      <c r="K953" s="102"/>
      <c r="L953" s="103" t="str">
        <f aca="false">IF(OR($B953="", $H953="", $I953="", $J953="", $K953=""),"",ROUND((VLOOKUP($H953,Lists!$E$2:$F$5,2,FALSE())*VLOOKUP($I953,Lists!$H$2:$I$4,2,FALSE())*VLOOKUP($J953,Lists!$K$2:$L$4,2,FALSE()))/VLOOKUP($K953,Lists!$N$2:$O$6,2,FALSE()),2))</f>
        <v/>
      </c>
      <c r="M953" s="104" t="str">
        <f aca="false">IF($B953="","",IF($AC953&lt;&gt;"",$AC953,IF($H953="Critical","P0",IF(NOT(ISNUMBER($L953)),"",IF($L953&gt;=Lists!$AM$2,"P0",IF($L953&gt;=Lists!$AM$3,"P1",IF($L953&gt;=Lists!$AM$4,"P2","P3")))))))</f>
        <v/>
      </c>
      <c r="N953" s="102"/>
      <c r="O953" s="101"/>
      <c r="P953" s="102"/>
      <c r="Q953" s="105"/>
      <c r="R953" s="106" t="str">
        <f aca="true">IF($Q953="","", TODAY()-$Q953)</f>
        <v/>
      </c>
      <c r="S953" s="102"/>
      <c r="T953" s="105"/>
      <c r="U953" s="105"/>
      <c r="V953" s="101"/>
      <c r="W953" s="101"/>
      <c r="X953" s="101"/>
      <c r="Y953" s="96"/>
      <c r="Z953" s="96"/>
      <c r="AA953" s="96"/>
      <c r="AC953" s="102"/>
      <c r="AD953" s="107" t="str">
        <f aca="false">IF($B953="","",IF(ISNUMBER($T953),$T953,IF(OR(NOT(ISNUMBER($Q953)),$S953=""),"",IFERROR(IF(ISNUMBER(INDEX(Lists!$AJ$2:$AJ$7,MATCH($S953,Lists!$AI$2:$AI$7,0))),$Q953+INDEX(Lists!$AJ$2:$AJ$7,MATCH($S953,Lists!$AI$2:$AI$7,0)),""),""))))</f>
        <v/>
      </c>
      <c r="AE953" s="104" t="str">
        <f aca="true">IF($B953="","",IF(AND(ISNUMBER($AD953),N($AD953)&lt;TODAY(),$N953&lt;&gt;"Done",$N953&lt;&gt;"Won't Fix",$N953&lt;&gt;"Duplicate"),"Yes","No"))</f>
        <v/>
      </c>
      <c r="AF953" s="101"/>
      <c r="AG953" s="108" t="str">
        <f aca="false">IF($AF953="","",IFERROR(VLOOKUP($AF953,'Application Portfolio'!$A$2:$B$1000,2,FALSE()),"Unknown App ID"))</f>
        <v/>
      </c>
      <c r="AH953" s="108" t="str">
        <f aca="false">IF(OR($B953="",$AF953=""),"",IFERROR(VLOOKUP($AF953,'Application Portfolio'!$A$2:$AB$1000,28,FALSE()),""))</f>
        <v/>
      </c>
    </row>
    <row r="954" customFormat="false" ht="15.75" hidden="false" customHeight="true" outlineLevel="0" collapsed="false">
      <c r="A954" s="100"/>
      <c r="B954" s="101"/>
      <c r="C954" s="101"/>
      <c r="D954" s="101"/>
      <c r="E954" s="101"/>
      <c r="F954" s="102"/>
      <c r="G954" s="102"/>
      <c r="H954" s="102"/>
      <c r="I954" s="102"/>
      <c r="J954" s="102"/>
      <c r="K954" s="102"/>
      <c r="L954" s="103" t="str">
        <f aca="false">IF(OR($B954="", $H954="", $I954="", $J954="", $K954=""),"",ROUND((VLOOKUP($H954,Lists!$E$2:$F$5,2,FALSE())*VLOOKUP($I954,Lists!$H$2:$I$4,2,FALSE())*VLOOKUP($J954,Lists!$K$2:$L$4,2,FALSE()))/VLOOKUP($K954,Lists!$N$2:$O$6,2,FALSE()),2))</f>
        <v/>
      </c>
      <c r="M954" s="104" t="str">
        <f aca="false">IF($B954="","",IF($AC954&lt;&gt;"",$AC954,IF($H954="Critical","P0",IF(NOT(ISNUMBER($L954)),"",IF($L954&gt;=Lists!$AM$2,"P0",IF($L954&gt;=Lists!$AM$3,"P1",IF($L954&gt;=Lists!$AM$4,"P2","P3")))))))</f>
        <v/>
      </c>
      <c r="N954" s="102"/>
      <c r="O954" s="101"/>
      <c r="P954" s="102"/>
      <c r="Q954" s="105"/>
      <c r="R954" s="106" t="str">
        <f aca="true">IF($Q954="","", TODAY()-$Q954)</f>
        <v/>
      </c>
      <c r="S954" s="102"/>
      <c r="T954" s="105"/>
      <c r="U954" s="105"/>
      <c r="V954" s="101"/>
      <c r="W954" s="101"/>
      <c r="X954" s="101"/>
      <c r="Y954" s="96"/>
      <c r="Z954" s="96"/>
      <c r="AA954" s="96"/>
      <c r="AC954" s="102"/>
      <c r="AD954" s="107" t="str">
        <f aca="false">IF($B954="","",IF(ISNUMBER($T954),$T954,IF(OR(NOT(ISNUMBER($Q954)),$S954=""),"",IFERROR(IF(ISNUMBER(INDEX(Lists!$AJ$2:$AJ$7,MATCH($S954,Lists!$AI$2:$AI$7,0))),$Q954+INDEX(Lists!$AJ$2:$AJ$7,MATCH($S954,Lists!$AI$2:$AI$7,0)),""),""))))</f>
        <v/>
      </c>
      <c r="AE954" s="104" t="str">
        <f aca="true">IF($B954="","",IF(AND(ISNUMBER($AD954),N($AD954)&lt;TODAY(),$N954&lt;&gt;"Done",$N954&lt;&gt;"Won't Fix",$N954&lt;&gt;"Duplicate"),"Yes","No"))</f>
        <v/>
      </c>
      <c r="AF954" s="101"/>
      <c r="AG954" s="108" t="str">
        <f aca="false">IF($AF954="","",IFERROR(VLOOKUP($AF954,'Application Portfolio'!$A$2:$B$1000,2,FALSE()),"Unknown App ID"))</f>
        <v/>
      </c>
      <c r="AH954" s="108" t="str">
        <f aca="false">IF(OR($B954="",$AF954=""),"",IFERROR(VLOOKUP($AF954,'Application Portfolio'!$A$2:$AB$1000,28,FALSE()),""))</f>
        <v/>
      </c>
    </row>
    <row r="955" customFormat="false" ht="15.75" hidden="false" customHeight="true" outlineLevel="0" collapsed="false">
      <c r="A955" s="100"/>
      <c r="B955" s="101"/>
      <c r="C955" s="101"/>
      <c r="D955" s="101"/>
      <c r="E955" s="101"/>
      <c r="F955" s="102"/>
      <c r="G955" s="102"/>
      <c r="H955" s="102"/>
      <c r="I955" s="102"/>
      <c r="J955" s="102"/>
      <c r="K955" s="102"/>
      <c r="L955" s="103" t="str">
        <f aca="false">IF(OR($B955="", $H955="", $I955="", $J955="", $K955=""),"",ROUND((VLOOKUP($H955,Lists!$E$2:$F$5,2,FALSE())*VLOOKUP($I955,Lists!$H$2:$I$4,2,FALSE())*VLOOKUP($J955,Lists!$K$2:$L$4,2,FALSE()))/VLOOKUP($K955,Lists!$N$2:$O$6,2,FALSE()),2))</f>
        <v/>
      </c>
      <c r="M955" s="104" t="str">
        <f aca="false">IF($B955="","",IF($AC955&lt;&gt;"",$AC955,IF($H955="Critical","P0",IF(NOT(ISNUMBER($L955)),"",IF($L955&gt;=Lists!$AM$2,"P0",IF($L955&gt;=Lists!$AM$3,"P1",IF($L955&gt;=Lists!$AM$4,"P2","P3")))))))</f>
        <v/>
      </c>
      <c r="N955" s="102"/>
      <c r="O955" s="101"/>
      <c r="P955" s="102"/>
      <c r="Q955" s="105"/>
      <c r="R955" s="106" t="str">
        <f aca="true">IF($Q955="","", TODAY()-$Q955)</f>
        <v/>
      </c>
      <c r="S955" s="102"/>
      <c r="T955" s="105"/>
      <c r="U955" s="105"/>
      <c r="V955" s="101"/>
      <c r="W955" s="101"/>
      <c r="X955" s="101"/>
      <c r="Y955" s="96"/>
      <c r="Z955" s="96"/>
      <c r="AA955" s="96"/>
      <c r="AC955" s="102"/>
      <c r="AD955" s="107" t="str">
        <f aca="false">IF($B955="","",IF(ISNUMBER($T955),$T955,IF(OR(NOT(ISNUMBER($Q955)),$S955=""),"",IFERROR(IF(ISNUMBER(INDEX(Lists!$AJ$2:$AJ$7,MATCH($S955,Lists!$AI$2:$AI$7,0))),$Q955+INDEX(Lists!$AJ$2:$AJ$7,MATCH($S955,Lists!$AI$2:$AI$7,0)),""),""))))</f>
        <v/>
      </c>
      <c r="AE955" s="104" t="str">
        <f aca="true">IF($B955="","",IF(AND(ISNUMBER($AD955),N($AD955)&lt;TODAY(),$N955&lt;&gt;"Done",$N955&lt;&gt;"Won't Fix",$N955&lt;&gt;"Duplicate"),"Yes","No"))</f>
        <v/>
      </c>
      <c r="AF955" s="101"/>
      <c r="AG955" s="108" t="str">
        <f aca="false">IF($AF955="","",IFERROR(VLOOKUP($AF955,'Application Portfolio'!$A$2:$B$1000,2,FALSE()),"Unknown App ID"))</f>
        <v/>
      </c>
      <c r="AH955" s="108" t="str">
        <f aca="false">IF(OR($B955="",$AF955=""),"",IFERROR(VLOOKUP($AF955,'Application Portfolio'!$A$2:$AB$1000,28,FALSE()),""))</f>
        <v/>
      </c>
    </row>
    <row r="956" customFormat="false" ht="15.75" hidden="false" customHeight="true" outlineLevel="0" collapsed="false">
      <c r="A956" s="100"/>
      <c r="B956" s="101"/>
      <c r="C956" s="101"/>
      <c r="D956" s="101"/>
      <c r="E956" s="101"/>
      <c r="F956" s="102"/>
      <c r="G956" s="102"/>
      <c r="H956" s="102"/>
      <c r="I956" s="102"/>
      <c r="J956" s="102"/>
      <c r="K956" s="102"/>
      <c r="L956" s="103" t="str">
        <f aca="false">IF(OR($B956="", $H956="", $I956="", $J956="", $K956=""),"",ROUND((VLOOKUP($H956,Lists!$E$2:$F$5,2,FALSE())*VLOOKUP($I956,Lists!$H$2:$I$4,2,FALSE())*VLOOKUP($J956,Lists!$K$2:$L$4,2,FALSE()))/VLOOKUP($K956,Lists!$N$2:$O$6,2,FALSE()),2))</f>
        <v/>
      </c>
      <c r="M956" s="104" t="str">
        <f aca="false">IF($B956="","",IF($AC956&lt;&gt;"",$AC956,IF($H956="Critical","P0",IF(NOT(ISNUMBER($L956)),"",IF($L956&gt;=Lists!$AM$2,"P0",IF($L956&gt;=Lists!$AM$3,"P1",IF($L956&gt;=Lists!$AM$4,"P2","P3")))))))</f>
        <v/>
      </c>
      <c r="N956" s="102"/>
      <c r="O956" s="101"/>
      <c r="P956" s="102"/>
      <c r="Q956" s="105"/>
      <c r="R956" s="106" t="str">
        <f aca="true">IF($Q956="","", TODAY()-$Q956)</f>
        <v/>
      </c>
      <c r="S956" s="102"/>
      <c r="T956" s="105"/>
      <c r="U956" s="105"/>
      <c r="V956" s="101"/>
      <c r="W956" s="101"/>
      <c r="X956" s="101"/>
      <c r="Y956" s="96"/>
      <c r="Z956" s="96"/>
      <c r="AA956" s="96"/>
      <c r="AC956" s="102"/>
      <c r="AD956" s="107" t="str">
        <f aca="false">IF($B956="","",IF(ISNUMBER($T956),$T956,IF(OR(NOT(ISNUMBER($Q956)),$S956=""),"",IFERROR(IF(ISNUMBER(INDEX(Lists!$AJ$2:$AJ$7,MATCH($S956,Lists!$AI$2:$AI$7,0))),$Q956+INDEX(Lists!$AJ$2:$AJ$7,MATCH($S956,Lists!$AI$2:$AI$7,0)),""),""))))</f>
        <v/>
      </c>
      <c r="AE956" s="104" t="str">
        <f aca="true">IF($B956="","",IF(AND(ISNUMBER($AD956),N($AD956)&lt;TODAY(),$N956&lt;&gt;"Done",$N956&lt;&gt;"Won't Fix",$N956&lt;&gt;"Duplicate"),"Yes","No"))</f>
        <v/>
      </c>
      <c r="AF956" s="101"/>
      <c r="AG956" s="108" t="str">
        <f aca="false">IF($AF956="","",IFERROR(VLOOKUP($AF956,'Application Portfolio'!$A$2:$B$1000,2,FALSE()),"Unknown App ID"))</f>
        <v/>
      </c>
      <c r="AH956" s="108" t="str">
        <f aca="false">IF(OR($B956="",$AF956=""),"",IFERROR(VLOOKUP($AF956,'Application Portfolio'!$A$2:$AB$1000,28,FALSE()),""))</f>
        <v/>
      </c>
    </row>
    <row r="957" customFormat="false" ht="15.75" hidden="false" customHeight="true" outlineLevel="0" collapsed="false">
      <c r="A957" s="100"/>
      <c r="B957" s="101"/>
      <c r="C957" s="101"/>
      <c r="D957" s="101"/>
      <c r="E957" s="101"/>
      <c r="F957" s="102"/>
      <c r="G957" s="102"/>
      <c r="H957" s="102"/>
      <c r="I957" s="102"/>
      <c r="J957" s="102"/>
      <c r="K957" s="102"/>
      <c r="L957" s="103" t="str">
        <f aca="false">IF(OR($B957="", $H957="", $I957="", $J957="", $K957=""),"",ROUND((VLOOKUP($H957,Lists!$E$2:$F$5,2,FALSE())*VLOOKUP($I957,Lists!$H$2:$I$4,2,FALSE())*VLOOKUP($J957,Lists!$K$2:$L$4,2,FALSE()))/VLOOKUP($K957,Lists!$N$2:$O$6,2,FALSE()),2))</f>
        <v/>
      </c>
      <c r="M957" s="104" t="str">
        <f aca="false">IF($B957="","",IF($AC957&lt;&gt;"",$AC957,IF($H957="Critical","P0",IF(NOT(ISNUMBER($L957)),"",IF($L957&gt;=Lists!$AM$2,"P0",IF($L957&gt;=Lists!$AM$3,"P1",IF($L957&gt;=Lists!$AM$4,"P2","P3")))))))</f>
        <v/>
      </c>
      <c r="N957" s="102"/>
      <c r="O957" s="101"/>
      <c r="P957" s="102"/>
      <c r="Q957" s="105"/>
      <c r="R957" s="106" t="str">
        <f aca="true">IF($Q957="","", TODAY()-$Q957)</f>
        <v/>
      </c>
      <c r="S957" s="102"/>
      <c r="T957" s="105"/>
      <c r="U957" s="105"/>
      <c r="V957" s="101"/>
      <c r="W957" s="101"/>
      <c r="X957" s="101"/>
      <c r="Y957" s="96"/>
      <c r="Z957" s="96"/>
      <c r="AA957" s="96"/>
      <c r="AC957" s="102"/>
      <c r="AD957" s="107" t="str">
        <f aca="false">IF($B957="","",IF(ISNUMBER($T957),$T957,IF(OR(NOT(ISNUMBER($Q957)),$S957=""),"",IFERROR(IF(ISNUMBER(INDEX(Lists!$AJ$2:$AJ$7,MATCH($S957,Lists!$AI$2:$AI$7,0))),$Q957+INDEX(Lists!$AJ$2:$AJ$7,MATCH($S957,Lists!$AI$2:$AI$7,0)),""),""))))</f>
        <v/>
      </c>
      <c r="AE957" s="104" t="str">
        <f aca="true">IF($B957="","",IF(AND(ISNUMBER($AD957),N($AD957)&lt;TODAY(),$N957&lt;&gt;"Done",$N957&lt;&gt;"Won't Fix",$N957&lt;&gt;"Duplicate"),"Yes","No"))</f>
        <v/>
      </c>
      <c r="AF957" s="101"/>
      <c r="AG957" s="108" t="str">
        <f aca="false">IF($AF957="","",IFERROR(VLOOKUP($AF957,'Application Portfolio'!$A$2:$B$1000,2,FALSE()),"Unknown App ID"))</f>
        <v/>
      </c>
      <c r="AH957" s="108" t="str">
        <f aca="false">IF(OR($B957="",$AF957=""),"",IFERROR(VLOOKUP($AF957,'Application Portfolio'!$A$2:$AB$1000,28,FALSE()),""))</f>
        <v/>
      </c>
    </row>
    <row r="958" customFormat="false" ht="15.75" hidden="false" customHeight="true" outlineLevel="0" collapsed="false">
      <c r="A958" s="100"/>
      <c r="B958" s="101"/>
      <c r="C958" s="101"/>
      <c r="D958" s="101"/>
      <c r="E958" s="101"/>
      <c r="F958" s="102"/>
      <c r="G958" s="102"/>
      <c r="H958" s="102"/>
      <c r="I958" s="102"/>
      <c r="J958" s="102"/>
      <c r="K958" s="102"/>
      <c r="L958" s="103" t="str">
        <f aca="false">IF(OR($B958="", $H958="", $I958="", $J958="", $K958=""),"",ROUND((VLOOKUP($H958,Lists!$E$2:$F$5,2,FALSE())*VLOOKUP($I958,Lists!$H$2:$I$4,2,FALSE())*VLOOKUP($J958,Lists!$K$2:$L$4,2,FALSE()))/VLOOKUP($K958,Lists!$N$2:$O$6,2,FALSE()),2))</f>
        <v/>
      </c>
      <c r="M958" s="104" t="str">
        <f aca="false">IF($B958="","",IF($AC958&lt;&gt;"",$AC958,IF($H958="Critical","P0",IF(NOT(ISNUMBER($L958)),"",IF($L958&gt;=Lists!$AM$2,"P0",IF($L958&gt;=Lists!$AM$3,"P1",IF($L958&gt;=Lists!$AM$4,"P2","P3")))))))</f>
        <v/>
      </c>
      <c r="N958" s="102"/>
      <c r="O958" s="101"/>
      <c r="P958" s="102"/>
      <c r="Q958" s="105"/>
      <c r="R958" s="106" t="str">
        <f aca="true">IF($Q958="","", TODAY()-$Q958)</f>
        <v/>
      </c>
      <c r="S958" s="102"/>
      <c r="T958" s="105"/>
      <c r="U958" s="105"/>
      <c r="V958" s="101"/>
      <c r="W958" s="101"/>
      <c r="X958" s="101"/>
      <c r="Y958" s="96"/>
      <c r="Z958" s="96"/>
      <c r="AA958" s="96"/>
      <c r="AC958" s="102"/>
      <c r="AD958" s="107" t="str">
        <f aca="false">IF($B958="","",IF(ISNUMBER($T958),$T958,IF(OR(NOT(ISNUMBER($Q958)),$S958=""),"",IFERROR(IF(ISNUMBER(INDEX(Lists!$AJ$2:$AJ$7,MATCH($S958,Lists!$AI$2:$AI$7,0))),$Q958+INDEX(Lists!$AJ$2:$AJ$7,MATCH($S958,Lists!$AI$2:$AI$7,0)),""),""))))</f>
        <v/>
      </c>
      <c r="AE958" s="104" t="str">
        <f aca="true">IF($B958="","",IF(AND(ISNUMBER($AD958),N($AD958)&lt;TODAY(),$N958&lt;&gt;"Done",$N958&lt;&gt;"Won't Fix",$N958&lt;&gt;"Duplicate"),"Yes","No"))</f>
        <v/>
      </c>
      <c r="AF958" s="101"/>
      <c r="AG958" s="108" t="str">
        <f aca="false">IF($AF958="","",IFERROR(VLOOKUP($AF958,'Application Portfolio'!$A$2:$B$1000,2,FALSE()),"Unknown App ID"))</f>
        <v/>
      </c>
      <c r="AH958" s="108" t="str">
        <f aca="false">IF(OR($B958="",$AF958=""),"",IFERROR(VLOOKUP($AF958,'Application Portfolio'!$A$2:$AB$1000,28,FALSE()),""))</f>
        <v/>
      </c>
    </row>
    <row r="959" customFormat="false" ht="15.75" hidden="false" customHeight="true" outlineLevel="0" collapsed="false">
      <c r="A959" s="100"/>
      <c r="B959" s="101"/>
      <c r="C959" s="101"/>
      <c r="D959" s="101"/>
      <c r="E959" s="101"/>
      <c r="F959" s="102"/>
      <c r="G959" s="102"/>
      <c r="H959" s="102"/>
      <c r="I959" s="102"/>
      <c r="J959" s="102"/>
      <c r="K959" s="102"/>
      <c r="L959" s="103" t="str">
        <f aca="false">IF(OR($B959="", $H959="", $I959="", $J959="", $K959=""),"",ROUND((VLOOKUP($H959,Lists!$E$2:$F$5,2,FALSE())*VLOOKUP($I959,Lists!$H$2:$I$4,2,FALSE())*VLOOKUP($J959,Lists!$K$2:$L$4,2,FALSE()))/VLOOKUP($K959,Lists!$N$2:$O$6,2,FALSE()),2))</f>
        <v/>
      </c>
      <c r="M959" s="104" t="str">
        <f aca="false">IF($B959="","",IF($AC959&lt;&gt;"",$AC959,IF($H959="Critical","P0",IF(NOT(ISNUMBER($L959)),"",IF($L959&gt;=Lists!$AM$2,"P0",IF($L959&gt;=Lists!$AM$3,"P1",IF($L959&gt;=Lists!$AM$4,"P2","P3")))))))</f>
        <v/>
      </c>
      <c r="N959" s="102"/>
      <c r="O959" s="101"/>
      <c r="P959" s="102"/>
      <c r="Q959" s="105"/>
      <c r="R959" s="106" t="str">
        <f aca="true">IF($Q959="","", TODAY()-$Q959)</f>
        <v/>
      </c>
      <c r="S959" s="102"/>
      <c r="T959" s="105"/>
      <c r="U959" s="105"/>
      <c r="V959" s="101"/>
      <c r="W959" s="101"/>
      <c r="X959" s="101"/>
      <c r="Y959" s="96"/>
      <c r="Z959" s="96"/>
      <c r="AA959" s="96"/>
      <c r="AC959" s="102"/>
      <c r="AD959" s="107" t="str">
        <f aca="false">IF($B959="","",IF(ISNUMBER($T959),$T959,IF(OR(NOT(ISNUMBER($Q959)),$S959=""),"",IFERROR(IF(ISNUMBER(INDEX(Lists!$AJ$2:$AJ$7,MATCH($S959,Lists!$AI$2:$AI$7,0))),$Q959+INDEX(Lists!$AJ$2:$AJ$7,MATCH($S959,Lists!$AI$2:$AI$7,0)),""),""))))</f>
        <v/>
      </c>
      <c r="AE959" s="104" t="str">
        <f aca="true">IF($B959="","",IF(AND(ISNUMBER($AD959),N($AD959)&lt;TODAY(),$N959&lt;&gt;"Done",$N959&lt;&gt;"Won't Fix",$N959&lt;&gt;"Duplicate"),"Yes","No"))</f>
        <v/>
      </c>
      <c r="AF959" s="101"/>
      <c r="AG959" s="108" t="str">
        <f aca="false">IF($AF959="","",IFERROR(VLOOKUP($AF959,'Application Portfolio'!$A$2:$B$1000,2,FALSE()),"Unknown App ID"))</f>
        <v/>
      </c>
      <c r="AH959" s="108" t="str">
        <f aca="false">IF(OR($B959="",$AF959=""),"",IFERROR(VLOOKUP($AF959,'Application Portfolio'!$A$2:$AB$1000,28,FALSE()),""))</f>
        <v/>
      </c>
    </row>
    <row r="960" customFormat="false" ht="15.75" hidden="false" customHeight="true" outlineLevel="0" collapsed="false">
      <c r="A960" s="100"/>
      <c r="B960" s="101"/>
      <c r="C960" s="101"/>
      <c r="D960" s="101"/>
      <c r="E960" s="101"/>
      <c r="F960" s="102"/>
      <c r="G960" s="102"/>
      <c r="H960" s="102"/>
      <c r="I960" s="102"/>
      <c r="J960" s="102"/>
      <c r="K960" s="102"/>
      <c r="L960" s="103" t="str">
        <f aca="false">IF(OR($B960="", $H960="", $I960="", $J960="", $K960=""),"",ROUND((VLOOKUP($H960,Lists!$E$2:$F$5,2,FALSE())*VLOOKUP($I960,Lists!$H$2:$I$4,2,FALSE())*VLOOKUP($J960,Lists!$K$2:$L$4,2,FALSE()))/VLOOKUP($K960,Lists!$N$2:$O$6,2,FALSE()),2))</f>
        <v/>
      </c>
      <c r="M960" s="104" t="str">
        <f aca="false">IF($B960="","",IF($AC960&lt;&gt;"",$AC960,IF($H960="Critical","P0",IF(NOT(ISNUMBER($L960)),"",IF($L960&gt;=Lists!$AM$2,"P0",IF($L960&gt;=Lists!$AM$3,"P1",IF($L960&gt;=Lists!$AM$4,"P2","P3")))))))</f>
        <v/>
      </c>
      <c r="N960" s="102"/>
      <c r="O960" s="101"/>
      <c r="P960" s="102"/>
      <c r="Q960" s="105"/>
      <c r="R960" s="106" t="str">
        <f aca="true">IF($Q960="","", TODAY()-$Q960)</f>
        <v/>
      </c>
      <c r="S960" s="102"/>
      <c r="T960" s="105"/>
      <c r="U960" s="105"/>
      <c r="V960" s="101"/>
      <c r="W960" s="101"/>
      <c r="X960" s="101"/>
      <c r="Y960" s="96"/>
      <c r="Z960" s="96"/>
      <c r="AA960" s="96"/>
      <c r="AC960" s="102"/>
      <c r="AD960" s="107" t="str">
        <f aca="false">IF($B960="","",IF(ISNUMBER($T960),$T960,IF(OR(NOT(ISNUMBER($Q960)),$S960=""),"",IFERROR(IF(ISNUMBER(INDEX(Lists!$AJ$2:$AJ$7,MATCH($S960,Lists!$AI$2:$AI$7,0))),$Q960+INDEX(Lists!$AJ$2:$AJ$7,MATCH($S960,Lists!$AI$2:$AI$7,0)),""),""))))</f>
        <v/>
      </c>
      <c r="AE960" s="104" t="str">
        <f aca="true">IF($B960="","",IF(AND(ISNUMBER($AD960),N($AD960)&lt;TODAY(),$N960&lt;&gt;"Done",$N960&lt;&gt;"Won't Fix",$N960&lt;&gt;"Duplicate"),"Yes","No"))</f>
        <v/>
      </c>
      <c r="AF960" s="101"/>
      <c r="AG960" s="108" t="str">
        <f aca="false">IF($AF960="","",IFERROR(VLOOKUP($AF960,'Application Portfolio'!$A$2:$B$1000,2,FALSE()),"Unknown App ID"))</f>
        <v/>
      </c>
      <c r="AH960" s="108" t="str">
        <f aca="false">IF(OR($B960="",$AF960=""),"",IFERROR(VLOOKUP($AF960,'Application Portfolio'!$A$2:$AB$1000,28,FALSE()),""))</f>
        <v/>
      </c>
    </row>
    <row r="961" customFormat="false" ht="15.75" hidden="false" customHeight="true" outlineLevel="0" collapsed="false">
      <c r="A961" s="100"/>
      <c r="B961" s="101"/>
      <c r="C961" s="101"/>
      <c r="D961" s="101"/>
      <c r="E961" s="101"/>
      <c r="F961" s="102"/>
      <c r="G961" s="102"/>
      <c r="H961" s="102"/>
      <c r="I961" s="102"/>
      <c r="J961" s="102"/>
      <c r="K961" s="102"/>
      <c r="L961" s="103" t="str">
        <f aca="false">IF(OR($B961="", $H961="", $I961="", $J961="", $K961=""),"",ROUND((VLOOKUP($H961,Lists!$E$2:$F$5,2,FALSE())*VLOOKUP($I961,Lists!$H$2:$I$4,2,FALSE())*VLOOKUP($J961,Lists!$K$2:$L$4,2,FALSE()))/VLOOKUP($K961,Lists!$N$2:$O$6,2,FALSE()),2))</f>
        <v/>
      </c>
      <c r="M961" s="104" t="str">
        <f aca="false">IF($B961="","",IF($AC961&lt;&gt;"",$AC961,IF($H961="Critical","P0",IF(NOT(ISNUMBER($L961)),"",IF($L961&gt;=Lists!$AM$2,"P0",IF($L961&gt;=Lists!$AM$3,"P1",IF($L961&gt;=Lists!$AM$4,"P2","P3")))))))</f>
        <v/>
      </c>
      <c r="N961" s="102"/>
      <c r="O961" s="101"/>
      <c r="P961" s="102"/>
      <c r="Q961" s="105"/>
      <c r="R961" s="106" t="str">
        <f aca="true">IF($Q961="","", TODAY()-$Q961)</f>
        <v/>
      </c>
      <c r="S961" s="102"/>
      <c r="T961" s="105"/>
      <c r="U961" s="105"/>
      <c r="V961" s="101"/>
      <c r="W961" s="101"/>
      <c r="X961" s="101"/>
      <c r="Y961" s="96"/>
      <c r="Z961" s="96"/>
      <c r="AA961" s="96"/>
      <c r="AC961" s="102"/>
      <c r="AD961" s="107" t="str">
        <f aca="false">IF($B961="","",IF(ISNUMBER($T961),$T961,IF(OR(NOT(ISNUMBER($Q961)),$S961=""),"",IFERROR(IF(ISNUMBER(INDEX(Lists!$AJ$2:$AJ$7,MATCH($S961,Lists!$AI$2:$AI$7,0))),$Q961+INDEX(Lists!$AJ$2:$AJ$7,MATCH($S961,Lists!$AI$2:$AI$7,0)),""),""))))</f>
        <v/>
      </c>
      <c r="AE961" s="104" t="str">
        <f aca="true">IF($B961="","",IF(AND(ISNUMBER($AD961),N($AD961)&lt;TODAY(),$N961&lt;&gt;"Done",$N961&lt;&gt;"Won't Fix",$N961&lt;&gt;"Duplicate"),"Yes","No"))</f>
        <v/>
      </c>
      <c r="AF961" s="101"/>
      <c r="AG961" s="108" t="str">
        <f aca="false">IF($AF961="","",IFERROR(VLOOKUP($AF961,'Application Portfolio'!$A$2:$B$1000,2,FALSE()),"Unknown App ID"))</f>
        <v/>
      </c>
      <c r="AH961" s="108" t="str">
        <f aca="false">IF(OR($B961="",$AF961=""),"",IFERROR(VLOOKUP($AF961,'Application Portfolio'!$A$2:$AB$1000,28,FALSE()),""))</f>
        <v/>
      </c>
    </row>
    <row r="962" customFormat="false" ht="15.75" hidden="false" customHeight="true" outlineLevel="0" collapsed="false">
      <c r="A962" s="100"/>
      <c r="B962" s="101"/>
      <c r="C962" s="101"/>
      <c r="D962" s="101"/>
      <c r="E962" s="101"/>
      <c r="F962" s="102"/>
      <c r="G962" s="102"/>
      <c r="H962" s="102"/>
      <c r="I962" s="102"/>
      <c r="J962" s="102"/>
      <c r="K962" s="102"/>
      <c r="L962" s="103" t="str">
        <f aca="false">IF(OR($B962="", $H962="", $I962="", $J962="", $K962=""),"",ROUND((VLOOKUP($H962,Lists!$E$2:$F$5,2,FALSE())*VLOOKUP($I962,Lists!$H$2:$I$4,2,FALSE())*VLOOKUP($J962,Lists!$K$2:$L$4,2,FALSE()))/VLOOKUP($K962,Lists!$N$2:$O$6,2,FALSE()),2))</f>
        <v/>
      </c>
      <c r="M962" s="104" t="str">
        <f aca="false">IF($B962="","",IF($AC962&lt;&gt;"",$AC962,IF($H962="Critical","P0",IF(NOT(ISNUMBER($L962)),"",IF($L962&gt;=Lists!$AM$2,"P0",IF($L962&gt;=Lists!$AM$3,"P1",IF($L962&gt;=Lists!$AM$4,"P2","P3")))))))</f>
        <v/>
      </c>
      <c r="N962" s="102"/>
      <c r="O962" s="101"/>
      <c r="P962" s="102"/>
      <c r="Q962" s="105"/>
      <c r="R962" s="106" t="str">
        <f aca="true">IF($Q962="","", TODAY()-$Q962)</f>
        <v/>
      </c>
      <c r="S962" s="102"/>
      <c r="T962" s="105"/>
      <c r="U962" s="105"/>
      <c r="V962" s="101"/>
      <c r="W962" s="101"/>
      <c r="X962" s="101"/>
      <c r="Y962" s="96"/>
      <c r="Z962" s="96"/>
      <c r="AA962" s="96"/>
      <c r="AC962" s="102"/>
      <c r="AD962" s="107" t="str">
        <f aca="false">IF($B962="","",IF(ISNUMBER($T962),$T962,IF(OR(NOT(ISNUMBER($Q962)),$S962=""),"",IFERROR(IF(ISNUMBER(INDEX(Lists!$AJ$2:$AJ$7,MATCH($S962,Lists!$AI$2:$AI$7,0))),$Q962+INDEX(Lists!$AJ$2:$AJ$7,MATCH($S962,Lists!$AI$2:$AI$7,0)),""),""))))</f>
        <v/>
      </c>
      <c r="AE962" s="104" t="str">
        <f aca="true">IF($B962="","",IF(AND(ISNUMBER($AD962),N($AD962)&lt;TODAY(),$N962&lt;&gt;"Done",$N962&lt;&gt;"Won't Fix",$N962&lt;&gt;"Duplicate"),"Yes","No"))</f>
        <v/>
      </c>
      <c r="AF962" s="101"/>
      <c r="AG962" s="108" t="str">
        <f aca="false">IF($AF962="","",IFERROR(VLOOKUP($AF962,'Application Portfolio'!$A$2:$B$1000,2,FALSE()),"Unknown App ID"))</f>
        <v/>
      </c>
      <c r="AH962" s="108" t="str">
        <f aca="false">IF(OR($B962="",$AF962=""),"",IFERROR(VLOOKUP($AF962,'Application Portfolio'!$A$2:$AB$1000,28,FALSE()),""))</f>
        <v/>
      </c>
    </row>
    <row r="963" customFormat="false" ht="15.75" hidden="false" customHeight="true" outlineLevel="0" collapsed="false">
      <c r="A963" s="100"/>
      <c r="B963" s="101"/>
      <c r="C963" s="101"/>
      <c r="D963" s="101"/>
      <c r="E963" s="101"/>
      <c r="F963" s="102"/>
      <c r="G963" s="102"/>
      <c r="H963" s="102"/>
      <c r="I963" s="102"/>
      <c r="J963" s="102"/>
      <c r="K963" s="102"/>
      <c r="L963" s="103" t="str">
        <f aca="false">IF(OR($B963="", $H963="", $I963="", $J963="", $K963=""),"",ROUND((VLOOKUP($H963,Lists!$E$2:$F$5,2,FALSE())*VLOOKUP($I963,Lists!$H$2:$I$4,2,FALSE())*VLOOKUP($J963,Lists!$K$2:$L$4,2,FALSE()))/VLOOKUP($K963,Lists!$N$2:$O$6,2,FALSE()),2))</f>
        <v/>
      </c>
      <c r="M963" s="104" t="str">
        <f aca="false">IF($B963="","",IF($AC963&lt;&gt;"",$AC963,IF($H963="Critical","P0",IF(NOT(ISNUMBER($L963)),"",IF($L963&gt;=Lists!$AM$2,"P0",IF($L963&gt;=Lists!$AM$3,"P1",IF($L963&gt;=Lists!$AM$4,"P2","P3")))))))</f>
        <v/>
      </c>
      <c r="N963" s="102"/>
      <c r="O963" s="101"/>
      <c r="P963" s="102"/>
      <c r="Q963" s="105"/>
      <c r="R963" s="106" t="str">
        <f aca="true">IF($Q963="","", TODAY()-$Q963)</f>
        <v/>
      </c>
      <c r="S963" s="102"/>
      <c r="T963" s="105"/>
      <c r="U963" s="105"/>
      <c r="V963" s="101"/>
      <c r="W963" s="101"/>
      <c r="X963" s="101"/>
      <c r="Y963" s="96"/>
      <c r="Z963" s="96"/>
      <c r="AA963" s="96"/>
      <c r="AC963" s="102"/>
      <c r="AD963" s="107" t="str">
        <f aca="false">IF($B963="","",IF(ISNUMBER($T963),$T963,IF(OR(NOT(ISNUMBER($Q963)),$S963=""),"",IFERROR(IF(ISNUMBER(INDEX(Lists!$AJ$2:$AJ$7,MATCH($S963,Lists!$AI$2:$AI$7,0))),$Q963+INDEX(Lists!$AJ$2:$AJ$7,MATCH($S963,Lists!$AI$2:$AI$7,0)),""),""))))</f>
        <v/>
      </c>
      <c r="AE963" s="104" t="str">
        <f aca="true">IF($B963="","",IF(AND(ISNUMBER($AD963),N($AD963)&lt;TODAY(),$N963&lt;&gt;"Done",$N963&lt;&gt;"Won't Fix",$N963&lt;&gt;"Duplicate"),"Yes","No"))</f>
        <v/>
      </c>
      <c r="AF963" s="101"/>
      <c r="AG963" s="108" t="str">
        <f aca="false">IF($AF963="","",IFERROR(VLOOKUP($AF963,'Application Portfolio'!$A$2:$B$1000,2,FALSE()),"Unknown App ID"))</f>
        <v/>
      </c>
      <c r="AH963" s="108" t="str">
        <f aca="false">IF(OR($B963="",$AF963=""),"",IFERROR(VLOOKUP($AF963,'Application Portfolio'!$A$2:$AB$1000,28,FALSE()),""))</f>
        <v/>
      </c>
    </row>
    <row r="964" customFormat="false" ht="15.75" hidden="false" customHeight="true" outlineLevel="0" collapsed="false">
      <c r="A964" s="100"/>
      <c r="B964" s="101"/>
      <c r="C964" s="101"/>
      <c r="D964" s="101"/>
      <c r="E964" s="101"/>
      <c r="F964" s="102"/>
      <c r="G964" s="102"/>
      <c r="H964" s="102"/>
      <c r="I964" s="102"/>
      <c r="J964" s="102"/>
      <c r="K964" s="102"/>
      <c r="L964" s="103" t="str">
        <f aca="false">IF(OR($B964="", $H964="", $I964="", $J964="", $K964=""),"",ROUND((VLOOKUP($H964,Lists!$E$2:$F$5,2,FALSE())*VLOOKUP($I964,Lists!$H$2:$I$4,2,FALSE())*VLOOKUP($J964,Lists!$K$2:$L$4,2,FALSE()))/VLOOKUP($K964,Lists!$N$2:$O$6,2,FALSE()),2))</f>
        <v/>
      </c>
      <c r="M964" s="104" t="str">
        <f aca="false">IF($B964="","",IF($AC964&lt;&gt;"",$AC964,IF($H964="Critical","P0",IF(NOT(ISNUMBER($L964)),"",IF($L964&gt;=Lists!$AM$2,"P0",IF($L964&gt;=Lists!$AM$3,"P1",IF($L964&gt;=Lists!$AM$4,"P2","P3")))))))</f>
        <v/>
      </c>
      <c r="N964" s="102"/>
      <c r="O964" s="101"/>
      <c r="P964" s="102"/>
      <c r="Q964" s="105"/>
      <c r="R964" s="106" t="str">
        <f aca="true">IF($Q964="","", TODAY()-$Q964)</f>
        <v/>
      </c>
      <c r="S964" s="102"/>
      <c r="T964" s="105"/>
      <c r="U964" s="105"/>
      <c r="V964" s="101"/>
      <c r="W964" s="101"/>
      <c r="X964" s="101"/>
      <c r="Y964" s="96"/>
      <c r="Z964" s="96"/>
      <c r="AA964" s="96"/>
      <c r="AC964" s="102"/>
      <c r="AD964" s="107" t="str">
        <f aca="false">IF($B964="","",IF(ISNUMBER($T964),$T964,IF(OR(NOT(ISNUMBER($Q964)),$S964=""),"",IFERROR(IF(ISNUMBER(INDEX(Lists!$AJ$2:$AJ$7,MATCH($S964,Lists!$AI$2:$AI$7,0))),$Q964+INDEX(Lists!$AJ$2:$AJ$7,MATCH($S964,Lists!$AI$2:$AI$7,0)),""),""))))</f>
        <v/>
      </c>
      <c r="AE964" s="104" t="str">
        <f aca="true">IF($B964="","",IF(AND(ISNUMBER($AD964),N($AD964)&lt;TODAY(),$N964&lt;&gt;"Done",$N964&lt;&gt;"Won't Fix",$N964&lt;&gt;"Duplicate"),"Yes","No"))</f>
        <v/>
      </c>
      <c r="AF964" s="101"/>
      <c r="AG964" s="108" t="str">
        <f aca="false">IF($AF964="","",IFERROR(VLOOKUP($AF964,'Application Portfolio'!$A$2:$B$1000,2,FALSE()),"Unknown App ID"))</f>
        <v/>
      </c>
      <c r="AH964" s="108" t="str">
        <f aca="false">IF(OR($B964="",$AF964=""),"",IFERROR(VLOOKUP($AF964,'Application Portfolio'!$A$2:$AB$1000,28,FALSE()),""))</f>
        <v/>
      </c>
    </row>
    <row r="965" customFormat="false" ht="15.75" hidden="false" customHeight="true" outlineLevel="0" collapsed="false">
      <c r="A965" s="100"/>
      <c r="B965" s="101"/>
      <c r="C965" s="101"/>
      <c r="D965" s="101"/>
      <c r="E965" s="101"/>
      <c r="F965" s="102"/>
      <c r="G965" s="102"/>
      <c r="H965" s="102"/>
      <c r="I965" s="102"/>
      <c r="J965" s="102"/>
      <c r="K965" s="102"/>
      <c r="L965" s="103" t="str">
        <f aca="false">IF(OR($B965="", $H965="", $I965="", $J965="", $K965=""),"",ROUND((VLOOKUP($H965,Lists!$E$2:$F$5,2,FALSE())*VLOOKUP($I965,Lists!$H$2:$I$4,2,FALSE())*VLOOKUP($J965,Lists!$K$2:$L$4,2,FALSE()))/VLOOKUP($K965,Lists!$N$2:$O$6,2,FALSE()),2))</f>
        <v/>
      </c>
      <c r="M965" s="104" t="str">
        <f aca="false">IF($B965="","",IF($AC965&lt;&gt;"",$AC965,IF($H965="Critical","P0",IF(NOT(ISNUMBER($L965)),"",IF($L965&gt;=Lists!$AM$2,"P0",IF($L965&gt;=Lists!$AM$3,"P1",IF($L965&gt;=Lists!$AM$4,"P2","P3")))))))</f>
        <v/>
      </c>
      <c r="N965" s="102"/>
      <c r="O965" s="101"/>
      <c r="P965" s="102"/>
      <c r="Q965" s="105"/>
      <c r="R965" s="106" t="str">
        <f aca="true">IF($Q965="","", TODAY()-$Q965)</f>
        <v/>
      </c>
      <c r="S965" s="102"/>
      <c r="T965" s="105"/>
      <c r="U965" s="105"/>
      <c r="V965" s="101"/>
      <c r="W965" s="101"/>
      <c r="X965" s="101"/>
      <c r="Y965" s="96"/>
      <c r="Z965" s="96"/>
      <c r="AA965" s="96"/>
      <c r="AC965" s="102"/>
      <c r="AD965" s="107" t="str">
        <f aca="false">IF($B965="","",IF(ISNUMBER($T965),$T965,IF(OR(NOT(ISNUMBER($Q965)),$S965=""),"",IFERROR(IF(ISNUMBER(INDEX(Lists!$AJ$2:$AJ$7,MATCH($S965,Lists!$AI$2:$AI$7,0))),$Q965+INDEX(Lists!$AJ$2:$AJ$7,MATCH($S965,Lists!$AI$2:$AI$7,0)),""),""))))</f>
        <v/>
      </c>
      <c r="AE965" s="104" t="str">
        <f aca="true">IF($B965="","",IF(AND(ISNUMBER($AD965),N($AD965)&lt;TODAY(),$N965&lt;&gt;"Done",$N965&lt;&gt;"Won't Fix",$N965&lt;&gt;"Duplicate"),"Yes","No"))</f>
        <v/>
      </c>
      <c r="AF965" s="101"/>
      <c r="AG965" s="108" t="str">
        <f aca="false">IF($AF965="","",IFERROR(VLOOKUP($AF965,'Application Portfolio'!$A$2:$B$1000,2,FALSE()),"Unknown App ID"))</f>
        <v/>
      </c>
      <c r="AH965" s="108" t="str">
        <f aca="false">IF(OR($B965="",$AF965=""),"",IFERROR(VLOOKUP($AF965,'Application Portfolio'!$A$2:$AB$1000,28,FALSE()),""))</f>
        <v/>
      </c>
    </row>
    <row r="966" customFormat="false" ht="15.75" hidden="false" customHeight="true" outlineLevel="0" collapsed="false">
      <c r="A966" s="100"/>
      <c r="B966" s="101"/>
      <c r="C966" s="101"/>
      <c r="D966" s="101"/>
      <c r="E966" s="101"/>
      <c r="F966" s="102"/>
      <c r="G966" s="102"/>
      <c r="H966" s="102"/>
      <c r="I966" s="102"/>
      <c r="J966" s="102"/>
      <c r="K966" s="102"/>
      <c r="L966" s="103" t="str">
        <f aca="false">IF(OR($B966="", $H966="", $I966="", $J966="", $K966=""),"",ROUND((VLOOKUP($H966,Lists!$E$2:$F$5,2,FALSE())*VLOOKUP($I966,Lists!$H$2:$I$4,2,FALSE())*VLOOKUP($J966,Lists!$K$2:$L$4,2,FALSE()))/VLOOKUP($K966,Lists!$N$2:$O$6,2,FALSE()),2))</f>
        <v/>
      </c>
      <c r="M966" s="104" t="str">
        <f aca="false">IF($B966="","",IF($AC966&lt;&gt;"",$AC966,IF($H966="Critical","P0",IF(NOT(ISNUMBER($L966)),"",IF($L966&gt;=Lists!$AM$2,"P0",IF($L966&gt;=Lists!$AM$3,"P1",IF($L966&gt;=Lists!$AM$4,"P2","P3")))))))</f>
        <v/>
      </c>
      <c r="N966" s="102"/>
      <c r="O966" s="101"/>
      <c r="P966" s="102"/>
      <c r="Q966" s="105"/>
      <c r="R966" s="106" t="str">
        <f aca="true">IF($Q966="","", TODAY()-$Q966)</f>
        <v/>
      </c>
      <c r="S966" s="102"/>
      <c r="T966" s="105"/>
      <c r="U966" s="105"/>
      <c r="V966" s="101"/>
      <c r="W966" s="101"/>
      <c r="X966" s="101"/>
      <c r="Y966" s="96"/>
      <c r="Z966" s="96"/>
      <c r="AA966" s="96"/>
      <c r="AC966" s="102"/>
      <c r="AD966" s="107" t="str">
        <f aca="false">IF($B966="","",IF(ISNUMBER($T966),$T966,IF(OR(NOT(ISNUMBER($Q966)),$S966=""),"",IFERROR(IF(ISNUMBER(INDEX(Lists!$AJ$2:$AJ$7,MATCH($S966,Lists!$AI$2:$AI$7,0))),$Q966+INDEX(Lists!$AJ$2:$AJ$7,MATCH($S966,Lists!$AI$2:$AI$7,0)),""),""))))</f>
        <v/>
      </c>
      <c r="AE966" s="104" t="str">
        <f aca="true">IF($B966="","",IF(AND(ISNUMBER($AD966),N($AD966)&lt;TODAY(),$N966&lt;&gt;"Done",$N966&lt;&gt;"Won't Fix",$N966&lt;&gt;"Duplicate"),"Yes","No"))</f>
        <v/>
      </c>
      <c r="AF966" s="101"/>
      <c r="AG966" s="108" t="str">
        <f aca="false">IF($AF966="","",IFERROR(VLOOKUP($AF966,'Application Portfolio'!$A$2:$B$1000,2,FALSE()),"Unknown App ID"))</f>
        <v/>
      </c>
      <c r="AH966" s="108" t="str">
        <f aca="false">IF(OR($B966="",$AF966=""),"",IFERROR(VLOOKUP($AF966,'Application Portfolio'!$A$2:$AB$1000,28,FALSE()),""))</f>
        <v/>
      </c>
    </row>
    <row r="967" customFormat="false" ht="15.75" hidden="false" customHeight="true" outlineLevel="0" collapsed="false">
      <c r="A967" s="100"/>
      <c r="B967" s="101"/>
      <c r="C967" s="101"/>
      <c r="D967" s="101"/>
      <c r="E967" s="101"/>
      <c r="F967" s="102"/>
      <c r="G967" s="102"/>
      <c r="H967" s="102"/>
      <c r="I967" s="102"/>
      <c r="J967" s="102"/>
      <c r="K967" s="102"/>
      <c r="L967" s="103" t="str">
        <f aca="false">IF(OR($B967="", $H967="", $I967="", $J967="", $K967=""),"",ROUND((VLOOKUP($H967,Lists!$E$2:$F$5,2,FALSE())*VLOOKUP($I967,Lists!$H$2:$I$4,2,FALSE())*VLOOKUP($J967,Lists!$K$2:$L$4,2,FALSE()))/VLOOKUP($K967,Lists!$N$2:$O$6,2,FALSE()),2))</f>
        <v/>
      </c>
      <c r="M967" s="104" t="str">
        <f aca="false">IF($B967="","",IF($AC967&lt;&gt;"",$AC967,IF($H967="Critical","P0",IF(NOT(ISNUMBER($L967)),"",IF($L967&gt;=Lists!$AM$2,"P0",IF($L967&gt;=Lists!$AM$3,"P1",IF($L967&gt;=Lists!$AM$4,"P2","P3")))))))</f>
        <v/>
      </c>
      <c r="N967" s="102"/>
      <c r="O967" s="101"/>
      <c r="P967" s="102"/>
      <c r="Q967" s="105"/>
      <c r="R967" s="106" t="str">
        <f aca="true">IF($Q967="","", TODAY()-$Q967)</f>
        <v/>
      </c>
      <c r="S967" s="102"/>
      <c r="T967" s="105"/>
      <c r="U967" s="105"/>
      <c r="V967" s="101"/>
      <c r="W967" s="101"/>
      <c r="X967" s="101"/>
      <c r="Y967" s="96"/>
      <c r="Z967" s="96"/>
      <c r="AA967" s="96"/>
      <c r="AC967" s="102"/>
      <c r="AD967" s="107" t="str">
        <f aca="false">IF($B967="","",IF(ISNUMBER($T967),$T967,IF(OR(NOT(ISNUMBER($Q967)),$S967=""),"",IFERROR(IF(ISNUMBER(INDEX(Lists!$AJ$2:$AJ$7,MATCH($S967,Lists!$AI$2:$AI$7,0))),$Q967+INDEX(Lists!$AJ$2:$AJ$7,MATCH($S967,Lists!$AI$2:$AI$7,0)),""),""))))</f>
        <v/>
      </c>
      <c r="AE967" s="104" t="str">
        <f aca="true">IF($B967="","",IF(AND(ISNUMBER($AD967),N($AD967)&lt;TODAY(),$N967&lt;&gt;"Done",$N967&lt;&gt;"Won't Fix",$N967&lt;&gt;"Duplicate"),"Yes","No"))</f>
        <v/>
      </c>
      <c r="AF967" s="101"/>
      <c r="AG967" s="108" t="str">
        <f aca="false">IF($AF967="","",IFERROR(VLOOKUP($AF967,'Application Portfolio'!$A$2:$B$1000,2,FALSE()),"Unknown App ID"))</f>
        <v/>
      </c>
      <c r="AH967" s="108" t="str">
        <f aca="false">IF(OR($B967="",$AF967=""),"",IFERROR(VLOOKUP($AF967,'Application Portfolio'!$A$2:$AB$1000,28,FALSE()),""))</f>
        <v/>
      </c>
    </row>
    <row r="968" customFormat="false" ht="15.75" hidden="false" customHeight="true" outlineLevel="0" collapsed="false">
      <c r="A968" s="100"/>
      <c r="B968" s="101"/>
      <c r="C968" s="101"/>
      <c r="D968" s="101"/>
      <c r="E968" s="101"/>
      <c r="F968" s="102"/>
      <c r="G968" s="102"/>
      <c r="H968" s="102"/>
      <c r="I968" s="102"/>
      <c r="J968" s="102"/>
      <c r="K968" s="102"/>
      <c r="L968" s="103" t="str">
        <f aca="false">IF(OR($B968="", $H968="", $I968="", $J968="", $K968=""),"",ROUND((VLOOKUP($H968,Lists!$E$2:$F$5,2,FALSE())*VLOOKUP($I968,Lists!$H$2:$I$4,2,FALSE())*VLOOKUP($J968,Lists!$K$2:$L$4,2,FALSE()))/VLOOKUP($K968,Lists!$N$2:$O$6,2,FALSE()),2))</f>
        <v/>
      </c>
      <c r="M968" s="104" t="str">
        <f aca="false">IF($B968="","",IF($AC968&lt;&gt;"",$AC968,IF($H968="Critical","P0",IF(NOT(ISNUMBER($L968)),"",IF($L968&gt;=Lists!$AM$2,"P0",IF($L968&gt;=Lists!$AM$3,"P1",IF($L968&gt;=Lists!$AM$4,"P2","P3")))))))</f>
        <v/>
      </c>
      <c r="N968" s="102"/>
      <c r="O968" s="101"/>
      <c r="P968" s="102"/>
      <c r="Q968" s="105"/>
      <c r="R968" s="106" t="str">
        <f aca="true">IF($Q968="","", TODAY()-$Q968)</f>
        <v/>
      </c>
      <c r="S968" s="102"/>
      <c r="T968" s="105"/>
      <c r="U968" s="105"/>
      <c r="V968" s="101"/>
      <c r="W968" s="101"/>
      <c r="X968" s="101"/>
      <c r="Y968" s="96"/>
      <c r="Z968" s="96"/>
      <c r="AA968" s="96"/>
      <c r="AC968" s="102"/>
      <c r="AD968" s="107" t="str">
        <f aca="false">IF($B968="","",IF(ISNUMBER($T968),$T968,IF(OR(NOT(ISNUMBER($Q968)),$S968=""),"",IFERROR(IF(ISNUMBER(INDEX(Lists!$AJ$2:$AJ$7,MATCH($S968,Lists!$AI$2:$AI$7,0))),$Q968+INDEX(Lists!$AJ$2:$AJ$7,MATCH($S968,Lists!$AI$2:$AI$7,0)),""),""))))</f>
        <v/>
      </c>
      <c r="AE968" s="104" t="str">
        <f aca="true">IF($B968="","",IF(AND(ISNUMBER($AD968),N($AD968)&lt;TODAY(),$N968&lt;&gt;"Done",$N968&lt;&gt;"Won't Fix",$N968&lt;&gt;"Duplicate"),"Yes","No"))</f>
        <v/>
      </c>
      <c r="AF968" s="101"/>
      <c r="AG968" s="108" t="str">
        <f aca="false">IF($AF968="","",IFERROR(VLOOKUP($AF968,'Application Portfolio'!$A$2:$B$1000,2,FALSE()),"Unknown App ID"))</f>
        <v/>
      </c>
      <c r="AH968" s="108" t="str">
        <f aca="false">IF(OR($B968="",$AF968=""),"",IFERROR(VLOOKUP($AF968,'Application Portfolio'!$A$2:$AB$1000,28,FALSE()),""))</f>
        <v/>
      </c>
    </row>
    <row r="969" customFormat="false" ht="15.75" hidden="false" customHeight="true" outlineLevel="0" collapsed="false">
      <c r="A969" s="100"/>
      <c r="B969" s="101"/>
      <c r="C969" s="101"/>
      <c r="D969" s="101"/>
      <c r="E969" s="101"/>
      <c r="F969" s="102"/>
      <c r="G969" s="102"/>
      <c r="H969" s="102"/>
      <c r="I969" s="102"/>
      <c r="J969" s="102"/>
      <c r="K969" s="102"/>
      <c r="L969" s="103" t="str">
        <f aca="false">IF(OR($B969="", $H969="", $I969="", $J969="", $K969=""),"",ROUND((VLOOKUP($H969,Lists!$E$2:$F$5,2,FALSE())*VLOOKUP($I969,Lists!$H$2:$I$4,2,FALSE())*VLOOKUP($J969,Lists!$K$2:$L$4,2,FALSE()))/VLOOKUP($K969,Lists!$N$2:$O$6,2,FALSE()),2))</f>
        <v/>
      </c>
      <c r="M969" s="104" t="str">
        <f aca="false">IF($B969="","",IF($AC969&lt;&gt;"",$AC969,IF($H969="Critical","P0",IF(NOT(ISNUMBER($L969)),"",IF($L969&gt;=Lists!$AM$2,"P0",IF($L969&gt;=Lists!$AM$3,"P1",IF($L969&gt;=Lists!$AM$4,"P2","P3")))))))</f>
        <v/>
      </c>
      <c r="N969" s="102"/>
      <c r="O969" s="101"/>
      <c r="P969" s="102"/>
      <c r="Q969" s="105"/>
      <c r="R969" s="106" t="str">
        <f aca="true">IF($Q969="","", TODAY()-$Q969)</f>
        <v/>
      </c>
      <c r="S969" s="102"/>
      <c r="T969" s="105"/>
      <c r="U969" s="105"/>
      <c r="V969" s="101"/>
      <c r="W969" s="101"/>
      <c r="X969" s="101"/>
      <c r="Y969" s="96"/>
      <c r="Z969" s="96"/>
      <c r="AA969" s="96"/>
      <c r="AC969" s="102"/>
      <c r="AD969" s="107" t="str">
        <f aca="false">IF($B969="","",IF(ISNUMBER($T969),$T969,IF(OR(NOT(ISNUMBER($Q969)),$S969=""),"",IFERROR(IF(ISNUMBER(INDEX(Lists!$AJ$2:$AJ$7,MATCH($S969,Lists!$AI$2:$AI$7,0))),$Q969+INDEX(Lists!$AJ$2:$AJ$7,MATCH($S969,Lists!$AI$2:$AI$7,0)),""),""))))</f>
        <v/>
      </c>
      <c r="AE969" s="104" t="str">
        <f aca="true">IF($B969="","",IF(AND(ISNUMBER($AD969),N($AD969)&lt;TODAY(),$N969&lt;&gt;"Done",$N969&lt;&gt;"Won't Fix",$N969&lt;&gt;"Duplicate"),"Yes","No"))</f>
        <v/>
      </c>
      <c r="AF969" s="101"/>
      <c r="AG969" s="108" t="str">
        <f aca="false">IF($AF969="","",IFERROR(VLOOKUP($AF969,'Application Portfolio'!$A$2:$B$1000,2,FALSE()),"Unknown App ID"))</f>
        <v/>
      </c>
      <c r="AH969" s="108" t="str">
        <f aca="false">IF(OR($B969="",$AF969=""),"",IFERROR(VLOOKUP($AF969,'Application Portfolio'!$A$2:$AB$1000,28,FALSE()),""))</f>
        <v/>
      </c>
    </row>
    <row r="970" customFormat="false" ht="15.75" hidden="false" customHeight="true" outlineLevel="0" collapsed="false">
      <c r="A970" s="100"/>
      <c r="B970" s="101"/>
      <c r="C970" s="101"/>
      <c r="D970" s="101"/>
      <c r="E970" s="101"/>
      <c r="F970" s="102"/>
      <c r="G970" s="102"/>
      <c r="H970" s="102"/>
      <c r="I970" s="102"/>
      <c r="J970" s="102"/>
      <c r="K970" s="102"/>
      <c r="L970" s="103" t="str">
        <f aca="false">IF(OR($B970="", $H970="", $I970="", $J970="", $K970=""),"",ROUND((VLOOKUP($H970,Lists!$E$2:$F$5,2,FALSE())*VLOOKUP($I970,Lists!$H$2:$I$4,2,FALSE())*VLOOKUP($J970,Lists!$K$2:$L$4,2,FALSE()))/VLOOKUP($K970,Lists!$N$2:$O$6,2,FALSE()),2))</f>
        <v/>
      </c>
      <c r="M970" s="104" t="str">
        <f aca="false">IF($B970="","",IF($AC970&lt;&gt;"",$AC970,IF($H970="Critical","P0",IF(NOT(ISNUMBER($L970)),"",IF($L970&gt;=Lists!$AM$2,"P0",IF($L970&gt;=Lists!$AM$3,"P1",IF($L970&gt;=Lists!$AM$4,"P2","P3")))))))</f>
        <v/>
      </c>
      <c r="N970" s="102"/>
      <c r="O970" s="101"/>
      <c r="P970" s="102"/>
      <c r="Q970" s="105"/>
      <c r="R970" s="106" t="str">
        <f aca="true">IF($Q970="","", TODAY()-$Q970)</f>
        <v/>
      </c>
      <c r="S970" s="102"/>
      <c r="T970" s="105"/>
      <c r="U970" s="105"/>
      <c r="V970" s="101"/>
      <c r="W970" s="101"/>
      <c r="X970" s="101"/>
      <c r="Y970" s="96"/>
      <c r="Z970" s="96"/>
      <c r="AA970" s="96"/>
      <c r="AC970" s="102"/>
      <c r="AD970" s="107" t="str">
        <f aca="false">IF($B970="","",IF(ISNUMBER($T970),$T970,IF(OR(NOT(ISNUMBER($Q970)),$S970=""),"",IFERROR(IF(ISNUMBER(INDEX(Lists!$AJ$2:$AJ$7,MATCH($S970,Lists!$AI$2:$AI$7,0))),$Q970+INDEX(Lists!$AJ$2:$AJ$7,MATCH($S970,Lists!$AI$2:$AI$7,0)),""),""))))</f>
        <v/>
      </c>
      <c r="AE970" s="104" t="str">
        <f aca="true">IF($B970="","",IF(AND(ISNUMBER($AD970),N($AD970)&lt;TODAY(),$N970&lt;&gt;"Done",$N970&lt;&gt;"Won't Fix",$N970&lt;&gt;"Duplicate"),"Yes","No"))</f>
        <v/>
      </c>
      <c r="AF970" s="101"/>
      <c r="AG970" s="108" t="str">
        <f aca="false">IF($AF970="","",IFERROR(VLOOKUP($AF970,'Application Portfolio'!$A$2:$B$1000,2,FALSE()),"Unknown App ID"))</f>
        <v/>
      </c>
      <c r="AH970" s="108" t="str">
        <f aca="false">IF(OR($B970="",$AF970=""),"",IFERROR(VLOOKUP($AF970,'Application Portfolio'!$A$2:$AB$1000,28,FALSE()),""))</f>
        <v/>
      </c>
    </row>
    <row r="971" customFormat="false" ht="15.75" hidden="false" customHeight="true" outlineLevel="0" collapsed="false">
      <c r="A971" s="100"/>
      <c r="B971" s="101"/>
      <c r="C971" s="101"/>
      <c r="D971" s="101"/>
      <c r="E971" s="101"/>
      <c r="F971" s="102"/>
      <c r="G971" s="102"/>
      <c r="H971" s="102"/>
      <c r="I971" s="102"/>
      <c r="J971" s="102"/>
      <c r="K971" s="102"/>
      <c r="L971" s="103" t="str">
        <f aca="false">IF(OR($B971="", $H971="", $I971="", $J971="", $K971=""),"",ROUND((VLOOKUP($H971,Lists!$E$2:$F$5,2,FALSE())*VLOOKUP($I971,Lists!$H$2:$I$4,2,FALSE())*VLOOKUP($J971,Lists!$K$2:$L$4,2,FALSE()))/VLOOKUP($K971,Lists!$N$2:$O$6,2,FALSE()),2))</f>
        <v/>
      </c>
      <c r="M971" s="104" t="str">
        <f aca="false">IF($B971="","",IF($AC971&lt;&gt;"",$AC971,IF($H971="Critical","P0",IF(NOT(ISNUMBER($L971)),"",IF($L971&gt;=Lists!$AM$2,"P0",IF($L971&gt;=Lists!$AM$3,"P1",IF($L971&gt;=Lists!$AM$4,"P2","P3")))))))</f>
        <v/>
      </c>
      <c r="N971" s="102"/>
      <c r="O971" s="101"/>
      <c r="P971" s="102"/>
      <c r="Q971" s="105"/>
      <c r="R971" s="106" t="str">
        <f aca="true">IF($Q971="","", TODAY()-$Q971)</f>
        <v/>
      </c>
      <c r="S971" s="102"/>
      <c r="T971" s="105"/>
      <c r="U971" s="105"/>
      <c r="V971" s="101"/>
      <c r="W971" s="101"/>
      <c r="X971" s="101"/>
      <c r="Y971" s="96"/>
      <c r="Z971" s="96"/>
      <c r="AA971" s="96"/>
      <c r="AC971" s="102"/>
      <c r="AD971" s="107" t="str">
        <f aca="false">IF($B971="","",IF(ISNUMBER($T971),$T971,IF(OR(NOT(ISNUMBER($Q971)),$S971=""),"",IFERROR(IF(ISNUMBER(INDEX(Lists!$AJ$2:$AJ$7,MATCH($S971,Lists!$AI$2:$AI$7,0))),$Q971+INDEX(Lists!$AJ$2:$AJ$7,MATCH($S971,Lists!$AI$2:$AI$7,0)),""),""))))</f>
        <v/>
      </c>
      <c r="AE971" s="104" t="str">
        <f aca="true">IF($B971="","",IF(AND(ISNUMBER($AD971),N($AD971)&lt;TODAY(),$N971&lt;&gt;"Done",$N971&lt;&gt;"Won't Fix",$N971&lt;&gt;"Duplicate"),"Yes","No"))</f>
        <v/>
      </c>
      <c r="AF971" s="101"/>
      <c r="AG971" s="108" t="str">
        <f aca="false">IF($AF971="","",IFERROR(VLOOKUP($AF971,'Application Portfolio'!$A$2:$B$1000,2,FALSE()),"Unknown App ID"))</f>
        <v/>
      </c>
      <c r="AH971" s="108" t="str">
        <f aca="false">IF(OR($B971="",$AF971=""),"",IFERROR(VLOOKUP($AF971,'Application Portfolio'!$A$2:$AB$1000,28,FALSE()),""))</f>
        <v/>
      </c>
    </row>
    <row r="972" customFormat="false" ht="15.75" hidden="false" customHeight="true" outlineLevel="0" collapsed="false">
      <c r="A972" s="100"/>
      <c r="B972" s="101"/>
      <c r="C972" s="101"/>
      <c r="D972" s="101"/>
      <c r="E972" s="101"/>
      <c r="F972" s="102"/>
      <c r="G972" s="102"/>
      <c r="H972" s="102"/>
      <c r="I972" s="102"/>
      <c r="J972" s="102"/>
      <c r="K972" s="102"/>
      <c r="L972" s="103" t="str">
        <f aca="false">IF(OR($B972="", $H972="", $I972="", $J972="", $K972=""),"",ROUND((VLOOKUP($H972,Lists!$E$2:$F$5,2,FALSE())*VLOOKUP($I972,Lists!$H$2:$I$4,2,FALSE())*VLOOKUP($J972,Lists!$K$2:$L$4,2,FALSE()))/VLOOKUP($K972,Lists!$N$2:$O$6,2,FALSE()),2))</f>
        <v/>
      </c>
      <c r="M972" s="104" t="str">
        <f aca="false">IF($B972="","",IF($AC972&lt;&gt;"",$AC972,IF($H972="Critical","P0",IF(NOT(ISNUMBER($L972)),"",IF($L972&gt;=Lists!$AM$2,"P0",IF($L972&gt;=Lists!$AM$3,"P1",IF($L972&gt;=Lists!$AM$4,"P2","P3")))))))</f>
        <v/>
      </c>
      <c r="N972" s="102"/>
      <c r="O972" s="101"/>
      <c r="P972" s="102"/>
      <c r="Q972" s="105"/>
      <c r="R972" s="106" t="str">
        <f aca="true">IF($Q972="","", TODAY()-$Q972)</f>
        <v/>
      </c>
      <c r="S972" s="102"/>
      <c r="T972" s="105"/>
      <c r="U972" s="105"/>
      <c r="V972" s="101"/>
      <c r="W972" s="101"/>
      <c r="X972" s="101"/>
      <c r="Y972" s="96"/>
      <c r="Z972" s="96"/>
      <c r="AA972" s="96"/>
      <c r="AC972" s="102"/>
      <c r="AD972" s="107" t="str">
        <f aca="false">IF($B972="","",IF(ISNUMBER($T972),$T972,IF(OR(NOT(ISNUMBER($Q972)),$S972=""),"",IFERROR(IF(ISNUMBER(INDEX(Lists!$AJ$2:$AJ$7,MATCH($S972,Lists!$AI$2:$AI$7,0))),$Q972+INDEX(Lists!$AJ$2:$AJ$7,MATCH($S972,Lists!$AI$2:$AI$7,0)),""),""))))</f>
        <v/>
      </c>
      <c r="AE972" s="104" t="str">
        <f aca="true">IF($B972="","",IF(AND(ISNUMBER($AD972),N($AD972)&lt;TODAY(),$N972&lt;&gt;"Done",$N972&lt;&gt;"Won't Fix",$N972&lt;&gt;"Duplicate"),"Yes","No"))</f>
        <v/>
      </c>
      <c r="AF972" s="101"/>
      <c r="AG972" s="108" t="str">
        <f aca="false">IF($AF972="","",IFERROR(VLOOKUP($AF972,'Application Portfolio'!$A$2:$B$1000,2,FALSE()),"Unknown App ID"))</f>
        <v/>
      </c>
      <c r="AH972" s="108" t="str">
        <f aca="false">IF(OR($B972="",$AF972=""),"",IFERROR(VLOOKUP($AF972,'Application Portfolio'!$A$2:$AB$1000,28,FALSE()),""))</f>
        <v/>
      </c>
    </row>
    <row r="973" customFormat="false" ht="15.75" hidden="false" customHeight="true" outlineLevel="0" collapsed="false">
      <c r="A973" s="100"/>
      <c r="B973" s="101"/>
      <c r="C973" s="101"/>
      <c r="D973" s="101"/>
      <c r="E973" s="101"/>
      <c r="F973" s="102"/>
      <c r="G973" s="102"/>
      <c r="H973" s="102"/>
      <c r="I973" s="102"/>
      <c r="J973" s="102"/>
      <c r="K973" s="102"/>
      <c r="L973" s="103" t="str">
        <f aca="false">IF(OR($B973="", $H973="", $I973="", $J973="", $K973=""),"",ROUND((VLOOKUP($H973,Lists!$E$2:$F$5,2,FALSE())*VLOOKUP($I973,Lists!$H$2:$I$4,2,FALSE())*VLOOKUP($J973,Lists!$K$2:$L$4,2,FALSE()))/VLOOKUP($K973,Lists!$N$2:$O$6,2,FALSE()),2))</f>
        <v/>
      </c>
      <c r="M973" s="104" t="str">
        <f aca="false">IF($B973="","",IF($AC973&lt;&gt;"",$AC973,IF($H973="Critical","P0",IF(NOT(ISNUMBER($L973)),"",IF($L973&gt;=Lists!$AM$2,"P0",IF($L973&gt;=Lists!$AM$3,"P1",IF($L973&gt;=Lists!$AM$4,"P2","P3")))))))</f>
        <v/>
      </c>
      <c r="N973" s="102"/>
      <c r="O973" s="101"/>
      <c r="P973" s="102"/>
      <c r="Q973" s="105"/>
      <c r="R973" s="106" t="str">
        <f aca="true">IF($Q973="","", TODAY()-$Q973)</f>
        <v/>
      </c>
      <c r="S973" s="102"/>
      <c r="T973" s="105"/>
      <c r="U973" s="105"/>
      <c r="V973" s="101"/>
      <c r="W973" s="101"/>
      <c r="X973" s="101"/>
      <c r="Y973" s="96"/>
      <c r="Z973" s="96"/>
      <c r="AA973" s="96"/>
      <c r="AC973" s="102"/>
      <c r="AD973" s="107" t="str">
        <f aca="false">IF($B973="","",IF(ISNUMBER($T973),$T973,IF(OR(NOT(ISNUMBER($Q973)),$S973=""),"",IFERROR(IF(ISNUMBER(INDEX(Lists!$AJ$2:$AJ$7,MATCH($S973,Lists!$AI$2:$AI$7,0))),$Q973+INDEX(Lists!$AJ$2:$AJ$7,MATCH($S973,Lists!$AI$2:$AI$7,0)),""),""))))</f>
        <v/>
      </c>
      <c r="AE973" s="104" t="str">
        <f aca="true">IF($B973="","",IF(AND(ISNUMBER($AD973),N($AD973)&lt;TODAY(),$N973&lt;&gt;"Done",$N973&lt;&gt;"Won't Fix",$N973&lt;&gt;"Duplicate"),"Yes","No"))</f>
        <v/>
      </c>
      <c r="AF973" s="101"/>
      <c r="AG973" s="108" t="str">
        <f aca="false">IF($AF973="","",IFERROR(VLOOKUP($AF973,'Application Portfolio'!$A$2:$B$1000,2,FALSE()),"Unknown App ID"))</f>
        <v/>
      </c>
      <c r="AH973" s="108" t="str">
        <f aca="false">IF(OR($B973="",$AF973=""),"",IFERROR(VLOOKUP($AF973,'Application Portfolio'!$A$2:$AB$1000,28,FALSE()),""))</f>
        <v/>
      </c>
    </row>
    <row r="974" customFormat="false" ht="15.75" hidden="false" customHeight="true" outlineLevel="0" collapsed="false">
      <c r="A974" s="100"/>
      <c r="B974" s="101"/>
      <c r="C974" s="101"/>
      <c r="D974" s="101"/>
      <c r="E974" s="101"/>
      <c r="F974" s="102"/>
      <c r="G974" s="102"/>
      <c r="H974" s="102"/>
      <c r="I974" s="102"/>
      <c r="J974" s="102"/>
      <c r="K974" s="102"/>
      <c r="L974" s="103" t="str">
        <f aca="false">IF(OR($B974="", $H974="", $I974="", $J974="", $K974=""),"",ROUND((VLOOKUP($H974,Lists!$E$2:$F$5,2,FALSE())*VLOOKUP($I974,Lists!$H$2:$I$4,2,FALSE())*VLOOKUP($J974,Lists!$K$2:$L$4,2,FALSE()))/VLOOKUP($K974,Lists!$N$2:$O$6,2,FALSE()),2))</f>
        <v/>
      </c>
      <c r="M974" s="104" t="str">
        <f aca="false">IF($B974="","",IF($AC974&lt;&gt;"",$AC974,IF($H974="Critical","P0",IF(NOT(ISNUMBER($L974)),"",IF($L974&gt;=Lists!$AM$2,"P0",IF($L974&gt;=Lists!$AM$3,"P1",IF($L974&gt;=Lists!$AM$4,"P2","P3")))))))</f>
        <v/>
      </c>
      <c r="N974" s="102"/>
      <c r="O974" s="101"/>
      <c r="P974" s="102"/>
      <c r="Q974" s="105"/>
      <c r="R974" s="106" t="str">
        <f aca="true">IF($Q974="","", TODAY()-$Q974)</f>
        <v/>
      </c>
      <c r="S974" s="102"/>
      <c r="T974" s="105"/>
      <c r="U974" s="105"/>
      <c r="V974" s="101"/>
      <c r="W974" s="101"/>
      <c r="X974" s="101"/>
      <c r="Y974" s="96"/>
      <c r="Z974" s="96"/>
      <c r="AA974" s="96"/>
      <c r="AC974" s="102"/>
      <c r="AD974" s="107" t="str">
        <f aca="false">IF($B974="","",IF(ISNUMBER($T974),$T974,IF(OR(NOT(ISNUMBER($Q974)),$S974=""),"",IFERROR(IF(ISNUMBER(INDEX(Lists!$AJ$2:$AJ$7,MATCH($S974,Lists!$AI$2:$AI$7,0))),$Q974+INDEX(Lists!$AJ$2:$AJ$7,MATCH($S974,Lists!$AI$2:$AI$7,0)),""),""))))</f>
        <v/>
      </c>
      <c r="AE974" s="104" t="str">
        <f aca="true">IF($B974="","",IF(AND(ISNUMBER($AD974),N($AD974)&lt;TODAY(),$N974&lt;&gt;"Done",$N974&lt;&gt;"Won't Fix",$N974&lt;&gt;"Duplicate"),"Yes","No"))</f>
        <v/>
      </c>
      <c r="AF974" s="101"/>
      <c r="AG974" s="108" t="str">
        <f aca="false">IF($AF974="","",IFERROR(VLOOKUP($AF974,'Application Portfolio'!$A$2:$B$1000,2,FALSE()),"Unknown App ID"))</f>
        <v/>
      </c>
      <c r="AH974" s="108" t="str">
        <f aca="false">IF(OR($B974="",$AF974=""),"",IFERROR(VLOOKUP($AF974,'Application Portfolio'!$A$2:$AB$1000,28,FALSE()),""))</f>
        <v/>
      </c>
    </row>
    <row r="975" customFormat="false" ht="15.75" hidden="false" customHeight="true" outlineLevel="0" collapsed="false">
      <c r="A975" s="100"/>
      <c r="B975" s="101"/>
      <c r="C975" s="101"/>
      <c r="D975" s="101"/>
      <c r="E975" s="101"/>
      <c r="F975" s="102"/>
      <c r="G975" s="102"/>
      <c r="H975" s="102"/>
      <c r="I975" s="102"/>
      <c r="J975" s="102"/>
      <c r="K975" s="102"/>
      <c r="L975" s="103" t="str">
        <f aca="false">IF(OR($B975="", $H975="", $I975="", $J975="", $K975=""),"",ROUND((VLOOKUP($H975,Lists!$E$2:$F$5,2,FALSE())*VLOOKUP($I975,Lists!$H$2:$I$4,2,FALSE())*VLOOKUP($J975,Lists!$K$2:$L$4,2,FALSE()))/VLOOKUP($K975,Lists!$N$2:$O$6,2,FALSE()),2))</f>
        <v/>
      </c>
      <c r="M975" s="104" t="str">
        <f aca="false">IF($B975="","",IF($AC975&lt;&gt;"",$AC975,IF($H975="Critical","P0",IF(NOT(ISNUMBER($L975)),"",IF($L975&gt;=Lists!$AM$2,"P0",IF($L975&gt;=Lists!$AM$3,"P1",IF($L975&gt;=Lists!$AM$4,"P2","P3")))))))</f>
        <v/>
      </c>
      <c r="N975" s="102"/>
      <c r="O975" s="101"/>
      <c r="P975" s="102"/>
      <c r="Q975" s="105"/>
      <c r="R975" s="106" t="str">
        <f aca="true">IF($Q975="","", TODAY()-$Q975)</f>
        <v/>
      </c>
      <c r="S975" s="102"/>
      <c r="T975" s="105"/>
      <c r="U975" s="105"/>
      <c r="V975" s="101"/>
      <c r="W975" s="101"/>
      <c r="X975" s="101"/>
      <c r="Y975" s="96"/>
      <c r="Z975" s="96"/>
      <c r="AA975" s="96"/>
      <c r="AC975" s="102"/>
      <c r="AD975" s="107" t="str">
        <f aca="false">IF($B975="","",IF(ISNUMBER($T975),$T975,IF(OR(NOT(ISNUMBER($Q975)),$S975=""),"",IFERROR(IF(ISNUMBER(INDEX(Lists!$AJ$2:$AJ$7,MATCH($S975,Lists!$AI$2:$AI$7,0))),$Q975+INDEX(Lists!$AJ$2:$AJ$7,MATCH($S975,Lists!$AI$2:$AI$7,0)),""),""))))</f>
        <v/>
      </c>
      <c r="AE975" s="104" t="str">
        <f aca="true">IF($B975="","",IF(AND(ISNUMBER($AD975),N($AD975)&lt;TODAY(),$N975&lt;&gt;"Done",$N975&lt;&gt;"Won't Fix",$N975&lt;&gt;"Duplicate"),"Yes","No"))</f>
        <v/>
      </c>
      <c r="AF975" s="101"/>
      <c r="AG975" s="108" t="str">
        <f aca="false">IF($AF975="","",IFERROR(VLOOKUP($AF975,'Application Portfolio'!$A$2:$B$1000,2,FALSE()),"Unknown App ID"))</f>
        <v/>
      </c>
      <c r="AH975" s="108" t="str">
        <f aca="false">IF(OR($B975="",$AF975=""),"",IFERROR(VLOOKUP($AF975,'Application Portfolio'!$A$2:$AB$1000,28,FALSE()),""))</f>
        <v/>
      </c>
    </row>
    <row r="976" customFormat="false" ht="15.75" hidden="false" customHeight="true" outlineLevel="0" collapsed="false">
      <c r="A976" s="100"/>
      <c r="B976" s="101"/>
      <c r="C976" s="101"/>
      <c r="D976" s="101"/>
      <c r="E976" s="101"/>
      <c r="F976" s="102"/>
      <c r="G976" s="102"/>
      <c r="H976" s="102"/>
      <c r="I976" s="102"/>
      <c r="J976" s="102"/>
      <c r="K976" s="102"/>
      <c r="L976" s="103" t="str">
        <f aca="false">IF(OR($B976="", $H976="", $I976="", $J976="", $K976=""),"",ROUND((VLOOKUP($H976,Lists!$E$2:$F$5,2,FALSE())*VLOOKUP($I976,Lists!$H$2:$I$4,2,FALSE())*VLOOKUP($J976,Lists!$K$2:$L$4,2,FALSE()))/VLOOKUP($K976,Lists!$N$2:$O$6,2,FALSE()),2))</f>
        <v/>
      </c>
      <c r="M976" s="104" t="str">
        <f aca="false">IF($B976="","",IF($AC976&lt;&gt;"",$AC976,IF($H976="Critical","P0",IF(NOT(ISNUMBER($L976)),"",IF($L976&gt;=Lists!$AM$2,"P0",IF($L976&gt;=Lists!$AM$3,"P1",IF($L976&gt;=Lists!$AM$4,"P2","P3")))))))</f>
        <v/>
      </c>
      <c r="N976" s="102"/>
      <c r="O976" s="101"/>
      <c r="P976" s="102"/>
      <c r="Q976" s="105"/>
      <c r="R976" s="106" t="str">
        <f aca="true">IF($Q976="","", TODAY()-$Q976)</f>
        <v/>
      </c>
      <c r="S976" s="102"/>
      <c r="T976" s="105"/>
      <c r="U976" s="105"/>
      <c r="V976" s="101"/>
      <c r="W976" s="101"/>
      <c r="X976" s="101"/>
      <c r="Y976" s="96"/>
      <c r="Z976" s="96"/>
      <c r="AA976" s="96"/>
      <c r="AC976" s="102"/>
      <c r="AD976" s="107" t="str">
        <f aca="false">IF($B976="","",IF(ISNUMBER($T976),$T976,IF(OR(NOT(ISNUMBER($Q976)),$S976=""),"",IFERROR(IF(ISNUMBER(INDEX(Lists!$AJ$2:$AJ$7,MATCH($S976,Lists!$AI$2:$AI$7,0))),$Q976+INDEX(Lists!$AJ$2:$AJ$7,MATCH($S976,Lists!$AI$2:$AI$7,0)),""),""))))</f>
        <v/>
      </c>
      <c r="AE976" s="104" t="str">
        <f aca="true">IF($B976="","",IF(AND(ISNUMBER($AD976),N($AD976)&lt;TODAY(),$N976&lt;&gt;"Done",$N976&lt;&gt;"Won't Fix",$N976&lt;&gt;"Duplicate"),"Yes","No"))</f>
        <v/>
      </c>
      <c r="AF976" s="101"/>
      <c r="AG976" s="108" t="str">
        <f aca="false">IF($AF976="","",IFERROR(VLOOKUP($AF976,'Application Portfolio'!$A$2:$B$1000,2,FALSE()),"Unknown App ID"))</f>
        <v/>
      </c>
      <c r="AH976" s="108" t="str">
        <f aca="false">IF(OR($B976="",$AF976=""),"",IFERROR(VLOOKUP($AF976,'Application Portfolio'!$A$2:$AB$1000,28,FALSE()),""))</f>
        <v/>
      </c>
    </row>
    <row r="977" customFormat="false" ht="15.75" hidden="false" customHeight="true" outlineLevel="0" collapsed="false">
      <c r="A977" s="100"/>
      <c r="B977" s="101"/>
      <c r="C977" s="101"/>
      <c r="D977" s="101"/>
      <c r="E977" s="101"/>
      <c r="F977" s="102"/>
      <c r="G977" s="102"/>
      <c r="H977" s="102"/>
      <c r="I977" s="102"/>
      <c r="J977" s="102"/>
      <c r="K977" s="102"/>
      <c r="L977" s="103" t="str">
        <f aca="false">IF(OR($B977="", $H977="", $I977="", $J977="", $K977=""),"",ROUND((VLOOKUP($H977,Lists!$E$2:$F$5,2,FALSE())*VLOOKUP($I977,Lists!$H$2:$I$4,2,FALSE())*VLOOKUP($J977,Lists!$K$2:$L$4,2,FALSE()))/VLOOKUP($K977,Lists!$N$2:$O$6,2,FALSE()),2))</f>
        <v/>
      </c>
      <c r="M977" s="104" t="str">
        <f aca="false">IF($B977="","",IF($AC977&lt;&gt;"",$AC977,IF($H977="Critical","P0",IF(NOT(ISNUMBER($L977)),"",IF($L977&gt;=Lists!$AM$2,"P0",IF($L977&gt;=Lists!$AM$3,"P1",IF($L977&gt;=Lists!$AM$4,"P2","P3")))))))</f>
        <v/>
      </c>
      <c r="N977" s="102"/>
      <c r="O977" s="101"/>
      <c r="P977" s="102"/>
      <c r="Q977" s="105"/>
      <c r="R977" s="106" t="str">
        <f aca="true">IF($Q977="","", TODAY()-$Q977)</f>
        <v/>
      </c>
      <c r="S977" s="102"/>
      <c r="T977" s="105"/>
      <c r="U977" s="105"/>
      <c r="V977" s="101"/>
      <c r="W977" s="101"/>
      <c r="X977" s="101"/>
      <c r="Y977" s="96"/>
      <c r="Z977" s="96"/>
      <c r="AA977" s="96"/>
      <c r="AC977" s="102"/>
      <c r="AD977" s="107" t="str">
        <f aca="false">IF($B977="","",IF(ISNUMBER($T977),$T977,IF(OR(NOT(ISNUMBER($Q977)),$S977=""),"",IFERROR(IF(ISNUMBER(INDEX(Lists!$AJ$2:$AJ$7,MATCH($S977,Lists!$AI$2:$AI$7,0))),$Q977+INDEX(Lists!$AJ$2:$AJ$7,MATCH($S977,Lists!$AI$2:$AI$7,0)),""),""))))</f>
        <v/>
      </c>
      <c r="AE977" s="104" t="str">
        <f aca="true">IF($B977="","",IF(AND(ISNUMBER($AD977),N($AD977)&lt;TODAY(),$N977&lt;&gt;"Done",$N977&lt;&gt;"Won't Fix",$N977&lt;&gt;"Duplicate"),"Yes","No"))</f>
        <v/>
      </c>
      <c r="AF977" s="101"/>
      <c r="AG977" s="108" t="str">
        <f aca="false">IF($AF977="","",IFERROR(VLOOKUP($AF977,'Application Portfolio'!$A$2:$B$1000,2,FALSE()),"Unknown App ID"))</f>
        <v/>
      </c>
      <c r="AH977" s="108" t="str">
        <f aca="false">IF(OR($B977="",$AF977=""),"",IFERROR(VLOOKUP($AF977,'Application Portfolio'!$A$2:$AB$1000,28,FALSE()),""))</f>
        <v/>
      </c>
    </row>
    <row r="978" customFormat="false" ht="15.75" hidden="false" customHeight="true" outlineLevel="0" collapsed="false">
      <c r="A978" s="100"/>
      <c r="B978" s="101"/>
      <c r="C978" s="101"/>
      <c r="D978" s="101"/>
      <c r="E978" s="101"/>
      <c r="F978" s="102"/>
      <c r="G978" s="102"/>
      <c r="H978" s="102"/>
      <c r="I978" s="102"/>
      <c r="J978" s="102"/>
      <c r="K978" s="102"/>
      <c r="L978" s="103" t="str">
        <f aca="false">IF(OR($B978="", $H978="", $I978="", $J978="", $K978=""),"",ROUND((VLOOKUP($H978,Lists!$E$2:$F$5,2,FALSE())*VLOOKUP($I978,Lists!$H$2:$I$4,2,FALSE())*VLOOKUP($J978,Lists!$K$2:$L$4,2,FALSE()))/VLOOKUP($K978,Lists!$N$2:$O$6,2,FALSE()),2))</f>
        <v/>
      </c>
      <c r="M978" s="104" t="str">
        <f aca="false">IF($B978="","",IF($AC978&lt;&gt;"",$AC978,IF($H978="Critical","P0",IF(NOT(ISNUMBER($L978)),"",IF($L978&gt;=Lists!$AM$2,"P0",IF($L978&gt;=Lists!$AM$3,"P1",IF($L978&gt;=Lists!$AM$4,"P2","P3")))))))</f>
        <v/>
      </c>
      <c r="N978" s="102"/>
      <c r="O978" s="101"/>
      <c r="P978" s="102"/>
      <c r="Q978" s="105"/>
      <c r="R978" s="106" t="str">
        <f aca="true">IF($Q978="","", TODAY()-$Q978)</f>
        <v/>
      </c>
      <c r="S978" s="102"/>
      <c r="T978" s="105"/>
      <c r="U978" s="105"/>
      <c r="V978" s="101"/>
      <c r="W978" s="101"/>
      <c r="X978" s="101"/>
      <c r="Y978" s="96"/>
      <c r="Z978" s="96"/>
      <c r="AA978" s="96"/>
      <c r="AC978" s="102"/>
      <c r="AD978" s="107" t="str">
        <f aca="false">IF($B978="","",IF(ISNUMBER($T978),$T978,IF(OR(NOT(ISNUMBER($Q978)),$S978=""),"",IFERROR(IF(ISNUMBER(INDEX(Lists!$AJ$2:$AJ$7,MATCH($S978,Lists!$AI$2:$AI$7,0))),$Q978+INDEX(Lists!$AJ$2:$AJ$7,MATCH($S978,Lists!$AI$2:$AI$7,0)),""),""))))</f>
        <v/>
      </c>
      <c r="AE978" s="104" t="str">
        <f aca="true">IF($B978="","",IF(AND(ISNUMBER($AD978),N($AD978)&lt;TODAY(),$N978&lt;&gt;"Done",$N978&lt;&gt;"Won't Fix",$N978&lt;&gt;"Duplicate"),"Yes","No"))</f>
        <v/>
      </c>
      <c r="AF978" s="101"/>
      <c r="AG978" s="108" t="str">
        <f aca="false">IF($AF978="","",IFERROR(VLOOKUP($AF978,'Application Portfolio'!$A$2:$B$1000,2,FALSE()),"Unknown App ID"))</f>
        <v/>
      </c>
      <c r="AH978" s="108" t="str">
        <f aca="false">IF(OR($B978="",$AF978=""),"",IFERROR(VLOOKUP($AF978,'Application Portfolio'!$A$2:$AB$1000,28,FALSE()),""))</f>
        <v/>
      </c>
    </row>
    <row r="979" customFormat="false" ht="15.75" hidden="false" customHeight="true" outlineLevel="0" collapsed="false">
      <c r="A979" s="100"/>
      <c r="B979" s="101"/>
      <c r="C979" s="101"/>
      <c r="D979" s="101"/>
      <c r="E979" s="101"/>
      <c r="F979" s="102"/>
      <c r="G979" s="102"/>
      <c r="H979" s="102"/>
      <c r="I979" s="102"/>
      <c r="J979" s="102"/>
      <c r="K979" s="102"/>
      <c r="L979" s="103" t="str">
        <f aca="false">IF(OR($B979="", $H979="", $I979="", $J979="", $K979=""),"",ROUND((VLOOKUP($H979,Lists!$E$2:$F$5,2,FALSE())*VLOOKUP($I979,Lists!$H$2:$I$4,2,FALSE())*VLOOKUP($J979,Lists!$K$2:$L$4,2,FALSE()))/VLOOKUP($K979,Lists!$N$2:$O$6,2,FALSE()),2))</f>
        <v/>
      </c>
      <c r="M979" s="104" t="str">
        <f aca="false">IF($B979="","",IF($AC979&lt;&gt;"",$AC979,IF($H979="Critical","P0",IF(NOT(ISNUMBER($L979)),"",IF($L979&gt;=Lists!$AM$2,"P0",IF($L979&gt;=Lists!$AM$3,"P1",IF($L979&gt;=Lists!$AM$4,"P2","P3")))))))</f>
        <v/>
      </c>
      <c r="N979" s="102"/>
      <c r="O979" s="101"/>
      <c r="P979" s="102"/>
      <c r="Q979" s="105"/>
      <c r="R979" s="106" t="str">
        <f aca="true">IF($Q979="","", TODAY()-$Q979)</f>
        <v/>
      </c>
      <c r="S979" s="102"/>
      <c r="T979" s="105"/>
      <c r="U979" s="105"/>
      <c r="V979" s="101"/>
      <c r="W979" s="101"/>
      <c r="X979" s="101"/>
      <c r="Y979" s="96"/>
      <c r="Z979" s="96"/>
      <c r="AA979" s="96"/>
      <c r="AC979" s="102"/>
      <c r="AD979" s="107" t="str">
        <f aca="false">IF($B979="","",IF(ISNUMBER($T979),$T979,IF(OR(NOT(ISNUMBER($Q979)),$S979=""),"",IFERROR(IF(ISNUMBER(INDEX(Lists!$AJ$2:$AJ$7,MATCH($S979,Lists!$AI$2:$AI$7,0))),$Q979+INDEX(Lists!$AJ$2:$AJ$7,MATCH($S979,Lists!$AI$2:$AI$7,0)),""),""))))</f>
        <v/>
      </c>
      <c r="AE979" s="104" t="str">
        <f aca="true">IF($B979="","",IF(AND(ISNUMBER($AD979),N($AD979)&lt;TODAY(),$N979&lt;&gt;"Done",$N979&lt;&gt;"Won't Fix",$N979&lt;&gt;"Duplicate"),"Yes","No"))</f>
        <v/>
      </c>
      <c r="AF979" s="101"/>
      <c r="AG979" s="108" t="str">
        <f aca="false">IF($AF979="","",IFERROR(VLOOKUP($AF979,'Application Portfolio'!$A$2:$B$1000,2,FALSE()),"Unknown App ID"))</f>
        <v/>
      </c>
      <c r="AH979" s="108" t="str">
        <f aca="false">IF(OR($B979="",$AF979=""),"",IFERROR(VLOOKUP($AF979,'Application Portfolio'!$A$2:$AB$1000,28,FALSE()),""))</f>
        <v/>
      </c>
    </row>
    <row r="980" customFormat="false" ht="15.75" hidden="false" customHeight="true" outlineLevel="0" collapsed="false">
      <c r="A980" s="100"/>
      <c r="B980" s="101"/>
      <c r="C980" s="101"/>
      <c r="D980" s="101"/>
      <c r="E980" s="101"/>
      <c r="F980" s="102"/>
      <c r="G980" s="102"/>
      <c r="H980" s="102"/>
      <c r="I980" s="102"/>
      <c r="J980" s="102"/>
      <c r="K980" s="102"/>
      <c r="L980" s="103" t="str">
        <f aca="false">IF(OR($B980="", $H980="", $I980="", $J980="", $K980=""),"",ROUND((VLOOKUP($H980,Lists!$E$2:$F$5,2,FALSE())*VLOOKUP($I980,Lists!$H$2:$I$4,2,FALSE())*VLOOKUP($J980,Lists!$K$2:$L$4,2,FALSE()))/VLOOKUP($K980,Lists!$N$2:$O$6,2,FALSE()),2))</f>
        <v/>
      </c>
      <c r="M980" s="104" t="str">
        <f aca="false">IF($B980="","",IF($AC980&lt;&gt;"",$AC980,IF($H980="Critical","P0",IF(NOT(ISNUMBER($L980)),"",IF($L980&gt;=Lists!$AM$2,"P0",IF($L980&gt;=Lists!$AM$3,"P1",IF($L980&gt;=Lists!$AM$4,"P2","P3")))))))</f>
        <v/>
      </c>
      <c r="N980" s="102"/>
      <c r="O980" s="101"/>
      <c r="P980" s="102"/>
      <c r="Q980" s="105"/>
      <c r="R980" s="106" t="str">
        <f aca="true">IF($Q980="","", TODAY()-$Q980)</f>
        <v/>
      </c>
      <c r="S980" s="102"/>
      <c r="T980" s="105"/>
      <c r="U980" s="105"/>
      <c r="V980" s="101"/>
      <c r="W980" s="101"/>
      <c r="X980" s="101"/>
      <c r="Y980" s="96"/>
      <c r="Z980" s="96"/>
      <c r="AA980" s="96"/>
      <c r="AC980" s="102"/>
      <c r="AD980" s="107" t="str">
        <f aca="false">IF($B980="","",IF(ISNUMBER($T980),$T980,IF(OR(NOT(ISNUMBER($Q980)),$S980=""),"",IFERROR(IF(ISNUMBER(INDEX(Lists!$AJ$2:$AJ$7,MATCH($S980,Lists!$AI$2:$AI$7,0))),$Q980+INDEX(Lists!$AJ$2:$AJ$7,MATCH($S980,Lists!$AI$2:$AI$7,0)),""),""))))</f>
        <v/>
      </c>
      <c r="AE980" s="104" t="str">
        <f aca="true">IF($B980="","",IF(AND(ISNUMBER($AD980),N($AD980)&lt;TODAY(),$N980&lt;&gt;"Done",$N980&lt;&gt;"Won't Fix",$N980&lt;&gt;"Duplicate"),"Yes","No"))</f>
        <v/>
      </c>
      <c r="AF980" s="101"/>
      <c r="AG980" s="108" t="str">
        <f aca="false">IF($AF980="","",IFERROR(VLOOKUP($AF980,'Application Portfolio'!$A$2:$B$1000,2,FALSE()),"Unknown App ID"))</f>
        <v/>
      </c>
      <c r="AH980" s="108" t="str">
        <f aca="false">IF(OR($B980="",$AF980=""),"",IFERROR(VLOOKUP($AF980,'Application Portfolio'!$A$2:$AB$1000,28,FALSE()),""))</f>
        <v/>
      </c>
    </row>
    <row r="981" customFormat="false" ht="15.75" hidden="false" customHeight="true" outlineLevel="0" collapsed="false">
      <c r="A981" s="100"/>
      <c r="B981" s="101"/>
      <c r="C981" s="101"/>
      <c r="D981" s="101"/>
      <c r="E981" s="101"/>
      <c r="F981" s="102"/>
      <c r="G981" s="102"/>
      <c r="H981" s="102"/>
      <c r="I981" s="102"/>
      <c r="J981" s="102"/>
      <c r="K981" s="102"/>
      <c r="L981" s="103" t="str">
        <f aca="false">IF(OR($B981="", $H981="", $I981="", $J981="", $K981=""),"",ROUND((VLOOKUP($H981,Lists!$E$2:$F$5,2,FALSE())*VLOOKUP($I981,Lists!$H$2:$I$4,2,FALSE())*VLOOKUP($J981,Lists!$K$2:$L$4,2,FALSE()))/VLOOKUP($K981,Lists!$N$2:$O$6,2,FALSE()),2))</f>
        <v/>
      </c>
      <c r="M981" s="104" t="str">
        <f aca="false">IF($B981="","",IF($AC981&lt;&gt;"",$AC981,IF($H981="Critical","P0",IF(NOT(ISNUMBER($L981)),"",IF($L981&gt;=Lists!$AM$2,"P0",IF($L981&gt;=Lists!$AM$3,"P1",IF($L981&gt;=Lists!$AM$4,"P2","P3")))))))</f>
        <v/>
      </c>
      <c r="N981" s="102"/>
      <c r="O981" s="101"/>
      <c r="P981" s="102"/>
      <c r="Q981" s="105"/>
      <c r="R981" s="106" t="str">
        <f aca="true">IF($Q981="","", TODAY()-$Q981)</f>
        <v/>
      </c>
      <c r="S981" s="102"/>
      <c r="T981" s="105"/>
      <c r="U981" s="105"/>
      <c r="V981" s="101"/>
      <c r="W981" s="101"/>
      <c r="X981" s="101"/>
      <c r="Y981" s="96"/>
      <c r="Z981" s="96"/>
      <c r="AA981" s="96"/>
      <c r="AC981" s="102"/>
      <c r="AD981" s="107" t="str">
        <f aca="false">IF($B981="","",IF(ISNUMBER($T981),$T981,IF(OR(NOT(ISNUMBER($Q981)),$S981=""),"",IFERROR(IF(ISNUMBER(INDEX(Lists!$AJ$2:$AJ$7,MATCH($S981,Lists!$AI$2:$AI$7,0))),$Q981+INDEX(Lists!$AJ$2:$AJ$7,MATCH($S981,Lists!$AI$2:$AI$7,0)),""),""))))</f>
        <v/>
      </c>
      <c r="AE981" s="104" t="str">
        <f aca="true">IF($B981="","",IF(AND(ISNUMBER($AD981),N($AD981)&lt;TODAY(),$N981&lt;&gt;"Done",$N981&lt;&gt;"Won't Fix",$N981&lt;&gt;"Duplicate"),"Yes","No"))</f>
        <v/>
      </c>
      <c r="AF981" s="101"/>
      <c r="AG981" s="108" t="str">
        <f aca="false">IF($AF981="","",IFERROR(VLOOKUP($AF981,'Application Portfolio'!$A$2:$B$1000,2,FALSE()),"Unknown App ID"))</f>
        <v/>
      </c>
      <c r="AH981" s="108" t="str">
        <f aca="false">IF(OR($B981="",$AF981=""),"",IFERROR(VLOOKUP($AF981,'Application Portfolio'!$A$2:$AB$1000,28,FALSE()),""))</f>
        <v/>
      </c>
    </row>
    <row r="982" customFormat="false" ht="15.75" hidden="false" customHeight="true" outlineLevel="0" collapsed="false">
      <c r="A982" s="100"/>
      <c r="B982" s="101"/>
      <c r="C982" s="101"/>
      <c r="D982" s="101"/>
      <c r="E982" s="101"/>
      <c r="F982" s="102"/>
      <c r="G982" s="102"/>
      <c r="H982" s="102"/>
      <c r="I982" s="102"/>
      <c r="J982" s="102"/>
      <c r="K982" s="102"/>
      <c r="L982" s="103" t="str">
        <f aca="false">IF(OR($B982="", $H982="", $I982="", $J982="", $K982=""),"",ROUND((VLOOKUP($H982,Lists!$E$2:$F$5,2,FALSE())*VLOOKUP($I982,Lists!$H$2:$I$4,2,FALSE())*VLOOKUP($J982,Lists!$K$2:$L$4,2,FALSE()))/VLOOKUP($K982,Lists!$N$2:$O$6,2,FALSE()),2))</f>
        <v/>
      </c>
      <c r="M982" s="104" t="str">
        <f aca="false">IF($B982="","",IF($AC982&lt;&gt;"",$AC982,IF($H982="Critical","P0",IF(NOT(ISNUMBER($L982)),"",IF($L982&gt;=Lists!$AM$2,"P0",IF($L982&gt;=Lists!$AM$3,"P1",IF($L982&gt;=Lists!$AM$4,"P2","P3")))))))</f>
        <v/>
      </c>
      <c r="N982" s="102"/>
      <c r="O982" s="101"/>
      <c r="P982" s="102"/>
      <c r="Q982" s="105"/>
      <c r="R982" s="106" t="str">
        <f aca="true">IF($Q982="","", TODAY()-$Q982)</f>
        <v/>
      </c>
      <c r="S982" s="102"/>
      <c r="T982" s="105"/>
      <c r="U982" s="105"/>
      <c r="V982" s="101"/>
      <c r="W982" s="101"/>
      <c r="X982" s="101"/>
      <c r="Y982" s="96"/>
      <c r="Z982" s="96"/>
      <c r="AA982" s="96"/>
      <c r="AC982" s="102"/>
      <c r="AD982" s="107" t="str">
        <f aca="false">IF($B982="","",IF(ISNUMBER($T982),$T982,IF(OR(NOT(ISNUMBER($Q982)),$S982=""),"",IFERROR(IF(ISNUMBER(INDEX(Lists!$AJ$2:$AJ$7,MATCH($S982,Lists!$AI$2:$AI$7,0))),$Q982+INDEX(Lists!$AJ$2:$AJ$7,MATCH($S982,Lists!$AI$2:$AI$7,0)),""),""))))</f>
        <v/>
      </c>
      <c r="AE982" s="104" t="str">
        <f aca="true">IF($B982="","",IF(AND(ISNUMBER($AD982),N($AD982)&lt;TODAY(),$N982&lt;&gt;"Done",$N982&lt;&gt;"Won't Fix",$N982&lt;&gt;"Duplicate"),"Yes","No"))</f>
        <v/>
      </c>
      <c r="AF982" s="101"/>
      <c r="AG982" s="108" t="str">
        <f aca="false">IF($AF982="","",IFERROR(VLOOKUP($AF982,'Application Portfolio'!$A$2:$B$1000,2,FALSE()),"Unknown App ID"))</f>
        <v/>
      </c>
      <c r="AH982" s="108" t="str">
        <f aca="false">IF(OR($B982="",$AF982=""),"",IFERROR(VLOOKUP($AF982,'Application Portfolio'!$A$2:$AB$1000,28,FALSE()),""))</f>
        <v/>
      </c>
    </row>
    <row r="983" customFormat="false" ht="15.75" hidden="false" customHeight="true" outlineLevel="0" collapsed="false">
      <c r="A983" s="100"/>
      <c r="B983" s="101"/>
      <c r="C983" s="101"/>
      <c r="D983" s="101"/>
      <c r="E983" s="101"/>
      <c r="F983" s="102"/>
      <c r="G983" s="102"/>
      <c r="H983" s="102"/>
      <c r="I983" s="102"/>
      <c r="J983" s="102"/>
      <c r="K983" s="102"/>
      <c r="L983" s="103" t="str">
        <f aca="false">IF(OR($B983="", $H983="", $I983="", $J983="", $K983=""),"",ROUND((VLOOKUP($H983,Lists!$E$2:$F$5,2,FALSE())*VLOOKUP($I983,Lists!$H$2:$I$4,2,FALSE())*VLOOKUP($J983,Lists!$K$2:$L$4,2,FALSE()))/VLOOKUP($K983,Lists!$N$2:$O$6,2,FALSE()),2))</f>
        <v/>
      </c>
      <c r="M983" s="104" t="str">
        <f aca="false">IF($B983="","",IF($AC983&lt;&gt;"",$AC983,IF($H983="Critical","P0",IF(NOT(ISNUMBER($L983)),"",IF($L983&gt;=Lists!$AM$2,"P0",IF($L983&gt;=Lists!$AM$3,"P1",IF($L983&gt;=Lists!$AM$4,"P2","P3")))))))</f>
        <v/>
      </c>
      <c r="N983" s="102"/>
      <c r="O983" s="101"/>
      <c r="P983" s="102"/>
      <c r="Q983" s="105"/>
      <c r="R983" s="106" t="str">
        <f aca="true">IF($Q983="","", TODAY()-$Q983)</f>
        <v/>
      </c>
      <c r="S983" s="102"/>
      <c r="T983" s="105"/>
      <c r="U983" s="105"/>
      <c r="V983" s="101"/>
      <c r="W983" s="101"/>
      <c r="X983" s="101"/>
      <c r="Y983" s="96"/>
      <c r="Z983" s="96"/>
      <c r="AA983" s="96"/>
      <c r="AC983" s="102"/>
      <c r="AD983" s="107" t="str">
        <f aca="false">IF($B983="","",IF(ISNUMBER($T983),$T983,IF(OR(NOT(ISNUMBER($Q983)),$S983=""),"",IFERROR(IF(ISNUMBER(INDEX(Lists!$AJ$2:$AJ$7,MATCH($S983,Lists!$AI$2:$AI$7,0))),$Q983+INDEX(Lists!$AJ$2:$AJ$7,MATCH($S983,Lists!$AI$2:$AI$7,0)),""),""))))</f>
        <v/>
      </c>
      <c r="AE983" s="104" t="str">
        <f aca="true">IF($B983="","",IF(AND(ISNUMBER($AD983),N($AD983)&lt;TODAY(),$N983&lt;&gt;"Done",$N983&lt;&gt;"Won't Fix",$N983&lt;&gt;"Duplicate"),"Yes","No"))</f>
        <v/>
      </c>
      <c r="AF983" s="101"/>
      <c r="AG983" s="108" t="str">
        <f aca="false">IF($AF983="","",IFERROR(VLOOKUP($AF983,'Application Portfolio'!$A$2:$B$1000,2,FALSE()),"Unknown App ID"))</f>
        <v/>
      </c>
      <c r="AH983" s="108" t="str">
        <f aca="false">IF(OR($B983="",$AF983=""),"",IFERROR(VLOOKUP($AF983,'Application Portfolio'!$A$2:$AB$1000,28,FALSE()),""))</f>
        <v/>
      </c>
    </row>
    <row r="984" customFormat="false" ht="15.75" hidden="false" customHeight="true" outlineLevel="0" collapsed="false">
      <c r="A984" s="100"/>
      <c r="B984" s="101"/>
      <c r="C984" s="101"/>
      <c r="D984" s="101"/>
      <c r="E984" s="101"/>
      <c r="F984" s="102"/>
      <c r="G984" s="102"/>
      <c r="H984" s="102"/>
      <c r="I984" s="102"/>
      <c r="J984" s="102"/>
      <c r="K984" s="102"/>
      <c r="L984" s="103" t="str">
        <f aca="false">IF(OR($B984="", $H984="", $I984="", $J984="", $K984=""),"",ROUND((VLOOKUP($H984,Lists!$E$2:$F$5,2,FALSE())*VLOOKUP($I984,Lists!$H$2:$I$4,2,FALSE())*VLOOKUP($J984,Lists!$K$2:$L$4,2,FALSE()))/VLOOKUP($K984,Lists!$N$2:$O$6,2,FALSE()),2))</f>
        <v/>
      </c>
      <c r="M984" s="104" t="str">
        <f aca="false">IF($B984="","",IF($AC984&lt;&gt;"",$AC984,IF($H984="Critical","P0",IF(NOT(ISNUMBER($L984)),"",IF($L984&gt;=Lists!$AM$2,"P0",IF($L984&gt;=Lists!$AM$3,"P1",IF($L984&gt;=Lists!$AM$4,"P2","P3")))))))</f>
        <v/>
      </c>
      <c r="N984" s="102"/>
      <c r="O984" s="101"/>
      <c r="P984" s="102"/>
      <c r="Q984" s="105"/>
      <c r="R984" s="106" t="str">
        <f aca="true">IF($Q984="","", TODAY()-$Q984)</f>
        <v/>
      </c>
      <c r="S984" s="102"/>
      <c r="T984" s="105"/>
      <c r="U984" s="105"/>
      <c r="V984" s="101"/>
      <c r="W984" s="101"/>
      <c r="X984" s="101"/>
      <c r="Y984" s="96"/>
      <c r="Z984" s="96"/>
      <c r="AA984" s="96"/>
      <c r="AC984" s="102"/>
      <c r="AD984" s="107" t="str">
        <f aca="false">IF($B984="","",IF(ISNUMBER($T984),$T984,IF(OR(NOT(ISNUMBER($Q984)),$S984=""),"",IFERROR(IF(ISNUMBER(INDEX(Lists!$AJ$2:$AJ$7,MATCH($S984,Lists!$AI$2:$AI$7,0))),$Q984+INDEX(Lists!$AJ$2:$AJ$7,MATCH($S984,Lists!$AI$2:$AI$7,0)),""),""))))</f>
        <v/>
      </c>
      <c r="AE984" s="104" t="str">
        <f aca="true">IF($B984="","",IF(AND(ISNUMBER($AD984),N($AD984)&lt;TODAY(),$N984&lt;&gt;"Done",$N984&lt;&gt;"Won't Fix",$N984&lt;&gt;"Duplicate"),"Yes","No"))</f>
        <v/>
      </c>
      <c r="AF984" s="101"/>
      <c r="AG984" s="108" t="str">
        <f aca="false">IF($AF984="","",IFERROR(VLOOKUP($AF984,'Application Portfolio'!$A$2:$B$1000,2,FALSE()),"Unknown App ID"))</f>
        <v/>
      </c>
      <c r="AH984" s="108" t="str">
        <f aca="false">IF(OR($B984="",$AF984=""),"",IFERROR(VLOOKUP($AF984,'Application Portfolio'!$A$2:$AB$1000,28,FALSE()),""))</f>
        <v/>
      </c>
    </row>
    <row r="985" customFormat="false" ht="15.75" hidden="false" customHeight="true" outlineLevel="0" collapsed="false">
      <c r="A985" s="100"/>
      <c r="B985" s="101"/>
      <c r="C985" s="101"/>
      <c r="D985" s="101"/>
      <c r="E985" s="101"/>
      <c r="F985" s="102"/>
      <c r="G985" s="102"/>
      <c r="H985" s="102"/>
      <c r="I985" s="102"/>
      <c r="J985" s="102"/>
      <c r="K985" s="102"/>
      <c r="L985" s="103" t="str">
        <f aca="false">IF(OR($B985="", $H985="", $I985="", $J985="", $K985=""),"",ROUND((VLOOKUP($H985,Lists!$E$2:$F$5,2,FALSE())*VLOOKUP($I985,Lists!$H$2:$I$4,2,FALSE())*VLOOKUP($J985,Lists!$K$2:$L$4,2,FALSE()))/VLOOKUP($K985,Lists!$N$2:$O$6,2,FALSE()),2))</f>
        <v/>
      </c>
      <c r="M985" s="104" t="str">
        <f aca="false">IF($B985="","",IF($AC985&lt;&gt;"",$AC985,IF($H985="Critical","P0",IF(NOT(ISNUMBER($L985)),"",IF($L985&gt;=Lists!$AM$2,"P0",IF($L985&gt;=Lists!$AM$3,"P1",IF($L985&gt;=Lists!$AM$4,"P2","P3")))))))</f>
        <v/>
      </c>
      <c r="N985" s="102"/>
      <c r="O985" s="101"/>
      <c r="P985" s="102"/>
      <c r="Q985" s="105"/>
      <c r="R985" s="106" t="str">
        <f aca="true">IF($Q985="","", TODAY()-$Q985)</f>
        <v/>
      </c>
      <c r="S985" s="102"/>
      <c r="T985" s="105"/>
      <c r="U985" s="105"/>
      <c r="V985" s="101"/>
      <c r="W985" s="101"/>
      <c r="X985" s="101"/>
      <c r="Y985" s="96"/>
      <c r="Z985" s="96"/>
      <c r="AA985" s="96"/>
      <c r="AC985" s="102"/>
      <c r="AD985" s="107" t="str">
        <f aca="false">IF($B985="","",IF(ISNUMBER($T985),$T985,IF(OR(NOT(ISNUMBER($Q985)),$S985=""),"",IFERROR(IF(ISNUMBER(INDEX(Lists!$AJ$2:$AJ$7,MATCH($S985,Lists!$AI$2:$AI$7,0))),$Q985+INDEX(Lists!$AJ$2:$AJ$7,MATCH($S985,Lists!$AI$2:$AI$7,0)),""),""))))</f>
        <v/>
      </c>
      <c r="AE985" s="104" t="str">
        <f aca="true">IF($B985="","",IF(AND(ISNUMBER($AD985),N($AD985)&lt;TODAY(),$N985&lt;&gt;"Done",$N985&lt;&gt;"Won't Fix",$N985&lt;&gt;"Duplicate"),"Yes","No"))</f>
        <v/>
      </c>
      <c r="AF985" s="101"/>
      <c r="AG985" s="108" t="str">
        <f aca="false">IF($AF985="","",IFERROR(VLOOKUP($AF985,'Application Portfolio'!$A$2:$B$1000,2,FALSE()),"Unknown App ID"))</f>
        <v/>
      </c>
      <c r="AH985" s="108" t="str">
        <f aca="false">IF(OR($B985="",$AF985=""),"",IFERROR(VLOOKUP($AF985,'Application Portfolio'!$A$2:$AB$1000,28,FALSE()),""))</f>
        <v/>
      </c>
    </row>
    <row r="986" customFormat="false" ht="15.75" hidden="false" customHeight="true" outlineLevel="0" collapsed="false">
      <c r="A986" s="100"/>
      <c r="B986" s="101"/>
      <c r="C986" s="101"/>
      <c r="D986" s="101"/>
      <c r="E986" s="101"/>
      <c r="F986" s="102"/>
      <c r="G986" s="102"/>
      <c r="H986" s="102"/>
      <c r="I986" s="102"/>
      <c r="J986" s="102"/>
      <c r="K986" s="102"/>
      <c r="L986" s="103" t="str">
        <f aca="false">IF(OR($B986="", $H986="", $I986="", $J986="", $K986=""),"",ROUND((VLOOKUP($H986,Lists!$E$2:$F$5,2,FALSE())*VLOOKUP($I986,Lists!$H$2:$I$4,2,FALSE())*VLOOKUP($J986,Lists!$K$2:$L$4,2,FALSE()))/VLOOKUP($K986,Lists!$N$2:$O$6,2,FALSE()),2))</f>
        <v/>
      </c>
      <c r="M986" s="104" t="str">
        <f aca="false">IF($B986="","",IF($AC986&lt;&gt;"",$AC986,IF($H986="Critical","P0",IF(NOT(ISNUMBER($L986)),"",IF($L986&gt;=Lists!$AM$2,"P0",IF($L986&gt;=Lists!$AM$3,"P1",IF($L986&gt;=Lists!$AM$4,"P2","P3")))))))</f>
        <v/>
      </c>
      <c r="N986" s="102"/>
      <c r="O986" s="101"/>
      <c r="P986" s="102"/>
      <c r="Q986" s="105"/>
      <c r="R986" s="106" t="str">
        <f aca="true">IF($Q986="","", TODAY()-$Q986)</f>
        <v/>
      </c>
      <c r="S986" s="102"/>
      <c r="T986" s="105"/>
      <c r="U986" s="105"/>
      <c r="V986" s="101"/>
      <c r="W986" s="101"/>
      <c r="X986" s="101"/>
      <c r="Y986" s="96"/>
      <c r="Z986" s="96"/>
      <c r="AA986" s="96"/>
      <c r="AC986" s="102"/>
      <c r="AD986" s="107" t="str">
        <f aca="false">IF($B986="","",IF(ISNUMBER($T986),$T986,IF(OR(NOT(ISNUMBER($Q986)),$S986=""),"",IFERROR(IF(ISNUMBER(INDEX(Lists!$AJ$2:$AJ$7,MATCH($S986,Lists!$AI$2:$AI$7,0))),$Q986+INDEX(Lists!$AJ$2:$AJ$7,MATCH($S986,Lists!$AI$2:$AI$7,0)),""),""))))</f>
        <v/>
      </c>
      <c r="AE986" s="104" t="str">
        <f aca="true">IF($B986="","",IF(AND(ISNUMBER($AD986),N($AD986)&lt;TODAY(),$N986&lt;&gt;"Done",$N986&lt;&gt;"Won't Fix",$N986&lt;&gt;"Duplicate"),"Yes","No"))</f>
        <v/>
      </c>
      <c r="AF986" s="101"/>
      <c r="AG986" s="108" t="str">
        <f aca="false">IF($AF986="","",IFERROR(VLOOKUP($AF986,'Application Portfolio'!$A$2:$B$1000,2,FALSE()),"Unknown App ID"))</f>
        <v/>
      </c>
      <c r="AH986" s="108" t="str">
        <f aca="false">IF(OR($B986="",$AF986=""),"",IFERROR(VLOOKUP($AF986,'Application Portfolio'!$A$2:$AB$1000,28,FALSE()),""))</f>
        <v/>
      </c>
    </row>
    <row r="987" customFormat="false" ht="15.75" hidden="false" customHeight="true" outlineLevel="0" collapsed="false">
      <c r="A987" s="100"/>
      <c r="B987" s="101"/>
      <c r="C987" s="101"/>
      <c r="D987" s="101"/>
      <c r="E987" s="101"/>
      <c r="F987" s="102"/>
      <c r="G987" s="102"/>
      <c r="H987" s="102"/>
      <c r="I987" s="102"/>
      <c r="J987" s="102"/>
      <c r="K987" s="102"/>
      <c r="L987" s="103" t="str">
        <f aca="false">IF(OR($B987="", $H987="", $I987="", $J987="", $K987=""),"",ROUND((VLOOKUP($H987,Lists!$E$2:$F$5,2,FALSE())*VLOOKUP($I987,Lists!$H$2:$I$4,2,FALSE())*VLOOKUP($J987,Lists!$K$2:$L$4,2,FALSE()))/VLOOKUP($K987,Lists!$N$2:$O$6,2,FALSE()),2))</f>
        <v/>
      </c>
      <c r="M987" s="104" t="str">
        <f aca="false">IF($B987="","",IF($AC987&lt;&gt;"",$AC987,IF($H987="Critical","P0",IF(NOT(ISNUMBER($L987)),"",IF($L987&gt;=Lists!$AM$2,"P0",IF($L987&gt;=Lists!$AM$3,"P1",IF($L987&gt;=Lists!$AM$4,"P2","P3")))))))</f>
        <v/>
      </c>
      <c r="N987" s="102"/>
      <c r="O987" s="101"/>
      <c r="P987" s="102"/>
      <c r="Q987" s="105"/>
      <c r="R987" s="106" t="str">
        <f aca="true">IF($Q987="","", TODAY()-$Q987)</f>
        <v/>
      </c>
      <c r="S987" s="102"/>
      <c r="T987" s="105"/>
      <c r="U987" s="105"/>
      <c r="V987" s="101"/>
      <c r="W987" s="101"/>
      <c r="X987" s="101"/>
      <c r="Y987" s="96"/>
      <c r="Z987" s="96"/>
      <c r="AA987" s="96"/>
      <c r="AC987" s="102"/>
      <c r="AD987" s="107" t="str">
        <f aca="false">IF($B987="","",IF(ISNUMBER($T987),$T987,IF(OR(NOT(ISNUMBER($Q987)),$S987=""),"",IFERROR(IF(ISNUMBER(INDEX(Lists!$AJ$2:$AJ$7,MATCH($S987,Lists!$AI$2:$AI$7,0))),$Q987+INDEX(Lists!$AJ$2:$AJ$7,MATCH($S987,Lists!$AI$2:$AI$7,0)),""),""))))</f>
        <v/>
      </c>
      <c r="AE987" s="104" t="str">
        <f aca="true">IF($B987="","",IF(AND(ISNUMBER($AD987),N($AD987)&lt;TODAY(),$N987&lt;&gt;"Done",$N987&lt;&gt;"Won't Fix",$N987&lt;&gt;"Duplicate"),"Yes","No"))</f>
        <v/>
      </c>
      <c r="AF987" s="101"/>
      <c r="AG987" s="108" t="str">
        <f aca="false">IF($AF987="","",IFERROR(VLOOKUP($AF987,'Application Portfolio'!$A$2:$B$1000,2,FALSE()),"Unknown App ID"))</f>
        <v/>
      </c>
      <c r="AH987" s="108" t="str">
        <f aca="false">IF(OR($B987="",$AF987=""),"",IFERROR(VLOOKUP($AF987,'Application Portfolio'!$A$2:$AB$1000,28,FALSE()),""))</f>
        <v/>
      </c>
    </row>
    <row r="988" customFormat="false" ht="15.75" hidden="false" customHeight="true" outlineLevel="0" collapsed="false">
      <c r="A988" s="100"/>
      <c r="B988" s="101"/>
      <c r="C988" s="101"/>
      <c r="D988" s="101"/>
      <c r="E988" s="101"/>
      <c r="F988" s="102"/>
      <c r="G988" s="102"/>
      <c r="H988" s="102"/>
      <c r="I988" s="102"/>
      <c r="J988" s="102"/>
      <c r="K988" s="102"/>
      <c r="L988" s="103" t="str">
        <f aca="false">IF(OR($B988="", $H988="", $I988="", $J988="", $K988=""),"",ROUND((VLOOKUP($H988,Lists!$E$2:$F$5,2,FALSE())*VLOOKUP($I988,Lists!$H$2:$I$4,2,FALSE())*VLOOKUP($J988,Lists!$K$2:$L$4,2,FALSE()))/VLOOKUP($K988,Lists!$N$2:$O$6,2,FALSE()),2))</f>
        <v/>
      </c>
      <c r="M988" s="104" t="str">
        <f aca="false">IF($B988="","",IF($AC988&lt;&gt;"",$AC988,IF($H988="Critical","P0",IF(NOT(ISNUMBER($L988)),"",IF($L988&gt;=Lists!$AM$2,"P0",IF($L988&gt;=Lists!$AM$3,"P1",IF($L988&gt;=Lists!$AM$4,"P2","P3")))))))</f>
        <v/>
      </c>
      <c r="N988" s="102"/>
      <c r="O988" s="101"/>
      <c r="P988" s="102"/>
      <c r="Q988" s="105"/>
      <c r="R988" s="106" t="str">
        <f aca="true">IF($Q988="","", TODAY()-$Q988)</f>
        <v/>
      </c>
      <c r="S988" s="102"/>
      <c r="T988" s="105"/>
      <c r="U988" s="105"/>
      <c r="V988" s="101"/>
      <c r="W988" s="101"/>
      <c r="X988" s="101"/>
      <c r="Y988" s="96"/>
      <c r="Z988" s="96"/>
      <c r="AA988" s="96"/>
      <c r="AC988" s="102"/>
      <c r="AD988" s="107" t="str">
        <f aca="false">IF($B988="","",IF(ISNUMBER($T988),$T988,IF(OR(NOT(ISNUMBER($Q988)),$S988=""),"",IFERROR(IF(ISNUMBER(INDEX(Lists!$AJ$2:$AJ$7,MATCH($S988,Lists!$AI$2:$AI$7,0))),$Q988+INDEX(Lists!$AJ$2:$AJ$7,MATCH($S988,Lists!$AI$2:$AI$7,0)),""),""))))</f>
        <v/>
      </c>
      <c r="AE988" s="104" t="str">
        <f aca="true">IF($B988="","",IF(AND(ISNUMBER($AD988),N($AD988)&lt;TODAY(),$N988&lt;&gt;"Done",$N988&lt;&gt;"Won't Fix",$N988&lt;&gt;"Duplicate"),"Yes","No"))</f>
        <v/>
      </c>
      <c r="AF988" s="101"/>
      <c r="AG988" s="108" t="str">
        <f aca="false">IF($AF988="","",IFERROR(VLOOKUP($AF988,'Application Portfolio'!$A$2:$B$1000,2,FALSE()),"Unknown App ID"))</f>
        <v/>
      </c>
      <c r="AH988" s="108" t="str">
        <f aca="false">IF(OR($B988="",$AF988=""),"",IFERROR(VLOOKUP($AF988,'Application Portfolio'!$A$2:$AB$1000,28,FALSE()),""))</f>
        <v/>
      </c>
    </row>
    <row r="989" customFormat="false" ht="15.75" hidden="false" customHeight="true" outlineLevel="0" collapsed="false">
      <c r="A989" s="100"/>
      <c r="B989" s="101"/>
      <c r="C989" s="101"/>
      <c r="D989" s="101"/>
      <c r="E989" s="101"/>
      <c r="F989" s="102"/>
      <c r="G989" s="102"/>
      <c r="H989" s="102"/>
      <c r="I989" s="102"/>
      <c r="J989" s="102"/>
      <c r="K989" s="102"/>
      <c r="L989" s="103" t="str">
        <f aca="false">IF(OR($B989="", $H989="", $I989="", $J989="", $K989=""),"",ROUND((VLOOKUP($H989,Lists!$E$2:$F$5,2,FALSE())*VLOOKUP($I989,Lists!$H$2:$I$4,2,FALSE())*VLOOKUP($J989,Lists!$K$2:$L$4,2,FALSE()))/VLOOKUP($K989,Lists!$N$2:$O$6,2,FALSE()),2))</f>
        <v/>
      </c>
      <c r="M989" s="104" t="str">
        <f aca="false">IF($B989="","",IF($AC989&lt;&gt;"",$AC989,IF($H989="Critical","P0",IF(NOT(ISNUMBER($L989)),"",IF($L989&gt;=Lists!$AM$2,"P0",IF($L989&gt;=Lists!$AM$3,"P1",IF($L989&gt;=Lists!$AM$4,"P2","P3")))))))</f>
        <v/>
      </c>
      <c r="N989" s="102"/>
      <c r="O989" s="101"/>
      <c r="P989" s="102"/>
      <c r="Q989" s="105"/>
      <c r="R989" s="106" t="str">
        <f aca="true">IF($Q989="","", TODAY()-$Q989)</f>
        <v/>
      </c>
      <c r="S989" s="102"/>
      <c r="T989" s="105"/>
      <c r="U989" s="105"/>
      <c r="V989" s="101"/>
      <c r="W989" s="101"/>
      <c r="X989" s="101"/>
      <c r="Y989" s="96"/>
      <c r="Z989" s="96"/>
      <c r="AA989" s="96"/>
      <c r="AC989" s="102"/>
      <c r="AD989" s="107" t="str">
        <f aca="false">IF($B989="","",IF(ISNUMBER($T989),$T989,IF(OR(NOT(ISNUMBER($Q989)),$S989=""),"",IFERROR(IF(ISNUMBER(INDEX(Lists!$AJ$2:$AJ$7,MATCH($S989,Lists!$AI$2:$AI$7,0))),$Q989+INDEX(Lists!$AJ$2:$AJ$7,MATCH($S989,Lists!$AI$2:$AI$7,0)),""),""))))</f>
        <v/>
      </c>
      <c r="AE989" s="104" t="str">
        <f aca="true">IF($B989="","",IF(AND(ISNUMBER($AD989),N($AD989)&lt;TODAY(),$N989&lt;&gt;"Done",$N989&lt;&gt;"Won't Fix",$N989&lt;&gt;"Duplicate"),"Yes","No"))</f>
        <v/>
      </c>
      <c r="AF989" s="101"/>
      <c r="AG989" s="108" t="str">
        <f aca="false">IF($AF989="","",IFERROR(VLOOKUP($AF989,'Application Portfolio'!$A$2:$B$1000,2,FALSE()),"Unknown App ID"))</f>
        <v/>
      </c>
      <c r="AH989" s="108" t="str">
        <f aca="false">IF(OR($B989="",$AF989=""),"",IFERROR(VLOOKUP($AF989,'Application Portfolio'!$A$2:$AB$1000,28,FALSE()),""))</f>
        <v/>
      </c>
    </row>
    <row r="990" customFormat="false" ht="15.75" hidden="false" customHeight="true" outlineLevel="0" collapsed="false">
      <c r="A990" s="100"/>
      <c r="B990" s="101"/>
      <c r="C990" s="101"/>
      <c r="D990" s="101"/>
      <c r="E990" s="101"/>
      <c r="F990" s="102"/>
      <c r="G990" s="102"/>
      <c r="H990" s="102"/>
      <c r="I990" s="102"/>
      <c r="J990" s="102"/>
      <c r="K990" s="102"/>
      <c r="L990" s="103" t="str">
        <f aca="false">IF(OR($B990="", $H990="", $I990="", $J990="", $K990=""),"",ROUND((VLOOKUP($H990,Lists!$E$2:$F$5,2,FALSE())*VLOOKUP($I990,Lists!$H$2:$I$4,2,FALSE())*VLOOKUP($J990,Lists!$K$2:$L$4,2,FALSE()))/VLOOKUP($K990,Lists!$N$2:$O$6,2,FALSE()),2))</f>
        <v/>
      </c>
      <c r="M990" s="104" t="str">
        <f aca="false">IF($B990="","",IF($AC990&lt;&gt;"",$AC990,IF($H990="Critical","P0",IF(NOT(ISNUMBER($L990)),"",IF($L990&gt;=Lists!$AM$2,"P0",IF($L990&gt;=Lists!$AM$3,"P1",IF($L990&gt;=Lists!$AM$4,"P2","P3")))))))</f>
        <v/>
      </c>
      <c r="N990" s="102"/>
      <c r="O990" s="101"/>
      <c r="P990" s="102"/>
      <c r="Q990" s="105"/>
      <c r="R990" s="106" t="str">
        <f aca="true">IF($Q990="","", TODAY()-$Q990)</f>
        <v/>
      </c>
      <c r="S990" s="102"/>
      <c r="T990" s="105"/>
      <c r="U990" s="105"/>
      <c r="V990" s="101"/>
      <c r="W990" s="101"/>
      <c r="X990" s="101"/>
      <c r="Y990" s="96"/>
      <c r="Z990" s="96"/>
      <c r="AA990" s="96"/>
      <c r="AC990" s="102"/>
      <c r="AD990" s="107" t="str">
        <f aca="false">IF($B990="","",IF(ISNUMBER($T990),$T990,IF(OR(NOT(ISNUMBER($Q990)),$S990=""),"",IFERROR(IF(ISNUMBER(INDEX(Lists!$AJ$2:$AJ$7,MATCH($S990,Lists!$AI$2:$AI$7,0))),$Q990+INDEX(Lists!$AJ$2:$AJ$7,MATCH($S990,Lists!$AI$2:$AI$7,0)),""),""))))</f>
        <v/>
      </c>
      <c r="AE990" s="104" t="str">
        <f aca="true">IF($B990="","",IF(AND(ISNUMBER($AD990),N($AD990)&lt;TODAY(),$N990&lt;&gt;"Done",$N990&lt;&gt;"Won't Fix",$N990&lt;&gt;"Duplicate"),"Yes","No"))</f>
        <v/>
      </c>
      <c r="AF990" s="101"/>
      <c r="AG990" s="108" t="str">
        <f aca="false">IF($AF990="","",IFERROR(VLOOKUP($AF990,'Application Portfolio'!$A$2:$B$1000,2,FALSE()),"Unknown App ID"))</f>
        <v/>
      </c>
      <c r="AH990" s="108" t="str">
        <f aca="false">IF(OR($B990="",$AF990=""),"",IFERROR(VLOOKUP($AF990,'Application Portfolio'!$A$2:$AB$1000,28,FALSE()),""))</f>
        <v/>
      </c>
    </row>
    <row r="991" customFormat="false" ht="15.75" hidden="false" customHeight="true" outlineLevel="0" collapsed="false">
      <c r="A991" s="100"/>
      <c r="B991" s="101"/>
      <c r="C991" s="101"/>
      <c r="D991" s="101"/>
      <c r="E991" s="101"/>
      <c r="F991" s="102"/>
      <c r="G991" s="102"/>
      <c r="H991" s="102"/>
      <c r="I991" s="102"/>
      <c r="J991" s="102"/>
      <c r="K991" s="102"/>
      <c r="L991" s="103" t="str">
        <f aca="false">IF(OR($B991="", $H991="", $I991="", $J991="", $K991=""),"",ROUND((VLOOKUP($H991,Lists!$E$2:$F$5,2,FALSE())*VLOOKUP($I991,Lists!$H$2:$I$4,2,FALSE())*VLOOKUP($J991,Lists!$K$2:$L$4,2,FALSE()))/VLOOKUP($K991,Lists!$N$2:$O$6,2,FALSE()),2))</f>
        <v/>
      </c>
      <c r="M991" s="104" t="str">
        <f aca="false">IF($B991="","",IF($AC991&lt;&gt;"",$AC991,IF($H991="Critical","P0",IF(NOT(ISNUMBER($L991)),"",IF($L991&gt;=Lists!$AM$2,"P0",IF($L991&gt;=Lists!$AM$3,"P1",IF($L991&gt;=Lists!$AM$4,"P2","P3")))))))</f>
        <v/>
      </c>
      <c r="N991" s="102"/>
      <c r="O991" s="101"/>
      <c r="P991" s="102"/>
      <c r="Q991" s="105"/>
      <c r="R991" s="106" t="str">
        <f aca="true">IF($Q991="","", TODAY()-$Q991)</f>
        <v/>
      </c>
      <c r="S991" s="102"/>
      <c r="T991" s="105"/>
      <c r="U991" s="105"/>
      <c r="V991" s="101"/>
      <c r="W991" s="101"/>
      <c r="X991" s="101"/>
      <c r="Y991" s="96"/>
      <c r="Z991" s="96"/>
      <c r="AA991" s="96"/>
      <c r="AC991" s="102"/>
      <c r="AD991" s="107" t="str">
        <f aca="false">IF($B991="","",IF(ISNUMBER($T991),$T991,IF(OR(NOT(ISNUMBER($Q991)),$S991=""),"",IFERROR(IF(ISNUMBER(INDEX(Lists!$AJ$2:$AJ$7,MATCH($S991,Lists!$AI$2:$AI$7,0))),$Q991+INDEX(Lists!$AJ$2:$AJ$7,MATCH($S991,Lists!$AI$2:$AI$7,0)),""),""))))</f>
        <v/>
      </c>
      <c r="AE991" s="104" t="str">
        <f aca="true">IF($B991="","",IF(AND(ISNUMBER($AD991),N($AD991)&lt;TODAY(),$N991&lt;&gt;"Done",$N991&lt;&gt;"Won't Fix",$N991&lt;&gt;"Duplicate"),"Yes","No"))</f>
        <v/>
      </c>
      <c r="AF991" s="101"/>
      <c r="AG991" s="108" t="str">
        <f aca="false">IF($AF991="","",IFERROR(VLOOKUP($AF991,'Application Portfolio'!$A$2:$B$1000,2,FALSE()),"Unknown App ID"))</f>
        <v/>
      </c>
      <c r="AH991" s="108" t="str">
        <f aca="false">IF(OR($B991="",$AF991=""),"",IFERROR(VLOOKUP($AF991,'Application Portfolio'!$A$2:$AB$1000,28,FALSE()),""))</f>
        <v/>
      </c>
    </row>
    <row r="992" customFormat="false" ht="15.75" hidden="false" customHeight="true" outlineLevel="0" collapsed="false">
      <c r="A992" s="100"/>
      <c r="B992" s="101"/>
      <c r="C992" s="101"/>
      <c r="D992" s="101"/>
      <c r="E992" s="101"/>
      <c r="F992" s="102"/>
      <c r="G992" s="102"/>
      <c r="H992" s="102"/>
      <c r="I992" s="102"/>
      <c r="J992" s="102"/>
      <c r="K992" s="102"/>
      <c r="L992" s="103" t="str">
        <f aca="false">IF(OR($B992="", $H992="", $I992="", $J992="", $K992=""),"",ROUND((VLOOKUP($H992,Lists!$E$2:$F$5,2,FALSE())*VLOOKUP($I992,Lists!$H$2:$I$4,2,FALSE())*VLOOKUP($J992,Lists!$K$2:$L$4,2,FALSE()))/VLOOKUP($K992,Lists!$N$2:$O$6,2,FALSE()),2))</f>
        <v/>
      </c>
      <c r="M992" s="104" t="str">
        <f aca="false">IF($B992="","",IF($AC992&lt;&gt;"",$AC992,IF($H992="Critical","P0",IF(NOT(ISNUMBER($L992)),"",IF($L992&gt;=Lists!$AM$2,"P0",IF($L992&gt;=Lists!$AM$3,"P1",IF($L992&gt;=Lists!$AM$4,"P2","P3")))))))</f>
        <v/>
      </c>
      <c r="N992" s="102"/>
      <c r="O992" s="101"/>
      <c r="P992" s="102"/>
      <c r="Q992" s="105"/>
      <c r="R992" s="106" t="str">
        <f aca="true">IF($Q992="","", TODAY()-$Q992)</f>
        <v/>
      </c>
      <c r="S992" s="102"/>
      <c r="T992" s="105"/>
      <c r="U992" s="105"/>
      <c r="V992" s="101"/>
      <c r="W992" s="101"/>
      <c r="X992" s="101"/>
      <c r="Y992" s="96"/>
      <c r="Z992" s="96"/>
      <c r="AA992" s="96"/>
      <c r="AC992" s="102"/>
      <c r="AD992" s="107" t="str">
        <f aca="false">IF($B992="","",IF(ISNUMBER($T992),$T992,IF(OR(NOT(ISNUMBER($Q992)),$S992=""),"",IFERROR(IF(ISNUMBER(INDEX(Lists!$AJ$2:$AJ$7,MATCH($S992,Lists!$AI$2:$AI$7,0))),$Q992+INDEX(Lists!$AJ$2:$AJ$7,MATCH($S992,Lists!$AI$2:$AI$7,0)),""),""))))</f>
        <v/>
      </c>
      <c r="AE992" s="104" t="str">
        <f aca="true">IF($B992="","",IF(AND(ISNUMBER($AD992),N($AD992)&lt;TODAY(),$N992&lt;&gt;"Done",$N992&lt;&gt;"Won't Fix",$N992&lt;&gt;"Duplicate"),"Yes","No"))</f>
        <v/>
      </c>
      <c r="AF992" s="101"/>
      <c r="AG992" s="108" t="str">
        <f aca="false">IF($AF992="","",IFERROR(VLOOKUP($AF992,'Application Portfolio'!$A$2:$B$1000,2,FALSE()),"Unknown App ID"))</f>
        <v/>
      </c>
      <c r="AH992" s="108" t="str">
        <f aca="false">IF(OR($B992="",$AF992=""),"",IFERROR(VLOOKUP($AF992,'Application Portfolio'!$A$2:$AB$1000,28,FALSE()),""))</f>
        <v/>
      </c>
    </row>
    <row r="993" customFormat="false" ht="15.75" hidden="false" customHeight="true" outlineLevel="0" collapsed="false">
      <c r="A993" s="100"/>
      <c r="B993" s="101"/>
      <c r="C993" s="101"/>
      <c r="D993" s="101"/>
      <c r="E993" s="101"/>
      <c r="F993" s="102"/>
      <c r="G993" s="102"/>
      <c r="H993" s="102"/>
      <c r="I993" s="102"/>
      <c r="J993" s="102"/>
      <c r="K993" s="102"/>
      <c r="L993" s="103" t="str">
        <f aca="false">IF(OR($B993="", $H993="", $I993="", $J993="", $K993=""),"",ROUND((VLOOKUP($H993,Lists!$E$2:$F$5,2,FALSE())*VLOOKUP($I993,Lists!$H$2:$I$4,2,FALSE())*VLOOKUP($J993,Lists!$K$2:$L$4,2,FALSE()))/VLOOKUP($K993,Lists!$N$2:$O$6,2,FALSE()),2))</f>
        <v/>
      </c>
      <c r="M993" s="104" t="str">
        <f aca="false">IF($B993="","",IF($AC993&lt;&gt;"",$AC993,IF($H993="Critical","P0",IF(NOT(ISNUMBER($L993)),"",IF($L993&gt;=Lists!$AM$2,"P0",IF($L993&gt;=Lists!$AM$3,"P1",IF($L993&gt;=Lists!$AM$4,"P2","P3")))))))</f>
        <v/>
      </c>
      <c r="N993" s="102"/>
      <c r="O993" s="101"/>
      <c r="P993" s="102"/>
      <c r="Q993" s="105"/>
      <c r="R993" s="106" t="str">
        <f aca="true">IF($Q993="","", TODAY()-$Q993)</f>
        <v/>
      </c>
      <c r="S993" s="102"/>
      <c r="T993" s="105"/>
      <c r="U993" s="105"/>
      <c r="V993" s="101"/>
      <c r="W993" s="101"/>
      <c r="X993" s="101"/>
      <c r="Y993" s="96"/>
      <c r="Z993" s="96"/>
      <c r="AA993" s="96"/>
      <c r="AC993" s="102"/>
      <c r="AD993" s="107" t="str">
        <f aca="false">IF($B993="","",IF(ISNUMBER($T993),$T993,IF(OR(NOT(ISNUMBER($Q993)),$S993=""),"",IFERROR(IF(ISNUMBER(INDEX(Lists!$AJ$2:$AJ$7,MATCH($S993,Lists!$AI$2:$AI$7,0))),$Q993+INDEX(Lists!$AJ$2:$AJ$7,MATCH($S993,Lists!$AI$2:$AI$7,0)),""),""))))</f>
        <v/>
      </c>
      <c r="AE993" s="104" t="str">
        <f aca="true">IF($B993="","",IF(AND(ISNUMBER($AD993),N($AD993)&lt;TODAY(),$N993&lt;&gt;"Done",$N993&lt;&gt;"Won't Fix",$N993&lt;&gt;"Duplicate"),"Yes","No"))</f>
        <v/>
      </c>
      <c r="AF993" s="101"/>
      <c r="AG993" s="108" t="str">
        <f aca="false">IF($AF993="","",IFERROR(VLOOKUP($AF993,'Application Portfolio'!$A$2:$B$1000,2,FALSE()),"Unknown App ID"))</f>
        <v/>
      </c>
      <c r="AH993" s="108" t="str">
        <f aca="false">IF(OR($B993="",$AF993=""),"",IFERROR(VLOOKUP($AF993,'Application Portfolio'!$A$2:$AB$1000,28,FALSE()),""))</f>
        <v/>
      </c>
    </row>
    <row r="994" customFormat="false" ht="15.75" hidden="false" customHeight="true" outlineLevel="0" collapsed="false">
      <c r="A994" s="100"/>
      <c r="B994" s="101"/>
      <c r="C994" s="101"/>
      <c r="D994" s="101"/>
      <c r="E994" s="101"/>
      <c r="F994" s="102"/>
      <c r="G994" s="102"/>
      <c r="H994" s="102"/>
      <c r="I994" s="102"/>
      <c r="J994" s="102"/>
      <c r="K994" s="102"/>
      <c r="L994" s="103" t="str">
        <f aca="false">IF(OR($B994="", $H994="", $I994="", $J994="", $K994=""),"",ROUND((VLOOKUP($H994,Lists!$E$2:$F$5,2,FALSE())*VLOOKUP($I994,Lists!$H$2:$I$4,2,FALSE())*VLOOKUP($J994,Lists!$K$2:$L$4,2,FALSE()))/VLOOKUP($K994,Lists!$N$2:$O$6,2,FALSE()),2))</f>
        <v/>
      </c>
      <c r="M994" s="104" t="str">
        <f aca="false">IF($B994="","",IF($AC994&lt;&gt;"",$AC994,IF($H994="Critical","P0",IF(NOT(ISNUMBER($L994)),"",IF($L994&gt;=Lists!$AM$2,"P0",IF($L994&gt;=Lists!$AM$3,"P1",IF($L994&gt;=Lists!$AM$4,"P2","P3")))))))</f>
        <v/>
      </c>
      <c r="N994" s="102"/>
      <c r="O994" s="101"/>
      <c r="P994" s="102"/>
      <c r="Q994" s="105"/>
      <c r="R994" s="106" t="str">
        <f aca="true">IF($Q994="","", TODAY()-$Q994)</f>
        <v/>
      </c>
      <c r="S994" s="102"/>
      <c r="T994" s="105"/>
      <c r="U994" s="105"/>
      <c r="V994" s="101"/>
      <c r="W994" s="101"/>
      <c r="X994" s="101"/>
      <c r="Y994" s="96"/>
      <c r="Z994" s="96"/>
      <c r="AA994" s="96"/>
      <c r="AC994" s="102"/>
      <c r="AD994" s="107" t="str">
        <f aca="false">IF($B994="","",IF(ISNUMBER($T994),$T994,IF(OR(NOT(ISNUMBER($Q994)),$S994=""),"",IFERROR(IF(ISNUMBER(INDEX(Lists!$AJ$2:$AJ$7,MATCH($S994,Lists!$AI$2:$AI$7,0))),$Q994+INDEX(Lists!$AJ$2:$AJ$7,MATCH($S994,Lists!$AI$2:$AI$7,0)),""),""))))</f>
        <v/>
      </c>
      <c r="AE994" s="104" t="str">
        <f aca="true">IF($B994="","",IF(AND(ISNUMBER($AD994),N($AD994)&lt;TODAY(),$N994&lt;&gt;"Done",$N994&lt;&gt;"Won't Fix",$N994&lt;&gt;"Duplicate"),"Yes","No"))</f>
        <v/>
      </c>
      <c r="AF994" s="101"/>
      <c r="AG994" s="108" t="str">
        <f aca="false">IF($AF994="","",IFERROR(VLOOKUP($AF994,'Application Portfolio'!$A$2:$B$1000,2,FALSE()),"Unknown App ID"))</f>
        <v/>
      </c>
      <c r="AH994" s="108" t="str">
        <f aca="false">IF(OR($B994="",$AF994=""),"",IFERROR(VLOOKUP($AF994,'Application Portfolio'!$A$2:$AB$1000,28,FALSE()),""))</f>
        <v/>
      </c>
    </row>
    <row r="995" customFormat="false" ht="15.75" hidden="false" customHeight="true" outlineLevel="0" collapsed="false">
      <c r="A995" s="100"/>
      <c r="B995" s="101"/>
      <c r="C995" s="101"/>
      <c r="D995" s="101"/>
      <c r="E995" s="101"/>
      <c r="F995" s="102"/>
      <c r="G995" s="102"/>
      <c r="H995" s="102"/>
      <c r="I995" s="102"/>
      <c r="J995" s="102"/>
      <c r="K995" s="102"/>
      <c r="L995" s="103" t="str">
        <f aca="false">IF(OR($B995="", $H995="", $I995="", $J995="", $K995=""),"",ROUND((VLOOKUP($H995,Lists!$E$2:$F$5,2,FALSE())*VLOOKUP($I995,Lists!$H$2:$I$4,2,FALSE())*VLOOKUP($J995,Lists!$K$2:$L$4,2,FALSE()))/VLOOKUP($K995,Lists!$N$2:$O$6,2,FALSE()),2))</f>
        <v/>
      </c>
      <c r="M995" s="104" t="str">
        <f aca="false">IF($B995="","",IF($AC995&lt;&gt;"",$AC995,IF($H995="Critical","P0",IF(NOT(ISNUMBER($L995)),"",IF($L995&gt;=Lists!$AM$2,"P0",IF($L995&gt;=Lists!$AM$3,"P1",IF($L995&gt;=Lists!$AM$4,"P2","P3")))))))</f>
        <v/>
      </c>
      <c r="N995" s="102"/>
      <c r="O995" s="101"/>
      <c r="P995" s="102"/>
      <c r="Q995" s="105"/>
      <c r="R995" s="106" t="str">
        <f aca="true">IF($Q995="","", TODAY()-$Q995)</f>
        <v/>
      </c>
      <c r="S995" s="102"/>
      <c r="T995" s="105"/>
      <c r="U995" s="105"/>
      <c r="V995" s="101"/>
      <c r="W995" s="101"/>
      <c r="X995" s="101"/>
      <c r="Y995" s="96"/>
      <c r="Z995" s="96"/>
      <c r="AA995" s="96"/>
      <c r="AC995" s="102"/>
      <c r="AD995" s="107" t="str">
        <f aca="false">IF($B995="","",IF(ISNUMBER($T995),$T995,IF(OR(NOT(ISNUMBER($Q995)),$S995=""),"",IFERROR(IF(ISNUMBER(INDEX(Lists!$AJ$2:$AJ$7,MATCH($S995,Lists!$AI$2:$AI$7,0))),$Q995+INDEX(Lists!$AJ$2:$AJ$7,MATCH($S995,Lists!$AI$2:$AI$7,0)),""),""))))</f>
        <v/>
      </c>
      <c r="AE995" s="104" t="str">
        <f aca="true">IF($B995="","",IF(AND(ISNUMBER($AD995),N($AD995)&lt;TODAY(),$N995&lt;&gt;"Done",$N995&lt;&gt;"Won't Fix",$N995&lt;&gt;"Duplicate"),"Yes","No"))</f>
        <v/>
      </c>
      <c r="AF995" s="101"/>
      <c r="AG995" s="108" t="str">
        <f aca="false">IF($AF995="","",IFERROR(VLOOKUP($AF995,'Application Portfolio'!$A$2:$B$1000,2,FALSE()),"Unknown App ID"))</f>
        <v/>
      </c>
      <c r="AH995" s="108" t="str">
        <f aca="false">IF(OR($B995="",$AF995=""),"",IFERROR(VLOOKUP($AF995,'Application Portfolio'!$A$2:$AB$1000,28,FALSE()),""))</f>
        <v/>
      </c>
    </row>
    <row r="996" customFormat="false" ht="15.75" hidden="false" customHeight="true" outlineLevel="0" collapsed="false">
      <c r="A996" s="100"/>
      <c r="B996" s="101"/>
      <c r="C996" s="101"/>
      <c r="D996" s="101"/>
      <c r="E996" s="101"/>
      <c r="F996" s="102"/>
      <c r="G996" s="102"/>
      <c r="H996" s="102"/>
      <c r="I996" s="102"/>
      <c r="J996" s="102"/>
      <c r="K996" s="102"/>
      <c r="L996" s="103" t="str">
        <f aca="false">IF(OR($B996="", $H996="", $I996="", $J996="", $K996=""),"",ROUND((VLOOKUP($H996,Lists!$E$2:$F$5,2,FALSE())*VLOOKUP($I996,Lists!$H$2:$I$4,2,FALSE())*VLOOKUP($J996,Lists!$K$2:$L$4,2,FALSE()))/VLOOKUP($K996,Lists!$N$2:$O$6,2,FALSE()),2))</f>
        <v/>
      </c>
      <c r="M996" s="104" t="str">
        <f aca="false">IF($B996="","",IF($AC996&lt;&gt;"",$AC996,IF($H996="Critical","P0",IF(NOT(ISNUMBER($L996)),"",IF($L996&gt;=Lists!$AM$2,"P0",IF($L996&gt;=Lists!$AM$3,"P1",IF($L996&gt;=Lists!$AM$4,"P2","P3")))))))</f>
        <v/>
      </c>
      <c r="N996" s="102"/>
      <c r="O996" s="101"/>
      <c r="P996" s="102"/>
      <c r="Q996" s="105"/>
      <c r="R996" s="106" t="str">
        <f aca="true">IF($Q996="","", TODAY()-$Q996)</f>
        <v/>
      </c>
      <c r="S996" s="102"/>
      <c r="T996" s="105"/>
      <c r="U996" s="105"/>
      <c r="V996" s="101"/>
      <c r="W996" s="101"/>
      <c r="X996" s="101"/>
      <c r="Y996" s="96"/>
      <c r="Z996" s="96"/>
      <c r="AA996" s="96"/>
      <c r="AC996" s="102"/>
      <c r="AD996" s="107" t="str">
        <f aca="false">IF($B996="","",IF(ISNUMBER($T996),$T996,IF(OR(NOT(ISNUMBER($Q996)),$S996=""),"",IFERROR(IF(ISNUMBER(INDEX(Lists!$AJ$2:$AJ$7,MATCH($S996,Lists!$AI$2:$AI$7,0))),$Q996+INDEX(Lists!$AJ$2:$AJ$7,MATCH($S996,Lists!$AI$2:$AI$7,0)),""),""))))</f>
        <v/>
      </c>
      <c r="AE996" s="104" t="str">
        <f aca="true">IF($B996="","",IF(AND(ISNUMBER($AD996),N($AD996)&lt;TODAY(),$N996&lt;&gt;"Done",$N996&lt;&gt;"Won't Fix",$N996&lt;&gt;"Duplicate"),"Yes","No"))</f>
        <v/>
      </c>
      <c r="AF996" s="101"/>
      <c r="AG996" s="108" t="str">
        <f aca="false">IF($AF996="","",IFERROR(VLOOKUP($AF996,'Application Portfolio'!$A$2:$B$1000,2,FALSE()),"Unknown App ID"))</f>
        <v/>
      </c>
      <c r="AH996" s="108" t="str">
        <f aca="false">IF(OR($B996="",$AF996=""),"",IFERROR(VLOOKUP($AF996,'Application Portfolio'!$A$2:$AB$1000,28,FALSE()),""))</f>
        <v/>
      </c>
    </row>
    <row r="997" customFormat="false" ht="15.75" hidden="false" customHeight="true" outlineLevel="0" collapsed="false">
      <c r="A997" s="100"/>
      <c r="B997" s="101"/>
      <c r="C997" s="101"/>
      <c r="D997" s="101"/>
      <c r="E997" s="101"/>
      <c r="F997" s="102"/>
      <c r="G997" s="102"/>
      <c r="H997" s="102"/>
      <c r="I997" s="102"/>
      <c r="J997" s="102"/>
      <c r="K997" s="102"/>
      <c r="L997" s="103" t="str">
        <f aca="false">IF(OR($B997="", $H997="", $I997="", $J997="", $K997=""),"",ROUND((VLOOKUP($H997,Lists!$E$2:$F$5,2,FALSE())*VLOOKUP($I997,Lists!$H$2:$I$4,2,FALSE())*VLOOKUP($J997,Lists!$K$2:$L$4,2,FALSE()))/VLOOKUP($K997,Lists!$N$2:$O$6,2,FALSE()),2))</f>
        <v/>
      </c>
      <c r="M997" s="104" t="str">
        <f aca="false">IF($B997="","",IF($AC997&lt;&gt;"",$AC997,IF($H997="Critical","P0",IF(NOT(ISNUMBER($L997)),"",IF($L997&gt;=Lists!$AM$2,"P0",IF($L997&gt;=Lists!$AM$3,"P1",IF($L997&gt;=Lists!$AM$4,"P2","P3")))))))</f>
        <v/>
      </c>
      <c r="N997" s="102"/>
      <c r="O997" s="101"/>
      <c r="P997" s="102"/>
      <c r="Q997" s="105"/>
      <c r="R997" s="106" t="str">
        <f aca="true">IF($Q997="","", TODAY()-$Q997)</f>
        <v/>
      </c>
      <c r="S997" s="102"/>
      <c r="T997" s="105"/>
      <c r="U997" s="105"/>
      <c r="V997" s="101"/>
      <c r="W997" s="101"/>
      <c r="X997" s="101"/>
      <c r="Y997" s="96"/>
      <c r="Z997" s="96"/>
      <c r="AA997" s="96"/>
      <c r="AC997" s="102"/>
      <c r="AD997" s="107" t="str">
        <f aca="false">IF($B997="","",IF(ISNUMBER($T997),$T997,IF(OR(NOT(ISNUMBER($Q997)),$S997=""),"",IFERROR(IF(ISNUMBER(INDEX(Lists!$AJ$2:$AJ$7,MATCH($S997,Lists!$AI$2:$AI$7,0))),$Q997+INDEX(Lists!$AJ$2:$AJ$7,MATCH($S997,Lists!$AI$2:$AI$7,0)),""),""))))</f>
        <v/>
      </c>
      <c r="AE997" s="104" t="str">
        <f aca="true">IF($B997="","",IF(AND(ISNUMBER($AD997),N($AD997)&lt;TODAY(),$N997&lt;&gt;"Done",$N997&lt;&gt;"Won't Fix",$N997&lt;&gt;"Duplicate"),"Yes","No"))</f>
        <v/>
      </c>
      <c r="AF997" s="101"/>
      <c r="AG997" s="108" t="str">
        <f aca="false">IF($AF997="","",IFERROR(VLOOKUP($AF997,'Application Portfolio'!$A$2:$B$1000,2,FALSE()),"Unknown App ID"))</f>
        <v/>
      </c>
      <c r="AH997" s="108" t="str">
        <f aca="false">IF(OR($B997="",$AF997=""),"",IFERROR(VLOOKUP($AF997,'Application Portfolio'!$A$2:$AB$1000,28,FALSE()),""))</f>
        <v/>
      </c>
    </row>
    <row r="998" customFormat="false" ht="15.75" hidden="false" customHeight="true" outlineLevel="0" collapsed="false">
      <c r="A998" s="100"/>
      <c r="B998" s="101"/>
      <c r="C998" s="101"/>
      <c r="D998" s="101"/>
      <c r="E998" s="101"/>
      <c r="F998" s="102"/>
      <c r="G998" s="102"/>
      <c r="H998" s="102"/>
      <c r="I998" s="102"/>
      <c r="J998" s="102"/>
      <c r="K998" s="102"/>
      <c r="L998" s="103" t="str">
        <f aca="false">IF(OR($B998="", $H998="", $I998="", $J998="", $K998=""),"",ROUND((VLOOKUP($H998,Lists!$E$2:$F$5,2,FALSE())*VLOOKUP($I998,Lists!$H$2:$I$4,2,FALSE())*VLOOKUP($J998,Lists!$K$2:$L$4,2,FALSE()))/VLOOKUP($K998,Lists!$N$2:$O$6,2,FALSE()),2))</f>
        <v/>
      </c>
      <c r="M998" s="104" t="str">
        <f aca="false">IF($B998="","",IF($AC998&lt;&gt;"",$AC998,IF($H998="Critical","P0",IF(NOT(ISNUMBER($L998)),"",IF($L998&gt;=Lists!$AM$2,"P0",IF($L998&gt;=Lists!$AM$3,"P1",IF($L998&gt;=Lists!$AM$4,"P2","P3")))))))</f>
        <v/>
      </c>
      <c r="N998" s="102"/>
      <c r="O998" s="101"/>
      <c r="P998" s="102"/>
      <c r="Q998" s="105"/>
      <c r="R998" s="106" t="str">
        <f aca="true">IF($Q998="","", TODAY()-$Q998)</f>
        <v/>
      </c>
      <c r="S998" s="102"/>
      <c r="T998" s="105"/>
      <c r="U998" s="105"/>
      <c r="V998" s="101"/>
      <c r="W998" s="101"/>
      <c r="X998" s="101"/>
      <c r="Y998" s="96"/>
      <c r="Z998" s="96"/>
      <c r="AA998" s="96"/>
      <c r="AC998" s="102"/>
      <c r="AD998" s="107" t="str">
        <f aca="false">IF($B998="","",IF(ISNUMBER($T998),$T998,IF(OR(NOT(ISNUMBER($Q998)),$S998=""),"",IFERROR(IF(ISNUMBER(INDEX(Lists!$AJ$2:$AJ$7,MATCH($S998,Lists!$AI$2:$AI$7,0))),$Q998+INDEX(Lists!$AJ$2:$AJ$7,MATCH($S998,Lists!$AI$2:$AI$7,0)),""),""))))</f>
        <v/>
      </c>
      <c r="AE998" s="104" t="str">
        <f aca="true">IF($B998="","",IF(AND(ISNUMBER($AD998),N($AD998)&lt;TODAY(),$N998&lt;&gt;"Done",$N998&lt;&gt;"Won't Fix",$N998&lt;&gt;"Duplicate"),"Yes","No"))</f>
        <v/>
      </c>
      <c r="AF998" s="101"/>
      <c r="AG998" s="108" t="str">
        <f aca="false">IF($AF998="","",IFERROR(VLOOKUP($AF998,'Application Portfolio'!$A$2:$B$1000,2,FALSE()),"Unknown App ID"))</f>
        <v/>
      </c>
      <c r="AH998" s="108" t="str">
        <f aca="false">IF(OR($B998="",$AF998=""),"",IFERROR(VLOOKUP($AF998,'Application Portfolio'!$A$2:$AB$1000,28,FALSE()),""))</f>
        <v/>
      </c>
    </row>
    <row r="999" customFormat="false" ht="15.75" hidden="false" customHeight="true" outlineLevel="0" collapsed="false">
      <c r="A999" s="100"/>
      <c r="B999" s="101"/>
      <c r="C999" s="101"/>
      <c r="D999" s="101"/>
      <c r="E999" s="101"/>
      <c r="F999" s="102"/>
      <c r="G999" s="102"/>
      <c r="H999" s="102"/>
      <c r="I999" s="102"/>
      <c r="J999" s="102"/>
      <c r="K999" s="102"/>
      <c r="L999" s="103" t="str">
        <f aca="false">IF(OR($B999="", $H999="", $I999="", $J999="", $K999=""),"",ROUND((VLOOKUP($H999,Lists!$E$2:$F$5,2,FALSE())*VLOOKUP($I999,Lists!$H$2:$I$4,2,FALSE())*VLOOKUP($J999,Lists!$K$2:$L$4,2,FALSE()))/VLOOKUP($K999,Lists!$N$2:$O$6,2,FALSE()),2))</f>
        <v/>
      </c>
      <c r="M999" s="104" t="str">
        <f aca="false">IF($B999="","",IF($AC999&lt;&gt;"",$AC999,IF($H999="Critical","P0",IF(NOT(ISNUMBER($L999)),"",IF($L999&gt;=Lists!$AM$2,"P0",IF($L999&gt;=Lists!$AM$3,"P1",IF($L999&gt;=Lists!$AM$4,"P2","P3")))))))</f>
        <v/>
      </c>
      <c r="N999" s="102"/>
      <c r="O999" s="101"/>
      <c r="P999" s="102"/>
      <c r="Q999" s="105"/>
      <c r="R999" s="106" t="str">
        <f aca="true">IF($Q999="","", TODAY()-$Q999)</f>
        <v/>
      </c>
      <c r="S999" s="102"/>
      <c r="T999" s="105"/>
      <c r="U999" s="105"/>
      <c r="V999" s="101"/>
      <c r="W999" s="101"/>
      <c r="X999" s="101"/>
      <c r="Y999" s="96"/>
      <c r="Z999" s="96"/>
      <c r="AA999" s="96"/>
      <c r="AC999" s="102"/>
      <c r="AD999" s="107" t="str">
        <f aca="false">IF($B999="","",IF(ISNUMBER($T999),$T999,IF(OR(NOT(ISNUMBER($Q999)),$S999=""),"",IFERROR(IF(ISNUMBER(INDEX(Lists!$AJ$2:$AJ$7,MATCH($S999,Lists!$AI$2:$AI$7,0))),$Q999+INDEX(Lists!$AJ$2:$AJ$7,MATCH($S999,Lists!$AI$2:$AI$7,0)),""),""))))</f>
        <v/>
      </c>
      <c r="AE999" s="104" t="str">
        <f aca="true">IF($B999="","",IF(AND(ISNUMBER($AD999),N($AD999)&lt;TODAY(),$N999&lt;&gt;"Done",$N999&lt;&gt;"Won't Fix",$N999&lt;&gt;"Duplicate"),"Yes","No"))</f>
        <v/>
      </c>
      <c r="AF999" s="101"/>
      <c r="AG999" s="108" t="str">
        <f aca="false">IF($AF999="","",IFERROR(VLOOKUP($AF999,'Application Portfolio'!$A$2:$B$1000,2,FALSE()),"Unknown App ID"))</f>
        <v/>
      </c>
      <c r="AH999" s="108" t="str">
        <f aca="false">IF(OR($B999="",$AF999=""),"",IFERROR(VLOOKUP($AF999,'Application Portfolio'!$A$2:$AB$1000,28,FALSE()),""))</f>
        <v/>
      </c>
    </row>
    <row r="1000" customFormat="false" ht="15.75" hidden="false" customHeight="true" outlineLevel="0" collapsed="false">
      <c r="A1000" s="100"/>
      <c r="B1000" s="101"/>
      <c r="C1000" s="101"/>
      <c r="D1000" s="101"/>
      <c r="E1000" s="101"/>
      <c r="F1000" s="102"/>
      <c r="G1000" s="102"/>
      <c r="H1000" s="102"/>
      <c r="I1000" s="102"/>
      <c r="J1000" s="102"/>
      <c r="K1000" s="102"/>
      <c r="L1000" s="103" t="str">
        <f aca="false">IF(OR($B1000="", $H1000="", $I1000="", $J1000="", $K1000=""),"",ROUND((VLOOKUP($H1000,Lists!$E$2:$F$5,2,FALSE())*VLOOKUP($I1000,Lists!$H$2:$I$4,2,FALSE())*VLOOKUP($J1000,Lists!$K$2:$L$4,2,FALSE()))/VLOOKUP($K1000,Lists!$N$2:$O$6,2,FALSE()),2))</f>
        <v/>
      </c>
      <c r="M1000" s="104" t="str">
        <f aca="false">IF($B1000="","",IF($AC1000&lt;&gt;"",$AC1000,IF($H1000="Critical","P0",IF(NOT(ISNUMBER($L1000)),"",IF($L1000&gt;=Lists!$AM$2,"P0",IF($L1000&gt;=Lists!$AM$3,"P1",IF($L1000&gt;=Lists!$AM$4,"P2","P3")))))))</f>
        <v/>
      </c>
      <c r="N1000" s="102"/>
      <c r="O1000" s="101"/>
      <c r="P1000" s="102"/>
      <c r="Q1000" s="105"/>
      <c r="R1000" s="106" t="str">
        <f aca="true">IF($Q1000="","", TODAY()-$Q1000)</f>
        <v/>
      </c>
      <c r="S1000" s="102"/>
      <c r="T1000" s="105"/>
      <c r="U1000" s="105"/>
      <c r="V1000" s="101"/>
      <c r="W1000" s="101"/>
      <c r="X1000" s="101"/>
      <c r="Y1000" s="96"/>
      <c r="Z1000" s="96"/>
      <c r="AA1000" s="96"/>
      <c r="AC1000" s="102"/>
      <c r="AD1000" s="107" t="str">
        <f aca="false">IF($B1000="","",IF(ISNUMBER($T1000),$T1000,IF(OR(NOT(ISNUMBER($Q1000)),$S1000=""),"",IFERROR(IF(ISNUMBER(INDEX(Lists!$AJ$2:$AJ$7,MATCH($S1000,Lists!$AI$2:$AI$7,0))),$Q1000+INDEX(Lists!$AJ$2:$AJ$7,MATCH($S1000,Lists!$AI$2:$AI$7,0)),""),""))))</f>
        <v/>
      </c>
      <c r="AE1000" s="104" t="str">
        <f aca="true">IF($B1000="","",IF(AND(ISNUMBER($AD1000),N($AD1000)&lt;TODAY(),$N1000&lt;&gt;"Done",$N1000&lt;&gt;"Won't Fix",$N1000&lt;&gt;"Duplicate"),"Yes","No"))</f>
        <v/>
      </c>
      <c r="AF1000" s="101"/>
      <c r="AG1000" s="108" t="str">
        <f aca="false">IF($AF1000="","",IFERROR(VLOOKUP($AF1000,'Application Portfolio'!$A$2:$B$1000,2,FALSE()),"Unknown App ID"))</f>
        <v/>
      </c>
      <c r="AH1000" s="108" t="str">
        <f aca="false">IF(OR($B1000="",$AF1000=""),"",IFERROR(VLOOKUP($AF1000,'Application Portfolio'!$A$2:$AB$1000,28,FALSE()),""))</f>
        <v/>
      </c>
    </row>
  </sheetData>
  <conditionalFormatting sqref="AD2:AE1000">
    <cfRule type="expression" priority="2" aboveAverage="0" equalAverage="0" bottom="0" percent="0" rank="0" text="" dxfId="15">
      <formula>$AE2="Yes"</formula>
    </cfRule>
  </conditionalFormatting>
  <conditionalFormatting sqref="A2:AH1000">
    <cfRule type="expression" priority="3" aboveAverage="0" equalAverage="0" bottom="0" percent="0" rank="0" text="" dxfId="16">
      <formula>$N2="Done"</formula>
    </cfRule>
  </conditionalFormatting>
  <conditionalFormatting sqref="H2:H1000">
    <cfRule type="expression" priority="4" aboveAverage="0" equalAverage="0" bottom="0" percent="0" rank="0" text="" dxfId="15">
      <formula>$H2="Critical"</formula>
    </cfRule>
    <cfRule type="expression" priority="5" aboveAverage="0" equalAverage="0" bottom="0" percent="0" rank="0" text="" dxfId="17">
      <formula>$H2="High"</formula>
    </cfRule>
    <cfRule type="expression" priority="6" aboveAverage="0" equalAverage="0" bottom="0" percent="0" rank="0" text="" dxfId="18">
      <formula>$H2="Medium"</formula>
    </cfRule>
    <cfRule type="expression" priority="7" aboveAverage="0" equalAverage="0" bottom="0" percent="0" rank="0" text="" dxfId="19">
      <formula>$H2="Low"</formula>
    </cfRule>
    <cfRule type="expression" priority="8" aboveAverage="0" equalAverage="0" bottom="0" percent="0" rank="0" text="" dxfId="20">
      <formula>EXACT($H2,"Critical")</formula>
    </cfRule>
    <cfRule type="expression" priority="9" aboveAverage="0" equalAverage="0" bottom="0" percent="0" rank="0" text="" dxfId="21">
      <formula>EXACT($H2,"High")</formula>
    </cfRule>
    <cfRule type="expression" priority="10" aboveAverage="0" equalAverage="0" bottom="0" percent="0" rank="0" text="" dxfId="22">
      <formula>EXACT($H2,"Medium")</formula>
    </cfRule>
    <cfRule type="expression" priority="11" aboveAverage="0" equalAverage="0" bottom="0" percent="0" rank="0" text="" dxfId="23">
      <formula>EXACT($H2,"Low")</formula>
    </cfRule>
  </conditionalFormatting>
  <conditionalFormatting sqref="M2:M1000">
    <cfRule type="expression" priority="12" aboveAverage="0" equalAverage="0" bottom="0" percent="0" rank="0" text="" dxfId="15">
      <formula>$M2="P0"</formula>
    </cfRule>
    <cfRule type="expression" priority="13" aboveAverage="0" equalAverage="0" bottom="0" percent="0" rank="0" text="" dxfId="17">
      <formula>$M2="P1"</formula>
    </cfRule>
    <cfRule type="expression" priority="14" aboveAverage="0" equalAverage="0" bottom="0" percent="0" rank="0" text="" dxfId="18">
      <formula>$M2="P2"</formula>
    </cfRule>
    <cfRule type="expression" priority="15" aboveAverage="0" equalAverage="0" bottom="0" percent="0" rank="0" text="" dxfId="19">
      <formula>$M2="P3"</formula>
    </cfRule>
  </conditionalFormatting>
  <conditionalFormatting sqref="L2:L1000">
    <cfRule type="colorScale" priority="16">
      <colorScale>
        <cfvo type="min" val="0"/>
        <cfvo type="percentile" val="50"/>
        <cfvo type="max" val="0"/>
        <color rgb="FF63BE7B"/>
        <color rgb="FFFFEB84"/>
        <color rgb="FFF8696B"/>
      </colorScale>
    </cfRule>
    <cfRule type="colorScale" priority="17">
      <colorScale>
        <cfvo type="num" val="0"/>
        <cfvo type="num" val="5"/>
        <cfvo type="num" val="12"/>
        <color rgb="FF86EFAC"/>
        <color rgb="FFFDE68A"/>
        <color rgb="FFFCA5A5"/>
      </colorScale>
    </cfRule>
  </conditionalFormatting>
  <conditionalFormatting sqref="N2:N1000">
    <cfRule type="expression" priority="18" aboveAverage="0" equalAverage="0" bottom="0" percent="0" rank="0" text="" dxfId="23">
      <formula>EXACT($N2,"Done")</formula>
    </cfRule>
    <cfRule type="expression" priority="19" aboveAverage="0" equalAverage="0" bottom="0" percent="0" rank="0" text="" dxfId="24">
      <formula>EXACT($N2,"In Progress")</formula>
    </cfRule>
    <cfRule type="expression" priority="20" aboveAverage="0" equalAverage="0" bottom="0" percent="0" rank="0" text="" dxfId="20">
      <formula>EXACT($N2,"Blocked")</formula>
    </cfRule>
    <cfRule type="expression" priority="21" aboveAverage="0" equalAverage="0" bottom="0" percent="0" rank="0" text="" dxfId="25">
      <formula>EXACT($N2,"New")</formula>
    </cfRule>
    <cfRule type="expression" priority="22" aboveAverage="0" equalAverage="0" bottom="0" percent="0" rank="0" text="" dxfId="26">
      <formula>EXACT($N2,"Won't Fix")</formula>
    </cfRule>
    <cfRule type="expression" priority="23" aboveAverage="0" equalAverage="0" bottom="0" percent="0" rank="0" text="" dxfId="26">
      <formula>EXACT($N2,"Duplicate")</formula>
    </cfRule>
  </conditionalFormatting>
  <conditionalFormatting sqref="A2:A1000">
    <cfRule type="expression" priority="24" aboveAverage="0" equalAverage="0" bottom="0" percent="0" rank="0" text="" dxfId="27">
      <formula>AND($B2&lt;&gt;"",OR($A2="",COUNTIF($A$2:$A$1000,$A2)&gt;1,LEFT($A2,3)&lt;&gt;"TD-",LEN($A2)&lt;&gt;7,NOT(ISNUMBER(--RIGHT($A2,4)))))</formula>
    </cfRule>
  </conditionalFormatting>
  <dataValidations count="13">
    <dataValidation allowBlank="true" error="Choose P0 to P3, or leave blank to use the calculated priority." errorStyle="stop" errorTitle="Invalid selection" operator="between" promptTitle="Priority Override" showDropDown="false" showErrorMessage="true" showInputMessage="false" sqref="AC2:AC1000" type="list">
      <formula1>lstPriority</formula1>
      <formula2>0</formula2>
    </dataValidation>
    <dataValidation allowBlank="true" error="Select an App ID from Application Portfolio." errorStyle="stop" errorTitle="Invalid selection" operator="between" promptTitle="App ID" showDropDown="false" showErrorMessage="true" showInputMessage="false" sqref="AF2:AF1000" type="list">
      <formula1>lstAppID</formula1>
      <formula2>0</formula2>
    </dataValidation>
    <dataValidation allowBlank="true" error="IDs are TD- plus 4 digits and must be unique. Use the Next ID on Dashboard." errorStyle="stop" errorTitle="ID" operator="between" prompt="Fixed once assigned. Never renumber or reuse." promptTitle="ID" showDropDown="false" showErrorMessage="true" showInputMessage="true" sqref="A2:A1000" type="custom">
      <formula1>AND(LEFT(A2,3)="TD-",LEN(A2)=7,ISNUMBER(--RIGHT(A2,4)),COUNTIF($A$2:$A$1000,A2)=1)</formula1>
      <formula2>0</formula2>
    </dataValidation>
    <dataValidation allowBlank="true" error="Select a Debt Type from the list. Options are maintained on the Lists sheet." errorStyle="stop" errorTitle="Invalid selection" operator="between" showDropDown="false" showErrorMessage="true" showInputMessage="false" sqref="F2:F1000" type="list">
      <formula1>lstDebtType</formula1>
      <formula2>0</formula2>
    </dataValidation>
    <dataValidation allowBlank="true" error="Select a Impact Area from the list. Options are maintained on the Lists sheet." errorStyle="stop" errorTitle="Invalid selection" operator="between" showDropDown="false" showErrorMessage="true" showInputMessage="false" sqref="G2:G1000" type="list">
      <formula1>lstImpactArea</formula1>
      <formula2>0</formula2>
    </dataValidation>
    <dataValidation allowBlank="true" error="Select a Severity from the list. Options are maintained on the Lists sheet." errorStyle="stop" errorTitle="Invalid selection" operator="between" showDropDown="false" showErrorMessage="true" showInputMessage="false" sqref="H2:H1000" type="list">
      <formula1>lstSeverity</formula1>
      <formula2>0</formula2>
    </dataValidation>
    <dataValidation allowBlank="true" error="Select a Impact from the list. Options are maintained on the Lists sheet." errorStyle="stop" errorTitle="Invalid selection" operator="between" showDropDown="false" showErrorMessage="true" showInputMessage="false" sqref="I2:I1000" type="list">
      <formula1>lstImpact</formula1>
      <formula2>0</formula2>
    </dataValidation>
    <dataValidation allowBlank="true" error="Select a Confidence from the list. Options are maintained on the Lists sheet." errorStyle="stop" errorTitle="Invalid selection" operator="between" showDropDown="false" showErrorMessage="true" showInputMessage="false" sqref="J2:J1000" type="list">
      <formula1>lstConfidence</formula1>
      <formula2>0</formula2>
    </dataValidation>
    <dataValidation allowBlank="true" error="Select a Effort from the list. Options are maintained on the Lists sheet." errorStyle="stop" errorTitle="Invalid selection" operator="between" showDropDown="false" showErrorMessage="true" showInputMessage="false" sqref="K2:K1000" type="list">
      <formula1>lstEffort</formula1>
      <formula2>0</formula2>
    </dataValidation>
    <dataValidation allowBlank="true" error="Select a Status from the list. Options are maintained on the Lists sheet." errorStyle="stop" errorTitle="Invalid selection" operator="between" showDropDown="false" showErrorMessage="true" showInputMessage="false" sqref="N2:N1000" type="list">
      <formula1>lstStatus</formula1>
      <formula2>0</formula2>
    </dataValidation>
    <dataValidation allowBlank="true" error="Select a Team from the list. Options are maintained on the Lists sheet." errorStyle="stop" errorTitle="Invalid selection" operator="between" showDropDown="false" showErrorMessage="true" showInputMessage="false" sqref="P2:P1000" type="list">
      <formula1>lstTeam</formula1>
      <formula2>0</formula2>
    </dataValidation>
    <dataValidation allowBlank="true" error="Select a Target Window from the list. Options are maintained on the Lists sheet." errorStyle="stop" errorTitle="Invalid selection" operator="between" showDropDown="false" showErrorMessage="true" showInputMessage="false" sqref="S2:S1000" type="list">
      <formula1>lstTargetWindow</formula1>
      <formula2>0</formula2>
    </dataValidation>
    <dataValidation allowBlank="true" error="Select a Cost Confidence from the list. Options are maintained on the Lists sheet." errorStyle="stop" errorTitle="Invalid selection" operator="between" showDropDown="false" showErrorMessage="true" showInputMessage="false" sqref="AB2:AB1000" type="list">
      <formula1>lstConfidence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I17" activeCellId="0" sqref="I17"/>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26"/>
    <col collapsed="false" customWidth="true" hidden="false" outlineLevel="0" max="6" min="4" style="1" width="14"/>
    <col collapsed="false" customWidth="true" hidden="false" outlineLevel="0" max="7" min="7" style="1" width="12"/>
    <col collapsed="false" customWidth="true" hidden="false" outlineLevel="0" max="8" min="8" style="1" width="14"/>
    <col collapsed="false" customWidth="true" hidden="false" outlineLevel="0" max="9" min="9" style="1" width="12"/>
    <col collapsed="false" customWidth="true" hidden="false" outlineLevel="0" max="10" min="10" style="1" width="16"/>
    <col collapsed="false" customWidth="true" hidden="false" outlineLevel="0" max="11" min="11" style="1" width="14"/>
    <col collapsed="false" customWidth="true" hidden="false" outlineLevel="0" max="12" min="12" style="1" width="30"/>
  </cols>
  <sheetData>
    <row r="1" customFormat="false" ht="30" hidden="false" customHeight="true" outlineLevel="0" collapsed="false">
      <c r="A1" s="33" t="s">
        <v>346</v>
      </c>
      <c r="B1" s="33" t="s">
        <v>260</v>
      </c>
      <c r="C1" s="33" t="s">
        <v>261</v>
      </c>
      <c r="D1" s="33" t="s">
        <v>347</v>
      </c>
      <c r="E1" s="33" t="s">
        <v>348</v>
      </c>
      <c r="F1" s="33" t="s">
        <v>349</v>
      </c>
      <c r="G1" s="33" t="s">
        <v>350</v>
      </c>
      <c r="H1" s="33" t="s">
        <v>351</v>
      </c>
      <c r="I1" s="33" t="s">
        <v>352</v>
      </c>
      <c r="J1" s="33" t="s">
        <v>244</v>
      </c>
      <c r="K1" s="33" t="s">
        <v>249</v>
      </c>
      <c r="L1" s="33" t="s">
        <v>252</v>
      </c>
    </row>
    <row r="2" customFormat="false" ht="27.75" hidden="false" customHeight="true" outlineLevel="0" collapsed="false">
      <c r="A2" s="109" t="s">
        <v>353</v>
      </c>
      <c r="B2" s="91" t="s">
        <v>276</v>
      </c>
      <c r="C2" s="110" t="str">
        <f aca="false">IF($B2="","",IFERROR(VLOOKUP($B2,'Application Portfolio'!$A$2:$B$1000,2,FALSE()),""))</f>
        <v>Customer Portal</v>
      </c>
      <c r="D2" s="111" t="n">
        <v>5</v>
      </c>
      <c r="E2" s="111" t="n">
        <v>4</v>
      </c>
      <c r="F2" s="111" t="n">
        <v>3</v>
      </c>
      <c r="G2" s="111" t="n">
        <v>2</v>
      </c>
      <c r="H2" s="111" t="n">
        <v>3</v>
      </c>
      <c r="I2" s="92" t="n">
        <f aca="false">IF(OR($B2="", $D2="", $E2="", $F2="", $G2="", $H2=""),"",ROUND(($D2*Lists!$AD$20)+($E2*Lists!$AD$21)+($F2*Lists!$AD$22)+($G2*Lists!$AD$23)+($H2*Lists!$AD$24),2))</f>
        <v>3.4</v>
      </c>
      <c r="J2" s="91" t="s">
        <v>354</v>
      </c>
      <c r="K2" s="94" t="n">
        <v>46127</v>
      </c>
      <c r="L2" s="91" t="s">
        <v>355</v>
      </c>
    </row>
    <row r="3" customFormat="false" ht="15" hidden="false" customHeight="true" outlineLevel="0" collapsed="false">
      <c r="A3" s="109" t="s">
        <v>356</v>
      </c>
      <c r="B3" s="98" t="s">
        <v>290</v>
      </c>
      <c r="C3" s="110" t="str">
        <f aca="false">IF($B3="","",IFERROR(VLOOKUP($B3,'Application Portfolio'!$A$2:$B$1000,2,FALSE()),""))</f>
        <v>Order Management System</v>
      </c>
      <c r="D3" s="112" t="n">
        <v>2</v>
      </c>
      <c r="E3" s="112" t="n">
        <v>2</v>
      </c>
      <c r="F3" s="112" t="n">
        <v>3</v>
      </c>
      <c r="G3" s="112" t="n">
        <v>2</v>
      </c>
      <c r="H3" s="112" t="n">
        <v>2</v>
      </c>
      <c r="I3" s="92" t="n">
        <f aca="false">IF(OR($B3="", $D3="", $E3="", $F3="", $G3="", $H3=""),"",ROUND(($D3*Lists!$AD$20)+($E3*Lists!$AD$21)+($F3*Lists!$AD$22)+($G3*Lists!$AD$23)+($H3*Lists!$AD$24),2))</f>
        <v>2.2</v>
      </c>
      <c r="J3" s="98" t="s">
        <v>270</v>
      </c>
      <c r="K3" s="99" t="n">
        <v>46127</v>
      </c>
      <c r="L3" s="98" t="s">
        <v>357</v>
      </c>
    </row>
    <row r="4" customFormat="false" ht="27.75" hidden="false" customHeight="true" outlineLevel="0" collapsed="false">
      <c r="A4" s="109" t="s">
        <v>358</v>
      </c>
      <c r="B4" s="91" t="s">
        <v>303</v>
      </c>
      <c r="C4" s="110" t="str">
        <f aca="false">IF($B4="","",IFERROR(VLOOKUP($B4,'Application Portfolio'!$A$2:$B$1000,2,FALSE()),""))</f>
        <v>Payment Processor</v>
      </c>
      <c r="D4" s="111" t="n">
        <v>4</v>
      </c>
      <c r="E4" s="111" t="n">
        <v>5</v>
      </c>
      <c r="F4" s="111" t="n">
        <v>4</v>
      </c>
      <c r="G4" s="111" t="n">
        <v>3</v>
      </c>
      <c r="H4" s="111" t="n">
        <v>4</v>
      </c>
      <c r="I4" s="92" t="n">
        <f aca="false">IF(OR($B4="", $D4="", $E4="", $F4="", $G4="", $H4=""),"",ROUND(($D4*Lists!$AD$20)+($E4*Lists!$AD$21)+($F4*Lists!$AD$22)+($G4*Lists!$AD$23)+($H4*Lists!$AD$24),2))</f>
        <v>4</v>
      </c>
      <c r="J4" s="91" t="s">
        <v>299</v>
      </c>
      <c r="K4" s="94" t="n">
        <v>46127</v>
      </c>
      <c r="L4" s="91" t="s">
        <v>359</v>
      </c>
    </row>
    <row r="5" customFormat="false" ht="27.75" hidden="false" customHeight="true" outlineLevel="0" collapsed="false">
      <c r="A5" s="109" t="s">
        <v>360</v>
      </c>
      <c r="B5" s="98" t="s">
        <v>361</v>
      </c>
      <c r="C5" s="110" t="str">
        <f aca="false">IF($B5="","",IFERROR(VLOOKUP($B5,'Application Portfolio'!$A$2:$B$1000,2,FALSE()),""))</f>
        <v>Legacy CRM</v>
      </c>
      <c r="D5" s="112" t="n">
        <v>3</v>
      </c>
      <c r="E5" s="112" t="n">
        <v>3</v>
      </c>
      <c r="F5" s="112" t="n">
        <v>4</v>
      </c>
      <c r="G5" s="112" t="n">
        <v>5</v>
      </c>
      <c r="H5" s="112" t="n">
        <v>5</v>
      </c>
      <c r="I5" s="92" t="n">
        <f aca="false">IF(OR($B5="", $D5="", $E5="", $F5="", $G5="", $H5=""),"",ROUND(($D5*Lists!$AD$20)+($E5*Lists!$AD$21)+($F5*Lists!$AD$22)+($G5*Lists!$AD$23)+($H5*Lists!$AD$24),2))</f>
        <v>4</v>
      </c>
      <c r="J5" s="98" t="s">
        <v>285</v>
      </c>
      <c r="K5" s="99" t="n">
        <v>46127</v>
      </c>
      <c r="L5" s="98" t="s">
        <v>362</v>
      </c>
    </row>
    <row r="6" customFormat="false" ht="15" hidden="false" customHeight="true" outlineLevel="0" collapsed="false">
      <c r="A6" s="109" t="s">
        <v>363</v>
      </c>
      <c r="B6" s="91" t="s">
        <v>364</v>
      </c>
      <c r="C6" s="110" t="str">
        <f aca="false">IF($B6="","",IFERROR(VLOOKUP($B6,'Application Portfolio'!$A$2:$B$1000,2,FALSE()),""))</f>
        <v>Marketing Analytics</v>
      </c>
      <c r="D6" s="111" t="n">
        <v>2</v>
      </c>
      <c r="E6" s="111" t="n">
        <v>2</v>
      </c>
      <c r="F6" s="111" t="n">
        <v>2</v>
      </c>
      <c r="G6" s="111" t="n">
        <v>2</v>
      </c>
      <c r="H6" s="111" t="n">
        <v>3</v>
      </c>
      <c r="I6" s="92" t="n">
        <f aca="false">IF(OR($B6="", $D6="", $E6="", $F6="", $G6="", $H6=""),"",ROUND(($D6*Lists!$AD$20)+($E6*Lists!$AD$21)+($F6*Lists!$AD$22)+($G6*Lists!$AD$23)+($H6*Lists!$AD$24),2))</f>
        <v>2.2</v>
      </c>
      <c r="J6" s="91" t="s">
        <v>321</v>
      </c>
      <c r="K6" s="94" t="n">
        <v>46127</v>
      </c>
      <c r="L6" s="91" t="s">
        <v>365</v>
      </c>
    </row>
    <row r="7" customFormat="false" ht="27.75" hidden="false" customHeight="true" outlineLevel="0" collapsed="false">
      <c r="A7" s="109" t="s">
        <v>366</v>
      </c>
      <c r="B7" s="98" t="s">
        <v>335</v>
      </c>
      <c r="C7" s="110" t="str">
        <f aca="false">IF($B7="","",IFERROR(VLOOKUP($B7,'Application Portfolio'!$A$2:$B$1000,2,FALSE()),""))</f>
        <v>Financial Reconciliation</v>
      </c>
      <c r="D7" s="112" t="n">
        <v>4</v>
      </c>
      <c r="E7" s="112" t="n">
        <v>3</v>
      </c>
      <c r="F7" s="112" t="n">
        <v>4</v>
      </c>
      <c r="G7" s="112" t="n">
        <v>2</v>
      </c>
      <c r="H7" s="112" t="n">
        <v>3</v>
      </c>
      <c r="I7" s="92" t="n">
        <f aca="false">IF(OR($B7="", $D7="", $E7="", $F7="", $G7="", $H7=""),"",ROUND(($D7*Lists!$AD$20)+($E7*Lists!$AD$21)+($F7*Lists!$AD$22)+($G7*Lists!$AD$23)+($H7*Lists!$AD$24),2))</f>
        <v>3.2</v>
      </c>
      <c r="J7" s="98" t="s">
        <v>331</v>
      </c>
      <c r="K7" s="99" t="n">
        <v>46127</v>
      </c>
      <c r="L7" s="98" t="s">
        <v>367</v>
      </c>
    </row>
    <row r="8" customFormat="false" ht="27.75" hidden="false" customHeight="true" outlineLevel="0" collapsed="false">
      <c r="A8" s="109" t="s">
        <v>368</v>
      </c>
      <c r="B8" s="91" t="s">
        <v>345</v>
      </c>
      <c r="C8" s="110" t="str">
        <f aca="false">IF($B8="","",IFERROR(VLOOKUP($B8,'Application Portfolio'!$A$2:$B$1000,2,FALSE()),""))</f>
        <v>Partner API Gateway</v>
      </c>
      <c r="D8" s="111" t="n">
        <v>3</v>
      </c>
      <c r="E8" s="111" t="n">
        <v>4</v>
      </c>
      <c r="F8" s="111" t="n">
        <v>3</v>
      </c>
      <c r="G8" s="111" t="n">
        <v>3</v>
      </c>
      <c r="H8" s="111" t="n">
        <v>2</v>
      </c>
      <c r="I8" s="92" t="n">
        <f aca="false">IF(OR($B8="", $D8="", $E8="", $F8="", $G8="", $H8=""),"",ROUND(($D8*Lists!$AD$20)+($E8*Lists!$AD$21)+($F8*Lists!$AD$22)+($G8*Lists!$AD$23)+($H8*Lists!$AD$24),2))</f>
        <v>3</v>
      </c>
      <c r="J8" s="91" t="s">
        <v>343</v>
      </c>
      <c r="K8" s="94" t="n">
        <v>46127</v>
      </c>
      <c r="L8" s="91" t="s">
        <v>369</v>
      </c>
    </row>
    <row r="9" customFormat="false" ht="15" hidden="false" customHeight="true" outlineLevel="0" collapsed="false">
      <c r="A9" s="109"/>
      <c r="B9" s="98"/>
      <c r="C9" s="110"/>
      <c r="D9" s="112"/>
      <c r="E9" s="112"/>
      <c r="F9" s="112"/>
      <c r="G9" s="112"/>
      <c r="H9" s="112"/>
      <c r="I9" s="92" t="str">
        <f aca="false">IF(OR($B9="", $D9="", $E9="", $F9="", $G9="", $H9=""),"",ROUND(($D9*Lists!$AD$20)+($E9*Lists!$AD$21)+($F9*Lists!$AD$22)+($G9*Lists!$AD$23)+($H9*Lists!$AD$24),2))</f>
        <v/>
      </c>
      <c r="J9" s="98"/>
      <c r="K9" s="99"/>
      <c r="L9" s="98"/>
    </row>
    <row r="10" customFormat="false" ht="15" hidden="false" customHeight="true" outlineLevel="0" collapsed="false">
      <c r="A10" s="109"/>
      <c r="B10" s="91"/>
      <c r="C10" s="110"/>
      <c r="D10" s="111"/>
      <c r="E10" s="111"/>
      <c r="F10" s="111"/>
      <c r="G10" s="111"/>
      <c r="H10" s="111"/>
      <c r="I10" s="92" t="str">
        <f aca="false">IF(OR($B10="", $D10="", $E10="", $F10="", $G10="", $H10=""),"",ROUND(($D10*Lists!$AD$20)+($E10*Lists!$AD$21)+($F10*Lists!$AD$22)+($G10*Lists!$AD$23)+($H10*Lists!$AD$24),2))</f>
        <v/>
      </c>
      <c r="J10" s="91"/>
      <c r="K10" s="94"/>
      <c r="L10" s="91"/>
    </row>
    <row r="11" customFormat="false" ht="15" hidden="false" customHeight="true" outlineLevel="0" collapsed="false">
      <c r="A11" s="109"/>
      <c r="B11" s="98"/>
      <c r="C11" s="110"/>
      <c r="D11" s="112"/>
      <c r="E11" s="112"/>
      <c r="F11" s="112"/>
      <c r="G11" s="112"/>
      <c r="H11" s="112"/>
      <c r="I11" s="92" t="str">
        <f aca="false">IF(OR($B11="", $D11="", $E11="", $F11="", $G11="", $H11=""),"",ROUND(($D11*Lists!$AD$20)+($E11*Lists!$AD$21)+($F11*Lists!$AD$22)+($G11*Lists!$AD$23)+($H11*Lists!$AD$24),2))</f>
        <v/>
      </c>
      <c r="J11" s="98"/>
      <c r="K11" s="99"/>
      <c r="L11" s="98"/>
    </row>
    <row r="12" customFormat="false" ht="15" hidden="false" customHeight="true" outlineLevel="0" collapsed="false">
      <c r="A12" s="109"/>
      <c r="B12" s="91"/>
      <c r="C12" s="110"/>
      <c r="D12" s="111"/>
      <c r="E12" s="111"/>
      <c r="F12" s="111"/>
      <c r="G12" s="111"/>
      <c r="H12" s="111"/>
      <c r="I12" s="92" t="str">
        <f aca="false">IF(OR($B12="", $D12="", $E12="", $F12="", $G12="", $H12=""),"",ROUND(($D12*Lists!$AD$20)+($E12*Lists!$AD$21)+($F12*Lists!$AD$22)+($G12*Lists!$AD$23)+($H12*Lists!$AD$24),2))</f>
        <v/>
      </c>
      <c r="J12" s="91"/>
      <c r="K12" s="94"/>
      <c r="L12" s="91"/>
    </row>
    <row r="13" customFormat="false" ht="15" hidden="false" customHeight="true" outlineLevel="0" collapsed="false">
      <c r="A13" s="109"/>
      <c r="B13" s="98"/>
      <c r="C13" s="110"/>
      <c r="D13" s="112"/>
      <c r="E13" s="112"/>
      <c r="F13" s="112"/>
      <c r="G13" s="112"/>
      <c r="H13" s="112"/>
      <c r="I13" s="92" t="str">
        <f aca="false">IF(OR($B13="", $D13="", $E13="", $F13="", $G13="", $H13=""),"",ROUND(($D13*Lists!$AD$20)+($E13*Lists!$AD$21)+($F13*Lists!$AD$22)+($G13*Lists!$AD$23)+($H13*Lists!$AD$24),2))</f>
        <v/>
      </c>
      <c r="J13" s="98"/>
      <c r="K13" s="99"/>
      <c r="L13" s="98"/>
    </row>
    <row r="14" customFormat="false" ht="15" hidden="false" customHeight="true" outlineLevel="0" collapsed="false">
      <c r="A14" s="109"/>
      <c r="B14" s="91"/>
      <c r="C14" s="110"/>
      <c r="D14" s="111"/>
      <c r="E14" s="111"/>
      <c r="F14" s="111"/>
      <c r="G14" s="111"/>
      <c r="H14" s="111"/>
      <c r="I14" s="92" t="str">
        <f aca="false">IF(OR($B14="", $D14="", $E14="", $F14="", $G14="", $H14=""),"",ROUND(($D14*Lists!$AD$20)+($E14*Lists!$AD$21)+($F14*Lists!$AD$22)+($G14*Lists!$AD$23)+($H14*Lists!$AD$24),2))</f>
        <v/>
      </c>
      <c r="J14" s="91"/>
      <c r="K14" s="94"/>
      <c r="L14" s="91"/>
    </row>
    <row r="15" customFormat="false" ht="15" hidden="false" customHeight="true" outlineLevel="0" collapsed="false">
      <c r="A15" s="109"/>
      <c r="B15" s="98"/>
      <c r="C15" s="110"/>
      <c r="D15" s="112"/>
      <c r="E15" s="112"/>
      <c r="F15" s="112"/>
      <c r="G15" s="112"/>
      <c r="H15" s="112"/>
      <c r="I15" s="92" t="str">
        <f aca="false">IF(OR($B15="", $D15="", $E15="", $F15="", $G15="", $H15=""),"",ROUND(($D15*Lists!$AD$20)+($E15*Lists!$AD$21)+($F15*Lists!$AD$22)+($G15*Lists!$AD$23)+($H15*Lists!$AD$24),2))</f>
        <v/>
      </c>
      <c r="J15" s="98"/>
      <c r="K15" s="99"/>
      <c r="L15" s="98"/>
    </row>
    <row r="16" customFormat="false" ht="15" hidden="false" customHeight="true" outlineLevel="0" collapsed="false">
      <c r="A16" s="109"/>
      <c r="B16" s="91"/>
      <c r="C16" s="110"/>
      <c r="D16" s="111"/>
      <c r="E16" s="111"/>
      <c r="F16" s="111"/>
      <c r="G16" s="111"/>
      <c r="H16" s="111"/>
      <c r="I16" s="92" t="str">
        <f aca="false">IF(OR($B16="", $D16="", $E16="", $F16="", $G16="", $H16=""),"",ROUND(($D16*Lists!$AD$20)+($E16*Lists!$AD$21)+($F16*Lists!$AD$22)+($G16*Lists!$AD$23)+($H16*Lists!$AD$24),2))</f>
        <v/>
      </c>
      <c r="J16" s="91"/>
      <c r="K16" s="94"/>
      <c r="L16" s="91"/>
    </row>
    <row r="17" customFormat="false" ht="15" hidden="false" customHeight="true" outlineLevel="0" collapsed="false">
      <c r="A17" s="109"/>
      <c r="B17" s="98"/>
      <c r="C17" s="110"/>
      <c r="D17" s="112"/>
      <c r="E17" s="112"/>
      <c r="F17" s="112"/>
      <c r="G17" s="112"/>
      <c r="H17" s="112"/>
      <c r="I17" s="92" t="str">
        <f aca="false">IF(OR($B17="", $D17="", $E17="", $F17="", $G17="", $H17=""),"",ROUND(($D17*Lists!$AD$20)+($E17*Lists!$AD$21)+($F17*Lists!$AD$22)+($G17*Lists!$AD$23)+($H17*Lists!$AD$24),2))</f>
        <v/>
      </c>
      <c r="J17" s="98"/>
      <c r="K17" s="99"/>
      <c r="L17" s="98"/>
    </row>
    <row r="18" customFormat="false" ht="15" hidden="false" customHeight="true" outlineLevel="0" collapsed="false">
      <c r="A18" s="109"/>
      <c r="B18" s="91"/>
      <c r="C18" s="110"/>
      <c r="D18" s="111"/>
      <c r="E18" s="111"/>
      <c r="F18" s="111"/>
      <c r="G18" s="111"/>
      <c r="H18" s="111"/>
      <c r="I18" s="92" t="str">
        <f aca="false">IF(OR($B18="", $D18="", $E18="", $F18="", $G18="", $H18=""),"",ROUND(($D18*Lists!$AD$20)+($E18*Lists!$AD$21)+($F18*Lists!$AD$22)+($G18*Lists!$AD$23)+($H18*Lists!$AD$24),2))</f>
        <v/>
      </c>
      <c r="J18" s="91"/>
      <c r="K18" s="94"/>
      <c r="L18" s="91"/>
    </row>
    <row r="19" customFormat="false" ht="15" hidden="false" customHeight="true" outlineLevel="0" collapsed="false">
      <c r="A19" s="109"/>
      <c r="B19" s="98"/>
      <c r="C19" s="110"/>
      <c r="D19" s="112"/>
      <c r="E19" s="112"/>
      <c r="F19" s="112"/>
      <c r="G19" s="112"/>
      <c r="H19" s="112"/>
      <c r="I19" s="92" t="str">
        <f aca="false">IF(OR($B19="", $D19="", $E19="", $F19="", $G19="", $H19=""),"",ROUND(($D19*Lists!$AD$20)+($E19*Lists!$AD$21)+($F19*Lists!$AD$22)+($G19*Lists!$AD$23)+($H19*Lists!$AD$24),2))</f>
        <v/>
      </c>
      <c r="J19" s="98"/>
      <c r="K19" s="99"/>
      <c r="L19" s="98"/>
    </row>
    <row r="20" customFormat="false" ht="15" hidden="false" customHeight="true" outlineLevel="0" collapsed="false">
      <c r="A20" s="109"/>
      <c r="B20" s="91"/>
      <c r="C20" s="110"/>
      <c r="D20" s="111"/>
      <c r="E20" s="111"/>
      <c r="F20" s="111"/>
      <c r="G20" s="111"/>
      <c r="H20" s="111"/>
      <c r="I20" s="92" t="str">
        <f aca="false">IF(OR($B20="", $D20="", $E20="", $F20="", $G20="", $H20=""),"",ROUND(($D20*Lists!$AD$20)+($E20*Lists!$AD$21)+($F20*Lists!$AD$22)+($G20*Lists!$AD$23)+($H20*Lists!$AD$24),2))</f>
        <v/>
      </c>
      <c r="J20" s="91"/>
      <c r="K20" s="94"/>
      <c r="L20" s="91"/>
    </row>
    <row r="21" customFormat="false" ht="15" hidden="false" customHeight="true" outlineLevel="0" collapsed="false">
      <c r="A21" s="109"/>
      <c r="B21" s="98"/>
      <c r="C21" s="110"/>
      <c r="D21" s="112"/>
      <c r="E21" s="112"/>
      <c r="F21" s="112"/>
      <c r="G21" s="112"/>
      <c r="H21" s="112"/>
      <c r="I21" s="92" t="str">
        <f aca="false">IF(OR($B21="", $D21="", $E21="", $F21="", $G21="", $H21=""),"",ROUND(($D21*Lists!$AD$20)+($E21*Lists!$AD$21)+($F21*Lists!$AD$22)+($G21*Lists!$AD$23)+($H21*Lists!$AD$24),2))</f>
        <v/>
      </c>
      <c r="J21" s="98"/>
      <c r="K21" s="99"/>
      <c r="L21" s="98"/>
    </row>
    <row r="22" customFormat="false" ht="15" hidden="false" customHeight="true" outlineLevel="0" collapsed="false">
      <c r="A22" s="109"/>
      <c r="B22" s="91"/>
      <c r="C22" s="110"/>
      <c r="D22" s="111"/>
      <c r="E22" s="111"/>
      <c r="F22" s="111"/>
      <c r="G22" s="111"/>
      <c r="H22" s="111"/>
      <c r="I22" s="92" t="str">
        <f aca="false">IF(OR($B22="", $D22="", $E22="", $F22="", $G22="", $H22=""),"",ROUND(($D22*Lists!$AD$20)+($E22*Lists!$AD$21)+($F22*Lists!$AD$22)+($G22*Lists!$AD$23)+($H22*Lists!$AD$24),2))</f>
        <v/>
      </c>
      <c r="J22" s="91"/>
      <c r="K22" s="94"/>
      <c r="L22" s="91"/>
    </row>
    <row r="23" customFormat="false" ht="15" hidden="false" customHeight="true" outlineLevel="0" collapsed="false">
      <c r="A23" s="109"/>
      <c r="B23" s="98"/>
      <c r="C23" s="110"/>
      <c r="D23" s="112"/>
      <c r="E23" s="112"/>
      <c r="F23" s="112"/>
      <c r="G23" s="112"/>
      <c r="H23" s="112"/>
      <c r="I23" s="92" t="str">
        <f aca="false">IF(OR($B23="", $D23="", $E23="", $F23="", $G23="", $H23=""),"",ROUND(($D23*Lists!$AD$20)+($E23*Lists!$AD$21)+($F23*Lists!$AD$22)+($G23*Lists!$AD$23)+($H23*Lists!$AD$24),2))</f>
        <v/>
      </c>
      <c r="J23" s="98"/>
      <c r="K23" s="99"/>
      <c r="L23" s="98"/>
    </row>
    <row r="24" customFormat="false" ht="15" hidden="false" customHeight="true" outlineLevel="0" collapsed="false">
      <c r="A24" s="109"/>
      <c r="B24" s="91"/>
      <c r="C24" s="110"/>
      <c r="D24" s="111"/>
      <c r="E24" s="111"/>
      <c r="F24" s="111"/>
      <c r="G24" s="111"/>
      <c r="H24" s="111"/>
      <c r="I24" s="92" t="str">
        <f aca="false">IF(OR($B24="", $D24="", $E24="", $F24="", $G24="", $H24=""),"",ROUND(($D24*Lists!$AD$20)+($E24*Lists!$AD$21)+($F24*Lists!$AD$22)+($G24*Lists!$AD$23)+($H24*Lists!$AD$24),2))</f>
        <v/>
      </c>
      <c r="J24" s="91"/>
      <c r="K24" s="94"/>
      <c r="L24" s="91"/>
    </row>
    <row r="25" customFormat="false" ht="15" hidden="false" customHeight="true" outlineLevel="0" collapsed="false">
      <c r="A25" s="109"/>
      <c r="B25" s="98"/>
      <c r="C25" s="110"/>
      <c r="D25" s="112"/>
      <c r="E25" s="112"/>
      <c r="F25" s="112"/>
      <c r="G25" s="112"/>
      <c r="H25" s="112"/>
      <c r="I25" s="92" t="str">
        <f aca="false">IF(OR($B25="", $D25="", $E25="", $F25="", $G25="", $H25=""),"",ROUND(($D25*Lists!$AD$20)+($E25*Lists!$AD$21)+($F25*Lists!$AD$22)+($G25*Lists!$AD$23)+($H25*Lists!$AD$24),2))</f>
        <v/>
      </c>
      <c r="J25" s="98"/>
      <c r="K25" s="99"/>
      <c r="L25" s="98"/>
    </row>
    <row r="26" customFormat="false" ht="15" hidden="false" customHeight="true" outlineLevel="0" collapsed="false">
      <c r="A26" s="109"/>
      <c r="B26" s="91"/>
      <c r="C26" s="110"/>
      <c r="D26" s="111"/>
      <c r="E26" s="111"/>
      <c r="F26" s="111"/>
      <c r="G26" s="111"/>
      <c r="H26" s="111"/>
      <c r="I26" s="92" t="str">
        <f aca="false">IF(OR($B26="", $D26="", $E26="", $F26="", $G26="", $H26=""),"",ROUND(($D26*Lists!$AD$20)+($E26*Lists!$AD$21)+($F26*Lists!$AD$22)+($G26*Lists!$AD$23)+($H26*Lists!$AD$24),2))</f>
        <v/>
      </c>
      <c r="J26" s="91"/>
      <c r="K26" s="94"/>
      <c r="L26" s="91"/>
    </row>
    <row r="27" customFormat="false" ht="15" hidden="false" customHeight="true" outlineLevel="0" collapsed="false">
      <c r="A27" s="109"/>
      <c r="B27" s="98"/>
      <c r="C27" s="110"/>
      <c r="D27" s="112"/>
      <c r="E27" s="112"/>
      <c r="F27" s="112"/>
      <c r="G27" s="112"/>
      <c r="H27" s="112"/>
      <c r="I27" s="92" t="str">
        <f aca="false">IF(OR($B27="", $D27="", $E27="", $F27="", $G27="", $H27=""),"",ROUND(($D27*Lists!$AD$20)+($E27*Lists!$AD$21)+($F27*Lists!$AD$22)+($G27*Lists!$AD$23)+($H27*Lists!$AD$24),2))</f>
        <v/>
      </c>
      <c r="J27" s="98"/>
      <c r="K27" s="99"/>
      <c r="L27" s="98"/>
    </row>
    <row r="28" customFormat="false" ht="15" hidden="false" customHeight="true" outlineLevel="0" collapsed="false">
      <c r="A28" s="109"/>
      <c r="B28" s="91"/>
      <c r="C28" s="110"/>
      <c r="D28" s="111"/>
      <c r="E28" s="111"/>
      <c r="F28" s="111"/>
      <c r="G28" s="111"/>
      <c r="H28" s="111"/>
      <c r="I28" s="92" t="str">
        <f aca="false">IF(OR($B28="", $D28="", $E28="", $F28="", $G28="", $H28=""),"",ROUND(($D28*Lists!$AD$20)+($E28*Lists!$AD$21)+($F28*Lists!$AD$22)+($G28*Lists!$AD$23)+($H28*Lists!$AD$24),2))</f>
        <v/>
      </c>
      <c r="J28" s="91"/>
      <c r="K28" s="94"/>
      <c r="L28" s="91"/>
    </row>
    <row r="29" customFormat="false" ht="15" hidden="false" customHeight="true" outlineLevel="0" collapsed="false">
      <c r="A29" s="109"/>
      <c r="B29" s="98"/>
      <c r="C29" s="110"/>
      <c r="D29" s="112"/>
      <c r="E29" s="112"/>
      <c r="F29" s="112"/>
      <c r="G29" s="112"/>
      <c r="H29" s="112"/>
      <c r="I29" s="92" t="str">
        <f aca="false">IF(OR($B29="", $D29="", $E29="", $F29="", $G29="", $H29=""),"",ROUND(($D29*Lists!$AD$20)+($E29*Lists!$AD$21)+($F29*Lists!$AD$22)+($G29*Lists!$AD$23)+($H29*Lists!$AD$24),2))</f>
        <v/>
      </c>
      <c r="J29" s="98"/>
      <c r="K29" s="99"/>
      <c r="L29" s="98"/>
    </row>
    <row r="30" customFormat="false" ht="15" hidden="false" customHeight="true" outlineLevel="0" collapsed="false">
      <c r="A30" s="109"/>
      <c r="B30" s="91"/>
      <c r="C30" s="110"/>
      <c r="D30" s="111"/>
      <c r="E30" s="111"/>
      <c r="F30" s="111"/>
      <c r="G30" s="111"/>
      <c r="H30" s="111"/>
      <c r="I30" s="92" t="str">
        <f aca="false">IF(OR($B30="", $D30="", $E30="", $F30="", $G30="", $H30=""),"",ROUND(($D30*Lists!$AD$20)+($E30*Lists!$AD$21)+($F30*Lists!$AD$22)+($G30*Lists!$AD$23)+($H30*Lists!$AD$24),2))</f>
        <v/>
      </c>
      <c r="J30" s="91"/>
      <c r="K30" s="94"/>
      <c r="L30" s="91"/>
    </row>
    <row r="31" customFormat="false" ht="15" hidden="false" customHeight="true" outlineLevel="0" collapsed="false">
      <c r="A31" s="109"/>
      <c r="B31" s="98"/>
      <c r="C31" s="110"/>
      <c r="D31" s="112"/>
      <c r="E31" s="112"/>
      <c r="F31" s="112"/>
      <c r="G31" s="112"/>
      <c r="H31" s="112"/>
      <c r="I31" s="92" t="str">
        <f aca="false">IF(OR($B31="", $D31="", $E31="", $F31="", $G31="", $H31=""),"",ROUND(($D31*Lists!$AD$20)+($E31*Lists!$AD$21)+($F31*Lists!$AD$22)+($G31*Lists!$AD$23)+($H31*Lists!$AD$24),2))</f>
        <v/>
      </c>
      <c r="J31" s="98"/>
      <c r="K31" s="99"/>
      <c r="L31" s="98"/>
    </row>
    <row r="32" customFormat="false" ht="15.75" hidden="false" customHeight="true" outlineLevel="0" collapsed="false">
      <c r="A32" s="109"/>
      <c r="B32" s="91"/>
      <c r="C32" s="110" t="str">
        <f aca="false">IF($B32="","",IFERROR(VLOOKUP($B32,'Application Portfolio'!$A$2:$B$1000,2,FALSE()),""))</f>
        <v/>
      </c>
      <c r="D32" s="111"/>
      <c r="E32" s="111"/>
      <c r="F32" s="111"/>
      <c r="G32" s="111"/>
      <c r="H32" s="111"/>
      <c r="I32" s="92" t="str">
        <f aca="false">IF(OR($B32="", $D32="", $E32="", $F32="", $G32="", $H32=""),"",ROUND(($D32*Lists!$AD$20)+($E32*Lists!$AD$21)+($F32*Lists!$AD$22)+($G32*Lists!$AD$23)+($H32*Lists!$AD$24),2))</f>
        <v/>
      </c>
      <c r="J32" s="91"/>
      <c r="K32" s="94"/>
      <c r="L32" s="91"/>
    </row>
    <row r="33" customFormat="false" ht="15.75" hidden="false" customHeight="true" outlineLevel="0" collapsed="false">
      <c r="A33" s="109"/>
      <c r="B33" s="98"/>
      <c r="C33" s="110" t="str">
        <f aca="false">IF($B33="","",IFERROR(VLOOKUP($B33,'Application Portfolio'!$A$2:$B$1000,2,FALSE()),""))</f>
        <v/>
      </c>
      <c r="D33" s="112"/>
      <c r="E33" s="112"/>
      <c r="F33" s="112"/>
      <c r="G33" s="112"/>
      <c r="H33" s="112"/>
      <c r="I33" s="92" t="str">
        <f aca="false">IF(OR($B33="", $D33="", $E33="", $F33="", $G33="", $H33=""),"",ROUND(($D33*Lists!$AD$20)+($E33*Lists!$AD$21)+($F33*Lists!$AD$22)+($G33*Lists!$AD$23)+($H33*Lists!$AD$24),2))</f>
        <v/>
      </c>
      <c r="J33" s="98"/>
      <c r="K33" s="99"/>
      <c r="L33" s="98"/>
    </row>
    <row r="34" customFormat="false" ht="15.75" hidden="false" customHeight="true" outlineLevel="0" collapsed="false">
      <c r="A34" s="109"/>
      <c r="B34" s="91"/>
      <c r="C34" s="110" t="str">
        <f aca="false">IF($B34="","",IFERROR(VLOOKUP($B34,'Application Portfolio'!$A$2:$B$1000,2,FALSE()),""))</f>
        <v/>
      </c>
      <c r="D34" s="111"/>
      <c r="E34" s="111"/>
      <c r="F34" s="111"/>
      <c r="G34" s="111"/>
      <c r="H34" s="111"/>
      <c r="I34" s="92" t="str">
        <f aca="false">IF(OR($B34="", $D34="", $E34="", $F34="", $G34="", $H34=""),"",ROUND(($D34*Lists!$AD$20)+($E34*Lists!$AD$21)+($F34*Lists!$AD$22)+($G34*Lists!$AD$23)+($H34*Lists!$AD$24),2))</f>
        <v/>
      </c>
      <c r="J34" s="91"/>
      <c r="K34" s="94"/>
      <c r="L34" s="91"/>
    </row>
    <row r="35" customFormat="false" ht="15.75" hidden="false" customHeight="true" outlineLevel="0" collapsed="false">
      <c r="A35" s="109"/>
      <c r="B35" s="98"/>
      <c r="C35" s="110" t="str">
        <f aca="false">IF($B35="","",IFERROR(VLOOKUP($B35,'Application Portfolio'!$A$2:$B$1000,2,FALSE()),""))</f>
        <v/>
      </c>
      <c r="D35" s="112"/>
      <c r="E35" s="112"/>
      <c r="F35" s="112"/>
      <c r="G35" s="112"/>
      <c r="H35" s="112"/>
      <c r="I35" s="92" t="str">
        <f aca="false">IF(OR($B35="", $D35="", $E35="", $F35="", $G35="", $H35=""),"",ROUND(($D35*Lists!$AD$20)+($E35*Lists!$AD$21)+($F35*Lists!$AD$22)+($G35*Lists!$AD$23)+($H35*Lists!$AD$24),2))</f>
        <v/>
      </c>
      <c r="J35" s="98"/>
      <c r="K35" s="99"/>
      <c r="L35" s="98"/>
    </row>
    <row r="36" customFormat="false" ht="15.75" hidden="false" customHeight="true" outlineLevel="0" collapsed="false">
      <c r="A36" s="109"/>
      <c r="B36" s="91"/>
      <c r="C36" s="110" t="str">
        <f aca="false">IF($B36="","",IFERROR(VLOOKUP($B36,'Application Portfolio'!$A$2:$B$1000,2,FALSE()),""))</f>
        <v/>
      </c>
      <c r="D36" s="111"/>
      <c r="E36" s="111"/>
      <c r="F36" s="111"/>
      <c r="G36" s="111"/>
      <c r="H36" s="111"/>
      <c r="I36" s="92" t="str">
        <f aca="false">IF(OR($B36="", $D36="", $E36="", $F36="", $G36="", $H36=""),"",ROUND(($D36*Lists!$AD$20)+($E36*Lists!$AD$21)+($F36*Lists!$AD$22)+($G36*Lists!$AD$23)+($H36*Lists!$AD$24),2))</f>
        <v/>
      </c>
      <c r="J36" s="91"/>
      <c r="K36" s="94"/>
      <c r="L36" s="91"/>
    </row>
    <row r="37" customFormat="false" ht="15.75" hidden="false" customHeight="true" outlineLevel="0" collapsed="false">
      <c r="A37" s="109"/>
      <c r="B37" s="98"/>
      <c r="C37" s="110" t="str">
        <f aca="false">IF($B37="","",IFERROR(VLOOKUP($B37,'Application Portfolio'!$A$2:$B$1000,2,FALSE()),""))</f>
        <v/>
      </c>
      <c r="D37" s="112"/>
      <c r="E37" s="112"/>
      <c r="F37" s="112"/>
      <c r="G37" s="112"/>
      <c r="H37" s="112"/>
      <c r="I37" s="92" t="str">
        <f aca="false">IF(OR($B37="", $D37="", $E37="", $F37="", $G37="", $H37=""),"",ROUND(($D37*Lists!$AD$20)+($E37*Lists!$AD$21)+($F37*Lists!$AD$22)+($G37*Lists!$AD$23)+($H37*Lists!$AD$24),2))</f>
        <v/>
      </c>
      <c r="J37" s="98"/>
      <c r="K37" s="99"/>
      <c r="L37" s="98"/>
    </row>
    <row r="38" customFormat="false" ht="15.75" hidden="false" customHeight="true" outlineLevel="0" collapsed="false">
      <c r="A38" s="109"/>
      <c r="B38" s="91"/>
      <c r="C38" s="110" t="str">
        <f aca="false">IF($B38="","",IFERROR(VLOOKUP($B38,'Application Portfolio'!$A$2:$B$1000,2,FALSE()),""))</f>
        <v/>
      </c>
      <c r="D38" s="111"/>
      <c r="E38" s="111"/>
      <c r="F38" s="111"/>
      <c r="G38" s="111"/>
      <c r="H38" s="111"/>
      <c r="I38" s="92" t="str">
        <f aca="false">IF(OR($B38="", $D38="", $E38="", $F38="", $G38="", $H38=""),"",ROUND(($D38*Lists!$AD$20)+($E38*Lists!$AD$21)+($F38*Lists!$AD$22)+($G38*Lists!$AD$23)+($H38*Lists!$AD$24),2))</f>
        <v/>
      </c>
      <c r="J38" s="91"/>
      <c r="K38" s="94"/>
      <c r="L38" s="91"/>
    </row>
    <row r="39" customFormat="false" ht="15.75" hidden="false" customHeight="true" outlineLevel="0" collapsed="false">
      <c r="A39" s="109"/>
      <c r="B39" s="98"/>
      <c r="C39" s="110" t="str">
        <f aca="false">IF($B39="","",IFERROR(VLOOKUP($B39,'Application Portfolio'!$A$2:$B$1000,2,FALSE()),""))</f>
        <v/>
      </c>
      <c r="D39" s="112"/>
      <c r="E39" s="112"/>
      <c r="F39" s="112"/>
      <c r="G39" s="112"/>
      <c r="H39" s="112"/>
      <c r="I39" s="92" t="str">
        <f aca="false">IF(OR($B39="", $D39="", $E39="", $F39="", $G39="", $H39=""),"",ROUND(($D39*Lists!$AD$20)+($E39*Lists!$AD$21)+($F39*Lists!$AD$22)+($G39*Lists!$AD$23)+($H39*Lists!$AD$24),2))</f>
        <v/>
      </c>
      <c r="J39" s="98"/>
      <c r="K39" s="99"/>
      <c r="L39" s="98"/>
    </row>
    <row r="40" customFormat="false" ht="15.75" hidden="false" customHeight="true" outlineLevel="0" collapsed="false">
      <c r="A40" s="109"/>
      <c r="B40" s="91"/>
      <c r="C40" s="110" t="str">
        <f aca="false">IF($B40="","",IFERROR(VLOOKUP($B40,'Application Portfolio'!$A$2:$B$1000,2,FALSE()),""))</f>
        <v/>
      </c>
      <c r="D40" s="111"/>
      <c r="E40" s="111"/>
      <c r="F40" s="111"/>
      <c r="G40" s="111"/>
      <c r="H40" s="111"/>
      <c r="I40" s="92" t="str">
        <f aca="false">IF(OR($B40="", $D40="", $E40="", $F40="", $G40="", $H40=""),"",ROUND(($D40*Lists!$AD$20)+($E40*Lists!$AD$21)+($F40*Lists!$AD$22)+($G40*Lists!$AD$23)+($H40*Lists!$AD$24),2))</f>
        <v/>
      </c>
      <c r="J40" s="91"/>
      <c r="K40" s="94"/>
      <c r="L40" s="91"/>
    </row>
    <row r="41" customFormat="false" ht="15.75" hidden="false" customHeight="true" outlineLevel="0" collapsed="false">
      <c r="A41" s="109"/>
      <c r="B41" s="98"/>
      <c r="C41" s="110" t="str">
        <f aca="false">IF($B41="","",IFERROR(VLOOKUP($B41,'Application Portfolio'!$A$2:$B$1000,2,FALSE()),""))</f>
        <v/>
      </c>
      <c r="D41" s="112"/>
      <c r="E41" s="112"/>
      <c r="F41" s="112"/>
      <c r="G41" s="112"/>
      <c r="H41" s="112"/>
      <c r="I41" s="92" t="str">
        <f aca="false">IF(OR($B41="", $D41="", $E41="", $F41="", $G41="", $H41=""),"",ROUND(($D41*Lists!$AD$20)+($E41*Lists!$AD$21)+($F41*Lists!$AD$22)+($G41*Lists!$AD$23)+($H41*Lists!$AD$24),2))</f>
        <v/>
      </c>
      <c r="J41" s="98"/>
      <c r="K41" s="99"/>
      <c r="L41" s="98"/>
    </row>
    <row r="42" customFormat="false" ht="15.75" hidden="false" customHeight="true" outlineLevel="0" collapsed="false">
      <c r="A42" s="109"/>
      <c r="B42" s="91"/>
      <c r="C42" s="110" t="str">
        <f aca="false">IF($B42="","",IFERROR(VLOOKUP($B42,'Application Portfolio'!$A$2:$B$1000,2,FALSE()),""))</f>
        <v/>
      </c>
      <c r="D42" s="111"/>
      <c r="E42" s="111"/>
      <c r="F42" s="111"/>
      <c r="G42" s="111"/>
      <c r="H42" s="111"/>
      <c r="I42" s="92" t="str">
        <f aca="false">IF(OR($B42="", $D42="", $E42="", $F42="", $G42="", $H42=""),"",ROUND(($D42*Lists!$AD$20)+($E42*Lists!$AD$21)+($F42*Lists!$AD$22)+($G42*Lists!$AD$23)+($H42*Lists!$AD$24),2))</f>
        <v/>
      </c>
      <c r="J42" s="91"/>
      <c r="K42" s="94"/>
      <c r="L42" s="91"/>
    </row>
    <row r="43" customFormat="false" ht="15.75" hidden="false" customHeight="true" outlineLevel="0" collapsed="false">
      <c r="A43" s="109"/>
      <c r="B43" s="98"/>
      <c r="C43" s="110" t="str">
        <f aca="false">IF($B43="","",IFERROR(VLOOKUP($B43,'Application Portfolio'!$A$2:$B$1000,2,FALSE()),""))</f>
        <v/>
      </c>
      <c r="D43" s="112"/>
      <c r="E43" s="112"/>
      <c r="F43" s="112"/>
      <c r="G43" s="112"/>
      <c r="H43" s="112"/>
      <c r="I43" s="92" t="str">
        <f aca="false">IF(OR($B43="", $D43="", $E43="", $F43="", $G43="", $H43=""),"",ROUND(($D43*Lists!$AD$20)+($E43*Lists!$AD$21)+($F43*Lists!$AD$22)+($G43*Lists!$AD$23)+($H43*Lists!$AD$24),2))</f>
        <v/>
      </c>
      <c r="J43" s="98"/>
      <c r="K43" s="99"/>
      <c r="L43" s="98"/>
    </row>
    <row r="44" customFormat="false" ht="15.75" hidden="false" customHeight="true" outlineLevel="0" collapsed="false">
      <c r="A44" s="109"/>
      <c r="B44" s="91"/>
      <c r="C44" s="110" t="str">
        <f aca="false">IF($B44="","",IFERROR(VLOOKUP($B44,'Application Portfolio'!$A$2:$B$1000,2,FALSE()),""))</f>
        <v/>
      </c>
      <c r="D44" s="111"/>
      <c r="E44" s="111"/>
      <c r="F44" s="111"/>
      <c r="G44" s="111"/>
      <c r="H44" s="111"/>
      <c r="I44" s="92" t="str">
        <f aca="false">IF(OR($B44="", $D44="", $E44="", $F44="", $G44="", $H44=""),"",ROUND(($D44*Lists!$AD$20)+($E44*Lists!$AD$21)+($F44*Lists!$AD$22)+($G44*Lists!$AD$23)+($H44*Lists!$AD$24),2))</f>
        <v/>
      </c>
      <c r="J44" s="91"/>
      <c r="K44" s="94"/>
      <c r="L44" s="91"/>
    </row>
    <row r="45" customFormat="false" ht="15.75" hidden="false" customHeight="true" outlineLevel="0" collapsed="false">
      <c r="A45" s="109"/>
      <c r="B45" s="98"/>
      <c r="C45" s="110" t="str">
        <f aca="false">IF($B45="","",IFERROR(VLOOKUP($B45,'Application Portfolio'!$A$2:$B$1000,2,FALSE()),""))</f>
        <v/>
      </c>
      <c r="D45" s="112"/>
      <c r="E45" s="112"/>
      <c r="F45" s="112"/>
      <c r="G45" s="112"/>
      <c r="H45" s="112"/>
      <c r="I45" s="92" t="str">
        <f aca="false">IF(OR($B45="", $D45="", $E45="", $F45="", $G45="", $H45=""),"",ROUND(($D45*Lists!$AD$20)+($E45*Lists!$AD$21)+($F45*Lists!$AD$22)+($G45*Lists!$AD$23)+($H45*Lists!$AD$24),2))</f>
        <v/>
      </c>
      <c r="J45" s="98"/>
      <c r="K45" s="99"/>
      <c r="L45" s="98"/>
    </row>
    <row r="46" customFormat="false" ht="15.75" hidden="false" customHeight="true" outlineLevel="0" collapsed="false">
      <c r="A46" s="109"/>
      <c r="B46" s="91"/>
      <c r="C46" s="110" t="str">
        <f aca="false">IF($B46="","",IFERROR(VLOOKUP($B46,'Application Portfolio'!$A$2:$B$1000,2,FALSE()),""))</f>
        <v/>
      </c>
      <c r="D46" s="111"/>
      <c r="E46" s="111"/>
      <c r="F46" s="111"/>
      <c r="G46" s="111"/>
      <c r="H46" s="111"/>
      <c r="I46" s="92" t="str">
        <f aca="false">IF(OR($B46="", $D46="", $E46="", $F46="", $G46="", $H46=""),"",ROUND(($D46*Lists!$AD$20)+($E46*Lists!$AD$21)+($F46*Lists!$AD$22)+($G46*Lists!$AD$23)+($H46*Lists!$AD$24),2))</f>
        <v/>
      </c>
      <c r="J46" s="91"/>
      <c r="K46" s="94"/>
      <c r="L46" s="91"/>
    </row>
    <row r="47" customFormat="false" ht="15.75" hidden="false" customHeight="true" outlineLevel="0" collapsed="false">
      <c r="A47" s="109"/>
      <c r="B47" s="98"/>
      <c r="C47" s="110" t="str">
        <f aca="false">IF($B47="","",IFERROR(VLOOKUP($B47,'Application Portfolio'!$A$2:$B$1000,2,FALSE()),""))</f>
        <v/>
      </c>
      <c r="D47" s="112"/>
      <c r="E47" s="112"/>
      <c r="F47" s="112"/>
      <c r="G47" s="112"/>
      <c r="H47" s="112"/>
      <c r="I47" s="92" t="str">
        <f aca="false">IF(OR($B47="", $D47="", $E47="", $F47="", $G47="", $H47=""),"",ROUND(($D47*Lists!$AD$20)+($E47*Lists!$AD$21)+($F47*Lists!$AD$22)+($G47*Lists!$AD$23)+($H47*Lists!$AD$24),2))</f>
        <v/>
      </c>
      <c r="J47" s="98"/>
      <c r="K47" s="99"/>
      <c r="L47" s="98"/>
    </row>
    <row r="48" customFormat="false" ht="15.75" hidden="false" customHeight="true" outlineLevel="0" collapsed="false">
      <c r="A48" s="109"/>
      <c r="B48" s="91"/>
      <c r="C48" s="110" t="str">
        <f aca="false">IF($B48="","",IFERROR(VLOOKUP($B48,'Application Portfolio'!$A$2:$B$1000,2,FALSE()),""))</f>
        <v/>
      </c>
      <c r="D48" s="111"/>
      <c r="E48" s="111"/>
      <c r="F48" s="111"/>
      <c r="G48" s="111"/>
      <c r="H48" s="111"/>
      <c r="I48" s="92" t="str">
        <f aca="false">IF(OR($B48="", $D48="", $E48="", $F48="", $G48="", $H48=""),"",ROUND(($D48*Lists!$AD$20)+($E48*Lists!$AD$21)+($F48*Lists!$AD$22)+($G48*Lists!$AD$23)+($H48*Lists!$AD$24),2))</f>
        <v/>
      </c>
      <c r="J48" s="91"/>
      <c r="K48" s="94"/>
      <c r="L48" s="91"/>
    </row>
    <row r="49" customFormat="false" ht="15.75" hidden="false" customHeight="true" outlineLevel="0" collapsed="false">
      <c r="A49" s="109"/>
      <c r="B49" s="98"/>
      <c r="C49" s="110" t="str">
        <f aca="false">IF($B49="","",IFERROR(VLOOKUP($B49,'Application Portfolio'!$A$2:$B$1000,2,FALSE()),""))</f>
        <v/>
      </c>
      <c r="D49" s="112"/>
      <c r="E49" s="112"/>
      <c r="F49" s="112"/>
      <c r="G49" s="112"/>
      <c r="H49" s="112"/>
      <c r="I49" s="92" t="str">
        <f aca="false">IF(OR($B49="", $D49="", $E49="", $F49="", $G49="", $H49=""),"",ROUND(($D49*Lists!$AD$20)+($E49*Lists!$AD$21)+($F49*Lists!$AD$22)+($G49*Lists!$AD$23)+($H49*Lists!$AD$24),2))</f>
        <v/>
      </c>
      <c r="J49" s="98"/>
      <c r="K49" s="99"/>
      <c r="L49" s="98"/>
    </row>
    <row r="50" customFormat="false" ht="15.75" hidden="false" customHeight="true" outlineLevel="0" collapsed="false">
      <c r="A50" s="109"/>
      <c r="B50" s="91"/>
      <c r="C50" s="110" t="str">
        <f aca="false">IF($B50="","",IFERROR(VLOOKUP($B50,'Application Portfolio'!$A$2:$B$1000,2,FALSE()),""))</f>
        <v/>
      </c>
      <c r="D50" s="111"/>
      <c r="E50" s="111"/>
      <c r="F50" s="111"/>
      <c r="G50" s="111"/>
      <c r="H50" s="111"/>
      <c r="I50" s="92" t="str">
        <f aca="false">IF(OR($B50="", $D50="", $E50="", $F50="", $G50="", $H50=""),"",ROUND(($D50*Lists!$AD$20)+($E50*Lists!$AD$21)+($F50*Lists!$AD$22)+($G50*Lists!$AD$23)+($H50*Lists!$AD$24),2))</f>
        <v/>
      </c>
      <c r="J50" s="91"/>
      <c r="K50" s="94"/>
      <c r="L50" s="91"/>
    </row>
    <row r="51" customFormat="false" ht="15.75" hidden="false" customHeight="true" outlineLevel="0" collapsed="false">
      <c r="A51" s="109"/>
      <c r="B51" s="98"/>
      <c r="C51" s="110" t="str">
        <f aca="false">IF($B51="","",IFERROR(VLOOKUP($B51,'Application Portfolio'!$A$2:$B$1000,2,FALSE()),""))</f>
        <v/>
      </c>
      <c r="D51" s="112"/>
      <c r="E51" s="112"/>
      <c r="F51" s="112"/>
      <c r="G51" s="112"/>
      <c r="H51" s="112"/>
      <c r="I51" s="92" t="str">
        <f aca="false">IF(OR($B51="", $D51="", $E51="", $F51="", $G51="", $H51=""),"",ROUND(($D51*Lists!$AD$20)+($E51*Lists!$AD$21)+($F51*Lists!$AD$22)+($G51*Lists!$AD$23)+($H51*Lists!$AD$24),2))</f>
        <v/>
      </c>
      <c r="J51" s="98"/>
      <c r="K51" s="99"/>
      <c r="L51" s="98"/>
    </row>
    <row r="52" customFormat="false" ht="15.75" hidden="false" customHeight="true" outlineLevel="0" collapsed="false">
      <c r="A52" s="109"/>
      <c r="B52" s="91"/>
      <c r="C52" s="110" t="str">
        <f aca="false">IF($B52="","",IFERROR(VLOOKUP($B52,'Application Portfolio'!$A$2:$B$1000,2,FALSE()),""))</f>
        <v/>
      </c>
      <c r="D52" s="111"/>
      <c r="E52" s="111"/>
      <c r="F52" s="111"/>
      <c r="G52" s="111"/>
      <c r="H52" s="111"/>
      <c r="I52" s="92" t="str">
        <f aca="false">IF(OR($B52="", $D52="", $E52="", $F52="", $G52="", $H52=""),"",ROUND(($D52*Lists!$AD$20)+($E52*Lists!$AD$21)+($F52*Lists!$AD$22)+($G52*Lists!$AD$23)+($H52*Lists!$AD$24),2))</f>
        <v/>
      </c>
      <c r="J52" s="91"/>
      <c r="K52" s="94"/>
      <c r="L52" s="91"/>
    </row>
    <row r="53" customFormat="false" ht="15.75" hidden="false" customHeight="true" outlineLevel="0" collapsed="false">
      <c r="A53" s="109"/>
      <c r="B53" s="98"/>
      <c r="C53" s="110" t="str">
        <f aca="false">IF($B53="","",IFERROR(VLOOKUP($B53,'Application Portfolio'!$A$2:$B$1000,2,FALSE()),""))</f>
        <v/>
      </c>
      <c r="D53" s="112"/>
      <c r="E53" s="112"/>
      <c r="F53" s="112"/>
      <c r="G53" s="112"/>
      <c r="H53" s="112"/>
      <c r="I53" s="92" t="str">
        <f aca="false">IF(OR($B53="", $D53="", $E53="", $F53="", $G53="", $H53=""),"",ROUND(($D53*Lists!$AD$20)+($E53*Lists!$AD$21)+($F53*Lists!$AD$22)+($G53*Lists!$AD$23)+($H53*Lists!$AD$24),2))</f>
        <v/>
      </c>
      <c r="J53" s="98"/>
      <c r="K53" s="99"/>
      <c r="L53" s="98"/>
    </row>
    <row r="54" customFormat="false" ht="15.75" hidden="false" customHeight="true" outlineLevel="0" collapsed="false">
      <c r="A54" s="109"/>
      <c r="B54" s="91"/>
      <c r="C54" s="110" t="str">
        <f aca="false">IF($B54="","",IFERROR(VLOOKUP($B54,'Application Portfolio'!$A$2:$B$1000,2,FALSE()),""))</f>
        <v/>
      </c>
      <c r="D54" s="111"/>
      <c r="E54" s="111"/>
      <c r="F54" s="111"/>
      <c r="G54" s="111"/>
      <c r="H54" s="111"/>
      <c r="I54" s="92" t="str">
        <f aca="false">IF(OR($B54="", $D54="", $E54="", $F54="", $G54="", $H54=""),"",ROUND(($D54*Lists!$AD$20)+($E54*Lists!$AD$21)+($F54*Lists!$AD$22)+($G54*Lists!$AD$23)+($H54*Lists!$AD$24),2))</f>
        <v/>
      </c>
      <c r="J54" s="91"/>
      <c r="K54" s="94"/>
      <c r="L54" s="91"/>
    </row>
    <row r="55" customFormat="false" ht="15.75" hidden="false" customHeight="true" outlineLevel="0" collapsed="false">
      <c r="A55" s="109"/>
      <c r="B55" s="98"/>
      <c r="C55" s="110" t="str">
        <f aca="false">IF($B55="","",IFERROR(VLOOKUP($B55,'Application Portfolio'!$A$2:$B$1000,2,FALSE()),""))</f>
        <v/>
      </c>
      <c r="D55" s="112"/>
      <c r="E55" s="112"/>
      <c r="F55" s="112"/>
      <c r="G55" s="112"/>
      <c r="H55" s="112"/>
      <c r="I55" s="92" t="str">
        <f aca="false">IF(OR($B55="", $D55="", $E55="", $F55="", $G55="", $H55=""),"",ROUND(($D55*Lists!$AD$20)+($E55*Lists!$AD$21)+($F55*Lists!$AD$22)+($G55*Lists!$AD$23)+($H55*Lists!$AD$24),2))</f>
        <v/>
      </c>
      <c r="J55" s="98"/>
      <c r="K55" s="99"/>
      <c r="L55" s="98"/>
    </row>
    <row r="56" customFormat="false" ht="15.75" hidden="false" customHeight="true" outlineLevel="0" collapsed="false">
      <c r="A56" s="109"/>
      <c r="B56" s="91"/>
      <c r="C56" s="110" t="str">
        <f aca="false">IF($B56="","",IFERROR(VLOOKUP($B56,'Application Portfolio'!$A$2:$B$1000,2,FALSE()),""))</f>
        <v/>
      </c>
      <c r="D56" s="111"/>
      <c r="E56" s="111"/>
      <c r="F56" s="111"/>
      <c r="G56" s="111"/>
      <c r="H56" s="111"/>
      <c r="I56" s="92" t="str">
        <f aca="false">IF(OR($B56="", $D56="", $E56="", $F56="", $G56="", $H56=""),"",ROUND(($D56*Lists!$AD$20)+($E56*Lists!$AD$21)+($F56*Lists!$AD$22)+($G56*Lists!$AD$23)+($H56*Lists!$AD$24),2))</f>
        <v/>
      </c>
      <c r="J56" s="91"/>
      <c r="K56" s="94"/>
      <c r="L56" s="91"/>
    </row>
    <row r="57" customFormat="false" ht="15.75" hidden="false" customHeight="true" outlineLevel="0" collapsed="false">
      <c r="A57" s="109"/>
      <c r="B57" s="98"/>
      <c r="C57" s="110" t="str">
        <f aca="false">IF($B57="","",IFERROR(VLOOKUP($B57,'Application Portfolio'!$A$2:$B$1000,2,FALSE()),""))</f>
        <v/>
      </c>
      <c r="D57" s="112"/>
      <c r="E57" s="112"/>
      <c r="F57" s="112"/>
      <c r="G57" s="112"/>
      <c r="H57" s="112"/>
      <c r="I57" s="92" t="str">
        <f aca="false">IF(OR($B57="", $D57="", $E57="", $F57="", $G57="", $H57=""),"",ROUND(($D57*Lists!$AD$20)+($E57*Lists!$AD$21)+($F57*Lists!$AD$22)+($G57*Lists!$AD$23)+($H57*Lists!$AD$24),2))</f>
        <v/>
      </c>
      <c r="J57" s="98"/>
      <c r="K57" s="99"/>
      <c r="L57" s="98"/>
    </row>
    <row r="58" customFormat="false" ht="15.75" hidden="false" customHeight="true" outlineLevel="0" collapsed="false">
      <c r="A58" s="109"/>
      <c r="B58" s="91"/>
      <c r="C58" s="110" t="str">
        <f aca="false">IF($B58="","",IFERROR(VLOOKUP($B58,'Application Portfolio'!$A$2:$B$1000,2,FALSE()),""))</f>
        <v/>
      </c>
      <c r="D58" s="111"/>
      <c r="E58" s="111"/>
      <c r="F58" s="111"/>
      <c r="G58" s="111"/>
      <c r="H58" s="111"/>
      <c r="I58" s="92" t="str">
        <f aca="false">IF(OR($B58="", $D58="", $E58="", $F58="", $G58="", $H58=""),"",ROUND(($D58*Lists!$AD$20)+($E58*Lists!$AD$21)+($F58*Lists!$AD$22)+($G58*Lists!$AD$23)+($H58*Lists!$AD$24),2))</f>
        <v/>
      </c>
      <c r="J58" s="91"/>
      <c r="K58" s="94"/>
      <c r="L58" s="91"/>
    </row>
    <row r="59" customFormat="false" ht="15.75" hidden="false" customHeight="true" outlineLevel="0" collapsed="false">
      <c r="A59" s="109"/>
      <c r="B59" s="98"/>
      <c r="C59" s="110" t="str">
        <f aca="false">IF($B59="","",IFERROR(VLOOKUP($B59,'Application Portfolio'!$A$2:$B$1000,2,FALSE()),""))</f>
        <v/>
      </c>
      <c r="D59" s="112"/>
      <c r="E59" s="112"/>
      <c r="F59" s="112"/>
      <c r="G59" s="112"/>
      <c r="H59" s="112"/>
      <c r="I59" s="92" t="str">
        <f aca="false">IF(OR($B59="", $D59="", $E59="", $F59="", $G59="", $H59=""),"",ROUND(($D59*Lists!$AD$20)+($E59*Lists!$AD$21)+($F59*Lists!$AD$22)+($G59*Lists!$AD$23)+($H59*Lists!$AD$24),2))</f>
        <v/>
      </c>
      <c r="J59" s="98"/>
      <c r="K59" s="99"/>
      <c r="L59" s="98"/>
    </row>
    <row r="60" customFormat="false" ht="15.75" hidden="false" customHeight="true" outlineLevel="0" collapsed="false">
      <c r="A60" s="113"/>
      <c r="B60" s="102"/>
      <c r="C60" s="101" t="str">
        <f aca="false">IF($B60="","",IFERROR(VLOOKUP($B60,'Application Portfolio'!$A$2:$B$1000,2,FALSE()),""))</f>
        <v/>
      </c>
      <c r="D60" s="106"/>
      <c r="E60" s="106"/>
      <c r="F60" s="106"/>
      <c r="G60" s="106"/>
      <c r="H60" s="106"/>
      <c r="I60" s="103" t="str">
        <f aca="false">IF(OR($B60="", $D60="", $E60="", $F60="", $G60="", $H60=""),"",ROUND(($D60*Lists!$AD$20)+($E60*Lists!$AD$21)+($F60*Lists!$AD$22)+($G60*Lists!$AD$23)+($H60*Lists!$AD$24),2))</f>
        <v/>
      </c>
      <c r="J60" s="101"/>
      <c r="K60" s="105"/>
      <c r="L60" s="101"/>
    </row>
    <row r="61" customFormat="false" ht="15.75" hidden="false" customHeight="true" outlineLevel="0" collapsed="false">
      <c r="A61" s="113"/>
      <c r="B61" s="102"/>
      <c r="C61" s="101" t="str">
        <f aca="false">IF($B61="","",IFERROR(VLOOKUP($B61,'Application Portfolio'!$A$2:$B$1000,2,FALSE()),""))</f>
        <v/>
      </c>
      <c r="D61" s="106"/>
      <c r="E61" s="106"/>
      <c r="F61" s="106"/>
      <c r="G61" s="106"/>
      <c r="H61" s="106"/>
      <c r="I61" s="103" t="str">
        <f aca="false">IF(OR($B61="", $D61="", $E61="", $F61="", $G61="", $H61=""),"",ROUND(($D61*Lists!$AD$20)+($E61*Lists!$AD$21)+($F61*Lists!$AD$22)+($G61*Lists!$AD$23)+($H61*Lists!$AD$24),2))</f>
        <v/>
      </c>
      <c r="J61" s="101"/>
      <c r="K61" s="105"/>
      <c r="L61" s="101"/>
    </row>
    <row r="62" customFormat="false" ht="15.75" hidden="false" customHeight="true" outlineLevel="0" collapsed="false">
      <c r="A62" s="113"/>
      <c r="B62" s="102"/>
      <c r="C62" s="101" t="str">
        <f aca="false">IF($B62="","",IFERROR(VLOOKUP($B62,'Application Portfolio'!$A$2:$B$1000,2,FALSE()),""))</f>
        <v/>
      </c>
      <c r="D62" s="106"/>
      <c r="E62" s="106"/>
      <c r="F62" s="106"/>
      <c r="G62" s="106"/>
      <c r="H62" s="106"/>
      <c r="I62" s="103" t="str">
        <f aca="false">IF(OR($B62="", $D62="", $E62="", $F62="", $G62="", $H62=""),"",ROUND(($D62*Lists!$AD$20)+($E62*Lists!$AD$21)+($F62*Lists!$AD$22)+($G62*Lists!$AD$23)+($H62*Lists!$AD$24),2))</f>
        <v/>
      </c>
      <c r="J62" s="101"/>
      <c r="K62" s="105"/>
      <c r="L62" s="101"/>
    </row>
    <row r="63" customFormat="false" ht="15.75" hidden="false" customHeight="true" outlineLevel="0" collapsed="false">
      <c r="A63" s="113"/>
      <c r="B63" s="102"/>
      <c r="C63" s="101" t="str">
        <f aca="false">IF($B63="","",IFERROR(VLOOKUP($B63,'Application Portfolio'!$A$2:$B$1000,2,FALSE()),""))</f>
        <v/>
      </c>
      <c r="D63" s="106"/>
      <c r="E63" s="106"/>
      <c r="F63" s="106"/>
      <c r="G63" s="106"/>
      <c r="H63" s="106"/>
      <c r="I63" s="103" t="str">
        <f aca="false">IF(OR($B63="", $D63="", $E63="", $F63="", $G63="", $H63=""),"",ROUND(($D63*Lists!$AD$20)+($E63*Lists!$AD$21)+($F63*Lists!$AD$22)+($G63*Lists!$AD$23)+($H63*Lists!$AD$24),2))</f>
        <v/>
      </c>
      <c r="J63" s="101"/>
      <c r="K63" s="105"/>
      <c r="L63" s="101"/>
    </row>
    <row r="64" customFormat="false" ht="15.75" hidden="false" customHeight="true" outlineLevel="0" collapsed="false">
      <c r="A64" s="113"/>
      <c r="B64" s="102"/>
      <c r="C64" s="101" t="str">
        <f aca="false">IF($B64="","",IFERROR(VLOOKUP($B64,'Application Portfolio'!$A$2:$B$1000,2,FALSE()),""))</f>
        <v/>
      </c>
      <c r="D64" s="106"/>
      <c r="E64" s="106"/>
      <c r="F64" s="106"/>
      <c r="G64" s="106"/>
      <c r="H64" s="106"/>
      <c r="I64" s="103" t="str">
        <f aca="false">IF(OR($B64="", $D64="", $E64="", $F64="", $G64="", $H64=""),"",ROUND(($D64*Lists!$AD$20)+($E64*Lists!$AD$21)+($F64*Lists!$AD$22)+($G64*Lists!$AD$23)+($H64*Lists!$AD$24),2))</f>
        <v/>
      </c>
      <c r="J64" s="101"/>
      <c r="K64" s="105"/>
      <c r="L64" s="101"/>
    </row>
    <row r="65" customFormat="false" ht="15.75" hidden="false" customHeight="true" outlineLevel="0" collapsed="false">
      <c r="A65" s="113"/>
      <c r="B65" s="102"/>
      <c r="C65" s="101" t="str">
        <f aca="false">IF($B65="","",IFERROR(VLOOKUP($B65,'Application Portfolio'!$A$2:$B$1000,2,FALSE()),""))</f>
        <v/>
      </c>
      <c r="D65" s="106"/>
      <c r="E65" s="106"/>
      <c r="F65" s="106"/>
      <c r="G65" s="106"/>
      <c r="H65" s="106"/>
      <c r="I65" s="103" t="str">
        <f aca="false">IF(OR($B65="", $D65="", $E65="", $F65="", $G65="", $H65=""),"",ROUND(($D65*Lists!$AD$20)+($E65*Lists!$AD$21)+($F65*Lists!$AD$22)+($G65*Lists!$AD$23)+($H65*Lists!$AD$24),2))</f>
        <v/>
      </c>
      <c r="J65" s="101"/>
      <c r="K65" s="105"/>
      <c r="L65" s="101"/>
    </row>
    <row r="66" customFormat="false" ht="15.75" hidden="false" customHeight="true" outlineLevel="0" collapsed="false">
      <c r="A66" s="113"/>
      <c r="B66" s="102"/>
      <c r="C66" s="101" t="str">
        <f aca="false">IF($B66="","",IFERROR(VLOOKUP($B66,'Application Portfolio'!$A$2:$B$1000,2,FALSE()),""))</f>
        <v/>
      </c>
      <c r="D66" s="106"/>
      <c r="E66" s="106"/>
      <c r="F66" s="106"/>
      <c r="G66" s="106"/>
      <c r="H66" s="106"/>
      <c r="I66" s="103" t="str">
        <f aca="false">IF(OR($B66="", $D66="", $E66="", $F66="", $G66="", $H66=""),"",ROUND(($D66*Lists!$AD$20)+($E66*Lists!$AD$21)+($F66*Lists!$AD$22)+($G66*Lists!$AD$23)+($H66*Lists!$AD$24),2))</f>
        <v/>
      </c>
      <c r="J66" s="101"/>
      <c r="K66" s="105"/>
      <c r="L66" s="101"/>
    </row>
    <row r="67" customFormat="false" ht="15.75" hidden="false" customHeight="true" outlineLevel="0" collapsed="false">
      <c r="A67" s="113"/>
      <c r="B67" s="102"/>
      <c r="C67" s="101" t="str">
        <f aca="false">IF($B67="","",IFERROR(VLOOKUP($B67,'Application Portfolio'!$A$2:$B$1000,2,FALSE()),""))</f>
        <v/>
      </c>
      <c r="D67" s="106"/>
      <c r="E67" s="106"/>
      <c r="F67" s="106"/>
      <c r="G67" s="106"/>
      <c r="H67" s="106"/>
      <c r="I67" s="103" t="str">
        <f aca="false">IF(OR($B67="", $D67="", $E67="", $F67="", $G67="", $H67=""),"",ROUND(($D67*Lists!$AD$20)+($E67*Lists!$AD$21)+($F67*Lists!$AD$22)+($G67*Lists!$AD$23)+($H67*Lists!$AD$24),2))</f>
        <v/>
      </c>
      <c r="J67" s="101"/>
      <c r="K67" s="105"/>
      <c r="L67" s="101"/>
    </row>
    <row r="68" customFormat="false" ht="15.75" hidden="false" customHeight="true" outlineLevel="0" collapsed="false">
      <c r="A68" s="113"/>
      <c r="B68" s="102"/>
      <c r="C68" s="101" t="str">
        <f aca="false">IF($B68="","",IFERROR(VLOOKUP($B68,'Application Portfolio'!$A$2:$B$1000,2,FALSE()),""))</f>
        <v/>
      </c>
      <c r="D68" s="106"/>
      <c r="E68" s="106"/>
      <c r="F68" s="106"/>
      <c r="G68" s="106"/>
      <c r="H68" s="106"/>
      <c r="I68" s="103" t="str">
        <f aca="false">IF(OR($B68="", $D68="", $E68="", $F68="", $G68="", $H68=""),"",ROUND(($D68*Lists!$AD$20)+($E68*Lists!$AD$21)+($F68*Lists!$AD$22)+($G68*Lists!$AD$23)+($H68*Lists!$AD$24),2))</f>
        <v/>
      </c>
      <c r="J68" s="101"/>
      <c r="K68" s="105"/>
      <c r="L68" s="101"/>
    </row>
    <row r="69" customFormat="false" ht="15.75" hidden="false" customHeight="true" outlineLevel="0" collapsed="false">
      <c r="A69" s="113"/>
      <c r="B69" s="102"/>
      <c r="C69" s="101" t="str">
        <f aca="false">IF($B69="","",IFERROR(VLOOKUP($B69,'Application Portfolio'!$A$2:$B$1000,2,FALSE()),""))</f>
        <v/>
      </c>
      <c r="D69" s="106"/>
      <c r="E69" s="106"/>
      <c r="F69" s="106"/>
      <c r="G69" s="106"/>
      <c r="H69" s="106"/>
      <c r="I69" s="103" t="str">
        <f aca="false">IF(OR($B69="", $D69="", $E69="", $F69="", $G69="", $H69=""),"",ROUND(($D69*Lists!$AD$20)+($E69*Lists!$AD$21)+($F69*Lists!$AD$22)+($G69*Lists!$AD$23)+($H69*Lists!$AD$24),2))</f>
        <v/>
      </c>
      <c r="J69" s="101"/>
      <c r="K69" s="105"/>
      <c r="L69" s="101"/>
    </row>
    <row r="70" customFormat="false" ht="15.75" hidden="false" customHeight="true" outlineLevel="0" collapsed="false">
      <c r="A70" s="113"/>
      <c r="B70" s="102"/>
      <c r="C70" s="101" t="str">
        <f aca="false">IF($B70="","",IFERROR(VLOOKUP($B70,'Application Portfolio'!$A$2:$B$1000,2,FALSE()),""))</f>
        <v/>
      </c>
      <c r="D70" s="106"/>
      <c r="E70" s="106"/>
      <c r="F70" s="106"/>
      <c r="G70" s="106"/>
      <c r="H70" s="106"/>
      <c r="I70" s="103" t="str">
        <f aca="false">IF(OR($B70="", $D70="", $E70="", $F70="", $G70="", $H70=""),"",ROUND(($D70*Lists!$AD$20)+($E70*Lists!$AD$21)+($F70*Lists!$AD$22)+($G70*Lists!$AD$23)+($H70*Lists!$AD$24),2))</f>
        <v/>
      </c>
      <c r="J70" s="101"/>
      <c r="K70" s="105"/>
      <c r="L70" s="101"/>
    </row>
    <row r="71" customFormat="false" ht="15.75" hidden="false" customHeight="true" outlineLevel="0" collapsed="false">
      <c r="A71" s="113"/>
      <c r="B71" s="102"/>
      <c r="C71" s="101" t="str">
        <f aca="false">IF($B71="","",IFERROR(VLOOKUP($B71,'Application Portfolio'!$A$2:$B$1000,2,FALSE()),""))</f>
        <v/>
      </c>
      <c r="D71" s="106"/>
      <c r="E71" s="106"/>
      <c r="F71" s="106"/>
      <c r="G71" s="106"/>
      <c r="H71" s="106"/>
      <c r="I71" s="103" t="str">
        <f aca="false">IF(OR($B71="", $D71="", $E71="", $F71="", $G71="", $H71=""),"",ROUND(($D71*Lists!$AD$20)+($E71*Lists!$AD$21)+($F71*Lists!$AD$22)+($G71*Lists!$AD$23)+($H71*Lists!$AD$24),2))</f>
        <v/>
      </c>
      <c r="J71" s="101"/>
      <c r="K71" s="105"/>
      <c r="L71" s="101"/>
    </row>
    <row r="72" customFormat="false" ht="15.75" hidden="false" customHeight="true" outlineLevel="0" collapsed="false">
      <c r="A72" s="113"/>
      <c r="B72" s="102"/>
      <c r="C72" s="101" t="str">
        <f aca="false">IF($B72="","",IFERROR(VLOOKUP($B72,'Application Portfolio'!$A$2:$B$1000,2,FALSE()),""))</f>
        <v/>
      </c>
      <c r="D72" s="106"/>
      <c r="E72" s="106"/>
      <c r="F72" s="106"/>
      <c r="G72" s="106"/>
      <c r="H72" s="106"/>
      <c r="I72" s="103" t="str">
        <f aca="false">IF(OR($B72="", $D72="", $E72="", $F72="", $G72="", $H72=""),"",ROUND(($D72*Lists!$AD$20)+($E72*Lists!$AD$21)+($F72*Lists!$AD$22)+($G72*Lists!$AD$23)+($H72*Lists!$AD$24),2))</f>
        <v/>
      </c>
      <c r="J72" s="101"/>
      <c r="K72" s="105"/>
      <c r="L72" s="101"/>
    </row>
    <row r="73" customFormat="false" ht="15.75" hidden="false" customHeight="true" outlineLevel="0" collapsed="false">
      <c r="A73" s="113"/>
      <c r="B73" s="102"/>
      <c r="C73" s="101" t="str">
        <f aca="false">IF($B73="","",IFERROR(VLOOKUP($B73,'Application Portfolio'!$A$2:$B$1000,2,FALSE()),""))</f>
        <v/>
      </c>
      <c r="D73" s="106"/>
      <c r="E73" s="106"/>
      <c r="F73" s="106"/>
      <c r="G73" s="106"/>
      <c r="H73" s="106"/>
      <c r="I73" s="103" t="str">
        <f aca="false">IF(OR($B73="", $D73="", $E73="", $F73="", $G73="", $H73=""),"",ROUND(($D73*Lists!$AD$20)+($E73*Lists!$AD$21)+($F73*Lists!$AD$22)+($G73*Lists!$AD$23)+($H73*Lists!$AD$24),2))</f>
        <v/>
      </c>
      <c r="J73" s="101"/>
      <c r="K73" s="105"/>
      <c r="L73" s="101"/>
    </row>
    <row r="74" customFormat="false" ht="15.75" hidden="false" customHeight="true" outlineLevel="0" collapsed="false">
      <c r="A74" s="113"/>
      <c r="B74" s="102"/>
      <c r="C74" s="101" t="str">
        <f aca="false">IF($B74="","",IFERROR(VLOOKUP($B74,'Application Portfolio'!$A$2:$B$1000,2,FALSE()),""))</f>
        <v/>
      </c>
      <c r="D74" s="106"/>
      <c r="E74" s="106"/>
      <c r="F74" s="106"/>
      <c r="G74" s="106"/>
      <c r="H74" s="106"/>
      <c r="I74" s="103" t="str">
        <f aca="false">IF(OR($B74="", $D74="", $E74="", $F74="", $G74="", $H74=""),"",ROUND(($D74*Lists!$AD$20)+($E74*Lists!$AD$21)+($F74*Lists!$AD$22)+($G74*Lists!$AD$23)+($H74*Lists!$AD$24),2))</f>
        <v/>
      </c>
      <c r="J74" s="101"/>
      <c r="K74" s="105"/>
      <c r="L74" s="101"/>
    </row>
    <row r="75" customFormat="false" ht="15.75" hidden="false" customHeight="true" outlineLevel="0" collapsed="false">
      <c r="A75" s="113"/>
      <c r="B75" s="102"/>
      <c r="C75" s="101" t="str">
        <f aca="false">IF($B75="","",IFERROR(VLOOKUP($B75,'Application Portfolio'!$A$2:$B$1000,2,FALSE()),""))</f>
        <v/>
      </c>
      <c r="D75" s="106"/>
      <c r="E75" s="106"/>
      <c r="F75" s="106"/>
      <c r="G75" s="106"/>
      <c r="H75" s="106"/>
      <c r="I75" s="103" t="str">
        <f aca="false">IF(OR($B75="", $D75="", $E75="", $F75="", $G75="", $H75=""),"",ROUND(($D75*Lists!$AD$20)+($E75*Lists!$AD$21)+($F75*Lists!$AD$22)+($G75*Lists!$AD$23)+($H75*Lists!$AD$24),2))</f>
        <v/>
      </c>
      <c r="J75" s="101"/>
      <c r="K75" s="105"/>
      <c r="L75" s="101"/>
    </row>
    <row r="76" customFormat="false" ht="15.75" hidden="false" customHeight="true" outlineLevel="0" collapsed="false">
      <c r="A76" s="113"/>
      <c r="B76" s="102"/>
      <c r="C76" s="101" t="str">
        <f aca="false">IF($B76="","",IFERROR(VLOOKUP($B76,'Application Portfolio'!$A$2:$B$1000,2,FALSE()),""))</f>
        <v/>
      </c>
      <c r="D76" s="106"/>
      <c r="E76" s="106"/>
      <c r="F76" s="106"/>
      <c r="G76" s="106"/>
      <c r="H76" s="106"/>
      <c r="I76" s="103" t="str">
        <f aca="false">IF(OR($B76="", $D76="", $E76="", $F76="", $G76="", $H76=""),"",ROUND(($D76*Lists!$AD$20)+($E76*Lists!$AD$21)+($F76*Lists!$AD$22)+($G76*Lists!$AD$23)+($H76*Lists!$AD$24),2))</f>
        <v/>
      </c>
      <c r="J76" s="101"/>
      <c r="K76" s="105"/>
      <c r="L76" s="101"/>
    </row>
    <row r="77" customFormat="false" ht="15.75" hidden="false" customHeight="true" outlineLevel="0" collapsed="false">
      <c r="A77" s="113"/>
      <c r="B77" s="102"/>
      <c r="C77" s="101" t="str">
        <f aca="false">IF($B77="","",IFERROR(VLOOKUP($B77,'Application Portfolio'!$A$2:$B$1000,2,FALSE()),""))</f>
        <v/>
      </c>
      <c r="D77" s="106"/>
      <c r="E77" s="106"/>
      <c r="F77" s="106"/>
      <c r="G77" s="106"/>
      <c r="H77" s="106"/>
      <c r="I77" s="103" t="str">
        <f aca="false">IF(OR($B77="", $D77="", $E77="", $F77="", $G77="", $H77=""),"",ROUND(($D77*Lists!$AD$20)+($E77*Lists!$AD$21)+($F77*Lists!$AD$22)+($G77*Lists!$AD$23)+($H77*Lists!$AD$24),2))</f>
        <v/>
      </c>
      <c r="J77" s="101"/>
      <c r="K77" s="105"/>
      <c r="L77" s="101"/>
    </row>
    <row r="78" customFormat="false" ht="15.75" hidden="false" customHeight="true" outlineLevel="0" collapsed="false">
      <c r="A78" s="113"/>
      <c r="B78" s="102"/>
      <c r="C78" s="101" t="str">
        <f aca="false">IF($B78="","",IFERROR(VLOOKUP($B78,'Application Portfolio'!$A$2:$B$1000,2,FALSE()),""))</f>
        <v/>
      </c>
      <c r="D78" s="106"/>
      <c r="E78" s="106"/>
      <c r="F78" s="106"/>
      <c r="G78" s="106"/>
      <c r="H78" s="106"/>
      <c r="I78" s="103" t="str">
        <f aca="false">IF(OR($B78="", $D78="", $E78="", $F78="", $G78="", $H78=""),"",ROUND(($D78*Lists!$AD$20)+($E78*Lists!$AD$21)+($F78*Lists!$AD$22)+($G78*Lists!$AD$23)+($H78*Lists!$AD$24),2))</f>
        <v/>
      </c>
      <c r="J78" s="101"/>
      <c r="K78" s="105"/>
      <c r="L78" s="101"/>
    </row>
    <row r="79" customFormat="false" ht="15.75" hidden="false" customHeight="true" outlineLevel="0" collapsed="false">
      <c r="A79" s="113"/>
      <c r="B79" s="102"/>
      <c r="C79" s="101" t="str">
        <f aca="false">IF($B79="","",IFERROR(VLOOKUP($B79,'Application Portfolio'!$A$2:$B$1000,2,FALSE()),""))</f>
        <v/>
      </c>
      <c r="D79" s="106"/>
      <c r="E79" s="106"/>
      <c r="F79" s="106"/>
      <c r="G79" s="106"/>
      <c r="H79" s="106"/>
      <c r="I79" s="103" t="str">
        <f aca="false">IF(OR($B79="", $D79="", $E79="", $F79="", $G79="", $H79=""),"",ROUND(($D79*Lists!$AD$20)+($E79*Lists!$AD$21)+($F79*Lists!$AD$22)+($G79*Lists!$AD$23)+($H79*Lists!$AD$24),2))</f>
        <v/>
      </c>
      <c r="J79" s="101"/>
      <c r="K79" s="105"/>
      <c r="L79" s="101"/>
    </row>
    <row r="80" customFormat="false" ht="15.75" hidden="false" customHeight="true" outlineLevel="0" collapsed="false">
      <c r="A80" s="113"/>
      <c r="B80" s="102"/>
      <c r="C80" s="101" t="str">
        <f aca="false">IF($B80="","",IFERROR(VLOOKUP($B80,'Application Portfolio'!$A$2:$B$1000,2,FALSE()),""))</f>
        <v/>
      </c>
      <c r="D80" s="106"/>
      <c r="E80" s="106"/>
      <c r="F80" s="106"/>
      <c r="G80" s="106"/>
      <c r="H80" s="106"/>
      <c r="I80" s="103" t="str">
        <f aca="false">IF(OR($B80="", $D80="", $E80="", $F80="", $G80="", $H80=""),"",ROUND(($D80*Lists!$AD$20)+($E80*Lists!$AD$21)+($F80*Lists!$AD$22)+($G80*Lists!$AD$23)+($H80*Lists!$AD$24),2))</f>
        <v/>
      </c>
      <c r="J80" s="101"/>
      <c r="K80" s="105"/>
      <c r="L80" s="101"/>
    </row>
    <row r="81" customFormat="false" ht="15.75" hidden="false" customHeight="true" outlineLevel="0" collapsed="false">
      <c r="A81" s="113"/>
      <c r="B81" s="102"/>
      <c r="C81" s="101" t="str">
        <f aca="false">IF($B81="","",IFERROR(VLOOKUP($B81,'Application Portfolio'!$A$2:$B$1000,2,FALSE()),""))</f>
        <v/>
      </c>
      <c r="D81" s="106"/>
      <c r="E81" s="106"/>
      <c r="F81" s="106"/>
      <c r="G81" s="106"/>
      <c r="H81" s="106"/>
      <c r="I81" s="103" t="str">
        <f aca="false">IF(OR($B81="", $D81="", $E81="", $F81="", $G81="", $H81=""),"",ROUND(($D81*Lists!$AD$20)+($E81*Lists!$AD$21)+($F81*Lists!$AD$22)+($G81*Lists!$AD$23)+($H81*Lists!$AD$24),2))</f>
        <v/>
      </c>
      <c r="J81" s="101"/>
      <c r="K81" s="105"/>
      <c r="L81" s="101"/>
    </row>
    <row r="82" customFormat="false" ht="15.75" hidden="false" customHeight="true" outlineLevel="0" collapsed="false">
      <c r="A82" s="113"/>
      <c r="B82" s="102"/>
      <c r="C82" s="101" t="str">
        <f aca="false">IF($B82="","",IFERROR(VLOOKUP($B82,'Application Portfolio'!$A$2:$B$1000,2,FALSE()),""))</f>
        <v/>
      </c>
      <c r="D82" s="106"/>
      <c r="E82" s="106"/>
      <c r="F82" s="106"/>
      <c r="G82" s="106"/>
      <c r="H82" s="106"/>
      <c r="I82" s="103" t="str">
        <f aca="false">IF(OR($B82="", $D82="", $E82="", $F82="", $G82="", $H82=""),"",ROUND(($D82*Lists!$AD$20)+($E82*Lists!$AD$21)+($F82*Lists!$AD$22)+($G82*Lists!$AD$23)+($H82*Lists!$AD$24),2))</f>
        <v/>
      </c>
      <c r="J82" s="101"/>
      <c r="K82" s="105"/>
      <c r="L82" s="101"/>
    </row>
    <row r="83" customFormat="false" ht="15.75" hidden="false" customHeight="true" outlineLevel="0" collapsed="false">
      <c r="A83" s="113"/>
      <c r="B83" s="102"/>
      <c r="C83" s="101" t="str">
        <f aca="false">IF($B83="","",IFERROR(VLOOKUP($B83,'Application Portfolio'!$A$2:$B$1000,2,FALSE()),""))</f>
        <v/>
      </c>
      <c r="D83" s="106"/>
      <c r="E83" s="106"/>
      <c r="F83" s="106"/>
      <c r="G83" s="106"/>
      <c r="H83" s="106"/>
      <c r="I83" s="103" t="str">
        <f aca="false">IF(OR($B83="", $D83="", $E83="", $F83="", $G83="", $H83=""),"",ROUND(($D83*Lists!$AD$20)+($E83*Lists!$AD$21)+($F83*Lists!$AD$22)+($G83*Lists!$AD$23)+($H83*Lists!$AD$24),2))</f>
        <v/>
      </c>
      <c r="J83" s="101"/>
      <c r="K83" s="105"/>
      <c r="L83" s="101"/>
    </row>
    <row r="84" customFormat="false" ht="15.75" hidden="false" customHeight="true" outlineLevel="0" collapsed="false">
      <c r="A84" s="113"/>
      <c r="B84" s="102"/>
      <c r="C84" s="101" t="str">
        <f aca="false">IF($B84="","",IFERROR(VLOOKUP($B84,'Application Portfolio'!$A$2:$B$1000,2,FALSE()),""))</f>
        <v/>
      </c>
      <c r="D84" s="106"/>
      <c r="E84" s="106"/>
      <c r="F84" s="106"/>
      <c r="G84" s="106"/>
      <c r="H84" s="106"/>
      <c r="I84" s="103" t="str">
        <f aca="false">IF(OR($B84="", $D84="", $E84="", $F84="", $G84="", $H84=""),"",ROUND(($D84*Lists!$AD$20)+($E84*Lists!$AD$21)+($F84*Lists!$AD$22)+($G84*Lists!$AD$23)+($H84*Lists!$AD$24),2))</f>
        <v/>
      </c>
      <c r="J84" s="101"/>
      <c r="K84" s="105"/>
      <c r="L84" s="101"/>
    </row>
    <row r="85" customFormat="false" ht="15.75" hidden="false" customHeight="true" outlineLevel="0" collapsed="false">
      <c r="A85" s="113"/>
      <c r="B85" s="102"/>
      <c r="C85" s="101" t="str">
        <f aca="false">IF($B85="","",IFERROR(VLOOKUP($B85,'Application Portfolio'!$A$2:$B$1000,2,FALSE()),""))</f>
        <v/>
      </c>
      <c r="D85" s="106"/>
      <c r="E85" s="106"/>
      <c r="F85" s="106"/>
      <c r="G85" s="106"/>
      <c r="H85" s="106"/>
      <c r="I85" s="103" t="str">
        <f aca="false">IF(OR($B85="", $D85="", $E85="", $F85="", $G85="", $H85=""),"",ROUND(($D85*Lists!$AD$20)+($E85*Lists!$AD$21)+($F85*Lists!$AD$22)+($G85*Lists!$AD$23)+($H85*Lists!$AD$24),2))</f>
        <v/>
      </c>
      <c r="J85" s="101"/>
      <c r="K85" s="105"/>
      <c r="L85" s="101"/>
    </row>
    <row r="86" customFormat="false" ht="15.75" hidden="false" customHeight="true" outlineLevel="0" collapsed="false">
      <c r="A86" s="113"/>
      <c r="B86" s="102"/>
      <c r="C86" s="101" t="str">
        <f aca="false">IF($B86="","",IFERROR(VLOOKUP($B86,'Application Portfolio'!$A$2:$B$1000,2,FALSE()),""))</f>
        <v/>
      </c>
      <c r="D86" s="106"/>
      <c r="E86" s="106"/>
      <c r="F86" s="106"/>
      <c r="G86" s="106"/>
      <c r="H86" s="106"/>
      <c r="I86" s="103" t="str">
        <f aca="false">IF(OR($B86="", $D86="", $E86="", $F86="", $G86="", $H86=""),"",ROUND(($D86*Lists!$AD$20)+($E86*Lists!$AD$21)+($F86*Lists!$AD$22)+($G86*Lists!$AD$23)+($H86*Lists!$AD$24),2))</f>
        <v/>
      </c>
      <c r="J86" s="101"/>
      <c r="K86" s="105"/>
      <c r="L86" s="101"/>
    </row>
    <row r="87" customFormat="false" ht="15.75" hidden="false" customHeight="true" outlineLevel="0" collapsed="false">
      <c r="A87" s="113"/>
      <c r="B87" s="102"/>
      <c r="C87" s="101" t="str">
        <f aca="false">IF($B87="","",IFERROR(VLOOKUP($B87,'Application Portfolio'!$A$2:$B$1000,2,FALSE()),""))</f>
        <v/>
      </c>
      <c r="D87" s="106"/>
      <c r="E87" s="106"/>
      <c r="F87" s="106"/>
      <c r="G87" s="106"/>
      <c r="H87" s="106"/>
      <c r="I87" s="103" t="str">
        <f aca="false">IF(OR($B87="", $D87="", $E87="", $F87="", $G87="", $H87=""),"",ROUND(($D87*Lists!$AD$20)+($E87*Lists!$AD$21)+($F87*Lists!$AD$22)+($G87*Lists!$AD$23)+($H87*Lists!$AD$24),2))</f>
        <v/>
      </c>
      <c r="J87" s="101"/>
      <c r="K87" s="105"/>
      <c r="L87" s="101"/>
    </row>
    <row r="88" customFormat="false" ht="15.75" hidden="false" customHeight="true" outlineLevel="0" collapsed="false">
      <c r="A88" s="113"/>
      <c r="B88" s="102"/>
      <c r="C88" s="101" t="str">
        <f aca="false">IF($B88="","",IFERROR(VLOOKUP($B88,'Application Portfolio'!$A$2:$B$1000,2,FALSE()),""))</f>
        <v/>
      </c>
      <c r="D88" s="106"/>
      <c r="E88" s="106"/>
      <c r="F88" s="106"/>
      <c r="G88" s="106"/>
      <c r="H88" s="106"/>
      <c r="I88" s="103" t="str">
        <f aca="false">IF(OR($B88="", $D88="", $E88="", $F88="", $G88="", $H88=""),"",ROUND(($D88*Lists!$AD$20)+($E88*Lists!$AD$21)+($F88*Lists!$AD$22)+($G88*Lists!$AD$23)+($H88*Lists!$AD$24),2))</f>
        <v/>
      </c>
      <c r="J88" s="101"/>
      <c r="K88" s="105"/>
      <c r="L88" s="101"/>
    </row>
    <row r="89" customFormat="false" ht="15.75" hidden="false" customHeight="true" outlineLevel="0" collapsed="false">
      <c r="A89" s="113"/>
      <c r="B89" s="102"/>
      <c r="C89" s="101" t="str">
        <f aca="false">IF($B89="","",IFERROR(VLOOKUP($B89,'Application Portfolio'!$A$2:$B$1000,2,FALSE()),""))</f>
        <v/>
      </c>
      <c r="D89" s="106"/>
      <c r="E89" s="106"/>
      <c r="F89" s="106"/>
      <c r="G89" s="106"/>
      <c r="H89" s="106"/>
      <c r="I89" s="103" t="str">
        <f aca="false">IF(OR($B89="", $D89="", $E89="", $F89="", $G89="", $H89=""),"",ROUND(($D89*Lists!$AD$20)+($E89*Lists!$AD$21)+($F89*Lists!$AD$22)+($G89*Lists!$AD$23)+($H89*Lists!$AD$24),2))</f>
        <v/>
      </c>
      <c r="J89" s="101"/>
      <c r="K89" s="105"/>
      <c r="L89" s="101"/>
    </row>
    <row r="90" customFormat="false" ht="15.75" hidden="false" customHeight="true" outlineLevel="0" collapsed="false">
      <c r="A90" s="113"/>
      <c r="B90" s="102"/>
      <c r="C90" s="101" t="str">
        <f aca="false">IF($B90="","",IFERROR(VLOOKUP($B90,'Application Portfolio'!$A$2:$B$1000,2,FALSE()),""))</f>
        <v/>
      </c>
      <c r="D90" s="106"/>
      <c r="E90" s="106"/>
      <c r="F90" s="106"/>
      <c r="G90" s="106"/>
      <c r="H90" s="106"/>
      <c r="I90" s="103" t="str">
        <f aca="false">IF(OR($B90="", $D90="", $E90="", $F90="", $G90="", $H90=""),"",ROUND(($D90*Lists!$AD$20)+($E90*Lists!$AD$21)+($F90*Lists!$AD$22)+($G90*Lists!$AD$23)+($H90*Lists!$AD$24),2))</f>
        <v/>
      </c>
      <c r="J90" s="101"/>
      <c r="K90" s="105"/>
      <c r="L90" s="101"/>
    </row>
    <row r="91" customFormat="false" ht="15.75" hidden="false" customHeight="true" outlineLevel="0" collapsed="false">
      <c r="A91" s="113"/>
      <c r="B91" s="102"/>
      <c r="C91" s="101" t="str">
        <f aca="false">IF($B91="","",IFERROR(VLOOKUP($B91,'Application Portfolio'!$A$2:$B$1000,2,FALSE()),""))</f>
        <v/>
      </c>
      <c r="D91" s="106"/>
      <c r="E91" s="106"/>
      <c r="F91" s="106"/>
      <c r="G91" s="106"/>
      <c r="H91" s="106"/>
      <c r="I91" s="103" t="str">
        <f aca="false">IF(OR($B91="", $D91="", $E91="", $F91="", $G91="", $H91=""),"",ROUND(($D91*Lists!$AD$20)+($E91*Lists!$AD$21)+($F91*Lists!$AD$22)+($G91*Lists!$AD$23)+($H91*Lists!$AD$24),2))</f>
        <v/>
      </c>
      <c r="J91" s="101"/>
      <c r="K91" s="105"/>
      <c r="L91" s="101"/>
    </row>
    <row r="92" customFormat="false" ht="15.75" hidden="false" customHeight="true" outlineLevel="0" collapsed="false">
      <c r="A92" s="113"/>
      <c r="B92" s="102"/>
      <c r="C92" s="101" t="str">
        <f aca="false">IF($B92="","",IFERROR(VLOOKUP($B92,'Application Portfolio'!$A$2:$B$1000,2,FALSE()),""))</f>
        <v/>
      </c>
      <c r="D92" s="106"/>
      <c r="E92" s="106"/>
      <c r="F92" s="106"/>
      <c r="G92" s="106"/>
      <c r="H92" s="106"/>
      <c r="I92" s="103" t="str">
        <f aca="false">IF(OR($B92="", $D92="", $E92="", $F92="", $G92="", $H92=""),"",ROUND(($D92*Lists!$AD$20)+($E92*Lists!$AD$21)+($F92*Lists!$AD$22)+($G92*Lists!$AD$23)+($H92*Lists!$AD$24),2))</f>
        <v/>
      </c>
      <c r="J92" s="101"/>
      <c r="K92" s="105"/>
      <c r="L92" s="101"/>
    </row>
    <row r="93" customFormat="false" ht="15.75" hidden="false" customHeight="true" outlineLevel="0" collapsed="false">
      <c r="A93" s="113"/>
      <c r="B93" s="102"/>
      <c r="C93" s="101" t="str">
        <f aca="false">IF($B93="","",IFERROR(VLOOKUP($B93,'Application Portfolio'!$A$2:$B$1000,2,FALSE()),""))</f>
        <v/>
      </c>
      <c r="D93" s="106"/>
      <c r="E93" s="106"/>
      <c r="F93" s="106"/>
      <c r="G93" s="106"/>
      <c r="H93" s="106"/>
      <c r="I93" s="103" t="str">
        <f aca="false">IF(OR($B93="", $D93="", $E93="", $F93="", $G93="", $H93=""),"",ROUND(($D93*Lists!$AD$20)+($E93*Lists!$AD$21)+($F93*Lists!$AD$22)+($G93*Lists!$AD$23)+($H93*Lists!$AD$24),2))</f>
        <v/>
      </c>
      <c r="J93" s="101"/>
      <c r="K93" s="105"/>
      <c r="L93" s="101"/>
    </row>
    <row r="94" customFormat="false" ht="15.75" hidden="false" customHeight="true" outlineLevel="0" collapsed="false">
      <c r="A94" s="113"/>
      <c r="B94" s="102"/>
      <c r="C94" s="101" t="str">
        <f aca="false">IF($B94="","",IFERROR(VLOOKUP($B94,'Application Portfolio'!$A$2:$B$1000,2,FALSE()),""))</f>
        <v/>
      </c>
      <c r="D94" s="106"/>
      <c r="E94" s="106"/>
      <c r="F94" s="106"/>
      <c r="G94" s="106"/>
      <c r="H94" s="106"/>
      <c r="I94" s="103" t="str">
        <f aca="false">IF(OR($B94="", $D94="", $E94="", $F94="", $G94="", $H94=""),"",ROUND(($D94*Lists!$AD$20)+($E94*Lists!$AD$21)+($F94*Lists!$AD$22)+($G94*Lists!$AD$23)+($H94*Lists!$AD$24),2))</f>
        <v/>
      </c>
      <c r="J94" s="101"/>
      <c r="K94" s="105"/>
      <c r="L94" s="101"/>
    </row>
    <row r="95" customFormat="false" ht="15.75" hidden="false" customHeight="true" outlineLevel="0" collapsed="false">
      <c r="A95" s="113"/>
      <c r="B95" s="102"/>
      <c r="C95" s="101" t="str">
        <f aca="false">IF($B95="","",IFERROR(VLOOKUP($B95,'Application Portfolio'!$A$2:$B$1000,2,FALSE()),""))</f>
        <v/>
      </c>
      <c r="D95" s="106"/>
      <c r="E95" s="106"/>
      <c r="F95" s="106"/>
      <c r="G95" s="106"/>
      <c r="H95" s="106"/>
      <c r="I95" s="103" t="str">
        <f aca="false">IF(OR($B95="", $D95="", $E95="", $F95="", $G95="", $H95=""),"",ROUND(($D95*Lists!$AD$20)+($E95*Lists!$AD$21)+($F95*Lists!$AD$22)+($G95*Lists!$AD$23)+($H95*Lists!$AD$24),2))</f>
        <v/>
      </c>
      <c r="J95" s="101"/>
      <c r="K95" s="105"/>
      <c r="L95" s="101"/>
    </row>
    <row r="96" customFormat="false" ht="15.75" hidden="false" customHeight="true" outlineLevel="0" collapsed="false">
      <c r="A96" s="113"/>
      <c r="B96" s="102"/>
      <c r="C96" s="101" t="str">
        <f aca="false">IF($B96="","",IFERROR(VLOOKUP($B96,'Application Portfolio'!$A$2:$B$1000,2,FALSE()),""))</f>
        <v/>
      </c>
      <c r="D96" s="106"/>
      <c r="E96" s="106"/>
      <c r="F96" s="106"/>
      <c r="G96" s="106"/>
      <c r="H96" s="106"/>
      <c r="I96" s="103" t="str">
        <f aca="false">IF(OR($B96="", $D96="", $E96="", $F96="", $G96="", $H96=""),"",ROUND(($D96*Lists!$AD$20)+($E96*Lists!$AD$21)+($F96*Lists!$AD$22)+($G96*Lists!$AD$23)+($H96*Lists!$AD$24),2))</f>
        <v/>
      </c>
      <c r="J96" s="101"/>
      <c r="K96" s="105"/>
      <c r="L96" s="101"/>
    </row>
    <row r="97" customFormat="false" ht="15.75" hidden="false" customHeight="true" outlineLevel="0" collapsed="false">
      <c r="A97" s="113"/>
      <c r="B97" s="102"/>
      <c r="C97" s="101" t="str">
        <f aca="false">IF($B97="","",IFERROR(VLOOKUP($B97,'Application Portfolio'!$A$2:$B$1000,2,FALSE()),""))</f>
        <v/>
      </c>
      <c r="D97" s="106"/>
      <c r="E97" s="106"/>
      <c r="F97" s="106"/>
      <c r="G97" s="106"/>
      <c r="H97" s="106"/>
      <c r="I97" s="103" t="str">
        <f aca="false">IF(OR($B97="", $D97="", $E97="", $F97="", $G97="", $H97=""),"",ROUND(($D97*Lists!$AD$20)+($E97*Lists!$AD$21)+($F97*Lists!$AD$22)+($G97*Lists!$AD$23)+($H97*Lists!$AD$24),2))</f>
        <v/>
      </c>
      <c r="J97" s="101"/>
      <c r="K97" s="105"/>
      <c r="L97" s="101"/>
    </row>
    <row r="98" customFormat="false" ht="15.75" hidden="false" customHeight="true" outlineLevel="0" collapsed="false">
      <c r="A98" s="113"/>
      <c r="B98" s="102"/>
      <c r="C98" s="101" t="str">
        <f aca="false">IF($B98="","",IFERROR(VLOOKUP($B98,'Application Portfolio'!$A$2:$B$1000,2,FALSE()),""))</f>
        <v/>
      </c>
      <c r="D98" s="106"/>
      <c r="E98" s="106"/>
      <c r="F98" s="106"/>
      <c r="G98" s="106"/>
      <c r="H98" s="106"/>
      <c r="I98" s="103" t="str">
        <f aca="false">IF(OR($B98="", $D98="", $E98="", $F98="", $G98="", $H98=""),"",ROUND(($D98*Lists!$AD$20)+($E98*Lists!$AD$21)+($F98*Lists!$AD$22)+($G98*Lists!$AD$23)+($H98*Lists!$AD$24),2))</f>
        <v/>
      </c>
      <c r="J98" s="101"/>
      <c r="K98" s="105"/>
      <c r="L98" s="101"/>
    </row>
    <row r="99" customFormat="false" ht="15.75" hidden="false" customHeight="true" outlineLevel="0" collapsed="false">
      <c r="A99" s="113"/>
      <c r="B99" s="102"/>
      <c r="C99" s="101" t="str">
        <f aca="false">IF($B99="","",IFERROR(VLOOKUP($B99,'Application Portfolio'!$A$2:$B$1000,2,FALSE()),""))</f>
        <v/>
      </c>
      <c r="D99" s="106"/>
      <c r="E99" s="106"/>
      <c r="F99" s="106"/>
      <c r="G99" s="106"/>
      <c r="H99" s="106"/>
      <c r="I99" s="103" t="str">
        <f aca="false">IF(OR($B99="", $D99="", $E99="", $F99="", $G99="", $H99=""),"",ROUND(($D99*Lists!$AD$20)+($E99*Lists!$AD$21)+($F99*Lists!$AD$22)+($G99*Lists!$AD$23)+($H99*Lists!$AD$24),2))</f>
        <v/>
      </c>
      <c r="J99" s="101"/>
      <c r="K99" s="105"/>
      <c r="L99" s="101"/>
    </row>
    <row r="100" customFormat="false" ht="15.75" hidden="false" customHeight="true" outlineLevel="0" collapsed="false">
      <c r="A100" s="113"/>
      <c r="B100" s="102"/>
      <c r="C100" s="101" t="str">
        <f aca="false">IF($B100="","",IFERROR(VLOOKUP($B100,'Application Portfolio'!$A$2:$B$1000,2,FALSE()),""))</f>
        <v/>
      </c>
      <c r="D100" s="106"/>
      <c r="E100" s="106"/>
      <c r="F100" s="106"/>
      <c r="G100" s="106"/>
      <c r="H100" s="106"/>
      <c r="I100" s="103" t="str">
        <f aca="false">IF(OR($B100="", $D100="", $E100="", $F100="", $G100="", $H100=""),"",ROUND(($D100*Lists!$AD$20)+($E100*Lists!$AD$21)+($F100*Lists!$AD$22)+($G100*Lists!$AD$23)+($H100*Lists!$AD$24),2))</f>
        <v/>
      </c>
      <c r="J100" s="101"/>
      <c r="K100" s="105"/>
      <c r="L100" s="101"/>
    </row>
    <row r="101" customFormat="false" ht="15.75" hidden="false" customHeight="true" outlineLevel="0" collapsed="false">
      <c r="A101" s="113"/>
      <c r="B101" s="102"/>
      <c r="C101" s="101" t="str">
        <f aca="false">IF($B101="","",IFERROR(VLOOKUP($B101,'Application Portfolio'!$A$2:$B$1000,2,FALSE()),""))</f>
        <v/>
      </c>
      <c r="D101" s="106"/>
      <c r="E101" s="106"/>
      <c r="F101" s="106"/>
      <c r="G101" s="106"/>
      <c r="H101" s="106"/>
      <c r="I101" s="103" t="str">
        <f aca="false">IF(OR($B101="", $D101="", $E101="", $F101="", $G101="", $H101=""),"",ROUND(($D101*Lists!$AD$20)+($E101*Lists!$AD$21)+($F101*Lists!$AD$22)+($G101*Lists!$AD$23)+($H101*Lists!$AD$24),2))</f>
        <v/>
      </c>
      <c r="J101" s="101"/>
      <c r="K101" s="105"/>
      <c r="L101" s="101"/>
    </row>
    <row r="102" customFormat="false" ht="15.75" hidden="false" customHeight="true" outlineLevel="0" collapsed="false">
      <c r="A102" s="113"/>
      <c r="B102" s="102"/>
      <c r="C102" s="101" t="str">
        <f aca="false">IF($B102="","",IFERROR(VLOOKUP($B102,'Application Portfolio'!$A$2:$B$1000,2,FALSE()),""))</f>
        <v/>
      </c>
      <c r="D102" s="106"/>
      <c r="E102" s="106"/>
      <c r="F102" s="106"/>
      <c r="G102" s="106"/>
      <c r="H102" s="106"/>
      <c r="I102" s="103" t="str">
        <f aca="false">IF(OR($B102="", $D102="", $E102="", $F102="", $G102="", $H102=""),"",ROUND(($D102*Lists!$AD$20)+($E102*Lists!$AD$21)+($F102*Lists!$AD$22)+($G102*Lists!$AD$23)+($H102*Lists!$AD$24),2))</f>
        <v/>
      </c>
      <c r="J102" s="101"/>
      <c r="K102" s="105"/>
      <c r="L102" s="101"/>
    </row>
    <row r="103" customFormat="false" ht="15.75" hidden="false" customHeight="true" outlineLevel="0" collapsed="false">
      <c r="A103" s="113"/>
      <c r="B103" s="102"/>
      <c r="C103" s="101" t="str">
        <f aca="false">IF($B103="","",IFERROR(VLOOKUP($B103,'Application Portfolio'!$A$2:$B$1000,2,FALSE()),""))</f>
        <v/>
      </c>
      <c r="D103" s="106"/>
      <c r="E103" s="106"/>
      <c r="F103" s="106"/>
      <c r="G103" s="106"/>
      <c r="H103" s="106"/>
      <c r="I103" s="103" t="str">
        <f aca="false">IF(OR($B103="", $D103="", $E103="", $F103="", $G103="", $H103=""),"",ROUND(($D103*Lists!$AD$20)+($E103*Lists!$AD$21)+($F103*Lists!$AD$22)+($G103*Lists!$AD$23)+($H103*Lists!$AD$24),2))</f>
        <v/>
      </c>
      <c r="J103" s="101"/>
      <c r="K103" s="105"/>
      <c r="L103" s="101"/>
    </row>
    <row r="104" customFormat="false" ht="15.75" hidden="false" customHeight="true" outlineLevel="0" collapsed="false">
      <c r="A104" s="113"/>
      <c r="B104" s="102"/>
      <c r="C104" s="101" t="str">
        <f aca="false">IF($B104="","",IFERROR(VLOOKUP($B104,'Application Portfolio'!$A$2:$B$1000,2,FALSE()),""))</f>
        <v/>
      </c>
      <c r="D104" s="106"/>
      <c r="E104" s="106"/>
      <c r="F104" s="106"/>
      <c r="G104" s="106"/>
      <c r="H104" s="106"/>
      <c r="I104" s="103" t="str">
        <f aca="false">IF(OR($B104="", $D104="", $E104="", $F104="", $G104="", $H104=""),"",ROUND(($D104*Lists!$AD$20)+($E104*Lists!$AD$21)+($F104*Lists!$AD$22)+($G104*Lists!$AD$23)+($H104*Lists!$AD$24),2))</f>
        <v/>
      </c>
      <c r="J104" s="101"/>
      <c r="K104" s="105"/>
      <c r="L104" s="101"/>
    </row>
    <row r="105" customFormat="false" ht="15.75" hidden="false" customHeight="true" outlineLevel="0" collapsed="false">
      <c r="A105" s="113"/>
      <c r="B105" s="102"/>
      <c r="C105" s="101" t="str">
        <f aca="false">IF($B105="","",IFERROR(VLOOKUP($B105,'Application Portfolio'!$A$2:$B$1000,2,FALSE()),""))</f>
        <v/>
      </c>
      <c r="D105" s="106"/>
      <c r="E105" s="106"/>
      <c r="F105" s="106"/>
      <c r="G105" s="106"/>
      <c r="H105" s="106"/>
      <c r="I105" s="103" t="str">
        <f aca="false">IF(OR($B105="", $D105="", $E105="", $F105="", $G105="", $H105=""),"",ROUND(($D105*Lists!$AD$20)+($E105*Lists!$AD$21)+($F105*Lists!$AD$22)+($G105*Lists!$AD$23)+($H105*Lists!$AD$24),2))</f>
        <v/>
      </c>
      <c r="J105" s="101"/>
      <c r="K105" s="105"/>
      <c r="L105" s="101"/>
    </row>
    <row r="106" customFormat="false" ht="15.75" hidden="false" customHeight="true" outlineLevel="0" collapsed="false">
      <c r="A106" s="113"/>
      <c r="B106" s="102"/>
      <c r="C106" s="101" t="str">
        <f aca="false">IF($B106="","",IFERROR(VLOOKUP($B106,'Application Portfolio'!$A$2:$B$1000,2,FALSE()),""))</f>
        <v/>
      </c>
      <c r="D106" s="106"/>
      <c r="E106" s="106"/>
      <c r="F106" s="106"/>
      <c r="G106" s="106"/>
      <c r="H106" s="106"/>
      <c r="I106" s="103" t="str">
        <f aca="false">IF(OR($B106="", $D106="", $E106="", $F106="", $G106="", $H106=""),"",ROUND(($D106*Lists!$AD$20)+($E106*Lists!$AD$21)+($F106*Lists!$AD$22)+($G106*Lists!$AD$23)+($H106*Lists!$AD$24),2))</f>
        <v/>
      </c>
      <c r="J106" s="101"/>
      <c r="K106" s="105"/>
      <c r="L106" s="101"/>
    </row>
    <row r="107" customFormat="false" ht="15.75" hidden="false" customHeight="true" outlineLevel="0" collapsed="false">
      <c r="A107" s="113"/>
      <c r="B107" s="102"/>
      <c r="C107" s="101" t="str">
        <f aca="false">IF($B107="","",IFERROR(VLOOKUP($B107,'Application Portfolio'!$A$2:$B$1000,2,FALSE()),""))</f>
        <v/>
      </c>
      <c r="D107" s="106"/>
      <c r="E107" s="106"/>
      <c r="F107" s="106"/>
      <c r="G107" s="106"/>
      <c r="H107" s="106"/>
      <c r="I107" s="103" t="str">
        <f aca="false">IF(OR($B107="", $D107="", $E107="", $F107="", $G107="", $H107=""),"",ROUND(($D107*Lists!$AD$20)+($E107*Lists!$AD$21)+($F107*Lists!$AD$22)+($G107*Lists!$AD$23)+($H107*Lists!$AD$24),2))</f>
        <v/>
      </c>
      <c r="J107" s="101"/>
      <c r="K107" s="105"/>
      <c r="L107" s="101"/>
    </row>
    <row r="108" customFormat="false" ht="15.75" hidden="false" customHeight="true" outlineLevel="0" collapsed="false">
      <c r="A108" s="113"/>
      <c r="B108" s="102"/>
      <c r="C108" s="101" t="str">
        <f aca="false">IF($B108="","",IFERROR(VLOOKUP($B108,'Application Portfolio'!$A$2:$B$1000,2,FALSE()),""))</f>
        <v/>
      </c>
      <c r="D108" s="106"/>
      <c r="E108" s="106"/>
      <c r="F108" s="106"/>
      <c r="G108" s="106"/>
      <c r="H108" s="106"/>
      <c r="I108" s="103" t="str">
        <f aca="false">IF(OR($B108="", $D108="", $E108="", $F108="", $G108="", $H108=""),"",ROUND(($D108*Lists!$AD$20)+($E108*Lists!$AD$21)+($F108*Lists!$AD$22)+($G108*Lists!$AD$23)+($H108*Lists!$AD$24),2))</f>
        <v/>
      </c>
      <c r="J108" s="101"/>
      <c r="K108" s="105"/>
      <c r="L108" s="101"/>
    </row>
    <row r="109" customFormat="false" ht="15.75" hidden="false" customHeight="true" outlineLevel="0" collapsed="false">
      <c r="A109" s="113"/>
      <c r="B109" s="102"/>
      <c r="C109" s="101" t="str">
        <f aca="false">IF($B109="","",IFERROR(VLOOKUP($B109,'Application Portfolio'!$A$2:$B$1000,2,FALSE()),""))</f>
        <v/>
      </c>
      <c r="D109" s="106"/>
      <c r="E109" s="106"/>
      <c r="F109" s="106"/>
      <c r="G109" s="106"/>
      <c r="H109" s="106"/>
      <c r="I109" s="103" t="str">
        <f aca="false">IF(OR($B109="", $D109="", $E109="", $F109="", $G109="", $H109=""),"",ROUND(($D109*Lists!$AD$20)+($E109*Lists!$AD$21)+($F109*Lists!$AD$22)+($G109*Lists!$AD$23)+($H109*Lists!$AD$24),2))</f>
        <v/>
      </c>
      <c r="J109" s="101"/>
      <c r="K109" s="105"/>
      <c r="L109" s="101"/>
    </row>
    <row r="110" customFormat="false" ht="15.75" hidden="false" customHeight="true" outlineLevel="0" collapsed="false">
      <c r="A110" s="113"/>
      <c r="B110" s="102"/>
      <c r="C110" s="101" t="str">
        <f aca="false">IF($B110="","",IFERROR(VLOOKUP($B110,'Application Portfolio'!$A$2:$B$1000,2,FALSE()),""))</f>
        <v/>
      </c>
      <c r="D110" s="106"/>
      <c r="E110" s="106"/>
      <c r="F110" s="106"/>
      <c r="G110" s="106"/>
      <c r="H110" s="106"/>
      <c r="I110" s="103" t="str">
        <f aca="false">IF(OR($B110="", $D110="", $E110="", $F110="", $G110="", $H110=""),"",ROUND(($D110*Lists!$AD$20)+($E110*Lists!$AD$21)+($F110*Lists!$AD$22)+($G110*Lists!$AD$23)+($H110*Lists!$AD$24),2))</f>
        <v/>
      </c>
      <c r="J110" s="101"/>
      <c r="K110" s="105"/>
      <c r="L110" s="101"/>
    </row>
    <row r="111" customFormat="false" ht="15.75" hidden="false" customHeight="true" outlineLevel="0" collapsed="false">
      <c r="A111" s="113"/>
      <c r="B111" s="102"/>
      <c r="C111" s="101" t="str">
        <f aca="false">IF($B111="","",IFERROR(VLOOKUP($B111,'Application Portfolio'!$A$2:$B$1000,2,FALSE()),""))</f>
        <v/>
      </c>
      <c r="D111" s="106"/>
      <c r="E111" s="106"/>
      <c r="F111" s="106"/>
      <c r="G111" s="106"/>
      <c r="H111" s="106"/>
      <c r="I111" s="103" t="str">
        <f aca="false">IF(OR($B111="", $D111="", $E111="", $F111="", $G111="", $H111=""),"",ROUND(($D111*Lists!$AD$20)+($E111*Lists!$AD$21)+($F111*Lists!$AD$22)+($G111*Lists!$AD$23)+($H111*Lists!$AD$24),2))</f>
        <v/>
      </c>
      <c r="J111" s="101"/>
      <c r="K111" s="105"/>
      <c r="L111" s="101"/>
    </row>
    <row r="112" customFormat="false" ht="15.75" hidden="false" customHeight="true" outlineLevel="0" collapsed="false">
      <c r="A112" s="113"/>
      <c r="B112" s="102"/>
      <c r="C112" s="101" t="str">
        <f aca="false">IF($B112="","",IFERROR(VLOOKUP($B112,'Application Portfolio'!$A$2:$B$1000,2,FALSE()),""))</f>
        <v/>
      </c>
      <c r="D112" s="106"/>
      <c r="E112" s="106"/>
      <c r="F112" s="106"/>
      <c r="G112" s="106"/>
      <c r="H112" s="106"/>
      <c r="I112" s="103" t="str">
        <f aca="false">IF(OR($B112="", $D112="", $E112="", $F112="", $G112="", $H112=""),"",ROUND(($D112*Lists!$AD$20)+($E112*Lists!$AD$21)+($F112*Lists!$AD$22)+($G112*Lists!$AD$23)+($H112*Lists!$AD$24),2))</f>
        <v/>
      </c>
      <c r="J112" s="101"/>
      <c r="K112" s="105"/>
      <c r="L112" s="101"/>
    </row>
    <row r="113" customFormat="false" ht="15.75" hidden="false" customHeight="true" outlineLevel="0" collapsed="false">
      <c r="A113" s="113"/>
      <c r="B113" s="102"/>
      <c r="C113" s="101" t="str">
        <f aca="false">IF($B113="","",IFERROR(VLOOKUP($B113,'Application Portfolio'!$A$2:$B$1000,2,FALSE()),""))</f>
        <v/>
      </c>
      <c r="D113" s="106"/>
      <c r="E113" s="106"/>
      <c r="F113" s="106"/>
      <c r="G113" s="106"/>
      <c r="H113" s="106"/>
      <c r="I113" s="103" t="str">
        <f aca="false">IF(OR($B113="", $D113="", $E113="", $F113="", $G113="", $H113=""),"",ROUND(($D113*Lists!$AD$20)+($E113*Lists!$AD$21)+($F113*Lists!$AD$22)+($G113*Lists!$AD$23)+($H113*Lists!$AD$24),2))</f>
        <v/>
      </c>
      <c r="J113" s="101"/>
      <c r="K113" s="105"/>
      <c r="L113" s="101"/>
    </row>
    <row r="114" customFormat="false" ht="15.75" hidden="false" customHeight="true" outlineLevel="0" collapsed="false">
      <c r="A114" s="113"/>
      <c r="B114" s="102"/>
      <c r="C114" s="101" t="str">
        <f aca="false">IF($B114="","",IFERROR(VLOOKUP($B114,'Application Portfolio'!$A$2:$B$1000,2,FALSE()),""))</f>
        <v/>
      </c>
      <c r="D114" s="106"/>
      <c r="E114" s="106"/>
      <c r="F114" s="106"/>
      <c r="G114" s="106"/>
      <c r="H114" s="106"/>
      <c r="I114" s="103" t="str">
        <f aca="false">IF(OR($B114="", $D114="", $E114="", $F114="", $G114="", $H114=""),"",ROUND(($D114*Lists!$AD$20)+($E114*Lists!$AD$21)+($F114*Lists!$AD$22)+($G114*Lists!$AD$23)+($H114*Lists!$AD$24),2))</f>
        <v/>
      </c>
      <c r="J114" s="101"/>
      <c r="K114" s="105"/>
      <c r="L114" s="101"/>
    </row>
    <row r="115" customFormat="false" ht="15.75" hidden="false" customHeight="true" outlineLevel="0" collapsed="false">
      <c r="A115" s="113"/>
      <c r="B115" s="102"/>
      <c r="C115" s="101" t="str">
        <f aca="false">IF($B115="","",IFERROR(VLOOKUP($B115,'Application Portfolio'!$A$2:$B$1000,2,FALSE()),""))</f>
        <v/>
      </c>
      <c r="D115" s="106"/>
      <c r="E115" s="106"/>
      <c r="F115" s="106"/>
      <c r="G115" s="106"/>
      <c r="H115" s="106"/>
      <c r="I115" s="103" t="str">
        <f aca="false">IF(OR($B115="", $D115="", $E115="", $F115="", $G115="", $H115=""),"",ROUND(($D115*Lists!$AD$20)+($E115*Lists!$AD$21)+($F115*Lists!$AD$22)+($G115*Lists!$AD$23)+($H115*Lists!$AD$24),2))</f>
        <v/>
      </c>
      <c r="J115" s="101"/>
      <c r="K115" s="105"/>
      <c r="L115" s="101"/>
    </row>
    <row r="116" customFormat="false" ht="15.75" hidden="false" customHeight="true" outlineLevel="0" collapsed="false">
      <c r="A116" s="113"/>
      <c r="B116" s="102"/>
      <c r="C116" s="101" t="str">
        <f aca="false">IF($B116="","",IFERROR(VLOOKUP($B116,'Application Portfolio'!$A$2:$B$1000,2,FALSE()),""))</f>
        <v/>
      </c>
      <c r="D116" s="106"/>
      <c r="E116" s="106"/>
      <c r="F116" s="106"/>
      <c r="G116" s="106"/>
      <c r="H116" s="106"/>
      <c r="I116" s="103" t="str">
        <f aca="false">IF(OR($B116="", $D116="", $E116="", $F116="", $G116="", $H116=""),"",ROUND(($D116*Lists!$AD$20)+($E116*Lists!$AD$21)+($F116*Lists!$AD$22)+($G116*Lists!$AD$23)+($H116*Lists!$AD$24),2))</f>
        <v/>
      </c>
      <c r="J116" s="101"/>
      <c r="K116" s="105"/>
      <c r="L116" s="101"/>
    </row>
    <row r="117" customFormat="false" ht="15.75" hidden="false" customHeight="true" outlineLevel="0" collapsed="false">
      <c r="A117" s="113"/>
      <c r="B117" s="102"/>
      <c r="C117" s="101" t="str">
        <f aca="false">IF($B117="","",IFERROR(VLOOKUP($B117,'Application Portfolio'!$A$2:$B$1000,2,FALSE()),""))</f>
        <v/>
      </c>
      <c r="D117" s="106"/>
      <c r="E117" s="106"/>
      <c r="F117" s="106"/>
      <c r="G117" s="106"/>
      <c r="H117" s="106"/>
      <c r="I117" s="103" t="str">
        <f aca="false">IF(OR($B117="", $D117="", $E117="", $F117="", $G117="", $H117=""),"",ROUND(($D117*Lists!$AD$20)+($E117*Lists!$AD$21)+($F117*Lists!$AD$22)+($G117*Lists!$AD$23)+($H117*Lists!$AD$24),2))</f>
        <v/>
      </c>
      <c r="J117" s="101"/>
      <c r="K117" s="105"/>
      <c r="L117" s="101"/>
    </row>
    <row r="118" customFormat="false" ht="15.75" hidden="false" customHeight="true" outlineLevel="0" collapsed="false">
      <c r="A118" s="113"/>
      <c r="B118" s="102"/>
      <c r="C118" s="101" t="str">
        <f aca="false">IF($B118="","",IFERROR(VLOOKUP($B118,'Application Portfolio'!$A$2:$B$1000,2,FALSE()),""))</f>
        <v/>
      </c>
      <c r="D118" s="106"/>
      <c r="E118" s="106"/>
      <c r="F118" s="106"/>
      <c r="G118" s="106"/>
      <c r="H118" s="106"/>
      <c r="I118" s="103" t="str">
        <f aca="false">IF(OR($B118="", $D118="", $E118="", $F118="", $G118="", $H118=""),"",ROUND(($D118*Lists!$AD$20)+($E118*Lists!$AD$21)+($F118*Lists!$AD$22)+($G118*Lists!$AD$23)+($H118*Lists!$AD$24),2))</f>
        <v/>
      </c>
      <c r="J118" s="101"/>
      <c r="K118" s="105"/>
      <c r="L118" s="101"/>
    </row>
    <row r="119" customFormat="false" ht="15.75" hidden="false" customHeight="true" outlineLevel="0" collapsed="false">
      <c r="A119" s="113"/>
      <c r="B119" s="102"/>
      <c r="C119" s="101" t="str">
        <f aca="false">IF($B119="","",IFERROR(VLOOKUP($B119,'Application Portfolio'!$A$2:$B$1000,2,FALSE()),""))</f>
        <v/>
      </c>
      <c r="D119" s="106"/>
      <c r="E119" s="106"/>
      <c r="F119" s="106"/>
      <c r="G119" s="106"/>
      <c r="H119" s="106"/>
      <c r="I119" s="103" t="str">
        <f aca="false">IF(OR($B119="", $D119="", $E119="", $F119="", $G119="", $H119=""),"",ROUND(($D119*Lists!$AD$20)+($E119*Lists!$AD$21)+($F119*Lists!$AD$22)+($G119*Lists!$AD$23)+($H119*Lists!$AD$24),2))</f>
        <v/>
      </c>
      <c r="J119" s="101"/>
      <c r="K119" s="105"/>
      <c r="L119" s="101"/>
    </row>
    <row r="120" customFormat="false" ht="15.75" hidden="false" customHeight="true" outlineLevel="0" collapsed="false">
      <c r="A120" s="113"/>
      <c r="B120" s="102"/>
      <c r="C120" s="101" t="str">
        <f aca="false">IF($B120="","",IFERROR(VLOOKUP($B120,'Application Portfolio'!$A$2:$B$1000,2,FALSE()),""))</f>
        <v/>
      </c>
      <c r="D120" s="106"/>
      <c r="E120" s="106"/>
      <c r="F120" s="106"/>
      <c r="G120" s="106"/>
      <c r="H120" s="106"/>
      <c r="I120" s="103" t="str">
        <f aca="false">IF(OR($B120="", $D120="", $E120="", $F120="", $G120="", $H120=""),"",ROUND(($D120*Lists!$AD$20)+($E120*Lists!$AD$21)+($F120*Lists!$AD$22)+($G120*Lists!$AD$23)+($H120*Lists!$AD$24),2))</f>
        <v/>
      </c>
      <c r="J120" s="101"/>
      <c r="K120" s="105"/>
      <c r="L120" s="101"/>
    </row>
    <row r="121" customFormat="false" ht="15.75" hidden="false" customHeight="true" outlineLevel="0" collapsed="false">
      <c r="A121" s="113"/>
      <c r="B121" s="102"/>
      <c r="C121" s="101" t="str">
        <f aca="false">IF($B121="","",IFERROR(VLOOKUP($B121,'Application Portfolio'!$A$2:$B$1000,2,FALSE()),""))</f>
        <v/>
      </c>
      <c r="D121" s="106"/>
      <c r="E121" s="106"/>
      <c r="F121" s="106"/>
      <c r="G121" s="106"/>
      <c r="H121" s="106"/>
      <c r="I121" s="103" t="str">
        <f aca="false">IF(OR($B121="", $D121="", $E121="", $F121="", $G121="", $H121=""),"",ROUND(($D121*Lists!$AD$20)+($E121*Lists!$AD$21)+($F121*Lists!$AD$22)+($G121*Lists!$AD$23)+($H121*Lists!$AD$24),2))</f>
        <v/>
      </c>
      <c r="J121" s="101"/>
      <c r="K121" s="105"/>
      <c r="L121" s="101"/>
    </row>
    <row r="122" customFormat="false" ht="15.75" hidden="false" customHeight="true" outlineLevel="0" collapsed="false">
      <c r="A122" s="113"/>
      <c r="B122" s="102"/>
      <c r="C122" s="101" t="str">
        <f aca="false">IF($B122="","",IFERROR(VLOOKUP($B122,'Application Portfolio'!$A$2:$B$1000,2,FALSE()),""))</f>
        <v/>
      </c>
      <c r="D122" s="106"/>
      <c r="E122" s="106"/>
      <c r="F122" s="106"/>
      <c r="G122" s="106"/>
      <c r="H122" s="106"/>
      <c r="I122" s="103" t="str">
        <f aca="false">IF(OR($B122="", $D122="", $E122="", $F122="", $G122="", $H122=""),"",ROUND(($D122*Lists!$AD$20)+($E122*Lists!$AD$21)+($F122*Lists!$AD$22)+($G122*Lists!$AD$23)+($H122*Lists!$AD$24),2))</f>
        <v/>
      </c>
      <c r="J122" s="101"/>
      <c r="K122" s="105"/>
      <c r="L122" s="101"/>
    </row>
    <row r="123" customFormat="false" ht="15.75" hidden="false" customHeight="true" outlineLevel="0" collapsed="false">
      <c r="A123" s="113"/>
      <c r="B123" s="102"/>
      <c r="C123" s="101" t="str">
        <f aca="false">IF($B123="","",IFERROR(VLOOKUP($B123,'Application Portfolio'!$A$2:$B$1000,2,FALSE()),""))</f>
        <v/>
      </c>
      <c r="D123" s="106"/>
      <c r="E123" s="106"/>
      <c r="F123" s="106"/>
      <c r="G123" s="106"/>
      <c r="H123" s="106"/>
      <c r="I123" s="103" t="str">
        <f aca="false">IF(OR($B123="", $D123="", $E123="", $F123="", $G123="", $H123=""),"",ROUND(($D123*Lists!$AD$20)+($E123*Lists!$AD$21)+($F123*Lists!$AD$22)+($G123*Lists!$AD$23)+($H123*Lists!$AD$24),2))</f>
        <v/>
      </c>
      <c r="J123" s="101"/>
      <c r="K123" s="105"/>
      <c r="L123" s="101"/>
    </row>
    <row r="124" customFormat="false" ht="15.75" hidden="false" customHeight="true" outlineLevel="0" collapsed="false">
      <c r="A124" s="113"/>
      <c r="B124" s="102"/>
      <c r="C124" s="101" t="str">
        <f aca="false">IF($B124="","",IFERROR(VLOOKUP($B124,'Application Portfolio'!$A$2:$B$1000,2,FALSE()),""))</f>
        <v/>
      </c>
      <c r="D124" s="106"/>
      <c r="E124" s="106"/>
      <c r="F124" s="106"/>
      <c r="G124" s="106"/>
      <c r="H124" s="106"/>
      <c r="I124" s="103" t="str">
        <f aca="false">IF(OR($B124="", $D124="", $E124="", $F124="", $G124="", $H124=""),"",ROUND(($D124*Lists!$AD$20)+($E124*Lists!$AD$21)+($F124*Lists!$AD$22)+($G124*Lists!$AD$23)+($H124*Lists!$AD$24),2))</f>
        <v/>
      </c>
      <c r="J124" s="101"/>
      <c r="K124" s="105"/>
      <c r="L124" s="101"/>
    </row>
    <row r="125" customFormat="false" ht="15.75" hidden="false" customHeight="true" outlineLevel="0" collapsed="false">
      <c r="A125" s="113"/>
      <c r="B125" s="102"/>
      <c r="C125" s="101" t="str">
        <f aca="false">IF($B125="","",IFERROR(VLOOKUP($B125,'Application Portfolio'!$A$2:$B$1000,2,FALSE()),""))</f>
        <v/>
      </c>
      <c r="D125" s="106"/>
      <c r="E125" s="106"/>
      <c r="F125" s="106"/>
      <c r="G125" s="106"/>
      <c r="H125" s="106"/>
      <c r="I125" s="103" t="str">
        <f aca="false">IF(OR($B125="", $D125="", $E125="", $F125="", $G125="", $H125=""),"",ROUND(($D125*Lists!$AD$20)+($E125*Lists!$AD$21)+($F125*Lists!$AD$22)+($G125*Lists!$AD$23)+($H125*Lists!$AD$24),2))</f>
        <v/>
      </c>
      <c r="J125" s="101"/>
      <c r="K125" s="105"/>
      <c r="L125" s="101"/>
    </row>
    <row r="126" customFormat="false" ht="15.75" hidden="false" customHeight="true" outlineLevel="0" collapsed="false">
      <c r="A126" s="113"/>
      <c r="B126" s="102"/>
      <c r="C126" s="101" t="str">
        <f aca="false">IF($B126="","",IFERROR(VLOOKUP($B126,'Application Portfolio'!$A$2:$B$1000,2,FALSE()),""))</f>
        <v/>
      </c>
      <c r="D126" s="106"/>
      <c r="E126" s="106"/>
      <c r="F126" s="106"/>
      <c r="G126" s="106"/>
      <c r="H126" s="106"/>
      <c r="I126" s="103" t="str">
        <f aca="false">IF(OR($B126="", $D126="", $E126="", $F126="", $G126="", $H126=""),"",ROUND(($D126*Lists!$AD$20)+($E126*Lists!$AD$21)+($F126*Lists!$AD$22)+($G126*Lists!$AD$23)+($H126*Lists!$AD$24),2))</f>
        <v/>
      </c>
      <c r="J126" s="101"/>
      <c r="K126" s="105"/>
      <c r="L126" s="101"/>
    </row>
    <row r="127" customFormat="false" ht="15.75" hidden="false" customHeight="true" outlineLevel="0" collapsed="false">
      <c r="A127" s="113"/>
      <c r="B127" s="102"/>
      <c r="C127" s="101" t="str">
        <f aca="false">IF($B127="","",IFERROR(VLOOKUP($B127,'Application Portfolio'!$A$2:$B$1000,2,FALSE()),""))</f>
        <v/>
      </c>
      <c r="D127" s="106"/>
      <c r="E127" s="106"/>
      <c r="F127" s="106"/>
      <c r="G127" s="106"/>
      <c r="H127" s="106"/>
      <c r="I127" s="103" t="str">
        <f aca="false">IF(OR($B127="", $D127="", $E127="", $F127="", $G127="", $H127=""),"",ROUND(($D127*Lists!$AD$20)+($E127*Lists!$AD$21)+($F127*Lists!$AD$22)+($G127*Lists!$AD$23)+($H127*Lists!$AD$24),2))</f>
        <v/>
      </c>
      <c r="J127" s="101"/>
      <c r="K127" s="105"/>
      <c r="L127" s="101"/>
    </row>
    <row r="128" customFormat="false" ht="15.75" hidden="false" customHeight="true" outlineLevel="0" collapsed="false">
      <c r="A128" s="113"/>
      <c r="B128" s="102"/>
      <c r="C128" s="101" t="str">
        <f aca="false">IF($B128="","",IFERROR(VLOOKUP($B128,'Application Portfolio'!$A$2:$B$1000,2,FALSE()),""))</f>
        <v/>
      </c>
      <c r="D128" s="106"/>
      <c r="E128" s="106"/>
      <c r="F128" s="106"/>
      <c r="G128" s="106"/>
      <c r="H128" s="106"/>
      <c r="I128" s="103" t="str">
        <f aca="false">IF(OR($B128="", $D128="", $E128="", $F128="", $G128="", $H128=""),"",ROUND(($D128*Lists!$AD$20)+($E128*Lists!$AD$21)+($F128*Lists!$AD$22)+($G128*Lists!$AD$23)+($H128*Lists!$AD$24),2))</f>
        <v/>
      </c>
      <c r="J128" s="101"/>
      <c r="K128" s="105"/>
      <c r="L128" s="101"/>
    </row>
    <row r="129" customFormat="false" ht="15.75" hidden="false" customHeight="true" outlineLevel="0" collapsed="false">
      <c r="A129" s="113"/>
      <c r="B129" s="102"/>
      <c r="C129" s="101" t="str">
        <f aca="false">IF($B129="","",IFERROR(VLOOKUP($B129,'Application Portfolio'!$A$2:$B$1000,2,FALSE()),""))</f>
        <v/>
      </c>
      <c r="D129" s="106"/>
      <c r="E129" s="106"/>
      <c r="F129" s="106"/>
      <c r="G129" s="106"/>
      <c r="H129" s="106"/>
      <c r="I129" s="103" t="str">
        <f aca="false">IF(OR($B129="", $D129="", $E129="", $F129="", $G129="", $H129=""),"",ROUND(($D129*Lists!$AD$20)+($E129*Lists!$AD$21)+($F129*Lists!$AD$22)+($G129*Lists!$AD$23)+($H129*Lists!$AD$24),2))</f>
        <v/>
      </c>
      <c r="J129" s="101"/>
      <c r="K129" s="105"/>
      <c r="L129" s="101"/>
    </row>
    <row r="130" customFormat="false" ht="15.75" hidden="false" customHeight="true" outlineLevel="0" collapsed="false">
      <c r="A130" s="113"/>
      <c r="B130" s="102"/>
      <c r="C130" s="101" t="str">
        <f aca="false">IF($B130="","",IFERROR(VLOOKUP($B130,'Application Portfolio'!$A$2:$B$1000,2,FALSE()),""))</f>
        <v/>
      </c>
      <c r="D130" s="106"/>
      <c r="E130" s="106"/>
      <c r="F130" s="106"/>
      <c r="G130" s="106"/>
      <c r="H130" s="106"/>
      <c r="I130" s="103" t="str">
        <f aca="false">IF(OR($B130="", $D130="", $E130="", $F130="", $G130="", $H130=""),"",ROUND(($D130*Lists!$AD$20)+($E130*Lists!$AD$21)+($F130*Lists!$AD$22)+($G130*Lists!$AD$23)+($H130*Lists!$AD$24),2))</f>
        <v/>
      </c>
      <c r="J130" s="101"/>
      <c r="K130" s="105"/>
      <c r="L130" s="101"/>
    </row>
    <row r="131" customFormat="false" ht="15.75" hidden="false" customHeight="true" outlineLevel="0" collapsed="false">
      <c r="A131" s="113"/>
      <c r="B131" s="102"/>
      <c r="C131" s="101" t="str">
        <f aca="false">IF($B131="","",IFERROR(VLOOKUP($B131,'Application Portfolio'!$A$2:$B$1000,2,FALSE()),""))</f>
        <v/>
      </c>
      <c r="D131" s="106"/>
      <c r="E131" s="106"/>
      <c r="F131" s="106"/>
      <c r="G131" s="106"/>
      <c r="H131" s="106"/>
      <c r="I131" s="103" t="str">
        <f aca="false">IF(OR($B131="", $D131="", $E131="", $F131="", $G131="", $H131=""),"",ROUND(($D131*Lists!$AD$20)+($E131*Lists!$AD$21)+($F131*Lists!$AD$22)+($G131*Lists!$AD$23)+($H131*Lists!$AD$24),2))</f>
        <v/>
      </c>
      <c r="J131" s="101"/>
      <c r="K131" s="105"/>
      <c r="L131" s="101"/>
    </row>
    <row r="132" customFormat="false" ht="15.75" hidden="false" customHeight="true" outlineLevel="0" collapsed="false">
      <c r="A132" s="113"/>
      <c r="B132" s="102"/>
      <c r="C132" s="101" t="str">
        <f aca="false">IF($B132="","",IFERROR(VLOOKUP($B132,'Application Portfolio'!$A$2:$B$1000,2,FALSE()),""))</f>
        <v/>
      </c>
      <c r="D132" s="106"/>
      <c r="E132" s="106"/>
      <c r="F132" s="106"/>
      <c r="G132" s="106"/>
      <c r="H132" s="106"/>
      <c r="I132" s="103" t="str">
        <f aca="false">IF(OR($B132="", $D132="", $E132="", $F132="", $G132="", $H132=""),"",ROUND(($D132*Lists!$AD$20)+($E132*Lists!$AD$21)+($F132*Lists!$AD$22)+($G132*Lists!$AD$23)+($H132*Lists!$AD$24),2))</f>
        <v/>
      </c>
      <c r="J132" s="101"/>
      <c r="K132" s="105"/>
      <c r="L132" s="101"/>
    </row>
    <row r="133" customFormat="false" ht="15.75" hidden="false" customHeight="true" outlineLevel="0" collapsed="false">
      <c r="A133" s="113"/>
      <c r="B133" s="102"/>
      <c r="C133" s="101" t="str">
        <f aca="false">IF($B133="","",IFERROR(VLOOKUP($B133,'Application Portfolio'!$A$2:$B$1000,2,FALSE()),""))</f>
        <v/>
      </c>
      <c r="D133" s="106"/>
      <c r="E133" s="106"/>
      <c r="F133" s="106"/>
      <c r="G133" s="106"/>
      <c r="H133" s="106"/>
      <c r="I133" s="103" t="str">
        <f aca="false">IF(OR($B133="", $D133="", $E133="", $F133="", $G133="", $H133=""),"",ROUND(($D133*Lists!$AD$20)+($E133*Lists!$AD$21)+($F133*Lists!$AD$22)+($G133*Lists!$AD$23)+($H133*Lists!$AD$24),2))</f>
        <v/>
      </c>
      <c r="J133" s="101"/>
      <c r="K133" s="105"/>
      <c r="L133" s="101"/>
    </row>
    <row r="134" customFormat="false" ht="15.75" hidden="false" customHeight="true" outlineLevel="0" collapsed="false">
      <c r="A134" s="113"/>
      <c r="B134" s="102"/>
      <c r="C134" s="101" t="str">
        <f aca="false">IF($B134="","",IFERROR(VLOOKUP($B134,'Application Portfolio'!$A$2:$B$1000,2,FALSE()),""))</f>
        <v/>
      </c>
      <c r="D134" s="106"/>
      <c r="E134" s="106"/>
      <c r="F134" s="106"/>
      <c r="G134" s="106"/>
      <c r="H134" s="106"/>
      <c r="I134" s="103" t="str">
        <f aca="false">IF(OR($B134="", $D134="", $E134="", $F134="", $G134="", $H134=""),"",ROUND(($D134*Lists!$AD$20)+($E134*Lists!$AD$21)+($F134*Lists!$AD$22)+($G134*Lists!$AD$23)+($H134*Lists!$AD$24),2))</f>
        <v/>
      </c>
      <c r="J134" s="101"/>
      <c r="K134" s="105"/>
      <c r="L134" s="101"/>
    </row>
    <row r="135" customFormat="false" ht="15.75" hidden="false" customHeight="true" outlineLevel="0" collapsed="false">
      <c r="A135" s="113"/>
      <c r="B135" s="102"/>
      <c r="C135" s="101" t="str">
        <f aca="false">IF($B135="","",IFERROR(VLOOKUP($B135,'Application Portfolio'!$A$2:$B$1000,2,FALSE()),""))</f>
        <v/>
      </c>
      <c r="D135" s="106"/>
      <c r="E135" s="106"/>
      <c r="F135" s="106"/>
      <c r="G135" s="106"/>
      <c r="H135" s="106"/>
      <c r="I135" s="103" t="str">
        <f aca="false">IF(OR($B135="", $D135="", $E135="", $F135="", $G135="", $H135=""),"",ROUND(($D135*Lists!$AD$20)+($E135*Lists!$AD$21)+($F135*Lists!$AD$22)+($G135*Lists!$AD$23)+($H135*Lists!$AD$24),2))</f>
        <v/>
      </c>
      <c r="J135" s="101"/>
      <c r="K135" s="105"/>
      <c r="L135" s="101"/>
    </row>
    <row r="136" customFormat="false" ht="15.75" hidden="false" customHeight="true" outlineLevel="0" collapsed="false">
      <c r="A136" s="113"/>
      <c r="B136" s="102"/>
      <c r="C136" s="101" t="str">
        <f aca="false">IF($B136="","",IFERROR(VLOOKUP($B136,'Application Portfolio'!$A$2:$B$1000,2,FALSE()),""))</f>
        <v/>
      </c>
      <c r="D136" s="106"/>
      <c r="E136" s="106"/>
      <c r="F136" s="106"/>
      <c r="G136" s="106"/>
      <c r="H136" s="106"/>
      <c r="I136" s="103" t="str">
        <f aca="false">IF(OR($B136="", $D136="", $E136="", $F136="", $G136="", $H136=""),"",ROUND(($D136*Lists!$AD$20)+($E136*Lists!$AD$21)+($F136*Lists!$AD$22)+($G136*Lists!$AD$23)+($H136*Lists!$AD$24),2))</f>
        <v/>
      </c>
      <c r="J136" s="101"/>
      <c r="K136" s="105"/>
      <c r="L136" s="101"/>
    </row>
    <row r="137" customFormat="false" ht="15.75" hidden="false" customHeight="true" outlineLevel="0" collapsed="false">
      <c r="A137" s="113"/>
      <c r="B137" s="102"/>
      <c r="C137" s="101" t="str">
        <f aca="false">IF($B137="","",IFERROR(VLOOKUP($B137,'Application Portfolio'!$A$2:$B$1000,2,FALSE()),""))</f>
        <v/>
      </c>
      <c r="D137" s="106"/>
      <c r="E137" s="106"/>
      <c r="F137" s="106"/>
      <c r="G137" s="106"/>
      <c r="H137" s="106"/>
      <c r="I137" s="103" t="str">
        <f aca="false">IF(OR($B137="", $D137="", $E137="", $F137="", $G137="", $H137=""),"",ROUND(($D137*Lists!$AD$20)+($E137*Lists!$AD$21)+($F137*Lists!$AD$22)+($G137*Lists!$AD$23)+($H137*Lists!$AD$24),2))</f>
        <v/>
      </c>
      <c r="J137" s="101"/>
      <c r="K137" s="105"/>
      <c r="L137" s="101"/>
    </row>
    <row r="138" customFormat="false" ht="15.75" hidden="false" customHeight="true" outlineLevel="0" collapsed="false">
      <c r="A138" s="113"/>
      <c r="B138" s="102"/>
      <c r="C138" s="101" t="str">
        <f aca="false">IF($B138="","",IFERROR(VLOOKUP($B138,'Application Portfolio'!$A$2:$B$1000,2,FALSE()),""))</f>
        <v/>
      </c>
      <c r="D138" s="106"/>
      <c r="E138" s="106"/>
      <c r="F138" s="106"/>
      <c r="G138" s="106"/>
      <c r="H138" s="106"/>
      <c r="I138" s="103" t="str">
        <f aca="false">IF(OR($B138="", $D138="", $E138="", $F138="", $G138="", $H138=""),"",ROUND(($D138*Lists!$AD$20)+($E138*Lists!$AD$21)+($F138*Lists!$AD$22)+($G138*Lists!$AD$23)+($H138*Lists!$AD$24),2))</f>
        <v/>
      </c>
      <c r="J138" s="101"/>
      <c r="K138" s="105"/>
      <c r="L138" s="101"/>
    </row>
    <row r="139" customFormat="false" ht="15.75" hidden="false" customHeight="true" outlineLevel="0" collapsed="false">
      <c r="A139" s="113"/>
      <c r="B139" s="102"/>
      <c r="C139" s="101" t="str">
        <f aca="false">IF($B139="","",IFERROR(VLOOKUP($B139,'Application Portfolio'!$A$2:$B$1000,2,FALSE()),""))</f>
        <v/>
      </c>
      <c r="D139" s="106"/>
      <c r="E139" s="106"/>
      <c r="F139" s="106"/>
      <c r="G139" s="106"/>
      <c r="H139" s="106"/>
      <c r="I139" s="103" t="str">
        <f aca="false">IF(OR($B139="", $D139="", $E139="", $F139="", $G139="", $H139=""),"",ROUND(($D139*Lists!$AD$20)+($E139*Lists!$AD$21)+($F139*Lists!$AD$22)+($G139*Lists!$AD$23)+($H139*Lists!$AD$24),2))</f>
        <v/>
      </c>
      <c r="J139" s="101"/>
      <c r="K139" s="105"/>
      <c r="L139" s="101"/>
    </row>
    <row r="140" customFormat="false" ht="15.75" hidden="false" customHeight="true" outlineLevel="0" collapsed="false">
      <c r="A140" s="113"/>
      <c r="B140" s="102"/>
      <c r="C140" s="101" t="str">
        <f aca="false">IF($B140="","",IFERROR(VLOOKUP($B140,'Application Portfolio'!$A$2:$B$1000,2,FALSE()),""))</f>
        <v/>
      </c>
      <c r="D140" s="106"/>
      <c r="E140" s="106"/>
      <c r="F140" s="106"/>
      <c r="G140" s="106"/>
      <c r="H140" s="106"/>
      <c r="I140" s="103" t="str">
        <f aca="false">IF(OR($B140="", $D140="", $E140="", $F140="", $G140="", $H140=""),"",ROUND(($D140*Lists!$AD$20)+($E140*Lists!$AD$21)+($F140*Lists!$AD$22)+($G140*Lists!$AD$23)+($H140*Lists!$AD$24),2))</f>
        <v/>
      </c>
      <c r="J140" s="101"/>
      <c r="K140" s="105"/>
      <c r="L140" s="101"/>
    </row>
    <row r="141" customFormat="false" ht="15.75" hidden="false" customHeight="true" outlineLevel="0" collapsed="false">
      <c r="A141" s="113"/>
      <c r="B141" s="102"/>
      <c r="C141" s="101" t="str">
        <f aca="false">IF($B141="","",IFERROR(VLOOKUP($B141,'Application Portfolio'!$A$2:$B$1000,2,FALSE()),""))</f>
        <v/>
      </c>
      <c r="D141" s="106"/>
      <c r="E141" s="106"/>
      <c r="F141" s="106"/>
      <c r="G141" s="106"/>
      <c r="H141" s="106"/>
      <c r="I141" s="103" t="str">
        <f aca="false">IF(OR($B141="", $D141="", $E141="", $F141="", $G141="", $H141=""),"",ROUND(($D141*Lists!$AD$20)+($E141*Lists!$AD$21)+($F141*Lists!$AD$22)+($G141*Lists!$AD$23)+($H141*Lists!$AD$24),2))</f>
        <v/>
      </c>
      <c r="J141" s="101"/>
      <c r="K141" s="105"/>
      <c r="L141" s="101"/>
    </row>
    <row r="142" customFormat="false" ht="15.75" hidden="false" customHeight="true" outlineLevel="0" collapsed="false">
      <c r="A142" s="113"/>
      <c r="B142" s="102"/>
      <c r="C142" s="101" t="str">
        <f aca="false">IF($B142="","",IFERROR(VLOOKUP($B142,'Application Portfolio'!$A$2:$B$1000,2,FALSE()),""))</f>
        <v/>
      </c>
      <c r="D142" s="106"/>
      <c r="E142" s="106"/>
      <c r="F142" s="106"/>
      <c r="G142" s="106"/>
      <c r="H142" s="106"/>
      <c r="I142" s="103" t="str">
        <f aca="false">IF(OR($B142="", $D142="", $E142="", $F142="", $G142="", $H142=""),"",ROUND(($D142*Lists!$AD$20)+($E142*Lists!$AD$21)+($F142*Lists!$AD$22)+($G142*Lists!$AD$23)+($H142*Lists!$AD$24),2))</f>
        <v/>
      </c>
      <c r="J142" s="101"/>
      <c r="K142" s="105"/>
      <c r="L142" s="101"/>
    </row>
    <row r="143" customFormat="false" ht="15.75" hidden="false" customHeight="true" outlineLevel="0" collapsed="false">
      <c r="A143" s="113"/>
      <c r="B143" s="102"/>
      <c r="C143" s="101" t="str">
        <f aca="false">IF($B143="","",IFERROR(VLOOKUP($B143,'Application Portfolio'!$A$2:$B$1000,2,FALSE()),""))</f>
        <v/>
      </c>
      <c r="D143" s="106"/>
      <c r="E143" s="106"/>
      <c r="F143" s="106"/>
      <c r="G143" s="106"/>
      <c r="H143" s="106"/>
      <c r="I143" s="103" t="str">
        <f aca="false">IF(OR($B143="", $D143="", $E143="", $F143="", $G143="", $H143=""),"",ROUND(($D143*Lists!$AD$20)+($E143*Lists!$AD$21)+($F143*Lists!$AD$22)+($G143*Lists!$AD$23)+($H143*Lists!$AD$24),2))</f>
        <v/>
      </c>
      <c r="J143" s="101"/>
      <c r="K143" s="105"/>
      <c r="L143" s="101"/>
    </row>
    <row r="144" customFormat="false" ht="15.75" hidden="false" customHeight="true" outlineLevel="0" collapsed="false">
      <c r="A144" s="113"/>
      <c r="B144" s="102"/>
      <c r="C144" s="101" t="str">
        <f aca="false">IF($B144="","",IFERROR(VLOOKUP($B144,'Application Portfolio'!$A$2:$B$1000,2,FALSE()),""))</f>
        <v/>
      </c>
      <c r="D144" s="106"/>
      <c r="E144" s="106"/>
      <c r="F144" s="106"/>
      <c r="G144" s="106"/>
      <c r="H144" s="106"/>
      <c r="I144" s="103" t="str">
        <f aca="false">IF(OR($B144="", $D144="", $E144="", $F144="", $G144="", $H144=""),"",ROUND(($D144*Lists!$AD$20)+($E144*Lists!$AD$21)+($F144*Lists!$AD$22)+($G144*Lists!$AD$23)+($H144*Lists!$AD$24),2))</f>
        <v/>
      </c>
      <c r="J144" s="101"/>
      <c r="K144" s="105"/>
      <c r="L144" s="101"/>
    </row>
    <row r="145" customFormat="false" ht="15.75" hidden="false" customHeight="true" outlineLevel="0" collapsed="false">
      <c r="A145" s="113"/>
      <c r="B145" s="102"/>
      <c r="C145" s="101" t="str">
        <f aca="false">IF($B145="","",IFERROR(VLOOKUP($B145,'Application Portfolio'!$A$2:$B$1000,2,FALSE()),""))</f>
        <v/>
      </c>
      <c r="D145" s="106"/>
      <c r="E145" s="106"/>
      <c r="F145" s="106"/>
      <c r="G145" s="106"/>
      <c r="H145" s="106"/>
      <c r="I145" s="103" t="str">
        <f aca="false">IF(OR($B145="", $D145="", $E145="", $F145="", $G145="", $H145=""),"",ROUND(($D145*Lists!$AD$20)+($E145*Lists!$AD$21)+($F145*Lists!$AD$22)+($G145*Lists!$AD$23)+($H145*Lists!$AD$24),2))</f>
        <v/>
      </c>
      <c r="J145" s="101"/>
      <c r="K145" s="105"/>
      <c r="L145" s="101"/>
    </row>
    <row r="146" customFormat="false" ht="15.75" hidden="false" customHeight="true" outlineLevel="0" collapsed="false">
      <c r="A146" s="113"/>
      <c r="B146" s="102"/>
      <c r="C146" s="101" t="str">
        <f aca="false">IF($B146="","",IFERROR(VLOOKUP($B146,'Application Portfolio'!$A$2:$B$1000,2,FALSE()),""))</f>
        <v/>
      </c>
      <c r="D146" s="106"/>
      <c r="E146" s="106"/>
      <c r="F146" s="106"/>
      <c r="G146" s="106"/>
      <c r="H146" s="106"/>
      <c r="I146" s="103" t="str">
        <f aca="false">IF(OR($B146="", $D146="", $E146="", $F146="", $G146="", $H146=""),"",ROUND(($D146*Lists!$AD$20)+($E146*Lists!$AD$21)+($F146*Lists!$AD$22)+($G146*Lists!$AD$23)+($H146*Lists!$AD$24),2))</f>
        <v/>
      </c>
      <c r="J146" s="101"/>
      <c r="K146" s="105"/>
      <c r="L146" s="101"/>
    </row>
    <row r="147" customFormat="false" ht="15.75" hidden="false" customHeight="true" outlineLevel="0" collapsed="false">
      <c r="A147" s="113"/>
      <c r="B147" s="102"/>
      <c r="C147" s="101" t="str">
        <f aca="false">IF($B147="","",IFERROR(VLOOKUP($B147,'Application Portfolio'!$A$2:$B$1000,2,FALSE()),""))</f>
        <v/>
      </c>
      <c r="D147" s="106"/>
      <c r="E147" s="106"/>
      <c r="F147" s="106"/>
      <c r="G147" s="106"/>
      <c r="H147" s="106"/>
      <c r="I147" s="103" t="str">
        <f aca="false">IF(OR($B147="", $D147="", $E147="", $F147="", $G147="", $H147=""),"",ROUND(($D147*Lists!$AD$20)+($E147*Lists!$AD$21)+($F147*Lists!$AD$22)+($G147*Lists!$AD$23)+($H147*Lists!$AD$24),2))</f>
        <v/>
      </c>
      <c r="J147" s="101"/>
      <c r="K147" s="105"/>
      <c r="L147" s="101"/>
    </row>
    <row r="148" customFormat="false" ht="15.75" hidden="false" customHeight="true" outlineLevel="0" collapsed="false">
      <c r="A148" s="113"/>
      <c r="B148" s="102"/>
      <c r="C148" s="101" t="str">
        <f aca="false">IF($B148="","",IFERROR(VLOOKUP($B148,'Application Portfolio'!$A$2:$B$1000,2,FALSE()),""))</f>
        <v/>
      </c>
      <c r="D148" s="106"/>
      <c r="E148" s="106"/>
      <c r="F148" s="106"/>
      <c r="G148" s="106"/>
      <c r="H148" s="106"/>
      <c r="I148" s="103" t="str">
        <f aca="false">IF(OR($B148="", $D148="", $E148="", $F148="", $G148="", $H148=""),"",ROUND(($D148*Lists!$AD$20)+($E148*Lists!$AD$21)+($F148*Lists!$AD$22)+($G148*Lists!$AD$23)+($H148*Lists!$AD$24),2))</f>
        <v/>
      </c>
      <c r="J148" s="101"/>
      <c r="K148" s="105"/>
      <c r="L148" s="101"/>
    </row>
    <row r="149" customFormat="false" ht="15.75" hidden="false" customHeight="true" outlineLevel="0" collapsed="false">
      <c r="A149" s="113"/>
      <c r="B149" s="102"/>
      <c r="C149" s="101" t="str">
        <f aca="false">IF($B149="","",IFERROR(VLOOKUP($B149,'Application Portfolio'!$A$2:$B$1000,2,FALSE()),""))</f>
        <v/>
      </c>
      <c r="D149" s="106"/>
      <c r="E149" s="106"/>
      <c r="F149" s="106"/>
      <c r="G149" s="106"/>
      <c r="H149" s="106"/>
      <c r="I149" s="103" t="str">
        <f aca="false">IF(OR($B149="", $D149="", $E149="", $F149="", $G149="", $H149=""),"",ROUND(($D149*Lists!$AD$20)+($E149*Lists!$AD$21)+($F149*Lists!$AD$22)+($G149*Lists!$AD$23)+($H149*Lists!$AD$24),2))</f>
        <v/>
      </c>
      <c r="J149" s="101"/>
      <c r="K149" s="105"/>
      <c r="L149" s="101"/>
    </row>
    <row r="150" customFormat="false" ht="15.75" hidden="false" customHeight="true" outlineLevel="0" collapsed="false">
      <c r="A150" s="113"/>
      <c r="B150" s="102"/>
      <c r="C150" s="101" t="str">
        <f aca="false">IF($B150="","",IFERROR(VLOOKUP($B150,'Application Portfolio'!$A$2:$B$1000,2,FALSE()),""))</f>
        <v/>
      </c>
      <c r="D150" s="106"/>
      <c r="E150" s="106"/>
      <c r="F150" s="106"/>
      <c r="G150" s="106"/>
      <c r="H150" s="106"/>
      <c r="I150" s="103" t="str">
        <f aca="false">IF(OR($B150="", $D150="", $E150="", $F150="", $G150="", $H150=""),"",ROUND(($D150*Lists!$AD$20)+($E150*Lists!$AD$21)+($F150*Lists!$AD$22)+($G150*Lists!$AD$23)+($H150*Lists!$AD$24),2))</f>
        <v/>
      </c>
      <c r="J150" s="101"/>
      <c r="K150" s="105"/>
      <c r="L150" s="101"/>
    </row>
    <row r="151" customFormat="false" ht="15.75" hidden="false" customHeight="true" outlineLevel="0" collapsed="false">
      <c r="A151" s="113"/>
      <c r="B151" s="102"/>
      <c r="C151" s="101" t="str">
        <f aca="false">IF($B151="","",IFERROR(VLOOKUP($B151,'Application Portfolio'!$A$2:$B$1000,2,FALSE()),""))</f>
        <v/>
      </c>
      <c r="D151" s="106"/>
      <c r="E151" s="106"/>
      <c r="F151" s="106"/>
      <c r="G151" s="106"/>
      <c r="H151" s="106"/>
      <c r="I151" s="103" t="str">
        <f aca="false">IF(OR($B151="", $D151="", $E151="", $F151="", $G151="", $H151=""),"",ROUND(($D151*Lists!$AD$20)+($E151*Lists!$AD$21)+($F151*Lists!$AD$22)+($G151*Lists!$AD$23)+($H151*Lists!$AD$24),2))</f>
        <v/>
      </c>
      <c r="J151" s="101"/>
      <c r="K151" s="105"/>
      <c r="L151" s="101"/>
    </row>
    <row r="152" customFormat="false" ht="15.75" hidden="false" customHeight="true" outlineLevel="0" collapsed="false">
      <c r="A152" s="113"/>
      <c r="B152" s="102"/>
      <c r="C152" s="101" t="str">
        <f aca="false">IF($B152="","",IFERROR(VLOOKUP($B152,'Application Portfolio'!$A$2:$B$1000,2,FALSE()),""))</f>
        <v/>
      </c>
      <c r="D152" s="106"/>
      <c r="E152" s="106"/>
      <c r="F152" s="106"/>
      <c r="G152" s="106"/>
      <c r="H152" s="106"/>
      <c r="I152" s="103" t="str">
        <f aca="false">IF(OR($B152="", $D152="", $E152="", $F152="", $G152="", $H152=""),"",ROUND(($D152*Lists!$AD$20)+($E152*Lists!$AD$21)+($F152*Lists!$AD$22)+($G152*Lists!$AD$23)+($H152*Lists!$AD$24),2))</f>
        <v/>
      </c>
      <c r="J152" s="101"/>
      <c r="K152" s="105"/>
      <c r="L152" s="101"/>
    </row>
    <row r="153" customFormat="false" ht="15.75" hidden="false" customHeight="true" outlineLevel="0" collapsed="false">
      <c r="A153" s="113"/>
      <c r="B153" s="102"/>
      <c r="C153" s="101" t="str">
        <f aca="false">IF($B153="","",IFERROR(VLOOKUP($B153,'Application Portfolio'!$A$2:$B$1000,2,FALSE()),""))</f>
        <v/>
      </c>
      <c r="D153" s="106"/>
      <c r="E153" s="106"/>
      <c r="F153" s="106"/>
      <c r="G153" s="106"/>
      <c r="H153" s="106"/>
      <c r="I153" s="103" t="str">
        <f aca="false">IF(OR($B153="", $D153="", $E153="", $F153="", $G153="", $H153=""),"",ROUND(($D153*Lists!$AD$20)+($E153*Lists!$AD$21)+($F153*Lists!$AD$22)+($G153*Lists!$AD$23)+($H153*Lists!$AD$24),2))</f>
        <v/>
      </c>
      <c r="J153" s="101"/>
      <c r="K153" s="105"/>
      <c r="L153" s="101"/>
    </row>
    <row r="154" customFormat="false" ht="15.75" hidden="false" customHeight="true" outlineLevel="0" collapsed="false">
      <c r="A154" s="113"/>
      <c r="B154" s="102"/>
      <c r="C154" s="101" t="str">
        <f aca="false">IF($B154="","",IFERROR(VLOOKUP($B154,'Application Portfolio'!$A$2:$B$1000,2,FALSE()),""))</f>
        <v/>
      </c>
      <c r="D154" s="106"/>
      <c r="E154" s="106"/>
      <c r="F154" s="106"/>
      <c r="G154" s="106"/>
      <c r="H154" s="106"/>
      <c r="I154" s="103" t="str">
        <f aca="false">IF(OR($B154="", $D154="", $E154="", $F154="", $G154="", $H154=""),"",ROUND(($D154*Lists!$AD$20)+($E154*Lists!$AD$21)+($F154*Lists!$AD$22)+($G154*Lists!$AD$23)+($H154*Lists!$AD$24),2))</f>
        <v/>
      </c>
      <c r="J154" s="101"/>
      <c r="K154" s="105"/>
      <c r="L154" s="101"/>
    </row>
    <row r="155" customFormat="false" ht="15.75" hidden="false" customHeight="true" outlineLevel="0" collapsed="false">
      <c r="A155" s="113"/>
      <c r="B155" s="102"/>
      <c r="C155" s="101" t="str">
        <f aca="false">IF($B155="","",IFERROR(VLOOKUP($B155,'Application Portfolio'!$A$2:$B$1000,2,FALSE()),""))</f>
        <v/>
      </c>
      <c r="D155" s="106"/>
      <c r="E155" s="106"/>
      <c r="F155" s="106"/>
      <c r="G155" s="106"/>
      <c r="H155" s="106"/>
      <c r="I155" s="103" t="str">
        <f aca="false">IF(OR($B155="", $D155="", $E155="", $F155="", $G155="", $H155=""),"",ROUND(($D155*Lists!$AD$20)+($E155*Lists!$AD$21)+($F155*Lists!$AD$22)+($G155*Lists!$AD$23)+($H155*Lists!$AD$24),2))</f>
        <v/>
      </c>
      <c r="J155" s="101"/>
      <c r="K155" s="105"/>
      <c r="L155" s="101"/>
    </row>
    <row r="156" customFormat="false" ht="15.75" hidden="false" customHeight="true" outlineLevel="0" collapsed="false">
      <c r="A156" s="113"/>
      <c r="B156" s="102"/>
      <c r="C156" s="101" t="str">
        <f aca="false">IF($B156="","",IFERROR(VLOOKUP($B156,'Application Portfolio'!$A$2:$B$1000,2,FALSE()),""))</f>
        <v/>
      </c>
      <c r="D156" s="106"/>
      <c r="E156" s="106"/>
      <c r="F156" s="106"/>
      <c r="G156" s="106"/>
      <c r="H156" s="106"/>
      <c r="I156" s="103" t="str">
        <f aca="false">IF(OR($B156="", $D156="", $E156="", $F156="", $G156="", $H156=""),"",ROUND(($D156*Lists!$AD$20)+($E156*Lists!$AD$21)+($F156*Lists!$AD$22)+($G156*Lists!$AD$23)+($H156*Lists!$AD$24),2))</f>
        <v/>
      </c>
      <c r="J156" s="101"/>
      <c r="K156" s="105"/>
      <c r="L156" s="101"/>
    </row>
    <row r="157" customFormat="false" ht="15.75" hidden="false" customHeight="true" outlineLevel="0" collapsed="false">
      <c r="A157" s="113"/>
      <c r="B157" s="102"/>
      <c r="C157" s="101" t="str">
        <f aca="false">IF($B157="","",IFERROR(VLOOKUP($B157,'Application Portfolio'!$A$2:$B$1000,2,FALSE()),""))</f>
        <v/>
      </c>
      <c r="D157" s="106"/>
      <c r="E157" s="106"/>
      <c r="F157" s="106"/>
      <c r="G157" s="106"/>
      <c r="H157" s="106"/>
      <c r="I157" s="103" t="str">
        <f aca="false">IF(OR($B157="", $D157="", $E157="", $F157="", $G157="", $H157=""),"",ROUND(($D157*Lists!$AD$20)+($E157*Lists!$AD$21)+($F157*Lists!$AD$22)+($G157*Lists!$AD$23)+($H157*Lists!$AD$24),2))</f>
        <v/>
      </c>
      <c r="J157" s="101"/>
      <c r="K157" s="105"/>
      <c r="L157" s="101"/>
    </row>
    <row r="158" customFormat="false" ht="15.75" hidden="false" customHeight="true" outlineLevel="0" collapsed="false">
      <c r="A158" s="113"/>
      <c r="B158" s="102"/>
      <c r="C158" s="101" t="str">
        <f aca="false">IF($B158="","",IFERROR(VLOOKUP($B158,'Application Portfolio'!$A$2:$B$1000,2,FALSE()),""))</f>
        <v/>
      </c>
      <c r="D158" s="106"/>
      <c r="E158" s="106"/>
      <c r="F158" s="106"/>
      <c r="G158" s="106"/>
      <c r="H158" s="106"/>
      <c r="I158" s="103" t="str">
        <f aca="false">IF(OR($B158="", $D158="", $E158="", $F158="", $G158="", $H158=""),"",ROUND(($D158*Lists!$AD$20)+($E158*Lists!$AD$21)+($F158*Lists!$AD$22)+($G158*Lists!$AD$23)+($H158*Lists!$AD$24),2))</f>
        <v/>
      </c>
      <c r="J158" s="101"/>
      <c r="K158" s="105"/>
      <c r="L158" s="101"/>
    </row>
    <row r="159" customFormat="false" ht="15.75" hidden="false" customHeight="true" outlineLevel="0" collapsed="false">
      <c r="A159" s="113"/>
      <c r="B159" s="102"/>
      <c r="C159" s="101" t="str">
        <f aca="false">IF($B159="","",IFERROR(VLOOKUP($B159,'Application Portfolio'!$A$2:$B$1000,2,FALSE()),""))</f>
        <v/>
      </c>
      <c r="D159" s="106"/>
      <c r="E159" s="106"/>
      <c r="F159" s="106"/>
      <c r="G159" s="106"/>
      <c r="H159" s="106"/>
      <c r="I159" s="103" t="str">
        <f aca="false">IF(OR($B159="", $D159="", $E159="", $F159="", $G159="", $H159=""),"",ROUND(($D159*Lists!$AD$20)+($E159*Lists!$AD$21)+($F159*Lists!$AD$22)+($G159*Lists!$AD$23)+($H159*Lists!$AD$24),2))</f>
        <v/>
      </c>
      <c r="J159" s="101"/>
      <c r="K159" s="105"/>
      <c r="L159" s="101"/>
    </row>
    <row r="160" customFormat="false" ht="15.75" hidden="false" customHeight="true" outlineLevel="0" collapsed="false">
      <c r="A160" s="113"/>
      <c r="B160" s="102"/>
      <c r="C160" s="101" t="str">
        <f aca="false">IF($B160="","",IFERROR(VLOOKUP($B160,'Application Portfolio'!$A$2:$B$1000,2,FALSE()),""))</f>
        <v/>
      </c>
      <c r="D160" s="106"/>
      <c r="E160" s="106"/>
      <c r="F160" s="106"/>
      <c r="G160" s="106"/>
      <c r="H160" s="106"/>
      <c r="I160" s="103" t="str">
        <f aca="false">IF(OR($B160="", $D160="", $E160="", $F160="", $G160="", $H160=""),"",ROUND(($D160*Lists!$AD$20)+($E160*Lists!$AD$21)+($F160*Lists!$AD$22)+($G160*Lists!$AD$23)+($H160*Lists!$AD$24),2))</f>
        <v/>
      </c>
      <c r="J160" s="101"/>
      <c r="K160" s="105"/>
      <c r="L160" s="101"/>
    </row>
    <row r="161" customFormat="false" ht="15.75" hidden="false" customHeight="true" outlineLevel="0" collapsed="false">
      <c r="A161" s="113"/>
      <c r="B161" s="102"/>
      <c r="C161" s="101" t="str">
        <f aca="false">IF($B161="","",IFERROR(VLOOKUP($B161,'Application Portfolio'!$A$2:$B$1000,2,FALSE()),""))</f>
        <v/>
      </c>
      <c r="D161" s="106"/>
      <c r="E161" s="106"/>
      <c r="F161" s="106"/>
      <c r="G161" s="106"/>
      <c r="H161" s="106"/>
      <c r="I161" s="103" t="str">
        <f aca="false">IF(OR($B161="", $D161="", $E161="", $F161="", $G161="", $H161=""),"",ROUND(($D161*Lists!$AD$20)+($E161*Lists!$AD$21)+($F161*Lists!$AD$22)+($G161*Lists!$AD$23)+($H161*Lists!$AD$24),2))</f>
        <v/>
      </c>
      <c r="J161" s="101"/>
      <c r="K161" s="105"/>
      <c r="L161" s="101"/>
    </row>
    <row r="162" customFormat="false" ht="15.75" hidden="false" customHeight="true" outlineLevel="0" collapsed="false">
      <c r="A162" s="113"/>
      <c r="B162" s="102"/>
      <c r="C162" s="101" t="str">
        <f aca="false">IF($B162="","",IFERROR(VLOOKUP($B162,'Application Portfolio'!$A$2:$B$1000,2,FALSE()),""))</f>
        <v/>
      </c>
      <c r="D162" s="106"/>
      <c r="E162" s="106"/>
      <c r="F162" s="106"/>
      <c r="G162" s="106"/>
      <c r="H162" s="106"/>
      <c r="I162" s="103" t="str">
        <f aca="false">IF(OR($B162="", $D162="", $E162="", $F162="", $G162="", $H162=""),"",ROUND(($D162*Lists!$AD$20)+($E162*Lists!$AD$21)+($F162*Lists!$AD$22)+($G162*Lists!$AD$23)+($H162*Lists!$AD$24),2))</f>
        <v/>
      </c>
      <c r="J162" s="101"/>
      <c r="K162" s="105"/>
      <c r="L162" s="101"/>
    </row>
    <row r="163" customFormat="false" ht="15.75" hidden="false" customHeight="true" outlineLevel="0" collapsed="false">
      <c r="A163" s="113"/>
      <c r="B163" s="102"/>
      <c r="C163" s="101" t="str">
        <f aca="false">IF($B163="","",IFERROR(VLOOKUP($B163,'Application Portfolio'!$A$2:$B$1000,2,FALSE()),""))</f>
        <v/>
      </c>
      <c r="D163" s="106"/>
      <c r="E163" s="106"/>
      <c r="F163" s="106"/>
      <c r="G163" s="106"/>
      <c r="H163" s="106"/>
      <c r="I163" s="103" t="str">
        <f aca="false">IF(OR($B163="", $D163="", $E163="", $F163="", $G163="", $H163=""),"",ROUND(($D163*Lists!$AD$20)+($E163*Lists!$AD$21)+($F163*Lists!$AD$22)+($G163*Lists!$AD$23)+($H163*Lists!$AD$24),2))</f>
        <v/>
      </c>
      <c r="J163" s="101"/>
      <c r="K163" s="105"/>
      <c r="L163" s="101"/>
    </row>
    <row r="164" customFormat="false" ht="15.75" hidden="false" customHeight="true" outlineLevel="0" collapsed="false">
      <c r="A164" s="113"/>
      <c r="B164" s="102"/>
      <c r="C164" s="101" t="str">
        <f aca="false">IF($B164="","",IFERROR(VLOOKUP($B164,'Application Portfolio'!$A$2:$B$1000,2,FALSE()),""))</f>
        <v/>
      </c>
      <c r="D164" s="106"/>
      <c r="E164" s="106"/>
      <c r="F164" s="106"/>
      <c r="G164" s="106"/>
      <c r="H164" s="106"/>
      <c r="I164" s="103" t="str">
        <f aca="false">IF(OR($B164="", $D164="", $E164="", $F164="", $G164="", $H164=""),"",ROUND(($D164*Lists!$AD$20)+($E164*Lists!$AD$21)+($F164*Lists!$AD$22)+($G164*Lists!$AD$23)+($H164*Lists!$AD$24),2))</f>
        <v/>
      </c>
      <c r="J164" s="101"/>
      <c r="K164" s="105"/>
      <c r="L164" s="101"/>
    </row>
    <row r="165" customFormat="false" ht="15.75" hidden="false" customHeight="true" outlineLevel="0" collapsed="false">
      <c r="A165" s="113"/>
      <c r="B165" s="102"/>
      <c r="C165" s="101" t="str">
        <f aca="false">IF($B165="","",IFERROR(VLOOKUP($B165,'Application Portfolio'!$A$2:$B$1000,2,FALSE()),""))</f>
        <v/>
      </c>
      <c r="D165" s="106"/>
      <c r="E165" s="106"/>
      <c r="F165" s="106"/>
      <c r="G165" s="106"/>
      <c r="H165" s="106"/>
      <c r="I165" s="103" t="str">
        <f aca="false">IF(OR($B165="", $D165="", $E165="", $F165="", $G165="", $H165=""),"",ROUND(($D165*Lists!$AD$20)+($E165*Lists!$AD$21)+($F165*Lists!$AD$22)+($G165*Lists!$AD$23)+($H165*Lists!$AD$24),2))</f>
        <v/>
      </c>
      <c r="J165" s="101"/>
      <c r="K165" s="105"/>
      <c r="L165" s="101"/>
    </row>
    <row r="166" customFormat="false" ht="15.75" hidden="false" customHeight="true" outlineLevel="0" collapsed="false">
      <c r="A166" s="113"/>
      <c r="B166" s="102"/>
      <c r="C166" s="101" t="str">
        <f aca="false">IF($B166="","",IFERROR(VLOOKUP($B166,'Application Portfolio'!$A$2:$B$1000,2,FALSE()),""))</f>
        <v/>
      </c>
      <c r="D166" s="106"/>
      <c r="E166" s="106"/>
      <c r="F166" s="106"/>
      <c r="G166" s="106"/>
      <c r="H166" s="106"/>
      <c r="I166" s="103" t="str">
        <f aca="false">IF(OR($B166="", $D166="", $E166="", $F166="", $G166="", $H166=""),"",ROUND(($D166*Lists!$AD$20)+($E166*Lists!$AD$21)+($F166*Lists!$AD$22)+($G166*Lists!$AD$23)+($H166*Lists!$AD$24),2))</f>
        <v/>
      </c>
      <c r="J166" s="101"/>
      <c r="K166" s="105"/>
      <c r="L166" s="101"/>
    </row>
    <row r="167" customFormat="false" ht="15.75" hidden="false" customHeight="true" outlineLevel="0" collapsed="false">
      <c r="A167" s="113"/>
      <c r="B167" s="102"/>
      <c r="C167" s="101" t="str">
        <f aca="false">IF($B167="","",IFERROR(VLOOKUP($B167,'Application Portfolio'!$A$2:$B$1000,2,FALSE()),""))</f>
        <v/>
      </c>
      <c r="D167" s="106"/>
      <c r="E167" s="106"/>
      <c r="F167" s="106"/>
      <c r="G167" s="106"/>
      <c r="H167" s="106"/>
      <c r="I167" s="103" t="str">
        <f aca="false">IF(OR($B167="", $D167="", $E167="", $F167="", $G167="", $H167=""),"",ROUND(($D167*Lists!$AD$20)+($E167*Lists!$AD$21)+($F167*Lists!$AD$22)+($G167*Lists!$AD$23)+($H167*Lists!$AD$24),2))</f>
        <v/>
      </c>
      <c r="J167" s="101"/>
      <c r="K167" s="105"/>
      <c r="L167" s="101"/>
    </row>
    <row r="168" customFormat="false" ht="15.75" hidden="false" customHeight="true" outlineLevel="0" collapsed="false">
      <c r="A168" s="113"/>
      <c r="B168" s="102"/>
      <c r="C168" s="101" t="str">
        <f aca="false">IF($B168="","",IFERROR(VLOOKUP($B168,'Application Portfolio'!$A$2:$B$1000,2,FALSE()),""))</f>
        <v/>
      </c>
      <c r="D168" s="106"/>
      <c r="E168" s="106"/>
      <c r="F168" s="106"/>
      <c r="G168" s="106"/>
      <c r="H168" s="106"/>
      <c r="I168" s="103" t="str">
        <f aca="false">IF(OR($B168="", $D168="", $E168="", $F168="", $G168="", $H168=""),"",ROUND(($D168*Lists!$AD$20)+($E168*Lists!$AD$21)+($F168*Lists!$AD$22)+($G168*Lists!$AD$23)+($H168*Lists!$AD$24),2))</f>
        <v/>
      </c>
      <c r="J168" s="101"/>
      <c r="K168" s="105"/>
      <c r="L168" s="101"/>
    </row>
    <row r="169" customFormat="false" ht="15.75" hidden="false" customHeight="true" outlineLevel="0" collapsed="false">
      <c r="A169" s="113"/>
      <c r="B169" s="102"/>
      <c r="C169" s="101" t="str">
        <f aca="false">IF($B169="","",IFERROR(VLOOKUP($B169,'Application Portfolio'!$A$2:$B$1000,2,FALSE()),""))</f>
        <v/>
      </c>
      <c r="D169" s="106"/>
      <c r="E169" s="106"/>
      <c r="F169" s="106"/>
      <c r="G169" s="106"/>
      <c r="H169" s="106"/>
      <c r="I169" s="103" t="str">
        <f aca="false">IF(OR($B169="", $D169="", $E169="", $F169="", $G169="", $H169=""),"",ROUND(($D169*Lists!$AD$20)+($E169*Lists!$AD$21)+($F169*Lists!$AD$22)+($G169*Lists!$AD$23)+($H169*Lists!$AD$24),2))</f>
        <v/>
      </c>
      <c r="J169" s="101"/>
      <c r="K169" s="105"/>
      <c r="L169" s="101"/>
    </row>
    <row r="170" customFormat="false" ht="15.75" hidden="false" customHeight="true" outlineLevel="0" collapsed="false">
      <c r="A170" s="113"/>
      <c r="B170" s="102"/>
      <c r="C170" s="101" t="str">
        <f aca="false">IF($B170="","",IFERROR(VLOOKUP($B170,'Application Portfolio'!$A$2:$B$1000,2,FALSE()),""))</f>
        <v/>
      </c>
      <c r="D170" s="106"/>
      <c r="E170" s="106"/>
      <c r="F170" s="106"/>
      <c r="G170" s="106"/>
      <c r="H170" s="106"/>
      <c r="I170" s="103" t="str">
        <f aca="false">IF(OR($B170="", $D170="", $E170="", $F170="", $G170="", $H170=""),"",ROUND(($D170*Lists!$AD$20)+($E170*Lists!$AD$21)+($F170*Lists!$AD$22)+($G170*Lists!$AD$23)+($H170*Lists!$AD$24),2))</f>
        <v/>
      </c>
      <c r="J170" s="101"/>
      <c r="K170" s="105"/>
      <c r="L170" s="101"/>
    </row>
    <row r="171" customFormat="false" ht="15.75" hidden="false" customHeight="true" outlineLevel="0" collapsed="false">
      <c r="A171" s="113"/>
      <c r="B171" s="102"/>
      <c r="C171" s="101" t="str">
        <f aca="false">IF($B171="","",IFERROR(VLOOKUP($B171,'Application Portfolio'!$A$2:$B$1000,2,FALSE()),""))</f>
        <v/>
      </c>
      <c r="D171" s="106"/>
      <c r="E171" s="106"/>
      <c r="F171" s="106"/>
      <c r="G171" s="106"/>
      <c r="H171" s="106"/>
      <c r="I171" s="103" t="str">
        <f aca="false">IF(OR($B171="", $D171="", $E171="", $F171="", $G171="", $H171=""),"",ROUND(($D171*Lists!$AD$20)+($E171*Lists!$AD$21)+($F171*Lists!$AD$22)+($G171*Lists!$AD$23)+($H171*Lists!$AD$24),2))</f>
        <v/>
      </c>
      <c r="J171" s="101"/>
      <c r="K171" s="105"/>
      <c r="L171" s="101"/>
    </row>
    <row r="172" customFormat="false" ht="15.75" hidden="false" customHeight="true" outlineLevel="0" collapsed="false">
      <c r="A172" s="113"/>
      <c r="B172" s="102"/>
      <c r="C172" s="101" t="str">
        <f aca="false">IF($B172="","",IFERROR(VLOOKUP($B172,'Application Portfolio'!$A$2:$B$1000,2,FALSE()),""))</f>
        <v/>
      </c>
      <c r="D172" s="106"/>
      <c r="E172" s="106"/>
      <c r="F172" s="106"/>
      <c r="G172" s="106"/>
      <c r="H172" s="106"/>
      <c r="I172" s="103" t="str">
        <f aca="false">IF(OR($B172="", $D172="", $E172="", $F172="", $G172="", $H172=""),"",ROUND(($D172*Lists!$AD$20)+($E172*Lists!$AD$21)+($F172*Lists!$AD$22)+($G172*Lists!$AD$23)+($H172*Lists!$AD$24),2))</f>
        <v/>
      </c>
      <c r="J172" s="101"/>
      <c r="K172" s="105"/>
      <c r="L172" s="101"/>
    </row>
    <row r="173" customFormat="false" ht="15.75" hidden="false" customHeight="true" outlineLevel="0" collapsed="false">
      <c r="A173" s="113"/>
      <c r="B173" s="102"/>
      <c r="C173" s="101" t="str">
        <f aca="false">IF($B173="","",IFERROR(VLOOKUP($B173,'Application Portfolio'!$A$2:$B$1000,2,FALSE()),""))</f>
        <v/>
      </c>
      <c r="D173" s="106"/>
      <c r="E173" s="106"/>
      <c r="F173" s="106"/>
      <c r="G173" s="106"/>
      <c r="H173" s="106"/>
      <c r="I173" s="103" t="str">
        <f aca="false">IF(OR($B173="", $D173="", $E173="", $F173="", $G173="", $H173=""),"",ROUND(($D173*Lists!$AD$20)+($E173*Lists!$AD$21)+($F173*Lists!$AD$22)+($G173*Lists!$AD$23)+($H173*Lists!$AD$24),2))</f>
        <v/>
      </c>
      <c r="J173" s="101"/>
      <c r="K173" s="105"/>
      <c r="L173" s="101"/>
    </row>
    <row r="174" customFormat="false" ht="15.75" hidden="false" customHeight="true" outlineLevel="0" collapsed="false">
      <c r="A174" s="113"/>
      <c r="B174" s="102"/>
      <c r="C174" s="101" t="str">
        <f aca="false">IF($B174="","",IFERROR(VLOOKUP($B174,'Application Portfolio'!$A$2:$B$1000,2,FALSE()),""))</f>
        <v/>
      </c>
      <c r="D174" s="106"/>
      <c r="E174" s="106"/>
      <c r="F174" s="106"/>
      <c r="G174" s="106"/>
      <c r="H174" s="106"/>
      <c r="I174" s="103" t="str">
        <f aca="false">IF(OR($B174="", $D174="", $E174="", $F174="", $G174="", $H174=""),"",ROUND(($D174*Lists!$AD$20)+($E174*Lists!$AD$21)+($F174*Lists!$AD$22)+($G174*Lists!$AD$23)+($H174*Lists!$AD$24),2))</f>
        <v/>
      </c>
      <c r="J174" s="101"/>
      <c r="K174" s="105"/>
      <c r="L174" s="101"/>
    </row>
    <row r="175" customFormat="false" ht="15.75" hidden="false" customHeight="true" outlineLevel="0" collapsed="false">
      <c r="A175" s="113"/>
      <c r="B175" s="102"/>
      <c r="C175" s="101" t="str">
        <f aca="false">IF($B175="","",IFERROR(VLOOKUP($B175,'Application Portfolio'!$A$2:$B$1000,2,FALSE()),""))</f>
        <v/>
      </c>
      <c r="D175" s="106"/>
      <c r="E175" s="106"/>
      <c r="F175" s="106"/>
      <c r="G175" s="106"/>
      <c r="H175" s="106"/>
      <c r="I175" s="103" t="str">
        <f aca="false">IF(OR($B175="", $D175="", $E175="", $F175="", $G175="", $H175=""),"",ROUND(($D175*Lists!$AD$20)+($E175*Lists!$AD$21)+($F175*Lists!$AD$22)+($G175*Lists!$AD$23)+($H175*Lists!$AD$24),2))</f>
        <v/>
      </c>
      <c r="J175" s="101"/>
      <c r="K175" s="105"/>
      <c r="L175" s="101"/>
    </row>
    <row r="176" customFormat="false" ht="15.75" hidden="false" customHeight="true" outlineLevel="0" collapsed="false">
      <c r="A176" s="113"/>
      <c r="B176" s="102"/>
      <c r="C176" s="101" t="str">
        <f aca="false">IF($B176="","",IFERROR(VLOOKUP($B176,'Application Portfolio'!$A$2:$B$1000,2,FALSE()),""))</f>
        <v/>
      </c>
      <c r="D176" s="106"/>
      <c r="E176" s="106"/>
      <c r="F176" s="106"/>
      <c r="G176" s="106"/>
      <c r="H176" s="106"/>
      <c r="I176" s="103" t="str">
        <f aca="false">IF(OR($B176="", $D176="", $E176="", $F176="", $G176="", $H176=""),"",ROUND(($D176*Lists!$AD$20)+($E176*Lists!$AD$21)+($F176*Lists!$AD$22)+($G176*Lists!$AD$23)+($H176*Lists!$AD$24),2))</f>
        <v/>
      </c>
      <c r="J176" s="101"/>
      <c r="K176" s="105"/>
      <c r="L176" s="101"/>
    </row>
    <row r="177" customFormat="false" ht="15.75" hidden="false" customHeight="true" outlineLevel="0" collapsed="false">
      <c r="A177" s="113"/>
      <c r="B177" s="102"/>
      <c r="C177" s="101" t="str">
        <f aca="false">IF($B177="","",IFERROR(VLOOKUP($B177,'Application Portfolio'!$A$2:$B$1000,2,FALSE()),""))</f>
        <v/>
      </c>
      <c r="D177" s="106"/>
      <c r="E177" s="106"/>
      <c r="F177" s="106"/>
      <c r="G177" s="106"/>
      <c r="H177" s="106"/>
      <c r="I177" s="103" t="str">
        <f aca="false">IF(OR($B177="", $D177="", $E177="", $F177="", $G177="", $H177=""),"",ROUND(($D177*Lists!$AD$20)+($E177*Lists!$AD$21)+($F177*Lists!$AD$22)+($G177*Lists!$AD$23)+($H177*Lists!$AD$24),2))</f>
        <v/>
      </c>
      <c r="J177" s="101"/>
      <c r="K177" s="105"/>
      <c r="L177" s="101"/>
    </row>
    <row r="178" customFormat="false" ht="15.75" hidden="false" customHeight="true" outlineLevel="0" collapsed="false">
      <c r="A178" s="113"/>
      <c r="B178" s="102"/>
      <c r="C178" s="101" t="str">
        <f aca="false">IF($B178="","",IFERROR(VLOOKUP($B178,'Application Portfolio'!$A$2:$B$1000,2,FALSE()),""))</f>
        <v/>
      </c>
      <c r="D178" s="106"/>
      <c r="E178" s="106"/>
      <c r="F178" s="106"/>
      <c r="G178" s="106"/>
      <c r="H178" s="106"/>
      <c r="I178" s="103" t="str">
        <f aca="false">IF(OR($B178="", $D178="", $E178="", $F178="", $G178="", $H178=""),"",ROUND(($D178*Lists!$AD$20)+($E178*Lists!$AD$21)+($F178*Lists!$AD$22)+($G178*Lists!$AD$23)+($H178*Lists!$AD$24),2))</f>
        <v/>
      </c>
      <c r="J178" s="101"/>
      <c r="K178" s="105"/>
      <c r="L178" s="101"/>
    </row>
    <row r="179" customFormat="false" ht="15.75" hidden="false" customHeight="true" outlineLevel="0" collapsed="false">
      <c r="A179" s="113"/>
      <c r="B179" s="102"/>
      <c r="C179" s="101" t="str">
        <f aca="false">IF($B179="","",IFERROR(VLOOKUP($B179,'Application Portfolio'!$A$2:$B$1000,2,FALSE()),""))</f>
        <v/>
      </c>
      <c r="D179" s="106"/>
      <c r="E179" s="106"/>
      <c r="F179" s="106"/>
      <c r="G179" s="106"/>
      <c r="H179" s="106"/>
      <c r="I179" s="103" t="str">
        <f aca="false">IF(OR($B179="", $D179="", $E179="", $F179="", $G179="", $H179=""),"",ROUND(($D179*Lists!$AD$20)+($E179*Lists!$AD$21)+($F179*Lists!$AD$22)+($G179*Lists!$AD$23)+($H179*Lists!$AD$24),2))</f>
        <v/>
      </c>
      <c r="J179" s="101"/>
      <c r="K179" s="105"/>
      <c r="L179" s="101"/>
    </row>
    <row r="180" customFormat="false" ht="15.75" hidden="false" customHeight="true" outlineLevel="0" collapsed="false">
      <c r="A180" s="113"/>
      <c r="B180" s="102"/>
      <c r="C180" s="101" t="str">
        <f aca="false">IF($B180="","",IFERROR(VLOOKUP($B180,'Application Portfolio'!$A$2:$B$1000,2,FALSE()),""))</f>
        <v/>
      </c>
      <c r="D180" s="106"/>
      <c r="E180" s="106"/>
      <c r="F180" s="106"/>
      <c r="G180" s="106"/>
      <c r="H180" s="106"/>
      <c r="I180" s="103" t="str">
        <f aca="false">IF(OR($B180="", $D180="", $E180="", $F180="", $G180="", $H180=""),"",ROUND(($D180*Lists!$AD$20)+($E180*Lists!$AD$21)+($F180*Lists!$AD$22)+($G180*Lists!$AD$23)+($H180*Lists!$AD$24),2))</f>
        <v/>
      </c>
      <c r="J180" s="101"/>
      <c r="K180" s="105"/>
      <c r="L180" s="101"/>
    </row>
    <row r="181" customFormat="false" ht="15.75" hidden="false" customHeight="true" outlineLevel="0" collapsed="false">
      <c r="A181" s="113"/>
      <c r="B181" s="102"/>
      <c r="C181" s="101" t="str">
        <f aca="false">IF($B181="","",IFERROR(VLOOKUP($B181,'Application Portfolio'!$A$2:$B$1000,2,FALSE()),""))</f>
        <v/>
      </c>
      <c r="D181" s="106"/>
      <c r="E181" s="106"/>
      <c r="F181" s="106"/>
      <c r="G181" s="106"/>
      <c r="H181" s="106"/>
      <c r="I181" s="103" t="str">
        <f aca="false">IF(OR($B181="", $D181="", $E181="", $F181="", $G181="", $H181=""),"",ROUND(($D181*Lists!$AD$20)+($E181*Lists!$AD$21)+($F181*Lists!$AD$22)+($G181*Lists!$AD$23)+($H181*Lists!$AD$24),2))</f>
        <v/>
      </c>
      <c r="J181" s="101"/>
      <c r="K181" s="105"/>
      <c r="L181" s="101"/>
    </row>
    <row r="182" customFormat="false" ht="15.75" hidden="false" customHeight="true" outlineLevel="0" collapsed="false">
      <c r="A182" s="113"/>
      <c r="B182" s="102"/>
      <c r="C182" s="101" t="str">
        <f aca="false">IF($B182="","",IFERROR(VLOOKUP($B182,'Application Portfolio'!$A$2:$B$1000,2,FALSE()),""))</f>
        <v/>
      </c>
      <c r="D182" s="106"/>
      <c r="E182" s="106"/>
      <c r="F182" s="106"/>
      <c r="G182" s="106"/>
      <c r="H182" s="106"/>
      <c r="I182" s="103" t="str">
        <f aca="false">IF(OR($B182="", $D182="", $E182="", $F182="", $G182="", $H182=""),"",ROUND(($D182*Lists!$AD$20)+($E182*Lists!$AD$21)+($F182*Lists!$AD$22)+($G182*Lists!$AD$23)+($H182*Lists!$AD$24),2))</f>
        <v/>
      </c>
      <c r="J182" s="101"/>
      <c r="K182" s="105"/>
      <c r="L182" s="101"/>
    </row>
    <row r="183" customFormat="false" ht="15.75" hidden="false" customHeight="true" outlineLevel="0" collapsed="false">
      <c r="A183" s="113"/>
      <c r="B183" s="102"/>
      <c r="C183" s="101" t="str">
        <f aca="false">IF($B183="","",IFERROR(VLOOKUP($B183,'Application Portfolio'!$A$2:$B$1000,2,FALSE()),""))</f>
        <v/>
      </c>
      <c r="D183" s="106"/>
      <c r="E183" s="106"/>
      <c r="F183" s="106"/>
      <c r="G183" s="106"/>
      <c r="H183" s="106"/>
      <c r="I183" s="103" t="str">
        <f aca="false">IF(OR($B183="", $D183="", $E183="", $F183="", $G183="", $H183=""),"",ROUND(($D183*Lists!$AD$20)+($E183*Lists!$AD$21)+($F183*Lists!$AD$22)+($G183*Lists!$AD$23)+($H183*Lists!$AD$24),2))</f>
        <v/>
      </c>
      <c r="J183" s="101"/>
      <c r="K183" s="105"/>
      <c r="L183" s="101"/>
    </row>
    <row r="184" customFormat="false" ht="15.75" hidden="false" customHeight="true" outlineLevel="0" collapsed="false">
      <c r="A184" s="113"/>
      <c r="B184" s="102"/>
      <c r="C184" s="101" t="str">
        <f aca="false">IF($B184="","",IFERROR(VLOOKUP($B184,'Application Portfolio'!$A$2:$B$1000,2,FALSE()),""))</f>
        <v/>
      </c>
      <c r="D184" s="106"/>
      <c r="E184" s="106"/>
      <c r="F184" s="106"/>
      <c r="G184" s="106"/>
      <c r="H184" s="106"/>
      <c r="I184" s="103" t="str">
        <f aca="false">IF(OR($B184="", $D184="", $E184="", $F184="", $G184="", $H184=""),"",ROUND(($D184*Lists!$AD$20)+($E184*Lists!$AD$21)+($F184*Lists!$AD$22)+($G184*Lists!$AD$23)+($H184*Lists!$AD$24),2))</f>
        <v/>
      </c>
      <c r="J184" s="101"/>
      <c r="K184" s="105"/>
      <c r="L184" s="101"/>
    </row>
    <row r="185" customFormat="false" ht="15.75" hidden="false" customHeight="true" outlineLevel="0" collapsed="false">
      <c r="A185" s="113"/>
      <c r="B185" s="102"/>
      <c r="C185" s="101" t="str">
        <f aca="false">IF($B185="","",IFERROR(VLOOKUP($B185,'Application Portfolio'!$A$2:$B$1000,2,FALSE()),""))</f>
        <v/>
      </c>
      <c r="D185" s="106"/>
      <c r="E185" s="106"/>
      <c r="F185" s="106"/>
      <c r="G185" s="106"/>
      <c r="H185" s="106"/>
      <c r="I185" s="103" t="str">
        <f aca="false">IF(OR($B185="", $D185="", $E185="", $F185="", $G185="", $H185=""),"",ROUND(($D185*Lists!$AD$20)+($E185*Lists!$AD$21)+($F185*Lists!$AD$22)+($G185*Lists!$AD$23)+($H185*Lists!$AD$24),2))</f>
        <v/>
      </c>
      <c r="J185" s="101"/>
      <c r="K185" s="105"/>
      <c r="L185" s="101"/>
    </row>
    <row r="186" customFormat="false" ht="15.75" hidden="false" customHeight="true" outlineLevel="0" collapsed="false">
      <c r="A186" s="113"/>
      <c r="B186" s="102"/>
      <c r="C186" s="101" t="str">
        <f aca="false">IF($B186="","",IFERROR(VLOOKUP($B186,'Application Portfolio'!$A$2:$B$1000,2,FALSE()),""))</f>
        <v/>
      </c>
      <c r="D186" s="106"/>
      <c r="E186" s="106"/>
      <c r="F186" s="106"/>
      <c r="G186" s="106"/>
      <c r="H186" s="106"/>
      <c r="I186" s="103" t="str">
        <f aca="false">IF(OR($B186="", $D186="", $E186="", $F186="", $G186="", $H186=""),"",ROUND(($D186*Lists!$AD$20)+($E186*Lists!$AD$21)+($F186*Lists!$AD$22)+($G186*Lists!$AD$23)+($H186*Lists!$AD$24),2))</f>
        <v/>
      </c>
      <c r="J186" s="101"/>
      <c r="K186" s="105"/>
      <c r="L186" s="101"/>
    </row>
    <row r="187" customFormat="false" ht="15.75" hidden="false" customHeight="true" outlineLevel="0" collapsed="false">
      <c r="A187" s="113"/>
      <c r="B187" s="102"/>
      <c r="C187" s="101" t="str">
        <f aca="false">IF($B187="","",IFERROR(VLOOKUP($B187,'Application Portfolio'!$A$2:$B$1000,2,FALSE()),""))</f>
        <v/>
      </c>
      <c r="D187" s="106"/>
      <c r="E187" s="106"/>
      <c r="F187" s="106"/>
      <c r="G187" s="106"/>
      <c r="H187" s="106"/>
      <c r="I187" s="103" t="str">
        <f aca="false">IF(OR($B187="", $D187="", $E187="", $F187="", $G187="", $H187=""),"",ROUND(($D187*Lists!$AD$20)+($E187*Lists!$AD$21)+($F187*Lists!$AD$22)+($G187*Lists!$AD$23)+($H187*Lists!$AD$24),2))</f>
        <v/>
      </c>
      <c r="J187" s="101"/>
      <c r="K187" s="105"/>
      <c r="L187" s="101"/>
    </row>
    <row r="188" customFormat="false" ht="15.75" hidden="false" customHeight="true" outlineLevel="0" collapsed="false">
      <c r="A188" s="113"/>
      <c r="B188" s="102"/>
      <c r="C188" s="101" t="str">
        <f aca="false">IF($B188="","",IFERROR(VLOOKUP($B188,'Application Portfolio'!$A$2:$B$1000,2,FALSE()),""))</f>
        <v/>
      </c>
      <c r="D188" s="106"/>
      <c r="E188" s="106"/>
      <c r="F188" s="106"/>
      <c r="G188" s="106"/>
      <c r="H188" s="106"/>
      <c r="I188" s="103" t="str">
        <f aca="false">IF(OR($B188="", $D188="", $E188="", $F188="", $G188="", $H188=""),"",ROUND(($D188*Lists!$AD$20)+($E188*Lists!$AD$21)+($F188*Lists!$AD$22)+($G188*Lists!$AD$23)+($H188*Lists!$AD$24),2))</f>
        <v/>
      </c>
      <c r="J188" s="101"/>
      <c r="K188" s="105"/>
      <c r="L188" s="101"/>
    </row>
    <row r="189" customFormat="false" ht="15.75" hidden="false" customHeight="true" outlineLevel="0" collapsed="false">
      <c r="A189" s="113"/>
      <c r="B189" s="102"/>
      <c r="C189" s="101" t="str">
        <f aca="false">IF($B189="","",IFERROR(VLOOKUP($B189,'Application Portfolio'!$A$2:$B$1000,2,FALSE()),""))</f>
        <v/>
      </c>
      <c r="D189" s="106"/>
      <c r="E189" s="106"/>
      <c r="F189" s="106"/>
      <c r="G189" s="106"/>
      <c r="H189" s="106"/>
      <c r="I189" s="103" t="str">
        <f aca="false">IF(OR($B189="", $D189="", $E189="", $F189="", $G189="", $H189=""),"",ROUND(($D189*Lists!$AD$20)+($E189*Lists!$AD$21)+($F189*Lists!$AD$22)+($G189*Lists!$AD$23)+($H189*Lists!$AD$24),2))</f>
        <v/>
      </c>
      <c r="J189" s="101"/>
      <c r="K189" s="105"/>
      <c r="L189" s="101"/>
    </row>
    <row r="190" customFormat="false" ht="15.75" hidden="false" customHeight="true" outlineLevel="0" collapsed="false">
      <c r="A190" s="113"/>
      <c r="B190" s="102"/>
      <c r="C190" s="101" t="str">
        <f aca="false">IF($B190="","",IFERROR(VLOOKUP($B190,'Application Portfolio'!$A$2:$B$1000,2,FALSE()),""))</f>
        <v/>
      </c>
      <c r="D190" s="106"/>
      <c r="E190" s="106"/>
      <c r="F190" s="106"/>
      <c r="G190" s="106"/>
      <c r="H190" s="106"/>
      <c r="I190" s="103" t="str">
        <f aca="false">IF(OR($B190="", $D190="", $E190="", $F190="", $G190="", $H190=""),"",ROUND(($D190*Lists!$AD$20)+($E190*Lists!$AD$21)+($F190*Lists!$AD$22)+($G190*Lists!$AD$23)+($H190*Lists!$AD$24),2))</f>
        <v/>
      </c>
      <c r="J190" s="101"/>
      <c r="K190" s="105"/>
      <c r="L190" s="101"/>
    </row>
    <row r="191" customFormat="false" ht="15.75" hidden="false" customHeight="true" outlineLevel="0" collapsed="false">
      <c r="A191" s="113"/>
      <c r="B191" s="102"/>
      <c r="C191" s="101" t="str">
        <f aca="false">IF($B191="","",IFERROR(VLOOKUP($B191,'Application Portfolio'!$A$2:$B$1000,2,FALSE()),""))</f>
        <v/>
      </c>
      <c r="D191" s="106"/>
      <c r="E191" s="106"/>
      <c r="F191" s="106"/>
      <c r="G191" s="106"/>
      <c r="H191" s="106"/>
      <c r="I191" s="103" t="str">
        <f aca="false">IF(OR($B191="", $D191="", $E191="", $F191="", $G191="", $H191=""),"",ROUND(($D191*Lists!$AD$20)+($E191*Lists!$AD$21)+($F191*Lists!$AD$22)+($G191*Lists!$AD$23)+($H191*Lists!$AD$24),2))</f>
        <v/>
      </c>
      <c r="J191" s="101"/>
      <c r="K191" s="105"/>
      <c r="L191" s="101"/>
    </row>
    <row r="192" customFormat="false" ht="15.75" hidden="false" customHeight="true" outlineLevel="0" collapsed="false">
      <c r="A192" s="113"/>
      <c r="B192" s="102"/>
      <c r="C192" s="101" t="str">
        <f aca="false">IF($B192="","",IFERROR(VLOOKUP($B192,'Application Portfolio'!$A$2:$B$1000,2,FALSE()),""))</f>
        <v/>
      </c>
      <c r="D192" s="106"/>
      <c r="E192" s="106"/>
      <c r="F192" s="106"/>
      <c r="G192" s="106"/>
      <c r="H192" s="106"/>
      <c r="I192" s="103" t="str">
        <f aca="false">IF(OR($B192="", $D192="", $E192="", $F192="", $G192="", $H192=""),"",ROUND(($D192*Lists!$AD$20)+($E192*Lists!$AD$21)+($F192*Lists!$AD$22)+($G192*Lists!$AD$23)+($H192*Lists!$AD$24),2))</f>
        <v/>
      </c>
      <c r="J192" s="101"/>
      <c r="K192" s="105"/>
      <c r="L192" s="101"/>
    </row>
    <row r="193" customFormat="false" ht="15.75" hidden="false" customHeight="true" outlineLevel="0" collapsed="false">
      <c r="A193" s="113"/>
      <c r="B193" s="102"/>
      <c r="C193" s="101" t="str">
        <f aca="false">IF($B193="","",IFERROR(VLOOKUP($B193,'Application Portfolio'!$A$2:$B$1000,2,FALSE()),""))</f>
        <v/>
      </c>
      <c r="D193" s="106"/>
      <c r="E193" s="106"/>
      <c r="F193" s="106"/>
      <c r="G193" s="106"/>
      <c r="H193" s="106"/>
      <c r="I193" s="103" t="str">
        <f aca="false">IF(OR($B193="", $D193="", $E193="", $F193="", $G193="", $H193=""),"",ROUND(($D193*Lists!$AD$20)+($E193*Lists!$AD$21)+($F193*Lists!$AD$22)+($G193*Lists!$AD$23)+($H193*Lists!$AD$24),2))</f>
        <v/>
      </c>
      <c r="J193" s="101"/>
      <c r="K193" s="105"/>
      <c r="L193" s="101"/>
    </row>
    <row r="194" customFormat="false" ht="15.75" hidden="false" customHeight="true" outlineLevel="0" collapsed="false">
      <c r="A194" s="113"/>
      <c r="B194" s="102"/>
      <c r="C194" s="101" t="str">
        <f aca="false">IF($B194="","",IFERROR(VLOOKUP($B194,'Application Portfolio'!$A$2:$B$1000,2,FALSE()),""))</f>
        <v/>
      </c>
      <c r="D194" s="106"/>
      <c r="E194" s="106"/>
      <c r="F194" s="106"/>
      <c r="G194" s="106"/>
      <c r="H194" s="106"/>
      <c r="I194" s="103" t="str">
        <f aca="false">IF(OR($B194="", $D194="", $E194="", $F194="", $G194="", $H194=""),"",ROUND(($D194*Lists!$AD$20)+($E194*Lists!$AD$21)+($F194*Lists!$AD$22)+($G194*Lists!$AD$23)+($H194*Lists!$AD$24),2))</f>
        <v/>
      </c>
      <c r="J194" s="101"/>
      <c r="K194" s="105"/>
      <c r="L194" s="101"/>
    </row>
    <row r="195" customFormat="false" ht="15.75" hidden="false" customHeight="true" outlineLevel="0" collapsed="false">
      <c r="A195" s="113"/>
      <c r="B195" s="102"/>
      <c r="C195" s="101" t="str">
        <f aca="false">IF($B195="","",IFERROR(VLOOKUP($B195,'Application Portfolio'!$A$2:$B$1000,2,FALSE()),""))</f>
        <v/>
      </c>
      <c r="D195" s="106"/>
      <c r="E195" s="106"/>
      <c r="F195" s="106"/>
      <c r="G195" s="106"/>
      <c r="H195" s="106"/>
      <c r="I195" s="103" t="str">
        <f aca="false">IF(OR($B195="", $D195="", $E195="", $F195="", $G195="", $H195=""),"",ROUND(($D195*Lists!$AD$20)+($E195*Lists!$AD$21)+($F195*Lists!$AD$22)+($G195*Lists!$AD$23)+($H195*Lists!$AD$24),2))</f>
        <v/>
      </c>
      <c r="J195" s="101"/>
      <c r="K195" s="105"/>
      <c r="L195" s="101"/>
    </row>
    <row r="196" customFormat="false" ht="15.75" hidden="false" customHeight="true" outlineLevel="0" collapsed="false">
      <c r="A196" s="113"/>
      <c r="B196" s="102"/>
      <c r="C196" s="101" t="str">
        <f aca="false">IF($B196="","",IFERROR(VLOOKUP($B196,'Application Portfolio'!$A$2:$B$1000,2,FALSE()),""))</f>
        <v/>
      </c>
      <c r="D196" s="106"/>
      <c r="E196" s="106"/>
      <c r="F196" s="106"/>
      <c r="G196" s="106"/>
      <c r="H196" s="106"/>
      <c r="I196" s="103" t="str">
        <f aca="false">IF(OR($B196="", $D196="", $E196="", $F196="", $G196="", $H196=""),"",ROUND(($D196*Lists!$AD$20)+($E196*Lists!$AD$21)+($F196*Lists!$AD$22)+($G196*Lists!$AD$23)+($H196*Lists!$AD$24),2))</f>
        <v/>
      </c>
      <c r="J196" s="101"/>
      <c r="K196" s="105"/>
      <c r="L196" s="101"/>
    </row>
    <row r="197" customFormat="false" ht="15.75" hidden="false" customHeight="true" outlineLevel="0" collapsed="false">
      <c r="A197" s="113"/>
      <c r="B197" s="102"/>
      <c r="C197" s="101" t="str">
        <f aca="false">IF($B197="","",IFERROR(VLOOKUP($B197,'Application Portfolio'!$A$2:$B$1000,2,FALSE()),""))</f>
        <v/>
      </c>
      <c r="D197" s="106"/>
      <c r="E197" s="106"/>
      <c r="F197" s="106"/>
      <c r="G197" s="106"/>
      <c r="H197" s="106"/>
      <c r="I197" s="103" t="str">
        <f aca="false">IF(OR($B197="", $D197="", $E197="", $F197="", $G197="", $H197=""),"",ROUND(($D197*Lists!$AD$20)+($E197*Lists!$AD$21)+($F197*Lists!$AD$22)+($G197*Lists!$AD$23)+($H197*Lists!$AD$24),2))</f>
        <v/>
      </c>
      <c r="J197" s="101"/>
      <c r="K197" s="105"/>
      <c r="L197" s="101"/>
    </row>
    <row r="198" customFormat="false" ht="15.75" hidden="false" customHeight="true" outlineLevel="0" collapsed="false">
      <c r="A198" s="113"/>
      <c r="B198" s="102"/>
      <c r="C198" s="101" t="str">
        <f aca="false">IF($B198="","",IFERROR(VLOOKUP($B198,'Application Portfolio'!$A$2:$B$1000,2,FALSE()),""))</f>
        <v/>
      </c>
      <c r="D198" s="106"/>
      <c r="E198" s="106"/>
      <c r="F198" s="106"/>
      <c r="G198" s="106"/>
      <c r="H198" s="106"/>
      <c r="I198" s="103" t="str">
        <f aca="false">IF(OR($B198="", $D198="", $E198="", $F198="", $G198="", $H198=""),"",ROUND(($D198*Lists!$AD$20)+($E198*Lists!$AD$21)+($F198*Lists!$AD$22)+($G198*Lists!$AD$23)+($H198*Lists!$AD$24),2))</f>
        <v/>
      </c>
      <c r="J198" s="101"/>
      <c r="K198" s="105"/>
      <c r="L198" s="101"/>
    </row>
    <row r="199" customFormat="false" ht="15.75" hidden="false" customHeight="true" outlineLevel="0" collapsed="false">
      <c r="A199" s="113"/>
      <c r="B199" s="102"/>
      <c r="C199" s="101" t="str">
        <f aca="false">IF($B199="","",IFERROR(VLOOKUP($B199,'Application Portfolio'!$A$2:$B$1000,2,FALSE()),""))</f>
        <v/>
      </c>
      <c r="D199" s="106"/>
      <c r="E199" s="106"/>
      <c r="F199" s="106"/>
      <c r="G199" s="106"/>
      <c r="H199" s="106"/>
      <c r="I199" s="103" t="str">
        <f aca="false">IF(OR($B199="", $D199="", $E199="", $F199="", $G199="", $H199=""),"",ROUND(($D199*Lists!$AD$20)+($E199*Lists!$AD$21)+($F199*Lists!$AD$22)+($G199*Lists!$AD$23)+($H199*Lists!$AD$24),2))</f>
        <v/>
      </c>
      <c r="J199" s="101"/>
      <c r="K199" s="105"/>
      <c r="L199" s="101"/>
    </row>
    <row r="200" customFormat="false" ht="15.75" hidden="false" customHeight="true" outlineLevel="0" collapsed="false">
      <c r="A200" s="113"/>
      <c r="B200" s="102"/>
      <c r="C200" s="101" t="str">
        <f aca="false">IF($B200="","",IFERROR(VLOOKUP($B200,'Application Portfolio'!$A$2:$B$1000,2,FALSE()),""))</f>
        <v/>
      </c>
      <c r="D200" s="106"/>
      <c r="E200" s="106"/>
      <c r="F200" s="106"/>
      <c r="G200" s="106"/>
      <c r="H200" s="106"/>
      <c r="I200" s="103" t="str">
        <f aca="false">IF(OR($B200="", $D200="", $E200="", $F200="", $G200="", $H200=""),"",ROUND(($D200*Lists!$AD$20)+($E200*Lists!$AD$21)+($F200*Lists!$AD$22)+($G200*Lists!$AD$23)+($H200*Lists!$AD$24),2))</f>
        <v/>
      </c>
      <c r="J200" s="101"/>
      <c r="K200" s="105"/>
      <c r="L200" s="101"/>
    </row>
    <row r="201" customFormat="false" ht="15.75" hidden="false" customHeight="true" outlineLevel="0" collapsed="false">
      <c r="A201" s="113"/>
      <c r="B201" s="102"/>
      <c r="C201" s="101" t="str">
        <f aca="false">IF($B201="","",IFERROR(VLOOKUP($B201,'Application Portfolio'!$A$2:$B$1000,2,FALSE()),""))</f>
        <v/>
      </c>
      <c r="D201" s="106"/>
      <c r="E201" s="106"/>
      <c r="F201" s="106"/>
      <c r="G201" s="106"/>
      <c r="H201" s="106"/>
      <c r="I201" s="103" t="str">
        <f aca="false">IF(OR($B201="", $D201="", $E201="", $F201="", $G201="", $H201=""),"",ROUND(($D201*Lists!$AD$20)+($E201*Lists!$AD$21)+($F201*Lists!$AD$22)+($G201*Lists!$AD$23)+($H201*Lists!$AD$24),2))</f>
        <v/>
      </c>
      <c r="J201" s="101"/>
      <c r="K201" s="105"/>
      <c r="L201" s="101"/>
    </row>
    <row r="202" customFormat="false" ht="15.75" hidden="false" customHeight="true" outlineLevel="0" collapsed="false">
      <c r="A202" s="113"/>
      <c r="B202" s="102"/>
      <c r="C202" s="101" t="str">
        <f aca="false">IF($B202="","",IFERROR(VLOOKUP($B202,'Application Portfolio'!$A$2:$B$1000,2,FALSE()),""))</f>
        <v/>
      </c>
      <c r="D202" s="106"/>
      <c r="E202" s="106"/>
      <c r="F202" s="106"/>
      <c r="G202" s="106"/>
      <c r="H202" s="106"/>
      <c r="I202" s="103" t="str">
        <f aca="false">IF(OR($B202="", $D202="", $E202="", $F202="", $G202="", $H202=""),"",ROUND(($D202*Lists!$AD$20)+($E202*Lists!$AD$21)+($F202*Lists!$AD$22)+($G202*Lists!$AD$23)+($H202*Lists!$AD$24),2))</f>
        <v/>
      </c>
      <c r="J202" s="101"/>
      <c r="K202" s="105"/>
      <c r="L202" s="101"/>
    </row>
    <row r="203" customFormat="false" ht="15.75" hidden="false" customHeight="true" outlineLevel="0" collapsed="false">
      <c r="A203" s="113"/>
      <c r="B203" s="102"/>
      <c r="C203" s="101" t="str">
        <f aca="false">IF($B203="","",IFERROR(VLOOKUP($B203,'Application Portfolio'!$A$2:$B$1000,2,FALSE()),""))</f>
        <v/>
      </c>
      <c r="D203" s="106"/>
      <c r="E203" s="106"/>
      <c r="F203" s="106"/>
      <c r="G203" s="106"/>
      <c r="H203" s="106"/>
      <c r="I203" s="103" t="str">
        <f aca="false">IF(OR($B203="", $D203="", $E203="", $F203="", $G203="", $H203=""),"",ROUND(($D203*Lists!$AD$20)+($E203*Lists!$AD$21)+($F203*Lists!$AD$22)+($G203*Lists!$AD$23)+($H203*Lists!$AD$24),2))</f>
        <v/>
      </c>
      <c r="J203" s="101"/>
      <c r="K203" s="105"/>
      <c r="L203" s="101"/>
    </row>
    <row r="204" customFormat="false" ht="15.75" hidden="false" customHeight="true" outlineLevel="0" collapsed="false">
      <c r="A204" s="113"/>
      <c r="B204" s="102"/>
      <c r="C204" s="101" t="str">
        <f aca="false">IF($B204="","",IFERROR(VLOOKUP($B204,'Application Portfolio'!$A$2:$B$1000,2,FALSE()),""))</f>
        <v/>
      </c>
      <c r="D204" s="106"/>
      <c r="E204" s="106"/>
      <c r="F204" s="106"/>
      <c r="G204" s="106"/>
      <c r="H204" s="106"/>
      <c r="I204" s="103" t="str">
        <f aca="false">IF(OR($B204="", $D204="", $E204="", $F204="", $G204="", $H204=""),"",ROUND(($D204*Lists!$AD$20)+($E204*Lists!$AD$21)+($F204*Lists!$AD$22)+($G204*Lists!$AD$23)+($H204*Lists!$AD$24),2))</f>
        <v/>
      </c>
      <c r="J204" s="101"/>
      <c r="K204" s="105"/>
      <c r="L204" s="101"/>
    </row>
    <row r="205" customFormat="false" ht="15.75" hidden="false" customHeight="true" outlineLevel="0" collapsed="false">
      <c r="A205" s="113"/>
      <c r="B205" s="102"/>
      <c r="C205" s="101" t="str">
        <f aca="false">IF($B205="","",IFERROR(VLOOKUP($B205,'Application Portfolio'!$A$2:$B$1000,2,FALSE()),""))</f>
        <v/>
      </c>
      <c r="D205" s="106"/>
      <c r="E205" s="106"/>
      <c r="F205" s="106"/>
      <c r="G205" s="106"/>
      <c r="H205" s="106"/>
      <c r="I205" s="103" t="str">
        <f aca="false">IF(OR($B205="", $D205="", $E205="", $F205="", $G205="", $H205=""),"",ROUND(($D205*Lists!$AD$20)+($E205*Lists!$AD$21)+($F205*Lists!$AD$22)+($G205*Lists!$AD$23)+($H205*Lists!$AD$24),2))</f>
        <v/>
      </c>
      <c r="J205" s="101"/>
      <c r="K205" s="105"/>
      <c r="L205" s="101"/>
    </row>
    <row r="206" customFormat="false" ht="15.75" hidden="false" customHeight="true" outlineLevel="0" collapsed="false">
      <c r="A206" s="113"/>
      <c r="B206" s="102"/>
      <c r="C206" s="101" t="str">
        <f aca="false">IF($B206="","",IFERROR(VLOOKUP($B206,'Application Portfolio'!$A$2:$B$1000,2,FALSE()),""))</f>
        <v/>
      </c>
      <c r="D206" s="106"/>
      <c r="E206" s="106"/>
      <c r="F206" s="106"/>
      <c r="G206" s="106"/>
      <c r="H206" s="106"/>
      <c r="I206" s="103" t="str">
        <f aca="false">IF(OR($B206="", $D206="", $E206="", $F206="", $G206="", $H206=""),"",ROUND(($D206*Lists!$AD$20)+($E206*Lists!$AD$21)+($F206*Lists!$AD$22)+($G206*Lists!$AD$23)+($H206*Lists!$AD$24),2))</f>
        <v/>
      </c>
      <c r="J206" s="101"/>
      <c r="K206" s="105"/>
      <c r="L206" s="101"/>
    </row>
    <row r="207" customFormat="false" ht="15.75" hidden="false" customHeight="true" outlineLevel="0" collapsed="false">
      <c r="A207" s="113"/>
      <c r="B207" s="102"/>
      <c r="C207" s="101" t="str">
        <f aca="false">IF($B207="","",IFERROR(VLOOKUP($B207,'Application Portfolio'!$A$2:$B$1000,2,FALSE()),""))</f>
        <v/>
      </c>
      <c r="D207" s="106"/>
      <c r="E207" s="106"/>
      <c r="F207" s="106"/>
      <c r="G207" s="106"/>
      <c r="H207" s="106"/>
      <c r="I207" s="103" t="str">
        <f aca="false">IF(OR($B207="", $D207="", $E207="", $F207="", $G207="", $H207=""),"",ROUND(($D207*Lists!$AD$20)+($E207*Lists!$AD$21)+($F207*Lists!$AD$22)+($G207*Lists!$AD$23)+($H207*Lists!$AD$24),2))</f>
        <v/>
      </c>
      <c r="J207" s="101"/>
      <c r="K207" s="105"/>
      <c r="L207" s="101"/>
    </row>
    <row r="208" customFormat="false" ht="15.75" hidden="false" customHeight="true" outlineLevel="0" collapsed="false">
      <c r="A208" s="113"/>
      <c r="B208" s="102"/>
      <c r="C208" s="101" t="str">
        <f aca="false">IF($B208="","",IFERROR(VLOOKUP($B208,'Application Portfolio'!$A$2:$B$1000,2,FALSE()),""))</f>
        <v/>
      </c>
      <c r="D208" s="106"/>
      <c r="E208" s="106"/>
      <c r="F208" s="106"/>
      <c r="G208" s="106"/>
      <c r="H208" s="106"/>
      <c r="I208" s="103" t="str">
        <f aca="false">IF(OR($B208="", $D208="", $E208="", $F208="", $G208="", $H208=""),"",ROUND(($D208*Lists!$AD$20)+($E208*Lists!$AD$21)+($F208*Lists!$AD$22)+($G208*Lists!$AD$23)+($H208*Lists!$AD$24),2))</f>
        <v/>
      </c>
      <c r="J208" s="101"/>
      <c r="K208" s="105"/>
      <c r="L208" s="101"/>
    </row>
    <row r="209" customFormat="false" ht="15.75" hidden="false" customHeight="true" outlineLevel="0" collapsed="false">
      <c r="A209" s="113"/>
      <c r="B209" s="102"/>
      <c r="C209" s="101" t="str">
        <f aca="false">IF($B209="","",IFERROR(VLOOKUP($B209,'Application Portfolio'!$A$2:$B$1000,2,FALSE()),""))</f>
        <v/>
      </c>
      <c r="D209" s="106"/>
      <c r="E209" s="106"/>
      <c r="F209" s="106"/>
      <c r="G209" s="106"/>
      <c r="H209" s="106"/>
      <c r="I209" s="103" t="str">
        <f aca="false">IF(OR($B209="", $D209="", $E209="", $F209="", $G209="", $H209=""),"",ROUND(($D209*Lists!$AD$20)+($E209*Lists!$AD$21)+($F209*Lists!$AD$22)+($G209*Lists!$AD$23)+($H209*Lists!$AD$24),2))</f>
        <v/>
      </c>
      <c r="J209" s="101"/>
      <c r="K209" s="105"/>
      <c r="L209" s="101"/>
    </row>
    <row r="210" customFormat="false" ht="15.75" hidden="false" customHeight="true" outlineLevel="0" collapsed="false">
      <c r="A210" s="113"/>
      <c r="B210" s="102"/>
      <c r="C210" s="101" t="str">
        <f aca="false">IF($B210="","",IFERROR(VLOOKUP($B210,'Application Portfolio'!$A$2:$B$1000,2,FALSE()),""))</f>
        <v/>
      </c>
      <c r="D210" s="106"/>
      <c r="E210" s="106"/>
      <c r="F210" s="106"/>
      <c r="G210" s="106"/>
      <c r="H210" s="106"/>
      <c r="I210" s="103" t="str">
        <f aca="false">IF(OR($B210="", $D210="", $E210="", $F210="", $G210="", $H210=""),"",ROUND(($D210*Lists!$AD$20)+($E210*Lists!$AD$21)+($F210*Lists!$AD$22)+($G210*Lists!$AD$23)+($H210*Lists!$AD$24),2))</f>
        <v/>
      </c>
      <c r="J210" s="101"/>
      <c r="K210" s="105"/>
      <c r="L210" s="101"/>
    </row>
    <row r="211" customFormat="false" ht="15.75" hidden="false" customHeight="true" outlineLevel="0" collapsed="false">
      <c r="A211" s="113"/>
      <c r="B211" s="102"/>
      <c r="C211" s="101" t="str">
        <f aca="false">IF($B211="","",IFERROR(VLOOKUP($B211,'Application Portfolio'!$A$2:$B$1000,2,FALSE()),""))</f>
        <v/>
      </c>
      <c r="D211" s="106"/>
      <c r="E211" s="106"/>
      <c r="F211" s="106"/>
      <c r="G211" s="106"/>
      <c r="H211" s="106"/>
      <c r="I211" s="103" t="str">
        <f aca="false">IF(OR($B211="", $D211="", $E211="", $F211="", $G211="", $H211=""),"",ROUND(($D211*Lists!$AD$20)+($E211*Lists!$AD$21)+($F211*Lists!$AD$22)+($G211*Lists!$AD$23)+($H211*Lists!$AD$24),2))</f>
        <v/>
      </c>
      <c r="J211" s="101"/>
      <c r="K211" s="105"/>
      <c r="L211" s="101"/>
    </row>
    <row r="212" customFormat="false" ht="15.75" hidden="false" customHeight="true" outlineLevel="0" collapsed="false">
      <c r="A212" s="113"/>
      <c r="B212" s="102"/>
      <c r="C212" s="101" t="str">
        <f aca="false">IF($B212="","",IFERROR(VLOOKUP($B212,'Application Portfolio'!$A$2:$B$1000,2,FALSE()),""))</f>
        <v/>
      </c>
      <c r="D212" s="106"/>
      <c r="E212" s="106"/>
      <c r="F212" s="106"/>
      <c r="G212" s="106"/>
      <c r="H212" s="106"/>
      <c r="I212" s="103" t="str">
        <f aca="false">IF(OR($B212="", $D212="", $E212="", $F212="", $G212="", $H212=""),"",ROUND(($D212*Lists!$AD$20)+($E212*Lists!$AD$21)+($F212*Lists!$AD$22)+($G212*Lists!$AD$23)+($H212*Lists!$AD$24),2))</f>
        <v/>
      </c>
      <c r="J212" s="101"/>
      <c r="K212" s="105"/>
      <c r="L212" s="101"/>
    </row>
    <row r="213" customFormat="false" ht="15.75" hidden="false" customHeight="true" outlineLevel="0" collapsed="false">
      <c r="A213" s="113"/>
      <c r="B213" s="102"/>
      <c r="C213" s="101" t="str">
        <f aca="false">IF($B213="","",IFERROR(VLOOKUP($B213,'Application Portfolio'!$A$2:$B$1000,2,FALSE()),""))</f>
        <v/>
      </c>
      <c r="D213" s="106"/>
      <c r="E213" s="106"/>
      <c r="F213" s="106"/>
      <c r="G213" s="106"/>
      <c r="H213" s="106"/>
      <c r="I213" s="103" t="str">
        <f aca="false">IF(OR($B213="", $D213="", $E213="", $F213="", $G213="", $H213=""),"",ROUND(($D213*Lists!$AD$20)+($E213*Lists!$AD$21)+($F213*Lists!$AD$22)+($G213*Lists!$AD$23)+($H213*Lists!$AD$24),2))</f>
        <v/>
      </c>
      <c r="J213" s="101"/>
      <c r="K213" s="105"/>
      <c r="L213" s="101"/>
    </row>
    <row r="214" customFormat="false" ht="15.75" hidden="false" customHeight="true" outlineLevel="0" collapsed="false">
      <c r="A214" s="113"/>
      <c r="B214" s="102"/>
      <c r="C214" s="101" t="str">
        <f aca="false">IF($B214="","",IFERROR(VLOOKUP($B214,'Application Portfolio'!$A$2:$B$1000,2,FALSE()),""))</f>
        <v/>
      </c>
      <c r="D214" s="106"/>
      <c r="E214" s="106"/>
      <c r="F214" s="106"/>
      <c r="G214" s="106"/>
      <c r="H214" s="106"/>
      <c r="I214" s="103" t="str">
        <f aca="false">IF(OR($B214="", $D214="", $E214="", $F214="", $G214="", $H214=""),"",ROUND(($D214*Lists!$AD$20)+($E214*Lists!$AD$21)+($F214*Lists!$AD$22)+($G214*Lists!$AD$23)+($H214*Lists!$AD$24),2))</f>
        <v/>
      </c>
      <c r="J214" s="101"/>
      <c r="K214" s="105"/>
      <c r="L214" s="101"/>
    </row>
    <row r="215" customFormat="false" ht="15.75" hidden="false" customHeight="true" outlineLevel="0" collapsed="false">
      <c r="A215" s="113"/>
      <c r="B215" s="102"/>
      <c r="C215" s="101" t="str">
        <f aca="false">IF($B215="","",IFERROR(VLOOKUP($B215,'Application Portfolio'!$A$2:$B$1000,2,FALSE()),""))</f>
        <v/>
      </c>
      <c r="D215" s="106"/>
      <c r="E215" s="106"/>
      <c r="F215" s="106"/>
      <c r="G215" s="106"/>
      <c r="H215" s="106"/>
      <c r="I215" s="103" t="str">
        <f aca="false">IF(OR($B215="", $D215="", $E215="", $F215="", $G215="", $H215=""),"",ROUND(($D215*Lists!$AD$20)+($E215*Lists!$AD$21)+($F215*Lists!$AD$22)+($G215*Lists!$AD$23)+($H215*Lists!$AD$24),2))</f>
        <v/>
      </c>
      <c r="J215" s="101"/>
      <c r="K215" s="105"/>
      <c r="L215" s="101"/>
    </row>
    <row r="216" customFormat="false" ht="15.75" hidden="false" customHeight="true" outlineLevel="0" collapsed="false">
      <c r="A216" s="113"/>
      <c r="B216" s="102"/>
      <c r="C216" s="101" t="str">
        <f aca="false">IF($B216="","",IFERROR(VLOOKUP($B216,'Application Portfolio'!$A$2:$B$1000,2,FALSE()),""))</f>
        <v/>
      </c>
      <c r="D216" s="106"/>
      <c r="E216" s="106"/>
      <c r="F216" s="106"/>
      <c r="G216" s="106"/>
      <c r="H216" s="106"/>
      <c r="I216" s="103" t="str">
        <f aca="false">IF(OR($B216="", $D216="", $E216="", $F216="", $G216="", $H216=""),"",ROUND(($D216*Lists!$AD$20)+($E216*Lists!$AD$21)+($F216*Lists!$AD$22)+($G216*Lists!$AD$23)+($H216*Lists!$AD$24),2))</f>
        <v/>
      </c>
      <c r="J216" s="101"/>
      <c r="K216" s="105"/>
      <c r="L216" s="101"/>
    </row>
    <row r="217" customFormat="false" ht="15.75" hidden="false" customHeight="true" outlineLevel="0" collapsed="false">
      <c r="A217" s="113"/>
      <c r="B217" s="102"/>
      <c r="C217" s="101" t="str">
        <f aca="false">IF($B217="","",IFERROR(VLOOKUP($B217,'Application Portfolio'!$A$2:$B$1000,2,FALSE()),""))</f>
        <v/>
      </c>
      <c r="D217" s="106"/>
      <c r="E217" s="106"/>
      <c r="F217" s="106"/>
      <c r="G217" s="106"/>
      <c r="H217" s="106"/>
      <c r="I217" s="103" t="str">
        <f aca="false">IF(OR($B217="", $D217="", $E217="", $F217="", $G217="", $H217=""),"",ROUND(($D217*Lists!$AD$20)+($E217*Lists!$AD$21)+($F217*Lists!$AD$22)+($G217*Lists!$AD$23)+($H217*Lists!$AD$24),2))</f>
        <v/>
      </c>
      <c r="J217" s="101"/>
      <c r="K217" s="105"/>
      <c r="L217" s="101"/>
    </row>
    <row r="218" customFormat="false" ht="15.75" hidden="false" customHeight="true" outlineLevel="0" collapsed="false">
      <c r="A218" s="113"/>
      <c r="B218" s="102"/>
      <c r="C218" s="101" t="str">
        <f aca="false">IF($B218="","",IFERROR(VLOOKUP($B218,'Application Portfolio'!$A$2:$B$1000,2,FALSE()),""))</f>
        <v/>
      </c>
      <c r="D218" s="106"/>
      <c r="E218" s="106"/>
      <c r="F218" s="106"/>
      <c r="G218" s="106"/>
      <c r="H218" s="106"/>
      <c r="I218" s="103" t="str">
        <f aca="false">IF(OR($B218="", $D218="", $E218="", $F218="", $G218="", $H218=""),"",ROUND(($D218*Lists!$AD$20)+($E218*Lists!$AD$21)+($F218*Lists!$AD$22)+($G218*Lists!$AD$23)+($H218*Lists!$AD$24),2))</f>
        <v/>
      </c>
      <c r="J218" s="101"/>
      <c r="K218" s="105"/>
      <c r="L218" s="101"/>
    </row>
    <row r="219" customFormat="false" ht="15.75" hidden="false" customHeight="true" outlineLevel="0" collapsed="false">
      <c r="A219" s="113"/>
      <c r="B219" s="102"/>
      <c r="C219" s="101" t="str">
        <f aca="false">IF($B219="","",IFERROR(VLOOKUP($B219,'Application Portfolio'!$A$2:$B$1000,2,FALSE()),""))</f>
        <v/>
      </c>
      <c r="D219" s="106"/>
      <c r="E219" s="106"/>
      <c r="F219" s="106"/>
      <c r="G219" s="106"/>
      <c r="H219" s="106"/>
      <c r="I219" s="103" t="str">
        <f aca="false">IF(OR($B219="", $D219="", $E219="", $F219="", $G219="", $H219=""),"",ROUND(($D219*Lists!$AD$20)+($E219*Lists!$AD$21)+($F219*Lists!$AD$22)+($G219*Lists!$AD$23)+($H219*Lists!$AD$24),2))</f>
        <v/>
      </c>
      <c r="J219" s="101"/>
      <c r="K219" s="105"/>
      <c r="L219" s="101"/>
    </row>
    <row r="220" customFormat="false" ht="15.75" hidden="false" customHeight="true" outlineLevel="0" collapsed="false">
      <c r="A220" s="113"/>
      <c r="B220" s="102"/>
      <c r="C220" s="101" t="str">
        <f aca="false">IF($B220="","",IFERROR(VLOOKUP($B220,'Application Portfolio'!$A$2:$B$1000,2,FALSE()),""))</f>
        <v/>
      </c>
      <c r="D220" s="106"/>
      <c r="E220" s="106"/>
      <c r="F220" s="106"/>
      <c r="G220" s="106"/>
      <c r="H220" s="106"/>
      <c r="I220" s="103" t="str">
        <f aca="false">IF(OR($B220="", $D220="", $E220="", $F220="", $G220="", $H220=""),"",ROUND(($D220*Lists!$AD$20)+($E220*Lists!$AD$21)+($F220*Lists!$AD$22)+($G220*Lists!$AD$23)+($H220*Lists!$AD$24),2))</f>
        <v/>
      </c>
      <c r="J220" s="101"/>
      <c r="K220" s="105"/>
      <c r="L220" s="101"/>
    </row>
    <row r="221" customFormat="false" ht="15.75" hidden="false" customHeight="true" outlineLevel="0" collapsed="false">
      <c r="A221" s="113"/>
      <c r="B221" s="102"/>
      <c r="C221" s="101" t="str">
        <f aca="false">IF($B221="","",IFERROR(VLOOKUP($B221,'Application Portfolio'!$A$2:$B$1000,2,FALSE()),""))</f>
        <v/>
      </c>
      <c r="D221" s="106"/>
      <c r="E221" s="106"/>
      <c r="F221" s="106"/>
      <c r="G221" s="106"/>
      <c r="H221" s="106"/>
      <c r="I221" s="103" t="str">
        <f aca="false">IF(OR($B221="", $D221="", $E221="", $F221="", $G221="", $H221=""),"",ROUND(($D221*Lists!$AD$20)+($E221*Lists!$AD$21)+($F221*Lists!$AD$22)+($G221*Lists!$AD$23)+($H221*Lists!$AD$24),2))</f>
        <v/>
      </c>
      <c r="J221" s="101"/>
      <c r="K221" s="105"/>
      <c r="L221" s="101"/>
    </row>
    <row r="222" customFormat="false" ht="15.75" hidden="false" customHeight="true" outlineLevel="0" collapsed="false">
      <c r="A222" s="113"/>
      <c r="B222" s="102"/>
      <c r="C222" s="101" t="str">
        <f aca="false">IF($B222="","",IFERROR(VLOOKUP($B222,'Application Portfolio'!$A$2:$B$1000,2,FALSE()),""))</f>
        <v/>
      </c>
      <c r="D222" s="106"/>
      <c r="E222" s="106"/>
      <c r="F222" s="106"/>
      <c r="G222" s="106"/>
      <c r="H222" s="106"/>
      <c r="I222" s="103" t="str">
        <f aca="false">IF(OR($B222="", $D222="", $E222="", $F222="", $G222="", $H222=""),"",ROUND(($D222*Lists!$AD$20)+($E222*Lists!$AD$21)+($F222*Lists!$AD$22)+($G222*Lists!$AD$23)+($H222*Lists!$AD$24),2))</f>
        <v/>
      </c>
      <c r="J222" s="101"/>
      <c r="K222" s="105"/>
      <c r="L222" s="101"/>
    </row>
    <row r="223" customFormat="false" ht="15.75" hidden="false" customHeight="true" outlineLevel="0" collapsed="false">
      <c r="A223" s="113"/>
      <c r="B223" s="102"/>
      <c r="C223" s="101" t="str">
        <f aca="false">IF($B223="","",IFERROR(VLOOKUP($B223,'Application Portfolio'!$A$2:$B$1000,2,FALSE()),""))</f>
        <v/>
      </c>
      <c r="D223" s="106"/>
      <c r="E223" s="106"/>
      <c r="F223" s="106"/>
      <c r="G223" s="106"/>
      <c r="H223" s="106"/>
      <c r="I223" s="103" t="str">
        <f aca="false">IF(OR($B223="", $D223="", $E223="", $F223="", $G223="", $H223=""),"",ROUND(($D223*Lists!$AD$20)+($E223*Lists!$AD$21)+($F223*Lists!$AD$22)+($G223*Lists!$AD$23)+($H223*Lists!$AD$24),2))</f>
        <v/>
      </c>
      <c r="J223" s="101"/>
      <c r="K223" s="105"/>
      <c r="L223" s="101"/>
    </row>
    <row r="224" customFormat="false" ht="15.75" hidden="false" customHeight="true" outlineLevel="0" collapsed="false">
      <c r="A224" s="113"/>
      <c r="B224" s="102"/>
      <c r="C224" s="101" t="str">
        <f aca="false">IF($B224="","",IFERROR(VLOOKUP($B224,'Application Portfolio'!$A$2:$B$1000,2,FALSE()),""))</f>
        <v/>
      </c>
      <c r="D224" s="106"/>
      <c r="E224" s="106"/>
      <c r="F224" s="106"/>
      <c r="G224" s="106"/>
      <c r="H224" s="106"/>
      <c r="I224" s="103" t="str">
        <f aca="false">IF(OR($B224="", $D224="", $E224="", $F224="", $G224="", $H224=""),"",ROUND(($D224*Lists!$AD$20)+($E224*Lists!$AD$21)+($F224*Lists!$AD$22)+($G224*Lists!$AD$23)+($H224*Lists!$AD$24),2))</f>
        <v/>
      </c>
      <c r="J224" s="101"/>
      <c r="K224" s="105"/>
      <c r="L224" s="101"/>
    </row>
    <row r="225" customFormat="false" ht="15.75" hidden="false" customHeight="true" outlineLevel="0" collapsed="false">
      <c r="A225" s="113"/>
      <c r="B225" s="102"/>
      <c r="C225" s="101" t="str">
        <f aca="false">IF($B225="","",IFERROR(VLOOKUP($B225,'Application Portfolio'!$A$2:$B$1000,2,FALSE()),""))</f>
        <v/>
      </c>
      <c r="D225" s="106"/>
      <c r="E225" s="106"/>
      <c r="F225" s="106"/>
      <c r="G225" s="106"/>
      <c r="H225" s="106"/>
      <c r="I225" s="103" t="str">
        <f aca="false">IF(OR($B225="", $D225="", $E225="", $F225="", $G225="", $H225=""),"",ROUND(($D225*Lists!$AD$20)+($E225*Lists!$AD$21)+($F225*Lists!$AD$22)+($G225*Lists!$AD$23)+($H225*Lists!$AD$24),2))</f>
        <v/>
      </c>
      <c r="J225" s="101"/>
      <c r="K225" s="105"/>
      <c r="L225" s="101"/>
    </row>
    <row r="226" customFormat="false" ht="15.75" hidden="false" customHeight="true" outlineLevel="0" collapsed="false">
      <c r="A226" s="113"/>
      <c r="B226" s="102"/>
      <c r="C226" s="101" t="str">
        <f aca="false">IF($B226="","",IFERROR(VLOOKUP($B226,'Application Portfolio'!$A$2:$B$1000,2,FALSE()),""))</f>
        <v/>
      </c>
      <c r="D226" s="106"/>
      <c r="E226" s="106"/>
      <c r="F226" s="106"/>
      <c r="G226" s="106"/>
      <c r="H226" s="106"/>
      <c r="I226" s="103" t="str">
        <f aca="false">IF(OR($B226="", $D226="", $E226="", $F226="", $G226="", $H226=""),"",ROUND(($D226*Lists!$AD$20)+($E226*Lists!$AD$21)+($F226*Lists!$AD$22)+($G226*Lists!$AD$23)+($H226*Lists!$AD$24),2))</f>
        <v/>
      </c>
      <c r="J226" s="101"/>
      <c r="K226" s="105"/>
      <c r="L226" s="101"/>
    </row>
    <row r="227" customFormat="false" ht="15.75" hidden="false" customHeight="true" outlineLevel="0" collapsed="false">
      <c r="A227" s="113"/>
      <c r="B227" s="102"/>
      <c r="C227" s="101" t="str">
        <f aca="false">IF($B227="","",IFERROR(VLOOKUP($B227,'Application Portfolio'!$A$2:$B$1000,2,FALSE()),""))</f>
        <v/>
      </c>
      <c r="D227" s="106"/>
      <c r="E227" s="106"/>
      <c r="F227" s="106"/>
      <c r="G227" s="106"/>
      <c r="H227" s="106"/>
      <c r="I227" s="103" t="str">
        <f aca="false">IF(OR($B227="", $D227="", $E227="", $F227="", $G227="", $H227=""),"",ROUND(($D227*Lists!$AD$20)+($E227*Lists!$AD$21)+($F227*Lists!$AD$22)+($G227*Lists!$AD$23)+($H227*Lists!$AD$24),2))</f>
        <v/>
      </c>
      <c r="J227" s="101"/>
      <c r="K227" s="105"/>
      <c r="L227" s="101"/>
    </row>
    <row r="228" customFormat="false" ht="15.75" hidden="false" customHeight="true" outlineLevel="0" collapsed="false">
      <c r="A228" s="113"/>
      <c r="B228" s="102"/>
      <c r="C228" s="101" t="str">
        <f aca="false">IF($B228="","",IFERROR(VLOOKUP($B228,'Application Portfolio'!$A$2:$B$1000,2,FALSE()),""))</f>
        <v/>
      </c>
      <c r="D228" s="106"/>
      <c r="E228" s="106"/>
      <c r="F228" s="106"/>
      <c r="G228" s="106"/>
      <c r="H228" s="106"/>
      <c r="I228" s="103" t="str">
        <f aca="false">IF(OR($B228="", $D228="", $E228="", $F228="", $G228="", $H228=""),"",ROUND(($D228*Lists!$AD$20)+($E228*Lists!$AD$21)+($F228*Lists!$AD$22)+($G228*Lists!$AD$23)+($H228*Lists!$AD$24),2))</f>
        <v/>
      </c>
      <c r="J228" s="101"/>
      <c r="K228" s="105"/>
      <c r="L228" s="101"/>
    </row>
    <row r="229" customFormat="false" ht="15.75" hidden="false" customHeight="true" outlineLevel="0" collapsed="false">
      <c r="A229" s="113"/>
      <c r="B229" s="102"/>
      <c r="C229" s="101" t="str">
        <f aca="false">IF($B229="","",IFERROR(VLOOKUP($B229,'Application Portfolio'!$A$2:$B$1000,2,FALSE()),""))</f>
        <v/>
      </c>
      <c r="D229" s="106"/>
      <c r="E229" s="106"/>
      <c r="F229" s="106"/>
      <c r="G229" s="106"/>
      <c r="H229" s="106"/>
      <c r="I229" s="103" t="str">
        <f aca="false">IF(OR($B229="", $D229="", $E229="", $F229="", $G229="", $H229=""),"",ROUND(($D229*Lists!$AD$20)+($E229*Lists!$AD$21)+($F229*Lists!$AD$22)+($G229*Lists!$AD$23)+($H229*Lists!$AD$24),2))</f>
        <v/>
      </c>
      <c r="J229" s="101"/>
      <c r="K229" s="105"/>
      <c r="L229" s="101"/>
    </row>
    <row r="230" customFormat="false" ht="15.75" hidden="false" customHeight="true" outlineLevel="0" collapsed="false">
      <c r="A230" s="113"/>
      <c r="B230" s="102"/>
      <c r="C230" s="101" t="str">
        <f aca="false">IF($B230="","",IFERROR(VLOOKUP($B230,'Application Portfolio'!$A$2:$B$1000,2,FALSE()),""))</f>
        <v/>
      </c>
      <c r="D230" s="106"/>
      <c r="E230" s="106"/>
      <c r="F230" s="106"/>
      <c r="G230" s="106"/>
      <c r="H230" s="106"/>
      <c r="I230" s="103" t="str">
        <f aca="false">IF(OR($B230="", $D230="", $E230="", $F230="", $G230="", $H230=""),"",ROUND(($D230*Lists!$AD$20)+($E230*Lists!$AD$21)+($F230*Lists!$AD$22)+($G230*Lists!$AD$23)+($H230*Lists!$AD$24),2))</f>
        <v/>
      </c>
      <c r="J230" s="101"/>
      <c r="K230" s="105"/>
      <c r="L230" s="101"/>
    </row>
    <row r="231" customFormat="false" ht="15.75" hidden="false" customHeight="true" outlineLevel="0" collapsed="false">
      <c r="A231" s="113"/>
      <c r="B231" s="102"/>
      <c r="C231" s="101" t="str">
        <f aca="false">IF($B231="","",IFERROR(VLOOKUP($B231,'Application Portfolio'!$A$2:$B$1000,2,FALSE()),""))</f>
        <v/>
      </c>
      <c r="D231" s="106"/>
      <c r="E231" s="106"/>
      <c r="F231" s="106"/>
      <c r="G231" s="106"/>
      <c r="H231" s="106"/>
      <c r="I231" s="103" t="str">
        <f aca="false">IF(OR($B231="", $D231="", $E231="", $F231="", $G231="", $H231=""),"",ROUND(($D231*Lists!$AD$20)+($E231*Lists!$AD$21)+($F231*Lists!$AD$22)+($G231*Lists!$AD$23)+($H231*Lists!$AD$24),2))</f>
        <v/>
      </c>
      <c r="J231" s="101"/>
      <c r="K231" s="105"/>
      <c r="L231" s="101"/>
    </row>
    <row r="232" customFormat="false" ht="15.75" hidden="false" customHeight="true" outlineLevel="0" collapsed="false">
      <c r="A232" s="113"/>
      <c r="B232" s="102"/>
      <c r="C232" s="101" t="str">
        <f aca="false">IF($B232="","",IFERROR(VLOOKUP($B232,'Application Portfolio'!$A$2:$B$1000,2,FALSE()),""))</f>
        <v/>
      </c>
      <c r="D232" s="106"/>
      <c r="E232" s="106"/>
      <c r="F232" s="106"/>
      <c r="G232" s="106"/>
      <c r="H232" s="106"/>
      <c r="I232" s="103" t="str">
        <f aca="false">IF(OR($B232="", $D232="", $E232="", $F232="", $G232="", $H232=""),"",ROUND(($D232*Lists!$AD$20)+($E232*Lists!$AD$21)+($F232*Lists!$AD$22)+($G232*Lists!$AD$23)+($H232*Lists!$AD$24),2))</f>
        <v/>
      </c>
      <c r="J232" s="101"/>
      <c r="K232" s="105"/>
      <c r="L232" s="101"/>
    </row>
    <row r="233" customFormat="false" ht="15.75" hidden="false" customHeight="true" outlineLevel="0" collapsed="false">
      <c r="A233" s="113"/>
      <c r="B233" s="102"/>
      <c r="C233" s="101" t="str">
        <f aca="false">IF($B233="","",IFERROR(VLOOKUP($B233,'Application Portfolio'!$A$2:$B$1000,2,FALSE()),""))</f>
        <v/>
      </c>
      <c r="D233" s="106"/>
      <c r="E233" s="106"/>
      <c r="F233" s="106"/>
      <c r="G233" s="106"/>
      <c r="H233" s="106"/>
      <c r="I233" s="103" t="str">
        <f aca="false">IF(OR($B233="", $D233="", $E233="", $F233="", $G233="", $H233=""),"",ROUND(($D233*Lists!$AD$20)+($E233*Lists!$AD$21)+($F233*Lists!$AD$22)+($G233*Lists!$AD$23)+($H233*Lists!$AD$24),2))</f>
        <v/>
      </c>
      <c r="J233" s="101"/>
      <c r="K233" s="105"/>
      <c r="L233" s="101"/>
    </row>
    <row r="234" customFormat="false" ht="15.75" hidden="false" customHeight="true" outlineLevel="0" collapsed="false">
      <c r="A234" s="113"/>
      <c r="B234" s="102"/>
      <c r="C234" s="101" t="str">
        <f aca="false">IF($B234="","",IFERROR(VLOOKUP($B234,'Application Portfolio'!$A$2:$B$1000,2,FALSE()),""))</f>
        <v/>
      </c>
      <c r="D234" s="106"/>
      <c r="E234" s="106"/>
      <c r="F234" s="106"/>
      <c r="G234" s="106"/>
      <c r="H234" s="106"/>
      <c r="I234" s="103" t="str">
        <f aca="false">IF(OR($B234="", $D234="", $E234="", $F234="", $G234="", $H234=""),"",ROUND(($D234*Lists!$AD$20)+($E234*Lists!$AD$21)+($F234*Lists!$AD$22)+($G234*Lists!$AD$23)+($H234*Lists!$AD$24),2))</f>
        <v/>
      </c>
      <c r="J234" s="101"/>
      <c r="K234" s="105"/>
      <c r="L234" s="101"/>
    </row>
    <row r="235" customFormat="false" ht="15.75" hidden="false" customHeight="true" outlineLevel="0" collapsed="false">
      <c r="A235" s="113"/>
      <c r="B235" s="102"/>
      <c r="C235" s="101" t="str">
        <f aca="false">IF($B235="","",IFERROR(VLOOKUP($B235,'Application Portfolio'!$A$2:$B$1000,2,FALSE()),""))</f>
        <v/>
      </c>
      <c r="D235" s="106"/>
      <c r="E235" s="106"/>
      <c r="F235" s="106"/>
      <c r="G235" s="106"/>
      <c r="H235" s="106"/>
      <c r="I235" s="103" t="str">
        <f aca="false">IF(OR($B235="", $D235="", $E235="", $F235="", $G235="", $H235=""),"",ROUND(($D235*Lists!$AD$20)+($E235*Lists!$AD$21)+($F235*Lists!$AD$22)+($G235*Lists!$AD$23)+($H235*Lists!$AD$24),2))</f>
        <v/>
      </c>
      <c r="J235" s="101"/>
      <c r="K235" s="105"/>
      <c r="L235" s="101"/>
    </row>
    <row r="236" customFormat="false" ht="15.75" hidden="false" customHeight="true" outlineLevel="0" collapsed="false">
      <c r="A236" s="113"/>
      <c r="B236" s="102"/>
      <c r="C236" s="101" t="str">
        <f aca="false">IF($B236="","",IFERROR(VLOOKUP($B236,'Application Portfolio'!$A$2:$B$1000,2,FALSE()),""))</f>
        <v/>
      </c>
      <c r="D236" s="106"/>
      <c r="E236" s="106"/>
      <c r="F236" s="106"/>
      <c r="G236" s="106"/>
      <c r="H236" s="106"/>
      <c r="I236" s="103" t="str">
        <f aca="false">IF(OR($B236="", $D236="", $E236="", $F236="", $G236="", $H236=""),"",ROUND(($D236*Lists!$AD$20)+($E236*Lists!$AD$21)+($F236*Lists!$AD$22)+($G236*Lists!$AD$23)+($H236*Lists!$AD$24),2))</f>
        <v/>
      </c>
      <c r="J236" s="101"/>
      <c r="K236" s="105"/>
      <c r="L236" s="101"/>
    </row>
    <row r="237" customFormat="false" ht="15.75" hidden="false" customHeight="true" outlineLevel="0" collapsed="false">
      <c r="A237" s="113"/>
      <c r="B237" s="102"/>
      <c r="C237" s="101" t="str">
        <f aca="false">IF($B237="","",IFERROR(VLOOKUP($B237,'Application Portfolio'!$A$2:$B$1000,2,FALSE()),""))</f>
        <v/>
      </c>
      <c r="D237" s="106"/>
      <c r="E237" s="106"/>
      <c r="F237" s="106"/>
      <c r="G237" s="106"/>
      <c r="H237" s="106"/>
      <c r="I237" s="103" t="str">
        <f aca="false">IF(OR($B237="", $D237="", $E237="", $F237="", $G237="", $H237=""),"",ROUND(($D237*Lists!$AD$20)+($E237*Lists!$AD$21)+($F237*Lists!$AD$22)+($G237*Lists!$AD$23)+($H237*Lists!$AD$24),2))</f>
        <v/>
      </c>
      <c r="J237" s="101"/>
      <c r="K237" s="105"/>
      <c r="L237" s="101"/>
    </row>
    <row r="238" customFormat="false" ht="15.75" hidden="false" customHeight="true" outlineLevel="0" collapsed="false">
      <c r="A238" s="113"/>
      <c r="B238" s="102"/>
      <c r="C238" s="101" t="str">
        <f aca="false">IF($B238="","",IFERROR(VLOOKUP($B238,'Application Portfolio'!$A$2:$B$1000,2,FALSE()),""))</f>
        <v/>
      </c>
      <c r="D238" s="106"/>
      <c r="E238" s="106"/>
      <c r="F238" s="106"/>
      <c r="G238" s="106"/>
      <c r="H238" s="106"/>
      <c r="I238" s="103" t="str">
        <f aca="false">IF(OR($B238="", $D238="", $E238="", $F238="", $G238="", $H238=""),"",ROUND(($D238*Lists!$AD$20)+($E238*Lists!$AD$21)+($F238*Lists!$AD$22)+($G238*Lists!$AD$23)+($H238*Lists!$AD$24),2))</f>
        <v/>
      </c>
      <c r="J238" s="101"/>
      <c r="K238" s="105"/>
      <c r="L238" s="101"/>
    </row>
    <row r="239" customFormat="false" ht="15.75" hidden="false" customHeight="true" outlineLevel="0" collapsed="false">
      <c r="A239" s="113"/>
      <c r="B239" s="102"/>
      <c r="C239" s="101" t="str">
        <f aca="false">IF($B239="","",IFERROR(VLOOKUP($B239,'Application Portfolio'!$A$2:$B$1000,2,FALSE()),""))</f>
        <v/>
      </c>
      <c r="D239" s="106"/>
      <c r="E239" s="106"/>
      <c r="F239" s="106"/>
      <c r="G239" s="106"/>
      <c r="H239" s="106"/>
      <c r="I239" s="103" t="str">
        <f aca="false">IF(OR($B239="", $D239="", $E239="", $F239="", $G239="", $H239=""),"",ROUND(($D239*Lists!$AD$20)+($E239*Lists!$AD$21)+($F239*Lists!$AD$22)+($G239*Lists!$AD$23)+($H239*Lists!$AD$24),2))</f>
        <v/>
      </c>
      <c r="J239" s="101"/>
      <c r="K239" s="105"/>
      <c r="L239" s="101"/>
    </row>
    <row r="240" customFormat="false" ht="15.75" hidden="false" customHeight="true" outlineLevel="0" collapsed="false">
      <c r="A240" s="113"/>
      <c r="B240" s="102"/>
      <c r="C240" s="101" t="str">
        <f aca="false">IF($B240="","",IFERROR(VLOOKUP($B240,'Application Portfolio'!$A$2:$B$1000,2,FALSE()),""))</f>
        <v/>
      </c>
      <c r="D240" s="106"/>
      <c r="E240" s="106"/>
      <c r="F240" s="106"/>
      <c r="G240" s="106"/>
      <c r="H240" s="106"/>
      <c r="I240" s="103" t="str">
        <f aca="false">IF(OR($B240="", $D240="", $E240="", $F240="", $G240="", $H240=""),"",ROUND(($D240*Lists!$AD$20)+($E240*Lists!$AD$21)+($F240*Lists!$AD$22)+($G240*Lists!$AD$23)+($H240*Lists!$AD$24),2))</f>
        <v/>
      </c>
      <c r="J240" s="101"/>
      <c r="K240" s="105"/>
      <c r="L240" s="101"/>
    </row>
    <row r="241" customFormat="false" ht="15.75" hidden="false" customHeight="true" outlineLevel="0" collapsed="false">
      <c r="A241" s="113"/>
      <c r="B241" s="102"/>
      <c r="C241" s="101" t="str">
        <f aca="false">IF($B241="","",IFERROR(VLOOKUP($B241,'Application Portfolio'!$A$2:$B$1000,2,FALSE()),""))</f>
        <v/>
      </c>
      <c r="D241" s="106"/>
      <c r="E241" s="106"/>
      <c r="F241" s="106"/>
      <c r="G241" s="106"/>
      <c r="H241" s="106"/>
      <c r="I241" s="103" t="str">
        <f aca="false">IF(OR($B241="", $D241="", $E241="", $F241="", $G241="", $H241=""),"",ROUND(($D241*Lists!$AD$20)+($E241*Lists!$AD$21)+($F241*Lists!$AD$22)+($G241*Lists!$AD$23)+($H241*Lists!$AD$24),2))</f>
        <v/>
      </c>
      <c r="J241" s="101"/>
      <c r="K241" s="105"/>
      <c r="L241" s="101"/>
    </row>
    <row r="242" customFormat="false" ht="15.75" hidden="false" customHeight="true" outlineLevel="0" collapsed="false">
      <c r="A242" s="113"/>
      <c r="B242" s="102"/>
      <c r="C242" s="101" t="str">
        <f aca="false">IF($B242="","",IFERROR(VLOOKUP($B242,'Application Portfolio'!$A$2:$B$1000,2,FALSE()),""))</f>
        <v/>
      </c>
      <c r="D242" s="106"/>
      <c r="E242" s="106"/>
      <c r="F242" s="106"/>
      <c r="G242" s="106"/>
      <c r="H242" s="106"/>
      <c r="I242" s="103" t="str">
        <f aca="false">IF(OR($B242="", $D242="", $E242="", $F242="", $G242="", $H242=""),"",ROUND(($D242*Lists!$AD$20)+($E242*Lists!$AD$21)+($F242*Lists!$AD$22)+($G242*Lists!$AD$23)+($H242*Lists!$AD$24),2))</f>
        <v/>
      </c>
      <c r="J242" s="101"/>
      <c r="K242" s="105"/>
      <c r="L242" s="101"/>
    </row>
    <row r="243" customFormat="false" ht="15.75" hidden="false" customHeight="true" outlineLevel="0" collapsed="false">
      <c r="A243" s="113"/>
      <c r="B243" s="102"/>
      <c r="C243" s="101" t="str">
        <f aca="false">IF($B243="","",IFERROR(VLOOKUP($B243,'Application Portfolio'!$A$2:$B$1000,2,FALSE()),""))</f>
        <v/>
      </c>
      <c r="D243" s="106"/>
      <c r="E243" s="106"/>
      <c r="F243" s="106"/>
      <c r="G243" s="106"/>
      <c r="H243" s="106"/>
      <c r="I243" s="103" t="str">
        <f aca="false">IF(OR($B243="", $D243="", $E243="", $F243="", $G243="", $H243=""),"",ROUND(($D243*Lists!$AD$20)+($E243*Lists!$AD$21)+($F243*Lists!$AD$22)+($G243*Lists!$AD$23)+($H243*Lists!$AD$24),2))</f>
        <v/>
      </c>
      <c r="J243" s="101"/>
      <c r="K243" s="105"/>
      <c r="L243" s="101"/>
    </row>
    <row r="244" customFormat="false" ht="15.75" hidden="false" customHeight="true" outlineLevel="0" collapsed="false">
      <c r="A244" s="113"/>
      <c r="B244" s="102"/>
      <c r="C244" s="101" t="str">
        <f aca="false">IF($B244="","",IFERROR(VLOOKUP($B244,'Application Portfolio'!$A$2:$B$1000,2,FALSE()),""))</f>
        <v/>
      </c>
      <c r="D244" s="106"/>
      <c r="E244" s="106"/>
      <c r="F244" s="106"/>
      <c r="G244" s="106"/>
      <c r="H244" s="106"/>
      <c r="I244" s="103" t="str">
        <f aca="false">IF(OR($B244="", $D244="", $E244="", $F244="", $G244="", $H244=""),"",ROUND(($D244*Lists!$AD$20)+($E244*Lists!$AD$21)+($F244*Lists!$AD$22)+($G244*Lists!$AD$23)+($H244*Lists!$AD$24),2))</f>
        <v/>
      </c>
      <c r="J244" s="101"/>
      <c r="K244" s="105"/>
      <c r="L244" s="101"/>
    </row>
    <row r="245" customFormat="false" ht="15.75" hidden="false" customHeight="true" outlineLevel="0" collapsed="false">
      <c r="A245" s="113"/>
      <c r="B245" s="102"/>
      <c r="C245" s="101" t="str">
        <f aca="false">IF($B245="","",IFERROR(VLOOKUP($B245,'Application Portfolio'!$A$2:$B$1000,2,FALSE()),""))</f>
        <v/>
      </c>
      <c r="D245" s="106"/>
      <c r="E245" s="106"/>
      <c r="F245" s="106"/>
      <c r="G245" s="106"/>
      <c r="H245" s="106"/>
      <c r="I245" s="103" t="str">
        <f aca="false">IF(OR($B245="", $D245="", $E245="", $F245="", $G245="", $H245=""),"",ROUND(($D245*Lists!$AD$20)+($E245*Lists!$AD$21)+($F245*Lists!$AD$22)+($G245*Lists!$AD$23)+($H245*Lists!$AD$24),2))</f>
        <v/>
      </c>
      <c r="J245" s="101"/>
      <c r="K245" s="105"/>
      <c r="L245" s="101"/>
    </row>
    <row r="246" customFormat="false" ht="15.75" hidden="false" customHeight="true" outlineLevel="0" collapsed="false">
      <c r="A246" s="113"/>
      <c r="B246" s="102"/>
      <c r="C246" s="101" t="str">
        <f aca="false">IF($B246="","",IFERROR(VLOOKUP($B246,'Application Portfolio'!$A$2:$B$1000,2,FALSE()),""))</f>
        <v/>
      </c>
      <c r="D246" s="106"/>
      <c r="E246" s="106"/>
      <c r="F246" s="106"/>
      <c r="G246" s="106"/>
      <c r="H246" s="106"/>
      <c r="I246" s="103" t="str">
        <f aca="false">IF(OR($B246="", $D246="", $E246="", $F246="", $G246="", $H246=""),"",ROUND(($D246*Lists!$AD$20)+($E246*Lists!$AD$21)+($F246*Lists!$AD$22)+($G246*Lists!$AD$23)+($H246*Lists!$AD$24),2))</f>
        <v/>
      </c>
      <c r="J246" s="101"/>
      <c r="K246" s="105"/>
      <c r="L246" s="101"/>
    </row>
    <row r="247" customFormat="false" ht="15.75" hidden="false" customHeight="true" outlineLevel="0" collapsed="false">
      <c r="A247" s="113"/>
      <c r="B247" s="102"/>
      <c r="C247" s="101" t="str">
        <f aca="false">IF($B247="","",IFERROR(VLOOKUP($B247,'Application Portfolio'!$A$2:$B$1000,2,FALSE()),""))</f>
        <v/>
      </c>
      <c r="D247" s="106"/>
      <c r="E247" s="106"/>
      <c r="F247" s="106"/>
      <c r="G247" s="106"/>
      <c r="H247" s="106"/>
      <c r="I247" s="103" t="str">
        <f aca="false">IF(OR($B247="", $D247="", $E247="", $F247="", $G247="", $H247=""),"",ROUND(($D247*Lists!$AD$20)+($E247*Lists!$AD$21)+($F247*Lists!$AD$22)+($G247*Lists!$AD$23)+($H247*Lists!$AD$24),2))</f>
        <v/>
      </c>
      <c r="J247" s="101"/>
      <c r="K247" s="105"/>
      <c r="L247" s="101"/>
    </row>
    <row r="248" customFormat="false" ht="15.75" hidden="false" customHeight="true" outlineLevel="0" collapsed="false">
      <c r="A248" s="113"/>
      <c r="B248" s="102"/>
      <c r="C248" s="101" t="str">
        <f aca="false">IF($B248="","",IFERROR(VLOOKUP($B248,'Application Portfolio'!$A$2:$B$1000,2,FALSE()),""))</f>
        <v/>
      </c>
      <c r="D248" s="106"/>
      <c r="E248" s="106"/>
      <c r="F248" s="106"/>
      <c r="G248" s="106"/>
      <c r="H248" s="106"/>
      <c r="I248" s="103" t="str">
        <f aca="false">IF(OR($B248="", $D248="", $E248="", $F248="", $G248="", $H248=""),"",ROUND(($D248*Lists!$AD$20)+($E248*Lists!$AD$21)+($F248*Lists!$AD$22)+($G248*Lists!$AD$23)+($H248*Lists!$AD$24),2))</f>
        <v/>
      </c>
      <c r="J248" s="101"/>
      <c r="K248" s="105"/>
      <c r="L248" s="101"/>
    </row>
    <row r="249" customFormat="false" ht="15.75" hidden="false" customHeight="true" outlineLevel="0" collapsed="false">
      <c r="A249" s="113"/>
      <c r="B249" s="102"/>
      <c r="C249" s="101" t="str">
        <f aca="false">IF($B249="","",IFERROR(VLOOKUP($B249,'Application Portfolio'!$A$2:$B$1000,2,FALSE()),""))</f>
        <v/>
      </c>
      <c r="D249" s="106"/>
      <c r="E249" s="106"/>
      <c r="F249" s="106"/>
      <c r="G249" s="106"/>
      <c r="H249" s="106"/>
      <c r="I249" s="103" t="str">
        <f aca="false">IF(OR($B249="", $D249="", $E249="", $F249="", $G249="", $H249=""),"",ROUND(($D249*Lists!$AD$20)+($E249*Lists!$AD$21)+($F249*Lists!$AD$22)+($G249*Lists!$AD$23)+($H249*Lists!$AD$24),2))</f>
        <v/>
      </c>
      <c r="J249" s="101"/>
      <c r="K249" s="105"/>
      <c r="L249" s="101"/>
    </row>
    <row r="250" customFormat="false" ht="15.75" hidden="false" customHeight="true" outlineLevel="0" collapsed="false">
      <c r="A250" s="113"/>
      <c r="B250" s="102"/>
      <c r="C250" s="101" t="str">
        <f aca="false">IF($B250="","",IFERROR(VLOOKUP($B250,'Application Portfolio'!$A$2:$B$1000,2,FALSE()),""))</f>
        <v/>
      </c>
      <c r="D250" s="106"/>
      <c r="E250" s="106"/>
      <c r="F250" s="106"/>
      <c r="G250" s="106"/>
      <c r="H250" s="106"/>
      <c r="I250" s="103" t="str">
        <f aca="false">IF(OR($B250="", $D250="", $E250="", $F250="", $G250="", $H250=""),"",ROUND(($D250*Lists!$AD$20)+($E250*Lists!$AD$21)+($F250*Lists!$AD$22)+($G250*Lists!$AD$23)+($H250*Lists!$AD$24),2))</f>
        <v/>
      </c>
      <c r="J250" s="101"/>
      <c r="K250" s="105"/>
      <c r="L250" s="101"/>
    </row>
    <row r="251" customFormat="false" ht="15.75" hidden="false" customHeight="true" outlineLevel="0" collapsed="false">
      <c r="A251" s="113"/>
      <c r="B251" s="102"/>
      <c r="C251" s="101" t="str">
        <f aca="false">IF($B251="","",IFERROR(VLOOKUP($B251,'Application Portfolio'!$A$2:$B$1000,2,FALSE()),""))</f>
        <v/>
      </c>
      <c r="D251" s="106"/>
      <c r="E251" s="106"/>
      <c r="F251" s="106"/>
      <c r="G251" s="106"/>
      <c r="H251" s="106"/>
      <c r="I251" s="103" t="str">
        <f aca="false">IF(OR($B251="", $D251="", $E251="", $F251="", $G251="", $H251=""),"",ROUND(($D251*Lists!$AD$20)+($E251*Lists!$AD$21)+($F251*Lists!$AD$22)+($G251*Lists!$AD$23)+($H251*Lists!$AD$24),2))</f>
        <v/>
      </c>
      <c r="J251" s="101"/>
      <c r="K251" s="105"/>
      <c r="L251" s="101"/>
    </row>
    <row r="252" customFormat="false" ht="15.75" hidden="false" customHeight="true" outlineLevel="0" collapsed="false">
      <c r="A252" s="113"/>
      <c r="B252" s="102"/>
      <c r="C252" s="101" t="str">
        <f aca="false">IF($B252="","",IFERROR(VLOOKUP($B252,'Application Portfolio'!$A$2:$B$1000,2,FALSE()),""))</f>
        <v/>
      </c>
      <c r="D252" s="106"/>
      <c r="E252" s="106"/>
      <c r="F252" s="106"/>
      <c r="G252" s="106"/>
      <c r="H252" s="106"/>
      <c r="I252" s="103" t="str">
        <f aca="false">IF(OR($B252="", $D252="", $E252="", $F252="", $G252="", $H252=""),"",ROUND(($D252*Lists!$AD$20)+($E252*Lists!$AD$21)+($F252*Lists!$AD$22)+($G252*Lists!$AD$23)+($H252*Lists!$AD$24),2))</f>
        <v/>
      </c>
      <c r="J252" s="101"/>
      <c r="K252" s="105"/>
      <c r="L252" s="101"/>
    </row>
    <row r="253" customFormat="false" ht="15.75" hidden="false" customHeight="true" outlineLevel="0" collapsed="false">
      <c r="A253" s="113"/>
      <c r="B253" s="102"/>
      <c r="C253" s="101" t="str">
        <f aca="false">IF($B253="","",IFERROR(VLOOKUP($B253,'Application Portfolio'!$A$2:$B$1000,2,FALSE()),""))</f>
        <v/>
      </c>
      <c r="D253" s="106"/>
      <c r="E253" s="106"/>
      <c r="F253" s="106"/>
      <c r="G253" s="106"/>
      <c r="H253" s="106"/>
      <c r="I253" s="103" t="str">
        <f aca="false">IF(OR($B253="", $D253="", $E253="", $F253="", $G253="", $H253=""),"",ROUND(($D253*Lists!$AD$20)+($E253*Lists!$AD$21)+($F253*Lists!$AD$22)+($G253*Lists!$AD$23)+($H253*Lists!$AD$24),2))</f>
        <v/>
      </c>
      <c r="J253" s="101"/>
      <c r="K253" s="105"/>
      <c r="L253" s="101"/>
    </row>
    <row r="254" customFormat="false" ht="15.75" hidden="false" customHeight="true" outlineLevel="0" collapsed="false">
      <c r="A254" s="113"/>
      <c r="B254" s="102"/>
      <c r="C254" s="101" t="str">
        <f aca="false">IF($B254="","",IFERROR(VLOOKUP($B254,'Application Portfolio'!$A$2:$B$1000,2,FALSE()),""))</f>
        <v/>
      </c>
      <c r="D254" s="106"/>
      <c r="E254" s="106"/>
      <c r="F254" s="106"/>
      <c r="G254" s="106"/>
      <c r="H254" s="106"/>
      <c r="I254" s="103" t="str">
        <f aca="false">IF(OR($B254="", $D254="", $E254="", $F254="", $G254="", $H254=""),"",ROUND(($D254*Lists!$AD$20)+($E254*Lists!$AD$21)+($F254*Lists!$AD$22)+($G254*Lists!$AD$23)+($H254*Lists!$AD$24),2))</f>
        <v/>
      </c>
      <c r="J254" s="101"/>
      <c r="K254" s="105"/>
      <c r="L254" s="101"/>
    </row>
    <row r="255" customFormat="false" ht="15.75" hidden="false" customHeight="true" outlineLevel="0" collapsed="false">
      <c r="A255" s="113"/>
      <c r="B255" s="102"/>
      <c r="C255" s="101" t="str">
        <f aca="false">IF($B255="","",IFERROR(VLOOKUP($B255,'Application Portfolio'!$A$2:$B$1000,2,FALSE()),""))</f>
        <v/>
      </c>
      <c r="D255" s="106"/>
      <c r="E255" s="106"/>
      <c r="F255" s="106"/>
      <c r="G255" s="106"/>
      <c r="H255" s="106"/>
      <c r="I255" s="103" t="str">
        <f aca="false">IF(OR($B255="", $D255="", $E255="", $F255="", $G255="", $H255=""),"",ROUND(($D255*Lists!$AD$20)+($E255*Lists!$AD$21)+($F255*Lists!$AD$22)+($G255*Lists!$AD$23)+($H255*Lists!$AD$24),2))</f>
        <v/>
      </c>
      <c r="J255" s="101"/>
      <c r="K255" s="105"/>
      <c r="L255" s="101"/>
    </row>
    <row r="256" customFormat="false" ht="15.75" hidden="false" customHeight="true" outlineLevel="0" collapsed="false">
      <c r="A256" s="113"/>
      <c r="B256" s="102"/>
      <c r="C256" s="101" t="str">
        <f aca="false">IF($B256="","",IFERROR(VLOOKUP($B256,'Application Portfolio'!$A$2:$B$1000,2,FALSE()),""))</f>
        <v/>
      </c>
      <c r="D256" s="106"/>
      <c r="E256" s="106"/>
      <c r="F256" s="106"/>
      <c r="G256" s="106"/>
      <c r="H256" s="106"/>
      <c r="I256" s="103" t="str">
        <f aca="false">IF(OR($B256="", $D256="", $E256="", $F256="", $G256="", $H256=""),"",ROUND(($D256*Lists!$AD$20)+($E256*Lists!$AD$21)+($F256*Lists!$AD$22)+($G256*Lists!$AD$23)+($H256*Lists!$AD$24),2))</f>
        <v/>
      </c>
      <c r="J256" s="101"/>
      <c r="K256" s="105"/>
      <c r="L256" s="101"/>
    </row>
    <row r="257" customFormat="false" ht="15.75" hidden="false" customHeight="true" outlineLevel="0" collapsed="false">
      <c r="A257" s="113"/>
      <c r="B257" s="102"/>
      <c r="C257" s="101" t="str">
        <f aca="false">IF($B257="","",IFERROR(VLOOKUP($B257,'Application Portfolio'!$A$2:$B$1000,2,FALSE()),""))</f>
        <v/>
      </c>
      <c r="D257" s="106"/>
      <c r="E257" s="106"/>
      <c r="F257" s="106"/>
      <c r="G257" s="106"/>
      <c r="H257" s="106"/>
      <c r="I257" s="103" t="str">
        <f aca="false">IF(OR($B257="", $D257="", $E257="", $F257="", $G257="", $H257=""),"",ROUND(($D257*Lists!$AD$20)+($E257*Lists!$AD$21)+($F257*Lists!$AD$22)+($G257*Lists!$AD$23)+($H257*Lists!$AD$24),2))</f>
        <v/>
      </c>
      <c r="J257" s="101"/>
      <c r="K257" s="105"/>
      <c r="L257" s="101"/>
    </row>
    <row r="258" customFormat="false" ht="15.75" hidden="false" customHeight="true" outlineLevel="0" collapsed="false">
      <c r="A258" s="113"/>
      <c r="B258" s="102"/>
      <c r="C258" s="101" t="str">
        <f aca="false">IF($B258="","",IFERROR(VLOOKUP($B258,'Application Portfolio'!$A$2:$B$1000,2,FALSE()),""))</f>
        <v/>
      </c>
      <c r="D258" s="106"/>
      <c r="E258" s="106"/>
      <c r="F258" s="106"/>
      <c r="G258" s="106"/>
      <c r="H258" s="106"/>
      <c r="I258" s="103" t="str">
        <f aca="false">IF(OR($B258="", $D258="", $E258="", $F258="", $G258="", $H258=""),"",ROUND(($D258*Lists!$AD$20)+($E258*Lists!$AD$21)+($F258*Lists!$AD$22)+($G258*Lists!$AD$23)+($H258*Lists!$AD$24),2))</f>
        <v/>
      </c>
      <c r="J258" s="101"/>
      <c r="K258" s="105"/>
      <c r="L258" s="101"/>
    </row>
    <row r="259" customFormat="false" ht="15.75" hidden="false" customHeight="true" outlineLevel="0" collapsed="false">
      <c r="A259" s="113"/>
      <c r="B259" s="102"/>
      <c r="C259" s="101" t="str">
        <f aca="false">IF($B259="","",IFERROR(VLOOKUP($B259,'Application Portfolio'!$A$2:$B$1000,2,FALSE()),""))</f>
        <v/>
      </c>
      <c r="D259" s="106"/>
      <c r="E259" s="106"/>
      <c r="F259" s="106"/>
      <c r="G259" s="106"/>
      <c r="H259" s="106"/>
      <c r="I259" s="103" t="str">
        <f aca="false">IF(OR($B259="", $D259="", $E259="", $F259="", $G259="", $H259=""),"",ROUND(($D259*Lists!$AD$20)+($E259*Lists!$AD$21)+($F259*Lists!$AD$22)+($G259*Lists!$AD$23)+($H259*Lists!$AD$24),2))</f>
        <v/>
      </c>
      <c r="J259" s="101"/>
      <c r="K259" s="105"/>
      <c r="L259" s="101"/>
    </row>
    <row r="260" customFormat="false" ht="15.75" hidden="false" customHeight="true" outlineLevel="0" collapsed="false">
      <c r="A260" s="113"/>
      <c r="B260" s="102"/>
      <c r="C260" s="101" t="str">
        <f aca="false">IF($B260="","",IFERROR(VLOOKUP($B260,'Application Portfolio'!$A$2:$B$1000,2,FALSE()),""))</f>
        <v/>
      </c>
      <c r="D260" s="106"/>
      <c r="E260" s="106"/>
      <c r="F260" s="106"/>
      <c r="G260" s="106"/>
      <c r="H260" s="106"/>
      <c r="I260" s="103" t="str">
        <f aca="false">IF(OR($B260="", $D260="", $E260="", $F260="", $G260="", $H260=""),"",ROUND(($D260*Lists!$AD$20)+($E260*Lists!$AD$21)+($F260*Lists!$AD$22)+($G260*Lists!$AD$23)+($H260*Lists!$AD$24),2))</f>
        <v/>
      </c>
      <c r="J260" s="101"/>
      <c r="K260" s="105"/>
      <c r="L260" s="101"/>
    </row>
    <row r="261" customFormat="false" ht="15.75" hidden="false" customHeight="true" outlineLevel="0" collapsed="false">
      <c r="A261" s="113"/>
      <c r="B261" s="102"/>
      <c r="C261" s="101" t="str">
        <f aca="false">IF($B261="","",IFERROR(VLOOKUP($B261,'Application Portfolio'!$A$2:$B$1000,2,FALSE()),""))</f>
        <v/>
      </c>
      <c r="D261" s="106"/>
      <c r="E261" s="106"/>
      <c r="F261" s="106"/>
      <c r="G261" s="106"/>
      <c r="H261" s="106"/>
      <c r="I261" s="103" t="str">
        <f aca="false">IF(OR($B261="", $D261="", $E261="", $F261="", $G261="", $H261=""),"",ROUND(($D261*Lists!$AD$20)+($E261*Lists!$AD$21)+($F261*Lists!$AD$22)+($G261*Lists!$AD$23)+($H261*Lists!$AD$24),2))</f>
        <v/>
      </c>
      <c r="J261" s="101"/>
      <c r="K261" s="105"/>
      <c r="L261" s="101"/>
    </row>
    <row r="262" customFormat="false" ht="15.75" hidden="false" customHeight="true" outlineLevel="0" collapsed="false">
      <c r="A262" s="113"/>
      <c r="B262" s="102"/>
      <c r="C262" s="101" t="str">
        <f aca="false">IF($B262="","",IFERROR(VLOOKUP($B262,'Application Portfolio'!$A$2:$B$1000,2,FALSE()),""))</f>
        <v/>
      </c>
      <c r="D262" s="106"/>
      <c r="E262" s="106"/>
      <c r="F262" s="106"/>
      <c r="G262" s="106"/>
      <c r="H262" s="106"/>
      <c r="I262" s="103" t="str">
        <f aca="false">IF(OR($B262="", $D262="", $E262="", $F262="", $G262="", $H262=""),"",ROUND(($D262*Lists!$AD$20)+($E262*Lists!$AD$21)+($F262*Lists!$AD$22)+($G262*Lists!$AD$23)+($H262*Lists!$AD$24),2))</f>
        <v/>
      </c>
      <c r="J262" s="101"/>
      <c r="K262" s="105"/>
      <c r="L262" s="101"/>
    </row>
    <row r="263" customFormat="false" ht="15.75" hidden="false" customHeight="true" outlineLevel="0" collapsed="false">
      <c r="A263" s="113"/>
      <c r="B263" s="102"/>
      <c r="C263" s="101" t="str">
        <f aca="false">IF($B263="","",IFERROR(VLOOKUP($B263,'Application Portfolio'!$A$2:$B$1000,2,FALSE()),""))</f>
        <v/>
      </c>
      <c r="D263" s="106"/>
      <c r="E263" s="106"/>
      <c r="F263" s="106"/>
      <c r="G263" s="106"/>
      <c r="H263" s="106"/>
      <c r="I263" s="103" t="str">
        <f aca="false">IF(OR($B263="", $D263="", $E263="", $F263="", $G263="", $H263=""),"",ROUND(($D263*Lists!$AD$20)+($E263*Lists!$AD$21)+($F263*Lists!$AD$22)+($G263*Lists!$AD$23)+($H263*Lists!$AD$24),2))</f>
        <v/>
      </c>
      <c r="J263" s="101"/>
      <c r="K263" s="105"/>
      <c r="L263" s="101"/>
    </row>
    <row r="264" customFormat="false" ht="15.75" hidden="false" customHeight="true" outlineLevel="0" collapsed="false">
      <c r="A264" s="113"/>
      <c r="B264" s="102"/>
      <c r="C264" s="101" t="str">
        <f aca="false">IF($B264="","",IFERROR(VLOOKUP($B264,'Application Portfolio'!$A$2:$B$1000,2,FALSE()),""))</f>
        <v/>
      </c>
      <c r="D264" s="106"/>
      <c r="E264" s="106"/>
      <c r="F264" s="106"/>
      <c r="G264" s="106"/>
      <c r="H264" s="106"/>
      <c r="I264" s="103" t="str">
        <f aca="false">IF(OR($B264="", $D264="", $E264="", $F264="", $G264="", $H264=""),"",ROUND(($D264*Lists!$AD$20)+($E264*Lists!$AD$21)+($F264*Lists!$AD$22)+($G264*Lists!$AD$23)+($H264*Lists!$AD$24),2))</f>
        <v/>
      </c>
      <c r="J264" s="101"/>
      <c r="K264" s="105"/>
      <c r="L264" s="101"/>
    </row>
    <row r="265" customFormat="false" ht="15.75" hidden="false" customHeight="true" outlineLevel="0" collapsed="false">
      <c r="A265" s="113"/>
      <c r="B265" s="102"/>
      <c r="C265" s="101" t="str">
        <f aca="false">IF($B265="","",IFERROR(VLOOKUP($B265,'Application Portfolio'!$A$2:$B$1000,2,FALSE()),""))</f>
        <v/>
      </c>
      <c r="D265" s="106"/>
      <c r="E265" s="106"/>
      <c r="F265" s="106"/>
      <c r="G265" s="106"/>
      <c r="H265" s="106"/>
      <c r="I265" s="103" t="str">
        <f aca="false">IF(OR($B265="", $D265="", $E265="", $F265="", $G265="", $H265=""),"",ROUND(($D265*Lists!$AD$20)+($E265*Lists!$AD$21)+($F265*Lists!$AD$22)+($G265*Lists!$AD$23)+($H265*Lists!$AD$24),2))</f>
        <v/>
      </c>
      <c r="J265" s="101"/>
      <c r="K265" s="105"/>
      <c r="L265" s="101"/>
    </row>
    <row r="266" customFormat="false" ht="15.75" hidden="false" customHeight="true" outlineLevel="0" collapsed="false">
      <c r="A266" s="113"/>
      <c r="B266" s="102"/>
      <c r="C266" s="101" t="str">
        <f aca="false">IF($B266="","",IFERROR(VLOOKUP($B266,'Application Portfolio'!$A$2:$B$1000,2,FALSE()),""))</f>
        <v/>
      </c>
      <c r="D266" s="106"/>
      <c r="E266" s="106"/>
      <c r="F266" s="106"/>
      <c r="G266" s="106"/>
      <c r="H266" s="106"/>
      <c r="I266" s="103" t="str">
        <f aca="false">IF(OR($B266="", $D266="", $E266="", $F266="", $G266="", $H266=""),"",ROUND(($D266*Lists!$AD$20)+($E266*Lists!$AD$21)+($F266*Lists!$AD$22)+($G266*Lists!$AD$23)+($H266*Lists!$AD$24),2))</f>
        <v/>
      </c>
      <c r="J266" s="101"/>
      <c r="K266" s="105"/>
      <c r="L266" s="101"/>
    </row>
    <row r="267" customFormat="false" ht="15.75" hidden="false" customHeight="true" outlineLevel="0" collapsed="false">
      <c r="A267" s="113"/>
      <c r="B267" s="102"/>
      <c r="C267" s="101" t="str">
        <f aca="false">IF($B267="","",IFERROR(VLOOKUP($B267,'Application Portfolio'!$A$2:$B$1000,2,FALSE()),""))</f>
        <v/>
      </c>
      <c r="D267" s="106"/>
      <c r="E267" s="106"/>
      <c r="F267" s="106"/>
      <c r="G267" s="106"/>
      <c r="H267" s="106"/>
      <c r="I267" s="103" t="str">
        <f aca="false">IF(OR($B267="", $D267="", $E267="", $F267="", $G267="", $H267=""),"",ROUND(($D267*Lists!$AD$20)+($E267*Lists!$AD$21)+($F267*Lists!$AD$22)+($G267*Lists!$AD$23)+($H267*Lists!$AD$24),2))</f>
        <v/>
      </c>
      <c r="J267" s="101"/>
      <c r="K267" s="105"/>
      <c r="L267" s="101"/>
    </row>
    <row r="268" customFormat="false" ht="15.75" hidden="false" customHeight="true" outlineLevel="0" collapsed="false">
      <c r="A268" s="113"/>
      <c r="B268" s="102"/>
      <c r="C268" s="101" t="str">
        <f aca="false">IF($B268="","",IFERROR(VLOOKUP($B268,'Application Portfolio'!$A$2:$B$1000,2,FALSE()),""))</f>
        <v/>
      </c>
      <c r="D268" s="106"/>
      <c r="E268" s="106"/>
      <c r="F268" s="106"/>
      <c r="G268" s="106"/>
      <c r="H268" s="106"/>
      <c r="I268" s="103" t="str">
        <f aca="false">IF(OR($B268="", $D268="", $E268="", $F268="", $G268="", $H268=""),"",ROUND(($D268*Lists!$AD$20)+($E268*Lists!$AD$21)+($F268*Lists!$AD$22)+($G268*Lists!$AD$23)+($H268*Lists!$AD$24),2))</f>
        <v/>
      </c>
      <c r="J268" s="101"/>
      <c r="K268" s="105"/>
      <c r="L268" s="101"/>
    </row>
    <row r="269" customFormat="false" ht="15.75" hidden="false" customHeight="true" outlineLevel="0" collapsed="false">
      <c r="A269" s="113"/>
      <c r="B269" s="102"/>
      <c r="C269" s="101" t="str">
        <f aca="false">IF($B269="","",IFERROR(VLOOKUP($B269,'Application Portfolio'!$A$2:$B$1000,2,FALSE()),""))</f>
        <v/>
      </c>
      <c r="D269" s="106"/>
      <c r="E269" s="106"/>
      <c r="F269" s="106"/>
      <c r="G269" s="106"/>
      <c r="H269" s="106"/>
      <c r="I269" s="103" t="str">
        <f aca="false">IF(OR($B269="", $D269="", $E269="", $F269="", $G269="", $H269=""),"",ROUND(($D269*Lists!$AD$20)+($E269*Lists!$AD$21)+($F269*Lists!$AD$22)+($G269*Lists!$AD$23)+($H269*Lists!$AD$24),2))</f>
        <v/>
      </c>
      <c r="J269" s="101"/>
      <c r="K269" s="105"/>
      <c r="L269" s="101"/>
    </row>
    <row r="270" customFormat="false" ht="15.75" hidden="false" customHeight="true" outlineLevel="0" collapsed="false">
      <c r="A270" s="113"/>
      <c r="B270" s="102"/>
      <c r="C270" s="101" t="str">
        <f aca="false">IF($B270="","",IFERROR(VLOOKUP($B270,'Application Portfolio'!$A$2:$B$1000,2,FALSE()),""))</f>
        <v/>
      </c>
      <c r="D270" s="106"/>
      <c r="E270" s="106"/>
      <c r="F270" s="106"/>
      <c r="G270" s="106"/>
      <c r="H270" s="106"/>
      <c r="I270" s="103" t="str">
        <f aca="false">IF(OR($B270="", $D270="", $E270="", $F270="", $G270="", $H270=""),"",ROUND(($D270*Lists!$AD$20)+($E270*Lists!$AD$21)+($F270*Lists!$AD$22)+($G270*Lists!$AD$23)+($H270*Lists!$AD$24),2))</f>
        <v/>
      </c>
      <c r="J270" s="101"/>
      <c r="K270" s="105"/>
      <c r="L270" s="101"/>
    </row>
    <row r="271" customFormat="false" ht="15.75" hidden="false" customHeight="true" outlineLevel="0" collapsed="false">
      <c r="A271" s="113"/>
      <c r="B271" s="102"/>
      <c r="C271" s="101" t="str">
        <f aca="false">IF($B271="","",IFERROR(VLOOKUP($B271,'Application Portfolio'!$A$2:$B$1000,2,FALSE()),""))</f>
        <v/>
      </c>
      <c r="D271" s="106"/>
      <c r="E271" s="106"/>
      <c r="F271" s="106"/>
      <c r="G271" s="106"/>
      <c r="H271" s="106"/>
      <c r="I271" s="103" t="str">
        <f aca="false">IF(OR($B271="", $D271="", $E271="", $F271="", $G271="", $H271=""),"",ROUND(($D271*Lists!$AD$20)+($E271*Lists!$AD$21)+($F271*Lists!$AD$22)+($G271*Lists!$AD$23)+($H271*Lists!$AD$24),2))</f>
        <v/>
      </c>
      <c r="J271" s="101"/>
      <c r="K271" s="105"/>
      <c r="L271" s="101"/>
    </row>
    <row r="272" customFormat="false" ht="15.75" hidden="false" customHeight="true" outlineLevel="0" collapsed="false">
      <c r="A272" s="113"/>
      <c r="B272" s="102"/>
      <c r="C272" s="101" t="str">
        <f aca="false">IF($B272="","",IFERROR(VLOOKUP($B272,'Application Portfolio'!$A$2:$B$1000,2,FALSE()),""))</f>
        <v/>
      </c>
      <c r="D272" s="106"/>
      <c r="E272" s="106"/>
      <c r="F272" s="106"/>
      <c r="G272" s="106"/>
      <c r="H272" s="106"/>
      <c r="I272" s="103" t="str">
        <f aca="false">IF(OR($B272="", $D272="", $E272="", $F272="", $G272="", $H272=""),"",ROUND(($D272*Lists!$AD$20)+($E272*Lists!$AD$21)+($F272*Lists!$AD$22)+($G272*Lists!$AD$23)+($H272*Lists!$AD$24),2))</f>
        <v/>
      </c>
      <c r="J272" s="101"/>
      <c r="K272" s="105"/>
      <c r="L272" s="101"/>
    </row>
    <row r="273" customFormat="false" ht="15.75" hidden="false" customHeight="true" outlineLevel="0" collapsed="false">
      <c r="A273" s="113"/>
      <c r="B273" s="102"/>
      <c r="C273" s="101" t="str">
        <f aca="false">IF($B273="","",IFERROR(VLOOKUP($B273,'Application Portfolio'!$A$2:$B$1000,2,FALSE()),""))</f>
        <v/>
      </c>
      <c r="D273" s="106"/>
      <c r="E273" s="106"/>
      <c r="F273" s="106"/>
      <c r="G273" s="106"/>
      <c r="H273" s="106"/>
      <c r="I273" s="103" t="str">
        <f aca="false">IF(OR($B273="", $D273="", $E273="", $F273="", $G273="", $H273=""),"",ROUND(($D273*Lists!$AD$20)+($E273*Lists!$AD$21)+($F273*Lists!$AD$22)+($G273*Lists!$AD$23)+($H273*Lists!$AD$24),2))</f>
        <v/>
      </c>
      <c r="J273" s="101"/>
      <c r="K273" s="105"/>
      <c r="L273" s="101"/>
    </row>
    <row r="274" customFormat="false" ht="15.75" hidden="false" customHeight="true" outlineLevel="0" collapsed="false">
      <c r="A274" s="113"/>
      <c r="B274" s="102"/>
      <c r="C274" s="101" t="str">
        <f aca="false">IF($B274="","",IFERROR(VLOOKUP($B274,'Application Portfolio'!$A$2:$B$1000,2,FALSE()),""))</f>
        <v/>
      </c>
      <c r="D274" s="106"/>
      <c r="E274" s="106"/>
      <c r="F274" s="106"/>
      <c r="G274" s="106"/>
      <c r="H274" s="106"/>
      <c r="I274" s="103" t="str">
        <f aca="false">IF(OR($B274="", $D274="", $E274="", $F274="", $G274="", $H274=""),"",ROUND(($D274*Lists!$AD$20)+($E274*Lists!$AD$21)+($F274*Lists!$AD$22)+($G274*Lists!$AD$23)+($H274*Lists!$AD$24),2))</f>
        <v/>
      </c>
      <c r="J274" s="101"/>
      <c r="K274" s="105"/>
      <c r="L274" s="101"/>
    </row>
    <row r="275" customFormat="false" ht="15.75" hidden="false" customHeight="true" outlineLevel="0" collapsed="false">
      <c r="A275" s="113"/>
      <c r="B275" s="102"/>
      <c r="C275" s="101" t="str">
        <f aca="false">IF($B275="","",IFERROR(VLOOKUP($B275,'Application Portfolio'!$A$2:$B$1000,2,FALSE()),""))</f>
        <v/>
      </c>
      <c r="D275" s="106"/>
      <c r="E275" s="106"/>
      <c r="F275" s="106"/>
      <c r="G275" s="106"/>
      <c r="H275" s="106"/>
      <c r="I275" s="103" t="str">
        <f aca="false">IF(OR($B275="", $D275="", $E275="", $F275="", $G275="", $H275=""),"",ROUND(($D275*Lists!$AD$20)+($E275*Lists!$AD$21)+($F275*Lists!$AD$22)+($G275*Lists!$AD$23)+($H275*Lists!$AD$24),2))</f>
        <v/>
      </c>
      <c r="J275" s="101"/>
      <c r="K275" s="105"/>
      <c r="L275" s="101"/>
    </row>
    <row r="276" customFormat="false" ht="15.75" hidden="false" customHeight="true" outlineLevel="0" collapsed="false">
      <c r="A276" s="113"/>
      <c r="B276" s="102"/>
      <c r="C276" s="101" t="str">
        <f aca="false">IF($B276="","",IFERROR(VLOOKUP($B276,'Application Portfolio'!$A$2:$B$1000,2,FALSE()),""))</f>
        <v/>
      </c>
      <c r="D276" s="106"/>
      <c r="E276" s="106"/>
      <c r="F276" s="106"/>
      <c r="G276" s="106"/>
      <c r="H276" s="106"/>
      <c r="I276" s="103" t="str">
        <f aca="false">IF(OR($B276="", $D276="", $E276="", $F276="", $G276="", $H276=""),"",ROUND(($D276*Lists!$AD$20)+($E276*Lists!$AD$21)+($F276*Lists!$AD$22)+($G276*Lists!$AD$23)+($H276*Lists!$AD$24),2))</f>
        <v/>
      </c>
      <c r="J276" s="101"/>
      <c r="K276" s="105"/>
      <c r="L276" s="101"/>
    </row>
    <row r="277" customFormat="false" ht="15.75" hidden="false" customHeight="true" outlineLevel="0" collapsed="false">
      <c r="A277" s="113"/>
      <c r="B277" s="102"/>
      <c r="C277" s="101" t="str">
        <f aca="false">IF($B277="","",IFERROR(VLOOKUP($B277,'Application Portfolio'!$A$2:$B$1000,2,FALSE()),""))</f>
        <v/>
      </c>
      <c r="D277" s="106"/>
      <c r="E277" s="106"/>
      <c r="F277" s="106"/>
      <c r="G277" s="106"/>
      <c r="H277" s="106"/>
      <c r="I277" s="103" t="str">
        <f aca="false">IF(OR($B277="", $D277="", $E277="", $F277="", $G277="", $H277=""),"",ROUND(($D277*Lists!$AD$20)+($E277*Lists!$AD$21)+($F277*Lists!$AD$22)+($G277*Lists!$AD$23)+($H277*Lists!$AD$24),2))</f>
        <v/>
      </c>
      <c r="J277" s="101"/>
      <c r="K277" s="105"/>
      <c r="L277" s="101"/>
    </row>
    <row r="278" customFormat="false" ht="15.75" hidden="false" customHeight="true" outlineLevel="0" collapsed="false">
      <c r="A278" s="113"/>
      <c r="B278" s="102"/>
      <c r="C278" s="101" t="str">
        <f aca="false">IF($B278="","",IFERROR(VLOOKUP($B278,'Application Portfolio'!$A$2:$B$1000,2,FALSE()),""))</f>
        <v/>
      </c>
      <c r="D278" s="106"/>
      <c r="E278" s="106"/>
      <c r="F278" s="106"/>
      <c r="G278" s="106"/>
      <c r="H278" s="106"/>
      <c r="I278" s="103" t="str">
        <f aca="false">IF(OR($B278="", $D278="", $E278="", $F278="", $G278="", $H278=""),"",ROUND(($D278*Lists!$AD$20)+($E278*Lists!$AD$21)+($F278*Lists!$AD$22)+($G278*Lists!$AD$23)+($H278*Lists!$AD$24),2))</f>
        <v/>
      </c>
      <c r="J278" s="101"/>
      <c r="K278" s="105"/>
      <c r="L278" s="101"/>
    </row>
    <row r="279" customFormat="false" ht="15.75" hidden="false" customHeight="true" outlineLevel="0" collapsed="false">
      <c r="A279" s="113"/>
      <c r="B279" s="102"/>
      <c r="C279" s="101" t="str">
        <f aca="false">IF($B279="","",IFERROR(VLOOKUP($B279,'Application Portfolio'!$A$2:$B$1000,2,FALSE()),""))</f>
        <v/>
      </c>
      <c r="D279" s="106"/>
      <c r="E279" s="106"/>
      <c r="F279" s="106"/>
      <c r="G279" s="106"/>
      <c r="H279" s="106"/>
      <c r="I279" s="103" t="str">
        <f aca="false">IF(OR($B279="", $D279="", $E279="", $F279="", $G279="", $H279=""),"",ROUND(($D279*Lists!$AD$20)+($E279*Lists!$AD$21)+($F279*Lists!$AD$22)+($G279*Lists!$AD$23)+($H279*Lists!$AD$24),2))</f>
        <v/>
      </c>
      <c r="J279" s="101"/>
      <c r="K279" s="105"/>
      <c r="L279" s="101"/>
    </row>
    <row r="280" customFormat="false" ht="15.75" hidden="false" customHeight="true" outlineLevel="0" collapsed="false">
      <c r="A280" s="113"/>
      <c r="B280" s="102"/>
      <c r="C280" s="101" t="str">
        <f aca="false">IF($B280="","",IFERROR(VLOOKUP($B280,'Application Portfolio'!$A$2:$B$1000,2,FALSE()),""))</f>
        <v/>
      </c>
      <c r="D280" s="106"/>
      <c r="E280" s="106"/>
      <c r="F280" s="106"/>
      <c r="G280" s="106"/>
      <c r="H280" s="106"/>
      <c r="I280" s="103" t="str">
        <f aca="false">IF(OR($B280="", $D280="", $E280="", $F280="", $G280="", $H280=""),"",ROUND(($D280*Lists!$AD$20)+($E280*Lists!$AD$21)+($F280*Lists!$AD$22)+($G280*Lists!$AD$23)+($H280*Lists!$AD$24),2))</f>
        <v/>
      </c>
      <c r="J280" s="101"/>
      <c r="K280" s="105"/>
      <c r="L280" s="101"/>
    </row>
    <row r="281" customFormat="false" ht="15.75" hidden="false" customHeight="true" outlineLevel="0" collapsed="false">
      <c r="A281" s="113"/>
      <c r="B281" s="102"/>
      <c r="C281" s="101" t="str">
        <f aca="false">IF($B281="","",IFERROR(VLOOKUP($B281,'Application Portfolio'!$A$2:$B$1000,2,FALSE()),""))</f>
        <v/>
      </c>
      <c r="D281" s="106"/>
      <c r="E281" s="106"/>
      <c r="F281" s="106"/>
      <c r="G281" s="106"/>
      <c r="H281" s="106"/>
      <c r="I281" s="103" t="str">
        <f aca="false">IF(OR($B281="", $D281="", $E281="", $F281="", $G281="", $H281=""),"",ROUND(($D281*Lists!$AD$20)+($E281*Lists!$AD$21)+($F281*Lists!$AD$22)+($G281*Lists!$AD$23)+($H281*Lists!$AD$24),2))</f>
        <v/>
      </c>
      <c r="J281" s="101"/>
      <c r="K281" s="105"/>
      <c r="L281" s="101"/>
    </row>
    <row r="282" customFormat="false" ht="15.75" hidden="false" customHeight="true" outlineLevel="0" collapsed="false">
      <c r="A282" s="113"/>
      <c r="B282" s="102"/>
      <c r="C282" s="101" t="str">
        <f aca="false">IF($B282="","",IFERROR(VLOOKUP($B282,'Application Portfolio'!$A$2:$B$1000,2,FALSE()),""))</f>
        <v/>
      </c>
      <c r="D282" s="106"/>
      <c r="E282" s="106"/>
      <c r="F282" s="106"/>
      <c r="G282" s="106"/>
      <c r="H282" s="106"/>
      <c r="I282" s="103" t="str">
        <f aca="false">IF(OR($B282="", $D282="", $E282="", $F282="", $G282="", $H282=""),"",ROUND(($D282*Lists!$AD$20)+($E282*Lists!$AD$21)+($F282*Lists!$AD$22)+($G282*Lists!$AD$23)+($H282*Lists!$AD$24),2))</f>
        <v/>
      </c>
      <c r="J282" s="101"/>
      <c r="K282" s="105"/>
      <c r="L282" s="101"/>
    </row>
    <row r="283" customFormat="false" ht="15.75" hidden="false" customHeight="true" outlineLevel="0" collapsed="false">
      <c r="A283" s="113"/>
      <c r="B283" s="102"/>
      <c r="C283" s="101" t="str">
        <f aca="false">IF($B283="","",IFERROR(VLOOKUP($B283,'Application Portfolio'!$A$2:$B$1000,2,FALSE()),""))</f>
        <v/>
      </c>
      <c r="D283" s="106"/>
      <c r="E283" s="106"/>
      <c r="F283" s="106"/>
      <c r="G283" s="106"/>
      <c r="H283" s="106"/>
      <c r="I283" s="103" t="str">
        <f aca="false">IF(OR($B283="", $D283="", $E283="", $F283="", $G283="", $H283=""),"",ROUND(($D283*Lists!$AD$20)+($E283*Lists!$AD$21)+($F283*Lists!$AD$22)+($G283*Lists!$AD$23)+($H283*Lists!$AD$24),2))</f>
        <v/>
      </c>
      <c r="J283" s="101"/>
      <c r="K283" s="105"/>
      <c r="L283" s="101"/>
    </row>
    <row r="284" customFormat="false" ht="15.75" hidden="false" customHeight="true" outlineLevel="0" collapsed="false">
      <c r="A284" s="113"/>
      <c r="B284" s="102"/>
      <c r="C284" s="101" t="str">
        <f aca="false">IF($B284="","",IFERROR(VLOOKUP($B284,'Application Portfolio'!$A$2:$B$1000,2,FALSE()),""))</f>
        <v/>
      </c>
      <c r="D284" s="106"/>
      <c r="E284" s="106"/>
      <c r="F284" s="106"/>
      <c r="G284" s="106"/>
      <c r="H284" s="106"/>
      <c r="I284" s="103" t="str">
        <f aca="false">IF(OR($B284="", $D284="", $E284="", $F284="", $G284="", $H284=""),"",ROUND(($D284*Lists!$AD$20)+($E284*Lists!$AD$21)+($F284*Lists!$AD$22)+($G284*Lists!$AD$23)+($H284*Lists!$AD$24),2))</f>
        <v/>
      </c>
      <c r="J284" s="101"/>
      <c r="K284" s="105"/>
      <c r="L284" s="101"/>
    </row>
    <row r="285" customFormat="false" ht="15.75" hidden="false" customHeight="true" outlineLevel="0" collapsed="false">
      <c r="A285" s="113"/>
      <c r="B285" s="102"/>
      <c r="C285" s="101" t="str">
        <f aca="false">IF($B285="","",IFERROR(VLOOKUP($B285,'Application Portfolio'!$A$2:$B$1000,2,FALSE()),""))</f>
        <v/>
      </c>
      <c r="D285" s="106"/>
      <c r="E285" s="106"/>
      <c r="F285" s="106"/>
      <c r="G285" s="106"/>
      <c r="H285" s="106"/>
      <c r="I285" s="103" t="str">
        <f aca="false">IF(OR($B285="", $D285="", $E285="", $F285="", $G285="", $H285=""),"",ROUND(($D285*Lists!$AD$20)+($E285*Lists!$AD$21)+($F285*Lists!$AD$22)+($G285*Lists!$AD$23)+($H285*Lists!$AD$24),2))</f>
        <v/>
      </c>
      <c r="J285" s="101"/>
      <c r="K285" s="105"/>
      <c r="L285" s="101"/>
    </row>
    <row r="286" customFormat="false" ht="15.75" hidden="false" customHeight="true" outlineLevel="0" collapsed="false">
      <c r="A286" s="113"/>
      <c r="B286" s="102"/>
      <c r="C286" s="101" t="str">
        <f aca="false">IF($B286="","",IFERROR(VLOOKUP($B286,'Application Portfolio'!$A$2:$B$1000,2,FALSE()),""))</f>
        <v/>
      </c>
      <c r="D286" s="106"/>
      <c r="E286" s="106"/>
      <c r="F286" s="106"/>
      <c r="G286" s="106"/>
      <c r="H286" s="106"/>
      <c r="I286" s="103" t="str">
        <f aca="false">IF(OR($B286="", $D286="", $E286="", $F286="", $G286="", $H286=""),"",ROUND(($D286*Lists!$AD$20)+($E286*Lists!$AD$21)+($F286*Lists!$AD$22)+($G286*Lists!$AD$23)+($H286*Lists!$AD$24),2))</f>
        <v/>
      </c>
      <c r="J286" s="101"/>
      <c r="K286" s="105"/>
      <c r="L286" s="101"/>
    </row>
    <row r="287" customFormat="false" ht="15.75" hidden="false" customHeight="true" outlineLevel="0" collapsed="false">
      <c r="A287" s="113"/>
      <c r="B287" s="102"/>
      <c r="C287" s="101" t="str">
        <f aca="false">IF($B287="","",IFERROR(VLOOKUP($B287,'Application Portfolio'!$A$2:$B$1000,2,FALSE()),""))</f>
        <v/>
      </c>
      <c r="D287" s="106"/>
      <c r="E287" s="106"/>
      <c r="F287" s="106"/>
      <c r="G287" s="106"/>
      <c r="H287" s="106"/>
      <c r="I287" s="103" t="str">
        <f aca="false">IF(OR($B287="", $D287="", $E287="", $F287="", $G287="", $H287=""),"",ROUND(($D287*Lists!$AD$20)+($E287*Lists!$AD$21)+($F287*Lists!$AD$22)+($G287*Lists!$AD$23)+($H287*Lists!$AD$24),2))</f>
        <v/>
      </c>
      <c r="J287" s="101"/>
      <c r="K287" s="105"/>
      <c r="L287" s="101"/>
    </row>
    <row r="288" customFormat="false" ht="15.75" hidden="false" customHeight="true" outlineLevel="0" collapsed="false">
      <c r="A288" s="113"/>
      <c r="B288" s="102"/>
      <c r="C288" s="101" t="str">
        <f aca="false">IF($B288="","",IFERROR(VLOOKUP($B288,'Application Portfolio'!$A$2:$B$1000,2,FALSE()),""))</f>
        <v/>
      </c>
      <c r="D288" s="106"/>
      <c r="E288" s="106"/>
      <c r="F288" s="106"/>
      <c r="G288" s="106"/>
      <c r="H288" s="106"/>
      <c r="I288" s="103" t="str">
        <f aca="false">IF(OR($B288="", $D288="", $E288="", $F288="", $G288="", $H288=""),"",ROUND(($D288*Lists!$AD$20)+($E288*Lists!$AD$21)+($F288*Lists!$AD$22)+($G288*Lists!$AD$23)+($H288*Lists!$AD$24),2))</f>
        <v/>
      </c>
      <c r="J288" s="101"/>
      <c r="K288" s="105"/>
      <c r="L288" s="101"/>
    </row>
    <row r="289" customFormat="false" ht="15.75" hidden="false" customHeight="true" outlineLevel="0" collapsed="false">
      <c r="A289" s="113"/>
      <c r="B289" s="102"/>
      <c r="C289" s="101" t="str">
        <f aca="false">IF($B289="","",IFERROR(VLOOKUP($B289,'Application Portfolio'!$A$2:$B$1000,2,FALSE()),""))</f>
        <v/>
      </c>
      <c r="D289" s="106"/>
      <c r="E289" s="106"/>
      <c r="F289" s="106"/>
      <c r="G289" s="106"/>
      <c r="H289" s="106"/>
      <c r="I289" s="103" t="str">
        <f aca="false">IF(OR($B289="", $D289="", $E289="", $F289="", $G289="", $H289=""),"",ROUND(($D289*Lists!$AD$20)+($E289*Lists!$AD$21)+($F289*Lists!$AD$22)+($G289*Lists!$AD$23)+($H289*Lists!$AD$24),2))</f>
        <v/>
      </c>
      <c r="J289" s="101"/>
      <c r="K289" s="105"/>
      <c r="L289" s="101"/>
    </row>
    <row r="290" customFormat="false" ht="15.75" hidden="false" customHeight="true" outlineLevel="0" collapsed="false">
      <c r="A290" s="113"/>
      <c r="B290" s="102"/>
      <c r="C290" s="101" t="str">
        <f aca="false">IF($B290="","",IFERROR(VLOOKUP($B290,'Application Portfolio'!$A$2:$B$1000,2,FALSE()),""))</f>
        <v/>
      </c>
      <c r="D290" s="106"/>
      <c r="E290" s="106"/>
      <c r="F290" s="106"/>
      <c r="G290" s="106"/>
      <c r="H290" s="106"/>
      <c r="I290" s="103" t="str">
        <f aca="false">IF(OR($B290="", $D290="", $E290="", $F290="", $G290="", $H290=""),"",ROUND(($D290*Lists!$AD$20)+($E290*Lists!$AD$21)+($F290*Lists!$AD$22)+($G290*Lists!$AD$23)+($H290*Lists!$AD$24),2))</f>
        <v/>
      </c>
      <c r="J290" s="101"/>
      <c r="K290" s="105"/>
      <c r="L290" s="101"/>
    </row>
    <row r="291" customFormat="false" ht="15.75" hidden="false" customHeight="true" outlineLevel="0" collapsed="false">
      <c r="A291" s="113"/>
      <c r="B291" s="102"/>
      <c r="C291" s="101" t="str">
        <f aca="false">IF($B291="","",IFERROR(VLOOKUP($B291,'Application Portfolio'!$A$2:$B$1000,2,FALSE()),""))</f>
        <v/>
      </c>
      <c r="D291" s="106"/>
      <c r="E291" s="106"/>
      <c r="F291" s="106"/>
      <c r="G291" s="106"/>
      <c r="H291" s="106"/>
      <c r="I291" s="103" t="str">
        <f aca="false">IF(OR($B291="", $D291="", $E291="", $F291="", $G291="", $H291=""),"",ROUND(($D291*Lists!$AD$20)+($E291*Lists!$AD$21)+($F291*Lists!$AD$22)+($G291*Lists!$AD$23)+($H291*Lists!$AD$24),2))</f>
        <v/>
      </c>
      <c r="J291" s="101"/>
      <c r="K291" s="105"/>
      <c r="L291" s="101"/>
    </row>
    <row r="292" customFormat="false" ht="15.75" hidden="false" customHeight="true" outlineLevel="0" collapsed="false">
      <c r="A292" s="113"/>
      <c r="B292" s="102"/>
      <c r="C292" s="101" t="str">
        <f aca="false">IF($B292="","",IFERROR(VLOOKUP($B292,'Application Portfolio'!$A$2:$B$1000,2,FALSE()),""))</f>
        <v/>
      </c>
      <c r="D292" s="106"/>
      <c r="E292" s="106"/>
      <c r="F292" s="106"/>
      <c r="G292" s="106"/>
      <c r="H292" s="106"/>
      <c r="I292" s="103" t="str">
        <f aca="false">IF(OR($B292="", $D292="", $E292="", $F292="", $G292="", $H292=""),"",ROUND(($D292*Lists!$AD$20)+($E292*Lists!$AD$21)+($F292*Lists!$AD$22)+($G292*Lists!$AD$23)+($H292*Lists!$AD$24),2))</f>
        <v/>
      </c>
      <c r="J292" s="101"/>
      <c r="K292" s="105"/>
      <c r="L292" s="101"/>
    </row>
    <row r="293" customFormat="false" ht="15.75" hidden="false" customHeight="true" outlineLevel="0" collapsed="false">
      <c r="A293" s="113"/>
      <c r="B293" s="102"/>
      <c r="C293" s="101" t="str">
        <f aca="false">IF($B293="","",IFERROR(VLOOKUP($B293,'Application Portfolio'!$A$2:$B$1000,2,FALSE()),""))</f>
        <v/>
      </c>
      <c r="D293" s="106"/>
      <c r="E293" s="106"/>
      <c r="F293" s="106"/>
      <c r="G293" s="106"/>
      <c r="H293" s="106"/>
      <c r="I293" s="103" t="str">
        <f aca="false">IF(OR($B293="", $D293="", $E293="", $F293="", $G293="", $H293=""),"",ROUND(($D293*Lists!$AD$20)+($E293*Lists!$AD$21)+($F293*Lists!$AD$22)+($G293*Lists!$AD$23)+($H293*Lists!$AD$24),2))</f>
        <v/>
      </c>
      <c r="J293" s="101"/>
      <c r="K293" s="105"/>
      <c r="L293" s="101"/>
    </row>
    <row r="294" customFormat="false" ht="15.75" hidden="false" customHeight="true" outlineLevel="0" collapsed="false">
      <c r="A294" s="113"/>
      <c r="B294" s="102"/>
      <c r="C294" s="101" t="str">
        <f aca="false">IF($B294="","",IFERROR(VLOOKUP($B294,'Application Portfolio'!$A$2:$B$1000,2,FALSE()),""))</f>
        <v/>
      </c>
      <c r="D294" s="106"/>
      <c r="E294" s="106"/>
      <c r="F294" s="106"/>
      <c r="G294" s="106"/>
      <c r="H294" s="106"/>
      <c r="I294" s="103" t="str">
        <f aca="false">IF(OR($B294="", $D294="", $E294="", $F294="", $G294="", $H294=""),"",ROUND(($D294*Lists!$AD$20)+($E294*Lists!$AD$21)+($F294*Lists!$AD$22)+($G294*Lists!$AD$23)+($H294*Lists!$AD$24),2))</f>
        <v/>
      </c>
      <c r="J294" s="101"/>
      <c r="K294" s="105"/>
      <c r="L294" s="101"/>
    </row>
    <row r="295" customFormat="false" ht="15.75" hidden="false" customHeight="true" outlineLevel="0" collapsed="false">
      <c r="A295" s="113"/>
      <c r="B295" s="102"/>
      <c r="C295" s="101" t="str">
        <f aca="false">IF($B295="","",IFERROR(VLOOKUP($B295,'Application Portfolio'!$A$2:$B$1000,2,FALSE()),""))</f>
        <v/>
      </c>
      <c r="D295" s="106"/>
      <c r="E295" s="106"/>
      <c r="F295" s="106"/>
      <c r="G295" s="106"/>
      <c r="H295" s="106"/>
      <c r="I295" s="103" t="str">
        <f aca="false">IF(OR($B295="", $D295="", $E295="", $F295="", $G295="", $H295=""),"",ROUND(($D295*Lists!$AD$20)+($E295*Lists!$AD$21)+($F295*Lists!$AD$22)+($G295*Lists!$AD$23)+($H295*Lists!$AD$24),2))</f>
        <v/>
      </c>
      <c r="J295" s="101"/>
      <c r="K295" s="105"/>
      <c r="L295" s="101"/>
    </row>
    <row r="296" customFormat="false" ht="15.75" hidden="false" customHeight="true" outlineLevel="0" collapsed="false">
      <c r="A296" s="113"/>
      <c r="B296" s="102"/>
      <c r="C296" s="101" t="str">
        <f aca="false">IF($B296="","",IFERROR(VLOOKUP($B296,'Application Portfolio'!$A$2:$B$1000,2,FALSE()),""))</f>
        <v/>
      </c>
      <c r="D296" s="106"/>
      <c r="E296" s="106"/>
      <c r="F296" s="106"/>
      <c r="G296" s="106"/>
      <c r="H296" s="106"/>
      <c r="I296" s="103" t="str">
        <f aca="false">IF(OR($B296="", $D296="", $E296="", $F296="", $G296="", $H296=""),"",ROUND(($D296*Lists!$AD$20)+($E296*Lists!$AD$21)+($F296*Lists!$AD$22)+($G296*Lists!$AD$23)+($H296*Lists!$AD$24),2))</f>
        <v/>
      </c>
      <c r="J296" s="101"/>
      <c r="K296" s="105"/>
      <c r="L296" s="101"/>
    </row>
    <row r="297" customFormat="false" ht="15.75" hidden="false" customHeight="true" outlineLevel="0" collapsed="false">
      <c r="A297" s="113"/>
      <c r="B297" s="102"/>
      <c r="C297" s="101" t="str">
        <f aca="false">IF($B297="","",IFERROR(VLOOKUP($B297,'Application Portfolio'!$A$2:$B$1000,2,FALSE()),""))</f>
        <v/>
      </c>
      <c r="D297" s="106"/>
      <c r="E297" s="106"/>
      <c r="F297" s="106"/>
      <c r="G297" s="106"/>
      <c r="H297" s="106"/>
      <c r="I297" s="103" t="str">
        <f aca="false">IF(OR($B297="", $D297="", $E297="", $F297="", $G297="", $H297=""),"",ROUND(($D297*Lists!$AD$20)+($E297*Lists!$AD$21)+($F297*Lists!$AD$22)+($G297*Lists!$AD$23)+($H297*Lists!$AD$24),2))</f>
        <v/>
      </c>
      <c r="J297" s="101"/>
      <c r="K297" s="105"/>
      <c r="L297" s="101"/>
    </row>
    <row r="298" customFormat="false" ht="15.75" hidden="false" customHeight="true" outlineLevel="0" collapsed="false">
      <c r="A298" s="113"/>
      <c r="B298" s="102"/>
      <c r="C298" s="101" t="str">
        <f aca="false">IF($B298="","",IFERROR(VLOOKUP($B298,'Application Portfolio'!$A$2:$B$1000,2,FALSE()),""))</f>
        <v/>
      </c>
      <c r="D298" s="106"/>
      <c r="E298" s="106"/>
      <c r="F298" s="106"/>
      <c r="G298" s="106"/>
      <c r="H298" s="106"/>
      <c r="I298" s="103" t="str">
        <f aca="false">IF(OR($B298="", $D298="", $E298="", $F298="", $G298="", $H298=""),"",ROUND(($D298*Lists!$AD$20)+($E298*Lists!$AD$21)+($F298*Lists!$AD$22)+($G298*Lists!$AD$23)+($H298*Lists!$AD$24),2))</f>
        <v/>
      </c>
      <c r="J298" s="101"/>
      <c r="K298" s="105"/>
      <c r="L298" s="101"/>
    </row>
    <row r="299" customFormat="false" ht="15.75" hidden="false" customHeight="true" outlineLevel="0" collapsed="false">
      <c r="A299" s="113"/>
      <c r="B299" s="102"/>
      <c r="C299" s="101" t="str">
        <f aca="false">IF($B299="","",IFERROR(VLOOKUP($B299,'Application Portfolio'!$A$2:$B$1000,2,FALSE()),""))</f>
        <v/>
      </c>
      <c r="D299" s="106"/>
      <c r="E299" s="106"/>
      <c r="F299" s="106"/>
      <c r="G299" s="106"/>
      <c r="H299" s="106"/>
      <c r="I299" s="103" t="str">
        <f aca="false">IF(OR($B299="", $D299="", $E299="", $F299="", $G299="", $H299=""),"",ROUND(($D299*Lists!$AD$20)+($E299*Lists!$AD$21)+($F299*Lists!$AD$22)+($G299*Lists!$AD$23)+($H299*Lists!$AD$24),2))</f>
        <v/>
      </c>
      <c r="J299" s="101"/>
      <c r="K299" s="105"/>
      <c r="L299" s="101"/>
    </row>
    <row r="300" customFormat="false" ht="15.75" hidden="false" customHeight="true" outlineLevel="0" collapsed="false">
      <c r="A300" s="113"/>
      <c r="B300" s="102"/>
      <c r="C300" s="101" t="str">
        <f aca="false">IF($B300="","",IFERROR(VLOOKUP($B300,'Application Portfolio'!$A$2:$B$1000,2,FALSE()),""))</f>
        <v/>
      </c>
      <c r="D300" s="106"/>
      <c r="E300" s="106"/>
      <c r="F300" s="106"/>
      <c r="G300" s="106"/>
      <c r="H300" s="106"/>
      <c r="I300" s="103" t="str">
        <f aca="false">IF(OR($B300="", $D300="", $E300="", $F300="", $G300="", $H300=""),"",ROUND(($D300*Lists!$AD$20)+($E300*Lists!$AD$21)+($F300*Lists!$AD$22)+($G300*Lists!$AD$23)+($H300*Lists!$AD$24),2))</f>
        <v/>
      </c>
      <c r="J300" s="101"/>
      <c r="K300" s="105"/>
      <c r="L300" s="101"/>
    </row>
    <row r="301" customFormat="false" ht="15.75" hidden="false" customHeight="true" outlineLevel="0" collapsed="false">
      <c r="A301" s="113"/>
      <c r="B301" s="102"/>
      <c r="C301" s="101" t="str">
        <f aca="false">IF($B301="","",IFERROR(VLOOKUP($B301,'Application Portfolio'!$A$2:$B$1000,2,FALSE()),""))</f>
        <v/>
      </c>
      <c r="D301" s="106"/>
      <c r="E301" s="106"/>
      <c r="F301" s="106"/>
      <c r="G301" s="106"/>
      <c r="H301" s="106"/>
      <c r="I301" s="103" t="str">
        <f aca="false">IF(OR($B301="", $D301="", $E301="", $F301="", $G301="", $H301=""),"",ROUND(($D301*Lists!$AD$20)+($E301*Lists!$AD$21)+($F301*Lists!$AD$22)+($G301*Lists!$AD$23)+($H301*Lists!$AD$24),2))</f>
        <v/>
      </c>
      <c r="J301" s="101"/>
      <c r="K301" s="105"/>
      <c r="L301" s="101"/>
    </row>
    <row r="302" customFormat="false" ht="15.75" hidden="false" customHeight="true" outlineLevel="0" collapsed="false">
      <c r="A302" s="113"/>
      <c r="B302" s="102"/>
      <c r="C302" s="101" t="str">
        <f aca="false">IF($B302="","",IFERROR(VLOOKUP($B302,'Application Portfolio'!$A$2:$B$1000,2,FALSE()),""))</f>
        <v/>
      </c>
      <c r="D302" s="106"/>
      <c r="E302" s="106"/>
      <c r="F302" s="106"/>
      <c r="G302" s="106"/>
      <c r="H302" s="106"/>
      <c r="I302" s="103" t="str">
        <f aca="false">IF(OR($B302="", $D302="", $E302="", $F302="", $G302="", $H302=""),"",ROUND(($D302*Lists!$AD$20)+($E302*Lists!$AD$21)+($F302*Lists!$AD$22)+($G302*Lists!$AD$23)+($H302*Lists!$AD$24),2))</f>
        <v/>
      </c>
      <c r="J302" s="101"/>
      <c r="K302" s="105"/>
      <c r="L302" s="101"/>
    </row>
    <row r="303" customFormat="false" ht="15.75" hidden="false" customHeight="true" outlineLevel="0" collapsed="false">
      <c r="A303" s="113"/>
      <c r="B303" s="102"/>
      <c r="C303" s="101" t="str">
        <f aca="false">IF($B303="","",IFERROR(VLOOKUP($B303,'Application Portfolio'!$A$2:$B$1000,2,FALSE()),""))</f>
        <v/>
      </c>
      <c r="D303" s="106"/>
      <c r="E303" s="106"/>
      <c r="F303" s="106"/>
      <c r="G303" s="106"/>
      <c r="H303" s="106"/>
      <c r="I303" s="103" t="str">
        <f aca="false">IF(OR($B303="", $D303="", $E303="", $F303="", $G303="", $H303=""),"",ROUND(($D303*Lists!$AD$20)+($E303*Lists!$AD$21)+($F303*Lists!$AD$22)+($G303*Lists!$AD$23)+($H303*Lists!$AD$24),2))</f>
        <v/>
      </c>
      <c r="J303" s="101"/>
      <c r="K303" s="105"/>
      <c r="L303" s="101"/>
    </row>
    <row r="304" customFormat="false" ht="15.75" hidden="false" customHeight="true" outlineLevel="0" collapsed="false">
      <c r="A304" s="113"/>
      <c r="B304" s="102"/>
      <c r="C304" s="101" t="str">
        <f aca="false">IF($B304="","",IFERROR(VLOOKUP($B304,'Application Portfolio'!$A$2:$B$1000,2,FALSE()),""))</f>
        <v/>
      </c>
      <c r="D304" s="106"/>
      <c r="E304" s="106"/>
      <c r="F304" s="106"/>
      <c r="G304" s="106"/>
      <c r="H304" s="106"/>
      <c r="I304" s="103" t="str">
        <f aca="false">IF(OR($B304="", $D304="", $E304="", $F304="", $G304="", $H304=""),"",ROUND(($D304*Lists!$AD$20)+($E304*Lists!$AD$21)+($F304*Lists!$AD$22)+($G304*Lists!$AD$23)+($H304*Lists!$AD$24),2))</f>
        <v/>
      </c>
      <c r="J304" s="101"/>
      <c r="K304" s="105"/>
      <c r="L304" s="101"/>
    </row>
    <row r="305" customFormat="false" ht="15.75" hidden="false" customHeight="true" outlineLevel="0" collapsed="false">
      <c r="A305" s="113"/>
      <c r="B305" s="102"/>
      <c r="C305" s="101" t="str">
        <f aca="false">IF($B305="","",IFERROR(VLOOKUP($B305,'Application Portfolio'!$A$2:$B$1000,2,FALSE()),""))</f>
        <v/>
      </c>
      <c r="D305" s="106"/>
      <c r="E305" s="106"/>
      <c r="F305" s="106"/>
      <c r="G305" s="106"/>
      <c r="H305" s="106"/>
      <c r="I305" s="103" t="str">
        <f aca="false">IF(OR($B305="", $D305="", $E305="", $F305="", $G305="", $H305=""),"",ROUND(($D305*Lists!$AD$20)+($E305*Lists!$AD$21)+($F305*Lists!$AD$22)+($G305*Lists!$AD$23)+($H305*Lists!$AD$24),2))</f>
        <v/>
      </c>
      <c r="J305" s="101"/>
      <c r="K305" s="105"/>
      <c r="L305" s="101"/>
    </row>
    <row r="306" customFormat="false" ht="15.75" hidden="false" customHeight="true" outlineLevel="0" collapsed="false">
      <c r="A306" s="113"/>
      <c r="B306" s="102"/>
      <c r="C306" s="101" t="str">
        <f aca="false">IF($B306="","",IFERROR(VLOOKUP($B306,'Application Portfolio'!$A$2:$B$1000,2,FALSE()),""))</f>
        <v/>
      </c>
      <c r="D306" s="106"/>
      <c r="E306" s="106"/>
      <c r="F306" s="106"/>
      <c r="G306" s="106"/>
      <c r="H306" s="106"/>
      <c r="I306" s="103" t="str">
        <f aca="false">IF(OR($B306="", $D306="", $E306="", $F306="", $G306="", $H306=""),"",ROUND(($D306*Lists!$AD$20)+($E306*Lists!$AD$21)+($F306*Lists!$AD$22)+($G306*Lists!$AD$23)+($H306*Lists!$AD$24),2))</f>
        <v/>
      </c>
      <c r="J306" s="101"/>
      <c r="K306" s="105"/>
      <c r="L306" s="101"/>
    </row>
    <row r="307" customFormat="false" ht="15.75" hidden="false" customHeight="true" outlineLevel="0" collapsed="false">
      <c r="A307" s="113"/>
      <c r="B307" s="102"/>
      <c r="C307" s="101" t="str">
        <f aca="false">IF($B307="","",IFERROR(VLOOKUP($B307,'Application Portfolio'!$A$2:$B$1000,2,FALSE()),""))</f>
        <v/>
      </c>
      <c r="D307" s="106"/>
      <c r="E307" s="106"/>
      <c r="F307" s="106"/>
      <c r="G307" s="106"/>
      <c r="H307" s="106"/>
      <c r="I307" s="103" t="str">
        <f aca="false">IF(OR($B307="", $D307="", $E307="", $F307="", $G307="", $H307=""),"",ROUND(($D307*Lists!$AD$20)+($E307*Lists!$AD$21)+($F307*Lists!$AD$22)+($G307*Lists!$AD$23)+($H307*Lists!$AD$24),2))</f>
        <v/>
      </c>
      <c r="J307" s="101"/>
      <c r="K307" s="105"/>
      <c r="L307" s="101"/>
    </row>
    <row r="308" customFormat="false" ht="15.75" hidden="false" customHeight="true" outlineLevel="0" collapsed="false">
      <c r="A308" s="113"/>
      <c r="B308" s="102"/>
      <c r="C308" s="101" t="str">
        <f aca="false">IF($B308="","",IFERROR(VLOOKUP($B308,'Application Portfolio'!$A$2:$B$1000,2,FALSE()),""))</f>
        <v/>
      </c>
      <c r="D308" s="106"/>
      <c r="E308" s="106"/>
      <c r="F308" s="106"/>
      <c r="G308" s="106"/>
      <c r="H308" s="106"/>
      <c r="I308" s="103" t="str">
        <f aca="false">IF(OR($B308="", $D308="", $E308="", $F308="", $G308="", $H308=""),"",ROUND(($D308*Lists!$AD$20)+($E308*Lists!$AD$21)+($F308*Lists!$AD$22)+($G308*Lists!$AD$23)+($H308*Lists!$AD$24),2))</f>
        <v/>
      </c>
      <c r="J308" s="101"/>
      <c r="K308" s="105"/>
      <c r="L308" s="101"/>
    </row>
    <row r="309" customFormat="false" ht="15.75" hidden="false" customHeight="true" outlineLevel="0" collapsed="false">
      <c r="A309" s="113"/>
      <c r="B309" s="102"/>
      <c r="C309" s="101" t="str">
        <f aca="false">IF($B309="","",IFERROR(VLOOKUP($B309,'Application Portfolio'!$A$2:$B$1000,2,FALSE()),""))</f>
        <v/>
      </c>
      <c r="D309" s="106"/>
      <c r="E309" s="106"/>
      <c r="F309" s="106"/>
      <c r="G309" s="106"/>
      <c r="H309" s="106"/>
      <c r="I309" s="103" t="str">
        <f aca="false">IF(OR($B309="", $D309="", $E309="", $F309="", $G309="", $H309=""),"",ROUND(($D309*Lists!$AD$20)+($E309*Lists!$AD$21)+($F309*Lists!$AD$22)+($G309*Lists!$AD$23)+($H309*Lists!$AD$24),2))</f>
        <v/>
      </c>
      <c r="J309" s="101"/>
      <c r="K309" s="105"/>
      <c r="L309" s="101"/>
    </row>
    <row r="310" customFormat="false" ht="15.75" hidden="false" customHeight="true" outlineLevel="0" collapsed="false">
      <c r="A310" s="113"/>
      <c r="B310" s="102"/>
      <c r="C310" s="101" t="str">
        <f aca="false">IF($B310="","",IFERROR(VLOOKUP($B310,'Application Portfolio'!$A$2:$B$1000,2,FALSE()),""))</f>
        <v/>
      </c>
      <c r="D310" s="106"/>
      <c r="E310" s="106"/>
      <c r="F310" s="106"/>
      <c r="G310" s="106"/>
      <c r="H310" s="106"/>
      <c r="I310" s="103" t="str">
        <f aca="false">IF(OR($B310="", $D310="", $E310="", $F310="", $G310="", $H310=""),"",ROUND(($D310*Lists!$AD$20)+($E310*Lists!$AD$21)+($F310*Lists!$AD$22)+($G310*Lists!$AD$23)+($H310*Lists!$AD$24),2))</f>
        <v/>
      </c>
      <c r="J310" s="101"/>
      <c r="K310" s="105"/>
      <c r="L310" s="101"/>
    </row>
    <row r="311" customFormat="false" ht="15.75" hidden="false" customHeight="true" outlineLevel="0" collapsed="false">
      <c r="A311" s="113"/>
      <c r="B311" s="102"/>
      <c r="C311" s="101" t="str">
        <f aca="false">IF($B311="","",IFERROR(VLOOKUP($B311,'Application Portfolio'!$A$2:$B$1000,2,FALSE()),""))</f>
        <v/>
      </c>
      <c r="D311" s="106"/>
      <c r="E311" s="106"/>
      <c r="F311" s="106"/>
      <c r="G311" s="106"/>
      <c r="H311" s="106"/>
      <c r="I311" s="103" t="str">
        <f aca="false">IF(OR($B311="", $D311="", $E311="", $F311="", $G311="", $H311=""),"",ROUND(($D311*Lists!$AD$20)+($E311*Lists!$AD$21)+($F311*Lists!$AD$22)+($G311*Lists!$AD$23)+($H311*Lists!$AD$24),2))</f>
        <v/>
      </c>
      <c r="J311" s="101"/>
      <c r="K311" s="105"/>
      <c r="L311" s="101"/>
    </row>
    <row r="312" customFormat="false" ht="15.75" hidden="false" customHeight="true" outlineLevel="0" collapsed="false">
      <c r="A312" s="113"/>
      <c r="B312" s="102"/>
      <c r="C312" s="101" t="str">
        <f aca="false">IF($B312="","",IFERROR(VLOOKUP($B312,'Application Portfolio'!$A$2:$B$1000,2,FALSE()),""))</f>
        <v/>
      </c>
      <c r="D312" s="106"/>
      <c r="E312" s="106"/>
      <c r="F312" s="106"/>
      <c r="G312" s="106"/>
      <c r="H312" s="106"/>
      <c r="I312" s="103" t="str">
        <f aca="false">IF(OR($B312="", $D312="", $E312="", $F312="", $G312="", $H312=""),"",ROUND(($D312*Lists!$AD$20)+($E312*Lists!$AD$21)+($F312*Lists!$AD$22)+($G312*Lists!$AD$23)+($H312*Lists!$AD$24),2))</f>
        <v/>
      </c>
      <c r="J312" s="101"/>
      <c r="K312" s="105"/>
      <c r="L312" s="101"/>
    </row>
    <row r="313" customFormat="false" ht="15.75" hidden="false" customHeight="true" outlineLevel="0" collapsed="false">
      <c r="A313" s="113"/>
      <c r="B313" s="102"/>
      <c r="C313" s="101" t="str">
        <f aca="false">IF($B313="","",IFERROR(VLOOKUP($B313,'Application Portfolio'!$A$2:$B$1000,2,FALSE()),""))</f>
        <v/>
      </c>
      <c r="D313" s="106"/>
      <c r="E313" s="106"/>
      <c r="F313" s="106"/>
      <c r="G313" s="106"/>
      <c r="H313" s="106"/>
      <c r="I313" s="103" t="str">
        <f aca="false">IF(OR($B313="", $D313="", $E313="", $F313="", $G313="", $H313=""),"",ROUND(($D313*Lists!$AD$20)+($E313*Lists!$AD$21)+($F313*Lists!$AD$22)+($G313*Lists!$AD$23)+($H313*Lists!$AD$24),2))</f>
        <v/>
      </c>
      <c r="J313" s="101"/>
      <c r="K313" s="105"/>
      <c r="L313" s="101"/>
    </row>
    <row r="314" customFormat="false" ht="15.75" hidden="false" customHeight="true" outlineLevel="0" collapsed="false">
      <c r="A314" s="113"/>
      <c r="B314" s="102"/>
      <c r="C314" s="101" t="str">
        <f aca="false">IF($B314="","",IFERROR(VLOOKUP($B314,'Application Portfolio'!$A$2:$B$1000,2,FALSE()),""))</f>
        <v/>
      </c>
      <c r="D314" s="106"/>
      <c r="E314" s="106"/>
      <c r="F314" s="106"/>
      <c r="G314" s="106"/>
      <c r="H314" s="106"/>
      <c r="I314" s="103" t="str">
        <f aca="false">IF(OR($B314="", $D314="", $E314="", $F314="", $G314="", $H314=""),"",ROUND(($D314*Lists!$AD$20)+($E314*Lists!$AD$21)+($F314*Lists!$AD$22)+($G314*Lists!$AD$23)+($H314*Lists!$AD$24),2))</f>
        <v/>
      </c>
      <c r="J314" s="101"/>
      <c r="K314" s="105"/>
      <c r="L314" s="101"/>
    </row>
    <row r="315" customFormat="false" ht="15.75" hidden="false" customHeight="true" outlineLevel="0" collapsed="false">
      <c r="A315" s="113"/>
      <c r="B315" s="102"/>
      <c r="C315" s="101" t="str">
        <f aca="false">IF($B315="","",IFERROR(VLOOKUP($B315,'Application Portfolio'!$A$2:$B$1000,2,FALSE()),""))</f>
        <v/>
      </c>
      <c r="D315" s="106"/>
      <c r="E315" s="106"/>
      <c r="F315" s="106"/>
      <c r="G315" s="106"/>
      <c r="H315" s="106"/>
      <c r="I315" s="103" t="str">
        <f aca="false">IF(OR($B315="", $D315="", $E315="", $F315="", $G315="", $H315=""),"",ROUND(($D315*Lists!$AD$20)+($E315*Lists!$AD$21)+($F315*Lists!$AD$22)+($G315*Lists!$AD$23)+($H315*Lists!$AD$24),2))</f>
        <v/>
      </c>
      <c r="J315" s="101"/>
      <c r="K315" s="105"/>
      <c r="L315" s="101"/>
    </row>
    <row r="316" customFormat="false" ht="15.75" hidden="false" customHeight="true" outlineLevel="0" collapsed="false">
      <c r="A316" s="113"/>
      <c r="B316" s="102"/>
      <c r="C316" s="101" t="str">
        <f aca="false">IF($B316="","",IFERROR(VLOOKUP($B316,'Application Portfolio'!$A$2:$B$1000,2,FALSE()),""))</f>
        <v/>
      </c>
      <c r="D316" s="106"/>
      <c r="E316" s="106"/>
      <c r="F316" s="106"/>
      <c r="G316" s="106"/>
      <c r="H316" s="106"/>
      <c r="I316" s="103" t="str">
        <f aca="false">IF(OR($B316="", $D316="", $E316="", $F316="", $G316="", $H316=""),"",ROUND(($D316*Lists!$AD$20)+($E316*Lists!$AD$21)+($F316*Lists!$AD$22)+($G316*Lists!$AD$23)+($H316*Lists!$AD$24),2))</f>
        <v/>
      </c>
      <c r="J316" s="101"/>
      <c r="K316" s="105"/>
      <c r="L316" s="101"/>
    </row>
    <row r="317" customFormat="false" ht="15.75" hidden="false" customHeight="true" outlineLevel="0" collapsed="false">
      <c r="A317" s="113"/>
      <c r="B317" s="102"/>
      <c r="C317" s="101" t="str">
        <f aca="false">IF($B317="","",IFERROR(VLOOKUP($B317,'Application Portfolio'!$A$2:$B$1000,2,FALSE()),""))</f>
        <v/>
      </c>
      <c r="D317" s="106"/>
      <c r="E317" s="106"/>
      <c r="F317" s="106"/>
      <c r="G317" s="106"/>
      <c r="H317" s="106"/>
      <c r="I317" s="103" t="str">
        <f aca="false">IF(OR($B317="", $D317="", $E317="", $F317="", $G317="", $H317=""),"",ROUND(($D317*Lists!$AD$20)+($E317*Lists!$AD$21)+($F317*Lists!$AD$22)+($G317*Lists!$AD$23)+($H317*Lists!$AD$24),2))</f>
        <v/>
      </c>
      <c r="J317" s="101"/>
      <c r="K317" s="105"/>
      <c r="L317" s="101"/>
    </row>
    <row r="318" customFormat="false" ht="15.75" hidden="false" customHeight="true" outlineLevel="0" collapsed="false">
      <c r="A318" s="113"/>
      <c r="B318" s="102"/>
      <c r="C318" s="101" t="str">
        <f aca="false">IF($B318="","",IFERROR(VLOOKUP($B318,'Application Portfolio'!$A$2:$B$1000,2,FALSE()),""))</f>
        <v/>
      </c>
      <c r="D318" s="106"/>
      <c r="E318" s="106"/>
      <c r="F318" s="106"/>
      <c r="G318" s="106"/>
      <c r="H318" s="106"/>
      <c r="I318" s="103" t="str">
        <f aca="false">IF(OR($B318="", $D318="", $E318="", $F318="", $G318="", $H318=""),"",ROUND(($D318*Lists!$AD$20)+($E318*Lists!$AD$21)+($F318*Lists!$AD$22)+($G318*Lists!$AD$23)+($H318*Lists!$AD$24),2))</f>
        <v/>
      </c>
      <c r="J318" s="101"/>
      <c r="K318" s="105"/>
      <c r="L318" s="101"/>
    </row>
    <row r="319" customFormat="false" ht="15.75" hidden="false" customHeight="true" outlineLevel="0" collapsed="false">
      <c r="A319" s="113"/>
      <c r="B319" s="102"/>
      <c r="C319" s="101" t="str">
        <f aca="false">IF($B319="","",IFERROR(VLOOKUP($B319,'Application Portfolio'!$A$2:$B$1000,2,FALSE()),""))</f>
        <v/>
      </c>
      <c r="D319" s="106"/>
      <c r="E319" s="106"/>
      <c r="F319" s="106"/>
      <c r="G319" s="106"/>
      <c r="H319" s="106"/>
      <c r="I319" s="103" t="str">
        <f aca="false">IF(OR($B319="", $D319="", $E319="", $F319="", $G319="", $H319=""),"",ROUND(($D319*Lists!$AD$20)+($E319*Lists!$AD$21)+($F319*Lists!$AD$22)+($G319*Lists!$AD$23)+($H319*Lists!$AD$24),2))</f>
        <v/>
      </c>
      <c r="J319" s="101"/>
      <c r="K319" s="105"/>
      <c r="L319" s="101"/>
    </row>
    <row r="320" customFormat="false" ht="15.75" hidden="false" customHeight="true" outlineLevel="0" collapsed="false">
      <c r="A320" s="113"/>
      <c r="B320" s="102"/>
      <c r="C320" s="101" t="str">
        <f aca="false">IF($B320="","",IFERROR(VLOOKUP($B320,'Application Portfolio'!$A$2:$B$1000,2,FALSE()),""))</f>
        <v/>
      </c>
      <c r="D320" s="106"/>
      <c r="E320" s="106"/>
      <c r="F320" s="106"/>
      <c r="G320" s="106"/>
      <c r="H320" s="106"/>
      <c r="I320" s="103" t="str">
        <f aca="false">IF(OR($B320="", $D320="", $E320="", $F320="", $G320="", $H320=""),"",ROUND(($D320*Lists!$AD$20)+($E320*Lists!$AD$21)+($F320*Lists!$AD$22)+($G320*Lists!$AD$23)+($H320*Lists!$AD$24),2))</f>
        <v/>
      </c>
      <c r="J320" s="101"/>
      <c r="K320" s="105"/>
      <c r="L320" s="101"/>
    </row>
    <row r="321" customFormat="false" ht="15.75" hidden="false" customHeight="true" outlineLevel="0" collapsed="false">
      <c r="A321" s="113"/>
      <c r="B321" s="102"/>
      <c r="C321" s="101" t="str">
        <f aca="false">IF($B321="","",IFERROR(VLOOKUP($B321,'Application Portfolio'!$A$2:$B$1000,2,FALSE()),""))</f>
        <v/>
      </c>
      <c r="D321" s="106"/>
      <c r="E321" s="106"/>
      <c r="F321" s="106"/>
      <c r="G321" s="106"/>
      <c r="H321" s="106"/>
      <c r="I321" s="103" t="str">
        <f aca="false">IF(OR($B321="", $D321="", $E321="", $F321="", $G321="", $H321=""),"",ROUND(($D321*Lists!$AD$20)+($E321*Lists!$AD$21)+($F321*Lists!$AD$22)+($G321*Lists!$AD$23)+($H321*Lists!$AD$24),2))</f>
        <v/>
      </c>
      <c r="J321" s="101"/>
      <c r="K321" s="105"/>
      <c r="L321" s="101"/>
    </row>
    <row r="322" customFormat="false" ht="15.75" hidden="false" customHeight="true" outlineLevel="0" collapsed="false">
      <c r="A322" s="113"/>
      <c r="B322" s="102"/>
      <c r="C322" s="101" t="str">
        <f aca="false">IF($B322="","",IFERROR(VLOOKUP($B322,'Application Portfolio'!$A$2:$B$1000,2,FALSE()),""))</f>
        <v/>
      </c>
      <c r="D322" s="106"/>
      <c r="E322" s="106"/>
      <c r="F322" s="106"/>
      <c r="G322" s="106"/>
      <c r="H322" s="106"/>
      <c r="I322" s="103" t="str">
        <f aca="false">IF(OR($B322="", $D322="", $E322="", $F322="", $G322="", $H322=""),"",ROUND(($D322*Lists!$AD$20)+($E322*Lists!$AD$21)+($F322*Lists!$AD$22)+($G322*Lists!$AD$23)+($H322*Lists!$AD$24),2))</f>
        <v/>
      </c>
      <c r="J322" s="101"/>
      <c r="K322" s="105"/>
      <c r="L322" s="101"/>
    </row>
    <row r="323" customFormat="false" ht="15.75" hidden="false" customHeight="true" outlineLevel="0" collapsed="false">
      <c r="A323" s="113"/>
      <c r="B323" s="102"/>
      <c r="C323" s="101" t="str">
        <f aca="false">IF($B323="","",IFERROR(VLOOKUP($B323,'Application Portfolio'!$A$2:$B$1000,2,FALSE()),""))</f>
        <v/>
      </c>
      <c r="D323" s="106"/>
      <c r="E323" s="106"/>
      <c r="F323" s="106"/>
      <c r="G323" s="106"/>
      <c r="H323" s="106"/>
      <c r="I323" s="103" t="str">
        <f aca="false">IF(OR($B323="", $D323="", $E323="", $F323="", $G323="", $H323=""),"",ROUND(($D323*Lists!$AD$20)+($E323*Lists!$AD$21)+($F323*Lists!$AD$22)+($G323*Lists!$AD$23)+($H323*Lists!$AD$24),2))</f>
        <v/>
      </c>
      <c r="J323" s="101"/>
      <c r="K323" s="105"/>
      <c r="L323" s="101"/>
    </row>
    <row r="324" customFormat="false" ht="15.75" hidden="false" customHeight="true" outlineLevel="0" collapsed="false">
      <c r="A324" s="113"/>
      <c r="B324" s="102"/>
      <c r="C324" s="101" t="str">
        <f aca="false">IF($B324="","",IFERROR(VLOOKUP($B324,'Application Portfolio'!$A$2:$B$1000,2,FALSE()),""))</f>
        <v/>
      </c>
      <c r="D324" s="106"/>
      <c r="E324" s="106"/>
      <c r="F324" s="106"/>
      <c r="G324" s="106"/>
      <c r="H324" s="106"/>
      <c r="I324" s="103" t="str">
        <f aca="false">IF(OR($B324="", $D324="", $E324="", $F324="", $G324="", $H324=""),"",ROUND(($D324*Lists!$AD$20)+($E324*Lists!$AD$21)+($F324*Lists!$AD$22)+($G324*Lists!$AD$23)+($H324*Lists!$AD$24),2))</f>
        <v/>
      </c>
      <c r="J324" s="101"/>
      <c r="K324" s="105"/>
      <c r="L324" s="101"/>
    </row>
    <row r="325" customFormat="false" ht="15.75" hidden="false" customHeight="true" outlineLevel="0" collapsed="false">
      <c r="A325" s="113"/>
      <c r="B325" s="102"/>
      <c r="C325" s="101" t="str">
        <f aca="false">IF($B325="","",IFERROR(VLOOKUP($B325,'Application Portfolio'!$A$2:$B$1000,2,FALSE()),""))</f>
        <v/>
      </c>
      <c r="D325" s="106"/>
      <c r="E325" s="106"/>
      <c r="F325" s="106"/>
      <c r="G325" s="106"/>
      <c r="H325" s="106"/>
      <c r="I325" s="103" t="str">
        <f aca="false">IF(OR($B325="", $D325="", $E325="", $F325="", $G325="", $H325=""),"",ROUND(($D325*Lists!$AD$20)+($E325*Lists!$AD$21)+($F325*Lists!$AD$22)+($G325*Lists!$AD$23)+($H325*Lists!$AD$24),2))</f>
        <v/>
      </c>
      <c r="J325" s="101"/>
      <c r="K325" s="105"/>
      <c r="L325" s="101"/>
    </row>
    <row r="326" customFormat="false" ht="15.75" hidden="false" customHeight="true" outlineLevel="0" collapsed="false">
      <c r="A326" s="113"/>
      <c r="B326" s="102"/>
      <c r="C326" s="101" t="str">
        <f aca="false">IF($B326="","",IFERROR(VLOOKUP($B326,'Application Portfolio'!$A$2:$B$1000,2,FALSE()),""))</f>
        <v/>
      </c>
      <c r="D326" s="106"/>
      <c r="E326" s="106"/>
      <c r="F326" s="106"/>
      <c r="G326" s="106"/>
      <c r="H326" s="106"/>
      <c r="I326" s="103" t="str">
        <f aca="false">IF(OR($B326="", $D326="", $E326="", $F326="", $G326="", $H326=""),"",ROUND(($D326*Lists!$AD$20)+($E326*Lists!$AD$21)+($F326*Lists!$AD$22)+($G326*Lists!$AD$23)+($H326*Lists!$AD$24),2))</f>
        <v/>
      </c>
      <c r="J326" s="101"/>
      <c r="K326" s="105"/>
      <c r="L326" s="101"/>
    </row>
    <row r="327" customFormat="false" ht="15.75" hidden="false" customHeight="true" outlineLevel="0" collapsed="false">
      <c r="A327" s="113"/>
      <c r="B327" s="102"/>
      <c r="C327" s="101" t="str">
        <f aca="false">IF($B327="","",IFERROR(VLOOKUP($B327,'Application Portfolio'!$A$2:$B$1000,2,FALSE()),""))</f>
        <v/>
      </c>
      <c r="D327" s="106"/>
      <c r="E327" s="106"/>
      <c r="F327" s="106"/>
      <c r="G327" s="106"/>
      <c r="H327" s="106"/>
      <c r="I327" s="103" t="str">
        <f aca="false">IF(OR($B327="", $D327="", $E327="", $F327="", $G327="", $H327=""),"",ROUND(($D327*Lists!$AD$20)+($E327*Lists!$AD$21)+($F327*Lists!$AD$22)+($G327*Lists!$AD$23)+($H327*Lists!$AD$24),2))</f>
        <v/>
      </c>
      <c r="J327" s="101"/>
      <c r="K327" s="105"/>
      <c r="L327" s="101"/>
    </row>
    <row r="328" customFormat="false" ht="15.75" hidden="false" customHeight="true" outlineLevel="0" collapsed="false">
      <c r="A328" s="113"/>
      <c r="B328" s="102"/>
      <c r="C328" s="101" t="str">
        <f aca="false">IF($B328="","",IFERROR(VLOOKUP($B328,'Application Portfolio'!$A$2:$B$1000,2,FALSE()),""))</f>
        <v/>
      </c>
      <c r="D328" s="106"/>
      <c r="E328" s="106"/>
      <c r="F328" s="106"/>
      <c r="G328" s="106"/>
      <c r="H328" s="106"/>
      <c r="I328" s="103" t="str">
        <f aca="false">IF(OR($B328="", $D328="", $E328="", $F328="", $G328="", $H328=""),"",ROUND(($D328*Lists!$AD$20)+($E328*Lists!$AD$21)+($F328*Lists!$AD$22)+($G328*Lists!$AD$23)+($H328*Lists!$AD$24),2))</f>
        <v/>
      </c>
      <c r="J328" s="101"/>
      <c r="K328" s="105"/>
      <c r="L328" s="101"/>
    </row>
    <row r="329" customFormat="false" ht="15.75" hidden="false" customHeight="true" outlineLevel="0" collapsed="false">
      <c r="A329" s="113"/>
      <c r="B329" s="102"/>
      <c r="C329" s="101" t="str">
        <f aca="false">IF($B329="","",IFERROR(VLOOKUP($B329,'Application Portfolio'!$A$2:$B$1000,2,FALSE()),""))</f>
        <v/>
      </c>
      <c r="D329" s="106"/>
      <c r="E329" s="106"/>
      <c r="F329" s="106"/>
      <c r="G329" s="106"/>
      <c r="H329" s="106"/>
      <c r="I329" s="103" t="str">
        <f aca="false">IF(OR($B329="", $D329="", $E329="", $F329="", $G329="", $H329=""),"",ROUND(($D329*Lists!$AD$20)+($E329*Lists!$AD$21)+($F329*Lists!$AD$22)+($G329*Lists!$AD$23)+($H329*Lists!$AD$24),2))</f>
        <v/>
      </c>
      <c r="J329" s="101"/>
      <c r="K329" s="105"/>
      <c r="L329" s="101"/>
    </row>
    <row r="330" customFormat="false" ht="15.75" hidden="false" customHeight="true" outlineLevel="0" collapsed="false">
      <c r="A330" s="113"/>
      <c r="B330" s="102"/>
      <c r="C330" s="101" t="str">
        <f aca="false">IF($B330="","",IFERROR(VLOOKUP($B330,'Application Portfolio'!$A$2:$B$1000,2,FALSE()),""))</f>
        <v/>
      </c>
      <c r="D330" s="106"/>
      <c r="E330" s="106"/>
      <c r="F330" s="106"/>
      <c r="G330" s="106"/>
      <c r="H330" s="106"/>
      <c r="I330" s="103" t="str">
        <f aca="false">IF(OR($B330="", $D330="", $E330="", $F330="", $G330="", $H330=""),"",ROUND(($D330*Lists!$AD$20)+($E330*Lists!$AD$21)+($F330*Lists!$AD$22)+($G330*Lists!$AD$23)+($H330*Lists!$AD$24),2))</f>
        <v/>
      </c>
      <c r="J330" s="101"/>
      <c r="K330" s="105"/>
      <c r="L330" s="101"/>
    </row>
    <row r="331" customFormat="false" ht="15.75" hidden="false" customHeight="true" outlineLevel="0" collapsed="false">
      <c r="A331" s="113"/>
      <c r="B331" s="102"/>
      <c r="C331" s="101" t="str">
        <f aca="false">IF($B331="","",IFERROR(VLOOKUP($B331,'Application Portfolio'!$A$2:$B$1000,2,FALSE()),""))</f>
        <v/>
      </c>
      <c r="D331" s="106"/>
      <c r="E331" s="106"/>
      <c r="F331" s="106"/>
      <c r="G331" s="106"/>
      <c r="H331" s="106"/>
      <c r="I331" s="103" t="str">
        <f aca="false">IF(OR($B331="", $D331="", $E331="", $F331="", $G331="", $H331=""),"",ROUND(($D331*Lists!$AD$20)+($E331*Lists!$AD$21)+($F331*Lists!$AD$22)+($G331*Lists!$AD$23)+($H331*Lists!$AD$24),2))</f>
        <v/>
      </c>
      <c r="J331" s="101"/>
      <c r="K331" s="105"/>
      <c r="L331" s="101"/>
    </row>
    <row r="332" customFormat="false" ht="15.75" hidden="false" customHeight="true" outlineLevel="0" collapsed="false">
      <c r="A332" s="113"/>
      <c r="B332" s="102"/>
      <c r="C332" s="101" t="str">
        <f aca="false">IF($B332="","",IFERROR(VLOOKUP($B332,'Application Portfolio'!$A$2:$B$1000,2,FALSE()),""))</f>
        <v/>
      </c>
      <c r="D332" s="106"/>
      <c r="E332" s="106"/>
      <c r="F332" s="106"/>
      <c r="G332" s="106"/>
      <c r="H332" s="106"/>
      <c r="I332" s="103" t="str">
        <f aca="false">IF(OR($B332="", $D332="", $E332="", $F332="", $G332="", $H332=""),"",ROUND(($D332*Lists!$AD$20)+($E332*Lists!$AD$21)+($F332*Lists!$AD$22)+($G332*Lists!$AD$23)+($H332*Lists!$AD$24),2))</f>
        <v/>
      </c>
      <c r="J332" s="101"/>
      <c r="K332" s="105"/>
      <c r="L332" s="101"/>
    </row>
    <row r="333" customFormat="false" ht="15.75" hidden="false" customHeight="true" outlineLevel="0" collapsed="false">
      <c r="A333" s="113"/>
      <c r="B333" s="102"/>
      <c r="C333" s="101" t="str">
        <f aca="false">IF($B333="","",IFERROR(VLOOKUP($B333,'Application Portfolio'!$A$2:$B$1000,2,FALSE()),""))</f>
        <v/>
      </c>
      <c r="D333" s="106"/>
      <c r="E333" s="106"/>
      <c r="F333" s="106"/>
      <c r="G333" s="106"/>
      <c r="H333" s="106"/>
      <c r="I333" s="103" t="str">
        <f aca="false">IF(OR($B333="", $D333="", $E333="", $F333="", $G333="", $H333=""),"",ROUND(($D333*Lists!$AD$20)+($E333*Lists!$AD$21)+($F333*Lists!$AD$22)+($G333*Lists!$AD$23)+($H333*Lists!$AD$24),2))</f>
        <v/>
      </c>
      <c r="J333" s="101"/>
      <c r="K333" s="105"/>
      <c r="L333" s="101"/>
    </row>
    <row r="334" customFormat="false" ht="15.75" hidden="false" customHeight="true" outlineLevel="0" collapsed="false">
      <c r="A334" s="113"/>
      <c r="B334" s="102"/>
      <c r="C334" s="101" t="str">
        <f aca="false">IF($B334="","",IFERROR(VLOOKUP($B334,'Application Portfolio'!$A$2:$B$1000,2,FALSE()),""))</f>
        <v/>
      </c>
      <c r="D334" s="106"/>
      <c r="E334" s="106"/>
      <c r="F334" s="106"/>
      <c r="G334" s="106"/>
      <c r="H334" s="106"/>
      <c r="I334" s="103" t="str">
        <f aca="false">IF(OR($B334="", $D334="", $E334="", $F334="", $G334="", $H334=""),"",ROUND(($D334*Lists!$AD$20)+($E334*Lists!$AD$21)+($F334*Lists!$AD$22)+($G334*Lists!$AD$23)+($H334*Lists!$AD$24),2))</f>
        <v/>
      </c>
      <c r="J334" s="101"/>
      <c r="K334" s="105"/>
      <c r="L334" s="101"/>
    </row>
    <row r="335" customFormat="false" ht="15.75" hidden="false" customHeight="true" outlineLevel="0" collapsed="false">
      <c r="A335" s="113"/>
      <c r="B335" s="102"/>
      <c r="C335" s="101" t="str">
        <f aca="false">IF($B335="","",IFERROR(VLOOKUP($B335,'Application Portfolio'!$A$2:$B$1000,2,FALSE()),""))</f>
        <v/>
      </c>
      <c r="D335" s="106"/>
      <c r="E335" s="106"/>
      <c r="F335" s="106"/>
      <c r="G335" s="106"/>
      <c r="H335" s="106"/>
      <c r="I335" s="103" t="str">
        <f aca="false">IF(OR($B335="", $D335="", $E335="", $F335="", $G335="", $H335=""),"",ROUND(($D335*Lists!$AD$20)+($E335*Lists!$AD$21)+($F335*Lists!$AD$22)+($G335*Lists!$AD$23)+($H335*Lists!$AD$24),2))</f>
        <v/>
      </c>
      <c r="J335" s="101"/>
      <c r="K335" s="105"/>
      <c r="L335" s="101"/>
    </row>
    <row r="336" customFormat="false" ht="15.75" hidden="false" customHeight="true" outlineLevel="0" collapsed="false">
      <c r="A336" s="113"/>
      <c r="B336" s="102"/>
      <c r="C336" s="101" t="str">
        <f aca="false">IF($B336="","",IFERROR(VLOOKUP($B336,'Application Portfolio'!$A$2:$B$1000,2,FALSE()),""))</f>
        <v/>
      </c>
      <c r="D336" s="106"/>
      <c r="E336" s="106"/>
      <c r="F336" s="106"/>
      <c r="G336" s="106"/>
      <c r="H336" s="106"/>
      <c r="I336" s="103" t="str">
        <f aca="false">IF(OR($B336="", $D336="", $E336="", $F336="", $G336="", $H336=""),"",ROUND(($D336*Lists!$AD$20)+($E336*Lists!$AD$21)+($F336*Lists!$AD$22)+($G336*Lists!$AD$23)+($H336*Lists!$AD$24),2))</f>
        <v/>
      </c>
      <c r="J336" s="101"/>
      <c r="K336" s="105"/>
      <c r="L336" s="101"/>
    </row>
    <row r="337" customFormat="false" ht="15.75" hidden="false" customHeight="true" outlineLevel="0" collapsed="false">
      <c r="A337" s="113"/>
      <c r="B337" s="102"/>
      <c r="C337" s="101" t="str">
        <f aca="false">IF($B337="","",IFERROR(VLOOKUP($B337,'Application Portfolio'!$A$2:$B$1000,2,FALSE()),""))</f>
        <v/>
      </c>
      <c r="D337" s="106"/>
      <c r="E337" s="106"/>
      <c r="F337" s="106"/>
      <c r="G337" s="106"/>
      <c r="H337" s="106"/>
      <c r="I337" s="103" t="str">
        <f aca="false">IF(OR($B337="", $D337="", $E337="", $F337="", $G337="", $H337=""),"",ROUND(($D337*Lists!$AD$20)+($E337*Lists!$AD$21)+($F337*Lists!$AD$22)+($G337*Lists!$AD$23)+($H337*Lists!$AD$24),2))</f>
        <v/>
      </c>
      <c r="J337" s="101"/>
      <c r="K337" s="105"/>
      <c r="L337" s="101"/>
    </row>
    <row r="338" customFormat="false" ht="15.75" hidden="false" customHeight="true" outlineLevel="0" collapsed="false">
      <c r="A338" s="113"/>
      <c r="B338" s="102"/>
      <c r="C338" s="101" t="str">
        <f aca="false">IF($B338="","",IFERROR(VLOOKUP($B338,'Application Portfolio'!$A$2:$B$1000,2,FALSE()),""))</f>
        <v/>
      </c>
      <c r="D338" s="106"/>
      <c r="E338" s="106"/>
      <c r="F338" s="106"/>
      <c r="G338" s="106"/>
      <c r="H338" s="106"/>
      <c r="I338" s="103" t="str">
        <f aca="false">IF(OR($B338="", $D338="", $E338="", $F338="", $G338="", $H338=""),"",ROUND(($D338*Lists!$AD$20)+($E338*Lists!$AD$21)+($F338*Lists!$AD$22)+($G338*Lists!$AD$23)+($H338*Lists!$AD$24),2))</f>
        <v/>
      </c>
      <c r="J338" s="101"/>
      <c r="K338" s="105"/>
      <c r="L338" s="101"/>
    </row>
    <row r="339" customFormat="false" ht="15.75" hidden="false" customHeight="true" outlineLevel="0" collapsed="false">
      <c r="A339" s="113"/>
      <c r="B339" s="102"/>
      <c r="C339" s="101" t="str">
        <f aca="false">IF($B339="","",IFERROR(VLOOKUP($B339,'Application Portfolio'!$A$2:$B$1000,2,FALSE()),""))</f>
        <v/>
      </c>
      <c r="D339" s="106"/>
      <c r="E339" s="106"/>
      <c r="F339" s="106"/>
      <c r="G339" s="106"/>
      <c r="H339" s="106"/>
      <c r="I339" s="103" t="str">
        <f aca="false">IF(OR($B339="", $D339="", $E339="", $F339="", $G339="", $H339=""),"",ROUND(($D339*Lists!$AD$20)+($E339*Lists!$AD$21)+($F339*Lists!$AD$22)+($G339*Lists!$AD$23)+($H339*Lists!$AD$24),2))</f>
        <v/>
      </c>
      <c r="J339" s="101"/>
      <c r="K339" s="105"/>
      <c r="L339" s="101"/>
    </row>
    <row r="340" customFormat="false" ht="15.75" hidden="false" customHeight="true" outlineLevel="0" collapsed="false">
      <c r="A340" s="113"/>
      <c r="B340" s="102"/>
      <c r="C340" s="101" t="str">
        <f aca="false">IF($B340="","",IFERROR(VLOOKUP($B340,'Application Portfolio'!$A$2:$B$1000,2,FALSE()),""))</f>
        <v/>
      </c>
      <c r="D340" s="106"/>
      <c r="E340" s="106"/>
      <c r="F340" s="106"/>
      <c r="G340" s="106"/>
      <c r="H340" s="106"/>
      <c r="I340" s="103" t="str">
        <f aca="false">IF(OR($B340="", $D340="", $E340="", $F340="", $G340="", $H340=""),"",ROUND(($D340*Lists!$AD$20)+($E340*Lists!$AD$21)+($F340*Lists!$AD$22)+($G340*Lists!$AD$23)+($H340*Lists!$AD$24),2))</f>
        <v/>
      </c>
      <c r="J340" s="101"/>
      <c r="K340" s="105"/>
      <c r="L340" s="101"/>
    </row>
    <row r="341" customFormat="false" ht="15.75" hidden="false" customHeight="true" outlineLevel="0" collapsed="false">
      <c r="A341" s="113"/>
      <c r="B341" s="102"/>
      <c r="C341" s="101" t="str">
        <f aca="false">IF($B341="","",IFERROR(VLOOKUP($B341,'Application Portfolio'!$A$2:$B$1000,2,FALSE()),""))</f>
        <v/>
      </c>
      <c r="D341" s="106"/>
      <c r="E341" s="106"/>
      <c r="F341" s="106"/>
      <c r="G341" s="106"/>
      <c r="H341" s="106"/>
      <c r="I341" s="103" t="str">
        <f aca="false">IF(OR($B341="", $D341="", $E341="", $F341="", $G341="", $H341=""),"",ROUND(($D341*Lists!$AD$20)+($E341*Lists!$AD$21)+($F341*Lists!$AD$22)+($G341*Lists!$AD$23)+($H341*Lists!$AD$24),2))</f>
        <v/>
      </c>
      <c r="J341" s="101"/>
      <c r="K341" s="105"/>
      <c r="L341" s="101"/>
    </row>
    <row r="342" customFormat="false" ht="15.75" hidden="false" customHeight="true" outlineLevel="0" collapsed="false">
      <c r="A342" s="113"/>
      <c r="B342" s="102"/>
      <c r="C342" s="101" t="str">
        <f aca="false">IF($B342="","",IFERROR(VLOOKUP($B342,'Application Portfolio'!$A$2:$B$1000,2,FALSE()),""))</f>
        <v/>
      </c>
      <c r="D342" s="106"/>
      <c r="E342" s="106"/>
      <c r="F342" s="106"/>
      <c r="G342" s="106"/>
      <c r="H342" s="106"/>
      <c r="I342" s="103" t="str">
        <f aca="false">IF(OR($B342="", $D342="", $E342="", $F342="", $G342="", $H342=""),"",ROUND(($D342*Lists!$AD$20)+($E342*Lists!$AD$21)+($F342*Lists!$AD$22)+($G342*Lists!$AD$23)+($H342*Lists!$AD$24),2))</f>
        <v/>
      </c>
      <c r="J342" s="101"/>
      <c r="K342" s="105"/>
      <c r="L342" s="101"/>
    </row>
    <row r="343" customFormat="false" ht="15.75" hidden="false" customHeight="true" outlineLevel="0" collapsed="false">
      <c r="A343" s="113"/>
      <c r="B343" s="102"/>
      <c r="C343" s="101" t="str">
        <f aca="false">IF($B343="","",IFERROR(VLOOKUP($B343,'Application Portfolio'!$A$2:$B$1000,2,FALSE()),""))</f>
        <v/>
      </c>
      <c r="D343" s="106"/>
      <c r="E343" s="106"/>
      <c r="F343" s="106"/>
      <c r="G343" s="106"/>
      <c r="H343" s="106"/>
      <c r="I343" s="103" t="str">
        <f aca="false">IF(OR($B343="", $D343="", $E343="", $F343="", $G343="", $H343=""),"",ROUND(($D343*Lists!$AD$20)+($E343*Lists!$AD$21)+($F343*Lists!$AD$22)+($G343*Lists!$AD$23)+($H343*Lists!$AD$24),2))</f>
        <v/>
      </c>
      <c r="J343" s="101"/>
      <c r="K343" s="105"/>
      <c r="L343" s="101"/>
    </row>
    <row r="344" customFormat="false" ht="15.75" hidden="false" customHeight="true" outlineLevel="0" collapsed="false">
      <c r="A344" s="113"/>
      <c r="B344" s="102"/>
      <c r="C344" s="101" t="str">
        <f aca="false">IF($B344="","",IFERROR(VLOOKUP($B344,'Application Portfolio'!$A$2:$B$1000,2,FALSE()),""))</f>
        <v/>
      </c>
      <c r="D344" s="106"/>
      <c r="E344" s="106"/>
      <c r="F344" s="106"/>
      <c r="G344" s="106"/>
      <c r="H344" s="106"/>
      <c r="I344" s="103" t="str">
        <f aca="false">IF(OR($B344="", $D344="", $E344="", $F344="", $G344="", $H344=""),"",ROUND(($D344*Lists!$AD$20)+($E344*Lists!$AD$21)+($F344*Lists!$AD$22)+($G344*Lists!$AD$23)+($H344*Lists!$AD$24),2))</f>
        <v/>
      </c>
      <c r="J344" s="101"/>
      <c r="K344" s="105"/>
      <c r="L344" s="101"/>
    </row>
    <row r="345" customFormat="false" ht="15.75" hidden="false" customHeight="true" outlineLevel="0" collapsed="false">
      <c r="A345" s="113"/>
      <c r="B345" s="102"/>
      <c r="C345" s="101" t="str">
        <f aca="false">IF($B345="","",IFERROR(VLOOKUP($B345,'Application Portfolio'!$A$2:$B$1000,2,FALSE()),""))</f>
        <v/>
      </c>
      <c r="D345" s="106"/>
      <c r="E345" s="106"/>
      <c r="F345" s="106"/>
      <c r="G345" s="106"/>
      <c r="H345" s="106"/>
      <c r="I345" s="103" t="str">
        <f aca="false">IF(OR($B345="", $D345="", $E345="", $F345="", $G345="", $H345=""),"",ROUND(($D345*Lists!$AD$20)+($E345*Lists!$AD$21)+($F345*Lists!$AD$22)+($G345*Lists!$AD$23)+($H345*Lists!$AD$24),2))</f>
        <v/>
      </c>
      <c r="J345" s="101"/>
      <c r="K345" s="105"/>
      <c r="L345" s="101"/>
    </row>
    <row r="346" customFormat="false" ht="15.75" hidden="false" customHeight="true" outlineLevel="0" collapsed="false">
      <c r="A346" s="113"/>
      <c r="B346" s="102"/>
      <c r="C346" s="101" t="str">
        <f aca="false">IF($B346="","",IFERROR(VLOOKUP($B346,'Application Portfolio'!$A$2:$B$1000,2,FALSE()),""))</f>
        <v/>
      </c>
      <c r="D346" s="106"/>
      <c r="E346" s="106"/>
      <c r="F346" s="106"/>
      <c r="G346" s="106"/>
      <c r="H346" s="106"/>
      <c r="I346" s="103" t="str">
        <f aca="false">IF(OR($B346="", $D346="", $E346="", $F346="", $G346="", $H346=""),"",ROUND(($D346*Lists!$AD$20)+($E346*Lists!$AD$21)+($F346*Lists!$AD$22)+($G346*Lists!$AD$23)+($H346*Lists!$AD$24),2))</f>
        <v/>
      </c>
      <c r="J346" s="101"/>
      <c r="K346" s="105"/>
      <c r="L346" s="101"/>
    </row>
    <row r="347" customFormat="false" ht="15.75" hidden="false" customHeight="true" outlineLevel="0" collapsed="false">
      <c r="A347" s="113"/>
      <c r="B347" s="102"/>
      <c r="C347" s="101" t="str">
        <f aca="false">IF($B347="","",IFERROR(VLOOKUP($B347,'Application Portfolio'!$A$2:$B$1000,2,FALSE()),""))</f>
        <v/>
      </c>
      <c r="D347" s="106"/>
      <c r="E347" s="106"/>
      <c r="F347" s="106"/>
      <c r="G347" s="106"/>
      <c r="H347" s="106"/>
      <c r="I347" s="103" t="str">
        <f aca="false">IF(OR($B347="", $D347="", $E347="", $F347="", $G347="", $H347=""),"",ROUND(($D347*Lists!$AD$20)+($E347*Lists!$AD$21)+($F347*Lists!$AD$22)+($G347*Lists!$AD$23)+($H347*Lists!$AD$24),2))</f>
        <v/>
      </c>
      <c r="J347" s="101"/>
      <c r="K347" s="105"/>
      <c r="L347" s="101"/>
    </row>
    <row r="348" customFormat="false" ht="15.75" hidden="false" customHeight="true" outlineLevel="0" collapsed="false">
      <c r="A348" s="113"/>
      <c r="B348" s="102"/>
      <c r="C348" s="101" t="str">
        <f aca="false">IF($B348="","",IFERROR(VLOOKUP($B348,'Application Portfolio'!$A$2:$B$1000,2,FALSE()),""))</f>
        <v/>
      </c>
      <c r="D348" s="106"/>
      <c r="E348" s="106"/>
      <c r="F348" s="106"/>
      <c r="G348" s="106"/>
      <c r="H348" s="106"/>
      <c r="I348" s="103" t="str">
        <f aca="false">IF(OR($B348="", $D348="", $E348="", $F348="", $G348="", $H348=""),"",ROUND(($D348*Lists!$AD$20)+($E348*Lists!$AD$21)+($F348*Lists!$AD$22)+($G348*Lists!$AD$23)+($H348*Lists!$AD$24),2))</f>
        <v/>
      </c>
      <c r="J348" s="101"/>
      <c r="K348" s="105"/>
      <c r="L348" s="101"/>
    </row>
    <row r="349" customFormat="false" ht="15.75" hidden="false" customHeight="true" outlineLevel="0" collapsed="false">
      <c r="A349" s="113"/>
      <c r="B349" s="102"/>
      <c r="C349" s="101" t="str">
        <f aca="false">IF($B349="","",IFERROR(VLOOKUP($B349,'Application Portfolio'!$A$2:$B$1000,2,FALSE()),""))</f>
        <v/>
      </c>
      <c r="D349" s="106"/>
      <c r="E349" s="106"/>
      <c r="F349" s="106"/>
      <c r="G349" s="106"/>
      <c r="H349" s="106"/>
      <c r="I349" s="103" t="str">
        <f aca="false">IF(OR($B349="", $D349="", $E349="", $F349="", $G349="", $H349=""),"",ROUND(($D349*Lists!$AD$20)+($E349*Lists!$AD$21)+($F349*Lists!$AD$22)+($G349*Lists!$AD$23)+($H349*Lists!$AD$24),2))</f>
        <v/>
      </c>
      <c r="J349" s="101"/>
      <c r="K349" s="105"/>
      <c r="L349" s="101"/>
    </row>
    <row r="350" customFormat="false" ht="15.75" hidden="false" customHeight="true" outlineLevel="0" collapsed="false">
      <c r="A350" s="113"/>
      <c r="B350" s="102"/>
      <c r="C350" s="101" t="str">
        <f aca="false">IF($B350="","",IFERROR(VLOOKUP($B350,'Application Portfolio'!$A$2:$B$1000,2,FALSE()),""))</f>
        <v/>
      </c>
      <c r="D350" s="106"/>
      <c r="E350" s="106"/>
      <c r="F350" s="106"/>
      <c r="G350" s="106"/>
      <c r="H350" s="106"/>
      <c r="I350" s="103" t="str">
        <f aca="false">IF(OR($B350="", $D350="", $E350="", $F350="", $G350="", $H350=""),"",ROUND(($D350*Lists!$AD$20)+($E350*Lists!$AD$21)+($F350*Lists!$AD$22)+($G350*Lists!$AD$23)+($H350*Lists!$AD$24),2))</f>
        <v/>
      </c>
      <c r="J350" s="101"/>
      <c r="K350" s="105"/>
      <c r="L350" s="101"/>
    </row>
    <row r="351" customFormat="false" ht="15.75" hidden="false" customHeight="true" outlineLevel="0" collapsed="false">
      <c r="A351" s="113"/>
      <c r="B351" s="102"/>
      <c r="C351" s="101" t="str">
        <f aca="false">IF($B351="","",IFERROR(VLOOKUP($B351,'Application Portfolio'!$A$2:$B$1000,2,FALSE()),""))</f>
        <v/>
      </c>
      <c r="D351" s="106"/>
      <c r="E351" s="106"/>
      <c r="F351" s="106"/>
      <c r="G351" s="106"/>
      <c r="H351" s="106"/>
      <c r="I351" s="103" t="str">
        <f aca="false">IF(OR($B351="", $D351="", $E351="", $F351="", $G351="", $H351=""),"",ROUND(($D351*Lists!$AD$20)+($E351*Lists!$AD$21)+($F351*Lists!$AD$22)+($G351*Lists!$AD$23)+($H351*Lists!$AD$24),2))</f>
        <v/>
      </c>
      <c r="J351" s="101"/>
      <c r="K351" s="105"/>
      <c r="L351" s="101"/>
    </row>
    <row r="352" customFormat="false" ht="15.75" hidden="false" customHeight="true" outlineLevel="0" collapsed="false">
      <c r="A352" s="113"/>
      <c r="B352" s="102"/>
      <c r="C352" s="101" t="str">
        <f aca="false">IF($B352="","",IFERROR(VLOOKUP($B352,'Application Portfolio'!$A$2:$B$1000,2,FALSE()),""))</f>
        <v/>
      </c>
      <c r="D352" s="106"/>
      <c r="E352" s="106"/>
      <c r="F352" s="106"/>
      <c r="G352" s="106"/>
      <c r="H352" s="106"/>
      <c r="I352" s="103" t="str">
        <f aca="false">IF(OR($B352="", $D352="", $E352="", $F352="", $G352="", $H352=""),"",ROUND(($D352*Lists!$AD$20)+($E352*Lists!$AD$21)+($F352*Lists!$AD$22)+($G352*Lists!$AD$23)+($H352*Lists!$AD$24),2))</f>
        <v/>
      </c>
      <c r="J352" s="101"/>
      <c r="K352" s="105"/>
      <c r="L352" s="101"/>
    </row>
    <row r="353" customFormat="false" ht="15.75" hidden="false" customHeight="true" outlineLevel="0" collapsed="false">
      <c r="A353" s="113"/>
      <c r="B353" s="102"/>
      <c r="C353" s="101" t="str">
        <f aca="false">IF($B353="","",IFERROR(VLOOKUP($B353,'Application Portfolio'!$A$2:$B$1000,2,FALSE()),""))</f>
        <v/>
      </c>
      <c r="D353" s="106"/>
      <c r="E353" s="106"/>
      <c r="F353" s="106"/>
      <c r="G353" s="106"/>
      <c r="H353" s="106"/>
      <c r="I353" s="103" t="str">
        <f aca="false">IF(OR($B353="", $D353="", $E353="", $F353="", $G353="", $H353=""),"",ROUND(($D353*Lists!$AD$20)+($E353*Lists!$AD$21)+($F353*Lists!$AD$22)+($G353*Lists!$AD$23)+($H353*Lists!$AD$24),2))</f>
        <v/>
      </c>
      <c r="J353" s="101"/>
      <c r="K353" s="105"/>
      <c r="L353" s="101"/>
    </row>
    <row r="354" customFormat="false" ht="15.75" hidden="false" customHeight="true" outlineLevel="0" collapsed="false">
      <c r="A354" s="113"/>
      <c r="B354" s="102"/>
      <c r="C354" s="101" t="str">
        <f aca="false">IF($B354="","",IFERROR(VLOOKUP($B354,'Application Portfolio'!$A$2:$B$1000,2,FALSE()),""))</f>
        <v/>
      </c>
      <c r="D354" s="106"/>
      <c r="E354" s="106"/>
      <c r="F354" s="106"/>
      <c r="G354" s="106"/>
      <c r="H354" s="106"/>
      <c r="I354" s="103" t="str">
        <f aca="false">IF(OR($B354="", $D354="", $E354="", $F354="", $G354="", $H354=""),"",ROUND(($D354*Lists!$AD$20)+($E354*Lists!$AD$21)+($F354*Lists!$AD$22)+($G354*Lists!$AD$23)+($H354*Lists!$AD$24),2))</f>
        <v/>
      </c>
      <c r="J354" s="101"/>
      <c r="K354" s="105"/>
      <c r="L354" s="101"/>
    </row>
    <row r="355" customFormat="false" ht="15.75" hidden="false" customHeight="true" outlineLevel="0" collapsed="false">
      <c r="A355" s="113"/>
      <c r="B355" s="102"/>
      <c r="C355" s="101" t="str">
        <f aca="false">IF($B355="","",IFERROR(VLOOKUP($B355,'Application Portfolio'!$A$2:$B$1000,2,FALSE()),""))</f>
        <v/>
      </c>
      <c r="D355" s="106"/>
      <c r="E355" s="106"/>
      <c r="F355" s="106"/>
      <c r="G355" s="106"/>
      <c r="H355" s="106"/>
      <c r="I355" s="103" t="str">
        <f aca="false">IF(OR($B355="", $D355="", $E355="", $F355="", $G355="", $H355=""),"",ROUND(($D355*Lists!$AD$20)+($E355*Lists!$AD$21)+($F355*Lists!$AD$22)+($G355*Lists!$AD$23)+($H355*Lists!$AD$24),2))</f>
        <v/>
      </c>
      <c r="J355" s="101"/>
      <c r="K355" s="105"/>
      <c r="L355" s="101"/>
    </row>
    <row r="356" customFormat="false" ht="15.75" hidden="false" customHeight="true" outlineLevel="0" collapsed="false">
      <c r="A356" s="113"/>
      <c r="B356" s="102"/>
      <c r="C356" s="101" t="str">
        <f aca="false">IF($B356="","",IFERROR(VLOOKUP($B356,'Application Portfolio'!$A$2:$B$1000,2,FALSE()),""))</f>
        <v/>
      </c>
      <c r="D356" s="106"/>
      <c r="E356" s="106"/>
      <c r="F356" s="106"/>
      <c r="G356" s="106"/>
      <c r="H356" s="106"/>
      <c r="I356" s="103" t="str">
        <f aca="false">IF(OR($B356="", $D356="", $E356="", $F356="", $G356="", $H356=""),"",ROUND(($D356*Lists!$AD$20)+($E356*Lists!$AD$21)+($F356*Lists!$AD$22)+($G356*Lists!$AD$23)+($H356*Lists!$AD$24),2))</f>
        <v/>
      </c>
      <c r="J356" s="101"/>
      <c r="K356" s="105"/>
      <c r="L356" s="101"/>
    </row>
    <row r="357" customFormat="false" ht="15.75" hidden="false" customHeight="true" outlineLevel="0" collapsed="false">
      <c r="A357" s="113"/>
      <c r="B357" s="102"/>
      <c r="C357" s="101" t="str">
        <f aca="false">IF($B357="","",IFERROR(VLOOKUP($B357,'Application Portfolio'!$A$2:$B$1000,2,FALSE()),""))</f>
        <v/>
      </c>
      <c r="D357" s="106"/>
      <c r="E357" s="106"/>
      <c r="F357" s="106"/>
      <c r="G357" s="106"/>
      <c r="H357" s="106"/>
      <c r="I357" s="103" t="str">
        <f aca="false">IF(OR($B357="", $D357="", $E357="", $F357="", $G357="", $H357=""),"",ROUND(($D357*Lists!$AD$20)+($E357*Lists!$AD$21)+($F357*Lists!$AD$22)+($G357*Lists!$AD$23)+($H357*Lists!$AD$24),2))</f>
        <v/>
      </c>
      <c r="J357" s="101"/>
      <c r="K357" s="105"/>
      <c r="L357" s="101"/>
    </row>
    <row r="358" customFormat="false" ht="15.75" hidden="false" customHeight="true" outlineLevel="0" collapsed="false">
      <c r="A358" s="113"/>
      <c r="B358" s="102"/>
      <c r="C358" s="101" t="str">
        <f aca="false">IF($B358="","",IFERROR(VLOOKUP($B358,'Application Portfolio'!$A$2:$B$1000,2,FALSE()),""))</f>
        <v/>
      </c>
      <c r="D358" s="106"/>
      <c r="E358" s="106"/>
      <c r="F358" s="106"/>
      <c r="G358" s="106"/>
      <c r="H358" s="106"/>
      <c r="I358" s="103" t="str">
        <f aca="false">IF(OR($B358="", $D358="", $E358="", $F358="", $G358="", $H358=""),"",ROUND(($D358*Lists!$AD$20)+($E358*Lists!$AD$21)+($F358*Lists!$AD$22)+($G358*Lists!$AD$23)+($H358*Lists!$AD$24),2))</f>
        <v/>
      </c>
      <c r="J358" s="101"/>
      <c r="K358" s="105"/>
      <c r="L358" s="101"/>
    </row>
    <row r="359" customFormat="false" ht="15.75" hidden="false" customHeight="true" outlineLevel="0" collapsed="false">
      <c r="A359" s="113"/>
      <c r="B359" s="102"/>
      <c r="C359" s="101" t="str">
        <f aca="false">IF($B359="","",IFERROR(VLOOKUP($B359,'Application Portfolio'!$A$2:$B$1000,2,FALSE()),""))</f>
        <v/>
      </c>
      <c r="D359" s="106"/>
      <c r="E359" s="106"/>
      <c r="F359" s="106"/>
      <c r="G359" s="106"/>
      <c r="H359" s="106"/>
      <c r="I359" s="103" t="str">
        <f aca="false">IF(OR($B359="", $D359="", $E359="", $F359="", $G359="", $H359=""),"",ROUND(($D359*Lists!$AD$20)+($E359*Lists!$AD$21)+($F359*Lists!$AD$22)+($G359*Lists!$AD$23)+($H359*Lists!$AD$24),2))</f>
        <v/>
      </c>
      <c r="J359" s="101"/>
      <c r="K359" s="105"/>
      <c r="L359" s="101"/>
    </row>
    <row r="360" customFormat="false" ht="15.75" hidden="false" customHeight="true" outlineLevel="0" collapsed="false">
      <c r="A360" s="113"/>
      <c r="B360" s="102"/>
      <c r="C360" s="101" t="str">
        <f aca="false">IF($B360="","",IFERROR(VLOOKUP($B360,'Application Portfolio'!$A$2:$B$1000,2,FALSE()),""))</f>
        <v/>
      </c>
      <c r="D360" s="106"/>
      <c r="E360" s="106"/>
      <c r="F360" s="106"/>
      <c r="G360" s="106"/>
      <c r="H360" s="106"/>
      <c r="I360" s="103" t="str">
        <f aca="false">IF(OR($B360="", $D360="", $E360="", $F360="", $G360="", $H360=""),"",ROUND(($D360*Lists!$AD$20)+($E360*Lists!$AD$21)+($F360*Lists!$AD$22)+($G360*Lists!$AD$23)+($H360*Lists!$AD$24),2))</f>
        <v/>
      </c>
      <c r="J360" s="101"/>
      <c r="K360" s="105"/>
      <c r="L360" s="101"/>
    </row>
    <row r="361" customFormat="false" ht="15.75" hidden="false" customHeight="true" outlineLevel="0" collapsed="false">
      <c r="A361" s="113"/>
      <c r="B361" s="102"/>
      <c r="C361" s="101" t="str">
        <f aca="false">IF($B361="","",IFERROR(VLOOKUP($B361,'Application Portfolio'!$A$2:$B$1000,2,FALSE()),""))</f>
        <v/>
      </c>
      <c r="D361" s="106"/>
      <c r="E361" s="106"/>
      <c r="F361" s="106"/>
      <c r="G361" s="106"/>
      <c r="H361" s="106"/>
      <c r="I361" s="103" t="str">
        <f aca="false">IF(OR($B361="", $D361="", $E361="", $F361="", $G361="", $H361=""),"",ROUND(($D361*Lists!$AD$20)+($E361*Lists!$AD$21)+($F361*Lists!$AD$22)+($G361*Lists!$AD$23)+($H361*Lists!$AD$24),2))</f>
        <v/>
      </c>
      <c r="J361" s="101"/>
      <c r="K361" s="105"/>
      <c r="L361" s="101"/>
    </row>
    <row r="362" customFormat="false" ht="15.75" hidden="false" customHeight="true" outlineLevel="0" collapsed="false">
      <c r="A362" s="113"/>
      <c r="B362" s="102"/>
      <c r="C362" s="101" t="str">
        <f aca="false">IF($B362="","",IFERROR(VLOOKUP($B362,'Application Portfolio'!$A$2:$B$1000,2,FALSE()),""))</f>
        <v/>
      </c>
      <c r="D362" s="106"/>
      <c r="E362" s="106"/>
      <c r="F362" s="106"/>
      <c r="G362" s="106"/>
      <c r="H362" s="106"/>
      <c r="I362" s="103" t="str">
        <f aca="false">IF(OR($B362="", $D362="", $E362="", $F362="", $G362="", $H362=""),"",ROUND(($D362*Lists!$AD$20)+($E362*Lists!$AD$21)+($F362*Lists!$AD$22)+($G362*Lists!$AD$23)+($H362*Lists!$AD$24),2))</f>
        <v/>
      </c>
      <c r="J362" s="101"/>
      <c r="K362" s="105"/>
      <c r="L362" s="101"/>
    </row>
    <row r="363" customFormat="false" ht="15.75" hidden="false" customHeight="true" outlineLevel="0" collapsed="false">
      <c r="A363" s="113"/>
      <c r="B363" s="102"/>
      <c r="C363" s="101" t="str">
        <f aca="false">IF($B363="","",IFERROR(VLOOKUP($B363,'Application Portfolio'!$A$2:$B$1000,2,FALSE()),""))</f>
        <v/>
      </c>
      <c r="D363" s="106"/>
      <c r="E363" s="106"/>
      <c r="F363" s="106"/>
      <c r="G363" s="106"/>
      <c r="H363" s="106"/>
      <c r="I363" s="103" t="str">
        <f aca="false">IF(OR($B363="", $D363="", $E363="", $F363="", $G363="", $H363=""),"",ROUND(($D363*Lists!$AD$20)+($E363*Lists!$AD$21)+($F363*Lists!$AD$22)+($G363*Lists!$AD$23)+($H363*Lists!$AD$24),2))</f>
        <v/>
      </c>
      <c r="J363" s="101"/>
      <c r="K363" s="105"/>
      <c r="L363" s="101"/>
    </row>
    <row r="364" customFormat="false" ht="15.75" hidden="false" customHeight="true" outlineLevel="0" collapsed="false">
      <c r="A364" s="113"/>
      <c r="B364" s="102"/>
      <c r="C364" s="101" t="str">
        <f aca="false">IF($B364="","",IFERROR(VLOOKUP($B364,'Application Portfolio'!$A$2:$B$1000,2,FALSE()),""))</f>
        <v/>
      </c>
      <c r="D364" s="106"/>
      <c r="E364" s="106"/>
      <c r="F364" s="106"/>
      <c r="G364" s="106"/>
      <c r="H364" s="106"/>
      <c r="I364" s="103" t="str">
        <f aca="false">IF(OR($B364="", $D364="", $E364="", $F364="", $G364="", $H364=""),"",ROUND(($D364*Lists!$AD$20)+($E364*Lists!$AD$21)+($F364*Lists!$AD$22)+($G364*Lists!$AD$23)+($H364*Lists!$AD$24),2))</f>
        <v/>
      </c>
      <c r="J364" s="101"/>
      <c r="K364" s="105"/>
      <c r="L364" s="101"/>
    </row>
    <row r="365" customFormat="false" ht="15.75" hidden="false" customHeight="true" outlineLevel="0" collapsed="false">
      <c r="A365" s="113"/>
      <c r="B365" s="102"/>
      <c r="C365" s="101" t="str">
        <f aca="false">IF($B365="","",IFERROR(VLOOKUP($B365,'Application Portfolio'!$A$2:$B$1000,2,FALSE()),""))</f>
        <v/>
      </c>
      <c r="D365" s="106"/>
      <c r="E365" s="106"/>
      <c r="F365" s="106"/>
      <c r="G365" s="106"/>
      <c r="H365" s="106"/>
      <c r="I365" s="103" t="str">
        <f aca="false">IF(OR($B365="", $D365="", $E365="", $F365="", $G365="", $H365=""),"",ROUND(($D365*Lists!$AD$20)+($E365*Lists!$AD$21)+($F365*Lists!$AD$22)+($G365*Lists!$AD$23)+($H365*Lists!$AD$24),2))</f>
        <v/>
      </c>
      <c r="J365" s="101"/>
      <c r="K365" s="105"/>
      <c r="L365" s="101"/>
    </row>
    <row r="366" customFormat="false" ht="15.75" hidden="false" customHeight="true" outlineLevel="0" collapsed="false">
      <c r="A366" s="113"/>
      <c r="B366" s="102"/>
      <c r="C366" s="101" t="str">
        <f aca="false">IF($B366="","",IFERROR(VLOOKUP($B366,'Application Portfolio'!$A$2:$B$1000,2,FALSE()),""))</f>
        <v/>
      </c>
      <c r="D366" s="106"/>
      <c r="E366" s="106"/>
      <c r="F366" s="106"/>
      <c r="G366" s="106"/>
      <c r="H366" s="106"/>
      <c r="I366" s="103" t="str">
        <f aca="false">IF(OR($B366="", $D366="", $E366="", $F366="", $G366="", $H366=""),"",ROUND(($D366*Lists!$AD$20)+($E366*Lists!$AD$21)+($F366*Lists!$AD$22)+($G366*Lists!$AD$23)+($H366*Lists!$AD$24),2))</f>
        <v/>
      </c>
      <c r="J366" s="101"/>
      <c r="K366" s="105"/>
      <c r="L366" s="101"/>
    </row>
    <row r="367" customFormat="false" ht="15.75" hidden="false" customHeight="true" outlineLevel="0" collapsed="false">
      <c r="A367" s="113"/>
      <c r="B367" s="102"/>
      <c r="C367" s="101" t="str">
        <f aca="false">IF($B367="","",IFERROR(VLOOKUP($B367,'Application Portfolio'!$A$2:$B$1000,2,FALSE()),""))</f>
        <v/>
      </c>
      <c r="D367" s="106"/>
      <c r="E367" s="106"/>
      <c r="F367" s="106"/>
      <c r="G367" s="106"/>
      <c r="H367" s="106"/>
      <c r="I367" s="103" t="str">
        <f aca="false">IF(OR($B367="", $D367="", $E367="", $F367="", $G367="", $H367=""),"",ROUND(($D367*Lists!$AD$20)+($E367*Lists!$AD$21)+($F367*Lists!$AD$22)+($G367*Lists!$AD$23)+($H367*Lists!$AD$24),2))</f>
        <v/>
      </c>
      <c r="J367" s="101"/>
      <c r="K367" s="105"/>
      <c r="L367" s="101"/>
    </row>
    <row r="368" customFormat="false" ht="15.75" hidden="false" customHeight="true" outlineLevel="0" collapsed="false">
      <c r="A368" s="113"/>
      <c r="B368" s="102"/>
      <c r="C368" s="101" t="str">
        <f aca="false">IF($B368="","",IFERROR(VLOOKUP($B368,'Application Portfolio'!$A$2:$B$1000,2,FALSE()),""))</f>
        <v/>
      </c>
      <c r="D368" s="106"/>
      <c r="E368" s="106"/>
      <c r="F368" s="106"/>
      <c r="G368" s="106"/>
      <c r="H368" s="106"/>
      <c r="I368" s="103" t="str">
        <f aca="false">IF(OR($B368="", $D368="", $E368="", $F368="", $G368="", $H368=""),"",ROUND(($D368*Lists!$AD$20)+($E368*Lists!$AD$21)+($F368*Lists!$AD$22)+($G368*Lists!$AD$23)+($H368*Lists!$AD$24),2))</f>
        <v/>
      </c>
      <c r="J368" s="101"/>
      <c r="K368" s="105"/>
      <c r="L368" s="101"/>
    </row>
    <row r="369" customFormat="false" ht="15.75" hidden="false" customHeight="true" outlineLevel="0" collapsed="false">
      <c r="A369" s="113"/>
      <c r="B369" s="102"/>
      <c r="C369" s="101" t="str">
        <f aca="false">IF($B369="","",IFERROR(VLOOKUP($B369,'Application Portfolio'!$A$2:$B$1000,2,FALSE()),""))</f>
        <v/>
      </c>
      <c r="D369" s="106"/>
      <c r="E369" s="106"/>
      <c r="F369" s="106"/>
      <c r="G369" s="106"/>
      <c r="H369" s="106"/>
      <c r="I369" s="103" t="str">
        <f aca="false">IF(OR($B369="", $D369="", $E369="", $F369="", $G369="", $H369=""),"",ROUND(($D369*Lists!$AD$20)+($E369*Lists!$AD$21)+($F369*Lists!$AD$22)+($G369*Lists!$AD$23)+($H369*Lists!$AD$24),2))</f>
        <v/>
      </c>
      <c r="J369" s="101"/>
      <c r="K369" s="105"/>
      <c r="L369" s="101"/>
    </row>
    <row r="370" customFormat="false" ht="15.75" hidden="false" customHeight="true" outlineLevel="0" collapsed="false">
      <c r="A370" s="113"/>
      <c r="B370" s="102"/>
      <c r="C370" s="101" t="str">
        <f aca="false">IF($B370="","",IFERROR(VLOOKUP($B370,'Application Portfolio'!$A$2:$B$1000,2,FALSE()),""))</f>
        <v/>
      </c>
      <c r="D370" s="106"/>
      <c r="E370" s="106"/>
      <c r="F370" s="106"/>
      <c r="G370" s="106"/>
      <c r="H370" s="106"/>
      <c r="I370" s="103" t="str">
        <f aca="false">IF(OR($B370="", $D370="", $E370="", $F370="", $G370="", $H370=""),"",ROUND(($D370*Lists!$AD$20)+($E370*Lists!$AD$21)+($F370*Lists!$AD$22)+($G370*Lists!$AD$23)+($H370*Lists!$AD$24),2))</f>
        <v/>
      </c>
      <c r="J370" s="101"/>
      <c r="K370" s="105"/>
      <c r="L370" s="101"/>
    </row>
    <row r="371" customFormat="false" ht="15.75" hidden="false" customHeight="true" outlineLevel="0" collapsed="false">
      <c r="A371" s="113"/>
      <c r="B371" s="102"/>
      <c r="C371" s="101" t="str">
        <f aca="false">IF($B371="","",IFERROR(VLOOKUP($B371,'Application Portfolio'!$A$2:$B$1000,2,FALSE()),""))</f>
        <v/>
      </c>
      <c r="D371" s="106"/>
      <c r="E371" s="106"/>
      <c r="F371" s="106"/>
      <c r="G371" s="106"/>
      <c r="H371" s="106"/>
      <c r="I371" s="103" t="str">
        <f aca="false">IF(OR($B371="", $D371="", $E371="", $F371="", $G371="", $H371=""),"",ROUND(($D371*Lists!$AD$20)+($E371*Lists!$AD$21)+($F371*Lists!$AD$22)+($G371*Lists!$AD$23)+($H371*Lists!$AD$24),2))</f>
        <v/>
      </c>
      <c r="J371" s="101"/>
      <c r="K371" s="105"/>
      <c r="L371" s="101"/>
    </row>
    <row r="372" customFormat="false" ht="15.75" hidden="false" customHeight="true" outlineLevel="0" collapsed="false">
      <c r="A372" s="113"/>
      <c r="B372" s="102"/>
      <c r="C372" s="101" t="str">
        <f aca="false">IF($B372="","",IFERROR(VLOOKUP($B372,'Application Portfolio'!$A$2:$B$1000,2,FALSE()),""))</f>
        <v/>
      </c>
      <c r="D372" s="106"/>
      <c r="E372" s="106"/>
      <c r="F372" s="106"/>
      <c r="G372" s="106"/>
      <c r="H372" s="106"/>
      <c r="I372" s="103" t="str">
        <f aca="false">IF(OR($B372="", $D372="", $E372="", $F372="", $G372="", $H372=""),"",ROUND(($D372*Lists!$AD$20)+($E372*Lists!$AD$21)+($F372*Lists!$AD$22)+($G372*Lists!$AD$23)+($H372*Lists!$AD$24),2))</f>
        <v/>
      </c>
      <c r="J372" s="101"/>
      <c r="K372" s="105"/>
      <c r="L372" s="101"/>
    </row>
    <row r="373" customFormat="false" ht="15.75" hidden="false" customHeight="true" outlineLevel="0" collapsed="false">
      <c r="A373" s="113"/>
      <c r="B373" s="102"/>
      <c r="C373" s="101" t="str">
        <f aca="false">IF($B373="","",IFERROR(VLOOKUP($B373,'Application Portfolio'!$A$2:$B$1000,2,FALSE()),""))</f>
        <v/>
      </c>
      <c r="D373" s="106"/>
      <c r="E373" s="106"/>
      <c r="F373" s="106"/>
      <c r="G373" s="106"/>
      <c r="H373" s="106"/>
      <c r="I373" s="103" t="str">
        <f aca="false">IF(OR($B373="", $D373="", $E373="", $F373="", $G373="", $H373=""),"",ROUND(($D373*Lists!$AD$20)+($E373*Lists!$AD$21)+($F373*Lists!$AD$22)+($G373*Lists!$AD$23)+($H373*Lists!$AD$24),2))</f>
        <v/>
      </c>
      <c r="J373" s="101"/>
      <c r="K373" s="105"/>
      <c r="L373" s="101"/>
    </row>
    <row r="374" customFormat="false" ht="15.75" hidden="false" customHeight="true" outlineLevel="0" collapsed="false">
      <c r="A374" s="113"/>
      <c r="B374" s="102"/>
      <c r="C374" s="101" t="str">
        <f aca="false">IF($B374="","",IFERROR(VLOOKUP($B374,'Application Portfolio'!$A$2:$B$1000,2,FALSE()),""))</f>
        <v/>
      </c>
      <c r="D374" s="106"/>
      <c r="E374" s="106"/>
      <c r="F374" s="106"/>
      <c r="G374" s="106"/>
      <c r="H374" s="106"/>
      <c r="I374" s="103" t="str">
        <f aca="false">IF(OR($B374="", $D374="", $E374="", $F374="", $G374="", $H374=""),"",ROUND(($D374*Lists!$AD$20)+($E374*Lists!$AD$21)+($F374*Lists!$AD$22)+($G374*Lists!$AD$23)+($H374*Lists!$AD$24),2))</f>
        <v/>
      </c>
      <c r="J374" s="101"/>
      <c r="K374" s="105"/>
      <c r="L374" s="101"/>
    </row>
    <row r="375" customFormat="false" ht="15.75" hidden="false" customHeight="true" outlineLevel="0" collapsed="false">
      <c r="A375" s="113"/>
      <c r="B375" s="102"/>
      <c r="C375" s="101" t="str">
        <f aca="false">IF($B375="","",IFERROR(VLOOKUP($B375,'Application Portfolio'!$A$2:$B$1000,2,FALSE()),""))</f>
        <v/>
      </c>
      <c r="D375" s="106"/>
      <c r="E375" s="106"/>
      <c r="F375" s="106"/>
      <c r="G375" s="106"/>
      <c r="H375" s="106"/>
      <c r="I375" s="103" t="str">
        <f aca="false">IF(OR($B375="", $D375="", $E375="", $F375="", $G375="", $H375=""),"",ROUND(($D375*Lists!$AD$20)+($E375*Lists!$AD$21)+($F375*Lists!$AD$22)+($G375*Lists!$AD$23)+($H375*Lists!$AD$24),2))</f>
        <v/>
      </c>
      <c r="J375" s="101"/>
      <c r="K375" s="105"/>
      <c r="L375" s="101"/>
    </row>
    <row r="376" customFormat="false" ht="15.75" hidden="false" customHeight="true" outlineLevel="0" collapsed="false">
      <c r="A376" s="113"/>
      <c r="B376" s="102"/>
      <c r="C376" s="101" t="str">
        <f aca="false">IF($B376="","",IFERROR(VLOOKUP($B376,'Application Portfolio'!$A$2:$B$1000,2,FALSE()),""))</f>
        <v/>
      </c>
      <c r="D376" s="106"/>
      <c r="E376" s="106"/>
      <c r="F376" s="106"/>
      <c r="G376" s="106"/>
      <c r="H376" s="106"/>
      <c r="I376" s="103" t="str">
        <f aca="false">IF(OR($B376="", $D376="", $E376="", $F376="", $G376="", $H376=""),"",ROUND(($D376*Lists!$AD$20)+($E376*Lists!$AD$21)+($F376*Lists!$AD$22)+($G376*Lists!$AD$23)+($H376*Lists!$AD$24),2))</f>
        <v/>
      </c>
      <c r="J376" s="101"/>
      <c r="K376" s="105"/>
      <c r="L376" s="101"/>
    </row>
    <row r="377" customFormat="false" ht="15.75" hidden="false" customHeight="true" outlineLevel="0" collapsed="false">
      <c r="A377" s="113"/>
      <c r="B377" s="102"/>
      <c r="C377" s="101" t="str">
        <f aca="false">IF($B377="","",IFERROR(VLOOKUP($B377,'Application Portfolio'!$A$2:$B$1000,2,FALSE()),""))</f>
        <v/>
      </c>
      <c r="D377" s="106"/>
      <c r="E377" s="106"/>
      <c r="F377" s="106"/>
      <c r="G377" s="106"/>
      <c r="H377" s="106"/>
      <c r="I377" s="103" t="str">
        <f aca="false">IF(OR($B377="", $D377="", $E377="", $F377="", $G377="", $H377=""),"",ROUND(($D377*Lists!$AD$20)+($E377*Lists!$AD$21)+($F377*Lists!$AD$22)+($G377*Lists!$AD$23)+($H377*Lists!$AD$24),2))</f>
        <v/>
      </c>
      <c r="J377" s="101"/>
      <c r="K377" s="105"/>
      <c r="L377" s="101"/>
    </row>
    <row r="378" customFormat="false" ht="15.75" hidden="false" customHeight="true" outlineLevel="0" collapsed="false">
      <c r="A378" s="113"/>
      <c r="B378" s="102"/>
      <c r="C378" s="101" t="str">
        <f aca="false">IF($B378="","",IFERROR(VLOOKUP($B378,'Application Portfolio'!$A$2:$B$1000,2,FALSE()),""))</f>
        <v/>
      </c>
      <c r="D378" s="106"/>
      <c r="E378" s="106"/>
      <c r="F378" s="106"/>
      <c r="G378" s="106"/>
      <c r="H378" s="106"/>
      <c r="I378" s="103" t="str">
        <f aca="false">IF(OR($B378="", $D378="", $E378="", $F378="", $G378="", $H378=""),"",ROUND(($D378*Lists!$AD$20)+($E378*Lists!$AD$21)+($F378*Lists!$AD$22)+($G378*Lists!$AD$23)+($H378*Lists!$AD$24),2))</f>
        <v/>
      </c>
      <c r="J378" s="101"/>
      <c r="K378" s="105"/>
      <c r="L378" s="101"/>
    </row>
    <row r="379" customFormat="false" ht="15.75" hidden="false" customHeight="true" outlineLevel="0" collapsed="false">
      <c r="A379" s="113"/>
      <c r="B379" s="102"/>
      <c r="C379" s="101" t="str">
        <f aca="false">IF($B379="","",IFERROR(VLOOKUP($B379,'Application Portfolio'!$A$2:$B$1000,2,FALSE()),""))</f>
        <v/>
      </c>
      <c r="D379" s="106"/>
      <c r="E379" s="106"/>
      <c r="F379" s="106"/>
      <c r="G379" s="106"/>
      <c r="H379" s="106"/>
      <c r="I379" s="103" t="str">
        <f aca="false">IF(OR($B379="", $D379="", $E379="", $F379="", $G379="", $H379=""),"",ROUND(($D379*Lists!$AD$20)+($E379*Lists!$AD$21)+($F379*Lists!$AD$22)+($G379*Lists!$AD$23)+($H379*Lists!$AD$24),2))</f>
        <v/>
      </c>
      <c r="J379" s="101"/>
      <c r="K379" s="105"/>
      <c r="L379" s="101"/>
    </row>
    <row r="380" customFormat="false" ht="15.75" hidden="false" customHeight="true" outlineLevel="0" collapsed="false">
      <c r="A380" s="113"/>
      <c r="B380" s="102"/>
      <c r="C380" s="101" t="str">
        <f aca="false">IF($B380="","",IFERROR(VLOOKUP($B380,'Application Portfolio'!$A$2:$B$1000,2,FALSE()),""))</f>
        <v/>
      </c>
      <c r="D380" s="106"/>
      <c r="E380" s="106"/>
      <c r="F380" s="106"/>
      <c r="G380" s="106"/>
      <c r="H380" s="106"/>
      <c r="I380" s="103" t="str">
        <f aca="false">IF(OR($B380="", $D380="", $E380="", $F380="", $G380="", $H380=""),"",ROUND(($D380*Lists!$AD$20)+($E380*Lists!$AD$21)+($F380*Lists!$AD$22)+($G380*Lists!$AD$23)+($H380*Lists!$AD$24),2))</f>
        <v/>
      </c>
      <c r="J380" s="101"/>
      <c r="K380" s="105"/>
      <c r="L380" s="101"/>
    </row>
    <row r="381" customFormat="false" ht="15.75" hidden="false" customHeight="true" outlineLevel="0" collapsed="false">
      <c r="A381" s="113"/>
      <c r="B381" s="102"/>
      <c r="C381" s="101" t="str">
        <f aca="false">IF($B381="","",IFERROR(VLOOKUP($B381,'Application Portfolio'!$A$2:$B$1000,2,FALSE()),""))</f>
        <v/>
      </c>
      <c r="D381" s="106"/>
      <c r="E381" s="106"/>
      <c r="F381" s="106"/>
      <c r="G381" s="106"/>
      <c r="H381" s="106"/>
      <c r="I381" s="103" t="str">
        <f aca="false">IF(OR($B381="", $D381="", $E381="", $F381="", $G381="", $H381=""),"",ROUND(($D381*Lists!$AD$20)+($E381*Lists!$AD$21)+($F381*Lists!$AD$22)+($G381*Lists!$AD$23)+($H381*Lists!$AD$24),2))</f>
        <v/>
      </c>
      <c r="J381" s="101"/>
      <c r="K381" s="105"/>
      <c r="L381" s="101"/>
    </row>
    <row r="382" customFormat="false" ht="15.75" hidden="false" customHeight="true" outlineLevel="0" collapsed="false">
      <c r="A382" s="113"/>
      <c r="B382" s="102"/>
      <c r="C382" s="101" t="str">
        <f aca="false">IF($B382="","",IFERROR(VLOOKUP($B382,'Application Portfolio'!$A$2:$B$1000,2,FALSE()),""))</f>
        <v/>
      </c>
      <c r="D382" s="106"/>
      <c r="E382" s="106"/>
      <c r="F382" s="106"/>
      <c r="G382" s="106"/>
      <c r="H382" s="106"/>
      <c r="I382" s="103" t="str">
        <f aca="false">IF(OR($B382="", $D382="", $E382="", $F382="", $G382="", $H382=""),"",ROUND(($D382*Lists!$AD$20)+($E382*Lists!$AD$21)+($F382*Lists!$AD$22)+($G382*Lists!$AD$23)+($H382*Lists!$AD$24),2))</f>
        <v/>
      </c>
      <c r="J382" s="101"/>
      <c r="K382" s="105"/>
      <c r="L382" s="101"/>
    </row>
    <row r="383" customFormat="false" ht="15.75" hidden="false" customHeight="true" outlineLevel="0" collapsed="false">
      <c r="A383" s="113"/>
      <c r="B383" s="102"/>
      <c r="C383" s="101" t="str">
        <f aca="false">IF($B383="","",IFERROR(VLOOKUP($B383,'Application Portfolio'!$A$2:$B$1000,2,FALSE()),""))</f>
        <v/>
      </c>
      <c r="D383" s="106"/>
      <c r="E383" s="106"/>
      <c r="F383" s="106"/>
      <c r="G383" s="106"/>
      <c r="H383" s="106"/>
      <c r="I383" s="103" t="str">
        <f aca="false">IF(OR($B383="", $D383="", $E383="", $F383="", $G383="", $H383=""),"",ROUND(($D383*Lists!$AD$20)+($E383*Lists!$AD$21)+($F383*Lists!$AD$22)+($G383*Lists!$AD$23)+($H383*Lists!$AD$24),2))</f>
        <v/>
      </c>
      <c r="J383" s="101"/>
      <c r="K383" s="105"/>
      <c r="L383" s="101"/>
    </row>
    <row r="384" customFormat="false" ht="15.75" hidden="false" customHeight="true" outlineLevel="0" collapsed="false">
      <c r="A384" s="113"/>
      <c r="B384" s="102"/>
      <c r="C384" s="101" t="str">
        <f aca="false">IF($B384="","",IFERROR(VLOOKUP($B384,'Application Portfolio'!$A$2:$B$1000,2,FALSE()),""))</f>
        <v/>
      </c>
      <c r="D384" s="106"/>
      <c r="E384" s="106"/>
      <c r="F384" s="106"/>
      <c r="G384" s="106"/>
      <c r="H384" s="106"/>
      <c r="I384" s="103" t="str">
        <f aca="false">IF(OR($B384="", $D384="", $E384="", $F384="", $G384="", $H384=""),"",ROUND(($D384*Lists!$AD$20)+($E384*Lists!$AD$21)+($F384*Lists!$AD$22)+($G384*Lists!$AD$23)+($H384*Lists!$AD$24),2))</f>
        <v/>
      </c>
      <c r="J384" s="101"/>
      <c r="K384" s="105"/>
      <c r="L384" s="101"/>
    </row>
    <row r="385" customFormat="false" ht="15.75" hidden="false" customHeight="true" outlineLevel="0" collapsed="false">
      <c r="A385" s="113"/>
      <c r="B385" s="102"/>
      <c r="C385" s="101" t="str">
        <f aca="false">IF($B385="","",IFERROR(VLOOKUP($B385,'Application Portfolio'!$A$2:$B$1000,2,FALSE()),""))</f>
        <v/>
      </c>
      <c r="D385" s="106"/>
      <c r="E385" s="106"/>
      <c r="F385" s="106"/>
      <c r="G385" s="106"/>
      <c r="H385" s="106"/>
      <c r="I385" s="103" t="str">
        <f aca="false">IF(OR($B385="", $D385="", $E385="", $F385="", $G385="", $H385=""),"",ROUND(($D385*Lists!$AD$20)+($E385*Lists!$AD$21)+($F385*Lists!$AD$22)+($G385*Lists!$AD$23)+($H385*Lists!$AD$24),2))</f>
        <v/>
      </c>
      <c r="J385" s="101"/>
      <c r="K385" s="105"/>
      <c r="L385" s="101"/>
    </row>
    <row r="386" customFormat="false" ht="15.75" hidden="false" customHeight="true" outlineLevel="0" collapsed="false">
      <c r="A386" s="113"/>
      <c r="B386" s="102"/>
      <c r="C386" s="101" t="str">
        <f aca="false">IF($B386="","",IFERROR(VLOOKUP($B386,'Application Portfolio'!$A$2:$B$1000,2,FALSE()),""))</f>
        <v/>
      </c>
      <c r="D386" s="106"/>
      <c r="E386" s="106"/>
      <c r="F386" s="106"/>
      <c r="G386" s="106"/>
      <c r="H386" s="106"/>
      <c r="I386" s="103" t="str">
        <f aca="false">IF(OR($B386="", $D386="", $E386="", $F386="", $G386="", $H386=""),"",ROUND(($D386*Lists!$AD$20)+($E386*Lists!$AD$21)+($F386*Lists!$AD$22)+($G386*Lists!$AD$23)+($H386*Lists!$AD$24),2))</f>
        <v/>
      </c>
      <c r="J386" s="101"/>
      <c r="K386" s="105"/>
      <c r="L386" s="101"/>
    </row>
    <row r="387" customFormat="false" ht="15.75" hidden="false" customHeight="true" outlineLevel="0" collapsed="false">
      <c r="A387" s="113"/>
      <c r="B387" s="102"/>
      <c r="C387" s="101" t="str">
        <f aca="false">IF($B387="","",IFERROR(VLOOKUP($B387,'Application Portfolio'!$A$2:$B$1000,2,FALSE()),""))</f>
        <v/>
      </c>
      <c r="D387" s="106"/>
      <c r="E387" s="106"/>
      <c r="F387" s="106"/>
      <c r="G387" s="106"/>
      <c r="H387" s="106"/>
      <c r="I387" s="103" t="str">
        <f aca="false">IF(OR($B387="", $D387="", $E387="", $F387="", $G387="", $H387=""),"",ROUND(($D387*Lists!$AD$20)+($E387*Lists!$AD$21)+($F387*Lists!$AD$22)+($G387*Lists!$AD$23)+($H387*Lists!$AD$24),2))</f>
        <v/>
      </c>
      <c r="J387" s="101"/>
      <c r="K387" s="105"/>
      <c r="L387" s="101"/>
    </row>
    <row r="388" customFormat="false" ht="15.75" hidden="false" customHeight="true" outlineLevel="0" collapsed="false">
      <c r="A388" s="113"/>
      <c r="B388" s="102"/>
      <c r="C388" s="101" t="str">
        <f aca="false">IF($B388="","",IFERROR(VLOOKUP($B388,'Application Portfolio'!$A$2:$B$1000,2,FALSE()),""))</f>
        <v/>
      </c>
      <c r="D388" s="106"/>
      <c r="E388" s="106"/>
      <c r="F388" s="106"/>
      <c r="G388" s="106"/>
      <c r="H388" s="106"/>
      <c r="I388" s="103" t="str">
        <f aca="false">IF(OR($B388="", $D388="", $E388="", $F388="", $G388="", $H388=""),"",ROUND(($D388*Lists!$AD$20)+($E388*Lists!$AD$21)+($F388*Lists!$AD$22)+($G388*Lists!$AD$23)+($H388*Lists!$AD$24),2))</f>
        <v/>
      </c>
      <c r="J388" s="101"/>
      <c r="K388" s="105"/>
      <c r="L388" s="101"/>
    </row>
    <row r="389" customFormat="false" ht="15.75" hidden="false" customHeight="true" outlineLevel="0" collapsed="false">
      <c r="A389" s="113"/>
      <c r="B389" s="102"/>
      <c r="C389" s="101" t="str">
        <f aca="false">IF($B389="","",IFERROR(VLOOKUP($B389,'Application Portfolio'!$A$2:$B$1000,2,FALSE()),""))</f>
        <v/>
      </c>
      <c r="D389" s="106"/>
      <c r="E389" s="106"/>
      <c r="F389" s="106"/>
      <c r="G389" s="106"/>
      <c r="H389" s="106"/>
      <c r="I389" s="103" t="str">
        <f aca="false">IF(OR($B389="", $D389="", $E389="", $F389="", $G389="", $H389=""),"",ROUND(($D389*Lists!$AD$20)+($E389*Lists!$AD$21)+($F389*Lists!$AD$22)+($G389*Lists!$AD$23)+($H389*Lists!$AD$24),2))</f>
        <v/>
      </c>
      <c r="J389" s="101"/>
      <c r="K389" s="105"/>
      <c r="L389" s="101"/>
    </row>
    <row r="390" customFormat="false" ht="15.75" hidden="false" customHeight="true" outlineLevel="0" collapsed="false">
      <c r="A390" s="113"/>
      <c r="B390" s="102"/>
      <c r="C390" s="101" t="str">
        <f aca="false">IF($B390="","",IFERROR(VLOOKUP($B390,'Application Portfolio'!$A$2:$B$1000,2,FALSE()),""))</f>
        <v/>
      </c>
      <c r="D390" s="106"/>
      <c r="E390" s="106"/>
      <c r="F390" s="106"/>
      <c r="G390" s="106"/>
      <c r="H390" s="106"/>
      <c r="I390" s="103" t="str">
        <f aca="false">IF(OR($B390="", $D390="", $E390="", $F390="", $G390="", $H390=""),"",ROUND(($D390*Lists!$AD$20)+($E390*Lists!$AD$21)+($F390*Lists!$AD$22)+($G390*Lists!$AD$23)+($H390*Lists!$AD$24),2))</f>
        <v/>
      </c>
      <c r="J390" s="101"/>
      <c r="K390" s="105"/>
      <c r="L390" s="101"/>
    </row>
    <row r="391" customFormat="false" ht="15.75" hidden="false" customHeight="true" outlineLevel="0" collapsed="false">
      <c r="A391" s="113"/>
      <c r="B391" s="102"/>
      <c r="C391" s="101" t="str">
        <f aca="false">IF($B391="","",IFERROR(VLOOKUP($B391,'Application Portfolio'!$A$2:$B$1000,2,FALSE()),""))</f>
        <v/>
      </c>
      <c r="D391" s="106"/>
      <c r="E391" s="106"/>
      <c r="F391" s="106"/>
      <c r="G391" s="106"/>
      <c r="H391" s="106"/>
      <c r="I391" s="103" t="str">
        <f aca="false">IF(OR($B391="", $D391="", $E391="", $F391="", $G391="", $H391=""),"",ROUND(($D391*Lists!$AD$20)+($E391*Lists!$AD$21)+($F391*Lists!$AD$22)+($G391*Lists!$AD$23)+($H391*Lists!$AD$24),2))</f>
        <v/>
      </c>
      <c r="J391" s="101"/>
      <c r="K391" s="105"/>
      <c r="L391" s="101"/>
    </row>
    <row r="392" customFormat="false" ht="15.75" hidden="false" customHeight="true" outlineLevel="0" collapsed="false">
      <c r="A392" s="113"/>
      <c r="B392" s="102"/>
      <c r="C392" s="101" t="str">
        <f aca="false">IF($B392="","",IFERROR(VLOOKUP($B392,'Application Portfolio'!$A$2:$B$1000,2,FALSE()),""))</f>
        <v/>
      </c>
      <c r="D392" s="106"/>
      <c r="E392" s="106"/>
      <c r="F392" s="106"/>
      <c r="G392" s="106"/>
      <c r="H392" s="106"/>
      <c r="I392" s="103" t="str">
        <f aca="false">IF(OR($B392="", $D392="", $E392="", $F392="", $G392="", $H392=""),"",ROUND(($D392*Lists!$AD$20)+($E392*Lists!$AD$21)+($F392*Lists!$AD$22)+($G392*Lists!$AD$23)+($H392*Lists!$AD$24),2))</f>
        <v/>
      </c>
      <c r="J392" s="101"/>
      <c r="K392" s="105"/>
      <c r="L392" s="101"/>
    </row>
    <row r="393" customFormat="false" ht="15.75" hidden="false" customHeight="true" outlineLevel="0" collapsed="false">
      <c r="A393" s="113"/>
      <c r="B393" s="102"/>
      <c r="C393" s="101" t="str">
        <f aca="false">IF($B393="","",IFERROR(VLOOKUP($B393,'Application Portfolio'!$A$2:$B$1000,2,FALSE()),""))</f>
        <v/>
      </c>
      <c r="D393" s="106"/>
      <c r="E393" s="106"/>
      <c r="F393" s="106"/>
      <c r="G393" s="106"/>
      <c r="H393" s="106"/>
      <c r="I393" s="103" t="str">
        <f aca="false">IF(OR($B393="", $D393="", $E393="", $F393="", $G393="", $H393=""),"",ROUND(($D393*Lists!$AD$20)+($E393*Lists!$AD$21)+($F393*Lists!$AD$22)+($G393*Lists!$AD$23)+($H393*Lists!$AD$24),2))</f>
        <v/>
      </c>
      <c r="J393" s="101"/>
      <c r="K393" s="105"/>
      <c r="L393" s="101"/>
    </row>
    <row r="394" customFormat="false" ht="15.75" hidden="false" customHeight="true" outlineLevel="0" collapsed="false">
      <c r="A394" s="113"/>
      <c r="B394" s="102"/>
      <c r="C394" s="101" t="str">
        <f aca="false">IF($B394="","",IFERROR(VLOOKUP($B394,'Application Portfolio'!$A$2:$B$1000,2,FALSE()),""))</f>
        <v/>
      </c>
      <c r="D394" s="106"/>
      <c r="E394" s="106"/>
      <c r="F394" s="106"/>
      <c r="G394" s="106"/>
      <c r="H394" s="106"/>
      <c r="I394" s="103" t="str">
        <f aca="false">IF(OR($B394="", $D394="", $E394="", $F394="", $G394="", $H394=""),"",ROUND(($D394*Lists!$AD$20)+($E394*Lists!$AD$21)+($F394*Lists!$AD$22)+($G394*Lists!$AD$23)+($H394*Lists!$AD$24),2))</f>
        <v/>
      </c>
      <c r="J394" s="101"/>
      <c r="K394" s="105"/>
      <c r="L394" s="101"/>
    </row>
    <row r="395" customFormat="false" ht="15.75" hidden="false" customHeight="true" outlineLevel="0" collapsed="false">
      <c r="A395" s="113"/>
      <c r="B395" s="102"/>
      <c r="C395" s="101" t="str">
        <f aca="false">IF($B395="","",IFERROR(VLOOKUP($B395,'Application Portfolio'!$A$2:$B$1000,2,FALSE()),""))</f>
        <v/>
      </c>
      <c r="D395" s="106"/>
      <c r="E395" s="106"/>
      <c r="F395" s="106"/>
      <c r="G395" s="106"/>
      <c r="H395" s="106"/>
      <c r="I395" s="103" t="str">
        <f aca="false">IF(OR($B395="", $D395="", $E395="", $F395="", $G395="", $H395=""),"",ROUND(($D395*Lists!$AD$20)+($E395*Lists!$AD$21)+($F395*Lists!$AD$22)+($G395*Lists!$AD$23)+($H395*Lists!$AD$24),2))</f>
        <v/>
      </c>
      <c r="J395" s="101"/>
      <c r="K395" s="105"/>
      <c r="L395" s="101"/>
    </row>
    <row r="396" customFormat="false" ht="15.75" hidden="false" customHeight="true" outlineLevel="0" collapsed="false">
      <c r="A396" s="113"/>
      <c r="B396" s="102"/>
      <c r="C396" s="101" t="str">
        <f aca="false">IF($B396="","",IFERROR(VLOOKUP($B396,'Application Portfolio'!$A$2:$B$1000,2,FALSE()),""))</f>
        <v/>
      </c>
      <c r="D396" s="106"/>
      <c r="E396" s="106"/>
      <c r="F396" s="106"/>
      <c r="G396" s="106"/>
      <c r="H396" s="106"/>
      <c r="I396" s="103" t="str">
        <f aca="false">IF(OR($B396="", $D396="", $E396="", $F396="", $G396="", $H396=""),"",ROUND(($D396*Lists!$AD$20)+($E396*Lists!$AD$21)+($F396*Lists!$AD$22)+($G396*Lists!$AD$23)+($H396*Lists!$AD$24),2))</f>
        <v/>
      </c>
      <c r="J396" s="101"/>
      <c r="K396" s="105"/>
      <c r="L396" s="101"/>
    </row>
    <row r="397" customFormat="false" ht="15.75" hidden="false" customHeight="true" outlineLevel="0" collapsed="false">
      <c r="A397" s="113"/>
      <c r="B397" s="102"/>
      <c r="C397" s="101" t="str">
        <f aca="false">IF($B397="","",IFERROR(VLOOKUP($B397,'Application Portfolio'!$A$2:$B$1000,2,FALSE()),""))</f>
        <v/>
      </c>
      <c r="D397" s="106"/>
      <c r="E397" s="106"/>
      <c r="F397" s="106"/>
      <c r="G397" s="106"/>
      <c r="H397" s="106"/>
      <c r="I397" s="103" t="str">
        <f aca="false">IF(OR($B397="", $D397="", $E397="", $F397="", $G397="", $H397=""),"",ROUND(($D397*Lists!$AD$20)+($E397*Lists!$AD$21)+($F397*Lists!$AD$22)+($G397*Lists!$AD$23)+($H397*Lists!$AD$24),2))</f>
        <v/>
      </c>
      <c r="J397" s="101"/>
      <c r="K397" s="105"/>
      <c r="L397" s="101"/>
    </row>
    <row r="398" customFormat="false" ht="15.75" hidden="false" customHeight="true" outlineLevel="0" collapsed="false">
      <c r="A398" s="113"/>
      <c r="B398" s="102"/>
      <c r="C398" s="101" t="str">
        <f aca="false">IF($B398="","",IFERROR(VLOOKUP($B398,'Application Portfolio'!$A$2:$B$1000,2,FALSE()),""))</f>
        <v/>
      </c>
      <c r="D398" s="106"/>
      <c r="E398" s="106"/>
      <c r="F398" s="106"/>
      <c r="G398" s="106"/>
      <c r="H398" s="106"/>
      <c r="I398" s="103" t="str">
        <f aca="false">IF(OR($B398="", $D398="", $E398="", $F398="", $G398="", $H398=""),"",ROUND(($D398*Lists!$AD$20)+($E398*Lists!$AD$21)+($F398*Lists!$AD$22)+($G398*Lists!$AD$23)+($H398*Lists!$AD$24),2))</f>
        <v/>
      </c>
      <c r="J398" s="101"/>
      <c r="K398" s="105"/>
      <c r="L398" s="101"/>
    </row>
    <row r="399" customFormat="false" ht="15.75" hidden="false" customHeight="true" outlineLevel="0" collapsed="false">
      <c r="A399" s="113"/>
      <c r="B399" s="102"/>
      <c r="C399" s="101" t="str">
        <f aca="false">IF($B399="","",IFERROR(VLOOKUP($B399,'Application Portfolio'!$A$2:$B$1000,2,FALSE()),""))</f>
        <v/>
      </c>
      <c r="D399" s="106"/>
      <c r="E399" s="106"/>
      <c r="F399" s="106"/>
      <c r="G399" s="106"/>
      <c r="H399" s="106"/>
      <c r="I399" s="103" t="str">
        <f aca="false">IF(OR($B399="", $D399="", $E399="", $F399="", $G399="", $H399=""),"",ROUND(($D399*Lists!$AD$20)+($E399*Lists!$AD$21)+($F399*Lists!$AD$22)+($G399*Lists!$AD$23)+($H399*Lists!$AD$24),2))</f>
        <v/>
      </c>
      <c r="J399" s="101"/>
      <c r="K399" s="105"/>
      <c r="L399" s="101"/>
    </row>
    <row r="400" customFormat="false" ht="15.75" hidden="false" customHeight="true" outlineLevel="0" collapsed="false">
      <c r="A400" s="113"/>
      <c r="B400" s="102"/>
      <c r="C400" s="101" t="str">
        <f aca="false">IF($B400="","",IFERROR(VLOOKUP($B400,'Application Portfolio'!$A$2:$B$1000,2,FALSE()),""))</f>
        <v/>
      </c>
      <c r="D400" s="106"/>
      <c r="E400" s="106"/>
      <c r="F400" s="106"/>
      <c r="G400" s="106"/>
      <c r="H400" s="106"/>
      <c r="I400" s="103" t="str">
        <f aca="false">IF(OR($B400="", $D400="", $E400="", $F400="", $G400="", $H400=""),"",ROUND(($D400*Lists!$AD$20)+($E400*Lists!$AD$21)+($F400*Lists!$AD$22)+($G400*Lists!$AD$23)+($H400*Lists!$AD$24),2))</f>
        <v/>
      </c>
      <c r="J400" s="101"/>
      <c r="K400" s="105"/>
      <c r="L400" s="101"/>
    </row>
    <row r="401" customFormat="false" ht="15.75" hidden="false" customHeight="true" outlineLevel="0" collapsed="false">
      <c r="A401" s="113"/>
      <c r="B401" s="102"/>
      <c r="C401" s="101" t="str">
        <f aca="false">IF($B401="","",IFERROR(VLOOKUP($B401,'Application Portfolio'!$A$2:$B$1000,2,FALSE()),""))</f>
        <v/>
      </c>
      <c r="D401" s="106"/>
      <c r="E401" s="106"/>
      <c r="F401" s="106"/>
      <c r="G401" s="106"/>
      <c r="H401" s="106"/>
      <c r="I401" s="103" t="str">
        <f aca="false">IF(OR($B401="", $D401="", $E401="", $F401="", $G401="", $H401=""),"",ROUND(($D401*Lists!$AD$20)+($E401*Lists!$AD$21)+($F401*Lists!$AD$22)+($G401*Lists!$AD$23)+($H401*Lists!$AD$24),2))</f>
        <v/>
      </c>
      <c r="J401" s="101"/>
      <c r="K401" s="105"/>
      <c r="L401" s="101"/>
    </row>
    <row r="402" customFormat="false" ht="15.75" hidden="false" customHeight="true" outlineLevel="0" collapsed="false">
      <c r="A402" s="113"/>
      <c r="B402" s="102"/>
      <c r="C402" s="101" t="str">
        <f aca="false">IF($B402="","",IFERROR(VLOOKUP($B402,'Application Portfolio'!$A$2:$B$1000,2,FALSE()),""))</f>
        <v/>
      </c>
      <c r="D402" s="106"/>
      <c r="E402" s="106"/>
      <c r="F402" s="106"/>
      <c r="G402" s="106"/>
      <c r="H402" s="106"/>
      <c r="I402" s="103" t="str">
        <f aca="false">IF(OR($B402="", $D402="", $E402="", $F402="", $G402="", $H402=""),"",ROUND(($D402*Lists!$AD$20)+($E402*Lists!$AD$21)+($F402*Lists!$AD$22)+($G402*Lists!$AD$23)+($H402*Lists!$AD$24),2))</f>
        <v/>
      </c>
      <c r="J402" s="101"/>
      <c r="K402" s="105"/>
      <c r="L402" s="101"/>
    </row>
    <row r="403" customFormat="false" ht="15.75" hidden="false" customHeight="true" outlineLevel="0" collapsed="false">
      <c r="A403" s="113"/>
      <c r="B403" s="102"/>
      <c r="C403" s="101" t="str">
        <f aca="false">IF($B403="","",IFERROR(VLOOKUP($B403,'Application Portfolio'!$A$2:$B$1000,2,FALSE()),""))</f>
        <v/>
      </c>
      <c r="D403" s="106"/>
      <c r="E403" s="106"/>
      <c r="F403" s="106"/>
      <c r="G403" s="106"/>
      <c r="H403" s="106"/>
      <c r="I403" s="103" t="str">
        <f aca="false">IF(OR($B403="", $D403="", $E403="", $F403="", $G403="", $H403=""),"",ROUND(($D403*Lists!$AD$20)+($E403*Lists!$AD$21)+($F403*Lists!$AD$22)+($G403*Lists!$AD$23)+($H403*Lists!$AD$24),2))</f>
        <v/>
      </c>
      <c r="J403" s="101"/>
      <c r="K403" s="105"/>
      <c r="L403" s="101"/>
    </row>
    <row r="404" customFormat="false" ht="15.75" hidden="false" customHeight="true" outlineLevel="0" collapsed="false">
      <c r="A404" s="113"/>
      <c r="B404" s="102"/>
      <c r="C404" s="101" t="str">
        <f aca="false">IF($B404="","",IFERROR(VLOOKUP($B404,'Application Portfolio'!$A$2:$B$1000,2,FALSE()),""))</f>
        <v/>
      </c>
      <c r="D404" s="106"/>
      <c r="E404" s="106"/>
      <c r="F404" s="106"/>
      <c r="G404" s="106"/>
      <c r="H404" s="106"/>
      <c r="I404" s="103" t="str">
        <f aca="false">IF(OR($B404="", $D404="", $E404="", $F404="", $G404="", $H404=""),"",ROUND(($D404*Lists!$AD$20)+($E404*Lists!$AD$21)+($F404*Lists!$AD$22)+($G404*Lists!$AD$23)+($H404*Lists!$AD$24),2))</f>
        <v/>
      </c>
      <c r="J404" s="101"/>
      <c r="K404" s="105"/>
      <c r="L404" s="101"/>
    </row>
    <row r="405" customFormat="false" ht="15.75" hidden="false" customHeight="true" outlineLevel="0" collapsed="false">
      <c r="A405" s="113"/>
      <c r="B405" s="102"/>
      <c r="C405" s="101" t="str">
        <f aca="false">IF($B405="","",IFERROR(VLOOKUP($B405,'Application Portfolio'!$A$2:$B$1000,2,FALSE()),""))</f>
        <v/>
      </c>
      <c r="D405" s="106"/>
      <c r="E405" s="106"/>
      <c r="F405" s="106"/>
      <c r="G405" s="106"/>
      <c r="H405" s="106"/>
      <c r="I405" s="103" t="str">
        <f aca="false">IF(OR($B405="", $D405="", $E405="", $F405="", $G405="", $H405=""),"",ROUND(($D405*Lists!$AD$20)+($E405*Lists!$AD$21)+($F405*Lists!$AD$22)+($G405*Lists!$AD$23)+($H405*Lists!$AD$24),2))</f>
        <v/>
      </c>
      <c r="J405" s="101"/>
      <c r="K405" s="105"/>
      <c r="L405" s="101"/>
    </row>
    <row r="406" customFormat="false" ht="15.75" hidden="false" customHeight="true" outlineLevel="0" collapsed="false">
      <c r="A406" s="113"/>
      <c r="B406" s="102"/>
      <c r="C406" s="101" t="str">
        <f aca="false">IF($B406="","",IFERROR(VLOOKUP($B406,'Application Portfolio'!$A$2:$B$1000,2,FALSE()),""))</f>
        <v/>
      </c>
      <c r="D406" s="106"/>
      <c r="E406" s="106"/>
      <c r="F406" s="106"/>
      <c r="G406" s="106"/>
      <c r="H406" s="106"/>
      <c r="I406" s="103" t="str">
        <f aca="false">IF(OR($B406="", $D406="", $E406="", $F406="", $G406="", $H406=""),"",ROUND(($D406*Lists!$AD$20)+($E406*Lists!$AD$21)+($F406*Lists!$AD$22)+($G406*Lists!$AD$23)+($H406*Lists!$AD$24),2))</f>
        <v/>
      </c>
      <c r="J406" s="101"/>
      <c r="K406" s="105"/>
      <c r="L406" s="101"/>
    </row>
    <row r="407" customFormat="false" ht="15.75" hidden="false" customHeight="true" outlineLevel="0" collapsed="false">
      <c r="A407" s="113"/>
      <c r="B407" s="102"/>
      <c r="C407" s="101" t="str">
        <f aca="false">IF($B407="","",IFERROR(VLOOKUP($B407,'Application Portfolio'!$A$2:$B$1000,2,FALSE()),""))</f>
        <v/>
      </c>
      <c r="D407" s="106"/>
      <c r="E407" s="106"/>
      <c r="F407" s="106"/>
      <c r="G407" s="106"/>
      <c r="H407" s="106"/>
      <c r="I407" s="103" t="str">
        <f aca="false">IF(OR($B407="", $D407="", $E407="", $F407="", $G407="", $H407=""),"",ROUND(($D407*Lists!$AD$20)+($E407*Lists!$AD$21)+($F407*Lists!$AD$22)+($G407*Lists!$AD$23)+($H407*Lists!$AD$24),2))</f>
        <v/>
      </c>
      <c r="J407" s="101"/>
      <c r="K407" s="105"/>
      <c r="L407" s="101"/>
    </row>
    <row r="408" customFormat="false" ht="15.75" hidden="false" customHeight="true" outlineLevel="0" collapsed="false">
      <c r="A408" s="113"/>
      <c r="B408" s="102"/>
      <c r="C408" s="101" t="str">
        <f aca="false">IF($B408="","",IFERROR(VLOOKUP($B408,'Application Portfolio'!$A$2:$B$1000,2,FALSE()),""))</f>
        <v/>
      </c>
      <c r="D408" s="106"/>
      <c r="E408" s="106"/>
      <c r="F408" s="106"/>
      <c r="G408" s="106"/>
      <c r="H408" s="106"/>
      <c r="I408" s="103" t="str">
        <f aca="false">IF(OR($B408="", $D408="", $E408="", $F408="", $G408="", $H408=""),"",ROUND(($D408*Lists!$AD$20)+($E408*Lists!$AD$21)+($F408*Lists!$AD$22)+($G408*Lists!$AD$23)+($H408*Lists!$AD$24),2))</f>
        <v/>
      </c>
      <c r="J408" s="101"/>
      <c r="K408" s="105"/>
      <c r="L408" s="101"/>
    </row>
    <row r="409" customFormat="false" ht="15.75" hidden="false" customHeight="true" outlineLevel="0" collapsed="false">
      <c r="A409" s="113"/>
      <c r="B409" s="102"/>
      <c r="C409" s="101" t="str">
        <f aca="false">IF($B409="","",IFERROR(VLOOKUP($B409,'Application Portfolio'!$A$2:$B$1000,2,FALSE()),""))</f>
        <v/>
      </c>
      <c r="D409" s="106"/>
      <c r="E409" s="106"/>
      <c r="F409" s="106"/>
      <c r="G409" s="106"/>
      <c r="H409" s="106"/>
      <c r="I409" s="103" t="str">
        <f aca="false">IF(OR($B409="", $D409="", $E409="", $F409="", $G409="", $H409=""),"",ROUND(($D409*Lists!$AD$20)+($E409*Lists!$AD$21)+($F409*Lists!$AD$22)+($G409*Lists!$AD$23)+($H409*Lists!$AD$24),2))</f>
        <v/>
      </c>
      <c r="J409" s="101"/>
      <c r="K409" s="105"/>
      <c r="L409" s="101"/>
    </row>
    <row r="410" customFormat="false" ht="15.75" hidden="false" customHeight="true" outlineLevel="0" collapsed="false">
      <c r="A410" s="113"/>
      <c r="B410" s="102"/>
      <c r="C410" s="101" t="str">
        <f aca="false">IF($B410="","",IFERROR(VLOOKUP($B410,'Application Portfolio'!$A$2:$B$1000,2,FALSE()),""))</f>
        <v/>
      </c>
      <c r="D410" s="106"/>
      <c r="E410" s="106"/>
      <c r="F410" s="106"/>
      <c r="G410" s="106"/>
      <c r="H410" s="106"/>
      <c r="I410" s="103" t="str">
        <f aca="false">IF(OR($B410="", $D410="", $E410="", $F410="", $G410="", $H410=""),"",ROUND(($D410*Lists!$AD$20)+($E410*Lists!$AD$21)+($F410*Lists!$AD$22)+($G410*Lists!$AD$23)+($H410*Lists!$AD$24),2))</f>
        <v/>
      </c>
      <c r="J410" s="101"/>
      <c r="K410" s="105"/>
      <c r="L410" s="101"/>
    </row>
    <row r="411" customFormat="false" ht="15.75" hidden="false" customHeight="true" outlineLevel="0" collapsed="false">
      <c r="A411" s="113"/>
      <c r="B411" s="102"/>
      <c r="C411" s="101" t="str">
        <f aca="false">IF($B411="","",IFERROR(VLOOKUP($B411,'Application Portfolio'!$A$2:$B$1000,2,FALSE()),""))</f>
        <v/>
      </c>
      <c r="D411" s="106"/>
      <c r="E411" s="106"/>
      <c r="F411" s="106"/>
      <c r="G411" s="106"/>
      <c r="H411" s="106"/>
      <c r="I411" s="103" t="str">
        <f aca="false">IF(OR($B411="", $D411="", $E411="", $F411="", $G411="", $H411=""),"",ROUND(($D411*Lists!$AD$20)+($E411*Lists!$AD$21)+($F411*Lists!$AD$22)+($G411*Lists!$AD$23)+($H411*Lists!$AD$24),2))</f>
        <v/>
      </c>
      <c r="J411" s="101"/>
      <c r="K411" s="105"/>
      <c r="L411" s="101"/>
    </row>
    <row r="412" customFormat="false" ht="15.75" hidden="false" customHeight="true" outlineLevel="0" collapsed="false">
      <c r="A412" s="113"/>
      <c r="B412" s="102"/>
      <c r="C412" s="101" t="str">
        <f aca="false">IF($B412="","",IFERROR(VLOOKUP($B412,'Application Portfolio'!$A$2:$B$1000,2,FALSE()),""))</f>
        <v/>
      </c>
      <c r="D412" s="106"/>
      <c r="E412" s="106"/>
      <c r="F412" s="106"/>
      <c r="G412" s="106"/>
      <c r="H412" s="106"/>
      <c r="I412" s="103" t="str">
        <f aca="false">IF(OR($B412="", $D412="", $E412="", $F412="", $G412="", $H412=""),"",ROUND(($D412*Lists!$AD$20)+($E412*Lists!$AD$21)+($F412*Lists!$AD$22)+($G412*Lists!$AD$23)+($H412*Lists!$AD$24),2))</f>
        <v/>
      </c>
      <c r="J412" s="101"/>
      <c r="K412" s="105"/>
      <c r="L412" s="101"/>
    </row>
    <row r="413" customFormat="false" ht="15.75" hidden="false" customHeight="true" outlineLevel="0" collapsed="false">
      <c r="A413" s="113"/>
      <c r="B413" s="102"/>
      <c r="C413" s="101" t="str">
        <f aca="false">IF($B413="","",IFERROR(VLOOKUP($B413,'Application Portfolio'!$A$2:$B$1000,2,FALSE()),""))</f>
        <v/>
      </c>
      <c r="D413" s="106"/>
      <c r="E413" s="106"/>
      <c r="F413" s="106"/>
      <c r="G413" s="106"/>
      <c r="H413" s="106"/>
      <c r="I413" s="103" t="str">
        <f aca="false">IF(OR($B413="", $D413="", $E413="", $F413="", $G413="", $H413=""),"",ROUND(($D413*Lists!$AD$20)+($E413*Lists!$AD$21)+($F413*Lists!$AD$22)+($G413*Lists!$AD$23)+($H413*Lists!$AD$24),2))</f>
        <v/>
      </c>
      <c r="J413" s="101"/>
      <c r="K413" s="105"/>
      <c r="L413" s="101"/>
    </row>
    <row r="414" customFormat="false" ht="15.75" hidden="false" customHeight="true" outlineLevel="0" collapsed="false">
      <c r="A414" s="113"/>
      <c r="B414" s="102"/>
      <c r="C414" s="101" t="str">
        <f aca="false">IF($B414="","",IFERROR(VLOOKUP($B414,'Application Portfolio'!$A$2:$B$1000,2,FALSE()),""))</f>
        <v/>
      </c>
      <c r="D414" s="106"/>
      <c r="E414" s="106"/>
      <c r="F414" s="106"/>
      <c r="G414" s="106"/>
      <c r="H414" s="106"/>
      <c r="I414" s="103" t="str">
        <f aca="false">IF(OR($B414="", $D414="", $E414="", $F414="", $G414="", $H414=""),"",ROUND(($D414*Lists!$AD$20)+($E414*Lists!$AD$21)+($F414*Lists!$AD$22)+($G414*Lists!$AD$23)+($H414*Lists!$AD$24),2))</f>
        <v/>
      </c>
      <c r="J414" s="101"/>
      <c r="K414" s="105"/>
      <c r="L414" s="101"/>
    </row>
    <row r="415" customFormat="false" ht="15.75" hidden="false" customHeight="true" outlineLevel="0" collapsed="false">
      <c r="A415" s="113"/>
      <c r="B415" s="102"/>
      <c r="C415" s="101" t="str">
        <f aca="false">IF($B415="","",IFERROR(VLOOKUP($B415,'Application Portfolio'!$A$2:$B$1000,2,FALSE()),""))</f>
        <v/>
      </c>
      <c r="D415" s="106"/>
      <c r="E415" s="106"/>
      <c r="F415" s="106"/>
      <c r="G415" s="106"/>
      <c r="H415" s="106"/>
      <c r="I415" s="103" t="str">
        <f aca="false">IF(OR($B415="", $D415="", $E415="", $F415="", $G415="", $H415=""),"",ROUND(($D415*Lists!$AD$20)+($E415*Lists!$AD$21)+($F415*Lists!$AD$22)+($G415*Lists!$AD$23)+($H415*Lists!$AD$24),2))</f>
        <v/>
      </c>
      <c r="J415" s="101"/>
      <c r="K415" s="105"/>
      <c r="L415" s="101"/>
    </row>
    <row r="416" customFormat="false" ht="15.75" hidden="false" customHeight="true" outlineLevel="0" collapsed="false">
      <c r="A416" s="113"/>
      <c r="B416" s="102"/>
      <c r="C416" s="101" t="str">
        <f aca="false">IF($B416="","",IFERROR(VLOOKUP($B416,'Application Portfolio'!$A$2:$B$1000,2,FALSE()),""))</f>
        <v/>
      </c>
      <c r="D416" s="106"/>
      <c r="E416" s="106"/>
      <c r="F416" s="106"/>
      <c r="G416" s="106"/>
      <c r="H416" s="106"/>
      <c r="I416" s="103" t="str">
        <f aca="false">IF(OR($B416="", $D416="", $E416="", $F416="", $G416="", $H416=""),"",ROUND(($D416*Lists!$AD$20)+($E416*Lists!$AD$21)+($F416*Lists!$AD$22)+($G416*Lists!$AD$23)+($H416*Lists!$AD$24),2))</f>
        <v/>
      </c>
      <c r="J416" s="101"/>
      <c r="K416" s="105"/>
      <c r="L416" s="101"/>
    </row>
    <row r="417" customFormat="false" ht="15.75" hidden="false" customHeight="true" outlineLevel="0" collapsed="false">
      <c r="A417" s="113"/>
      <c r="B417" s="102"/>
      <c r="C417" s="101" t="str">
        <f aca="false">IF($B417="","",IFERROR(VLOOKUP($B417,'Application Portfolio'!$A$2:$B$1000,2,FALSE()),""))</f>
        <v/>
      </c>
      <c r="D417" s="106"/>
      <c r="E417" s="106"/>
      <c r="F417" s="106"/>
      <c r="G417" s="106"/>
      <c r="H417" s="106"/>
      <c r="I417" s="103" t="str">
        <f aca="false">IF(OR($B417="", $D417="", $E417="", $F417="", $G417="", $H417=""),"",ROUND(($D417*Lists!$AD$20)+($E417*Lists!$AD$21)+($F417*Lists!$AD$22)+($G417*Lists!$AD$23)+($H417*Lists!$AD$24),2))</f>
        <v/>
      </c>
      <c r="J417" s="101"/>
      <c r="K417" s="105"/>
      <c r="L417" s="101"/>
    </row>
    <row r="418" customFormat="false" ht="15.75" hidden="false" customHeight="true" outlineLevel="0" collapsed="false">
      <c r="A418" s="113"/>
      <c r="B418" s="102"/>
      <c r="C418" s="101" t="str">
        <f aca="false">IF($B418="","",IFERROR(VLOOKUP($B418,'Application Portfolio'!$A$2:$B$1000,2,FALSE()),""))</f>
        <v/>
      </c>
      <c r="D418" s="106"/>
      <c r="E418" s="106"/>
      <c r="F418" s="106"/>
      <c r="G418" s="106"/>
      <c r="H418" s="106"/>
      <c r="I418" s="103" t="str">
        <f aca="false">IF(OR($B418="", $D418="", $E418="", $F418="", $G418="", $H418=""),"",ROUND(($D418*Lists!$AD$20)+($E418*Lists!$AD$21)+($F418*Lists!$AD$22)+($G418*Lists!$AD$23)+($H418*Lists!$AD$24),2))</f>
        <v/>
      </c>
      <c r="J418" s="101"/>
      <c r="K418" s="105"/>
      <c r="L418" s="101"/>
    </row>
    <row r="419" customFormat="false" ht="15.75" hidden="false" customHeight="true" outlineLevel="0" collapsed="false">
      <c r="A419" s="113"/>
      <c r="B419" s="102"/>
      <c r="C419" s="101" t="str">
        <f aca="false">IF($B419="","",IFERROR(VLOOKUP($B419,'Application Portfolio'!$A$2:$B$1000,2,FALSE()),""))</f>
        <v/>
      </c>
      <c r="D419" s="106"/>
      <c r="E419" s="106"/>
      <c r="F419" s="106"/>
      <c r="G419" s="106"/>
      <c r="H419" s="106"/>
      <c r="I419" s="103" t="str">
        <f aca="false">IF(OR($B419="", $D419="", $E419="", $F419="", $G419="", $H419=""),"",ROUND(($D419*Lists!$AD$20)+($E419*Lists!$AD$21)+($F419*Lists!$AD$22)+($G419*Lists!$AD$23)+($H419*Lists!$AD$24),2))</f>
        <v/>
      </c>
      <c r="J419" s="101"/>
      <c r="K419" s="105"/>
      <c r="L419" s="101"/>
    </row>
    <row r="420" customFormat="false" ht="15.75" hidden="false" customHeight="true" outlineLevel="0" collapsed="false">
      <c r="A420" s="113"/>
      <c r="B420" s="102"/>
      <c r="C420" s="101" t="str">
        <f aca="false">IF($B420="","",IFERROR(VLOOKUP($B420,'Application Portfolio'!$A$2:$B$1000,2,FALSE()),""))</f>
        <v/>
      </c>
      <c r="D420" s="106"/>
      <c r="E420" s="106"/>
      <c r="F420" s="106"/>
      <c r="G420" s="106"/>
      <c r="H420" s="106"/>
      <c r="I420" s="103" t="str">
        <f aca="false">IF(OR($B420="", $D420="", $E420="", $F420="", $G420="", $H420=""),"",ROUND(($D420*Lists!$AD$20)+($E420*Lists!$AD$21)+($F420*Lists!$AD$22)+($G420*Lists!$AD$23)+($H420*Lists!$AD$24),2))</f>
        <v/>
      </c>
      <c r="J420" s="101"/>
      <c r="K420" s="105"/>
      <c r="L420" s="101"/>
    </row>
    <row r="421" customFormat="false" ht="15.75" hidden="false" customHeight="true" outlineLevel="0" collapsed="false">
      <c r="A421" s="113"/>
      <c r="B421" s="102"/>
      <c r="C421" s="101" t="str">
        <f aca="false">IF($B421="","",IFERROR(VLOOKUP($B421,'Application Portfolio'!$A$2:$B$1000,2,FALSE()),""))</f>
        <v/>
      </c>
      <c r="D421" s="106"/>
      <c r="E421" s="106"/>
      <c r="F421" s="106"/>
      <c r="G421" s="106"/>
      <c r="H421" s="106"/>
      <c r="I421" s="103" t="str">
        <f aca="false">IF(OR($B421="", $D421="", $E421="", $F421="", $G421="", $H421=""),"",ROUND(($D421*Lists!$AD$20)+($E421*Lists!$AD$21)+($F421*Lists!$AD$22)+($G421*Lists!$AD$23)+($H421*Lists!$AD$24),2))</f>
        <v/>
      </c>
      <c r="J421" s="101"/>
      <c r="K421" s="105"/>
      <c r="L421" s="101"/>
    </row>
    <row r="422" customFormat="false" ht="15.75" hidden="false" customHeight="true" outlineLevel="0" collapsed="false">
      <c r="A422" s="113"/>
      <c r="B422" s="102"/>
      <c r="C422" s="101" t="str">
        <f aca="false">IF($B422="","",IFERROR(VLOOKUP($B422,'Application Portfolio'!$A$2:$B$1000,2,FALSE()),""))</f>
        <v/>
      </c>
      <c r="D422" s="106"/>
      <c r="E422" s="106"/>
      <c r="F422" s="106"/>
      <c r="G422" s="106"/>
      <c r="H422" s="106"/>
      <c r="I422" s="103" t="str">
        <f aca="false">IF(OR($B422="", $D422="", $E422="", $F422="", $G422="", $H422=""),"",ROUND(($D422*Lists!$AD$20)+($E422*Lists!$AD$21)+($F422*Lists!$AD$22)+($G422*Lists!$AD$23)+($H422*Lists!$AD$24),2))</f>
        <v/>
      </c>
      <c r="J422" s="101"/>
      <c r="K422" s="105"/>
      <c r="L422" s="101"/>
    </row>
    <row r="423" customFormat="false" ht="15.75" hidden="false" customHeight="true" outlineLevel="0" collapsed="false">
      <c r="A423" s="113"/>
      <c r="B423" s="102"/>
      <c r="C423" s="101" t="str">
        <f aca="false">IF($B423="","",IFERROR(VLOOKUP($B423,'Application Portfolio'!$A$2:$B$1000,2,FALSE()),""))</f>
        <v/>
      </c>
      <c r="D423" s="106"/>
      <c r="E423" s="106"/>
      <c r="F423" s="106"/>
      <c r="G423" s="106"/>
      <c r="H423" s="106"/>
      <c r="I423" s="103" t="str">
        <f aca="false">IF(OR($B423="", $D423="", $E423="", $F423="", $G423="", $H423=""),"",ROUND(($D423*Lists!$AD$20)+($E423*Lists!$AD$21)+($F423*Lists!$AD$22)+($G423*Lists!$AD$23)+($H423*Lists!$AD$24),2))</f>
        <v/>
      </c>
      <c r="J423" s="101"/>
      <c r="K423" s="105"/>
      <c r="L423" s="101"/>
    </row>
    <row r="424" customFormat="false" ht="15.75" hidden="false" customHeight="true" outlineLevel="0" collapsed="false">
      <c r="A424" s="113"/>
      <c r="B424" s="102"/>
      <c r="C424" s="101" t="str">
        <f aca="false">IF($B424="","",IFERROR(VLOOKUP($B424,'Application Portfolio'!$A$2:$B$1000,2,FALSE()),""))</f>
        <v/>
      </c>
      <c r="D424" s="106"/>
      <c r="E424" s="106"/>
      <c r="F424" s="106"/>
      <c r="G424" s="106"/>
      <c r="H424" s="106"/>
      <c r="I424" s="103" t="str">
        <f aca="false">IF(OR($B424="", $D424="", $E424="", $F424="", $G424="", $H424=""),"",ROUND(($D424*Lists!$AD$20)+($E424*Lists!$AD$21)+($F424*Lists!$AD$22)+($G424*Lists!$AD$23)+($H424*Lists!$AD$24),2))</f>
        <v/>
      </c>
      <c r="J424" s="101"/>
      <c r="K424" s="105"/>
      <c r="L424" s="101"/>
    </row>
    <row r="425" customFormat="false" ht="15.75" hidden="false" customHeight="true" outlineLevel="0" collapsed="false">
      <c r="A425" s="113"/>
      <c r="B425" s="102"/>
      <c r="C425" s="101" t="str">
        <f aca="false">IF($B425="","",IFERROR(VLOOKUP($B425,'Application Portfolio'!$A$2:$B$1000,2,FALSE()),""))</f>
        <v/>
      </c>
      <c r="D425" s="106"/>
      <c r="E425" s="106"/>
      <c r="F425" s="106"/>
      <c r="G425" s="106"/>
      <c r="H425" s="106"/>
      <c r="I425" s="103" t="str">
        <f aca="false">IF(OR($B425="", $D425="", $E425="", $F425="", $G425="", $H425=""),"",ROUND(($D425*Lists!$AD$20)+($E425*Lists!$AD$21)+($F425*Lists!$AD$22)+($G425*Lists!$AD$23)+($H425*Lists!$AD$24),2))</f>
        <v/>
      </c>
      <c r="J425" s="101"/>
      <c r="K425" s="105"/>
      <c r="L425" s="101"/>
    </row>
    <row r="426" customFormat="false" ht="15.75" hidden="false" customHeight="true" outlineLevel="0" collapsed="false">
      <c r="A426" s="113"/>
      <c r="B426" s="102"/>
      <c r="C426" s="101" t="str">
        <f aca="false">IF($B426="","",IFERROR(VLOOKUP($B426,'Application Portfolio'!$A$2:$B$1000,2,FALSE()),""))</f>
        <v/>
      </c>
      <c r="D426" s="106"/>
      <c r="E426" s="106"/>
      <c r="F426" s="106"/>
      <c r="G426" s="106"/>
      <c r="H426" s="106"/>
      <c r="I426" s="103" t="str">
        <f aca="false">IF(OR($B426="", $D426="", $E426="", $F426="", $G426="", $H426=""),"",ROUND(($D426*Lists!$AD$20)+($E426*Lists!$AD$21)+($F426*Lists!$AD$22)+($G426*Lists!$AD$23)+($H426*Lists!$AD$24),2))</f>
        <v/>
      </c>
      <c r="J426" s="101"/>
      <c r="K426" s="105"/>
      <c r="L426" s="101"/>
    </row>
    <row r="427" customFormat="false" ht="15.75" hidden="false" customHeight="true" outlineLevel="0" collapsed="false">
      <c r="A427" s="113"/>
      <c r="B427" s="102"/>
      <c r="C427" s="101" t="str">
        <f aca="false">IF($B427="","",IFERROR(VLOOKUP($B427,'Application Portfolio'!$A$2:$B$1000,2,FALSE()),""))</f>
        <v/>
      </c>
      <c r="D427" s="106"/>
      <c r="E427" s="106"/>
      <c r="F427" s="106"/>
      <c r="G427" s="106"/>
      <c r="H427" s="106"/>
      <c r="I427" s="103" t="str">
        <f aca="false">IF(OR($B427="", $D427="", $E427="", $F427="", $G427="", $H427=""),"",ROUND(($D427*Lists!$AD$20)+($E427*Lists!$AD$21)+($F427*Lists!$AD$22)+($G427*Lists!$AD$23)+($H427*Lists!$AD$24),2))</f>
        <v/>
      </c>
      <c r="J427" s="101"/>
      <c r="K427" s="105"/>
      <c r="L427" s="101"/>
    </row>
    <row r="428" customFormat="false" ht="15.75" hidden="false" customHeight="true" outlineLevel="0" collapsed="false">
      <c r="A428" s="113"/>
      <c r="B428" s="102"/>
      <c r="C428" s="101" t="str">
        <f aca="false">IF($B428="","",IFERROR(VLOOKUP($B428,'Application Portfolio'!$A$2:$B$1000,2,FALSE()),""))</f>
        <v/>
      </c>
      <c r="D428" s="106"/>
      <c r="E428" s="106"/>
      <c r="F428" s="106"/>
      <c r="G428" s="106"/>
      <c r="H428" s="106"/>
      <c r="I428" s="103" t="str">
        <f aca="false">IF(OR($B428="", $D428="", $E428="", $F428="", $G428="", $H428=""),"",ROUND(($D428*Lists!$AD$20)+($E428*Lists!$AD$21)+($F428*Lists!$AD$22)+($G428*Lists!$AD$23)+($H428*Lists!$AD$24),2))</f>
        <v/>
      </c>
      <c r="J428" s="101"/>
      <c r="K428" s="105"/>
      <c r="L428" s="101"/>
    </row>
    <row r="429" customFormat="false" ht="15.75" hidden="false" customHeight="true" outlineLevel="0" collapsed="false">
      <c r="A429" s="113"/>
      <c r="B429" s="102"/>
      <c r="C429" s="101" t="str">
        <f aca="false">IF($B429="","",IFERROR(VLOOKUP($B429,'Application Portfolio'!$A$2:$B$1000,2,FALSE()),""))</f>
        <v/>
      </c>
      <c r="D429" s="106"/>
      <c r="E429" s="106"/>
      <c r="F429" s="106"/>
      <c r="G429" s="106"/>
      <c r="H429" s="106"/>
      <c r="I429" s="103" t="str">
        <f aca="false">IF(OR($B429="", $D429="", $E429="", $F429="", $G429="", $H429=""),"",ROUND(($D429*Lists!$AD$20)+($E429*Lists!$AD$21)+($F429*Lists!$AD$22)+($G429*Lists!$AD$23)+($H429*Lists!$AD$24),2))</f>
        <v/>
      </c>
      <c r="J429" s="101"/>
      <c r="K429" s="105"/>
      <c r="L429" s="101"/>
    </row>
    <row r="430" customFormat="false" ht="15.75" hidden="false" customHeight="true" outlineLevel="0" collapsed="false">
      <c r="A430" s="113"/>
      <c r="B430" s="102"/>
      <c r="C430" s="101" t="str">
        <f aca="false">IF($B430="","",IFERROR(VLOOKUP($B430,'Application Portfolio'!$A$2:$B$1000,2,FALSE()),""))</f>
        <v/>
      </c>
      <c r="D430" s="106"/>
      <c r="E430" s="106"/>
      <c r="F430" s="106"/>
      <c r="G430" s="106"/>
      <c r="H430" s="106"/>
      <c r="I430" s="103" t="str">
        <f aca="false">IF(OR($B430="", $D430="", $E430="", $F430="", $G430="", $H430=""),"",ROUND(($D430*Lists!$AD$20)+($E430*Lists!$AD$21)+($F430*Lists!$AD$22)+($G430*Lists!$AD$23)+($H430*Lists!$AD$24),2))</f>
        <v/>
      </c>
      <c r="J430" s="101"/>
      <c r="K430" s="105"/>
      <c r="L430" s="101"/>
    </row>
    <row r="431" customFormat="false" ht="15.75" hidden="false" customHeight="true" outlineLevel="0" collapsed="false">
      <c r="A431" s="113"/>
      <c r="B431" s="102"/>
      <c r="C431" s="101" t="str">
        <f aca="false">IF($B431="","",IFERROR(VLOOKUP($B431,'Application Portfolio'!$A$2:$B$1000,2,FALSE()),""))</f>
        <v/>
      </c>
      <c r="D431" s="106"/>
      <c r="E431" s="106"/>
      <c r="F431" s="106"/>
      <c r="G431" s="106"/>
      <c r="H431" s="106"/>
      <c r="I431" s="103" t="str">
        <f aca="false">IF(OR($B431="", $D431="", $E431="", $F431="", $G431="", $H431=""),"",ROUND(($D431*Lists!$AD$20)+($E431*Lists!$AD$21)+($F431*Lists!$AD$22)+($G431*Lists!$AD$23)+($H431*Lists!$AD$24),2))</f>
        <v/>
      </c>
      <c r="J431" s="101"/>
      <c r="K431" s="105"/>
      <c r="L431" s="101"/>
    </row>
    <row r="432" customFormat="false" ht="15.75" hidden="false" customHeight="true" outlineLevel="0" collapsed="false">
      <c r="A432" s="113"/>
      <c r="B432" s="102"/>
      <c r="C432" s="101" t="str">
        <f aca="false">IF($B432="","",IFERROR(VLOOKUP($B432,'Application Portfolio'!$A$2:$B$1000,2,FALSE()),""))</f>
        <v/>
      </c>
      <c r="D432" s="106"/>
      <c r="E432" s="106"/>
      <c r="F432" s="106"/>
      <c r="G432" s="106"/>
      <c r="H432" s="106"/>
      <c r="I432" s="103" t="str">
        <f aca="false">IF(OR($B432="", $D432="", $E432="", $F432="", $G432="", $H432=""),"",ROUND(($D432*Lists!$AD$20)+($E432*Lists!$AD$21)+($F432*Lists!$AD$22)+($G432*Lists!$AD$23)+($H432*Lists!$AD$24),2))</f>
        <v/>
      </c>
      <c r="J432" s="101"/>
      <c r="K432" s="105"/>
      <c r="L432" s="101"/>
    </row>
    <row r="433" customFormat="false" ht="15.75" hidden="false" customHeight="true" outlineLevel="0" collapsed="false">
      <c r="A433" s="113"/>
      <c r="B433" s="102"/>
      <c r="C433" s="101" t="str">
        <f aca="false">IF($B433="","",IFERROR(VLOOKUP($B433,'Application Portfolio'!$A$2:$B$1000,2,FALSE()),""))</f>
        <v/>
      </c>
      <c r="D433" s="106"/>
      <c r="E433" s="106"/>
      <c r="F433" s="106"/>
      <c r="G433" s="106"/>
      <c r="H433" s="106"/>
      <c r="I433" s="103" t="str">
        <f aca="false">IF(OR($B433="", $D433="", $E433="", $F433="", $G433="", $H433=""),"",ROUND(($D433*Lists!$AD$20)+($E433*Lists!$AD$21)+($F433*Lists!$AD$22)+($G433*Lists!$AD$23)+($H433*Lists!$AD$24),2))</f>
        <v/>
      </c>
      <c r="J433" s="101"/>
      <c r="K433" s="105"/>
      <c r="L433" s="101"/>
    </row>
    <row r="434" customFormat="false" ht="15.75" hidden="false" customHeight="true" outlineLevel="0" collapsed="false">
      <c r="A434" s="113"/>
      <c r="B434" s="102"/>
      <c r="C434" s="101" t="str">
        <f aca="false">IF($B434="","",IFERROR(VLOOKUP($B434,'Application Portfolio'!$A$2:$B$1000,2,FALSE()),""))</f>
        <v/>
      </c>
      <c r="D434" s="106"/>
      <c r="E434" s="106"/>
      <c r="F434" s="106"/>
      <c r="G434" s="106"/>
      <c r="H434" s="106"/>
      <c r="I434" s="103" t="str">
        <f aca="false">IF(OR($B434="", $D434="", $E434="", $F434="", $G434="", $H434=""),"",ROUND(($D434*Lists!$AD$20)+($E434*Lists!$AD$21)+($F434*Lists!$AD$22)+($G434*Lists!$AD$23)+($H434*Lists!$AD$24),2))</f>
        <v/>
      </c>
      <c r="J434" s="101"/>
      <c r="K434" s="105"/>
      <c r="L434" s="101"/>
    </row>
    <row r="435" customFormat="false" ht="15.75" hidden="false" customHeight="true" outlineLevel="0" collapsed="false">
      <c r="A435" s="113"/>
      <c r="B435" s="102"/>
      <c r="C435" s="101" t="str">
        <f aca="false">IF($B435="","",IFERROR(VLOOKUP($B435,'Application Portfolio'!$A$2:$B$1000,2,FALSE()),""))</f>
        <v/>
      </c>
      <c r="D435" s="106"/>
      <c r="E435" s="106"/>
      <c r="F435" s="106"/>
      <c r="G435" s="106"/>
      <c r="H435" s="106"/>
      <c r="I435" s="103" t="str">
        <f aca="false">IF(OR($B435="", $D435="", $E435="", $F435="", $G435="", $H435=""),"",ROUND(($D435*Lists!$AD$20)+($E435*Lists!$AD$21)+($F435*Lists!$AD$22)+($G435*Lists!$AD$23)+($H435*Lists!$AD$24),2))</f>
        <v/>
      </c>
      <c r="J435" s="101"/>
      <c r="K435" s="105"/>
      <c r="L435" s="101"/>
    </row>
    <row r="436" customFormat="false" ht="15.75" hidden="false" customHeight="true" outlineLevel="0" collapsed="false">
      <c r="A436" s="113"/>
      <c r="B436" s="102"/>
      <c r="C436" s="101" t="str">
        <f aca="false">IF($B436="","",IFERROR(VLOOKUP($B436,'Application Portfolio'!$A$2:$B$1000,2,FALSE()),""))</f>
        <v/>
      </c>
      <c r="D436" s="106"/>
      <c r="E436" s="106"/>
      <c r="F436" s="106"/>
      <c r="G436" s="106"/>
      <c r="H436" s="106"/>
      <c r="I436" s="103" t="str">
        <f aca="false">IF(OR($B436="", $D436="", $E436="", $F436="", $G436="", $H436=""),"",ROUND(($D436*Lists!$AD$20)+($E436*Lists!$AD$21)+($F436*Lists!$AD$22)+($G436*Lists!$AD$23)+($H436*Lists!$AD$24),2))</f>
        <v/>
      </c>
      <c r="J436" s="101"/>
      <c r="K436" s="105"/>
      <c r="L436" s="101"/>
    </row>
    <row r="437" customFormat="false" ht="15.75" hidden="false" customHeight="true" outlineLevel="0" collapsed="false">
      <c r="A437" s="113"/>
      <c r="B437" s="102"/>
      <c r="C437" s="101" t="str">
        <f aca="false">IF($B437="","",IFERROR(VLOOKUP($B437,'Application Portfolio'!$A$2:$B$1000,2,FALSE()),""))</f>
        <v/>
      </c>
      <c r="D437" s="106"/>
      <c r="E437" s="106"/>
      <c r="F437" s="106"/>
      <c r="G437" s="106"/>
      <c r="H437" s="106"/>
      <c r="I437" s="103" t="str">
        <f aca="false">IF(OR($B437="", $D437="", $E437="", $F437="", $G437="", $H437=""),"",ROUND(($D437*Lists!$AD$20)+($E437*Lists!$AD$21)+($F437*Lists!$AD$22)+($G437*Lists!$AD$23)+($H437*Lists!$AD$24),2))</f>
        <v/>
      </c>
      <c r="J437" s="101"/>
      <c r="K437" s="105"/>
      <c r="L437" s="101"/>
    </row>
    <row r="438" customFormat="false" ht="15.75" hidden="false" customHeight="true" outlineLevel="0" collapsed="false">
      <c r="A438" s="113"/>
      <c r="B438" s="102"/>
      <c r="C438" s="101" t="str">
        <f aca="false">IF($B438="","",IFERROR(VLOOKUP($B438,'Application Portfolio'!$A$2:$B$1000,2,FALSE()),""))</f>
        <v/>
      </c>
      <c r="D438" s="106"/>
      <c r="E438" s="106"/>
      <c r="F438" s="106"/>
      <c r="G438" s="106"/>
      <c r="H438" s="106"/>
      <c r="I438" s="103" t="str">
        <f aca="false">IF(OR($B438="", $D438="", $E438="", $F438="", $G438="", $H438=""),"",ROUND(($D438*Lists!$AD$20)+($E438*Lists!$AD$21)+($F438*Lists!$AD$22)+($G438*Lists!$AD$23)+($H438*Lists!$AD$24),2))</f>
        <v/>
      </c>
      <c r="J438" s="101"/>
      <c r="K438" s="105"/>
      <c r="L438" s="101"/>
    </row>
    <row r="439" customFormat="false" ht="15.75" hidden="false" customHeight="true" outlineLevel="0" collapsed="false">
      <c r="A439" s="113"/>
      <c r="B439" s="102"/>
      <c r="C439" s="101" t="str">
        <f aca="false">IF($B439="","",IFERROR(VLOOKUP($B439,'Application Portfolio'!$A$2:$B$1000,2,FALSE()),""))</f>
        <v/>
      </c>
      <c r="D439" s="106"/>
      <c r="E439" s="106"/>
      <c r="F439" s="106"/>
      <c r="G439" s="106"/>
      <c r="H439" s="106"/>
      <c r="I439" s="103" t="str">
        <f aca="false">IF(OR($B439="", $D439="", $E439="", $F439="", $G439="", $H439=""),"",ROUND(($D439*Lists!$AD$20)+($E439*Lists!$AD$21)+($F439*Lists!$AD$22)+($G439*Lists!$AD$23)+($H439*Lists!$AD$24),2))</f>
        <v/>
      </c>
      <c r="J439" s="101"/>
      <c r="K439" s="105"/>
      <c r="L439" s="101"/>
    </row>
    <row r="440" customFormat="false" ht="15.75" hidden="false" customHeight="true" outlineLevel="0" collapsed="false">
      <c r="A440" s="113"/>
      <c r="B440" s="102"/>
      <c r="C440" s="101" t="str">
        <f aca="false">IF($B440="","",IFERROR(VLOOKUP($B440,'Application Portfolio'!$A$2:$B$1000,2,FALSE()),""))</f>
        <v/>
      </c>
      <c r="D440" s="106"/>
      <c r="E440" s="106"/>
      <c r="F440" s="106"/>
      <c r="G440" s="106"/>
      <c r="H440" s="106"/>
      <c r="I440" s="103" t="str">
        <f aca="false">IF(OR($B440="", $D440="", $E440="", $F440="", $G440="", $H440=""),"",ROUND(($D440*Lists!$AD$20)+($E440*Lists!$AD$21)+($F440*Lists!$AD$22)+($G440*Lists!$AD$23)+($H440*Lists!$AD$24),2))</f>
        <v/>
      </c>
      <c r="J440" s="101"/>
      <c r="K440" s="105"/>
      <c r="L440" s="101"/>
    </row>
    <row r="441" customFormat="false" ht="15.75" hidden="false" customHeight="true" outlineLevel="0" collapsed="false">
      <c r="A441" s="113"/>
      <c r="B441" s="102"/>
      <c r="C441" s="101" t="str">
        <f aca="false">IF($B441="","",IFERROR(VLOOKUP($B441,'Application Portfolio'!$A$2:$B$1000,2,FALSE()),""))</f>
        <v/>
      </c>
      <c r="D441" s="106"/>
      <c r="E441" s="106"/>
      <c r="F441" s="106"/>
      <c r="G441" s="106"/>
      <c r="H441" s="106"/>
      <c r="I441" s="103" t="str">
        <f aca="false">IF(OR($B441="", $D441="", $E441="", $F441="", $G441="", $H441=""),"",ROUND(($D441*Lists!$AD$20)+($E441*Lists!$AD$21)+($F441*Lists!$AD$22)+($G441*Lists!$AD$23)+($H441*Lists!$AD$24),2))</f>
        <v/>
      </c>
      <c r="J441" s="101"/>
      <c r="K441" s="105"/>
      <c r="L441" s="101"/>
    </row>
    <row r="442" customFormat="false" ht="15.75" hidden="false" customHeight="true" outlineLevel="0" collapsed="false">
      <c r="A442" s="113"/>
      <c r="B442" s="102"/>
      <c r="C442" s="101" t="str">
        <f aca="false">IF($B442="","",IFERROR(VLOOKUP($B442,'Application Portfolio'!$A$2:$B$1000,2,FALSE()),""))</f>
        <v/>
      </c>
      <c r="D442" s="106"/>
      <c r="E442" s="106"/>
      <c r="F442" s="106"/>
      <c r="G442" s="106"/>
      <c r="H442" s="106"/>
      <c r="I442" s="103" t="str">
        <f aca="false">IF(OR($B442="", $D442="", $E442="", $F442="", $G442="", $H442=""),"",ROUND(($D442*Lists!$AD$20)+($E442*Lists!$AD$21)+($F442*Lists!$AD$22)+($G442*Lists!$AD$23)+($H442*Lists!$AD$24),2))</f>
        <v/>
      </c>
      <c r="J442" s="101"/>
      <c r="K442" s="105"/>
      <c r="L442" s="101"/>
    </row>
    <row r="443" customFormat="false" ht="15.75" hidden="false" customHeight="true" outlineLevel="0" collapsed="false">
      <c r="A443" s="113"/>
      <c r="B443" s="102"/>
      <c r="C443" s="101" t="str">
        <f aca="false">IF($B443="","",IFERROR(VLOOKUP($B443,'Application Portfolio'!$A$2:$B$1000,2,FALSE()),""))</f>
        <v/>
      </c>
      <c r="D443" s="106"/>
      <c r="E443" s="106"/>
      <c r="F443" s="106"/>
      <c r="G443" s="106"/>
      <c r="H443" s="106"/>
      <c r="I443" s="103" t="str">
        <f aca="false">IF(OR($B443="", $D443="", $E443="", $F443="", $G443="", $H443=""),"",ROUND(($D443*Lists!$AD$20)+($E443*Lists!$AD$21)+($F443*Lists!$AD$22)+($G443*Lists!$AD$23)+($H443*Lists!$AD$24),2))</f>
        <v/>
      </c>
      <c r="J443" s="101"/>
      <c r="K443" s="105"/>
      <c r="L443" s="101"/>
    </row>
    <row r="444" customFormat="false" ht="15.75" hidden="false" customHeight="true" outlineLevel="0" collapsed="false">
      <c r="A444" s="113"/>
      <c r="B444" s="102"/>
      <c r="C444" s="101" t="str">
        <f aca="false">IF($B444="","",IFERROR(VLOOKUP($B444,'Application Portfolio'!$A$2:$B$1000,2,FALSE()),""))</f>
        <v/>
      </c>
      <c r="D444" s="106"/>
      <c r="E444" s="106"/>
      <c r="F444" s="106"/>
      <c r="G444" s="106"/>
      <c r="H444" s="106"/>
      <c r="I444" s="103" t="str">
        <f aca="false">IF(OR($B444="", $D444="", $E444="", $F444="", $G444="", $H444=""),"",ROUND(($D444*Lists!$AD$20)+($E444*Lists!$AD$21)+($F444*Lists!$AD$22)+($G444*Lists!$AD$23)+($H444*Lists!$AD$24),2))</f>
        <v/>
      </c>
      <c r="J444" s="101"/>
      <c r="K444" s="105"/>
      <c r="L444" s="101"/>
    </row>
    <row r="445" customFormat="false" ht="15.75" hidden="false" customHeight="true" outlineLevel="0" collapsed="false">
      <c r="A445" s="113"/>
      <c r="B445" s="102"/>
      <c r="C445" s="101" t="str">
        <f aca="false">IF($B445="","",IFERROR(VLOOKUP($B445,'Application Portfolio'!$A$2:$B$1000,2,FALSE()),""))</f>
        <v/>
      </c>
      <c r="D445" s="106"/>
      <c r="E445" s="106"/>
      <c r="F445" s="106"/>
      <c r="G445" s="106"/>
      <c r="H445" s="106"/>
      <c r="I445" s="103" t="str">
        <f aca="false">IF(OR($B445="", $D445="", $E445="", $F445="", $G445="", $H445=""),"",ROUND(($D445*Lists!$AD$20)+($E445*Lists!$AD$21)+($F445*Lists!$AD$22)+($G445*Lists!$AD$23)+($H445*Lists!$AD$24),2))</f>
        <v/>
      </c>
      <c r="J445" s="101"/>
      <c r="K445" s="105"/>
      <c r="L445" s="101"/>
    </row>
    <row r="446" customFormat="false" ht="15.75" hidden="false" customHeight="true" outlineLevel="0" collapsed="false">
      <c r="A446" s="113"/>
      <c r="B446" s="102"/>
      <c r="C446" s="101" t="str">
        <f aca="false">IF($B446="","",IFERROR(VLOOKUP($B446,'Application Portfolio'!$A$2:$B$1000,2,FALSE()),""))</f>
        <v/>
      </c>
      <c r="D446" s="106"/>
      <c r="E446" s="106"/>
      <c r="F446" s="106"/>
      <c r="G446" s="106"/>
      <c r="H446" s="106"/>
      <c r="I446" s="103" t="str">
        <f aca="false">IF(OR($B446="", $D446="", $E446="", $F446="", $G446="", $H446=""),"",ROUND(($D446*Lists!$AD$20)+($E446*Lists!$AD$21)+($F446*Lists!$AD$22)+($G446*Lists!$AD$23)+($H446*Lists!$AD$24),2))</f>
        <v/>
      </c>
      <c r="J446" s="101"/>
      <c r="K446" s="105"/>
      <c r="L446" s="101"/>
    </row>
    <row r="447" customFormat="false" ht="15.75" hidden="false" customHeight="true" outlineLevel="0" collapsed="false">
      <c r="A447" s="113"/>
      <c r="B447" s="102"/>
      <c r="C447" s="101" t="str">
        <f aca="false">IF($B447="","",IFERROR(VLOOKUP($B447,'Application Portfolio'!$A$2:$B$1000,2,FALSE()),""))</f>
        <v/>
      </c>
      <c r="D447" s="106"/>
      <c r="E447" s="106"/>
      <c r="F447" s="106"/>
      <c r="G447" s="106"/>
      <c r="H447" s="106"/>
      <c r="I447" s="103" t="str">
        <f aca="false">IF(OR($B447="", $D447="", $E447="", $F447="", $G447="", $H447=""),"",ROUND(($D447*Lists!$AD$20)+($E447*Lists!$AD$21)+($F447*Lists!$AD$22)+($G447*Lists!$AD$23)+($H447*Lists!$AD$24),2))</f>
        <v/>
      </c>
      <c r="J447" s="101"/>
      <c r="K447" s="105"/>
      <c r="L447" s="101"/>
    </row>
    <row r="448" customFormat="false" ht="15.75" hidden="false" customHeight="true" outlineLevel="0" collapsed="false">
      <c r="A448" s="113"/>
      <c r="B448" s="102"/>
      <c r="C448" s="101" t="str">
        <f aca="false">IF($B448="","",IFERROR(VLOOKUP($B448,'Application Portfolio'!$A$2:$B$1000,2,FALSE()),""))</f>
        <v/>
      </c>
      <c r="D448" s="106"/>
      <c r="E448" s="106"/>
      <c r="F448" s="106"/>
      <c r="G448" s="106"/>
      <c r="H448" s="106"/>
      <c r="I448" s="103" t="str">
        <f aca="false">IF(OR($B448="", $D448="", $E448="", $F448="", $G448="", $H448=""),"",ROUND(($D448*Lists!$AD$20)+($E448*Lists!$AD$21)+($F448*Lists!$AD$22)+($G448*Lists!$AD$23)+($H448*Lists!$AD$24),2))</f>
        <v/>
      </c>
      <c r="J448" s="101"/>
      <c r="K448" s="105"/>
      <c r="L448" s="101"/>
    </row>
    <row r="449" customFormat="false" ht="15.75" hidden="false" customHeight="true" outlineLevel="0" collapsed="false">
      <c r="A449" s="113"/>
      <c r="B449" s="102"/>
      <c r="C449" s="101" t="str">
        <f aca="false">IF($B449="","",IFERROR(VLOOKUP($B449,'Application Portfolio'!$A$2:$B$1000,2,FALSE()),""))</f>
        <v/>
      </c>
      <c r="D449" s="106"/>
      <c r="E449" s="106"/>
      <c r="F449" s="106"/>
      <c r="G449" s="106"/>
      <c r="H449" s="106"/>
      <c r="I449" s="103" t="str">
        <f aca="false">IF(OR($B449="", $D449="", $E449="", $F449="", $G449="", $H449=""),"",ROUND(($D449*Lists!$AD$20)+($E449*Lists!$AD$21)+($F449*Lists!$AD$22)+($G449*Lists!$AD$23)+($H449*Lists!$AD$24),2))</f>
        <v/>
      </c>
      <c r="J449" s="101"/>
      <c r="K449" s="105"/>
      <c r="L449" s="101"/>
    </row>
    <row r="450" customFormat="false" ht="15.75" hidden="false" customHeight="true" outlineLevel="0" collapsed="false">
      <c r="A450" s="113"/>
      <c r="B450" s="102"/>
      <c r="C450" s="101" t="str">
        <f aca="false">IF($B450="","",IFERROR(VLOOKUP($B450,'Application Portfolio'!$A$2:$B$1000,2,FALSE()),""))</f>
        <v/>
      </c>
      <c r="D450" s="106"/>
      <c r="E450" s="106"/>
      <c r="F450" s="106"/>
      <c r="G450" s="106"/>
      <c r="H450" s="106"/>
      <c r="I450" s="103" t="str">
        <f aca="false">IF(OR($B450="", $D450="", $E450="", $F450="", $G450="", $H450=""),"",ROUND(($D450*Lists!$AD$20)+($E450*Lists!$AD$21)+($F450*Lists!$AD$22)+($G450*Lists!$AD$23)+($H450*Lists!$AD$24),2))</f>
        <v/>
      </c>
      <c r="J450" s="101"/>
      <c r="K450" s="105"/>
      <c r="L450" s="101"/>
    </row>
    <row r="451" customFormat="false" ht="15.75" hidden="false" customHeight="true" outlineLevel="0" collapsed="false">
      <c r="A451" s="113"/>
      <c r="B451" s="102"/>
      <c r="C451" s="101" t="str">
        <f aca="false">IF($B451="","",IFERROR(VLOOKUP($B451,'Application Portfolio'!$A$2:$B$1000,2,FALSE()),""))</f>
        <v/>
      </c>
      <c r="D451" s="106"/>
      <c r="E451" s="106"/>
      <c r="F451" s="106"/>
      <c r="G451" s="106"/>
      <c r="H451" s="106"/>
      <c r="I451" s="103" t="str">
        <f aca="false">IF(OR($B451="", $D451="", $E451="", $F451="", $G451="", $H451=""),"",ROUND(($D451*Lists!$AD$20)+($E451*Lists!$AD$21)+($F451*Lists!$AD$22)+($G451*Lists!$AD$23)+($H451*Lists!$AD$24),2))</f>
        <v/>
      </c>
      <c r="J451" s="101"/>
      <c r="K451" s="105"/>
      <c r="L451" s="101"/>
    </row>
    <row r="452" customFormat="false" ht="15.75" hidden="false" customHeight="true" outlineLevel="0" collapsed="false">
      <c r="A452" s="113"/>
      <c r="B452" s="102"/>
      <c r="C452" s="101" t="str">
        <f aca="false">IF($B452="","",IFERROR(VLOOKUP($B452,'Application Portfolio'!$A$2:$B$1000,2,FALSE()),""))</f>
        <v/>
      </c>
      <c r="D452" s="106"/>
      <c r="E452" s="106"/>
      <c r="F452" s="106"/>
      <c r="G452" s="106"/>
      <c r="H452" s="106"/>
      <c r="I452" s="103" t="str">
        <f aca="false">IF(OR($B452="", $D452="", $E452="", $F452="", $G452="", $H452=""),"",ROUND(($D452*Lists!$AD$20)+($E452*Lists!$AD$21)+($F452*Lists!$AD$22)+($G452*Lists!$AD$23)+($H452*Lists!$AD$24),2))</f>
        <v/>
      </c>
      <c r="J452" s="101"/>
      <c r="K452" s="105"/>
      <c r="L452" s="101"/>
    </row>
    <row r="453" customFormat="false" ht="15.75" hidden="false" customHeight="true" outlineLevel="0" collapsed="false">
      <c r="A453" s="113"/>
      <c r="B453" s="102"/>
      <c r="C453" s="101" t="str">
        <f aca="false">IF($B453="","",IFERROR(VLOOKUP($B453,'Application Portfolio'!$A$2:$B$1000,2,FALSE()),""))</f>
        <v/>
      </c>
      <c r="D453" s="106"/>
      <c r="E453" s="106"/>
      <c r="F453" s="106"/>
      <c r="G453" s="106"/>
      <c r="H453" s="106"/>
      <c r="I453" s="103" t="str">
        <f aca="false">IF(OR($B453="", $D453="", $E453="", $F453="", $G453="", $H453=""),"",ROUND(($D453*Lists!$AD$20)+($E453*Lists!$AD$21)+($F453*Lists!$AD$22)+($G453*Lists!$AD$23)+($H453*Lists!$AD$24),2))</f>
        <v/>
      </c>
      <c r="J453" s="101"/>
      <c r="K453" s="105"/>
      <c r="L453" s="101"/>
    </row>
    <row r="454" customFormat="false" ht="15.75" hidden="false" customHeight="true" outlineLevel="0" collapsed="false">
      <c r="A454" s="113"/>
      <c r="B454" s="102"/>
      <c r="C454" s="101" t="str">
        <f aca="false">IF($B454="","",IFERROR(VLOOKUP($B454,'Application Portfolio'!$A$2:$B$1000,2,FALSE()),""))</f>
        <v/>
      </c>
      <c r="D454" s="106"/>
      <c r="E454" s="106"/>
      <c r="F454" s="106"/>
      <c r="G454" s="106"/>
      <c r="H454" s="106"/>
      <c r="I454" s="103" t="str">
        <f aca="false">IF(OR($B454="", $D454="", $E454="", $F454="", $G454="", $H454=""),"",ROUND(($D454*Lists!$AD$20)+($E454*Lists!$AD$21)+($F454*Lists!$AD$22)+($G454*Lists!$AD$23)+($H454*Lists!$AD$24),2))</f>
        <v/>
      </c>
      <c r="J454" s="101"/>
      <c r="K454" s="105"/>
      <c r="L454" s="101"/>
    </row>
    <row r="455" customFormat="false" ht="15.75" hidden="false" customHeight="true" outlineLevel="0" collapsed="false">
      <c r="A455" s="113"/>
      <c r="B455" s="102"/>
      <c r="C455" s="101" t="str">
        <f aca="false">IF($B455="","",IFERROR(VLOOKUP($B455,'Application Portfolio'!$A$2:$B$1000,2,FALSE()),""))</f>
        <v/>
      </c>
      <c r="D455" s="106"/>
      <c r="E455" s="106"/>
      <c r="F455" s="106"/>
      <c r="G455" s="106"/>
      <c r="H455" s="106"/>
      <c r="I455" s="103" t="str">
        <f aca="false">IF(OR($B455="", $D455="", $E455="", $F455="", $G455="", $H455=""),"",ROUND(($D455*Lists!$AD$20)+($E455*Lists!$AD$21)+($F455*Lists!$AD$22)+($G455*Lists!$AD$23)+($H455*Lists!$AD$24),2))</f>
        <v/>
      </c>
      <c r="J455" s="101"/>
      <c r="K455" s="105"/>
      <c r="L455" s="101"/>
    </row>
    <row r="456" customFormat="false" ht="15.75" hidden="false" customHeight="true" outlineLevel="0" collapsed="false">
      <c r="A456" s="113"/>
      <c r="B456" s="102"/>
      <c r="C456" s="101" t="str">
        <f aca="false">IF($B456="","",IFERROR(VLOOKUP($B456,'Application Portfolio'!$A$2:$B$1000,2,FALSE()),""))</f>
        <v/>
      </c>
      <c r="D456" s="106"/>
      <c r="E456" s="106"/>
      <c r="F456" s="106"/>
      <c r="G456" s="106"/>
      <c r="H456" s="106"/>
      <c r="I456" s="103" t="str">
        <f aca="false">IF(OR($B456="", $D456="", $E456="", $F456="", $G456="", $H456=""),"",ROUND(($D456*Lists!$AD$20)+($E456*Lists!$AD$21)+($F456*Lists!$AD$22)+($G456*Lists!$AD$23)+($H456*Lists!$AD$24),2))</f>
        <v/>
      </c>
      <c r="J456" s="101"/>
      <c r="K456" s="105"/>
      <c r="L456" s="101"/>
    </row>
    <row r="457" customFormat="false" ht="15.75" hidden="false" customHeight="true" outlineLevel="0" collapsed="false">
      <c r="A457" s="113"/>
      <c r="B457" s="102"/>
      <c r="C457" s="101" t="str">
        <f aca="false">IF($B457="","",IFERROR(VLOOKUP($B457,'Application Portfolio'!$A$2:$B$1000,2,FALSE()),""))</f>
        <v/>
      </c>
      <c r="D457" s="106"/>
      <c r="E457" s="106"/>
      <c r="F457" s="106"/>
      <c r="G457" s="106"/>
      <c r="H457" s="106"/>
      <c r="I457" s="103" t="str">
        <f aca="false">IF(OR($B457="", $D457="", $E457="", $F457="", $G457="", $H457=""),"",ROUND(($D457*Lists!$AD$20)+($E457*Lists!$AD$21)+($F457*Lists!$AD$22)+($G457*Lists!$AD$23)+($H457*Lists!$AD$24),2))</f>
        <v/>
      </c>
      <c r="J457" s="101"/>
      <c r="K457" s="105"/>
      <c r="L457" s="101"/>
    </row>
    <row r="458" customFormat="false" ht="15.75" hidden="false" customHeight="true" outlineLevel="0" collapsed="false">
      <c r="A458" s="113"/>
      <c r="B458" s="102"/>
      <c r="C458" s="101" t="str">
        <f aca="false">IF($B458="","",IFERROR(VLOOKUP($B458,'Application Portfolio'!$A$2:$B$1000,2,FALSE()),""))</f>
        <v/>
      </c>
      <c r="D458" s="106"/>
      <c r="E458" s="106"/>
      <c r="F458" s="106"/>
      <c r="G458" s="106"/>
      <c r="H458" s="106"/>
      <c r="I458" s="103" t="str">
        <f aca="false">IF(OR($B458="", $D458="", $E458="", $F458="", $G458="", $H458=""),"",ROUND(($D458*Lists!$AD$20)+($E458*Lists!$AD$21)+($F458*Lists!$AD$22)+($G458*Lists!$AD$23)+($H458*Lists!$AD$24),2))</f>
        <v/>
      </c>
      <c r="J458" s="101"/>
      <c r="K458" s="105"/>
      <c r="L458" s="101"/>
    </row>
    <row r="459" customFormat="false" ht="15.75" hidden="false" customHeight="true" outlineLevel="0" collapsed="false">
      <c r="A459" s="113"/>
      <c r="B459" s="102"/>
      <c r="C459" s="101" t="str">
        <f aca="false">IF($B459="","",IFERROR(VLOOKUP($B459,'Application Portfolio'!$A$2:$B$1000,2,FALSE()),""))</f>
        <v/>
      </c>
      <c r="D459" s="106"/>
      <c r="E459" s="106"/>
      <c r="F459" s="106"/>
      <c r="G459" s="106"/>
      <c r="H459" s="106"/>
      <c r="I459" s="103" t="str">
        <f aca="false">IF(OR($B459="", $D459="", $E459="", $F459="", $G459="", $H459=""),"",ROUND(($D459*Lists!$AD$20)+($E459*Lists!$AD$21)+($F459*Lists!$AD$22)+($G459*Lists!$AD$23)+($H459*Lists!$AD$24),2))</f>
        <v/>
      </c>
      <c r="J459" s="101"/>
      <c r="K459" s="105"/>
      <c r="L459" s="101"/>
    </row>
    <row r="460" customFormat="false" ht="15.75" hidden="false" customHeight="true" outlineLevel="0" collapsed="false">
      <c r="A460" s="113"/>
      <c r="B460" s="102"/>
      <c r="C460" s="101" t="str">
        <f aca="false">IF($B460="","",IFERROR(VLOOKUP($B460,'Application Portfolio'!$A$2:$B$1000,2,FALSE()),""))</f>
        <v/>
      </c>
      <c r="D460" s="106"/>
      <c r="E460" s="106"/>
      <c r="F460" s="106"/>
      <c r="G460" s="106"/>
      <c r="H460" s="106"/>
      <c r="I460" s="103" t="str">
        <f aca="false">IF(OR($B460="", $D460="", $E460="", $F460="", $G460="", $H460=""),"",ROUND(($D460*Lists!$AD$20)+($E460*Lists!$AD$21)+($F460*Lists!$AD$22)+($G460*Lists!$AD$23)+($H460*Lists!$AD$24),2))</f>
        <v/>
      </c>
      <c r="J460" s="101"/>
      <c r="K460" s="105"/>
      <c r="L460" s="101"/>
    </row>
    <row r="461" customFormat="false" ht="15.75" hidden="false" customHeight="true" outlineLevel="0" collapsed="false">
      <c r="A461" s="113"/>
      <c r="B461" s="102"/>
      <c r="C461" s="101" t="str">
        <f aca="false">IF($B461="","",IFERROR(VLOOKUP($B461,'Application Portfolio'!$A$2:$B$1000,2,FALSE()),""))</f>
        <v/>
      </c>
      <c r="D461" s="106"/>
      <c r="E461" s="106"/>
      <c r="F461" s="106"/>
      <c r="G461" s="106"/>
      <c r="H461" s="106"/>
      <c r="I461" s="103" t="str">
        <f aca="false">IF(OR($B461="", $D461="", $E461="", $F461="", $G461="", $H461=""),"",ROUND(($D461*Lists!$AD$20)+($E461*Lists!$AD$21)+($F461*Lists!$AD$22)+($G461*Lists!$AD$23)+($H461*Lists!$AD$24),2))</f>
        <v/>
      </c>
      <c r="J461" s="101"/>
      <c r="K461" s="105"/>
      <c r="L461" s="101"/>
    </row>
    <row r="462" customFormat="false" ht="15.75" hidden="false" customHeight="true" outlineLevel="0" collapsed="false">
      <c r="A462" s="113"/>
      <c r="B462" s="102"/>
      <c r="C462" s="101" t="str">
        <f aca="false">IF($B462="","",IFERROR(VLOOKUP($B462,'Application Portfolio'!$A$2:$B$1000,2,FALSE()),""))</f>
        <v/>
      </c>
      <c r="D462" s="106"/>
      <c r="E462" s="106"/>
      <c r="F462" s="106"/>
      <c r="G462" s="106"/>
      <c r="H462" s="106"/>
      <c r="I462" s="103" t="str">
        <f aca="false">IF(OR($B462="", $D462="", $E462="", $F462="", $G462="", $H462=""),"",ROUND(($D462*Lists!$AD$20)+($E462*Lists!$AD$21)+($F462*Lists!$AD$22)+($G462*Lists!$AD$23)+($H462*Lists!$AD$24),2))</f>
        <v/>
      </c>
      <c r="J462" s="101"/>
      <c r="K462" s="105"/>
      <c r="L462" s="101"/>
    </row>
    <row r="463" customFormat="false" ht="15.75" hidden="false" customHeight="true" outlineLevel="0" collapsed="false">
      <c r="A463" s="113"/>
      <c r="B463" s="102"/>
      <c r="C463" s="101" t="str">
        <f aca="false">IF($B463="","",IFERROR(VLOOKUP($B463,'Application Portfolio'!$A$2:$B$1000,2,FALSE()),""))</f>
        <v/>
      </c>
      <c r="D463" s="106"/>
      <c r="E463" s="106"/>
      <c r="F463" s="106"/>
      <c r="G463" s="106"/>
      <c r="H463" s="106"/>
      <c r="I463" s="103" t="str">
        <f aca="false">IF(OR($B463="", $D463="", $E463="", $F463="", $G463="", $H463=""),"",ROUND(($D463*Lists!$AD$20)+($E463*Lists!$AD$21)+($F463*Lists!$AD$22)+($G463*Lists!$AD$23)+($H463*Lists!$AD$24),2))</f>
        <v/>
      </c>
      <c r="J463" s="101"/>
      <c r="K463" s="105"/>
      <c r="L463" s="101"/>
    </row>
    <row r="464" customFormat="false" ht="15.75" hidden="false" customHeight="true" outlineLevel="0" collapsed="false">
      <c r="A464" s="113"/>
      <c r="B464" s="102"/>
      <c r="C464" s="101" t="str">
        <f aca="false">IF($B464="","",IFERROR(VLOOKUP($B464,'Application Portfolio'!$A$2:$B$1000,2,FALSE()),""))</f>
        <v/>
      </c>
      <c r="D464" s="106"/>
      <c r="E464" s="106"/>
      <c r="F464" s="106"/>
      <c r="G464" s="106"/>
      <c r="H464" s="106"/>
      <c r="I464" s="103" t="str">
        <f aca="false">IF(OR($B464="", $D464="", $E464="", $F464="", $G464="", $H464=""),"",ROUND(($D464*Lists!$AD$20)+($E464*Lists!$AD$21)+($F464*Lists!$AD$22)+($G464*Lists!$AD$23)+($H464*Lists!$AD$24),2))</f>
        <v/>
      </c>
      <c r="J464" s="101"/>
      <c r="K464" s="105"/>
      <c r="L464" s="101"/>
    </row>
    <row r="465" customFormat="false" ht="15.75" hidden="false" customHeight="true" outlineLevel="0" collapsed="false">
      <c r="A465" s="113"/>
      <c r="B465" s="102"/>
      <c r="C465" s="101" t="str">
        <f aca="false">IF($B465="","",IFERROR(VLOOKUP($B465,'Application Portfolio'!$A$2:$B$1000,2,FALSE()),""))</f>
        <v/>
      </c>
      <c r="D465" s="106"/>
      <c r="E465" s="106"/>
      <c r="F465" s="106"/>
      <c r="G465" s="106"/>
      <c r="H465" s="106"/>
      <c r="I465" s="103" t="str">
        <f aca="false">IF(OR($B465="", $D465="", $E465="", $F465="", $G465="", $H465=""),"",ROUND(($D465*Lists!$AD$20)+($E465*Lists!$AD$21)+($F465*Lists!$AD$22)+($G465*Lists!$AD$23)+($H465*Lists!$AD$24),2))</f>
        <v/>
      </c>
      <c r="J465" s="101"/>
      <c r="K465" s="105"/>
      <c r="L465" s="101"/>
    </row>
    <row r="466" customFormat="false" ht="15.75" hidden="false" customHeight="true" outlineLevel="0" collapsed="false">
      <c r="A466" s="113"/>
      <c r="B466" s="102"/>
      <c r="C466" s="101" t="str">
        <f aca="false">IF($B466="","",IFERROR(VLOOKUP($B466,'Application Portfolio'!$A$2:$B$1000,2,FALSE()),""))</f>
        <v/>
      </c>
      <c r="D466" s="106"/>
      <c r="E466" s="106"/>
      <c r="F466" s="106"/>
      <c r="G466" s="106"/>
      <c r="H466" s="106"/>
      <c r="I466" s="103" t="str">
        <f aca="false">IF(OR($B466="", $D466="", $E466="", $F466="", $G466="", $H466=""),"",ROUND(($D466*Lists!$AD$20)+($E466*Lists!$AD$21)+($F466*Lists!$AD$22)+($G466*Lists!$AD$23)+($H466*Lists!$AD$24),2))</f>
        <v/>
      </c>
      <c r="J466" s="101"/>
      <c r="K466" s="105"/>
      <c r="L466" s="101"/>
    </row>
    <row r="467" customFormat="false" ht="15.75" hidden="false" customHeight="true" outlineLevel="0" collapsed="false">
      <c r="A467" s="113"/>
      <c r="B467" s="102"/>
      <c r="C467" s="101" t="str">
        <f aca="false">IF($B467="","",IFERROR(VLOOKUP($B467,'Application Portfolio'!$A$2:$B$1000,2,FALSE()),""))</f>
        <v/>
      </c>
      <c r="D467" s="106"/>
      <c r="E467" s="106"/>
      <c r="F467" s="106"/>
      <c r="G467" s="106"/>
      <c r="H467" s="106"/>
      <c r="I467" s="103" t="str">
        <f aca="false">IF(OR($B467="", $D467="", $E467="", $F467="", $G467="", $H467=""),"",ROUND(($D467*Lists!$AD$20)+($E467*Lists!$AD$21)+($F467*Lists!$AD$22)+($G467*Lists!$AD$23)+($H467*Lists!$AD$24),2))</f>
        <v/>
      </c>
      <c r="J467" s="101"/>
      <c r="K467" s="105"/>
      <c r="L467" s="101"/>
    </row>
    <row r="468" customFormat="false" ht="15.75" hidden="false" customHeight="true" outlineLevel="0" collapsed="false">
      <c r="A468" s="113"/>
      <c r="B468" s="102"/>
      <c r="C468" s="101" t="str">
        <f aca="false">IF($B468="","",IFERROR(VLOOKUP($B468,'Application Portfolio'!$A$2:$B$1000,2,FALSE()),""))</f>
        <v/>
      </c>
      <c r="D468" s="106"/>
      <c r="E468" s="106"/>
      <c r="F468" s="106"/>
      <c r="G468" s="106"/>
      <c r="H468" s="106"/>
      <c r="I468" s="103" t="str">
        <f aca="false">IF(OR($B468="", $D468="", $E468="", $F468="", $G468="", $H468=""),"",ROUND(($D468*Lists!$AD$20)+($E468*Lists!$AD$21)+($F468*Lists!$AD$22)+($G468*Lists!$AD$23)+($H468*Lists!$AD$24),2))</f>
        <v/>
      </c>
      <c r="J468" s="101"/>
      <c r="K468" s="105"/>
      <c r="L468" s="101"/>
    </row>
    <row r="469" customFormat="false" ht="15.75" hidden="false" customHeight="true" outlineLevel="0" collapsed="false">
      <c r="A469" s="113"/>
      <c r="B469" s="102"/>
      <c r="C469" s="101" t="str">
        <f aca="false">IF($B469="","",IFERROR(VLOOKUP($B469,'Application Portfolio'!$A$2:$B$1000,2,FALSE()),""))</f>
        <v/>
      </c>
      <c r="D469" s="106"/>
      <c r="E469" s="106"/>
      <c r="F469" s="106"/>
      <c r="G469" s="106"/>
      <c r="H469" s="106"/>
      <c r="I469" s="103" t="str">
        <f aca="false">IF(OR($B469="", $D469="", $E469="", $F469="", $G469="", $H469=""),"",ROUND(($D469*Lists!$AD$20)+($E469*Lists!$AD$21)+($F469*Lists!$AD$22)+($G469*Lists!$AD$23)+($H469*Lists!$AD$24),2))</f>
        <v/>
      </c>
      <c r="J469" s="101"/>
      <c r="K469" s="105"/>
      <c r="L469" s="101"/>
    </row>
    <row r="470" customFormat="false" ht="15.75" hidden="false" customHeight="true" outlineLevel="0" collapsed="false">
      <c r="A470" s="113"/>
      <c r="B470" s="102"/>
      <c r="C470" s="101" t="str">
        <f aca="false">IF($B470="","",IFERROR(VLOOKUP($B470,'Application Portfolio'!$A$2:$B$1000,2,FALSE()),""))</f>
        <v/>
      </c>
      <c r="D470" s="106"/>
      <c r="E470" s="106"/>
      <c r="F470" s="106"/>
      <c r="G470" s="106"/>
      <c r="H470" s="106"/>
      <c r="I470" s="103" t="str">
        <f aca="false">IF(OR($B470="", $D470="", $E470="", $F470="", $G470="", $H470=""),"",ROUND(($D470*Lists!$AD$20)+($E470*Lists!$AD$21)+($F470*Lists!$AD$22)+($G470*Lists!$AD$23)+($H470*Lists!$AD$24),2))</f>
        <v/>
      </c>
      <c r="J470" s="101"/>
      <c r="K470" s="105"/>
      <c r="L470" s="101"/>
    </row>
    <row r="471" customFormat="false" ht="15.75" hidden="false" customHeight="true" outlineLevel="0" collapsed="false">
      <c r="A471" s="113"/>
      <c r="B471" s="102"/>
      <c r="C471" s="101" t="str">
        <f aca="false">IF($B471="","",IFERROR(VLOOKUP($B471,'Application Portfolio'!$A$2:$B$1000,2,FALSE()),""))</f>
        <v/>
      </c>
      <c r="D471" s="106"/>
      <c r="E471" s="106"/>
      <c r="F471" s="106"/>
      <c r="G471" s="106"/>
      <c r="H471" s="106"/>
      <c r="I471" s="103" t="str">
        <f aca="false">IF(OR($B471="", $D471="", $E471="", $F471="", $G471="", $H471=""),"",ROUND(($D471*Lists!$AD$20)+($E471*Lists!$AD$21)+($F471*Lists!$AD$22)+($G471*Lists!$AD$23)+($H471*Lists!$AD$24),2))</f>
        <v/>
      </c>
      <c r="J471" s="101"/>
      <c r="K471" s="105"/>
      <c r="L471" s="101"/>
    </row>
    <row r="472" customFormat="false" ht="15.75" hidden="false" customHeight="true" outlineLevel="0" collapsed="false">
      <c r="A472" s="113"/>
      <c r="B472" s="102"/>
      <c r="C472" s="101" t="str">
        <f aca="false">IF($B472="","",IFERROR(VLOOKUP($B472,'Application Portfolio'!$A$2:$B$1000,2,FALSE()),""))</f>
        <v/>
      </c>
      <c r="D472" s="106"/>
      <c r="E472" s="106"/>
      <c r="F472" s="106"/>
      <c r="G472" s="106"/>
      <c r="H472" s="106"/>
      <c r="I472" s="103" t="str">
        <f aca="false">IF(OR($B472="", $D472="", $E472="", $F472="", $G472="", $H472=""),"",ROUND(($D472*Lists!$AD$20)+($E472*Lists!$AD$21)+($F472*Lists!$AD$22)+($G472*Lists!$AD$23)+($H472*Lists!$AD$24),2))</f>
        <v/>
      </c>
      <c r="J472" s="101"/>
      <c r="K472" s="105"/>
      <c r="L472" s="101"/>
    </row>
    <row r="473" customFormat="false" ht="15.75" hidden="false" customHeight="true" outlineLevel="0" collapsed="false">
      <c r="A473" s="113"/>
      <c r="B473" s="102"/>
      <c r="C473" s="101" t="str">
        <f aca="false">IF($B473="","",IFERROR(VLOOKUP($B473,'Application Portfolio'!$A$2:$B$1000,2,FALSE()),""))</f>
        <v/>
      </c>
      <c r="D473" s="106"/>
      <c r="E473" s="106"/>
      <c r="F473" s="106"/>
      <c r="G473" s="106"/>
      <c r="H473" s="106"/>
      <c r="I473" s="103" t="str">
        <f aca="false">IF(OR($B473="", $D473="", $E473="", $F473="", $G473="", $H473=""),"",ROUND(($D473*Lists!$AD$20)+($E473*Lists!$AD$21)+($F473*Lists!$AD$22)+($G473*Lists!$AD$23)+($H473*Lists!$AD$24),2))</f>
        <v/>
      </c>
      <c r="J473" s="101"/>
      <c r="K473" s="105"/>
      <c r="L473" s="101"/>
    </row>
    <row r="474" customFormat="false" ht="15.75" hidden="false" customHeight="true" outlineLevel="0" collapsed="false">
      <c r="A474" s="113"/>
      <c r="B474" s="102"/>
      <c r="C474" s="101" t="str">
        <f aca="false">IF($B474="","",IFERROR(VLOOKUP($B474,'Application Portfolio'!$A$2:$B$1000,2,FALSE()),""))</f>
        <v/>
      </c>
      <c r="D474" s="106"/>
      <c r="E474" s="106"/>
      <c r="F474" s="106"/>
      <c r="G474" s="106"/>
      <c r="H474" s="106"/>
      <c r="I474" s="103" t="str">
        <f aca="false">IF(OR($B474="", $D474="", $E474="", $F474="", $G474="", $H474=""),"",ROUND(($D474*Lists!$AD$20)+($E474*Lists!$AD$21)+($F474*Lists!$AD$22)+($G474*Lists!$AD$23)+($H474*Lists!$AD$24),2))</f>
        <v/>
      </c>
      <c r="J474" s="101"/>
      <c r="K474" s="105"/>
      <c r="L474" s="101"/>
    </row>
    <row r="475" customFormat="false" ht="15.75" hidden="false" customHeight="true" outlineLevel="0" collapsed="false">
      <c r="A475" s="113"/>
      <c r="B475" s="102"/>
      <c r="C475" s="101" t="str">
        <f aca="false">IF($B475="","",IFERROR(VLOOKUP($B475,'Application Portfolio'!$A$2:$B$1000,2,FALSE()),""))</f>
        <v/>
      </c>
      <c r="D475" s="106"/>
      <c r="E475" s="106"/>
      <c r="F475" s="106"/>
      <c r="G475" s="106"/>
      <c r="H475" s="106"/>
      <c r="I475" s="103" t="str">
        <f aca="false">IF(OR($B475="", $D475="", $E475="", $F475="", $G475="", $H475=""),"",ROUND(($D475*Lists!$AD$20)+($E475*Lists!$AD$21)+($F475*Lists!$AD$22)+($G475*Lists!$AD$23)+($H475*Lists!$AD$24),2))</f>
        <v/>
      </c>
      <c r="J475" s="101"/>
      <c r="K475" s="105"/>
      <c r="L475" s="101"/>
    </row>
    <row r="476" customFormat="false" ht="15.75" hidden="false" customHeight="true" outlineLevel="0" collapsed="false">
      <c r="A476" s="113"/>
      <c r="B476" s="102"/>
      <c r="C476" s="101" t="str">
        <f aca="false">IF($B476="","",IFERROR(VLOOKUP($B476,'Application Portfolio'!$A$2:$B$1000,2,FALSE()),""))</f>
        <v/>
      </c>
      <c r="D476" s="106"/>
      <c r="E476" s="106"/>
      <c r="F476" s="106"/>
      <c r="G476" s="106"/>
      <c r="H476" s="106"/>
      <c r="I476" s="103" t="str">
        <f aca="false">IF(OR($B476="", $D476="", $E476="", $F476="", $G476="", $H476=""),"",ROUND(($D476*Lists!$AD$20)+($E476*Lists!$AD$21)+($F476*Lists!$AD$22)+($G476*Lists!$AD$23)+($H476*Lists!$AD$24),2))</f>
        <v/>
      </c>
      <c r="J476" s="101"/>
      <c r="K476" s="105"/>
      <c r="L476" s="101"/>
    </row>
    <row r="477" customFormat="false" ht="15.75" hidden="false" customHeight="true" outlineLevel="0" collapsed="false">
      <c r="A477" s="113"/>
      <c r="B477" s="102"/>
      <c r="C477" s="101" t="str">
        <f aca="false">IF($B477="","",IFERROR(VLOOKUP($B477,'Application Portfolio'!$A$2:$B$1000,2,FALSE()),""))</f>
        <v/>
      </c>
      <c r="D477" s="106"/>
      <c r="E477" s="106"/>
      <c r="F477" s="106"/>
      <c r="G477" s="106"/>
      <c r="H477" s="106"/>
      <c r="I477" s="103" t="str">
        <f aca="false">IF(OR($B477="", $D477="", $E477="", $F477="", $G477="", $H477=""),"",ROUND(($D477*Lists!$AD$20)+($E477*Lists!$AD$21)+($F477*Lists!$AD$22)+($G477*Lists!$AD$23)+($H477*Lists!$AD$24),2))</f>
        <v/>
      </c>
      <c r="J477" s="101"/>
      <c r="K477" s="105"/>
      <c r="L477" s="101"/>
    </row>
    <row r="478" customFormat="false" ht="15.75" hidden="false" customHeight="true" outlineLevel="0" collapsed="false">
      <c r="A478" s="113"/>
      <c r="B478" s="102"/>
      <c r="C478" s="101" t="str">
        <f aca="false">IF($B478="","",IFERROR(VLOOKUP($B478,'Application Portfolio'!$A$2:$B$1000,2,FALSE()),""))</f>
        <v/>
      </c>
      <c r="D478" s="106"/>
      <c r="E478" s="106"/>
      <c r="F478" s="106"/>
      <c r="G478" s="106"/>
      <c r="H478" s="106"/>
      <c r="I478" s="103" t="str">
        <f aca="false">IF(OR($B478="", $D478="", $E478="", $F478="", $G478="", $H478=""),"",ROUND(($D478*Lists!$AD$20)+($E478*Lists!$AD$21)+($F478*Lists!$AD$22)+($G478*Lists!$AD$23)+($H478*Lists!$AD$24),2))</f>
        <v/>
      </c>
      <c r="J478" s="101"/>
      <c r="K478" s="105"/>
      <c r="L478" s="101"/>
    </row>
    <row r="479" customFormat="false" ht="15.75" hidden="false" customHeight="true" outlineLevel="0" collapsed="false">
      <c r="A479" s="113"/>
      <c r="B479" s="102"/>
      <c r="C479" s="101" t="str">
        <f aca="false">IF($B479="","",IFERROR(VLOOKUP($B479,'Application Portfolio'!$A$2:$B$1000,2,FALSE()),""))</f>
        <v/>
      </c>
      <c r="D479" s="106"/>
      <c r="E479" s="106"/>
      <c r="F479" s="106"/>
      <c r="G479" s="106"/>
      <c r="H479" s="106"/>
      <c r="I479" s="103" t="str">
        <f aca="false">IF(OR($B479="", $D479="", $E479="", $F479="", $G479="", $H479=""),"",ROUND(($D479*Lists!$AD$20)+($E479*Lists!$AD$21)+($F479*Lists!$AD$22)+($G479*Lists!$AD$23)+($H479*Lists!$AD$24),2))</f>
        <v/>
      </c>
      <c r="J479" s="101"/>
      <c r="K479" s="105"/>
      <c r="L479" s="101"/>
    </row>
    <row r="480" customFormat="false" ht="15.75" hidden="false" customHeight="true" outlineLevel="0" collapsed="false">
      <c r="A480" s="113"/>
      <c r="B480" s="102"/>
      <c r="C480" s="101" t="str">
        <f aca="false">IF($B480="","",IFERROR(VLOOKUP($B480,'Application Portfolio'!$A$2:$B$1000,2,FALSE()),""))</f>
        <v/>
      </c>
      <c r="D480" s="106"/>
      <c r="E480" s="106"/>
      <c r="F480" s="106"/>
      <c r="G480" s="106"/>
      <c r="H480" s="106"/>
      <c r="I480" s="103" t="str">
        <f aca="false">IF(OR($B480="", $D480="", $E480="", $F480="", $G480="", $H480=""),"",ROUND(($D480*Lists!$AD$20)+($E480*Lists!$AD$21)+($F480*Lists!$AD$22)+($G480*Lists!$AD$23)+($H480*Lists!$AD$24),2))</f>
        <v/>
      </c>
      <c r="J480" s="101"/>
      <c r="K480" s="105"/>
      <c r="L480" s="101"/>
    </row>
    <row r="481" customFormat="false" ht="15.75" hidden="false" customHeight="true" outlineLevel="0" collapsed="false">
      <c r="A481" s="113"/>
      <c r="B481" s="102"/>
      <c r="C481" s="101" t="str">
        <f aca="false">IF($B481="","",IFERROR(VLOOKUP($B481,'Application Portfolio'!$A$2:$B$1000,2,FALSE()),""))</f>
        <v/>
      </c>
      <c r="D481" s="106"/>
      <c r="E481" s="106"/>
      <c r="F481" s="106"/>
      <c r="G481" s="106"/>
      <c r="H481" s="106"/>
      <c r="I481" s="103" t="str">
        <f aca="false">IF(OR($B481="", $D481="", $E481="", $F481="", $G481="", $H481=""),"",ROUND(($D481*Lists!$AD$20)+($E481*Lists!$AD$21)+($F481*Lists!$AD$22)+($G481*Lists!$AD$23)+($H481*Lists!$AD$24),2))</f>
        <v/>
      </c>
      <c r="J481" s="101"/>
      <c r="K481" s="105"/>
      <c r="L481" s="101"/>
    </row>
    <row r="482" customFormat="false" ht="15.75" hidden="false" customHeight="true" outlineLevel="0" collapsed="false">
      <c r="A482" s="113"/>
      <c r="B482" s="102"/>
      <c r="C482" s="101" t="str">
        <f aca="false">IF($B482="","",IFERROR(VLOOKUP($B482,'Application Portfolio'!$A$2:$B$1000,2,FALSE()),""))</f>
        <v/>
      </c>
      <c r="D482" s="106"/>
      <c r="E482" s="106"/>
      <c r="F482" s="106"/>
      <c r="G482" s="106"/>
      <c r="H482" s="106"/>
      <c r="I482" s="103" t="str">
        <f aca="false">IF(OR($B482="", $D482="", $E482="", $F482="", $G482="", $H482=""),"",ROUND(($D482*Lists!$AD$20)+($E482*Lists!$AD$21)+($F482*Lists!$AD$22)+($G482*Lists!$AD$23)+($H482*Lists!$AD$24),2))</f>
        <v/>
      </c>
      <c r="J482" s="101"/>
      <c r="K482" s="105"/>
      <c r="L482" s="101"/>
    </row>
    <row r="483" customFormat="false" ht="15.75" hidden="false" customHeight="true" outlineLevel="0" collapsed="false">
      <c r="A483" s="113"/>
      <c r="B483" s="102"/>
      <c r="C483" s="101" t="str">
        <f aca="false">IF($B483="","",IFERROR(VLOOKUP($B483,'Application Portfolio'!$A$2:$B$1000,2,FALSE()),""))</f>
        <v/>
      </c>
      <c r="D483" s="106"/>
      <c r="E483" s="106"/>
      <c r="F483" s="106"/>
      <c r="G483" s="106"/>
      <c r="H483" s="106"/>
      <c r="I483" s="103" t="str">
        <f aca="false">IF(OR($B483="", $D483="", $E483="", $F483="", $G483="", $H483=""),"",ROUND(($D483*Lists!$AD$20)+($E483*Lists!$AD$21)+($F483*Lists!$AD$22)+($G483*Lists!$AD$23)+($H483*Lists!$AD$24),2))</f>
        <v/>
      </c>
      <c r="J483" s="101"/>
      <c r="K483" s="105"/>
      <c r="L483" s="101"/>
    </row>
    <row r="484" customFormat="false" ht="15.75" hidden="false" customHeight="true" outlineLevel="0" collapsed="false">
      <c r="A484" s="113"/>
      <c r="B484" s="102"/>
      <c r="C484" s="101" t="str">
        <f aca="false">IF($B484="","",IFERROR(VLOOKUP($B484,'Application Portfolio'!$A$2:$B$1000,2,FALSE()),""))</f>
        <v/>
      </c>
      <c r="D484" s="106"/>
      <c r="E484" s="106"/>
      <c r="F484" s="106"/>
      <c r="G484" s="106"/>
      <c r="H484" s="106"/>
      <c r="I484" s="103" t="str">
        <f aca="false">IF(OR($B484="", $D484="", $E484="", $F484="", $G484="", $H484=""),"",ROUND(($D484*Lists!$AD$20)+($E484*Lists!$AD$21)+($F484*Lists!$AD$22)+($G484*Lists!$AD$23)+($H484*Lists!$AD$24),2))</f>
        <v/>
      </c>
      <c r="J484" s="101"/>
      <c r="K484" s="105"/>
      <c r="L484" s="101"/>
    </row>
    <row r="485" customFormat="false" ht="15.75" hidden="false" customHeight="true" outlineLevel="0" collapsed="false">
      <c r="A485" s="113"/>
      <c r="B485" s="102"/>
      <c r="C485" s="101" t="str">
        <f aca="false">IF($B485="","",IFERROR(VLOOKUP($B485,'Application Portfolio'!$A$2:$B$1000,2,FALSE()),""))</f>
        <v/>
      </c>
      <c r="D485" s="106"/>
      <c r="E485" s="106"/>
      <c r="F485" s="106"/>
      <c r="G485" s="106"/>
      <c r="H485" s="106"/>
      <c r="I485" s="103" t="str">
        <f aca="false">IF(OR($B485="", $D485="", $E485="", $F485="", $G485="", $H485=""),"",ROUND(($D485*Lists!$AD$20)+($E485*Lists!$AD$21)+($F485*Lists!$AD$22)+($G485*Lists!$AD$23)+($H485*Lists!$AD$24),2))</f>
        <v/>
      </c>
      <c r="J485" s="101"/>
      <c r="K485" s="105"/>
      <c r="L485" s="101"/>
    </row>
    <row r="486" customFormat="false" ht="15.75" hidden="false" customHeight="true" outlineLevel="0" collapsed="false">
      <c r="A486" s="113"/>
      <c r="B486" s="102"/>
      <c r="C486" s="101" t="str">
        <f aca="false">IF($B486="","",IFERROR(VLOOKUP($B486,'Application Portfolio'!$A$2:$B$1000,2,FALSE()),""))</f>
        <v/>
      </c>
      <c r="D486" s="106"/>
      <c r="E486" s="106"/>
      <c r="F486" s="106"/>
      <c r="G486" s="106"/>
      <c r="H486" s="106"/>
      <c r="I486" s="103" t="str">
        <f aca="false">IF(OR($B486="", $D486="", $E486="", $F486="", $G486="", $H486=""),"",ROUND(($D486*Lists!$AD$20)+($E486*Lists!$AD$21)+($F486*Lists!$AD$22)+($G486*Lists!$AD$23)+($H486*Lists!$AD$24),2))</f>
        <v/>
      </c>
      <c r="J486" s="101"/>
      <c r="K486" s="105"/>
      <c r="L486" s="101"/>
    </row>
    <row r="487" customFormat="false" ht="15.75" hidden="false" customHeight="true" outlineLevel="0" collapsed="false">
      <c r="A487" s="113"/>
      <c r="B487" s="102"/>
      <c r="C487" s="101" t="str">
        <f aca="false">IF($B487="","",IFERROR(VLOOKUP($B487,'Application Portfolio'!$A$2:$B$1000,2,FALSE()),""))</f>
        <v/>
      </c>
      <c r="D487" s="106"/>
      <c r="E487" s="106"/>
      <c r="F487" s="106"/>
      <c r="G487" s="106"/>
      <c r="H487" s="106"/>
      <c r="I487" s="103" t="str">
        <f aca="false">IF(OR($B487="", $D487="", $E487="", $F487="", $G487="", $H487=""),"",ROUND(($D487*Lists!$AD$20)+($E487*Lists!$AD$21)+($F487*Lists!$AD$22)+($G487*Lists!$AD$23)+($H487*Lists!$AD$24),2))</f>
        <v/>
      </c>
      <c r="J487" s="101"/>
      <c r="K487" s="105"/>
      <c r="L487" s="101"/>
    </row>
    <row r="488" customFormat="false" ht="15.75" hidden="false" customHeight="true" outlineLevel="0" collapsed="false">
      <c r="A488" s="113"/>
      <c r="B488" s="102"/>
      <c r="C488" s="101" t="str">
        <f aca="false">IF($B488="","",IFERROR(VLOOKUP($B488,'Application Portfolio'!$A$2:$B$1000,2,FALSE()),""))</f>
        <v/>
      </c>
      <c r="D488" s="106"/>
      <c r="E488" s="106"/>
      <c r="F488" s="106"/>
      <c r="G488" s="106"/>
      <c r="H488" s="106"/>
      <c r="I488" s="103" t="str">
        <f aca="false">IF(OR($B488="", $D488="", $E488="", $F488="", $G488="", $H488=""),"",ROUND(($D488*Lists!$AD$20)+($E488*Lists!$AD$21)+($F488*Lists!$AD$22)+($G488*Lists!$AD$23)+($H488*Lists!$AD$24),2))</f>
        <v/>
      </c>
      <c r="J488" s="101"/>
      <c r="K488" s="105"/>
      <c r="L488" s="101"/>
    </row>
    <row r="489" customFormat="false" ht="15.75" hidden="false" customHeight="true" outlineLevel="0" collapsed="false">
      <c r="A489" s="113"/>
      <c r="B489" s="102"/>
      <c r="C489" s="101" t="str">
        <f aca="false">IF($B489="","",IFERROR(VLOOKUP($B489,'Application Portfolio'!$A$2:$B$1000,2,FALSE()),""))</f>
        <v/>
      </c>
      <c r="D489" s="106"/>
      <c r="E489" s="106"/>
      <c r="F489" s="106"/>
      <c r="G489" s="106"/>
      <c r="H489" s="106"/>
      <c r="I489" s="103" t="str">
        <f aca="false">IF(OR($B489="", $D489="", $E489="", $F489="", $G489="", $H489=""),"",ROUND(($D489*Lists!$AD$20)+($E489*Lists!$AD$21)+($F489*Lists!$AD$22)+($G489*Lists!$AD$23)+($H489*Lists!$AD$24),2))</f>
        <v/>
      </c>
      <c r="J489" s="101"/>
      <c r="K489" s="105"/>
      <c r="L489" s="101"/>
    </row>
    <row r="490" customFormat="false" ht="15.75" hidden="false" customHeight="true" outlineLevel="0" collapsed="false">
      <c r="A490" s="113"/>
      <c r="B490" s="102"/>
      <c r="C490" s="101" t="str">
        <f aca="false">IF($B490="","",IFERROR(VLOOKUP($B490,'Application Portfolio'!$A$2:$B$1000,2,FALSE()),""))</f>
        <v/>
      </c>
      <c r="D490" s="106"/>
      <c r="E490" s="106"/>
      <c r="F490" s="106"/>
      <c r="G490" s="106"/>
      <c r="H490" s="106"/>
      <c r="I490" s="103" t="str">
        <f aca="false">IF(OR($B490="", $D490="", $E490="", $F490="", $G490="", $H490=""),"",ROUND(($D490*Lists!$AD$20)+($E490*Lists!$AD$21)+($F490*Lists!$AD$22)+($G490*Lists!$AD$23)+($H490*Lists!$AD$24),2))</f>
        <v/>
      </c>
      <c r="J490" s="101"/>
      <c r="K490" s="105"/>
      <c r="L490" s="101"/>
    </row>
    <row r="491" customFormat="false" ht="15.75" hidden="false" customHeight="true" outlineLevel="0" collapsed="false">
      <c r="A491" s="113"/>
      <c r="B491" s="102"/>
      <c r="C491" s="101" t="str">
        <f aca="false">IF($B491="","",IFERROR(VLOOKUP($B491,'Application Portfolio'!$A$2:$B$1000,2,FALSE()),""))</f>
        <v/>
      </c>
      <c r="D491" s="106"/>
      <c r="E491" s="106"/>
      <c r="F491" s="106"/>
      <c r="G491" s="106"/>
      <c r="H491" s="106"/>
      <c r="I491" s="103" t="str">
        <f aca="false">IF(OR($B491="", $D491="", $E491="", $F491="", $G491="", $H491=""),"",ROUND(($D491*Lists!$AD$20)+($E491*Lists!$AD$21)+($F491*Lists!$AD$22)+($G491*Lists!$AD$23)+($H491*Lists!$AD$24),2))</f>
        <v/>
      </c>
      <c r="J491" s="101"/>
      <c r="K491" s="105"/>
      <c r="L491" s="101"/>
    </row>
    <row r="492" customFormat="false" ht="15.75" hidden="false" customHeight="true" outlineLevel="0" collapsed="false">
      <c r="A492" s="113"/>
      <c r="B492" s="102"/>
      <c r="C492" s="101" t="str">
        <f aca="false">IF($B492="","",IFERROR(VLOOKUP($B492,'Application Portfolio'!$A$2:$B$1000,2,FALSE()),""))</f>
        <v/>
      </c>
      <c r="D492" s="106"/>
      <c r="E492" s="106"/>
      <c r="F492" s="106"/>
      <c r="G492" s="106"/>
      <c r="H492" s="106"/>
      <c r="I492" s="103" t="str">
        <f aca="false">IF(OR($B492="", $D492="", $E492="", $F492="", $G492="", $H492=""),"",ROUND(($D492*Lists!$AD$20)+($E492*Lists!$AD$21)+($F492*Lists!$AD$22)+($G492*Lists!$AD$23)+($H492*Lists!$AD$24),2))</f>
        <v/>
      </c>
      <c r="J492" s="101"/>
      <c r="K492" s="105"/>
      <c r="L492" s="101"/>
    </row>
    <row r="493" customFormat="false" ht="15.75" hidden="false" customHeight="true" outlineLevel="0" collapsed="false">
      <c r="A493" s="113"/>
      <c r="B493" s="102"/>
      <c r="C493" s="101" t="str">
        <f aca="false">IF($B493="","",IFERROR(VLOOKUP($B493,'Application Portfolio'!$A$2:$B$1000,2,FALSE()),""))</f>
        <v/>
      </c>
      <c r="D493" s="106"/>
      <c r="E493" s="106"/>
      <c r="F493" s="106"/>
      <c r="G493" s="106"/>
      <c r="H493" s="106"/>
      <c r="I493" s="103" t="str">
        <f aca="false">IF(OR($B493="", $D493="", $E493="", $F493="", $G493="", $H493=""),"",ROUND(($D493*Lists!$AD$20)+($E493*Lists!$AD$21)+($F493*Lists!$AD$22)+($G493*Lists!$AD$23)+($H493*Lists!$AD$24),2))</f>
        <v/>
      </c>
      <c r="J493" s="101"/>
      <c r="K493" s="105"/>
      <c r="L493" s="101"/>
    </row>
    <row r="494" customFormat="false" ht="15.75" hidden="false" customHeight="true" outlineLevel="0" collapsed="false">
      <c r="A494" s="113"/>
      <c r="B494" s="102"/>
      <c r="C494" s="101" t="str">
        <f aca="false">IF($B494="","",IFERROR(VLOOKUP($B494,'Application Portfolio'!$A$2:$B$1000,2,FALSE()),""))</f>
        <v/>
      </c>
      <c r="D494" s="106"/>
      <c r="E494" s="106"/>
      <c r="F494" s="106"/>
      <c r="G494" s="106"/>
      <c r="H494" s="106"/>
      <c r="I494" s="103" t="str">
        <f aca="false">IF(OR($B494="", $D494="", $E494="", $F494="", $G494="", $H494=""),"",ROUND(($D494*Lists!$AD$20)+($E494*Lists!$AD$21)+($F494*Lists!$AD$22)+($G494*Lists!$AD$23)+($H494*Lists!$AD$24),2))</f>
        <v/>
      </c>
      <c r="J494" s="101"/>
      <c r="K494" s="105"/>
      <c r="L494" s="101"/>
    </row>
    <row r="495" customFormat="false" ht="15.75" hidden="false" customHeight="true" outlineLevel="0" collapsed="false">
      <c r="A495" s="113"/>
      <c r="B495" s="102"/>
      <c r="C495" s="101" t="str">
        <f aca="false">IF($B495="","",IFERROR(VLOOKUP($B495,'Application Portfolio'!$A$2:$B$1000,2,FALSE()),""))</f>
        <v/>
      </c>
      <c r="D495" s="106"/>
      <c r="E495" s="106"/>
      <c r="F495" s="106"/>
      <c r="G495" s="106"/>
      <c r="H495" s="106"/>
      <c r="I495" s="103" t="str">
        <f aca="false">IF(OR($B495="", $D495="", $E495="", $F495="", $G495="", $H495=""),"",ROUND(($D495*Lists!$AD$20)+($E495*Lists!$AD$21)+($F495*Lists!$AD$22)+($G495*Lists!$AD$23)+($H495*Lists!$AD$24),2))</f>
        <v/>
      </c>
      <c r="J495" s="101"/>
      <c r="K495" s="105"/>
      <c r="L495" s="101"/>
    </row>
    <row r="496" customFormat="false" ht="15.75" hidden="false" customHeight="true" outlineLevel="0" collapsed="false">
      <c r="A496" s="113"/>
      <c r="B496" s="102"/>
      <c r="C496" s="101" t="str">
        <f aca="false">IF($B496="","",IFERROR(VLOOKUP($B496,'Application Portfolio'!$A$2:$B$1000,2,FALSE()),""))</f>
        <v/>
      </c>
      <c r="D496" s="106"/>
      <c r="E496" s="106"/>
      <c r="F496" s="106"/>
      <c r="G496" s="106"/>
      <c r="H496" s="106"/>
      <c r="I496" s="103" t="str">
        <f aca="false">IF(OR($B496="", $D496="", $E496="", $F496="", $G496="", $H496=""),"",ROUND(($D496*Lists!$AD$20)+($E496*Lists!$AD$21)+($F496*Lists!$AD$22)+($G496*Lists!$AD$23)+($H496*Lists!$AD$24),2))</f>
        <v/>
      </c>
      <c r="J496" s="101"/>
      <c r="K496" s="105"/>
      <c r="L496" s="101"/>
    </row>
    <row r="497" customFormat="false" ht="15.75" hidden="false" customHeight="true" outlineLevel="0" collapsed="false">
      <c r="A497" s="113"/>
      <c r="B497" s="102"/>
      <c r="C497" s="101" t="str">
        <f aca="false">IF($B497="","",IFERROR(VLOOKUP($B497,'Application Portfolio'!$A$2:$B$1000,2,FALSE()),""))</f>
        <v/>
      </c>
      <c r="D497" s="106"/>
      <c r="E497" s="106"/>
      <c r="F497" s="106"/>
      <c r="G497" s="106"/>
      <c r="H497" s="106"/>
      <c r="I497" s="103" t="str">
        <f aca="false">IF(OR($B497="", $D497="", $E497="", $F497="", $G497="", $H497=""),"",ROUND(($D497*Lists!$AD$20)+($E497*Lists!$AD$21)+($F497*Lists!$AD$22)+($G497*Lists!$AD$23)+($H497*Lists!$AD$24),2))</f>
        <v/>
      </c>
      <c r="J497" s="101"/>
      <c r="K497" s="105"/>
      <c r="L497" s="101"/>
    </row>
    <row r="498" customFormat="false" ht="15.75" hidden="false" customHeight="true" outlineLevel="0" collapsed="false">
      <c r="A498" s="113"/>
      <c r="B498" s="102"/>
      <c r="C498" s="101" t="str">
        <f aca="false">IF($B498="","",IFERROR(VLOOKUP($B498,'Application Portfolio'!$A$2:$B$1000,2,FALSE()),""))</f>
        <v/>
      </c>
      <c r="D498" s="106"/>
      <c r="E498" s="106"/>
      <c r="F498" s="106"/>
      <c r="G498" s="106"/>
      <c r="H498" s="106"/>
      <c r="I498" s="103" t="str">
        <f aca="false">IF(OR($B498="", $D498="", $E498="", $F498="", $G498="", $H498=""),"",ROUND(($D498*Lists!$AD$20)+($E498*Lists!$AD$21)+($F498*Lists!$AD$22)+($G498*Lists!$AD$23)+($H498*Lists!$AD$24),2))</f>
        <v/>
      </c>
      <c r="J498" s="101"/>
      <c r="K498" s="105"/>
      <c r="L498" s="101"/>
    </row>
    <row r="499" customFormat="false" ht="15.75" hidden="false" customHeight="true" outlineLevel="0" collapsed="false">
      <c r="A499" s="113"/>
      <c r="B499" s="102"/>
      <c r="C499" s="101" t="str">
        <f aca="false">IF($B499="","",IFERROR(VLOOKUP($B499,'Application Portfolio'!$A$2:$B$1000,2,FALSE()),""))</f>
        <v/>
      </c>
      <c r="D499" s="106"/>
      <c r="E499" s="106"/>
      <c r="F499" s="106"/>
      <c r="G499" s="106"/>
      <c r="H499" s="106"/>
      <c r="I499" s="103" t="str">
        <f aca="false">IF(OR($B499="", $D499="", $E499="", $F499="", $G499="", $H499=""),"",ROUND(($D499*Lists!$AD$20)+($E499*Lists!$AD$21)+($F499*Lists!$AD$22)+($G499*Lists!$AD$23)+($H499*Lists!$AD$24),2))</f>
        <v/>
      </c>
      <c r="J499" s="101"/>
      <c r="K499" s="105"/>
      <c r="L499" s="101"/>
    </row>
    <row r="500" customFormat="false" ht="15.75" hidden="false" customHeight="true" outlineLevel="0" collapsed="false">
      <c r="A500" s="113"/>
      <c r="B500" s="102"/>
      <c r="C500" s="101" t="str">
        <f aca="false">IF($B500="","",IFERROR(VLOOKUP($B500,'Application Portfolio'!$A$2:$B$1000,2,FALSE()),""))</f>
        <v/>
      </c>
      <c r="D500" s="106"/>
      <c r="E500" s="106"/>
      <c r="F500" s="106"/>
      <c r="G500" s="106"/>
      <c r="H500" s="106"/>
      <c r="I500" s="103" t="str">
        <f aca="false">IF(OR($B500="", $D500="", $E500="", $F500="", $G500="", $H500=""),"",ROUND(($D500*Lists!$AD$20)+($E500*Lists!$AD$21)+($F500*Lists!$AD$22)+($G500*Lists!$AD$23)+($H500*Lists!$AD$24),2))</f>
        <v/>
      </c>
      <c r="J500" s="101"/>
      <c r="K500" s="105"/>
      <c r="L500" s="101"/>
    </row>
    <row r="501" customFormat="false" ht="15.75" hidden="false" customHeight="true" outlineLevel="0" collapsed="false">
      <c r="A501" s="113"/>
      <c r="B501" s="102"/>
      <c r="C501" s="101" t="str">
        <f aca="false">IF($B501="","",IFERROR(VLOOKUP($B501,'Application Portfolio'!$A$2:$B$1000,2,FALSE()),""))</f>
        <v/>
      </c>
      <c r="D501" s="106"/>
      <c r="E501" s="106"/>
      <c r="F501" s="106"/>
      <c r="G501" s="106"/>
      <c r="H501" s="106"/>
      <c r="I501" s="103" t="str">
        <f aca="false">IF(OR($B501="", $D501="", $E501="", $F501="", $G501="", $H501=""),"",ROUND(($D501*Lists!$AD$20)+($E501*Lists!$AD$21)+($F501*Lists!$AD$22)+($G501*Lists!$AD$23)+($H501*Lists!$AD$24),2))</f>
        <v/>
      </c>
      <c r="J501" s="101"/>
      <c r="K501" s="105"/>
      <c r="L501" s="101"/>
    </row>
    <row r="502" customFormat="false" ht="15.75" hidden="false" customHeight="true" outlineLevel="0" collapsed="false">
      <c r="A502" s="113"/>
      <c r="B502" s="102"/>
      <c r="C502" s="101" t="str">
        <f aca="false">IF($B502="","",IFERROR(VLOOKUP($B502,'Application Portfolio'!$A$2:$B$1000,2,FALSE()),""))</f>
        <v/>
      </c>
      <c r="D502" s="106"/>
      <c r="E502" s="106"/>
      <c r="F502" s="106"/>
      <c r="G502" s="106"/>
      <c r="H502" s="106"/>
      <c r="I502" s="103" t="str">
        <f aca="false">IF(OR($B502="", $D502="", $E502="", $F502="", $G502="", $H502=""),"",ROUND(($D502*Lists!$AD$20)+($E502*Lists!$AD$21)+($F502*Lists!$AD$22)+($G502*Lists!$AD$23)+($H502*Lists!$AD$24),2))</f>
        <v/>
      </c>
      <c r="J502" s="101"/>
      <c r="K502" s="105"/>
      <c r="L502" s="101"/>
    </row>
    <row r="503" customFormat="false" ht="15.75" hidden="false" customHeight="true" outlineLevel="0" collapsed="false">
      <c r="A503" s="113"/>
      <c r="B503" s="102"/>
      <c r="C503" s="101" t="str">
        <f aca="false">IF($B503="","",IFERROR(VLOOKUP($B503,'Application Portfolio'!$A$2:$B$1000,2,FALSE()),""))</f>
        <v/>
      </c>
      <c r="D503" s="106"/>
      <c r="E503" s="106"/>
      <c r="F503" s="106"/>
      <c r="G503" s="106"/>
      <c r="H503" s="106"/>
      <c r="I503" s="103" t="str">
        <f aca="false">IF(OR($B503="", $D503="", $E503="", $F503="", $G503="", $H503=""),"",ROUND(($D503*Lists!$AD$20)+($E503*Lists!$AD$21)+($F503*Lists!$AD$22)+($G503*Lists!$AD$23)+($H503*Lists!$AD$24),2))</f>
        <v/>
      </c>
      <c r="J503" s="101"/>
      <c r="K503" s="105"/>
      <c r="L503" s="101"/>
    </row>
    <row r="504" customFormat="false" ht="15.75" hidden="false" customHeight="true" outlineLevel="0" collapsed="false">
      <c r="A504" s="113"/>
      <c r="B504" s="102"/>
      <c r="C504" s="101" t="str">
        <f aca="false">IF($B504="","",IFERROR(VLOOKUP($B504,'Application Portfolio'!$A$2:$B$1000,2,FALSE()),""))</f>
        <v/>
      </c>
      <c r="D504" s="106"/>
      <c r="E504" s="106"/>
      <c r="F504" s="106"/>
      <c r="G504" s="106"/>
      <c r="H504" s="106"/>
      <c r="I504" s="103" t="str">
        <f aca="false">IF(OR($B504="", $D504="", $E504="", $F504="", $G504="", $H504=""),"",ROUND(($D504*Lists!$AD$20)+($E504*Lists!$AD$21)+($F504*Lists!$AD$22)+($G504*Lists!$AD$23)+($H504*Lists!$AD$24),2))</f>
        <v/>
      </c>
      <c r="J504" s="101"/>
      <c r="K504" s="105"/>
      <c r="L504" s="101"/>
    </row>
    <row r="505" customFormat="false" ht="15.75" hidden="false" customHeight="true" outlineLevel="0" collapsed="false">
      <c r="A505" s="113"/>
      <c r="B505" s="102"/>
      <c r="C505" s="101" t="str">
        <f aca="false">IF($B505="","",IFERROR(VLOOKUP($B505,'Application Portfolio'!$A$2:$B$1000,2,FALSE()),""))</f>
        <v/>
      </c>
      <c r="D505" s="106"/>
      <c r="E505" s="106"/>
      <c r="F505" s="106"/>
      <c r="G505" s="106"/>
      <c r="H505" s="106"/>
      <c r="I505" s="103" t="str">
        <f aca="false">IF(OR($B505="", $D505="", $E505="", $F505="", $G505="", $H505=""),"",ROUND(($D505*Lists!$AD$20)+($E505*Lists!$AD$21)+($F505*Lists!$AD$22)+($G505*Lists!$AD$23)+($H505*Lists!$AD$24),2))</f>
        <v/>
      </c>
      <c r="J505" s="101"/>
      <c r="K505" s="105"/>
      <c r="L505" s="101"/>
    </row>
    <row r="506" customFormat="false" ht="15.75" hidden="false" customHeight="true" outlineLevel="0" collapsed="false">
      <c r="A506" s="113"/>
      <c r="B506" s="102"/>
      <c r="C506" s="101" t="str">
        <f aca="false">IF($B506="","",IFERROR(VLOOKUP($B506,'Application Portfolio'!$A$2:$B$1000,2,FALSE()),""))</f>
        <v/>
      </c>
      <c r="D506" s="106"/>
      <c r="E506" s="106"/>
      <c r="F506" s="106"/>
      <c r="G506" s="106"/>
      <c r="H506" s="106"/>
      <c r="I506" s="103" t="str">
        <f aca="false">IF(OR($B506="", $D506="", $E506="", $F506="", $G506="", $H506=""),"",ROUND(($D506*Lists!$AD$20)+($E506*Lists!$AD$21)+($F506*Lists!$AD$22)+($G506*Lists!$AD$23)+($H506*Lists!$AD$24),2))</f>
        <v/>
      </c>
      <c r="J506" s="101"/>
      <c r="K506" s="105"/>
      <c r="L506" s="101"/>
    </row>
    <row r="507" customFormat="false" ht="15.75" hidden="false" customHeight="true" outlineLevel="0" collapsed="false">
      <c r="A507" s="113"/>
      <c r="B507" s="102"/>
      <c r="C507" s="101" t="str">
        <f aca="false">IF($B507="","",IFERROR(VLOOKUP($B507,'Application Portfolio'!$A$2:$B$1000,2,FALSE()),""))</f>
        <v/>
      </c>
      <c r="D507" s="106"/>
      <c r="E507" s="106"/>
      <c r="F507" s="106"/>
      <c r="G507" s="106"/>
      <c r="H507" s="106"/>
      <c r="I507" s="103" t="str">
        <f aca="false">IF(OR($B507="", $D507="", $E507="", $F507="", $G507="", $H507=""),"",ROUND(($D507*Lists!$AD$20)+($E507*Lists!$AD$21)+($F507*Lists!$AD$22)+($G507*Lists!$AD$23)+($H507*Lists!$AD$24),2))</f>
        <v/>
      </c>
      <c r="J507" s="101"/>
      <c r="K507" s="105"/>
      <c r="L507" s="101"/>
    </row>
    <row r="508" customFormat="false" ht="15.75" hidden="false" customHeight="true" outlineLevel="0" collapsed="false">
      <c r="A508" s="113"/>
      <c r="B508" s="102"/>
      <c r="C508" s="101" t="str">
        <f aca="false">IF($B508="","",IFERROR(VLOOKUP($B508,'Application Portfolio'!$A$2:$B$1000,2,FALSE()),""))</f>
        <v/>
      </c>
      <c r="D508" s="106"/>
      <c r="E508" s="106"/>
      <c r="F508" s="106"/>
      <c r="G508" s="106"/>
      <c r="H508" s="106"/>
      <c r="I508" s="103" t="str">
        <f aca="false">IF(OR($B508="", $D508="", $E508="", $F508="", $G508="", $H508=""),"",ROUND(($D508*Lists!$AD$20)+($E508*Lists!$AD$21)+($F508*Lists!$AD$22)+($G508*Lists!$AD$23)+($H508*Lists!$AD$24),2))</f>
        <v/>
      </c>
      <c r="J508" s="101"/>
      <c r="K508" s="105"/>
      <c r="L508" s="101"/>
    </row>
    <row r="509" customFormat="false" ht="15.75" hidden="false" customHeight="true" outlineLevel="0" collapsed="false">
      <c r="A509" s="113"/>
      <c r="B509" s="102"/>
      <c r="C509" s="101" t="str">
        <f aca="false">IF($B509="","",IFERROR(VLOOKUP($B509,'Application Portfolio'!$A$2:$B$1000,2,FALSE()),""))</f>
        <v/>
      </c>
      <c r="D509" s="106"/>
      <c r="E509" s="106"/>
      <c r="F509" s="106"/>
      <c r="G509" s="106"/>
      <c r="H509" s="106"/>
      <c r="I509" s="103" t="str">
        <f aca="false">IF(OR($B509="", $D509="", $E509="", $F509="", $G509="", $H509=""),"",ROUND(($D509*Lists!$AD$20)+($E509*Lists!$AD$21)+($F509*Lists!$AD$22)+($G509*Lists!$AD$23)+($H509*Lists!$AD$24),2))</f>
        <v/>
      </c>
      <c r="J509" s="101"/>
      <c r="K509" s="105"/>
      <c r="L509" s="101"/>
    </row>
    <row r="510" customFormat="false" ht="15.75" hidden="false" customHeight="true" outlineLevel="0" collapsed="false">
      <c r="A510" s="113"/>
      <c r="B510" s="102"/>
      <c r="C510" s="101" t="str">
        <f aca="false">IF($B510="","",IFERROR(VLOOKUP($B510,'Application Portfolio'!$A$2:$B$1000,2,FALSE()),""))</f>
        <v/>
      </c>
      <c r="D510" s="106"/>
      <c r="E510" s="106"/>
      <c r="F510" s="106"/>
      <c r="G510" s="106"/>
      <c r="H510" s="106"/>
      <c r="I510" s="103" t="str">
        <f aca="false">IF(OR($B510="", $D510="", $E510="", $F510="", $G510="", $H510=""),"",ROUND(($D510*Lists!$AD$20)+($E510*Lists!$AD$21)+($F510*Lists!$AD$22)+($G510*Lists!$AD$23)+($H510*Lists!$AD$24),2))</f>
        <v/>
      </c>
      <c r="J510" s="101"/>
      <c r="K510" s="105"/>
      <c r="L510" s="101"/>
    </row>
    <row r="511" customFormat="false" ht="15.75" hidden="false" customHeight="true" outlineLevel="0" collapsed="false">
      <c r="A511" s="113"/>
      <c r="B511" s="102"/>
      <c r="C511" s="101" t="str">
        <f aca="false">IF($B511="","",IFERROR(VLOOKUP($B511,'Application Portfolio'!$A$2:$B$1000,2,FALSE()),""))</f>
        <v/>
      </c>
      <c r="D511" s="106"/>
      <c r="E511" s="106"/>
      <c r="F511" s="106"/>
      <c r="G511" s="106"/>
      <c r="H511" s="106"/>
      <c r="I511" s="103" t="str">
        <f aca="false">IF(OR($B511="", $D511="", $E511="", $F511="", $G511="", $H511=""),"",ROUND(($D511*Lists!$AD$20)+($E511*Lists!$AD$21)+($F511*Lists!$AD$22)+($G511*Lists!$AD$23)+($H511*Lists!$AD$24),2))</f>
        <v/>
      </c>
      <c r="J511" s="101"/>
      <c r="K511" s="105"/>
      <c r="L511" s="101"/>
    </row>
    <row r="512" customFormat="false" ht="15.75" hidden="false" customHeight="true" outlineLevel="0" collapsed="false">
      <c r="A512" s="113"/>
      <c r="B512" s="102"/>
      <c r="C512" s="101" t="str">
        <f aca="false">IF($B512="","",IFERROR(VLOOKUP($B512,'Application Portfolio'!$A$2:$B$1000,2,FALSE()),""))</f>
        <v/>
      </c>
      <c r="D512" s="106"/>
      <c r="E512" s="106"/>
      <c r="F512" s="106"/>
      <c r="G512" s="106"/>
      <c r="H512" s="106"/>
      <c r="I512" s="103" t="str">
        <f aca="false">IF(OR($B512="", $D512="", $E512="", $F512="", $G512="", $H512=""),"",ROUND(($D512*Lists!$AD$20)+($E512*Lists!$AD$21)+($F512*Lists!$AD$22)+($G512*Lists!$AD$23)+($H512*Lists!$AD$24),2))</f>
        <v/>
      </c>
      <c r="J512" s="101"/>
      <c r="K512" s="105"/>
      <c r="L512" s="101"/>
    </row>
    <row r="513" customFormat="false" ht="15.75" hidden="false" customHeight="true" outlineLevel="0" collapsed="false">
      <c r="A513" s="113"/>
      <c r="B513" s="102"/>
      <c r="C513" s="101" t="str">
        <f aca="false">IF($B513="","",IFERROR(VLOOKUP($B513,'Application Portfolio'!$A$2:$B$1000,2,FALSE()),""))</f>
        <v/>
      </c>
      <c r="D513" s="106"/>
      <c r="E513" s="106"/>
      <c r="F513" s="106"/>
      <c r="G513" s="106"/>
      <c r="H513" s="106"/>
      <c r="I513" s="103" t="str">
        <f aca="false">IF(OR($B513="", $D513="", $E513="", $F513="", $G513="", $H513=""),"",ROUND(($D513*Lists!$AD$20)+($E513*Lists!$AD$21)+($F513*Lists!$AD$22)+($G513*Lists!$AD$23)+($H513*Lists!$AD$24),2))</f>
        <v/>
      </c>
      <c r="J513" s="101"/>
      <c r="K513" s="105"/>
      <c r="L513" s="101"/>
    </row>
    <row r="514" customFormat="false" ht="15.75" hidden="false" customHeight="true" outlineLevel="0" collapsed="false">
      <c r="A514" s="113"/>
      <c r="B514" s="102"/>
      <c r="C514" s="101" t="str">
        <f aca="false">IF($B514="","",IFERROR(VLOOKUP($B514,'Application Portfolio'!$A$2:$B$1000,2,FALSE()),""))</f>
        <v/>
      </c>
      <c r="D514" s="106"/>
      <c r="E514" s="106"/>
      <c r="F514" s="106"/>
      <c r="G514" s="106"/>
      <c r="H514" s="106"/>
      <c r="I514" s="103" t="str">
        <f aca="false">IF(OR($B514="", $D514="", $E514="", $F514="", $G514="", $H514=""),"",ROUND(($D514*Lists!$AD$20)+($E514*Lists!$AD$21)+($F514*Lists!$AD$22)+($G514*Lists!$AD$23)+($H514*Lists!$AD$24),2))</f>
        <v/>
      </c>
      <c r="J514" s="101"/>
      <c r="K514" s="105"/>
      <c r="L514" s="101"/>
    </row>
    <row r="515" customFormat="false" ht="15.75" hidden="false" customHeight="true" outlineLevel="0" collapsed="false">
      <c r="A515" s="113"/>
      <c r="B515" s="102"/>
      <c r="C515" s="101" t="str">
        <f aca="false">IF($B515="","",IFERROR(VLOOKUP($B515,'Application Portfolio'!$A$2:$B$1000,2,FALSE()),""))</f>
        <v/>
      </c>
      <c r="D515" s="106"/>
      <c r="E515" s="106"/>
      <c r="F515" s="106"/>
      <c r="G515" s="106"/>
      <c r="H515" s="106"/>
      <c r="I515" s="103" t="str">
        <f aca="false">IF(OR($B515="", $D515="", $E515="", $F515="", $G515="", $H515=""),"",ROUND(($D515*Lists!$AD$20)+($E515*Lists!$AD$21)+($F515*Lists!$AD$22)+($G515*Lists!$AD$23)+($H515*Lists!$AD$24),2))</f>
        <v/>
      </c>
      <c r="J515" s="101"/>
      <c r="K515" s="105"/>
      <c r="L515" s="101"/>
    </row>
    <row r="516" customFormat="false" ht="15.75" hidden="false" customHeight="true" outlineLevel="0" collapsed="false">
      <c r="A516" s="113"/>
      <c r="B516" s="102"/>
      <c r="C516" s="101" t="str">
        <f aca="false">IF($B516="","",IFERROR(VLOOKUP($B516,'Application Portfolio'!$A$2:$B$1000,2,FALSE()),""))</f>
        <v/>
      </c>
      <c r="D516" s="106"/>
      <c r="E516" s="106"/>
      <c r="F516" s="106"/>
      <c r="G516" s="106"/>
      <c r="H516" s="106"/>
      <c r="I516" s="103" t="str">
        <f aca="false">IF(OR($B516="", $D516="", $E516="", $F516="", $G516="", $H516=""),"",ROUND(($D516*Lists!$AD$20)+($E516*Lists!$AD$21)+($F516*Lists!$AD$22)+($G516*Lists!$AD$23)+($H516*Lists!$AD$24),2))</f>
        <v/>
      </c>
      <c r="J516" s="101"/>
      <c r="K516" s="105"/>
      <c r="L516" s="101"/>
    </row>
    <row r="517" customFormat="false" ht="15.75" hidden="false" customHeight="true" outlineLevel="0" collapsed="false">
      <c r="A517" s="113"/>
      <c r="B517" s="102"/>
      <c r="C517" s="101" t="str">
        <f aca="false">IF($B517="","",IFERROR(VLOOKUP($B517,'Application Portfolio'!$A$2:$B$1000,2,FALSE()),""))</f>
        <v/>
      </c>
      <c r="D517" s="106"/>
      <c r="E517" s="106"/>
      <c r="F517" s="106"/>
      <c r="G517" s="106"/>
      <c r="H517" s="106"/>
      <c r="I517" s="103" t="str">
        <f aca="false">IF(OR($B517="", $D517="", $E517="", $F517="", $G517="", $H517=""),"",ROUND(($D517*Lists!$AD$20)+($E517*Lists!$AD$21)+($F517*Lists!$AD$22)+($G517*Lists!$AD$23)+($H517*Lists!$AD$24),2))</f>
        <v/>
      </c>
      <c r="J517" s="101"/>
      <c r="K517" s="105"/>
      <c r="L517" s="101"/>
    </row>
    <row r="518" customFormat="false" ht="15.75" hidden="false" customHeight="true" outlineLevel="0" collapsed="false">
      <c r="A518" s="113"/>
      <c r="B518" s="102"/>
      <c r="C518" s="101" t="str">
        <f aca="false">IF($B518="","",IFERROR(VLOOKUP($B518,'Application Portfolio'!$A$2:$B$1000,2,FALSE()),""))</f>
        <v/>
      </c>
      <c r="D518" s="106"/>
      <c r="E518" s="106"/>
      <c r="F518" s="106"/>
      <c r="G518" s="106"/>
      <c r="H518" s="106"/>
      <c r="I518" s="103" t="str">
        <f aca="false">IF(OR($B518="", $D518="", $E518="", $F518="", $G518="", $H518=""),"",ROUND(($D518*Lists!$AD$20)+($E518*Lists!$AD$21)+($F518*Lists!$AD$22)+($G518*Lists!$AD$23)+($H518*Lists!$AD$24),2))</f>
        <v/>
      </c>
      <c r="J518" s="101"/>
      <c r="K518" s="105"/>
      <c r="L518" s="101"/>
    </row>
    <row r="519" customFormat="false" ht="15.75" hidden="false" customHeight="true" outlineLevel="0" collapsed="false">
      <c r="A519" s="113"/>
      <c r="B519" s="102"/>
      <c r="C519" s="101" t="str">
        <f aca="false">IF($B519="","",IFERROR(VLOOKUP($B519,'Application Portfolio'!$A$2:$B$1000,2,FALSE()),""))</f>
        <v/>
      </c>
      <c r="D519" s="106"/>
      <c r="E519" s="106"/>
      <c r="F519" s="106"/>
      <c r="G519" s="106"/>
      <c r="H519" s="106"/>
      <c r="I519" s="103" t="str">
        <f aca="false">IF(OR($B519="", $D519="", $E519="", $F519="", $G519="", $H519=""),"",ROUND(($D519*Lists!$AD$20)+($E519*Lists!$AD$21)+($F519*Lists!$AD$22)+($G519*Lists!$AD$23)+($H519*Lists!$AD$24),2))</f>
        <v/>
      </c>
      <c r="J519" s="101"/>
      <c r="K519" s="105"/>
      <c r="L519" s="101"/>
    </row>
    <row r="520" customFormat="false" ht="15.75" hidden="false" customHeight="true" outlineLevel="0" collapsed="false">
      <c r="A520" s="113"/>
      <c r="B520" s="102"/>
      <c r="C520" s="101" t="str">
        <f aca="false">IF($B520="","",IFERROR(VLOOKUP($B520,'Application Portfolio'!$A$2:$B$1000,2,FALSE()),""))</f>
        <v/>
      </c>
      <c r="D520" s="106"/>
      <c r="E520" s="106"/>
      <c r="F520" s="106"/>
      <c r="G520" s="106"/>
      <c r="H520" s="106"/>
      <c r="I520" s="103" t="str">
        <f aca="false">IF(OR($B520="", $D520="", $E520="", $F520="", $G520="", $H520=""),"",ROUND(($D520*Lists!$AD$20)+($E520*Lists!$AD$21)+($F520*Lists!$AD$22)+($G520*Lists!$AD$23)+($H520*Lists!$AD$24),2))</f>
        <v/>
      </c>
      <c r="J520" s="101"/>
      <c r="K520" s="105"/>
      <c r="L520" s="101"/>
    </row>
    <row r="521" customFormat="false" ht="15.75" hidden="false" customHeight="true" outlineLevel="0" collapsed="false">
      <c r="A521" s="113"/>
      <c r="B521" s="102"/>
      <c r="C521" s="101" t="str">
        <f aca="false">IF($B521="","",IFERROR(VLOOKUP($B521,'Application Portfolio'!$A$2:$B$1000,2,FALSE()),""))</f>
        <v/>
      </c>
      <c r="D521" s="106"/>
      <c r="E521" s="106"/>
      <c r="F521" s="106"/>
      <c r="G521" s="106"/>
      <c r="H521" s="106"/>
      <c r="I521" s="103" t="str">
        <f aca="false">IF(OR($B521="", $D521="", $E521="", $F521="", $G521="", $H521=""),"",ROUND(($D521*Lists!$AD$20)+($E521*Lists!$AD$21)+($F521*Lists!$AD$22)+($G521*Lists!$AD$23)+($H521*Lists!$AD$24),2))</f>
        <v/>
      </c>
      <c r="J521" s="101"/>
      <c r="K521" s="105"/>
      <c r="L521" s="101"/>
    </row>
    <row r="522" customFormat="false" ht="15.75" hidden="false" customHeight="true" outlineLevel="0" collapsed="false">
      <c r="A522" s="113"/>
      <c r="B522" s="102"/>
      <c r="C522" s="101" t="str">
        <f aca="false">IF($B522="","",IFERROR(VLOOKUP($B522,'Application Portfolio'!$A$2:$B$1000,2,FALSE()),""))</f>
        <v/>
      </c>
      <c r="D522" s="106"/>
      <c r="E522" s="106"/>
      <c r="F522" s="106"/>
      <c r="G522" s="106"/>
      <c r="H522" s="106"/>
      <c r="I522" s="103" t="str">
        <f aca="false">IF(OR($B522="", $D522="", $E522="", $F522="", $G522="", $H522=""),"",ROUND(($D522*Lists!$AD$20)+($E522*Lists!$AD$21)+($F522*Lists!$AD$22)+($G522*Lists!$AD$23)+($H522*Lists!$AD$24),2))</f>
        <v/>
      </c>
      <c r="J522" s="101"/>
      <c r="K522" s="105"/>
      <c r="L522" s="101"/>
    </row>
    <row r="523" customFormat="false" ht="15.75" hidden="false" customHeight="true" outlineLevel="0" collapsed="false">
      <c r="A523" s="113"/>
      <c r="B523" s="102"/>
      <c r="C523" s="101" t="str">
        <f aca="false">IF($B523="","",IFERROR(VLOOKUP($B523,'Application Portfolio'!$A$2:$B$1000,2,FALSE()),""))</f>
        <v/>
      </c>
      <c r="D523" s="106"/>
      <c r="E523" s="106"/>
      <c r="F523" s="106"/>
      <c r="G523" s="106"/>
      <c r="H523" s="106"/>
      <c r="I523" s="103" t="str">
        <f aca="false">IF(OR($B523="", $D523="", $E523="", $F523="", $G523="", $H523=""),"",ROUND(($D523*Lists!$AD$20)+($E523*Lists!$AD$21)+($F523*Lists!$AD$22)+($G523*Lists!$AD$23)+($H523*Lists!$AD$24),2))</f>
        <v/>
      </c>
      <c r="J523" s="101"/>
      <c r="K523" s="105"/>
      <c r="L523" s="101"/>
    </row>
    <row r="524" customFormat="false" ht="15.75" hidden="false" customHeight="true" outlineLevel="0" collapsed="false">
      <c r="A524" s="113"/>
      <c r="B524" s="102"/>
      <c r="C524" s="101" t="str">
        <f aca="false">IF($B524="","",IFERROR(VLOOKUP($B524,'Application Portfolio'!$A$2:$B$1000,2,FALSE()),""))</f>
        <v/>
      </c>
      <c r="D524" s="106"/>
      <c r="E524" s="106"/>
      <c r="F524" s="106"/>
      <c r="G524" s="106"/>
      <c r="H524" s="106"/>
      <c r="I524" s="103" t="str">
        <f aca="false">IF(OR($B524="", $D524="", $E524="", $F524="", $G524="", $H524=""),"",ROUND(($D524*Lists!$AD$20)+($E524*Lists!$AD$21)+($F524*Lists!$AD$22)+($G524*Lists!$AD$23)+($H524*Lists!$AD$24),2))</f>
        <v/>
      </c>
      <c r="J524" s="101"/>
      <c r="K524" s="105"/>
      <c r="L524" s="101"/>
    </row>
    <row r="525" customFormat="false" ht="15.75" hidden="false" customHeight="true" outlineLevel="0" collapsed="false">
      <c r="A525" s="113"/>
      <c r="B525" s="102"/>
      <c r="C525" s="101" t="str">
        <f aca="false">IF($B525="","",IFERROR(VLOOKUP($B525,'Application Portfolio'!$A$2:$B$1000,2,FALSE()),""))</f>
        <v/>
      </c>
      <c r="D525" s="106"/>
      <c r="E525" s="106"/>
      <c r="F525" s="106"/>
      <c r="G525" s="106"/>
      <c r="H525" s="106"/>
      <c r="I525" s="103" t="str">
        <f aca="false">IF(OR($B525="", $D525="", $E525="", $F525="", $G525="", $H525=""),"",ROUND(($D525*Lists!$AD$20)+($E525*Lists!$AD$21)+($F525*Lists!$AD$22)+($G525*Lists!$AD$23)+($H525*Lists!$AD$24),2))</f>
        <v/>
      </c>
      <c r="J525" s="101"/>
      <c r="K525" s="105"/>
      <c r="L525" s="101"/>
    </row>
    <row r="526" customFormat="false" ht="15.75" hidden="false" customHeight="true" outlineLevel="0" collapsed="false">
      <c r="A526" s="113"/>
      <c r="B526" s="102"/>
      <c r="C526" s="101" t="str">
        <f aca="false">IF($B526="","",IFERROR(VLOOKUP($B526,'Application Portfolio'!$A$2:$B$1000,2,FALSE()),""))</f>
        <v/>
      </c>
      <c r="D526" s="106"/>
      <c r="E526" s="106"/>
      <c r="F526" s="106"/>
      <c r="G526" s="106"/>
      <c r="H526" s="106"/>
      <c r="I526" s="103" t="str">
        <f aca="false">IF(OR($B526="", $D526="", $E526="", $F526="", $G526="", $H526=""),"",ROUND(($D526*Lists!$AD$20)+($E526*Lists!$AD$21)+($F526*Lists!$AD$22)+($G526*Lists!$AD$23)+($H526*Lists!$AD$24),2))</f>
        <v/>
      </c>
      <c r="J526" s="101"/>
      <c r="K526" s="105"/>
      <c r="L526" s="101"/>
    </row>
    <row r="527" customFormat="false" ht="15.75" hidden="false" customHeight="true" outlineLevel="0" collapsed="false">
      <c r="A527" s="113"/>
      <c r="B527" s="102"/>
      <c r="C527" s="101" t="str">
        <f aca="false">IF($B527="","",IFERROR(VLOOKUP($B527,'Application Portfolio'!$A$2:$B$1000,2,FALSE()),""))</f>
        <v/>
      </c>
      <c r="D527" s="106"/>
      <c r="E527" s="106"/>
      <c r="F527" s="106"/>
      <c r="G527" s="106"/>
      <c r="H527" s="106"/>
      <c r="I527" s="103" t="str">
        <f aca="false">IF(OR($B527="", $D527="", $E527="", $F527="", $G527="", $H527=""),"",ROUND(($D527*Lists!$AD$20)+($E527*Lists!$AD$21)+($F527*Lists!$AD$22)+($G527*Lists!$AD$23)+($H527*Lists!$AD$24),2))</f>
        <v/>
      </c>
      <c r="J527" s="101"/>
      <c r="K527" s="105"/>
      <c r="L527" s="101"/>
    </row>
    <row r="528" customFormat="false" ht="15.75" hidden="false" customHeight="true" outlineLevel="0" collapsed="false">
      <c r="A528" s="113"/>
      <c r="B528" s="102"/>
      <c r="C528" s="101" t="str">
        <f aca="false">IF($B528="","",IFERROR(VLOOKUP($B528,'Application Portfolio'!$A$2:$B$1000,2,FALSE()),""))</f>
        <v/>
      </c>
      <c r="D528" s="106"/>
      <c r="E528" s="106"/>
      <c r="F528" s="106"/>
      <c r="G528" s="106"/>
      <c r="H528" s="106"/>
      <c r="I528" s="103" t="str">
        <f aca="false">IF(OR($B528="", $D528="", $E528="", $F528="", $G528="", $H528=""),"",ROUND(($D528*Lists!$AD$20)+($E528*Lists!$AD$21)+($F528*Lists!$AD$22)+($G528*Lists!$AD$23)+($H528*Lists!$AD$24),2))</f>
        <v/>
      </c>
      <c r="J528" s="101"/>
      <c r="K528" s="105"/>
      <c r="L528" s="101"/>
    </row>
    <row r="529" customFormat="false" ht="15.75" hidden="false" customHeight="true" outlineLevel="0" collapsed="false">
      <c r="A529" s="113"/>
      <c r="B529" s="102"/>
      <c r="C529" s="101" t="str">
        <f aca="false">IF($B529="","",IFERROR(VLOOKUP($B529,'Application Portfolio'!$A$2:$B$1000,2,FALSE()),""))</f>
        <v/>
      </c>
      <c r="D529" s="106"/>
      <c r="E529" s="106"/>
      <c r="F529" s="106"/>
      <c r="G529" s="106"/>
      <c r="H529" s="106"/>
      <c r="I529" s="103" t="str">
        <f aca="false">IF(OR($B529="", $D529="", $E529="", $F529="", $G529="", $H529=""),"",ROUND(($D529*Lists!$AD$20)+($E529*Lists!$AD$21)+($F529*Lists!$AD$22)+($G529*Lists!$AD$23)+($H529*Lists!$AD$24),2))</f>
        <v/>
      </c>
      <c r="J529" s="101"/>
      <c r="K529" s="105"/>
      <c r="L529" s="101"/>
    </row>
    <row r="530" customFormat="false" ht="15.75" hidden="false" customHeight="true" outlineLevel="0" collapsed="false">
      <c r="A530" s="113"/>
      <c r="B530" s="102"/>
      <c r="C530" s="101" t="str">
        <f aca="false">IF($B530="","",IFERROR(VLOOKUP($B530,'Application Portfolio'!$A$2:$B$1000,2,FALSE()),""))</f>
        <v/>
      </c>
      <c r="D530" s="106"/>
      <c r="E530" s="106"/>
      <c r="F530" s="106"/>
      <c r="G530" s="106"/>
      <c r="H530" s="106"/>
      <c r="I530" s="103" t="str">
        <f aca="false">IF(OR($B530="", $D530="", $E530="", $F530="", $G530="", $H530=""),"",ROUND(($D530*Lists!$AD$20)+($E530*Lists!$AD$21)+($F530*Lists!$AD$22)+($G530*Lists!$AD$23)+($H530*Lists!$AD$24),2))</f>
        <v/>
      </c>
      <c r="J530" s="101"/>
      <c r="K530" s="105"/>
      <c r="L530" s="101"/>
    </row>
    <row r="531" customFormat="false" ht="15.75" hidden="false" customHeight="true" outlineLevel="0" collapsed="false">
      <c r="A531" s="113"/>
      <c r="B531" s="102"/>
      <c r="C531" s="101" t="str">
        <f aca="false">IF($B531="","",IFERROR(VLOOKUP($B531,'Application Portfolio'!$A$2:$B$1000,2,FALSE()),""))</f>
        <v/>
      </c>
      <c r="D531" s="106"/>
      <c r="E531" s="106"/>
      <c r="F531" s="106"/>
      <c r="G531" s="106"/>
      <c r="H531" s="106"/>
      <c r="I531" s="103" t="str">
        <f aca="false">IF(OR($B531="", $D531="", $E531="", $F531="", $G531="", $H531=""),"",ROUND(($D531*Lists!$AD$20)+($E531*Lists!$AD$21)+($F531*Lists!$AD$22)+($G531*Lists!$AD$23)+($H531*Lists!$AD$24),2))</f>
        <v/>
      </c>
      <c r="J531" s="101"/>
      <c r="K531" s="105"/>
      <c r="L531" s="101"/>
    </row>
    <row r="532" customFormat="false" ht="15.75" hidden="false" customHeight="true" outlineLevel="0" collapsed="false">
      <c r="A532" s="113"/>
      <c r="B532" s="102"/>
      <c r="C532" s="101" t="str">
        <f aca="false">IF($B532="","",IFERROR(VLOOKUP($B532,'Application Portfolio'!$A$2:$B$1000,2,FALSE()),""))</f>
        <v/>
      </c>
      <c r="D532" s="106"/>
      <c r="E532" s="106"/>
      <c r="F532" s="106"/>
      <c r="G532" s="106"/>
      <c r="H532" s="106"/>
      <c r="I532" s="103" t="str">
        <f aca="false">IF(OR($B532="", $D532="", $E532="", $F532="", $G532="", $H532=""),"",ROUND(($D532*Lists!$AD$20)+($E532*Lists!$AD$21)+($F532*Lists!$AD$22)+($G532*Lists!$AD$23)+($H532*Lists!$AD$24),2))</f>
        <v/>
      </c>
      <c r="J532" s="101"/>
      <c r="K532" s="105"/>
      <c r="L532" s="101"/>
    </row>
    <row r="533" customFormat="false" ht="15.75" hidden="false" customHeight="true" outlineLevel="0" collapsed="false">
      <c r="A533" s="113"/>
      <c r="B533" s="102"/>
      <c r="C533" s="101" t="str">
        <f aca="false">IF($B533="","",IFERROR(VLOOKUP($B533,'Application Portfolio'!$A$2:$B$1000,2,FALSE()),""))</f>
        <v/>
      </c>
      <c r="D533" s="106"/>
      <c r="E533" s="106"/>
      <c r="F533" s="106"/>
      <c r="G533" s="106"/>
      <c r="H533" s="106"/>
      <c r="I533" s="103" t="str">
        <f aca="false">IF(OR($B533="", $D533="", $E533="", $F533="", $G533="", $H533=""),"",ROUND(($D533*Lists!$AD$20)+($E533*Lists!$AD$21)+($F533*Lists!$AD$22)+($G533*Lists!$AD$23)+($H533*Lists!$AD$24),2))</f>
        <v/>
      </c>
      <c r="J533" s="101"/>
      <c r="K533" s="105"/>
      <c r="L533" s="101"/>
    </row>
    <row r="534" customFormat="false" ht="15.75" hidden="false" customHeight="true" outlineLevel="0" collapsed="false">
      <c r="A534" s="113"/>
      <c r="B534" s="102"/>
      <c r="C534" s="101" t="str">
        <f aca="false">IF($B534="","",IFERROR(VLOOKUP($B534,'Application Portfolio'!$A$2:$B$1000,2,FALSE()),""))</f>
        <v/>
      </c>
      <c r="D534" s="106"/>
      <c r="E534" s="106"/>
      <c r="F534" s="106"/>
      <c r="G534" s="106"/>
      <c r="H534" s="106"/>
      <c r="I534" s="103" t="str">
        <f aca="false">IF(OR($B534="", $D534="", $E534="", $F534="", $G534="", $H534=""),"",ROUND(($D534*Lists!$AD$20)+($E534*Lists!$AD$21)+($F534*Lists!$AD$22)+($G534*Lists!$AD$23)+($H534*Lists!$AD$24),2))</f>
        <v/>
      </c>
      <c r="J534" s="101"/>
      <c r="K534" s="105"/>
      <c r="L534" s="101"/>
    </row>
    <row r="535" customFormat="false" ht="15.75" hidden="false" customHeight="true" outlineLevel="0" collapsed="false">
      <c r="A535" s="113"/>
      <c r="B535" s="102"/>
      <c r="C535" s="101" t="str">
        <f aca="false">IF($B535="","",IFERROR(VLOOKUP($B535,'Application Portfolio'!$A$2:$B$1000,2,FALSE()),""))</f>
        <v/>
      </c>
      <c r="D535" s="106"/>
      <c r="E535" s="106"/>
      <c r="F535" s="106"/>
      <c r="G535" s="106"/>
      <c r="H535" s="106"/>
      <c r="I535" s="103" t="str">
        <f aca="false">IF(OR($B535="", $D535="", $E535="", $F535="", $G535="", $H535=""),"",ROUND(($D535*Lists!$AD$20)+($E535*Lists!$AD$21)+($F535*Lists!$AD$22)+($G535*Lists!$AD$23)+($H535*Lists!$AD$24),2))</f>
        <v/>
      </c>
      <c r="J535" s="101"/>
      <c r="K535" s="105"/>
      <c r="L535" s="101"/>
    </row>
    <row r="536" customFormat="false" ht="15.75" hidden="false" customHeight="true" outlineLevel="0" collapsed="false">
      <c r="A536" s="113"/>
      <c r="B536" s="102"/>
      <c r="C536" s="101" t="str">
        <f aca="false">IF($B536="","",IFERROR(VLOOKUP($B536,'Application Portfolio'!$A$2:$B$1000,2,FALSE()),""))</f>
        <v/>
      </c>
      <c r="D536" s="106"/>
      <c r="E536" s="106"/>
      <c r="F536" s="106"/>
      <c r="G536" s="106"/>
      <c r="H536" s="106"/>
      <c r="I536" s="103" t="str">
        <f aca="false">IF(OR($B536="", $D536="", $E536="", $F536="", $G536="", $H536=""),"",ROUND(($D536*Lists!$AD$20)+($E536*Lists!$AD$21)+($F536*Lists!$AD$22)+($G536*Lists!$AD$23)+($H536*Lists!$AD$24),2))</f>
        <v/>
      </c>
      <c r="J536" s="101"/>
      <c r="K536" s="105"/>
      <c r="L536" s="101"/>
    </row>
    <row r="537" customFormat="false" ht="15.75" hidden="false" customHeight="true" outlineLevel="0" collapsed="false">
      <c r="A537" s="113"/>
      <c r="B537" s="102"/>
      <c r="C537" s="101" t="str">
        <f aca="false">IF($B537="","",IFERROR(VLOOKUP($B537,'Application Portfolio'!$A$2:$B$1000,2,FALSE()),""))</f>
        <v/>
      </c>
      <c r="D537" s="106"/>
      <c r="E537" s="106"/>
      <c r="F537" s="106"/>
      <c r="G537" s="106"/>
      <c r="H537" s="106"/>
      <c r="I537" s="103" t="str">
        <f aca="false">IF(OR($B537="", $D537="", $E537="", $F537="", $G537="", $H537=""),"",ROUND(($D537*Lists!$AD$20)+($E537*Lists!$AD$21)+($F537*Lists!$AD$22)+($G537*Lists!$AD$23)+($H537*Lists!$AD$24),2))</f>
        <v/>
      </c>
      <c r="J537" s="101"/>
      <c r="K537" s="105"/>
      <c r="L537" s="101"/>
    </row>
    <row r="538" customFormat="false" ht="15.75" hidden="false" customHeight="true" outlineLevel="0" collapsed="false">
      <c r="A538" s="113"/>
      <c r="B538" s="102"/>
      <c r="C538" s="101" t="str">
        <f aca="false">IF($B538="","",IFERROR(VLOOKUP($B538,'Application Portfolio'!$A$2:$B$1000,2,FALSE()),""))</f>
        <v/>
      </c>
      <c r="D538" s="106"/>
      <c r="E538" s="106"/>
      <c r="F538" s="106"/>
      <c r="G538" s="106"/>
      <c r="H538" s="106"/>
      <c r="I538" s="103" t="str">
        <f aca="false">IF(OR($B538="", $D538="", $E538="", $F538="", $G538="", $H538=""),"",ROUND(($D538*Lists!$AD$20)+($E538*Lists!$AD$21)+($F538*Lists!$AD$22)+($G538*Lists!$AD$23)+($H538*Lists!$AD$24),2))</f>
        <v/>
      </c>
      <c r="J538" s="101"/>
      <c r="K538" s="105"/>
      <c r="L538" s="101"/>
    </row>
    <row r="539" customFormat="false" ht="15.75" hidden="false" customHeight="true" outlineLevel="0" collapsed="false">
      <c r="A539" s="113"/>
      <c r="B539" s="102"/>
      <c r="C539" s="101" t="str">
        <f aca="false">IF($B539="","",IFERROR(VLOOKUP($B539,'Application Portfolio'!$A$2:$B$1000,2,FALSE()),""))</f>
        <v/>
      </c>
      <c r="D539" s="106"/>
      <c r="E539" s="106"/>
      <c r="F539" s="106"/>
      <c r="G539" s="106"/>
      <c r="H539" s="106"/>
      <c r="I539" s="103" t="str">
        <f aca="false">IF(OR($B539="", $D539="", $E539="", $F539="", $G539="", $H539=""),"",ROUND(($D539*Lists!$AD$20)+($E539*Lists!$AD$21)+($F539*Lists!$AD$22)+($G539*Lists!$AD$23)+($H539*Lists!$AD$24),2))</f>
        <v/>
      </c>
      <c r="J539" s="101"/>
      <c r="K539" s="105"/>
      <c r="L539" s="101"/>
    </row>
    <row r="540" customFormat="false" ht="15.75" hidden="false" customHeight="true" outlineLevel="0" collapsed="false">
      <c r="A540" s="113"/>
      <c r="B540" s="102"/>
      <c r="C540" s="101" t="str">
        <f aca="false">IF($B540="","",IFERROR(VLOOKUP($B540,'Application Portfolio'!$A$2:$B$1000,2,FALSE()),""))</f>
        <v/>
      </c>
      <c r="D540" s="106"/>
      <c r="E540" s="106"/>
      <c r="F540" s="106"/>
      <c r="G540" s="106"/>
      <c r="H540" s="106"/>
      <c r="I540" s="103" t="str">
        <f aca="false">IF(OR($B540="", $D540="", $E540="", $F540="", $G540="", $H540=""),"",ROUND(($D540*Lists!$AD$20)+($E540*Lists!$AD$21)+($F540*Lists!$AD$22)+($G540*Lists!$AD$23)+($H540*Lists!$AD$24),2))</f>
        <v/>
      </c>
      <c r="J540" s="101"/>
      <c r="K540" s="105"/>
      <c r="L540" s="101"/>
    </row>
    <row r="541" customFormat="false" ht="15.75" hidden="false" customHeight="true" outlineLevel="0" collapsed="false">
      <c r="A541" s="113"/>
      <c r="B541" s="102"/>
      <c r="C541" s="101" t="str">
        <f aca="false">IF($B541="","",IFERROR(VLOOKUP($B541,'Application Portfolio'!$A$2:$B$1000,2,FALSE()),""))</f>
        <v/>
      </c>
      <c r="D541" s="106"/>
      <c r="E541" s="106"/>
      <c r="F541" s="106"/>
      <c r="G541" s="106"/>
      <c r="H541" s="106"/>
      <c r="I541" s="103" t="str">
        <f aca="false">IF(OR($B541="", $D541="", $E541="", $F541="", $G541="", $H541=""),"",ROUND(($D541*Lists!$AD$20)+($E541*Lists!$AD$21)+($F541*Lists!$AD$22)+($G541*Lists!$AD$23)+($H541*Lists!$AD$24),2))</f>
        <v/>
      </c>
      <c r="J541" s="101"/>
      <c r="K541" s="105"/>
      <c r="L541" s="101"/>
    </row>
    <row r="542" customFormat="false" ht="15.75" hidden="false" customHeight="true" outlineLevel="0" collapsed="false">
      <c r="A542" s="113"/>
      <c r="B542" s="102"/>
      <c r="C542" s="101" t="str">
        <f aca="false">IF($B542="","",IFERROR(VLOOKUP($B542,'Application Portfolio'!$A$2:$B$1000,2,FALSE()),""))</f>
        <v/>
      </c>
      <c r="D542" s="106"/>
      <c r="E542" s="106"/>
      <c r="F542" s="106"/>
      <c r="G542" s="106"/>
      <c r="H542" s="106"/>
      <c r="I542" s="103" t="str">
        <f aca="false">IF(OR($B542="", $D542="", $E542="", $F542="", $G542="", $H542=""),"",ROUND(($D542*Lists!$AD$20)+($E542*Lists!$AD$21)+($F542*Lists!$AD$22)+($G542*Lists!$AD$23)+($H542*Lists!$AD$24),2))</f>
        <v/>
      </c>
      <c r="J542" s="101"/>
      <c r="K542" s="105"/>
      <c r="L542" s="101"/>
    </row>
    <row r="543" customFormat="false" ht="15.75" hidden="false" customHeight="true" outlineLevel="0" collapsed="false">
      <c r="A543" s="113"/>
      <c r="B543" s="102"/>
      <c r="C543" s="101" t="str">
        <f aca="false">IF($B543="","",IFERROR(VLOOKUP($B543,'Application Portfolio'!$A$2:$B$1000,2,FALSE()),""))</f>
        <v/>
      </c>
      <c r="D543" s="106"/>
      <c r="E543" s="106"/>
      <c r="F543" s="106"/>
      <c r="G543" s="106"/>
      <c r="H543" s="106"/>
      <c r="I543" s="103" t="str">
        <f aca="false">IF(OR($B543="", $D543="", $E543="", $F543="", $G543="", $H543=""),"",ROUND(($D543*Lists!$AD$20)+($E543*Lists!$AD$21)+($F543*Lists!$AD$22)+($G543*Lists!$AD$23)+($H543*Lists!$AD$24),2))</f>
        <v/>
      </c>
      <c r="J543" s="101"/>
      <c r="K543" s="105"/>
      <c r="L543" s="101"/>
    </row>
    <row r="544" customFormat="false" ht="15.75" hidden="false" customHeight="true" outlineLevel="0" collapsed="false">
      <c r="A544" s="113"/>
      <c r="B544" s="102"/>
      <c r="C544" s="101" t="str">
        <f aca="false">IF($B544="","",IFERROR(VLOOKUP($B544,'Application Portfolio'!$A$2:$B$1000,2,FALSE()),""))</f>
        <v/>
      </c>
      <c r="D544" s="106"/>
      <c r="E544" s="106"/>
      <c r="F544" s="106"/>
      <c r="G544" s="106"/>
      <c r="H544" s="106"/>
      <c r="I544" s="103" t="str">
        <f aca="false">IF(OR($B544="", $D544="", $E544="", $F544="", $G544="", $H544=""),"",ROUND(($D544*Lists!$AD$20)+($E544*Lists!$AD$21)+($F544*Lists!$AD$22)+($G544*Lists!$AD$23)+($H544*Lists!$AD$24),2))</f>
        <v/>
      </c>
      <c r="J544" s="101"/>
      <c r="K544" s="105"/>
      <c r="L544" s="101"/>
    </row>
    <row r="545" customFormat="false" ht="15.75" hidden="false" customHeight="true" outlineLevel="0" collapsed="false">
      <c r="A545" s="113"/>
      <c r="B545" s="102"/>
      <c r="C545" s="101" t="str">
        <f aca="false">IF($B545="","",IFERROR(VLOOKUP($B545,'Application Portfolio'!$A$2:$B$1000,2,FALSE()),""))</f>
        <v/>
      </c>
      <c r="D545" s="106"/>
      <c r="E545" s="106"/>
      <c r="F545" s="106"/>
      <c r="G545" s="106"/>
      <c r="H545" s="106"/>
      <c r="I545" s="103" t="str">
        <f aca="false">IF(OR($B545="", $D545="", $E545="", $F545="", $G545="", $H545=""),"",ROUND(($D545*Lists!$AD$20)+($E545*Lists!$AD$21)+($F545*Lists!$AD$22)+($G545*Lists!$AD$23)+($H545*Lists!$AD$24),2))</f>
        <v/>
      </c>
      <c r="J545" s="101"/>
      <c r="K545" s="105"/>
      <c r="L545" s="101"/>
    </row>
    <row r="546" customFormat="false" ht="15.75" hidden="false" customHeight="true" outlineLevel="0" collapsed="false">
      <c r="A546" s="113"/>
      <c r="B546" s="102"/>
      <c r="C546" s="101" t="str">
        <f aca="false">IF($B546="","",IFERROR(VLOOKUP($B546,'Application Portfolio'!$A$2:$B$1000,2,FALSE()),""))</f>
        <v/>
      </c>
      <c r="D546" s="106"/>
      <c r="E546" s="106"/>
      <c r="F546" s="106"/>
      <c r="G546" s="106"/>
      <c r="H546" s="106"/>
      <c r="I546" s="103" t="str">
        <f aca="false">IF(OR($B546="", $D546="", $E546="", $F546="", $G546="", $H546=""),"",ROUND(($D546*Lists!$AD$20)+($E546*Lists!$AD$21)+($F546*Lists!$AD$22)+($G546*Lists!$AD$23)+($H546*Lists!$AD$24),2))</f>
        <v/>
      </c>
      <c r="J546" s="101"/>
      <c r="K546" s="105"/>
      <c r="L546" s="101"/>
    </row>
    <row r="547" customFormat="false" ht="15.75" hidden="false" customHeight="true" outlineLevel="0" collapsed="false">
      <c r="A547" s="113"/>
      <c r="B547" s="102"/>
      <c r="C547" s="101" t="str">
        <f aca="false">IF($B547="","",IFERROR(VLOOKUP($B547,'Application Portfolio'!$A$2:$B$1000,2,FALSE()),""))</f>
        <v/>
      </c>
      <c r="D547" s="106"/>
      <c r="E547" s="106"/>
      <c r="F547" s="106"/>
      <c r="G547" s="106"/>
      <c r="H547" s="106"/>
      <c r="I547" s="103" t="str">
        <f aca="false">IF(OR($B547="", $D547="", $E547="", $F547="", $G547="", $H547=""),"",ROUND(($D547*Lists!$AD$20)+($E547*Lists!$AD$21)+($F547*Lists!$AD$22)+($G547*Lists!$AD$23)+($H547*Lists!$AD$24),2))</f>
        <v/>
      </c>
      <c r="J547" s="101"/>
      <c r="K547" s="105"/>
      <c r="L547" s="101"/>
    </row>
    <row r="548" customFormat="false" ht="15.75" hidden="false" customHeight="true" outlineLevel="0" collapsed="false">
      <c r="A548" s="113"/>
      <c r="B548" s="102"/>
      <c r="C548" s="101" t="str">
        <f aca="false">IF($B548="","",IFERROR(VLOOKUP($B548,'Application Portfolio'!$A$2:$B$1000,2,FALSE()),""))</f>
        <v/>
      </c>
      <c r="D548" s="106"/>
      <c r="E548" s="106"/>
      <c r="F548" s="106"/>
      <c r="G548" s="106"/>
      <c r="H548" s="106"/>
      <c r="I548" s="103" t="str">
        <f aca="false">IF(OR($B548="", $D548="", $E548="", $F548="", $G548="", $H548=""),"",ROUND(($D548*Lists!$AD$20)+($E548*Lists!$AD$21)+($F548*Lists!$AD$22)+($G548*Lists!$AD$23)+($H548*Lists!$AD$24),2))</f>
        <v/>
      </c>
      <c r="J548" s="101"/>
      <c r="K548" s="105"/>
      <c r="L548" s="101"/>
    </row>
    <row r="549" customFormat="false" ht="15.75" hidden="false" customHeight="true" outlineLevel="0" collapsed="false">
      <c r="A549" s="113"/>
      <c r="B549" s="102"/>
      <c r="C549" s="101" t="str">
        <f aca="false">IF($B549="","",IFERROR(VLOOKUP($B549,'Application Portfolio'!$A$2:$B$1000,2,FALSE()),""))</f>
        <v/>
      </c>
      <c r="D549" s="106"/>
      <c r="E549" s="106"/>
      <c r="F549" s="106"/>
      <c r="G549" s="106"/>
      <c r="H549" s="106"/>
      <c r="I549" s="103" t="str">
        <f aca="false">IF(OR($B549="", $D549="", $E549="", $F549="", $G549="", $H549=""),"",ROUND(($D549*Lists!$AD$20)+($E549*Lists!$AD$21)+($F549*Lists!$AD$22)+($G549*Lists!$AD$23)+($H549*Lists!$AD$24),2))</f>
        <v/>
      </c>
      <c r="J549" s="101"/>
      <c r="K549" s="105"/>
      <c r="L549" s="101"/>
    </row>
    <row r="550" customFormat="false" ht="15.75" hidden="false" customHeight="true" outlineLevel="0" collapsed="false">
      <c r="A550" s="113"/>
      <c r="B550" s="102"/>
      <c r="C550" s="101" t="str">
        <f aca="false">IF($B550="","",IFERROR(VLOOKUP($B550,'Application Portfolio'!$A$2:$B$1000,2,FALSE()),""))</f>
        <v/>
      </c>
      <c r="D550" s="106"/>
      <c r="E550" s="106"/>
      <c r="F550" s="106"/>
      <c r="G550" s="106"/>
      <c r="H550" s="106"/>
      <c r="I550" s="103" t="str">
        <f aca="false">IF(OR($B550="", $D550="", $E550="", $F550="", $G550="", $H550=""),"",ROUND(($D550*Lists!$AD$20)+($E550*Lists!$AD$21)+($F550*Lists!$AD$22)+($G550*Lists!$AD$23)+($H550*Lists!$AD$24),2))</f>
        <v/>
      </c>
      <c r="J550" s="101"/>
      <c r="K550" s="105"/>
      <c r="L550" s="101"/>
    </row>
    <row r="551" customFormat="false" ht="15.75" hidden="false" customHeight="true" outlineLevel="0" collapsed="false">
      <c r="A551" s="113"/>
      <c r="B551" s="102"/>
      <c r="C551" s="101" t="str">
        <f aca="false">IF($B551="","",IFERROR(VLOOKUP($B551,'Application Portfolio'!$A$2:$B$1000,2,FALSE()),""))</f>
        <v/>
      </c>
      <c r="D551" s="106"/>
      <c r="E551" s="106"/>
      <c r="F551" s="106"/>
      <c r="G551" s="106"/>
      <c r="H551" s="106"/>
      <c r="I551" s="103" t="str">
        <f aca="false">IF(OR($B551="", $D551="", $E551="", $F551="", $G551="", $H551=""),"",ROUND(($D551*Lists!$AD$20)+($E551*Lists!$AD$21)+($F551*Lists!$AD$22)+($G551*Lists!$AD$23)+($H551*Lists!$AD$24),2))</f>
        <v/>
      </c>
      <c r="J551" s="101"/>
      <c r="K551" s="105"/>
      <c r="L551" s="101"/>
    </row>
    <row r="552" customFormat="false" ht="15.75" hidden="false" customHeight="true" outlineLevel="0" collapsed="false">
      <c r="A552" s="113"/>
      <c r="B552" s="102"/>
      <c r="C552" s="101" t="str">
        <f aca="false">IF($B552="","",IFERROR(VLOOKUP($B552,'Application Portfolio'!$A$2:$B$1000,2,FALSE()),""))</f>
        <v/>
      </c>
      <c r="D552" s="106"/>
      <c r="E552" s="106"/>
      <c r="F552" s="106"/>
      <c r="G552" s="106"/>
      <c r="H552" s="106"/>
      <c r="I552" s="103" t="str">
        <f aca="false">IF(OR($B552="", $D552="", $E552="", $F552="", $G552="", $H552=""),"",ROUND(($D552*Lists!$AD$20)+($E552*Lists!$AD$21)+($F552*Lists!$AD$22)+($G552*Lists!$AD$23)+($H552*Lists!$AD$24),2))</f>
        <v/>
      </c>
      <c r="J552" s="101"/>
      <c r="K552" s="105"/>
      <c r="L552" s="101"/>
    </row>
    <row r="553" customFormat="false" ht="15.75" hidden="false" customHeight="true" outlineLevel="0" collapsed="false">
      <c r="A553" s="113"/>
      <c r="B553" s="102"/>
      <c r="C553" s="101" t="str">
        <f aca="false">IF($B553="","",IFERROR(VLOOKUP($B553,'Application Portfolio'!$A$2:$B$1000,2,FALSE()),""))</f>
        <v/>
      </c>
      <c r="D553" s="106"/>
      <c r="E553" s="106"/>
      <c r="F553" s="106"/>
      <c r="G553" s="106"/>
      <c r="H553" s="106"/>
      <c r="I553" s="103" t="str">
        <f aca="false">IF(OR($B553="", $D553="", $E553="", $F553="", $G553="", $H553=""),"",ROUND(($D553*Lists!$AD$20)+($E553*Lists!$AD$21)+($F553*Lists!$AD$22)+($G553*Lists!$AD$23)+($H553*Lists!$AD$24),2))</f>
        <v/>
      </c>
      <c r="J553" s="101"/>
      <c r="K553" s="105"/>
      <c r="L553" s="101"/>
    </row>
    <row r="554" customFormat="false" ht="15.75" hidden="false" customHeight="true" outlineLevel="0" collapsed="false">
      <c r="A554" s="113"/>
      <c r="B554" s="102"/>
      <c r="C554" s="101" t="str">
        <f aca="false">IF($B554="","",IFERROR(VLOOKUP($B554,'Application Portfolio'!$A$2:$B$1000,2,FALSE()),""))</f>
        <v/>
      </c>
      <c r="D554" s="106"/>
      <c r="E554" s="106"/>
      <c r="F554" s="106"/>
      <c r="G554" s="106"/>
      <c r="H554" s="106"/>
      <c r="I554" s="103" t="str">
        <f aca="false">IF(OR($B554="", $D554="", $E554="", $F554="", $G554="", $H554=""),"",ROUND(($D554*Lists!$AD$20)+($E554*Lists!$AD$21)+($F554*Lists!$AD$22)+($G554*Lists!$AD$23)+($H554*Lists!$AD$24),2))</f>
        <v/>
      </c>
      <c r="J554" s="101"/>
      <c r="K554" s="105"/>
      <c r="L554" s="101"/>
    </row>
    <row r="555" customFormat="false" ht="15.75" hidden="false" customHeight="true" outlineLevel="0" collapsed="false">
      <c r="A555" s="113"/>
      <c r="B555" s="102"/>
      <c r="C555" s="101" t="str">
        <f aca="false">IF($B555="","",IFERROR(VLOOKUP($B555,'Application Portfolio'!$A$2:$B$1000,2,FALSE()),""))</f>
        <v/>
      </c>
      <c r="D555" s="106"/>
      <c r="E555" s="106"/>
      <c r="F555" s="106"/>
      <c r="G555" s="106"/>
      <c r="H555" s="106"/>
      <c r="I555" s="103" t="str">
        <f aca="false">IF(OR($B555="", $D555="", $E555="", $F555="", $G555="", $H555=""),"",ROUND(($D555*Lists!$AD$20)+($E555*Lists!$AD$21)+($F555*Lists!$AD$22)+($G555*Lists!$AD$23)+($H555*Lists!$AD$24),2))</f>
        <v/>
      </c>
      <c r="J555" s="101"/>
      <c r="K555" s="105"/>
      <c r="L555" s="101"/>
    </row>
    <row r="556" customFormat="false" ht="15.75" hidden="false" customHeight="true" outlineLevel="0" collapsed="false">
      <c r="A556" s="113"/>
      <c r="B556" s="102"/>
      <c r="C556" s="101" t="str">
        <f aca="false">IF($B556="","",IFERROR(VLOOKUP($B556,'Application Portfolio'!$A$2:$B$1000,2,FALSE()),""))</f>
        <v/>
      </c>
      <c r="D556" s="106"/>
      <c r="E556" s="106"/>
      <c r="F556" s="106"/>
      <c r="G556" s="106"/>
      <c r="H556" s="106"/>
      <c r="I556" s="103" t="str">
        <f aca="false">IF(OR($B556="", $D556="", $E556="", $F556="", $G556="", $H556=""),"",ROUND(($D556*Lists!$AD$20)+($E556*Lists!$AD$21)+($F556*Lists!$AD$22)+($G556*Lists!$AD$23)+($H556*Lists!$AD$24),2))</f>
        <v/>
      </c>
      <c r="J556" s="101"/>
      <c r="K556" s="105"/>
      <c r="L556" s="101"/>
    </row>
    <row r="557" customFormat="false" ht="15.75" hidden="false" customHeight="true" outlineLevel="0" collapsed="false">
      <c r="A557" s="113"/>
      <c r="B557" s="102"/>
      <c r="C557" s="101" t="str">
        <f aca="false">IF($B557="","",IFERROR(VLOOKUP($B557,'Application Portfolio'!$A$2:$B$1000,2,FALSE()),""))</f>
        <v/>
      </c>
      <c r="D557" s="106"/>
      <c r="E557" s="106"/>
      <c r="F557" s="106"/>
      <c r="G557" s="106"/>
      <c r="H557" s="106"/>
      <c r="I557" s="103" t="str">
        <f aca="false">IF(OR($B557="", $D557="", $E557="", $F557="", $G557="", $H557=""),"",ROUND(($D557*Lists!$AD$20)+($E557*Lists!$AD$21)+($F557*Lists!$AD$22)+($G557*Lists!$AD$23)+($H557*Lists!$AD$24),2))</f>
        <v/>
      </c>
      <c r="J557" s="101"/>
      <c r="K557" s="105"/>
      <c r="L557" s="101"/>
    </row>
    <row r="558" customFormat="false" ht="15.75" hidden="false" customHeight="true" outlineLevel="0" collapsed="false">
      <c r="A558" s="113"/>
      <c r="B558" s="102"/>
      <c r="C558" s="101" t="str">
        <f aca="false">IF($B558="","",IFERROR(VLOOKUP($B558,'Application Portfolio'!$A$2:$B$1000,2,FALSE()),""))</f>
        <v/>
      </c>
      <c r="D558" s="106"/>
      <c r="E558" s="106"/>
      <c r="F558" s="106"/>
      <c r="G558" s="106"/>
      <c r="H558" s="106"/>
      <c r="I558" s="103" t="str">
        <f aca="false">IF(OR($B558="", $D558="", $E558="", $F558="", $G558="", $H558=""),"",ROUND(($D558*Lists!$AD$20)+($E558*Lists!$AD$21)+($F558*Lists!$AD$22)+($G558*Lists!$AD$23)+($H558*Lists!$AD$24),2))</f>
        <v/>
      </c>
      <c r="J558" s="101"/>
      <c r="K558" s="105"/>
      <c r="L558" s="101"/>
    </row>
    <row r="559" customFormat="false" ht="15.75" hidden="false" customHeight="true" outlineLevel="0" collapsed="false">
      <c r="A559" s="113"/>
      <c r="B559" s="102"/>
      <c r="C559" s="101" t="str">
        <f aca="false">IF($B559="","",IFERROR(VLOOKUP($B559,'Application Portfolio'!$A$2:$B$1000,2,FALSE()),""))</f>
        <v/>
      </c>
      <c r="D559" s="106"/>
      <c r="E559" s="106"/>
      <c r="F559" s="106"/>
      <c r="G559" s="106"/>
      <c r="H559" s="106"/>
      <c r="I559" s="103" t="str">
        <f aca="false">IF(OR($B559="", $D559="", $E559="", $F559="", $G559="", $H559=""),"",ROUND(($D559*Lists!$AD$20)+($E559*Lists!$AD$21)+($F559*Lists!$AD$22)+($G559*Lists!$AD$23)+($H559*Lists!$AD$24),2))</f>
        <v/>
      </c>
      <c r="J559" s="101"/>
      <c r="K559" s="105"/>
      <c r="L559" s="101"/>
    </row>
    <row r="560" customFormat="false" ht="15.75" hidden="false" customHeight="true" outlineLevel="0" collapsed="false">
      <c r="A560" s="113"/>
      <c r="B560" s="102"/>
      <c r="C560" s="101" t="str">
        <f aca="false">IF($B560="","",IFERROR(VLOOKUP($B560,'Application Portfolio'!$A$2:$B$1000,2,FALSE()),""))</f>
        <v/>
      </c>
      <c r="D560" s="106"/>
      <c r="E560" s="106"/>
      <c r="F560" s="106"/>
      <c r="G560" s="106"/>
      <c r="H560" s="106"/>
      <c r="I560" s="103" t="str">
        <f aca="false">IF(OR($B560="", $D560="", $E560="", $F560="", $G560="", $H560=""),"",ROUND(($D560*Lists!$AD$20)+($E560*Lists!$AD$21)+($F560*Lists!$AD$22)+($G560*Lists!$AD$23)+($H560*Lists!$AD$24),2))</f>
        <v/>
      </c>
      <c r="J560" s="101"/>
      <c r="K560" s="105"/>
      <c r="L560" s="101"/>
    </row>
    <row r="561" customFormat="false" ht="15.75" hidden="false" customHeight="true" outlineLevel="0" collapsed="false">
      <c r="A561" s="113"/>
      <c r="B561" s="102"/>
      <c r="C561" s="101" t="str">
        <f aca="false">IF($B561="","",IFERROR(VLOOKUP($B561,'Application Portfolio'!$A$2:$B$1000,2,FALSE()),""))</f>
        <v/>
      </c>
      <c r="D561" s="106"/>
      <c r="E561" s="106"/>
      <c r="F561" s="106"/>
      <c r="G561" s="106"/>
      <c r="H561" s="106"/>
      <c r="I561" s="103" t="str">
        <f aca="false">IF(OR($B561="", $D561="", $E561="", $F561="", $G561="", $H561=""),"",ROUND(($D561*Lists!$AD$20)+($E561*Lists!$AD$21)+($F561*Lists!$AD$22)+($G561*Lists!$AD$23)+($H561*Lists!$AD$24),2))</f>
        <v/>
      </c>
      <c r="J561" s="101"/>
      <c r="K561" s="105"/>
      <c r="L561" s="101"/>
    </row>
    <row r="562" customFormat="false" ht="15.75" hidden="false" customHeight="true" outlineLevel="0" collapsed="false">
      <c r="A562" s="113"/>
      <c r="B562" s="102"/>
      <c r="C562" s="101" t="str">
        <f aca="false">IF($B562="","",IFERROR(VLOOKUP($B562,'Application Portfolio'!$A$2:$B$1000,2,FALSE()),""))</f>
        <v/>
      </c>
      <c r="D562" s="106"/>
      <c r="E562" s="106"/>
      <c r="F562" s="106"/>
      <c r="G562" s="106"/>
      <c r="H562" s="106"/>
      <c r="I562" s="103" t="str">
        <f aca="false">IF(OR($B562="", $D562="", $E562="", $F562="", $G562="", $H562=""),"",ROUND(($D562*Lists!$AD$20)+($E562*Lists!$AD$21)+($F562*Lists!$AD$22)+($G562*Lists!$AD$23)+($H562*Lists!$AD$24),2))</f>
        <v/>
      </c>
      <c r="J562" s="101"/>
      <c r="K562" s="105"/>
      <c r="L562" s="101"/>
    </row>
    <row r="563" customFormat="false" ht="15.75" hidden="false" customHeight="true" outlineLevel="0" collapsed="false">
      <c r="A563" s="113"/>
      <c r="B563" s="102"/>
      <c r="C563" s="101" t="str">
        <f aca="false">IF($B563="","",IFERROR(VLOOKUP($B563,'Application Portfolio'!$A$2:$B$1000,2,FALSE()),""))</f>
        <v/>
      </c>
      <c r="D563" s="106"/>
      <c r="E563" s="106"/>
      <c r="F563" s="106"/>
      <c r="G563" s="106"/>
      <c r="H563" s="106"/>
      <c r="I563" s="103" t="str">
        <f aca="false">IF(OR($B563="", $D563="", $E563="", $F563="", $G563="", $H563=""),"",ROUND(($D563*Lists!$AD$20)+($E563*Lists!$AD$21)+($F563*Lists!$AD$22)+($G563*Lists!$AD$23)+($H563*Lists!$AD$24),2))</f>
        <v/>
      </c>
      <c r="J563" s="101"/>
      <c r="K563" s="105"/>
      <c r="L563" s="101"/>
    </row>
    <row r="564" customFormat="false" ht="15.75" hidden="false" customHeight="true" outlineLevel="0" collapsed="false">
      <c r="A564" s="113"/>
      <c r="B564" s="102"/>
      <c r="C564" s="101" t="str">
        <f aca="false">IF($B564="","",IFERROR(VLOOKUP($B564,'Application Portfolio'!$A$2:$B$1000,2,FALSE()),""))</f>
        <v/>
      </c>
      <c r="D564" s="106"/>
      <c r="E564" s="106"/>
      <c r="F564" s="106"/>
      <c r="G564" s="106"/>
      <c r="H564" s="106"/>
      <c r="I564" s="103" t="str">
        <f aca="false">IF(OR($B564="", $D564="", $E564="", $F564="", $G564="", $H564=""),"",ROUND(($D564*Lists!$AD$20)+($E564*Lists!$AD$21)+($F564*Lists!$AD$22)+($G564*Lists!$AD$23)+($H564*Lists!$AD$24),2))</f>
        <v/>
      </c>
      <c r="J564" s="101"/>
      <c r="K564" s="105"/>
      <c r="L564" s="101"/>
    </row>
    <row r="565" customFormat="false" ht="15.75" hidden="false" customHeight="true" outlineLevel="0" collapsed="false">
      <c r="A565" s="113"/>
      <c r="B565" s="102"/>
      <c r="C565" s="101" t="str">
        <f aca="false">IF($B565="","",IFERROR(VLOOKUP($B565,'Application Portfolio'!$A$2:$B$1000,2,FALSE()),""))</f>
        <v/>
      </c>
      <c r="D565" s="106"/>
      <c r="E565" s="106"/>
      <c r="F565" s="106"/>
      <c r="G565" s="106"/>
      <c r="H565" s="106"/>
      <c r="I565" s="103" t="str">
        <f aca="false">IF(OR($B565="", $D565="", $E565="", $F565="", $G565="", $H565=""),"",ROUND(($D565*Lists!$AD$20)+($E565*Lists!$AD$21)+($F565*Lists!$AD$22)+($G565*Lists!$AD$23)+($H565*Lists!$AD$24),2))</f>
        <v/>
      </c>
      <c r="J565" s="101"/>
      <c r="K565" s="105"/>
      <c r="L565" s="101"/>
    </row>
    <row r="566" customFormat="false" ht="15.75" hidden="false" customHeight="true" outlineLevel="0" collapsed="false">
      <c r="A566" s="113"/>
      <c r="B566" s="102"/>
      <c r="C566" s="101" t="str">
        <f aca="false">IF($B566="","",IFERROR(VLOOKUP($B566,'Application Portfolio'!$A$2:$B$1000,2,FALSE()),""))</f>
        <v/>
      </c>
      <c r="D566" s="106"/>
      <c r="E566" s="106"/>
      <c r="F566" s="106"/>
      <c r="G566" s="106"/>
      <c r="H566" s="106"/>
      <c r="I566" s="103" t="str">
        <f aca="false">IF(OR($B566="", $D566="", $E566="", $F566="", $G566="", $H566=""),"",ROUND(($D566*Lists!$AD$20)+($E566*Lists!$AD$21)+($F566*Lists!$AD$22)+($G566*Lists!$AD$23)+($H566*Lists!$AD$24),2))</f>
        <v/>
      </c>
      <c r="J566" s="101"/>
      <c r="K566" s="105"/>
      <c r="L566" s="101"/>
    </row>
    <row r="567" customFormat="false" ht="15.75" hidden="false" customHeight="true" outlineLevel="0" collapsed="false">
      <c r="A567" s="113"/>
      <c r="B567" s="102"/>
      <c r="C567" s="101" t="str">
        <f aca="false">IF($B567="","",IFERROR(VLOOKUP($B567,'Application Portfolio'!$A$2:$B$1000,2,FALSE()),""))</f>
        <v/>
      </c>
      <c r="D567" s="106"/>
      <c r="E567" s="106"/>
      <c r="F567" s="106"/>
      <c r="G567" s="106"/>
      <c r="H567" s="106"/>
      <c r="I567" s="103" t="str">
        <f aca="false">IF(OR($B567="", $D567="", $E567="", $F567="", $G567="", $H567=""),"",ROUND(($D567*Lists!$AD$20)+($E567*Lists!$AD$21)+($F567*Lists!$AD$22)+($G567*Lists!$AD$23)+($H567*Lists!$AD$24),2))</f>
        <v/>
      </c>
      <c r="J567" s="101"/>
      <c r="K567" s="105"/>
      <c r="L567" s="101"/>
    </row>
    <row r="568" customFormat="false" ht="15.75" hidden="false" customHeight="true" outlineLevel="0" collapsed="false">
      <c r="A568" s="113"/>
      <c r="B568" s="102"/>
      <c r="C568" s="101" t="str">
        <f aca="false">IF($B568="","",IFERROR(VLOOKUP($B568,'Application Portfolio'!$A$2:$B$1000,2,FALSE()),""))</f>
        <v/>
      </c>
      <c r="D568" s="106"/>
      <c r="E568" s="106"/>
      <c r="F568" s="106"/>
      <c r="G568" s="106"/>
      <c r="H568" s="106"/>
      <c r="I568" s="103" t="str">
        <f aca="false">IF(OR($B568="", $D568="", $E568="", $F568="", $G568="", $H568=""),"",ROUND(($D568*Lists!$AD$20)+($E568*Lists!$AD$21)+($F568*Lists!$AD$22)+($G568*Lists!$AD$23)+($H568*Lists!$AD$24),2))</f>
        <v/>
      </c>
      <c r="J568" s="101"/>
      <c r="K568" s="105"/>
      <c r="L568" s="101"/>
    </row>
    <row r="569" customFormat="false" ht="15.75" hidden="false" customHeight="true" outlineLevel="0" collapsed="false">
      <c r="A569" s="113"/>
      <c r="B569" s="102"/>
      <c r="C569" s="101" t="str">
        <f aca="false">IF($B569="","",IFERROR(VLOOKUP($B569,'Application Portfolio'!$A$2:$B$1000,2,FALSE()),""))</f>
        <v/>
      </c>
      <c r="D569" s="106"/>
      <c r="E569" s="106"/>
      <c r="F569" s="106"/>
      <c r="G569" s="106"/>
      <c r="H569" s="106"/>
      <c r="I569" s="103" t="str">
        <f aca="false">IF(OR($B569="", $D569="", $E569="", $F569="", $G569="", $H569=""),"",ROUND(($D569*Lists!$AD$20)+($E569*Lists!$AD$21)+($F569*Lists!$AD$22)+($G569*Lists!$AD$23)+($H569*Lists!$AD$24),2))</f>
        <v/>
      </c>
      <c r="J569" s="101"/>
      <c r="K569" s="105"/>
      <c r="L569" s="101"/>
    </row>
    <row r="570" customFormat="false" ht="15.75" hidden="false" customHeight="true" outlineLevel="0" collapsed="false">
      <c r="A570" s="113"/>
      <c r="B570" s="102"/>
      <c r="C570" s="101" t="str">
        <f aca="false">IF($B570="","",IFERROR(VLOOKUP($B570,'Application Portfolio'!$A$2:$B$1000,2,FALSE()),""))</f>
        <v/>
      </c>
      <c r="D570" s="106"/>
      <c r="E570" s="106"/>
      <c r="F570" s="106"/>
      <c r="G570" s="106"/>
      <c r="H570" s="106"/>
      <c r="I570" s="103" t="str">
        <f aca="false">IF(OR($B570="", $D570="", $E570="", $F570="", $G570="", $H570=""),"",ROUND(($D570*Lists!$AD$20)+($E570*Lists!$AD$21)+($F570*Lists!$AD$22)+($G570*Lists!$AD$23)+($H570*Lists!$AD$24),2))</f>
        <v/>
      </c>
      <c r="J570" s="101"/>
      <c r="K570" s="105"/>
      <c r="L570" s="101"/>
    </row>
    <row r="571" customFormat="false" ht="15.75" hidden="false" customHeight="true" outlineLevel="0" collapsed="false">
      <c r="A571" s="113"/>
      <c r="B571" s="102"/>
      <c r="C571" s="101" t="str">
        <f aca="false">IF($B571="","",IFERROR(VLOOKUP($B571,'Application Portfolio'!$A$2:$B$1000,2,FALSE()),""))</f>
        <v/>
      </c>
      <c r="D571" s="106"/>
      <c r="E571" s="106"/>
      <c r="F571" s="106"/>
      <c r="G571" s="106"/>
      <c r="H571" s="106"/>
      <c r="I571" s="103" t="str">
        <f aca="false">IF(OR($B571="", $D571="", $E571="", $F571="", $G571="", $H571=""),"",ROUND(($D571*Lists!$AD$20)+($E571*Lists!$AD$21)+($F571*Lists!$AD$22)+($G571*Lists!$AD$23)+($H571*Lists!$AD$24),2))</f>
        <v/>
      </c>
      <c r="J571" s="101"/>
      <c r="K571" s="105"/>
      <c r="L571" s="101"/>
    </row>
    <row r="572" customFormat="false" ht="15.75" hidden="false" customHeight="true" outlineLevel="0" collapsed="false">
      <c r="A572" s="113"/>
      <c r="B572" s="102"/>
      <c r="C572" s="101" t="str">
        <f aca="false">IF($B572="","",IFERROR(VLOOKUP($B572,'Application Portfolio'!$A$2:$B$1000,2,FALSE()),""))</f>
        <v/>
      </c>
      <c r="D572" s="106"/>
      <c r="E572" s="106"/>
      <c r="F572" s="106"/>
      <c r="G572" s="106"/>
      <c r="H572" s="106"/>
      <c r="I572" s="103" t="str">
        <f aca="false">IF(OR($B572="", $D572="", $E572="", $F572="", $G572="", $H572=""),"",ROUND(($D572*Lists!$AD$20)+($E572*Lists!$AD$21)+($F572*Lists!$AD$22)+($G572*Lists!$AD$23)+($H572*Lists!$AD$24),2))</f>
        <v/>
      </c>
      <c r="J572" s="101"/>
      <c r="K572" s="105"/>
      <c r="L572" s="101"/>
    </row>
    <row r="573" customFormat="false" ht="15.75" hidden="false" customHeight="true" outlineLevel="0" collapsed="false">
      <c r="A573" s="113"/>
      <c r="B573" s="102"/>
      <c r="C573" s="101" t="str">
        <f aca="false">IF($B573="","",IFERROR(VLOOKUP($B573,'Application Portfolio'!$A$2:$B$1000,2,FALSE()),""))</f>
        <v/>
      </c>
      <c r="D573" s="106"/>
      <c r="E573" s="106"/>
      <c r="F573" s="106"/>
      <c r="G573" s="106"/>
      <c r="H573" s="106"/>
      <c r="I573" s="103" t="str">
        <f aca="false">IF(OR($B573="", $D573="", $E573="", $F573="", $G573="", $H573=""),"",ROUND(($D573*Lists!$AD$20)+($E573*Lists!$AD$21)+($F573*Lists!$AD$22)+($G573*Lists!$AD$23)+($H573*Lists!$AD$24),2))</f>
        <v/>
      </c>
      <c r="J573" s="101"/>
      <c r="K573" s="105"/>
      <c r="L573" s="101"/>
    </row>
    <row r="574" customFormat="false" ht="15.75" hidden="false" customHeight="true" outlineLevel="0" collapsed="false">
      <c r="A574" s="113"/>
      <c r="B574" s="102"/>
      <c r="C574" s="101" t="str">
        <f aca="false">IF($B574="","",IFERROR(VLOOKUP($B574,'Application Portfolio'!$A$2:$B$1000,2,FALSE()),""))</f>
        <v/>
      </c>
      <c r="D574" s="106"/>
      <c r="E574" s="106"/>
      <c r="F574" s="106"/>
      <c r="G574" s="106"/>
      <c r="H574" s="106"/>
      <c r="I574" s="103" t="str">
        <f aca="false">IF(OR($B574="", $D574="", $E574="", $F574="", $G574="", $H574=""),"",ROUND(($D574*Lists!$AD$20)+($E574*Lists!$AD$21)+($F574*Lists!$AD$22)+($G574*Lists!$AD$23)+($H574*Lists!$AD$24),2))</f>
        <v/>
      </c>
      <c r="J574" s="101"/>
      <c r="K574" s="105"/>
      <c r="L574" s="101"/>
    </row>
    <row r="575" customFormat="false" ht="15.75" hidden="false" customHeight="true" outlineLevel="0" collapsed="false">
      <c r="A575" s="113"/>
      <c r="B575" s="102"/>
      <c r="C575" s="101" t="str">
        <f aca="false">IF($B575="","",IFERROR(VLOOKUP($B575,'Application Portfolio'!$A$2:$B$1000,2,FALSE()),""))</f>
        <v/>
      </c>
      <c r="D575" s="106"/>
      <c r="E575" s="106"/>
      <c r="F575" s="106"/>
      <c r="G575" s="106"/>
      <c r="H575" s="106"/>
      <c r="I575" s="103" t="str">
        <f aca="false">IF(OR($B575="", $D575="", $E575="", $F575="", $G575="", $H575=""),"",ROUND(($D575*Lists!$AD$20)+($E575*Lists!$AD$21)+($F575*Lists!$AD$22)+($G575*Lists!$AD$23)+($H575*Lists!$AD$24),2))</f>
        <v/>
      </c>
      <c r="J575" s="101"/>
      <c r="K575" s="105"/>
      <c r="L575" s="101"/>
    </row>
    <row r="576" customFormat="false" ht="15.75" hidden="false" customHeight="true" outlineLevel="0" collapsed="false">
      <c r="A576" s="113"/>
      <c r="B576" s="102"/>
      <c r="C576" s="101" t="str">
        <f aca="false">IF($B576="","",IFERROR(VLOOKUP($B576,'Application Portfolio'!$A$2:$B$1000,2,FALSE()),""))</f>
        <v/>
      </c>
      <c r="D576" s="106"/>
      <c r="E576" s="106"/>
      <c r="F576" s="106"/>
      <c r="G576" s="106"/>
      <c r="H576" s="106"/>
      <c r="I576" s="103" t="str">
        <f aca="false">IF(OR($B576="", $D576="", $E576="", $F576="", $G576="", $H576=""),"",ROUND(($D576*Lists!$AD$20)+($E576*Lists!$AD$21)+($F576*Lists!$AD$22)+($G576*Lists!$AD$23)+($H576*Lists!$AD$24),2))</f>
        <v/>
      </c>
      <c r="J576" s="101"/>
      <c r="K576" s="105"/>
      <c r="L576" s="101"/>
    </row>
    <row r="577" customFormat="false" ht="15.75" hidden="false" customHeight="true" outlineLevel="0" collapsed="false">
      <c r="A577" s="113"/>
      <c r="B577" s="102"/>
      <c r="C577" s="101" t="str">
        <f aca="false">IF($B577="","",IFERROR(VLOOKUP($B577,'Application Portfolio'!$A$2:$B$1000,2,FALSE()),""))</f>
        <v/>
      </c>
      <c r="D577" s="106"/>
      <c r="E577" s="106"/>
      <c r="F577" s="106"/>
      <c r="G577" s="106"/>
      <c r="H577" s="106"/>
      <c r="I577" s="103" t="str">
        <f aca="false">IF(OR($B577="", $D577="", $E577="", $F577="", $G577="", $H577=""),"",ROUND(($D577*Lists!$AD$20)+($E577*Lists!$AD$21)+($F577*Lists!$AD$22)+($G577*Lists!$AD$23)+($H577*Lists!$AD$24),2))</f>
        <v/>
      </c>
      <c r="J577" s="101"/>
      <c r="K577" s="105"/>
      <c r="L577" s="101"/>
    </row>
    <row r="578" customFormat="false" ht="15.75" hidden="false" customHeight="true" outlineLevel="0" collapsed="false">
      <c r="A578" s="113"/>
      <c r="B578" s="102"/>
      <c r="C578" s="101" t="str">
        <f aca="false">IF($B578="","",IFERROR(VLOOKUP($B578,'Application Portfolio'!$A$2:$B$1000,2,FALSE()),""))</f>
        <v/>
      </c>
      <c r="D578" s="106"/>
      <c r="E578" s="106"/>
      <c r="F578" s="106"/>
      <c r="G578" s="106"/>
      <c r="H578" s="106"/>
      <c r="I578" s="103" t="str">
        <f aca="false">IF(OR($B578="", $D578="", $E578="", $F578="", $G578="", $H578=""),"",ROUND(($D578*Lists!$AD$20)+($E578*Lists!$AD$21)+($F578*Lists!$AD$22)+($G578*Lists!$AD$23)+($H578*Lists!$AD$24),2))</f>
        <v/>
      </c>
      <c r="J578" s="101"/>
      <c r="K578" s="105"/>
      <c r="L578" s="101"/>
    </row>
    <row r="579" customFormat="false" ht="15.75" hidden="false" customHeight="true" outlineLevel="0" collapsed="false">
      <c r="A579" s="113"/>
      <c r="B579" s="102"/>
      <c r="C579" s="101" t="str">
        <f aca="false">IF($B579="","",IFERROR(VLOOKUP($B579,'Application Portfolio'!$A$2:$B$1000,2,FALSE()),""))</f>
        <v/>
      </c>
      <c r="D579" s="106"/>
      <c r="E579" s="106"/>
      <c r="F579" s="106"/>
      <c r="G579" s="106"/>
      <c r="H579" s="106"/>
      <c r="I579" s="103" t="str">
        <f aca="false">IF(OR($B579="", $D579="", $E579="", $F579="", $G579="", $H579=""),"",ROUND(($D579*Lists!$AD$20)+($E579*Lists!$AD$21)+($F579*Lists!$AD$22)+($G579*Lists!$AD$23)+($H579*Lists!$AD$24),2))</f>
        <v/>
      </c>
      <c r="J579" s="101"/>
      <c r="K579" s="105"/>
      <c r="L579" s="101"/>
    </row>
    <row r="580" customFormat="false" ht="15.75" hidden="false" customHeight="true" outlineLevel="0" collapsed="false">
      <c r="A580" s="113"/>
      <c r="B580" s="102"/>
      <c r="C580" s="101" t="str">
        <f aca="false">IF($B580="","",IFERROR(VLOOKUP($B580,'Application Portfolio'!$A$2:$B$1000,2,FALSE()),""))</f>
        <v/>
      </c>
      <c r="D580" s="106"/>
      <c r="E580" s="106"/>
      <c r="F580" s="106"/>
      <c r="G580" s="106"/>
      <c r="H580" s="106"/>
      <c r="I580" s="103" t="str">
        <f aca="false">IF(OR($B580="", $D580="", $E580="", $F580="", $G580="", $H580=""),"",ROUND(($D580*Lists!$AD$20)+($E580*Lists!$AD$21)+($F580*Lists!$AD$22)+($G580*Lists!$AD$23)+($H580*Lists!$AD$24),2))</f>
        <v/>
      </c>
      <c r="J580" s="101"/>
      <c r="K580" s="105"/>
      <c r="L580" s="101"/>
    </row>
    <row r="581" customFormat="false" ht="15.75" hidden="false" customHeight="true" outlineLevel="0" collapsed="false">
      <c r="A581" s="113"/>
      <c r="B581" s="102"/>
      <c r="C581" s="101" t="str">
        <f aca="false">IF($B581="","",IFERROR(VLOOKUP($B581,'Application Portfolio'!$A$2:$B$1000,2,FALSE()),""))</f>
        <v/>
      </c>
      <c r="D581" s="106"/>
      <c r="E581" s="106"/>
      <c r="F581" s="106"/>
      <c r="G581" s="106"/>
      <c r="H581" s="106"/>
      <c r="I581" s="103" t="str">
        <f aca="false">IF(OR($B581="", $D581="", $E581="", $F581="", $G581="", $H581=""),"",ROUND(($D581*Lists!$AD$20)+($E581*Lists!$AD$21)+($F581*Lists!$AD$22)+($G581*Lists!$AD$23)+($H581*Lists!$AD$24),2))</f>
        <v/>
      </c>
      <c r="J581" s="101"/>
      <c r="K581" s="105"/>
      <c r="L581" s="101"/>
    </row>
    <row r="582" customFormat="false" ht="15.75" hidden="false" customHeight="true" outlineLevel="0" collapsed="false">
      <c r="A582" s="113"/>
      <c r="B582" s="102"/>
      <c r="C582" s="101" t="str">
        <f aca="false">IF($B582="","",IFERROR(VLOOKUP($B582,'Application Portfolio'!$A$2:$B$1000,2,FALSE()),""))</f>
        <v/>
      </c>
      <c r="D582" s="106"/>
      <c r="E582" s="106"/>
      <c r="F582" s="106"/>
      <c r="G582" s="106"/>
      <c r="H582" s="106"/>
      <c r="I582" s="103" t="str">
        <f aca="false">IF(OR($B582="", $D582="", $E582="", $F582="", $G582="", $H582=""),"",ROUND(($D582*Lists!$AD$20)+($E582*Lists!$AD$21)+($F582*Lists!$AD$22)+($G582*Lists!$AD$23)+($H582*Lists!$AD$24),2))</f>
        <v/>
      </c>
      <c r="J582" s="101"/>
      <c r="K582" s="105"/>
      <c r="L582" s="101"/>
    </row>
    <row r="583" customFormat="false" ht="15.75" hidden="false" customHeight="true" outlineLevel="0" collapsed="false">
      <c r="A583" s="113"/>
      <c r="B583" s="102"/>
      <c r="C583" s="101" t="str">
        <f aca="false">IF($B583="","",IFERROR(VLOOKUP($B583,'Application Portfolio'!$A$2:$B$1000,2,FALSE()),""))</f>
        <v/>
      </c>
      <c r="D583" s="106"/>
      <c r="E583" s="106"/>
      <c r="F583" s="106"/>
      <c r="G583" s="106"/>
      <c r="H583" s="106"/>
      <c r="I583" s="103" t="str">
        <f aca="false">IF(OR($B583="", $D583="", $E583="", $F583="", $G583="", $H583=""),"",ROUND(($D583*Lists!$AD$20)+($E583*Lists!$AD$21)+($F583*Lists!$AD$22)+($G583*Lists!$AD$23)+($H583*Lists!$AD$24),2))</f>
        <v/>
      </c>
      <c r="J583" s="101"/>
      <c r="K583" s="105"/>
      <c r="L583" s="101"/>
    </row>
    <row r="584" customFormat="false" ht="15.75" hidden="false" customHeight="true" outlineLevel="0" collapsed="false">
      <c r="A584" s="113"/>
      <c r="B584" s="102"/>
      <c r="C584" s="101" t="str">
        <f aca="false">IF($B584="","",IFERROR(VLOOKUP($B584,'Application Portfolio'!$A$2:$B$1000,2,FALSE()),""))</f>
        <v/>
      </c>
      <c r="D584" s="106"/>
      <c r="E584" s="106"/>
      <c r="F584" s="106"/>
      <c r="G584" s="106"/>
      <c r="H584" s="106"/>
      <c r="I584" s="103" t="str">
        <f aca="false">IF(OR($B584="", $D584="", $E584="", $F584="", $G584="", $H584=""),"",ROUND(($D584*Lists!$AD$20)+($E584*Lists!$AD$21)+($F584*Lists!$AD$22)+($G584*Lists!$AD$23)+($H584*Lists!$AD$24),2))</f>
        <v/>
      </c>
      <c r="J584" s="101"/>
      <c r="K584" s="105"/>
      <c r="L584" s="101"/>
    </row>
    <row r="585" customFormat="false" ht="15.75" hidden="false" customHeight="true" outlineLevel="0" collapsed="false">
      <c r="A585" s="113"/>
      <c r="B585" s="102"/>
      <c r="C585" s="101" t="str">
        <f aca="false">IF($B585="","",IFERROR(VLOOKUP($B585,'Application Portfolio'!$A$2:$B$1000,2,FALSE()),""))</f>
        <v/>
      </c>
      <c r="D585" s="106"/>
      <c r="E585" s="106"/>
      <c r="F585" s="106"/>
      <c r="G585" s="106"/>
      <c r="H585" s="106"/>
      <c r="I585" s="103" t="str">
        <f aca="false">IF(OR($B585="", $D585="", $E585="", $F585="", $G585="", $H585=""),"",ROUND(($D585*Lists!$AD$20)+($E585*Lists!$AD$21)+($F585*Lists!$AD$22)+($G585*Lists!$AD$23)+($H585*Lists!$AD$24),2))</f>
        <v/>
      </c>
      <c r="J585" s="101"/>
      <c r="K585" s="105"/>
      <c r="L585" s="101"/>
    </row>
    <row r="586" customFormat="false" ht="15.75" hidden="false" customHeight="true" outlineLevel="0" collapsed="false">
      <c r="A586" s="113"/>
      <c r="B586" s="102"/>
      <c r="C586" s="101" t="str">
        <f aca="false">IF($B586="","",IFERROR(VLOOKUP($B586,'Application Portfolio'!$A$2:$B$1000,2,FALSE()),""))</f>
        <v/>
      </c>
      <c r="D586" s="106"/>
      <c r="E586" s="106"/>
      <c r="F586" s="106"/>
      <c r="G586" s="106"/>
      <c r="H586" s="106"/>
      <c r="I586" s="103" t="str">
        <f aca="false">IF(OR($B586="", $D586="", $E586="", $F586="", $G586="", $H586=""),"",ROUND(($D586*Lists!$AD$20)+($E586*Lists!$AD$21)+($F586*Lists!$AD$22)+($G586*Lists!$AD$23)+($H586*Lists!$AD$24),2))</f>
        <v/>
      </c>
      <c r="J586" s="101"/>
      <c r="K586" s="105"/>
      <c r="L586" s="101"/>
    </row>
    <row r="587" customFormat="false" ht="15.75" hidden="false" customHeight="true" outlineLevel="0" collapsed="false">
      <c r="A587" s="113"/>
      <c r="B587" s="102"/>
      <c r="C587" s="101" t="str">
        <f aca="false">IF($B587="","",IFERROR(VLOOKUP($B587,'Application Portfolio'!$A$2:$B$1000,2,FALSE()),""))</f>
        <v/>
      </c>
      <c r="D587" s="106"/>
      <c r="E587" s="106"/>
      <c r="F587" s="106"/>
      <c r="G587" s="106"/>
      <c r="H587" s="106"/>
      <c r="I587" s="103" t="str">
        <f aca="false">IF(OR($B587="", $D587="", $E587="", $F587="", $G587="", $H587=""),"",ROUND(($D587*Lists!$AD$20)+($E587*Lists!$AD$21)+($F587*Lists!$AD$22)+($G587*Lists!$AD$23)+($H587*Lists!$AD$24),2))</f>
        <v/>
      </c>
      <c r="J587" s="101"/>
      <c r="K587" s="105"/>
      <c r="L587" s="101"/>
    </row>
    <row r="588" customFormat="false" ht="15.75" hidden="false" customHeight="true" outlineLevel="0" collapsed="false">
      <c r="A588" s="113"/>
      <c r="B588" s="102"/>
      <c r="C588" s="101" t="str">
        <f aca="false">IF($B588="","",IFERROR(VLOOKUP($B588,'Application Portfolio'!$A$2:$B$1000,2,FALSE()),""))</f>
        <v/>
      </c>
      <c r="D588" s="106"/>
      <c r="E588" s="106"/>
      <c r="F588" s="106"/>
      <c r="G588" s="106"/>
      <c r="H588" s="106"/>
      <c r="I588" s="103" t="str">
        <f aca="false">IF(OR($B588="", $D588="", $E588="", $F588="", $G588="", $H588=""),"",ROUND(($D588*Lists!$AD$20)+($E588*Lists!$AD$21)+($F588*Lists!$AD$22)+($G588*Lists!$AD$23)+($H588*Lists!$AD$24),2))</f>
        <v/>
      </c>
      <c r="J588" s="101"/>
      <c r="K588" s="105"/>
      <c r="L588" s="101"/>
    </row>
    <row r="589" customFormat="false" ht="15.75" hidden="false" customHeight="true" outlineLevel="0" collapsed="false">
      <c r="A589" s="113"/>
      <c r="B589" s="102"/>
      <c r="C589" s="101" t="str">
        <f aca="false">IF($B589="","",IFERROR(VLOOKUP($B589,'Application Portfolio'!$A$2:$B$1000,2,FALSE()),""))</f>
        <v/>
      </c>
      <c r="D589" s="106"/>
      <c r="E589" s="106"/>
      <c r="F589" s="106"/>
      <c r="G589" s="106"/>
      <c r="H589" s="106"/>
      <c r="I589" s="103" t="str">
        <f aca="false">IF(OR($B589="", $D589="", $E589="", $F589="", $G589="", $H589=""),"",ROUND(($D589*Lists!$AD$20)+($E589*Lists!$AD$21)+($F589*Lists!$AD$22)+($G589*Lists!$AD$23)+($H589*Lists!$AD$24),2))</f>
        <v/>
      </c>
      <c r="J589" s="101"/>
      <c r="K589" s="105"/>
      <c r="L589" s="101"/>
    </row>
    <row r="590" customFormat="false" ht="15.75" hidden="false" customHeight="true" outlineLevel="0" collapsed="false">
      <c r="A590" s="113"/>
      <c r="B590" s="102"/>
      <c r="C590" s="101" t="str">
        <f aca="false">IF($B590="","",IFERROR(VLOOKUP($B590,'Application Portfolio'!$A$2:$B$1000,2,FALSE()),""))</f>
        <v/>
      </c>
      <c r="D590" s="106"/>
      <c r="E590" s="106"/>
      <c r="F590" s="106"/>
      <c r="G590" s="106"/>
      <c r="H590" s="106"/>
      <c r="I590" s="103" t="str">
        <f aca="false">IF(OR($B590="", $D590="", $E590="", $F590="", $G590="", $H590=""),"",ROUND(($D590*Lists!$AD$20)+($E590*Lists!$AD$21)+($F590*Lists!$AD$22)+($G590*Lists!$AD$23)+($H590*Lists!$AD$24),2))</f>
        <v/>
      </c>
      <c r="J590" s="101"/>
      <c r="K590" s="105"/>
      <c r="L590" s="101"/>
    </row>
    <row r="591" customFormat="false" ht="15.75" hidden="false" customHeight="true" outlineLevel="0" collapsed="false">
      <c r="A591" s="113"/>
      <c r="B591" s="102"/>
      <c r="C591" s="101" t="str">
        <f aca="false">IF($B591="","",IFERROR(VLOOKUP($B591,'Application Portfolio'!$A$2:$B$1000,2,FALSE()),""))</f>
        <v/>
      </c>
      <c r="D591" s="106"/>
      <c r="E591" s="106"/>
      <c r="F591" s="106"/>
      <c r="G591" s="106"/>
      <c r="H591" s="106"/>
      <c r="I591" s="103" t="str">
        <f aca="false">IF(OR($B591="", $D591="", $E591="", $F591="", $G591="", $H591=""),"",ROUND(($D591*Lists!$AD$20)+($E591*Lists!$AD$21)+($F591*Lists!$AD$22)+($G591*Lists!$AD$23)+($H591*Lists!$AD$24),2))</f>
        <v/>
      </c>
      <c r="J591" s="101"/>
      <c r="K591" s="105"/>
      <c r="L591" s="101"/>
    </row>
    <row r="592" customFormat="false" ht="15.75" hidden="false" customHeight="true" outlineLevel="0" collapsed="false">
      <c r="A592" s="113"/>
      <c r="B592" s="102"/>
      <c r="C592" s="101" t="str">
        <f aca="false">IF($B592="","",IFERROR(VLOOKUP($B592,'Application Portfolio'!$A$2:$B$1000,2,FALSE()),""))</f>
        <v/>
      </c>
      <c r="D592" s="106"/>
      <c r="E592" s="106"/>
      <c r="F592" s="106"/>
      <c r="G592" s="106"/>
      <c r="H592" s="106"/>
      <c r="I592" s="103" t="str">
        <f aca="false">IF(OR($B592="", $D592="", $E592="", $F592="", $G592="", $H592=""),"",ROUND(($D592*Lists!$AD$20)+($E592*Lists!$AD$21)+($F592*Lists!$AD$22)+($G592*Lists!$AD$23)+($H592*Lists!$AD$24),2))</f>
        <v/>
      </c>
      <c r="J592" s="101"/>
      <c r="K592" s="105"/>
      <c r="L592" s="101"/>
    </row>
    <row r="593" customFormat="false" ht="15.75" hidden="false" customHeight="true" outlineLevel="0" collapsed="false">
      <c r="A593" s="113"/>
      <c r="B593" s="102"/>
      <c r="C593" s="101" t="str">
        <f aca="false">IF($B593="","",IFERROR(VLOOKUP($B593,'Application Portfolio'!$A$2:$B$1000,2,FALSE()),""))</f>
        <v/>
      </c>
      <c r="D593" s="106"/>
      <c r="E593" s="106"/>
      <c r="F593" s="106"/>
      <c r="G593" s="106"/>
      <c r="H593" s="106"/>
      <c r="I593" s="103" t="str">
        <f aca="false">IF(OR($B593="", $D593="", $E593="", $F593="", $G593="", $H593=""),"",ROUND(($D593*Lists!$AD$20)+($E593*Lists!$AD$21)+($F593*Lists!$AD$22)+($G593*Lists!$AD$23)+($H593*Lists!$AD$24),2))</f>
        <v/>
      </c>
      <c r="J593" s="101"/>
      <c r="K593" s="105"/>
      <c r="L593" s="101"/>
    </row>
    <row r="594" customFormat="false" ht="15.75" hidden="false" customHeight="true" outlineLevel="0" collapsed="false">
      <c r="A594" s="113"/>
      <c r="B594" s="102"/>
      <c r="C594" s="101" t="str">
        <f aca="false">IF($B594="","",IFERROR(VLOOKUP($B594,'Application Portfolio'!$A$2:$B$1000,2,FALSE()),""))</f>
        <v/>
      </c>
      <c r="D594" s="106"/>
      <c r="E594" s="106"/>
      <c r="F594" s="106"/>
      <c r="G594" s="106"/>
      <c r="H594" s="106"/>
      <c r="I594" s="103" t="str">
        <f aca="false">IF(OR($B594="", $D594="", $E594="", $F594="", $G594="", $H594=""),"",ROUND(($D594*Lists!$AD$20)+($E594*Lists!$AD$21)+($F594*Lists!$AD$22)+($G594*Lists!$AD$23)+($H594*Lists!$AD$24),2))</f>
        <v/>
      </c>
      <c r="J594" s="101"/>
      <c r="K594" s="105"/>
      <c r="L594" s="101"/>
    </row>
    <row r="595" customFormat="false" ht="15.75" hidden="false" customHeight="true" outlineLevel="0" collapsed="false">
      <c r="A595" s="113"/>
      <c r="B595" s="102"/>
      <c r="C595" s="101" t="str">
        <f aca="false">IF($B595="","",IFERROR(VLOOKUP($B595,'Application Portfolio'!$A$2:$B$1000,2,FALSE()),""))</f>
        <v/>
      </c>
      <c r="D595" s="106"/>
      <c r="E595" s="106"/>
      <c r="F595" s="106"/>
      <c r="G595" s="106"/>
      <c r="H595" s="106"/>
      <c r="I595" s="103" t="str">
        <f aca="false">IF(OR($B595="", $D595="", $E595="", $F595="", $G595="", $H595=""),"",ROUND(($D595*Lists!$AD$20)+($E595*Lists!$AD$21)+($F595*Lists!$AD$22)+($G595*Lists!$AD$23)+($H595*Lists!$AD$24),2))</f>
        <v/>
      </c>
      <c r="J595" s="101"/>
      <c r="K595" s="105"/>
      <c r="L595" s="101"/>
    </row>
    <row r="596" customFormat="false" ht="15.75" hidden="false" customHeight="true" outlineLevel="0" collapsed="false">
      <c r="A596" s="113"/>
      <c r="B596" s="102"/>
      <c r="C596" s="101" t="str">
        <f aca="false">IF($B596="","",IFERROR(VLOOKUP($B596,'Application Portfolio'!$A$2:$B$1000,2,FALSE()),""))</f>
        <v/>
      </c>
      <c r="D596" s="106"/>
      <c r="E596" s="106"/>
      <c r="F596" s="106"/>
      <c r="G596" s="106"/>
      <c r="H596" s="106"/>
      <c r="I596" s="103" t="str">
        <f aca="false">IF(OR($B596="", $D596="", $E596="", $F596="", $G596="", $H596=""),"",ROUND(($D596*Lists!$AD$20)+($E596*Lists!$AD$21)+($F596*Lists!$AD$22)+($G596*Lists!$AD$23)+($H596*Lists!$AD$24),2))</f>
        <v/>
      </c>
      <c r="J596" s="101"/>
      <c r="K596" s="105"/>
      <c r="L596" s="101"/>
    </row>
    <row r="597" customFormat="false" ht="15.75" hidden="false" customHeight="true" outlineLevel="0" collapsed="false">
      <c r="A597" s="113"/>
      <c r="B597" s="102"/>
      <c r="C597" s="101" t="str">
        <f aca="false">IF($B597="","",IFERROR(VLOOKUP($B597,'Application Portfolio'!$A$2:$B$1000,2,FALSE()),""))</f>
        <v/>
      </c>
      <c r="D597" s="106"/>
      <c r="E597" s="106"/>
      <c r="F597" s="106"/>
      <c r="G597" s="106"/>
      <c r="H597" s="106"/>
      <c r="I597" s="103" t="str">
        <f aca="false">IF(OR($B597="", $D597="", $E597="", $F597="", $G597="", $H597=""),"",ROUND(($D597*Lists!$AD$20)+($E597*Lists!$AD$21)+($F597*Lists!$AD$22)+($G597*Lists!$AD$23)+($H597*Lists!$AD$24),2))</f>
        <v/>
      </c>
      <c r="J597" s="101"/>
      <c r="K597" s="105"/>
      <c r="L597" s="101"/>
    </row>
    <row r="598" customFormat="false" ht="15.75" hidden="false" customHeight="true" outlineLevel="0" collapsed="false">
      <c r="A598" s="113"/>
      <c r="B598" s="102"/>
      <c r="C598" s="101" t="str">
        <f aca="false">IF($B598="","",IFERROR(VLOOKUP($B598,'Application Portfolio'!$A$2:$B$1000,2,FALSE()),""))</f>
        <v/>
      </c>
      <c r="D598" s="106"/>
      <c r="E598" s="106"/>
      <c r="F598" s="106"/>
      <c r="G598" s="106"/>
      <c r="H598" s="106"/>
      <c r="I598" s="103" t="str">
        <f aca="false">IF(OR($B598="", $D598="", $E598="", $F598="", $G598="", $H598=""),"",ROUND(($D598*Lists!$AD$20)+($E598*Lists!$AD$21)+($F598*Lists!$AD$22)+($G598*Lists!$AD$23)+($H598*Lists!$AD$24),2))</f>
        <v/>
      </c>
      <c r="J598" s="101"/>
      <c r="K598" s="105"/>
      <c r="L598" s="101"/>
    </row>
    <row r="599" customFormat="false" ht="15.75" hidden="false" customHeight="true" outlineLevel="0" collapsed="false">
      <c r="A599" s="113"/>
      <c r="B599" s="102"/>
      <c r="C599" s="101" t="str">
        <f aca="false">IF($B599="","",IFERROR(VLOOKUP($B599,'Application Portfolio'!$A$2:$B$1000,2,FALSE()),""))</f>
        <v/>
      </c>
      <c r="D599" s="106"/>
      <c r="E599" s="106"/>
      <c r="F599" s="106"/>
      <c r="G599" s="106"/>
      <c r="H599" s="106"/>
      <c r="I599" s="103" t="str">
        <f aca="false">IF(OR($B599="", $D599="", $E599="", $F599="", $G599="", $H599=""),"",ROUND(($D599*Lists!$AD$20)+($E599*Lists!$AD$21)+($F599*Lists!$AD$22)+($G599*Lists!$AD$23)+($H599*Lists!$AD$24),2))</f>
        <v/>
      </c>
      <c r="J599" s="101"/>
      <c r="K599" s="105"/>
      <c r="L599" s="101"/>
    </row>
    <row r="600" customFormat="false" ht="15.75" hidden="false" customHeight="true" outlineLevel="0" collapsed="false">
      <c r="A600" s="113"/>
      <c r="B600" s="102"/>
      <c r="C600" s="101" t="str">
        <f aca="false">IF($B600="","",IFERROR(VLOOKUP($B600,'Application Portfolio'!$A$2:$B$1000,2,FALSE()),""))</f>
        <v/>
      </c>
      <c r="D600" s="106"/>
      <c r="E600" s="106"/>
      <c r="F600" s="106"/>
      <c r="G600" s="106"/>
      <c r="H600" s="106"/>
      <c r="I600" s="103" t="str">
        <f aca="false">IF(OR($B600="", $D600="", $E600="", $F600="", $G600="", $H600=""),"",ROUND(($D600*Lists!$AD$20)+($E600*Lists!$AD$21)+($F600*Lists!$AD$22)+($G600*Lists!$AD$23)+($H600*Lists!$AD$24),2))</f>
        <v/>
      </c>
      <c r="J600" s="101"/>
      <c r="K600" s="105"/>
      <c r="L600" s="101"/>
    </row>
    <row r="601" customFormat="false" ht="15.75" hidden="false" customHeight="true" outlineLevel="0" collapsed="false">
      <c r="A601" s="113"/>
      <c r="B601" s="102"/>
      <c r="C601" s="101" t="str">
        <f aca="false">IF($B601="","",IFERROR(VLOOKUP($B601,'Application Portfolio'!$A$2:$B$1000,2,FALSE()),""))</f>
        <v/>
      </c>
      <c r="D601" s="106"/>
      <c r="E601" s="106"/>
      <c r="F601" s="106"/>
      <c r="G601" s="106"/>
      <c r="H601" s="106"/>
      <c r="I601" s="103" t="str">
        <f aca="false">IF(OR($B601="", $D601="", $E601="", $F601="", $G601="", $H601=""),"",ROUND(($D601*Lists!$AD$20)+($E601*Lists!$AD$21)+($F601*Lists!$AD$22)+($G601*Lists!$AD$23)+($H601*Lists!$AD$24),2))</f>
        <v/>
      </c>
      <c r="J601" s="101"/>
      <c r="K601" s="105"/>
      <c r="L601" s="101"/>
    </row>
    <row r="602" customFormat="false" ht="15.75" hidden="false" customHeight="true" outlineLevel="0" collapsed="false">
      <c r="A602" s="113"/>
      <c r="B602" s="102"/>
      <c r="C602" s="101" t="str">
        <f aca="false">IF($B602="","",IFERROR(VLOOKUP($B602,'Application Portfolio'!$A$2:$B$1000,2,FALSE()),""))</f>
        <v/>
      </c>
      <c r="D602" s="106"/>
      <c r="E602" s="106"/>
      <c r="F602" s="106"/>
      <c r="G602" s="106"/>
      <c r="H602" s="106"/>
      <c r="I602" s="103" t="str">
        <f aca="false">IF(OR($B602="", $D602="", $E602="", $F602="", $G602="", $H602=""),"",ROUND(($D602*Lists!$AD$20)+($E602*Lists!$AD$21)+($F602*Lists!$AD$22)+($G602*Lists!$AD$23)+($H602*Lists!$AD$24),2))</f>
        <v/>
      </c>
      <c r="J602" s="101"/>
      <c r="K602" s="105"/>
      <c r="L602" s="101"/>
    </row>
    <row r="603" customFormat="false" ht="15.75" hidden="false" customHeight="true" outlineLevel="0" collapsed="false">
      <c r="A603" s="113"/>
      <c r="B603" s="102"/>
      <c r="C603" s="101" t="str">
        <f aca="false">IF($B603="","",IFERROR(VLOOKUP($B603,'Application Portfolio'!$A$2:$B$1000,2,FALSE()),""))</f>
        <v/>
      </c>
      <c r="D603" s="106"/>
      <c r="E603" s="106"/>
      <c r="F603" s="106"/>
      <c r="G603" s="106"/>
      <c r="H603" s="106"/>
      <c r="I603" s="103" t="str">
        <f aca="false">IF(OR($B603="", $D603="", $E603="", $F603="", $G603="", $H603=""),"",ROUND(($D603*Lists!$AD$20)+($E603*Lists!$AD$21)+($F603*Lists!$AD$22)+($G603*Lists!$AD$23)+($H603*Lists!$AD$24),2))</f>
        <v/>
      </c>
      <c r="J603" s="101"/>
      <c r="K603" s="105"/>
      <c r="L603" s="101"/>
    </row>
    <row r="604" customFormat="false" ht="15.75" hidden="false" customHeight="true" outlineLevel="0" collapsed="false">
      <c r="A604" s="113"/>
      <c r="B604" s="102"/>
      <c r="C604" s="101" t="str">
        <f aca="false">IF($B604="","",IFERROR(VLOOKUP($B604,'Application Portfolio'!$A$2:$B$1000,2,FALSE()),""))</f>
        <v/>
      </c>
      <c r="D604" s="106"/>
      <c r="E604" s="106"/>
      <c r="F604" s="106"/>
      <c r="G604" s="106"/>
      <c r="H604" s="106"/>
      <c r="I604" s="103" t="str">
        <f aca="false">IF(OR($B604="", $D604="", $E604="", $F604="", $G604="", $H604=""),"",ROUND(($D604*Lists!$AD$20)+($E604*Lists!$AD$21)+($F604*Lists!$AD$22)+($G604*Lists!$AD$23)+($H604*Lists!$AD$24),2))</f>
        <v/>
      </c>
      <c r="J604" s="101"/>
      <c r="K604" s="105"/>
      <c r="L604" s="101"/>
    </row>
    <row r="605" customFormat="false" ht="15.75" hidden="false" customHeight="true" outlineLevel="0" collapsed="false">
      <c r="A605" s="113"/>
      <c r="B605" s="102"/>
      <c r="C605" s="101" t="str">
        <f aca="false">IF($B605="","",IFERROR(VLOOKUP($B605,'Application Portfolio'!$A$2:$B$1000,2,FALSE()),""))</f>
        <v/>
      </c>
      <c r="D605" s="106"/>
      <c r="E605" s="106"/>
      <c r="F605" s="106"/>
      <c r="G605" s="106"/>
      <c r="H605" s="106"/>
      <c r="I605" s="103" t="str">
        <f aca="false">IF(OR($B605="", $D605="", $E605="", $F605="", $G605="", $H605=""),"",ROUND(($D605*Lists!$AD$20)+($E605*Lists!$AD$21)+($F605*Lists!$AD$22)+($G605*Lists!$AD$23)+($H605*Lists!$AD$24),2))</f>
        <v/>
      </c>
      <c r="J605" s="101"/>
      <c r="K605" s="105"/>
      <c r="L605" s="101"/>
    </row>
    <row r="606" customFormat="false" ht="15.75" hidden="false" customHeight="true" outlineLevel="0" collapsed="false">
      <c r="A606" s="113"/>
      <c r="B606" s="102"/>
      <c r="C606" s="101" t="str">
        <f aca="false">IF($B606="","",IFERROR(VLOOKUP($B606,'Application Portfolio'!$A$2:$B$1000,2,FALSE()),""))</f>
        <v/>
      </c>
      <c r="D606" s="106"/>
      <c r="E606" s="106"/>
      <c r="F606" s="106"/>
      <c r="G606" s="106"/>
      <c r="H606" s="106"/>
      <c r="I606" s="103" t="str">
        <f aca="false">IF(OR($B606="", $D606="", $E606="", $F606="", $G606="", $H606=""),"",ROUND(($D606*Lists!$AD$20)+($E606*Lists!$AD$21)+($F606*Lists!$AD$22)+($G606*Lists!$AD$23)+($H606*Lists!$AD$24),2))</f>
        <v/>
      </c>
      <c r="J606" s="101"/>
      <c r="K606" s="105"/>
      <c r="L606" s="101"/>
    </row>
    <row r="607" customFormat="false" ht="15.75" hidden="false" customHeight="true" outlineLevel="0" collapsed="false">
      <c r="A607" s="113"/>
      <c r="B607" s="102"/>
      <c r="C607" s="101" t="str">
        <f aca="false">IF($B607="","",IFERROR(VLOOKUP($B607,'Application Portfolio'!$A$2:$B$1000,2,FALSE()),""))</f>
        <v/>
      </c>
      <c r="D607" s="106"/>
      <c r="E607" s="106"/>
      <c r="F607" s="106"/>
      <c r="G607" s="106"/>
      <c r="H607" s="106"/>
      <c r="I607" s="103" t="str">
        <f aca="false">IF(OR($B607="", $D607="", $E607="", $F607="", $G607="", $H607=""),"",ROUND(($D607*Lists!$AD$20)+($E607*Lists!$AD$21)+($F607*Lists!$AD$22)+($G607*Lists!$AD$23)+($H607*Lists!$AD$24),2))</f>
        <v/>
      </c>
      <c r="J607" s="101"/>
      <c r="K607" s="105"/>
      <c r="L607" s="101"/>
    </row>
    <row r="608" customFormat="false" ht="15.75" hidden="false" customHeight="true" outlineLevel="0" collapsed="false">
      <c r="A608" s="113"/>
      <c r="B608" s="102"/>
      <c r="C608" s="101" t="str">
        <f aca="false">IF($B608="","",IFERROR(VLOOKUP($B608,'Application Portfolio'!$A$2:$B$1000,2,FALSE()),""))</f>
        <v/>
      </c>
      <c r="D608" s="106"/>
      <c r="E608" s="106"/>
      <c r="F608" s="106"/>
      <c r="G608" s="106"/>
      <c r="H608" s="106"/>
      <c r="I608" s="103" t="str">
        <f aca="false">IF(OR($B608="", $D608="", $E608="", $F608="", $G608="", $H608=""),"",ROUND(($D608*Lists!$AD$20)+($E608*Lists!$AD$21)+($F608*Lists!$AD$22)+($G608*Lists!$AD$23)+($H608*Lists!$AD$24),2))</f>
        <v/>
      </c>
      <c r="J608" s="101"/>
      <c r="K608" s="105"/>
      <c r="L608" s="101"/>
    </row>
    <row r="609" customFormat="false" ht="15.75" hidden="false" customHeight="true" outlineLevel="0" collapsed="false">
      <c r="A609" s="113"/>
      <c r="B609" s="102"/>
      <c r="C609" s="101" t="str">
        <f aca="false">IF($B609="","",IFERROR(VLOOKUP($B609,'Application Portfolio'!$A$2:$B$1000,2,FALSE()),""))</f>
        <v/>
      </c>
      <c r="D609" s="106"/>
      <c r="E609" s="106"/>
      <c r="F609" s="106"/>
      <c r="G609" s="106"/>
      <c r="H609" s="106"/>
      <c r="I609" s="103" t="str">
        <f aca="false">IF(OR($B609="", $D609="", $E609="", $F609="", $G609="", $H609=""),"",ROUND(($D609*Lists!$AD$20)+($E609*Lists!$AD$21)+($F609*Lists!$AD$22)+($G609*Lists!$AD$23)+($H609*Lists!$AD$24),2))</f>
        <v/>
      </c>
      <c r="J609" s="101"/>
      <c r="K609" s="105"/>
      <c r="L609" s="101"/>
    </row>
    <row r="610" customFormat="false" ht="15.75" hidden="false" customHeight="true" outlineLevel="0" collapsed="false">
      <c r="A610" s="113"/>
      <c r="B610" s="102"/>
      <c r="C610" s="101" t="str">
        <f aca="false">IF($B610="","",IFERROR(VLOOKUP($B610,'Application Portfolio'!$A$2:$B$1000,2,FALSE()),""))</f>
        <v/>
      </c>
      <c r="D610" s="106"/>
      <c r="E610" s="106"/>
      <c r="F610" s="106"/>
      <c r="G610" s="106"/>
      <c r="H610" s="106"/>
      <c r="I610" s="103" t="str">
        <f aca="false">IF(OR($B610="", $D610="", $E610="", $F610="", $G610="", $H610=""),"",ROUND(($D610*Lists!$AD$20)+($E610*Lists!$AD$21)+($F610*Lists!$AD$22)+($G610*Lists!$AD$23)+($H610*Lists!$AD$24),2))</f>
        <v/>
      </c>
      <c r="J610" s="101"/>
      <c r="K610" s="105"/>
      <c r="L610" s="101"/>
    </row>
    <row r="611" customFormat="false" ht="15.75" hidden="false" customHeight="true" outlineLevel="0" collapsed="false">
      <c r="A611" s="113"/>
      <c r="B611" s="102"/>
      <c r="C611" s="101" t="str">
        <f aca="false">IF($B611="","",IFERROR(VLOOKUP($B611,'Application Portfolio'!$A$2:$B$1000,2,FALSE()),""))</f>
        <v/>
      </c>
      <c r="D611" s="106"/>
      <c r="E611" s="106"/>
      <c r="F611" s="106"/>
      <c r="G611" s="106"/>
      <c r="H611" s="106"/>
      <c r="I611" s="103" t="str">
        <f aca="false">IF(OR($B611="", $D611="", $E611="", $F611="", $G611="", $H611=""),"",ROUND(($D611*Lists!$AD$20)+($E611*Lists!$AD$21)+($F611*Lists!$AD$22)+($G611*Lists!$AD$23)+($H611*Lists!$AD$24),2))</f>
        <v/>
      </c>
      <c r="J611" s="101"/>
      <c r="K611" s="105"/>
      <c r="L611" s="101"/>
    </row>
    <row r="612" customFormat="false" ht="15.75" hidden="false" customHeight="true" outlineLevel="0" collapsed="false">
      <c r="A612" s="113"/>
      <c r="B612" s="102"/>
      <c r="C612" s="101" t="str">
        <f aca="false">IF($B612="","",IFERROR(VLOOKUP($B612,'Application Portfolio'!$A$2:$B$1000,2,FALSE()),""))</f>
        <v/>
      </c>
      <c r="D612" s="106"/>
      <c r="E612" s="106"/>
      <c r="F612" s="106"/>
      <c r="G612" s="106"/>
      <c r="H612" s="106"/>
      <c r="I612" s="103" t="str">
        <f aca="false">IF(OR($B612="", $D612="", $E612="", $F612="", $G612="", $H612=""),"",ROUND(($D612*Lists!$AD$20)+($E612*Lists!$AD$21)+($F612*Lists!$AD$22)+($G612*Lists!$AD$23)+($H612*Lists!$AD$24),2))</f>
        <v/>
      </c>
      <c r="J612" s="101"/>
      <c r="K612" s="105"/>
      <c r="L612" s="101"/>
    </row>
    <row r="613" customFormat="false" ht="15.75" hidden="false" customHeight="true" outlineLevel="0" collapsed="false">
      <c r="A613" s="113"/>
      <c r="B613" s="102"/>
      <c r="C613" s="101" t="str">
        <f aca="false">IF($B613="","",IFERROR(VLOOKUP($B613,'Application Portfolio'!$A$2:$B$1000,2,FALSE()),""))</f>
        <v/>
      </c>
      <c r="D613" s="106"/>
      <c r="E613" s="106"/>
      <c r="F613" s="106"/>
      <c r="G613" s="106"/>
      <c r="H613" s="106"/>
      <c r="I613" s="103" t="str">
        <f aca="false">IF(OR($B613="", $D613="", $E613="", $F613="", $G613="", $H613=""),"",ROUND(($D613*Lists!$AD$20)+($E613*Lists!$AD$21)+($F613*Lists!$AD$22)+($G613*Lists!$AD$23)+($H613*Lists!$AD$24),2))</f>
        <v/>
      </c>
      <c r="J613" s="101"/>
      <c r="K613" s="105"/>
      <c r="L613" s="101"/>
    </row>
    <row r="614" customFormat="false" ht="15.75" hidden="false" customHeight="true" outlineLevel="0" collapsed="false">
      <c r="A614" s="113"/>
      <c r="B614" s="102"/>
      <c r="C614" s="101" t="str">
        <f aca="false">IF($B614="","",IFERROR(VLOOKUP($B614,'Application Portfolio'!$A$2:$B$1000,2,FALSE()),""))</f>
        <v/>
      </c>
      <c r="D614" s="106"/>
      <c r="E614" s="106"/>
      <c r="F614" s="106"/>
      <c r="G614" s="106"/>
      <c r="H614" s="106"/>
      <c r="I614" s="103" t="str">
        <f aca="false">IF(OR($B614="", $D614="", $E614="", $F614="", $G614="", $H614=""),"",ROUND(($D614*Lists!$AD$20)+($E614*Lists!$AD$21)+($F614*Lists!$AD$22)+($G614*Lists!$AD$23)+($H614*Lists!$AD$24),2))</f>
        <v/>
      </c>
      <c r="J614" s="101"/>
      <c r="K614" s="105"/>
      <c r="L614" s="101"/>
    </row>
    <row r="615" customFormat="false" ht="15.75" hidden="false" customHeight="true" outlineLevel="0" collapsed="false">
      <c r="A615" s="113"/>
      <c r="B615" s="102"/>
      <c r="C615" s="101" t="str">
        <f aca="false">IF($B615="","",IFERROR(VLOOKUP($B615,'Application Portfolio'!$A$2:$B$1000,2,FALSE()),""))</f>
        <v/>
      </c>
      <c r="D615" s="106"/>
      <c r="E615" s="106"/>
      <c r="F615" s="106"/>
      <c r="G615" s="106"/>
      <c r="H615" s="106"/>
      <c r="I615" s="103" t="str">
        <f aca="false">IF(OR($B615="", $D615="", $E615="", $F615="", $G615="", $H615=""),"",ROUND(($D615*Lists!$AD$20)+($E615*Lists!$AD$21)+($F615*Lists!$AD$22)+($G615*Lists!$AD$23)+($H615*Lists!$AD$24),2))</f>
        <v/>
      </c>
      <c r="J615" s="101"/>
      <c r="K615" s="105"/>
      <c r="L615" s="101"/>
    </row>
    <row r="616" customFormat="false" ht="15.75" hidden="false" customHeight="true" outlineLevel="0" collapsed="false">
      <c r="A616" s="113"/>
      <c r="B616" s="102"/>
      <c r="C616" s="101" t="str">
        <f aca="false">IF($B616="","",IFERROR(VLOOKUP($B616,'Application Portfolio'!$A$2:$B$1000,2,FALSE()),""))</f>
        <v/>
      </c>
      <c r="D616" s="106"/>
      <c r="E616" s="106"/>
      <c r="F616" s="106"/>
      <c r="G616" s="106"/>
      <c r="H616" s="106"/>
      <c r="I616" s="103" t="str">
        <f aca="false">IF(OR($B616="", $D616="", $E616="", $F616="", $G616="", $H616=""),"",ROUND(($D616*Lists!$AD$20)+($E616*Lists!$AD$21)+($F616*Lists!$AD$22)+($G616*Lists!$AD$23)+($H616*Lists!$AD$24),2))</f>
        <v/>
      </c>
      <c r="J616" s="101"/>
      <c r="K616" s="105"/>
      <c r="L616" s="101"/>
    </row>
    <row r="617" customFormat="false" ht="15.75" hidden="false" customHeight="true" outlineLevel="0" collapsed="false">
      <c r="A617" s="113"/>
      <c r="B617" s="102"/>
      <c r="C617" s="101" t="str">
        <f aca="false">IF($B617="","",IFERROR(VLOOKUP($B617,'Application Portfolio'!$A$2:$B$1000,2,FALSE()),""))</f>
        <v/>
      </c>
      <c r="D617" s="106"/>
      <c r="E617" s="106"/>
      <c r="F617" s="106"/>
      <c r="G617" s="106"/>
      <c r="H617" s="106"/>
      <c r="I617" s="103" t="str">
        <f aca="false">IF(OR($B617="", $D617="", $E617="", $F617="", $G617="", $H617=""),"",ROUND(($D617*Lists!$AD$20)+($E617*Lists!$AD$21)+($F617*Lists!$AD$22)+($G617*Lists!$AD$23)+($H617*Lists!$AD$24),2))</f>
        <v/>
      </c>
      <c r="J617" s="101"/>
      <c r="K617" s="105"/>
      <c r="L617" s="101"/>
    </row>
    <row r="618" customFormat="false" ht="15.75" hidden="false" customHeight="true" outlineLevel="0" collapsed="false">
      <c r="A618" s="113"/>
      <c r="B618" s="102"/>
      <c r="C618" s="101" t="str">
        <f aca="false">IF($B618="","",IFERROR(VLOOKUP($B618,'Application Portfolio'!$A$2:$B$1000,2,FALSE()),""))</f>
        <v/>
      </c>
      <c r="D618" s="106"/>
      <c r="E618" s="106"/>
      <c r="F618" s="106"/>
      <c r="G618" s="106"/>
      <c r="H618" s="106"/>
      <c r="I618" s="103" t="str">
        <f aca="false">IF(OR($B618="", $D618="", $E618="", $F618="", $G618="", $H618=""),"",ROUND(($D618*Lists!$AD$20)+($E618*Lists!$AD$21)+($F618*Lists!$AD$22)+($G618*Lists!$AD$23)+($H618*Lists!$AD$24),2))</f>
        <v/>
      </c>
      <c r="J618" s="101"/>
      <c r="K618" s="105"/>
      <c r="L618" s="101"/>
    </row>
    <row r="619" customFormat="false" ht="15.75" hidden="false" customHeight="true" outlineLevel="0" collapsed="false">
      <c r="A619" s="113"/>
      <c r="B619" s="102"/>
      <c r="C619" s="101" t="str">
        <f aca="false">IF($B619="","",IFERROR(VLOOKUP($B619,'Application Portfolio'!$A$2:$B$1000,2,FALSE()),""))</f>
        <v/>
      </c>
      <c r="D619" s="106"/>
      <c r="E619" s="106"/>
      <c r="F619" s="106"/>
      <c r="G619" s="106"/>
      <c r="H619" s="106"/>
      <c r="I619" s="103" t="str">
        <f aca="false">IF(OR($B619="", $D619="", $E619="", $F619="", $G619="", $H619=""),"",ROUND(($D619*Lists!$AD$20)+($E619*Lists!$AD$21)+($F619*Lists!$AD$22)+($G619*Lists!$AD$23)+($H619*Lists!$AD$24),2))</f>
        <v/>
      </c>
      <c r="J619" s="101"/>
      <c r="K619" s="105"/>
      <c r="L619" s="101"/>
    </row>
    <row r="620" customFormat="false" ht="15.75" hidden="false" customHeight="true" outlineLevel="0" collapsed="false">
      <c r="A620" s="113"/>
      <c r="B620" s="102"/>
      <c r="C620" s="101" t="str">
        <f aca="false">IF($B620="","",IFERROR(VLOOKUP($B620,'Application Portfolio'!$A$2:$B$1000,2,FALSE()),""))</f>
        <v/>
      </c>
      <c r="D620" s="106"/>
      <c r="E620" s="106"/>
      <c r="F620" s="106"/>
      <c r="G620" s="106"/>
      <c r="H620" s="106"/>
      <c r="I620" s="103" t="str">
        <f aca="false">IF(OR($B620="", $D620="", $E620="", $F620="", $G620="", $H620=""),"",ROUND(($D620*Lists!$AD$20)+($E620*Lists!$AD$21)+($F620*Lists!$AD$22)+($G620*Lists!$AD$23)+($H620*Lists!$AD$24),2))</f>
        <v/>
      </c>
      <c r="J620" s="101"/>
      <c r="K620" s="105"/>
      <c r="L620" s="101"/>
    </row>
    <row r="621" customFormat="false" ht="15.75" hidden="false" customHeight="true" outlineLevel="0" collapsed="false">
      <c r="A621" s="113"/>
      <c r="B621" s="102"/>
      <c r="C621" s="101" t="str">
        <f aca="false">IF($B621="","",IFERROR(VLOOKUP($B621,'Application Portfolio'!$A$2:$B$1000,2,FALSE()),""))</f>
        <v/>
      </c>
      <c r="D621" s="106"/>
      <c r="E621" s="106"/>
      <c r="F621" s="106"/>
      <c r="G621" s="106"/>
      <c r="H621" s="106"/>
      <c r="I621" s="103" t="str">
        <f aca="false">IF(OR($B621="", $D621="", $E621="", $F621="", $G621="", $H621=""),"",ROUND(($D621*Lists!$AD$20)+($E621*Lists!$AD$21)+($F621*Lists!$AD$22)+($G621*Lists!$AD$23)+($H621*Lists!$AD$24),2))</f>
        <v/>
      </c>
      <c r="J621" s="101"/>
      <c r="K621" s="105"/>
      <c r="L621" s="101"/>
    </row>
    <row r="622" customFormat="false" ht="15.75" hidden="false" customHeight="true" outlineLevel="0" collapsed="false">
      <c r="A622" s="113"/>
      <c r="B622" s="102"/>
      <c r="C622" s="101" t="str">
        <f aca="false">IF($B622="","",IFERROR(VLOOKUP($B622,'Application Portfolio'!$A$2:$B$1000,2,FALSE()),""))</f>
        <v/>
      </c>
      <c r="D622" s="106"/>
      <c r="E622" s="106"/>
      <c r="F622" s="106"/>
      <c r="G622" s="106"/>
      <c r="H622" s="106"/>
      <c r="I622" s="103" t="str">
        <f aca="false">IF(OR($B622="", $D622="", $E622="", $F622="", $G622="", $H622=""),"",ROUND(($D622*Lists!$AD$20)+($E622*Lists!$AD$21)+($F622*Lists!$AD$22)+($G622*Lists!$AD$23)+($H622*Lists!$AD$24),2))</f>
        <v/>
      </c>
      <c r="J622" s="101"/>
      <c r="K622" s="105"/>
      <c r="L622" s="101"/>
    </row>
    <row r="623" customFormat="false" ht="15.75" hidden="false" customHeight="true" outlineLevel="0" collapsed="false">
      <c r="A623" s="113"/>
      <c r="B623" s="102"/>
      <c r="C623" s="101" t="str">
        <f aca="false">IF($B623="","",IFERROR(VLOOKUP($B623,'Application Portfolio'!$A$2:$B$1000,2,FALSE()),""))</f>
        <v/>
      </c>
      <c r="D623" s="106"/>
      <c r="E623" s="106"/>
      <c r="F623" s="106"/>
      <c r="G623" s="106"/>
      <c r="H623" s="106"/>
      <c r="I623" s="103" t="str">
        <f aca="false">IF(OR($B623="", $D623="", $E623="", $F623="", $G623="", $H623=""),"",ROUND(($D623*Lists!$AD$20)+($E623*Lists!$AD$21)+($F623*Lists!$AD$22)+($G623*Lists!$AD$23)+($H623*Lists!$AD$24),2))</f>
        <v/>
      </c>
      <c r="J623" s="101"/>
      <c r="K623" s="105"/>
      <c r="L623" s="101"/>
    </row>
    <row r="624" customFormat="false" ht="15.75" hidden="false" customHeight="true" outlineLevel="0" collapsed="false">
      <c r="A624" s="113"/>
      <c r="B624" s="102"/>
      <c r="C624" s="101" t="str">
        <f aca="false">IF($B624="","",IFERROR(VLOOKUP($B624,'Application Portfolio'!$A$2:$B$1000,2,FALSE()),""))</f>
        <v/>
      </c>
      <c r="D624" s="106"/>
      <c r="E624" s="106"/>
      <c r="F624" s="106"/>
      <c r="G624" s="106"/>
      <c r="H624" s="106"/>
      <c r="I624" s="103" t="str">
        <f aca="false">IF(OR($B624="", $D624="", $E624="", $F624="", $G624="", $H624=""),"",ROUND(($D624*Lists!$AD$20)+($E624*Lists!$AD$21)+($F624*Lists!$AD$22)+($G624*Lists!$AD$23)+($H624*Lists!$AD$24),2))</f>
        <v/>
      </c>
      <c r="J624" s="101"/>
      <c r="K624" s="105"/>
      <c r="L624" s="101"/>
    </row>
    <row r="625" customFormat="false" ht="15.75" hidden="false" customHeight="true" outlineLevel="0" collapsed="false">
      <c r="A625" s="113"/>
      <c r="B625" s="102"/>
      <c r="C625" s="101" t="str">
        <f aca="false">IF($B625="","",IFERROR(VLOOKUP($B625,'Application Portfolio'!$A$2:$B$1000,2,FALSE()),""))</f>
        <v/>
      </c>
      <c r="D625" s="106"/>
      <c r="E625" s="106"/>
      <c r="F625" s="106"/>
      <c r="G625" s="106"/>
      <c r="H625" s="106"/>
      <c r="I625" s="103" t="str">
        <f aca="false">IF(OR($B625="", $D625="", $E625="", $F625="", $G625="", $H625=""),"",ROUND(($D625*Lists!$AD$20)+($E625*Lists!$AD$21)+($F625*Lists!$AD$22)+($G625*Lists!$AD$23)+($H625*Lists!$AD$24),2))</f>
        <v/>
      </c>
      <c r="J625" s="101"/>
      <c r="K625" s="105"/>
      <c r="L625" s="101"/>
    </row>
    <row r="626" customFormat="false" ht="15.75" hidden="false" customHeight="true" outlineLevel="0" collapsed="false">
      <c r="A626" s="113"/>
      <c r="B626" s="102"/>
      <c r="C626" s="101" t="str">
        <f aca="false">IF($B626="","",IFERROR(VLOOKUP($B626,'Application Portfolio'!$A$2:$B$1000,2,FALSE()),""))</f>
        <v/>
      </c>
      <c r="D626" s="106"/>
      <c r="E626" s="106"/>
      <c r="F626" s="106"/>
      <c r="G626" s="106"/>
      <c r="H626" s="106"/>
      <c r="I626" s="103" t="str">
        <f aca="false">IF(OR($B626="", $D626="", $E626="", $F626="", $G626="", $H626=""),"",ROUND(($D626*Lists!$AD$20)+($E626*Lists!$AD$21)+($F626*Lists!$AD$22)+($G626*Lists!$AD$23)+($H626*Lists!$AD$24),2))</f>
        <v/>
      </c>
      <c r="J626" s="101"/>
      <c r="K626" s="105"/>
      <c r="L626" s="101"/>
    </row>
    <row r="627" customFormat="false" ht="15.75" hidden="false" customHeight="true" outlineLevel="0" collapsed="false">
      <c r="A627" s="113"/>
      <c r="B627" s="102"/>
      <c r="C627" s="101" t="str">
        <f aca="false">IF($B627="","",IFERROR(VLOOKUP($B627,'Application Portfolio'!$A$2:$B$1000,2,FALSE()),""))</f>
        <v/>
      </c>
      <c r="D627" s="106"/>
      <c r="E627" s="106"/>
      <c r="F627" s="106"/>
      <c r="G627" s="106"/>
      <c r="H627" s="106"/>
      <c r="I627" s="103" t="str">
        <f aca="false">IF(OR($B627="", $D627="", $E627="", $F627="", $G627="", $H627=""),"",ROUND(($D627*Lists!$AD$20)+($E627*Lists!$AD$21)+($F627*Lists!$AD$22)+($G627*Lists!$AD$23)+($H627*Lists!$AD$24),2))</f>
        <v/>
      </c>
      <c r="J627" s="101"/>
      <c r="K627" s="105"/>
      <c r="L627" s="101"/>
    </row>
    <row r="628" customFormat="false" ht="15.75" hidden="false" customHeight="true" outlineLevel="0" collapsed="false">
      <c r="A628" s="113"/>
      <c r="B628" s="102"/>
      <c r="C628" s="101" t="str">
        <f aca="false">IF($B628="","",IFERROR(VLOOKUP($B628,'Application Portfolio'!$A$2:$B$1000,2,FALSE()),""))</f>
        <v/>
      </c>
      <c r="D628" s="106"/>
      <c r="E628" s="106"/>
      <c r="F628" s="106"/>
      <c r="G628" s="106"/>
      <c r="H628" s="106"/>
      <c r="I628" s="103" t="str">
        <f aca="false">IF(OR($B628="", $D628="", $E628="", $F628="", $G628="", $H628=""),"",ROUND(($D628*Lists!$AD$20)+($E628*Lists!$AD$21)+($F628*Lists!$AD$22)+($G628*Lists!$AD$23)+($H628*Lists!$AD$24),2))</f>
        <v/>
      </c>
      <c r="J628" s="101"/>
      <c r="K628" s="105"/>
      <c r="L628" s="101"/>
    </row>
    <row r="629" customFormat="false" ht="15.75" hidden="false" customHeight="true" outlineLevel="0" collapsed="false">
      <c r="A629" s="113"/>
      <c r="B629" s="102"/>
      <c r="C629" s="101" t="str">
        <f aca="false">IF($B629="","",IFERROR(VLOOKUP($B629,'Application Portfolio'!$A$2:$B$1000,2,FALSE()),""))</f>
        <v/>
      </c>
      <c r="D629" s="106"/>
      <c r="E629" s="106"/>
      <c r="F629" s="106"/>
      <c r="G629" s="106"/>
      <c r="H629" s="106"/>
      <c r="I629" s="103" t="str">
        <f aca="false">IF(OR($B629="", $D629="", $E629="", $F629="", $G629="", $H629=""),"",ROUND(($D629*Lists!$AD$20)+($E629*Lists!$AD$21)+($F629*Lists!$AD$22)+($G629*Lists!$AD$23)+($H629*Lists!$AD$24),2))</f>
        <v/>
      </c>
      <c r="J629" s="101"/>
      <c r="K629" s="105"/>
      <c r="L629" s="101"/>
    </row>
    <row r="630" customFormat="false" ht="15.75" hidden="false" customHeight="true" outlineLevel="0" collapsed="false">
      <c r="A630" s="113"/>
      <c r="B630" s="102"/>
      <c r="C630" s="101" t="str">
        <f aca="false">IF($B630="","",IFERROR(VLOOKUP($B630,'Application Portfolio'!$A$2:$B$1000,2,FALSE()),""))</f>
        <v/>
      </c>
      <c r="D630" s="106"/>
      <c r="E630" s="106"/>
      <c r="F630" s="106"/>
      <c r="G630" s="106"/>
      <c r="H630" s="106"/>
      <c r="I630" s="103" t="str">
        <f aca="false">IF(OR($B630="", $D630="", $E630="", $F630="", $G630="", $H630=""),"",ROUND(($D630*Lists!$AD$20)+($E630*Lists!$AD$21)+($F630*Lists!$AD$22)+($G630*Lists!$AD$23)+($H630*Lists!$AD$24),2))</f>
        <v/>
      </c>
      <c r="J630" s="101"/>
      <c r="K630" s="105"/>
      <c r="L630" s="101"/>
    </row>
    <row r="631" customFormat="false" ht="15.75" hidden="false" customHeight="true" outlineLevel="0" collapsed="false">
      <c r="A631" s="113"/>
      <c r="B631" s="102"/>
      <c r="C631" s="101" t="str">
        <f aca="false">IF($B631="","",IFERROR(VLOOKUP($B631,'Application Portfolio'!$A$2:$B$1000,2,FALSE()),""))</f>
        <v/>
      </c>
      <c r="D631" s="106"/>
      <c r="E631" s="106"/>
      <c r="F631" s="106"/>
      <c r="G631" s="106"/>
      <c r="H631" s="106"/>
      <c r="I631" s="103" t="str">
        <f aca="false">IF(OR($B631="", $D631="", $E631="", $F631="", $G631="", $H631=""),"",ROUND(($D631*Lists!$AD$20)+($E631*Lists!$AD$21)+($F631*Lists!$AD$22)+($G631*Lists!$AD$23)+($H631*Lists!$AD$24),2))</f>
        <v/>
      </c>
      <c r="J631" s="101"/>
      <c r="K631" s="105"/>
      <c r="L631" s="101"/>
    </row>
    <row r="632" customFormat="false" ht="15.75" hidden="false" customHeight="true" outlineLevel="0" collapsed="false">
      <c r="A632" s="113"/>
      <c r="B632" s="102"/>
      <c r="C632" s="101" t="str">
        <f aca="false">IF($B632="","",IFERROR(VLOOKUP($B632,'Application Portfolio'!$A$2:$B$1000,2,FALSE()),""))</f>
        <v/>
      </c>
      <c r="D632" s="106"/>
      <c r="E632" s="106"/>
      <c r="F632" s="106"/>
      <c r="G632" s="106"/>
      <c r="H632" s="106"/>
      <c r="I632" s="103" t="str">
        <f aca="false">IF(OR($B632="", $D632="", $E632="", $F632="", $G632="", $H632=""),"",ROUND(($D632*Lists!$AD$20)+($E632*Lists!$AD$21)+($F632*Lists!$AD$22)+($G632*Lists!$AD$23)+($H632*Lists!$AD$24),2))</f>
        <v/>
      </c>
      <c r="J632" s="101"/>
      <c r="K632" s="105"/>
      <c r="L632" s="101"/>
    </row>
    <row r="633" customFormat="false" ht="15.75" hidden="false" customHeight="true" outlineLevel="0" collapsed="false">
      <c r="A633" s="113"/>
      <c r="B633" s="102"/>
      <c r="C633" s="101" t="str">
        <f aca="false">IF($B633="","",IFERROR(VLOOKUP($B633,'Application Portfolio'!$A$2:$B$1000,2,FALSE()),""))</f>
        <v/>
      </c>
      <c r="D633" s="106"/>
      <c r="E633" s="106"/>
      <c r="F633" s="106"/>
      <c r="G633" s="106"/>
      <c r="H633" s="106"/>
      <c r="I633" s="103" t="str">
        <f aca="false">IF(OR($B633="", $D633="", $E633="", $F633="", $G633="", $H633=""),"",ROUND(($D633*Lists!$AD$20)+($E633*Lists!$AD$21)+($F633*Lists!$AD$22)+($G633*Lists!$AD$23)+($H633*Lists!$AD$24),2))</f>
        <v/>
      </c>
      <c r="J633" s="101"/>
      <c r="K633" s="105"/>
      <c r="L633" s="101"/>
    </row>
    <row r="634" customFormat="false" ht="15.75" hidden="false" customHeight="true" outlineLevel="0" collapsed="false">
      <c r="A634" s="113"/>
      <c r="B634" s="102"/>
      <c r="C634" s="101" t="str">
        <f aca="false">IF($B634="","",IFERROR(VLOOKUP($B634,'Application Portfolio'!$A$2:$B$1000,2,FALSE()),""))</f>
        <v/>
      </c>
      <c r="D634" s="106"/>
      <c r="E634" s="106"/>
      <c r="F634" s="106"/>
      <c r="G634" s="106"/>
      <c r="H634" s="106"/>
      <c r="I634" s="103" t="str">
        <f aca="false">IF(OR($B634="", $D634="", $E634="", $F634="", $G634="", $H634=""),"",ROUND(($D634*Lists!$AD$20)+($E634*Lists!$AD$21)+($F634*Lists!$AD$22)+($G634*Lists!$AD$23)+($H634*Lists!$AD$24),2))</f>
        <v/>
      </c>
      <c r="J634" s="101"/>
      <c r="K634" s="105"/>
      <c r="L634" s="101"/>
    </row>
    <row r="635" customFormat="false" ht="15.75" hidden="false" customHeight="true" outlineLevel="0" collapsed="false">
      <c r="A635" s="113"/>
      <c r="B635" s="102"/>
      <c r="C635" s="101" t="str">
        <f aca="false">IF($B635="","",IFERROR(VLOOKUP($B635,'Application Portfolio'!$A$2:$B$1000,2,FALSE()),""))</f>
        <v/>
      </c>
      <c r="D635" s="106"/>
      <c r="E635" s="106"/>
      <c r="F635" s="106"/>
      <c r="G635" s="106"/>
      <c r="H635" s="106"/>
      <c r="I635" s="103" t="str">
        <f aca="false">IF(OR($B635="", $D635="", $E635="", $F635="", $G635="", $H635=""),"",ROUND(($D635*Lists!$AD$20)+($E635*Lists!$AD$21)+($F635*Lists!$AD$22)+($G635*Lists!$AD$23)+($H635*Lists!$AD$24),2))</f>
        <v/>
      </c>
      <c r="J635" s="101"/>
      <c r="K635" s="105"/>
      <c r="L635" s="101"/>
    </row>
    <row r="636" customFormat="false" ht="15.75" hidden="false" customHeight="true" outlineLevel="0" collapsed="false">
      <c r="A636" s="113"/>
      <c r="B636" s="102"/>
      <c r="C636" s="101" t="str">
        <f aca="false">IF($B636="","",IFERROR(VLOOKUP($B636,'Application Portfolio'!$A$2:$B$1000,2,FALSE()),""))</f>
        <v/>
      </c>
      <c r="D636" s="106"/>
      <c r="E636" s="106"/>
      <c r="F636" s="106"/>
      <c r="G636" s="106"/>
      <c r="H636" s="106"/>
      <c r="I636" s="103" t="str">
        <f aca="false">IF(OR($B636="", $D636="", $E636="", $F636="", $G636="", $H636=""),"",ROUND(($D636*Lists!$AD$20)+($E636*Lists!$AD$21)+($F636*Lists!$AD$22)+($G636*Lists!$AD$23)+($H636*Lists!$AD$24),2))</f>
        <v/>
      </c>
      <c r="J636" s="101"/>
      <c r="K636" s="105"/>
      <c r="L636" s="101"/>
    </row>
    <row r="637" customFormat="false" ht="15.75" hidden="false" customHeight="true" outlineLevel="0" collapsed="false">
      <c r="A637" s="113"/>
      <c r="B637" s="102"/>
      <c r="C637" s="101" t="str">
        <f aca="false">IF($B637="","",IFERROR(VLOOKUP($B637,'Application Portfolio'!$A$2:$B$1000,2,FALSE()),""))</f>
        <v/>
      </c>
      <c r="D637" s="106"/>
      <c r="E637" s="106"/>
      <c r="F637" s="106"/>
      <c r="G637" s="106"/>
      <c r="H637" s="106"/>
      <c r="I637" s="103" t="str">
        <f aca="false">IF(OR($B637="", $D637="", $E637="", $F637="", $G637="", $H637=""),"",ROUND(($D637*Lists!$AD$20)+($E637*Lists!$AD$21)+($F637*Lists!$AD$22)+($G637*Lists!$AD$23)+($H637*Lists!$AD$24),2))</f>
        <v/>
      </c>
      <c r="J637" s="101"/>
      <c r="K637" s="105"/>
      <c r="L637" s="101"/>
    </row>
    <row r="638" customFormat="false" ht="15.75" hidden="false" customHeight="true" outlineLevel="0" collapsed="false">
      <c r="A638" s="113"/>
      <c r="B638" s="102"/>
      <c r="C638" s="101" t="str">
        <f aca="false">IF($B638="","",IFERROR(VLOOKUP($B638,'Application Portfolio'!$A$2:$B$1000,2,FALSE()),""))</f>
        <v/>
      </c>
      <c r="D638" s="106"/>
      <c r="E638" s="106"/>
      <c r="F638" s="106"/>
      <c r="G638" s="106"/>
      <c r="H638" s="106"/>
      <c r="I638" s="103" t="str">
        <f aca="false">IF(OR($B638="", $D638="", $E638="", $F638="", $G638="", $H638=""),"",ROUND(($D638*Lists!$AD$20)+($E638*Lists!$AD$21)+($F638*Lists!$AD$22)+($G638*Lists!$AD$23)+($H638*Lists!$AD$24),2))</f>
        <v/>
      </c>
      <c r="J638" s="101"/>
      <c r="K638" s="105"/>
      <c r="L638" s="101"/>
    </row>
    <row r="639" customFormat="false" ht="15.75" hidden="false" customHeight="true" outlineLevel="0" collapsed="false">
      <c r="A639" s="113"/>
      <c r="B639" s="102"/>
      <c r="C639" s="101" t="str">
        <f aca="false">IF($B639="","",IFERROR(VLOOKUP($B639,'Application Portfolio'!$A$2:$B$1000,2,FALSE()),""))</f>
        <v/>
      </c>
      <c r="D639" s="106"/>
      <c r="E639" s="106"/>
      <c r="F639" s="106"/>
      <c r="G639" s="106"/>
      <c r="H639" s="106"/>
      <c r="I639" s="103" t="str">
        <f aca="false">IF(OR($B639="", $D639="", $E639="", $F639="", $G639="", $H639=""),"",ROUND(($D639*Lists!$AD$20)+($E639*Lists!$AD$21)+($F639*Lists!$AD$22)+($G639*Lists!$AD$23)+($H639*Lists!$AD$24),2))</f>
        <v/>
      </c>
      <c r="J639" s="101"/>
      <c r="K639" s="105"/>
      <c r="L639" s="101"/>
    </row>
    <row r="640" customFormat="false" ht="15.75" hidden="false" customHeight="true" outlineLevel="0" collapsed="false">
      <c r="A640" s="113"/>
      <c r="B640" s="102"/>
      <c r="C640" s="101" t="str">
        <f aca="false">IF($B640="","",IFERROR(VLOOKUP($B640,'Application Portfolio'!$A$2:$B$1000,2,FALSE()),""))</f>
        <v/>
      </c>
      <c r="D640" s="106"/>
      <c r="E640" s="106"/>
      <c r="F640" s="106"/>
      <c r="G640" s="106"/>
      <c r="H640" s="106"/>
      <c r="I640" s="103" t="str">
        <f aca="false">IF(OR($B640="", $D640="", $E640="", $F640="", $G640="", $H640=""),"",ROUND(($D640*Lists!$AD$20)+($E640*Lists!$AD$21)+($F640*Lists!$AD$22)+($G640*Lists!$AD$23)+($H640*Lists!$AD$24),2))</f>
        <v/>
      </c>
      <c r="J640" s="101"/>
      <c r="K640" s="105"/>
      <c r="L640" s="101"/>
    </row>
    <row r="641" customFormat="false" ht="15.75" hidden="false" customHeight="true" outlineLevel="0" collapsed="false">
      <c r="A641" s="113"/>
      <c r="B641" s="102"/>
      <c r="C641" s="101" t="str">
        <f aca="false">IF($B641="","",IFERROR(VLOOKUP($B641,'Application Portfolio'!$A$2:$B$1000,2,FALSE()),""))</f>
        <v/>
      </c>
      <c r="D641" s="106"/>
      <c r="E641" s="106"/>
      <c r="F641" s="106"/>
      <c r="G641" s="106"/>
      <c r="H641" s="106"/>
      <c r="I641" s="103" t="str">
        <f aca="false">IF(OR($B641="", $D641="", $E641="", $F641="", $G641="", $H641=""),"",ROUND(($D641*Lists!$AD$20)+($E641*Lists!$AD$21)+($F641*Lists!$AD$22)+($G641*Lists!$AD$23)+($H641*Lists!$AD$24),2))</f>
        <v/>
      </c>
      <c r="J641" s="101"/>
      <c r="K641" s="105"/>
      <c r="L641" s="101"/>
    </row>
    <row r="642" customFormat="false" ht="15.75" hidden="false" customHeight="true" outlineLevel="0" collapsed="false">
      <c r="A642" s="113"/>
      <c r="B642" s="102"/>
      <c r="C642" s="101" t="str">
        <f aca="false">IF($B642="","",IFERROR(VLOOKUP($B642,'Application Portfolio'!$A$2:$B$1000,2,FALSE()),""))</f>
        <v/>
      </c>
      <c r="D642" s="106"/>
      <c r="E642" s="106"/>
      <c r="F642" s="106"/>
      <c r="G642" s="106"/>
      <c r="H642" s="106"/>
      <c r="I642" s="103" t="str">
        <f aca="false">IF(OR($B642="", $D642="", $E642="", $F642="", $G642="", $H642=""),"",ROUND(($D642*Lists!$AD$20)+($E642*Lists!$AD$21)+($F642*Lists!$AD$22)+($G642*Lists!$AD$23)+($H642*Lists!$AD$24),2))</f>
        <v/>
      </c>
      <c r="J642" s="101"/>
      <c r="K642" s="105"/>
      <c r="L642" s="101"/>
    </row>
    <row r="643" customFormat="false" ht="15.75" hidden="false" customHeight="true" outlineLevel="0" collapsed="false">
      <c r="A643" s="113"/>
      <c r="B643" s="102"/>
      <c r="C643" s="101" t="str">
        <f aca="false">IF($B643="","",IFERROR(VLOOKUP($B643,'Application Portfolio'!$A$2:$B$1000,2,FALSE()),""))</f>
        <v/>
      </c>
      <c r="D643" s="106"/>
      <c r="E643" s="106"/>
      <c r="F643" s="106"/>
      <c r="G643" s="106"/>
      <c r="H643" s="106"/>
      <c r="I643" s="103" t="str">
        <f aca="false">IF(OR($B643="", $D643="", $E643="", $F643="", $G643="", $H643=""),"",ROUND(($D643*Lists!$AD$20)+($E643*Lists!$AD$21)+($F643*Lists!$AD$22)+($G643*Lists!$AD$23)+($H643*Lists!$AD$24),2))</f>
        <v/>
      </c>
      <c r="J643" s="101"/>
      <c r="K643" s="105"/>
      <c r="L643" s="101"/>
    </row>
    <row r="644" customFormat="false" ht="15.75" hidden="false" customHeight="true" outlineLevel="0" collapsed="false">
      <c r="A644" s="113"/>
      <c r="B644" s="102"/>
      <c r="C644" s="101" t="str">
        <f aca="false">IF($B644="","",IFERROR(VLOOKUP($B644,'Application Portfolio'!$A$2:$B$1000,2,FALSE()),""))</f>
        <v/>
      </c>
      <c r="D644" s="106"/>
      <c r="E644" s="106"/>
      <c r="F644" s="106"/>
      <c r="G644" s="106"/>
      <c r="H644" s="106"/>
      <c r="I644" s="103" t="str">
        <f aca="false">IF(OR($B644="", $D644="", $E644="", $F644="", $G644="", $H644=""),"",ROUND(($D644*Lists!$AD$20)+($E644*Lists!$AD$21)+($F644*Lists!$AD$22)+($G644*Lists!$AD$23)+($H644*Lists!$AD$24),2))</f>
        <v/>
      </c>
      <c r="J644" s="101"/>
      <c r="K644" s="105"/>
      <c r="L644" s="101"/>
    </row>
    <row r="645" customFormat="false" ht="15.75" hidden="false" customHeight="true" outlineLevel="0" collapsed="false">
      <c r="A645" s="113"/>
      <c r="B645" s="102"/>
      <c r="C645" s="101" t="str">
        <f aca="false">IF($B645="","",IFERROR(VLOOKUP($B645,'Application Portfolio'!$A$2:$B$1000,2,FALSE()),""))</f>
        <v/>
      </c>
      <c r="D645" s="106"/>
      <c r="E645" s="106"/>
      <c r="F645" s="106"/>
      <c r="G645" s="106"/>
      <c r="H645" s="106"/>
      <c r="I645" s="103" t="str">
        <f aca="false">IF(OR($B645="", $D645="", $E645="", $F645="", $G645="", $H645=""),"",ROUND(($D645*Lists!$AD$20)+($E645*Lists!$AD$21)+($F645*Lists!$AD$22)+($G645*Lists!$AD$23)+($H645*Lists!$AD$24),2))</f>
        <v/>
      </c>
      <c r="J645" s="101"/>
      <c r="K645" s="105"/>
      <c r="L645" s="101"/>
    </row>
    <row r="646" customFormat="false" ht="15.75" hidden="false" customHeight="true" outlineLevel="0" collapsed="false">
      <c r="A646" s="113"/>
      <c r="B646" s="102"/>
      <c r="C646" s="101" t="str">
        <f aca="false">IF($B646="","",IFERROR(VLOOKUP($B646,'Application Portfolio'!$A$2:$B$1000,2,FALSE()),""))</f>
        <v/>
      </c>
      <c r="D646" s="106"/>
      <c r="E646" s="106"/>
      <c r="F646" s="106"/>
      <c r="G646" s="106"/>
      <c r="H646" s="106"/>
      <c r="I646" s="103" t="str">
        <f aca="false">IF(OR($B646="", $D646="", $E646="", $F646="", $G646="", $H646=""),"",ROUND(($D646*Lists!$AD$20)+($E646*Lists!$AD$21)+($F646*Lists!$AD$22)+($G646*Lists!$AD$23)+($H646*Lists!$AD$24),2))</f>
        <v/>
      </c>
      <c r="J646" s="101"/>
      <c r="K646" s="105"/>
      <c r="L646" s="101"/>
    </row>
    <row r="647" customFormat="false" ht="15.75" hidden="false" customHeight="true" outlineLevel="0" collapsed="false">
      <c r="A647" s="113"/>
      <c r="B647" s="102"/>
      <c r="C647" s="101" t="str">
        <f aca="false">IF($B647="","",IFERROR(VLOOKUP($B647,'Application Portfolio'!$A$2:$B$1000,2,FALSE()),""))</f>
        <v/>
      </c>
      <c r="D647" s="106"/>
      <c r="E647" s="106"/>
      <c r="F647" s="106"/>
      <c r="G647" s="106"/>
      <c r="H647" s="106"/>
      <c r="I647" s="103" t="str">
        <f aca="false">IF(OR($B647="", $D647="", $E647="", $F647="", $G647="", $H647=""),"",ROUND(($D647*Lists!$AD$20)+($E647*Lists!$AD$21)+($F647*Lists!$AD$22)+($G647*Lists!$AD$23)+($H647*Lists!$AD$24),2))</f>
        <v/>
      </c>
      <c r="J647" s="101"/>
      <c r="K647" s="105"/>
      <c r="L647" s="101"/>
    </row>
    <row r="648" customFormat="false" ht="15.75" hidden="false" customHeight="true" outlineLevel="0" collapsed="false">
      <c r="A648" s="113"/>
      <c r="B648" s="102"/>
      <c r="C648" s="101" t="str">
        <f aca="false">IF($B648="","",IFERROR(VLOOKUP($B648,'Application Portfolio'!$A$2:$B$1000,2,FALSE()),""))</f>
        <v/>
      </c>
      <c r="D648" s="106"/>
      <c r="E648" s="106"/>
      <c r="F648" s="106"/>
      <c r="G648" s="106"/>
      <c r="H648" s="106"/>
      <c r="I648" s="103" t="str">
        <f aca="false">IF(OR($B648="", $D648="", $E648="", $F648="", $G648="", $H648=""),"",ROUND(($D648*Lists!$AD$20)+($E648*Lists!$AD$21)+($F648*Lists!$AD$22)+($G648*Lists!$AD$23)+($H648*Lists!$AD$24),2))</f>
        <v/>
      </c>
      <c r="J648" s="101"/>
      <c r="K648" s="105"/>
      <c r="L648" s="101"/>
    </row>
    <row r="649" customFormat="false" ht="15.75" hidden="false" customHeight="true" outlineLevel="0" collapsed="false">
      <c r="A649" s="113"/>
      <c r="B649" s="102"/>
      <c r="C649" s="101" t="str">
        <f aca="false">IF($B649="","",IFERROR(VLOOKUP($B649,'Application Portfolio'!$A$2:$B$1000,2,FALSE()),""))</f>
        <v/>
      </c>
      <c r="D649" s="106"/>
      <c r="E649" s="106"/>
      <c r="F649" s="106"/>
      <c r="G649" s="106"/>
      <c r="H649" s="106"/>
      <c r="I649" s="103" t="str">
        <f aca="false">IF(OR($B649="", $D649="", $E649="", $F649="", $G649="", $H649=""),"",ROUND(($D649*Lists!$AD$20)+($E649*Lists!$AD$21)+($F649*Lists!$AD$22)+($G649*Lists!$AD$23)+($H649*Lists!$AD$24),2))</f>
        <v/>
      </c>
      <c r="J649" s="101"/>
      <c r="K649" s="105"/>
      <c r="L649" s="101"/>
    </row>
    <row r="650" customFormat="false" ht="15.75" hidden="false" customHeight="true" outlineLevel="0" collapsed="false">
      <c r="A650" s="113"/>
      <c r="B650" s="102"/>
      <c r="C650" s="101" t="str">
        <f aca="false">IF($B650="","",IFERROR(VLOOKUP($B650,'Application Portfolio'!$A$2:$B$1000,2,FALSE()),""))</f>
        <v/>
      </c>
      <c r="D650" s="106"/>
      <c r="E650" s="106"/>
      <c r="F650" s="106"/>
      <c r="G650" s="106"/>
      <c r="H650" s="106"/>
      <c r="I650" s="103" t="str">
        <f aca="false">IF(OR($B650="", $D650="", $E650="", $F650="", $G650="", $H650=""),"",ROUND(($D650*Lists!$AD$20)+($E650*Lists!$AD$21)+($F650*Lists!$AD$22)+($G650*Lists!$AD$23)+($H650*Lists!$AD$24),2))</f>
        <v/>
      </c>
      <c r="J650" s="101"/>
      <c r="K650" s="105"/>
      <c r="L650" s="101"/>
    </row>
    <row r="651" customFormat="false" ht="15.75" hidden="false" customHeight="true" outlineLevel="0" collapsed="false">
      <c r="A651" s="113"/>
      <c r="B651" s="102"/>
      <c r="C651" s="101" t="str">
        <f aca="false">IF($B651="","",IFERROR(VLOOKUP($B651,'Application Portfolio'!$A$2:$B$1000,2,FALSE()),""))</f>
        <v/>
      </c>
      <c r="D651" s="106"/>
      <c r="E651" s="106"/>
      <c r="F651" s="106"/>
      <c r="G651" s="106"/>
      <c r="H651" s="106"/>
      <c r="I651" s="103" t="str">
        <f aca="false">IF(OR($B651="", $D651="", $E651="", $F651="", $G651="", $H651=""),"",ROUND(($D651*Lists!$AD$20)+($E651*Lists!$AD$21)+($F651*Lists!$AD$22)+($G651*Lists!$AD$23)+($H651*Lists!$AD$24),2))</f>
        <v/>
      </c>
      <c r="J651" s="101"/>
      <c r="K651" s="105"/>
      <c r="L651" s="101"/>
    </row>
    <row r="652" customFormat="false" ht="15.75" hidden="false" customHeight="true" outlineLevel="0" collapsed="false">
      <c r="A652" s="113"/>
      <c r="B652" s="102"/>
      <c r="C652" s="101" t="str">
        <f aca="false">IF($B652="","",IFERROR(VLOOKUP($B652,'Application Portfolio'!$A$2:$B$1000,2,FALSE()),""))</f>
        <v/>
      </c>
      <c r="D652" s="106"/>
      <c r="E652" s="106"/>
      <c r="F652" s="106"/>
      <c r="G652" s="106"/>
      <c r="H652" s="106"/>
      <c r="I652" s="103" t="str">
        <f aca="false">IF(OR($B652="", $D652="", $E652="", $F652="", $G652="", $H652=""),"",ROUND(($D652*Lists!$AD$20)+($E652*Lists!$AD$21)+($F652*Lists!$AD$22)+($G652*Lists!$AD$23)+($H652*Lists!$AD$24),2))</f>
        <v/>
      </c>
      <c r="J652" s="101"/>
      <c r="K652" s="105"/>
      <c r="L652" s="101"/>
    </row>
    <row r="653" customFormat="false" ht="15.75" hidden="false" customHeight="true" outlineLevel="0" collapsed="false">
      <c r="A653" s="113"/>
      <c r="B653" s="102"/>
      <c r="C653" s="101" t="str">
        <f aca="false">IF($B653="","",IFERROR(VLOOKUP($B653,'Application Portfolio'!$A$2:$B$1000,2,FALSE()),""))</f>
        <v/>
      </c>
      <c r="D653" s="106"/>
      <c r="E653" s="106"/>
      <c r="F653" s="106"/>
      <c r="G653" s="106"/>
      <c r="H653" s="106"/>
      <c r="I653" s="103" t="str">
        <f aca="false">IF(OR($B653="", $D653="", $E653="", $F653="", $G653="", $H653=""),"",ROUND(($D653*Lists!$AD$20)+($E653*Lists!$AD$21)+($F653*Lists!$AD$22)+($G653*Lists!$AD$23)+($H653*Lists!$AD$24),2))</f>
        <v/>
      </c>
      <c r="J653" s="101"/>
      <c r="K653" s="105"/>
      <c r="L653" s="101"/>
    </row>
    <row r="654" customFormat="false" ht="15.75" hidden="false" customHeight="true" outlineLevel="0" collapsed="false">
      <c r="A654" s="113"/>
      <c r="B654" s="102"/>
      <c r="C654" s="101" t="str">
        <f aca="false">IF($B654="","",IFERROR(VLOOKUP($B654,'Application Portfolio'!$A$2:$B$1000,2,FALSE()),""))</f>
        <v/>
      </c>
      <c r="D654" s="106"/>
      <c r="E654" s="106"/>
      <c r="F654" s="106"/>
      <c r="G654" s="106"/>
      <c r="H654" s="106"/>
      <c r="I654" s="103" t="str">
        <f aca="false">IF(OR($B654="", $D654="", $E654="", $F654="", $G654="", $H654=""),"",ROUND(($D654*Lists!$AD$20)+($E654*Lists!$AD$21)+($F654*Lists!$AD$22)+($G654*Lists!$AD$23)+($H654*Lists!$AD$24),2))</f>
        <v/>
      </c>
      <c r="J654" s="101"/>
      <c r="K654" s="105"/>
      <c r="L654" s="101"/>
    </row>
    <row r="655" customFormat="false" ht="15.75" hidden="false" customHeight="true" outlineLevel="0" collapsed="false">
      <c r="A655" s="113"/>
      <c r="B655" s="102"/>
      <c r="C655" s="101" t="str">
        <f aca="false">IF($B655="","",IFERROR(VLOOKUP($B655,'Application Portfolio'!$A$2:$B$1000,2,FALSE()),""))</f>
        <v/>
      </c>
      <c r="D655" s="106"/>
      <c r="E655" s="106"/>
      <c r="F655" s="106"/>
      <c r="G655" s="106"/>
      <c r="H655" s="106"/>
      <c r="I655" s="103" t="str">
        <f aca="false">IF(OR($B655="", $D655="", $E655="", $F655="", $G655="", $H655=""),"",ROUND(($D655*Lists!$AD$20)+($E655*Lists!$AD$21)+($F655*Lists!$AD$22)+($G655*Lists!$AD$23)+($H655*Lists!$AD$24),2))</f>
        <v/>
      </c>
      <c r="J655" s="101"/>
      <c r="K655" s="105"/>
      <c r="L655" s="101"/>
    </row>
    <row r="656" customFormat="false" ht="15.75" hidden="false" customHeight="true" outlineLevel="0" collapsed="false">
      <c r="A656" s="113"/>
      <c r="B656" s="102"/>
      <c r="C656" s="101" t="str">
        <f aca="false">IF($B656="","",IFERROR(VLOOKUP($B656,'Application Portfolio'!$A$2:$B$1000,2,FALSE()),""))</f>
        <v/>
      </c>
      <c r="D656" s="106"/>
      <c r="E656" s="106"/>
      <c r="F656" s="106"/>
      <c r="G656" s="106"/>
      <c r="H656" s="106"/>
      <c r="I656" s="103" t="str">
        <f aca="false">IF(OR($B656="", $D656="", $E656="", $F656="", $G656="", $H656=""),"",ROUND(($D656*Lists!$AD$20)+($E656*Lists!$AD$21)+($F656*Lists!$AD$22)+($G656*Lists!$AD$23)+($H656*Lists!$AD$24),2))</f>
        <v/>
      </c>
      <c r="J656" s="101"/>
      <c r="K656" s="105"/>
      <c r="L656" s="101"/>
    </row>
    <row r="657" customFormat="false" ht="15.75" hidden="false" customHeight="true" outlineLevel="0" collapsed="false">
      <c r="A657" s="113"/>
      <c r="B657" s="102"/>
      <c r="C657" s="101" t="str">
        <f aca="false">IF($B657="","",IFERROR(VLOOKUP($B657,'Application Portfolio'!$A$2:$B$1000,2,FALSE()),""))</f>
        <v/>
      </c>
      <c r="D657" s="106"/>
      <c r="E657" s="106"/>
      <c r="F657" s="106"/>
      <c r="G657" s="106"/>
      <c r="H657" s="106"/>
      <c r="I657" s="103" t="str">
        <f aca="false">IF(OR($B657="", $D657="", $E657="", $F657="", $G657="", $H657=""),"",ROUND(($D657*Lists!$AD$20)+($E657*Lists!$AD$21)+($F657*Lists!$AD$22)+($G657*Lists!$AD$23)+($H657*Lists!$AD$24),2))</f>
        <v/>
      </c>
      <c r="J657" s="101"/>
      <c r="K657" s="105"/>
      <c r="L657" s="101"/>
    </row>
    <row r="658" customFormat="false" ht="15.75" hidden="false" customHeight="true" outlineLevel="0" collapsed="false">
      <c r="A658" s="113"/>
      <c r="B658" s="102"/>
      <c r="C658" s="101" t="str">
        <f aca="false">IF($B658="","",IFERROR(VLOOKUP($B658,'Application Portfolio'!$A$2:$B$1000,2,FALSE()),""))</f>
        <v/>
      </c>
      <c r="D658" s="106"/>
      <c r="E658" s="106"/>
      <c r="F658" s="106"/>
      <c r="G658" s="106"/>
      <c r="H658" s="106"/>
      <c r="I658" s="103" t="str">
        <f aca="false">IF(OR($B658="", $D658="", $E658="", $F658="", $G658="", $H658=""),"",ROUND(($D658*Lists!$AD$20)+($E658*Lists!$AD$21)+($F658*Lists!$AD$22)+($G658*Lists!$AD$23)+($H658*Lists!$AD$24),2))</f>
        <v/>
      </c>
      <c r="J658" s="101"/>
      <c r="K658" s="105"/>
      <c r="L658" s="101"/>
    </row>
    <row r="659" customFormat="false" ht="15.75" hidden="false" customHeight="true" outlineLevel="0" collapsed="false">
      <c r="A659" s="113"/>
      <c r="B659" s="102"/>
      <c r="C659" s="101" t="str">
        <f aca="false">IF($B659="","",IFERROR(VLOOKUP($B659,'Application Portfolio'!$A$2:$B$1000,2,FALSE()),""))</f>
        <v/>
      </c>
      <c r="D659" s="106"/>
      <c r="E659" s="106"/>
      <c r="F659" s="106"/>
      <c r="G659" s="106"/>
      <c r="H659" s="106"/>
      <c r="I659" s="103" t="str">
        <f aca="false">IF(OR($B659="", $D659="", $E659="", $F659="", $G659="", $H659=""),"",ROUND(($D659*Lists!$AD$20)+($E659*Lists!$AD$21)+($F659*Lists!$AD$22)+($G659*Lists!$AD$23)+($H659*Lists!$AD$24),2))</f>
        <v/>
      </c>
      <c r="J659" s="101"/>
      <c r="K659" s="105"/>
      <c r="L659" s="101"/>
    </row>
    <row r="660" customFormat="false" ht="15.75" hidden="false" customHeight="true" outlineLevel="0" collapsed="false">
      <c r="A660" s="113"/>
      <c r="B660" s="102"/>
      <c r="C660" s="101" t="str">
        <f aca="false">IF($B660="","",IFERROR(VLOOKUP($B660,'Application Portfolio'!$A$2:$B$1000,2,FALSE()),""))</f>
        <v/>
      </c>
      <c r="D660" s="106"/>
      <c r="E660" s="106"/>
      <c r="F660" s="106"/>
      <c r="G660" s="106"/>
      <c r="H660" s="106"/>
      <c r="I660" s="103" t="str">
        <f aca="false">IF(OR($B660="", $D660="", $E660="", $F660="", $G660="", $H660=""),"",ROUND(($D660*Lists!$AD$20)+($E660*Lists!$AD$21)+($F660*Lists!$AD$22)+($G660*Lists!$AD$23)+($H660*Lists!$AD$24),2))</f>
        <v/>
      </c>
      <c r="J660" s="101"/>
      <c r="K660" s="105"/>
      <c r="L660" s="101"/>
    </row>
    <row r="661" customFormat="false" ht="15.75" hidden="false" customHeight="true" outlineLevel="0" collapsed="false">
      <c r="A661" s="113"/>
      <c r="B661" s="102"/>
      <c r="C661" s="101" t="str">
        <f aca="false">IF($B661="","",IFERROR(VLOOKUP($B661,'Application Portfolio'!$A$2:$B$1000,2,FALSE()),""))</f>
        <v/>
      </c>
      <c r="D661" s="106"/>
      <c r="E661" s="106"/>
      <c r="F661" s="106"/>
      <c r="G661" s="106"/>
      <c r="H661" s="106"/>
      <c r="I661" s="103" t="str">
        <f aca="false">IF(OR($B661="", $D661="", $E661="", $F661="", $G661="", $H661=""),"",ROUND(($D661*Lists!$AD$20)+($E661*Lists!$AD$21)+($F661*Lists!$AD$22)+($G661*Lists!$AD$23)+($H661*Lists!$AD$24),2))</f>
        <v/>
      </c>
      <c r="J661" s="101"/>
      <c r="K661" s="105"/>
      <c r="L661" s="101"/>
    </row>
    <row r="662" customFormat="false" ht="15.75" hidden="false" customHeight="true" outlineLevel="0" collapsed="false">
      <c r="A662" s="113"/>
      <c r="B662" s="102"/>
      <c r="C662" s="101" t="str">
        <f aca="false">IF($B662="","",IFERROR(VLOOKUP($B662,'Application Portfolio'!$A$2:$B$1000,2,FALSE()),""))</f>
        <v/>
      </c>
      <c r="D662" s="106"/>
      <c r="E662" s="106"/>
      <c r="F662" s="106"/>
      <c r="G662" s="106"/>
      <c r="H662" s="106"/>
      <c r="I662" s="103" t="str">
        <f aca="false">IF(OR($B662="", $D662="", $E662="", $F662="", $G662="", $H662=""),"",ROUND(($D662*Lists!$AD$20)+($E662*Lists!$AD$21)+($F662*Lists!$AD$22)+($G662*Lists!$AD$23)+($H662*Lists!$AD$24),2))</f>
        <v/>
      </c>
      <c r="J662" s="101"/>
      <c r="K662" s="105"/>
      <c r="L662" s="101"/>
    </row>
    <row r="663" customFormat="false" ht="15.75" hidden="false" customHeight="true" outlineLevel="0" collapsed="false">
      <c r="A663" s="113"/>
      <c r="B663" s="102"/>
      <c r="C663" s="101" t="str">
        <f aca="false">IF($B663="","",IFERROR(VLOOKUP($B663,'Application Portfolio'!$A$2:$B$1000,2,FALSE()),""))</f>
        <v/>
      </c>
      <c r="D663" s="106"/>
      <c r="E663" s="106"/>
      <c r="F663" s="106"/>
      <c r="G663" s="106"/>
      <c r="H663" s="106"/>
      <c r="I663" s="103" t="str">
        <f aca="false">IF(OR($B663="", $D663="", $E663="", $F663="", $G663="", $H663=""),"",ROUND(($D663*Lists!$AD$20)+($E663*Lists!$AD$21)+($F663*Lists!$AD$22)+($G663*Lists!$AD$23)+($H663*Lists!$AD$24),2))</f>
        <v/>
      </c>
      <c r="J663" s="101"/>
      <c r="K663" s="105"/>
      <c r="L663" s="101"/>
    </row>
    <row r="664" customFormat="false" ht="15.75" hidden="false" customHeight="true" outlineLevel="0" collapsed="false">
      <c r="A664" s="113"/>
      <c r="B664" s="102"/>
      <c r="C664" s="101" t="str">
        <f aca="false">IF($B664="","",IFERROR(VLOOKUP($B664,'Application Portfolio'!$A$2:$B$1000,2,FALSE()),""))</f>
        <v/>
      </c>
      <c r="D664" s="106"/>
      <c r="E664" s="106"/>
      <c r="F664" s="106"/>
      <c r="G664" s="106"/>
      <c r="H664" s="106"/>
      <c r="I664" s="103" t="str">
        <f aca="false">IF(OR($B664="", $D664="", $E664="", $F664="", $G664="", $H664=""),"",ROUND(($D664*Lists!$AD$20)+($E664*Lists!$AD$21)+($F664*Lists!$AD$22)+($G664*Lists!$AD$23)+($H664*Lists!$AD$24),2))</f>
        <v/>
      </c>
      <c r="J664" s="101"/>
      <c r="K664" s="105"/>
      <c r="L664" s="101"/>
    </row>
    <row r="665" customFormat="false" ht="15.75" hidden="false" customHeight="true" outlineLevel="0" collapsed="false">
      <c r="A665" s="113"/>
      <c r="B665" s="102"/>
      <c r="C665" s="101" t="str">
        <f aca="false">IF($B665="","",IFERROR(VLOOKUP($B665,'Application Portfolio'!$A$2:$B$1000,2,FALSE()),""))</f>
        <v/>
      </c>
      <c r="D665" s="106"/>
      <c r="E665" s="106"/>
      <c r="F665" s="106"/>
      <c r="G665" s="106"/>
      <c r="H665" s="106"/>
      <c r="I665" s="103" t="str">
        <f aca="false">IF(OR($B665="", $D665="", $E665="", $F665="", $G665="", $H665=""),"",ROUND(($D665*Lists!$AD$20)+($E665*Lists!$AD$21)+($F665*Lists!$AD$22)+($G665*Lists!$AD$23)+($H665*Lists!$AD$24),2))</f>
        <v/>
      </c>
      <c r="J665" s="101"/>
      <c r="K665" s="105"/>
      <c r="L665" s="101"/>
    </row>
    <row r="666" customFormat="false" ht="15.75" hidden="false" customHeight="true" outlineLevel="0" collapsed="false">
      <c r="A666" s="113"/>
      <c r="B666" s="102"/>
      <c r="C666" s="101" t="str">
        <f aca="false">IF($B666="","",IFERROR(VLOOKUP($B666,'Application Portfolio'!$A$2:$B$1000,2,FALSE()),""))</f>
        <v/>
      </c>
      <c r="D666" s="106"/>
      <c r="E666" s="106"/>
      <c r="F666" s="106"/>
      <c r="G666" s="106"/>
      <c r="H666" s="106"/>
      <c r="I666" s="103" t="str">
        <f aca="false">IF(OR($B666="", $D666="", $E666="", $F666="", $G666="", $H666=""),"",ROUND(($D666*Lists!$AD$20)+($E666*Lists!$AD$21)+($F666*Lists!$AD$22)+($G666*Lists!$AD$23)+($H666*Lists!$AD$24),2))</f>
        <v/>
      </c>
      <c r="J666" s="101"/>
      <c r="K666" s="105"/>
      <c r="L666" s="101"/>
    </row>
    <row r="667" customFormat="false" ht="15.75" hidden="false" customHeight="true" outlineLevel="0" collapsed="false">
      <c r="A667" s="113"/>
      <c r="B667" s="102"/>
      <c r="C667" s="101" t="str">
        <f aca="false">IF($B667="","",IFERROR(VLOOKUP($B667,'Application Portfolio'!$A$2:$B$1000,2,FALSE()),""))</f>
        <v/>
      </c>
      <c r="D667" s="106"/>
      <c r="E667" s="106"/>
      <c r="F667" s="106"/>
      <c r="G667" s="106"/>
      <c r="H667" s="106"/>
      <c r="I667" s="103" t="str">
        <f aca="false">IF(OR($B667="", $D667="", $E667="", $F667="", $G667="", $H667=""),"",ROUND(($D667*Lists!$AD$20)+($E667*Lists!$AD$21)+($F667*Lists!$AD$22)+($G667*Lists!$AD$23)+($H667*Lists!$AD$24),2))</f>
        <v/>
      </c>
      <c r="J667" s="101"/>
      <c r="K667" s="105"/>
      <c r="L667" s="101"/>
    </row>
    <row r="668" customFormat="false" ht="15.75" hidden="false" customHeight="true" outlineLevel="0" collapsed="false">
      <c r="A668" s="113"/>
      <c r="B668" s="102"/>
      <c r="C668" s="101" t="str">
        <f aca="false">IF($B668="","",IFERROR(VLOOKUP($B668,'Application Portfolio'!$A$2:$B$1000,2,FALSE()),""))</f>
        <v/>
      </c>
      <c r="D668" s="106"/>
      <c r="E668" s="106"/>
      <c r="F668" s="106"/>
      <c r="G668" s="106"/>
      <c r="H668" s="106"/>
      <c r="I668" s="103" t="str">
        <f aca="false">IF(OR($B668="", $D668="", $E668="", $F668="", $G668="", $H668=""),"",ROUND(($D668*Lists!$AD$20)+($E668*Lists!$AD$21)+($F668*Lists!$AD$22)+($G668*Lists!$AD$23)+($H668*Lists!$AD$24),2))</f>
        <v/>
      </c>
      <c r="J668" s="101"/>
      <c r="K668" s="105"/>
      <c r="L668" s="101"/>
    </row>
    <row r="669" customFormat="false" ht="15.75" hidden="false" customHeight="true" outlineLevel="0" collapsed="false">
      <c r="A669" s="113"/>
      <c r="B669" s="102"/>
      <c r="C669" s="101" t="str">
        <f aca="false">IF($B669="","",IFERROR(VLOOKUP($B669,'Application Portfolio'!$A$2:$B$1000,2,FALSE()),""))</f>
        <v/>
      </c>
      <c r="D669" s="106"/>
      <c r="E669" s="106"/>
      <c r="F669" s="106"/>
      <c r="G669" s="106"/>
      <c r="H669" s="106"/>
      <c r="I669" s="103" t="str">
        <f aca="false">IF(OR($B669="", $D669="", $E669="", $F669="", $G669="", $H669=""),"",ROUND(($D669*Lists!$AD$20)+($E669*Lists!$AD$21)+($F669*Lists!$AD$22)+($G669*Lists!$AD$23)+($H669*Lists!$AD$24),2))</f>
        <v/>
      </c>
      <c r="J669" s="101"/>
      <c r="K669" s="105"/>
      <c r="L669" s="101"/>
    </row>
    <row r="670" customFormat="false" ht="15.75" hidden="false" customHeight="true" outlineLevel="0" collapsed="false">
      <c r="A670" s="113"/>
      <c r="B670" s="102"/>
      <c r="C670" s="101" t="str">
        <f aca="false">IF($B670="","",IFERROR(VLOOKUP($B670,'Application Portfolio'!$A$2:$B$1000,2,FALSE()),""))</f>
        <v/>
      </c>
      <c r="D670" s="106"/>
      <c r="E670" s="106"/>
      <c r="F670" s="106"/>
      <c r="G670" s="106"/>
      <c r="H670" s="106"/>
      <c r="I670" s="103" t="str">
        <f aca="false">IF(OR($B670="", $D670="", $E670="", $F670="", $G670="", $H670=""),"",ROUND(($D670*Lists!$AD$20)+($E670*Lists!$AD$21)+($F670*Lists!$AD$22)+($G670*Lists!$AD$23)+($H670*Lists!$AD$24),2))</f>
        <v/>
      </c>
      <c r="J670" s="101"/>
      <c r="K670" s="105"/>
      <c r="L670" s="101"/>
    </row>
    <row r="671" customFormat="false" ht="15.75" hidden="false" customHeight="true" outlineLevel="0" collapsed="false">
      <c r="A671" s="113"/>
      <c r="B671" s="102"/>
      <c r="C671" s="101" t="str">
        <f aca="false">IF($B671="","",IFERROR(VLOOKUP($B671,'Application Portfolio'!$A$2:$B$1000,2,FALSE()),""))</f>
        <v/>
      </c>
      <c r="D671" s="106"/>
      <c r="E671" s="106"/>
      <c r="F671" s="106"/>
      <c r="G671" s="106"/>
      <c r="H671" s="106"/>
      <c r="I671" s="103" t="str">
        <f aca="false">IF(OR($B671="", $D671="", $E671="", $F671="", $G671="", $H671=""),"",ROUND(($D671*Lists!$AD$20)+($E671*Lists!$AD$21)+($F671*Lists!$AD$22)+($G671*Lists!$AD$23)+($H671*Lists!$AD$24),2))</f>
        <v/>
      </c>
      <c r="J671" s="101"/>
      <c r="K671" s="105"/>
      <c r="L671" s="101"/>
    </row>
    <row r="672" customFormat="false" ht="15.75" hidden="false" customHeight="true" outlineLevel="0" collapsed="false">
      <c r="A672" s="113"/>
      <c r="B672" s="102"/>
      <c r="C672" s="101" t="str">
        <f aca="false">IF($B672="","",IFERROR(VLOOKUP($B672,'Application Portfolio'!$A$2:$B$1000,2,FALSE()),""))</f>
        <v/>
      </c>
      <c r="D672" s="106"/>
      <c r="E672" s="106"/>
      <c r="F672" s="106"/>
      <c r="G672" s="106"/>
      <c r="H672" s="106"/>
      <c r="I672" s="103" t="str">
        <f aca="false">IF(OR($B672="", $D672="", $E672="", $F672="", $G672="", $H672=""),"",ROUND(($D672*Lists!$AD$20)+($E672*Lists!$AD$21)+($F672*Lists!$AD$22)+($G672*Lists!$AD$23)+($H672*Lists!$AD$24),2))</f>
        <v/>
      </c>
      <c r="J672" s="101"/>
      <c r="K672" s="105"/>
      <c r="L672" s="101"/>
    </row>
    <row r="673" customFormat="false" ht="15.75" hidden="false" customHeight="true" outlineLevel="0" collapsed="false">
      <c r="A673" s="113"/>
      <c r="B673" s="102"/>
      <c r="C673" s="101" t="str">
        <f aca="false">IF($B673="","",IFERROR(VLOOKUP($B673,'Application Portfolio'!$A$2:$B$1000,2,FALSE()),""))</f>
        <v/>
      </c>
      <c r="D673" s="106"/>
      <c r="E673" s="106"/>
      <c r="F673" s="106"/>
      <c r="G673" s="106"/>
      <c r="H673" s="106"/>
      <c r="I673" s="103" t="str">
        <f aca="false">IF(OR($B673="", $D673="", $E673="", $F673="", $G673="", $H673=""),"",ROUND(($D673*Lists!$AD$20)+($E673*Lists!$AD$21)+($F673*Lists!$AD$22)+($G673*Lists!$AD$23)+($H673*Lists!$AD$24),2))</f>
        <v/>
      </c>
      <c r="J673" s="101"/>
      <c r="K673" s="105"/>
      <c r="L673" s="101"/>
    </row>
    <row r="674" customFormat="false" ht="15.75" hidden="false" customHeight="true" outlineLevel="0" collapsed="false">
      <c r="A674" s="113"/>
      <c r="B674" s="102"/>
      <c r="C674" s="101" t="str">
        <f aca="false">IF($B674="","",IFERROR(VLOOKUP($B674,'Application Portfolio'!$A$2:$B$1000,2,FALSE()),""))</f>
        <v/>
      </c>
      <c r="D674" s="106"/>
      <c r="E674" s="106"/>
      <c r="F674" s="106"/>
      <c r="G674" s="106"/>
      <c r="H674" s="106"/>
      <c r="I674" s="103" t="str">
        <f aca="false">IF(OR($B674="", $D674="", $E674="", $F674="", $G674="", $H674=""),"",ROUND(($D674*Lists!$AD$20)+($E674*Lists!$AD$21)+($F674*Lists!$AD$22)+($G674*Lists!$AD$23)+($H674*Lists!$AD$24),2))</f>
        <v/>
      </c>
      <c r="J674" s="101"/>
      <c r="K674" s="105"/>
      <c r="L674" s="101"/>
    </row>
    <row r="675" customFormat="false" ht="15.75" hidden="false" customHeight="true" outlineLevel="0" collapsed="false">
      <c r="A675" s="113"/>
      <c r="B675" s="102"/>
      <c r="C675" s="101" t="str">
        <f aca="false">IF($B675="","",IFERROR(VLOOKUP($B675,'Application Portfolio'!$A$2:$B$1000,2,FALSE()),""))</f>
        <v/>
      </c>
      <c r="D675" s="106"/>
      <c r="E675" s="106"/>
      <c r="F675" s="106"/>
      <c r="G675" s="106"/>
      <c r="H675" s="106"/>
      <c r="I675" s="103" t="str">
        <f aca="false">IF(OR($B675="", $D675="", $E675="", $F675="", $G675="", $H675=""),"",ROUND(($D675*Lists!$AD$20)+($E675*Lists!$AD$21)+($F675*Lists!$AD$22)+($G675*Lists!$AD$23)+($H675*Lists!$AD$24),2))</f>
        <v/>
      </c>
      <c r="J675" s="101"/>
      <c r="K675" s="105"/>
      <c r="L675" s="101"/>
    </row>
    <row r="676" customFormat="false" ht="15.75" hidden="false" customHeight="true" outlineLevel="0" collapsed="false">
      <c r="A676" s="113"/>
      <c r="B676" s="102"/>
      <c r="C676" s="101" t="str">
        <f aca="false">IF($B676="","",IFERROR(VLOOKUP($B676,'Application Portfolio'!$A$2:$B$1000,2,FALSE()),""))</f>
        <v/>
      </c>
      <c r="D676" s="106"/>
      <c r="E676" s="106"/>
      <c r="F676" s="106"/>
      <c r="G676" s="106"/>
      <c r="H676" s="106"/>
      <c r="I676" s="103" t="str">
        <f aca="false">IF(OR($B676="", $D676="", $E676="", $F676="", $G676="", $H676=""),"",ROUND(($D676*Lists!$AD$20)+($E676*Lists!$AD$21)+($F676*Lists!$AD$22)+($G676*Lists!$AD$23)+($H676*Lists!$AD$24),2))</f>
        <v/>
      </c>
      <c r="J676" s="101"/>
      <c r="K676" s="105"/>
      <c r="L676" s="101"/>
    </row>
    <row r="677" customFormat="false" ht="15.75" hidden="false" customHeight="true" outlineLevel="0" collapsed="false">
      <c r="A677" s="113"/>
      <c r="B677" s="102"/>
      <c r="C677" s="101" t="str">
        <f aca="false">IF($B677="","",IFERROR(VLOOKUP($B677,'Application Portfolio'!$A$2:$B$1000,2,FALSE()),""))</f>
        <v/>
      </c>
      <c r="D677" s="106"/>
      <c r="E677" s="106"/>
      <c r="F677" s="106"/>
      <c r="G677" s="106"/>
      <c r="H677" s="106"/>
      <c r="I677" s="103" t="str">
        <f aca="false">IF(OR($B677="", $D677="", $E677="", $F677="", $G677="", $H677=""),"",ROUND(($D677*Lists!$AD$20)+($E677*Lists!$AD$21)+($F677*Lists!$AD$22)+($G677*Lists!$AD$23)+($H677*Lists!$AD$24),2))</f>
        <v/>
      </c>
      <c r="J677" s="101"/>
      <c r="K677" s="105"/>
      <c r="L677" s="101"/>
    </row>
    <row r="678" customFormat="false" ht="15.75" hidden="false" customHeight="true" outlineLevel="0" collapsed="false">
      <c r="A678" s="113"/>
      <c r="B678" s="102"/>
      <c r="C678" s="101" t="str">
        <f aca="false">IF($B678="","",IFERROR(VLOOKUP($B678,'Application Portfolio'!$A$2:$B$1000,2,FALSE()),""))</f>
        <v/>
      </c>
      <c r="D678" s="106"/>
      <c r="E678" s="106"/>
      <c r="F678" s="106"/>
      <c r="G678" s="106"/>
      <c r="H678" s="106"/>
      <c r="I678" s="103" t="str">
        <f aca="false">IF(OR($B678="", $D678="", $E678="", $F678="", $G678="", $H678=""),"",ROUND(($D678*Lists!$AD$20)+($E678*Lists!$AD$21)+($F678*Lists!$AD$22)+($G678*Lists!$AD$23)+($H678*Lists!$AD$24),2))</f>
        <v/>
      </c>
      <c r="J678" s="101"/>
      <c r="K678" s="105"/>
      <c r="L678" s="101"/>
    </row>
    <row r="679" customFormat="false" ht="15.75" hidden="false" customHeight="true" outlineLevel="0" collapsed="false">
      <c r="A679" s="113"/>
      <c r="B679" s="102"/>
      <c r="C679" s="101" t="str">
        <f aca="false">IF($B679="","",IFERROR(VLOOKUP($B679,'Application Portfolio'!$A$2:$B$1000,2,FALSE()),""))</f>
        <v/>
      </c>
      <c r="D679" s="106"/>
      <c r="E679" s="106"/>
      <c r="F679" s="106"/>
      <c r="G679" s="106"/>
      <c r="H679" s="106"/>
      <c r="I679" s="103" t="str">
        <f aca="false">IF(OR($B679="", $D679="", $E679="", $F679="", $G679="", $H679=""),"",ROUND(($D679*Lists!$AD$20)+($E679*Lists!$AD$21)+($F679*Lists!$AD$22)+($G679*Lists!$AD$23)+($H679*Lists!$AD$24),2))</f>
        <v/>
      </c>
      <c r="J679" s="101"/>
      <c r="K679" s="105"/>
      <c r="L679" s="101"/>
    </row>
    <row r="680" customFormat="false" ht="15.75" hidden="false" customHeight="true" outlineLevel="0" collapsed="false">
      <c r="A680" s="113"/>
      <c r="B680" s="102"/>
      <c r="C680" s="101" t="str">
        <f aca="false">IF($B680="","",IFERROR(VLOOKUP($B680,'Application Portfolio'!$A$2:$B$1000,2,FALSE()),""))</f>
        <v/>
      </c>
      <c r="D680" s="106"/>
      <c r="E680" s="106"/>
      <c r="F680" s="106"/>
      <c r="G680" s="106"/>
      <c r="H680" s="106"/>
      <c r="I680" s="103" t="str">
        <f aca="false">IF(OR($B680="", $D680="", $E680="", $F680="", $G680="", $H680=""),"",ROUND(($D680*Lists!$AD$20)+($E680*Lists!$AD$21)+($F680*Lists!$AD$22)+($G680*Lists!$AD$23)+($H680*Lists!$AD$24),2))</f>
        <v/>
      </c>
      <c r="J680" s="101"/>
      <c r="K680" s="105"/>
      <c r="L680" s="101"/>
    </row>
    <row r="681" customFormat="false" ht="15.75" hidden="false" customHeight="true" outlineLevel="0" collapsed="false">
      <c r="A681" s="113"/>
      <c r="B681" s="102"/>
      <c r="C681" s="101" t="str">
        <f aca="false">IF($B681="","",IFERROR(VLOOKUP($B681,'Application Portfolio'!$A$2:$B$1000,2,FALSE()),""))</f>
        <v/>
      </c>
      <c r="D681" s="106"/>
      <c r="E681" s="106"/>
      <c r="F681" s="106"/>
      <c r="G681" s="106"/>
      <c r="H681" s="106"/>
      <c r="I681" s="103" t="str">
        <f aca="false">IF(OR($B681="", $D681="", $E681="", $F681="", $G681="", $H681=""),"",ROUND(($D681*Lists!$AD$20)+($E681*Lists!$AD$21)+($F681*Lists!$AD$22)+($G681*Lists!$AD$23)+($H681*Lists!$AD$24),2))</f>
        <v/>
      </c>
      <c r="J681" s="101"/>
      <c r="K681" s="105"/>
      <c r="L681" s="101"/>
    </row>
    <row r="682" customFormat="false" ht="15.75" hidden="false" customHeight="true" outlineLevel="0" collapsed="false">
      <c r="A682" s="113"/>
      <c r="B682" s="102"/>
      <c r="C682" s="101" t="str">
        <f aca="false">IF($B682="","",IFERROR(VLOOKUP($B682,'Application Portfolio'!$A$2:$B$1000,2,FALSE()),""))</f>
        <v/>
      </c>
      <c r="D682" s="106"/>
      <c r="E682" s="106"/>
      <c r="F682" s="106"/>
      <c r="G682" s="106"/>
      <c r="H682" s="106"/>
      <c r="I682" s="103" t="str">
        <f aca="false">IF(OR($B682="", $D682="", $E682="", $F682="", $G682="", $H682=""),"",ROUND(($D682*Lists!$AD$20)+($E682*Lists!$AD$21)+($F682*Lists!$AD$22)+($G682*Lists!$AD$23)+($H682*Lists!$AD$24),2))</f>
        <v/>
      </c>
      <c r="J682" s="101"/>
      <c r="K682" s="105"/>
      <c r="L682" s="101"/>
    </row>
    <row r="683" customFormat="false" ht="15.75" hidden="false" customHeight="true" outlineLevel="0" collapsed="false">
      <c r="A683" s="113"/>
      <c r="B683" s="102"/>
      <c r="C683" s="101" t="str">
        <f aca="false">IF($B683="","",IFERROR(VLOOKUP($B683,'Application Portfolio'!$A$2:$B$1000,2,FALSE()),""))</f>
        <v/>
      </c>
      <c r="D683" s="106"/>
      <c r="E683" s="106"/>
      <c r="F683" s="106"/>
      <c r="G683" s="106"/>
      <c r="H683" s="106"/>
      <c r="I683" s="103" t="str">
        <f aca="false">IF(OR($B683="", $D683="", $E683="", $F683="", $G683="", $H683=""),"",ROUND(($D683*Lists!$AD$20)+($E683*Lists!$AD$21)+($F683*Lists!$AD$22)+($G683*Lists!$AD$23)+($H683*Lists!$AD$24),2))</f>
        <v/>
      </c>
      <c r="J683" s="101"/>
      <c r="K683" s="105"/>
      <c r="L683" s="101"/>
    </row>
    <row r="684" customFormat="false" ht="15.75" hidden="false" customHeight="true" outlineLevel="0" collapsed="false">
      <c r="A684" s="113"/>
      <c r="B684" s="102"/>
      <c r="C684" s="101" t="str">
        <f aca="false">IF($B684="","",IFERROR(VLOOKUP($B684,'Application Portfolio'!$A$2:$B$1000,2,FALSE()),""))</f>
        <v/>
      </c>
      <c r="D684" s="106"/>
      <c r="E684" s="106"/>
      <c r="F684" s="106"/>
      <c r="G684" s="106"/>
      <c r="H684" s="106"/>
      <c r="I684" s="103" t="str">
        <f aca="false">IF(OR($B684="", $D684="", $E684="", $F684="", $G684="", $H684=""),"",ROUND(($D684*Lists!$AD$20)+($E684*Lists!$AD$21)+($F684*Lists!$AD$22)+($G684*Lists!$AD$23)+($H684*Lists!$AD$24),2))</f>
        <v/>
      </c>
      <c r="J684" s="101"/>
      <c r="K684" s="105"/>
      <c r="L684" s="101"/>
    </row>
    <row r="685" customFormat="false" ht="15.75" hidden="false" customHeight="true" outlineLevel="0" collapsed="false">
      <c r="A685" s="113"/>
      <c r="B685" s="102"/>
      <c r="C685" s="101" t="str">
        <f aca="false">IF($B685="","",IFERROR(VLOOKUP($B685,'Application Portfolio'!$A$2:$B$1000,2,FALSE()),""))</f>
        <v/>
      </c>
      <c r="D685" s="106"/>
      <c r="E685" s="106"/>
      <c r="F685" s="106"/>
      <c r="G685" s="106"/>
      <c r="H685" s="106"/>
      <c r="I685" s="103" t="str">
        <f aca="false">IF(OR($B685="", $D685="", $E685="", $F685="", $G685="", $H685=""),"",ROUND(($D685*Lists!$AD$20)+($E685*Lists!$AD$21)+($F685*Lists!$AD$22)+($G685*Lists!$AD$23)+($H685*Lists!$AD$24),2))</f>
        <v/>
      </c>
      <c r="J685" s="101"/>
      <c r="K685" s="105"/>
      <c r="L685" s="101"/>
    </row>
    <row r="686" customFormat="false" ht="15.75" hidden="false" customHeight="true" outlineLevel="0" collapsed="false">
      <c r="A686" s="113"/>
      <c r="B686" s="102"/>
      <c r="C686" s="101" t="str">
        <f aca="false">IF($B686="","",IFERROR(VLOOKUP($B686,'Application Portfolio'!$A$2:$B$1000,2,FALSE()),""))</f>
        <v/>
      </c>
      <c r="D686" s="106"/>
      <c r="E686" s="106"/>
      <c r="F686" s="106"/>
      <c r="G686" s="106"/>
      <c r="H686" s="106"/>
      <c r="I686" s="103" t="str">
        <f aca="false">IF(OR($B686="", $D686="", $E686="", $F686="", $G686="", $H686=""),"",ROUND(($D686*Lists!$AD$20)+($E686*Lists!$AD$21)+($F686*Lists!$AD$22)+($G686*Lists!$AD$23)+($H686*Lists!$AD$24),2))</f>
        <v/>
      </c>
      <c r="J686" s="101"/>
      <c r="K686" s="105"/>
      <c r="L686" s="101"/>
    </row>
    <row r="687" customFormat="false" ht="15.75" hidden="false" customHeight="true" outlineLevel="0" collapsed="false">
      <c r="A687" s="113"/>
      <c r="B687" s="102"/>
      <c r="C687" s="101" t="str">
        <f aca="false">IF($B687="","",IFERROR(VLOOKUP($B687,'Application Portfolio'!$A$2:$B$1000,2,FALSE()),""))</f>
        <v/>
      </c>
      <c r="D687" s="106"/>
      <c r="E687" s="106"/>
      <c r="F687" s="106"/>
      <c r="G687" s="106"/>
      <c r="H687" s="106"/>
      <c r="I687" s="103" t="str">
        <f aca="false">IF(OR($B687="", $D687="", $E687="", $F687="", $G687="", $H687=""),"",ROUND(($D687*Lists!$AD$20)+($E687*Lists!$AD$21)+($F687*Lists!$AD$22)+($G687*Lists!$AD$23)+($H687*Lists!$AD$24),2))</f>
        <v/>
      </c>
      <c r="J687" s="101"/>
      <c r="K687" s="105"/>
      <c r="L687" s="101"/>
    </row>
    <row r="688" customFormat="false" ht="15.75" hidden="false" customHeight="true" outlineLevel="0" collapsed="false">
      <c r="A688" s="113"/>
      <c r="B688" s="102"/>
      <c r="C688" s="101" t="str">
        <f aca="false">IF($B688="","",IFERROR(VLOOKUP($B688,'Application Portfolio'!$A$2:$B$1000,2,FALSE()),""))</f>
        <v/>
      </c>
      <c r="D688" s="106"/>
      <c r="E688" s="106"/>
      <c r="F688" s="106"/>
      <c r="G688" s="106"/>
      <c r="H688" s="106"/>
      <c r="I688" s="103" t="str">
        <f aca="false">IF(OR($B688="", $D688="", $E688="", $F688="", $G688="", $H688=""),"",ROUND(($D688*Lists!$AD$20)+($E688*Lists!$AD$21)+($F688*Lists!$AD$22)+($G688*Lists!$AD$23)+($H688*Lists!$AD$24),2))</f>
        <v/>
      </c>
      <c r="J688" s="101"/>
      <c r="K688" s="105"/>
      <c r="L688" s="101"/>
    </row>
    <row r="689" customFormat="false" ht="15.75" hidden="false" customHeight="true" outlineLevel="0" collapsed="false">
      <c r="A689" s="113"/>
      <c r="B689" s="102"/>
      <c r="C689" s="101" t="str">
        <f aca="false">IF($B689="","",IFERROR(VLOOKUP($B689,'Application Portfolio'!$A$2:$B$1000,2,FALSE()),""))</f>
        <v/>
      </c>
      <c r="D689" s="106"/>
      <c r="E689" s="106"/>
      <c r="F689" s="106"/>
      <c r="G689" s="106"/>
      <c r="H689" s="106"/>
      <c r="I689" s="103" t="str">
        <f aca="false">IF(OR($B689="", $D689="", $E689="", $F689="", $G689="", $H689=""),"",ROUND(($D689*Lists!$AD$20)+($E689*Lists!$AD$21)+($F689*Lists!$AD$22)+($G689*Lists!$AD$23)+($H689*Lists!$AD$24),2))</f>
        <v/>
      </c>
      <c r="J689" s="101"/>
      <c r="K689" s="105"/>
      <c r="L689" s="101"/>
    </row>
    <row r="690" customFormat="false" ht="15.75" hidden="false" customHeight="true" outlineLevel="0" collapsed="false">
      <c r="A690" s="113"/>
      <c r="B690" s="102"/>
      <c r="C690" s="101" t="str">
        <f aca="false">IF($B690="","",IFERROR(VLOOKUP($B690,'Application Portfolio'!$A$2:$B$1000,2,FALSE()),""))</f>
        <v/>
      </c>
      <c r="D690" s="106"/>
      <c r="E690" s="106"/>
      <c r="F690" s="106"/>
      <c r="G690" s="106"/>
      <c r="H690" s="106"/>
      <c r="I690" s="103" t="str">
        <f aca="false">IF(OR($B690="", $D690="", $E690="", $F690="", $G690="", $H690=""),"",ROUND(($D690*Lists!$AD$20)+($E690*Lists!$AD$21)+($F690*Lists!$AD$22)+($G690*Lists!$AD$23)+($H690*Lists!$AD$24),2))</f>
        <v/>
      </c>
      <c r="J690" s="101"/>
      <c r="K690" s="105"/>
      <c r="L690" s="101"/>
    </row>
    <row r="691" customFormat="false" ht="15.75" hidden="false" customHeight="true" outlineLevel="0" collapsed="false">
      <c r="A691" s="113"/>
      <c r="B691" s="102"/>
      <c r="C691" s="101" t="str">
        <f aca="false">IF($B691="","",IFERROR(VLOOKUP($B691,'Application Portfolio'!$A$2:$B$1000,2,FALSE()),""))</f>
        <v/>
      </c>
      <c r="D691" s="106"/>
      <c r="E691" s="106"/>
      <c r="F691" s="106"/>
      <c r="G691" s="106"/>
      <c r="H691" s="106"/>
      <c r="I691" s="103" t="str">
        <f aca="false">IF(OR($B691="", $D691="", $E691="", $F691="", $G691="", $H691=""),"",ROUND(($D691*Lists!$AD$20)+($E691*Lists!$AD$21)+($F691*Lists!$AD$22)+($G691*Lists!$AD$23)+($H691*Lists!$AD$24),2))</f>
        <v/>
      </c>
      <c r="J691" s="101"/>
      <c r="K691" s="105"/>
      <c r="L691" s="101"/>
    </row>
    <row r="692" customFormat="false" ht="15.75" hidden="false" customHeight="true" outlineLevel="0" collapsed="false">
      <c r="A692" s="113"/>
      <c r="B692" s="102"/>
      <c r="C692" s="101" t="str">
        <f aca="false">IF($B692="","",IFERROR(VLOOKUP($B692,'Application Portfolio'!$A$2:$B$1000,2,FALSE()),""))</f>
        <v/>
      </c>
      <c r="D692" s="106"/>
      <c r="E692" s="106"/>
      <c r="F692" s="106"/>
      <c r="G692" s="106"/>
      <c r="H692" s="106"/>
      <c r="I692" s="103" t="str">
        <f aca="false">IF(OR($B692="", $D692="", $E692="", $F692="", $G692="", $H692=""),"",ROUND(($D692*Lists!$AD$20)+($E692*Lists!$AD$21)+($F692*Lists!$AD$22)+($G692*Lists!$AD$23)+($H692*Lists!$AD$24),2))</f>
        <v/>
      </c>
      <c r="J692" s="101"/>
      <c r="K692" s="105"/>
      <c r="L692" s="101"/>
    </row>
    <row r="693" customFormat="false" ht="15.75" hidden="false" customHeight="true" outlineLevel="0" collapsed="false">
      <c r="A693" s="113"/>
      <c r="B693" s="102"/>
      <c r="C693" s="101" t="str">
        <f aca="false">IF($B693="","",IFERROR(VLOOKUP($B693,'Application Portfolio'!$A$2:$B$1000,2,FALSE()),""))</f>
        <v/>
      </c>
      <c r="D693" s="106"/>
      <c r="E693" s="106"/>
      <c r="F693" s="106"/>
      <c r="G693" s="106"/>
      <c r="H693" s="106"/>
      <c r="I693" s="103" t="str">
        <f aca="false">IF(OR($B693="", $D693="", $E693="", $F693="", $G693="", $H693=""),"",ROUND(($D693*Lists!$AD$20)+($E693*Lists!$AD$21)+($F693*Lists!$AD$22)+($G693*Lists!$AD$23)+($H693*Lists!$AD$24),2))</f>
        <v/>
      </c>
      <c r="J693" s="101"/>
      <c r="K693" s="105"/>
      <c r="L693" s="101"/>
    </row>
    <row r="694" customFormat="false" ht="15.75" hidden="false" customHeight="true" outlineLevel="0" collapsed="false">
      <c r="A694" s="113"/>
      <c r="B694" s="102"/>
      <c r="C694" s="101" t="str">
        <f aca="false">IF($B694="","",IFERROR(VLOOKUP($B694,'Application Portfolio'!$A$2:$B$1000,2,FALSE()),""))</f>
        <v/>
      </c>
      <c r="D694" s="106"/>
      <c r="E694" s="106"/>
      <c r="F694" s="106"/>
      <c r="G694" s="106"/>
      <c r="H694" s="106"/>
      <c r="I694" s="103" t="str">
        <f aca="false">IF(OR($B694="", $D694="", $E694="", $F694="", $G694="", $H694=""),"",ROUND(($D694*Lists!$AD$20)+($E694*Lists!$AD$21)+($F694*Lists!$AD$22)+($G694*Lists!$AD$23)+($H694*Lists!$AD$24),2))</f>
        <v/>
      </c>
      <c r="J694" s="101"/>
      <c r="K694" s="105"/>
      <c r="L694" s="101"/>
    </row>
    <row r="695" customFormat="false" ht="15.75" hidden="false" customHeight="true" outlineLevel="0" collapsed="false">
      <c r="A695" s="113"/>
      <c r="B695" s="102"/>
      <c r="C695" s="101" t="str">
        <f aca="false">IF($B695="","",IFERROR(VLOOKUP($B695,'Application Portfolio'!$A$2:$B$1000,2,FALSE()),""))</f>
        <v/>
      </c>
      <c r="D695" s="106"/>
      <c r="E695" s="106"/>
      <c r="F695" s="106"/>
      <c r="G695" s="106"/>
      <c r="H695" s="106"/>
      <c r="I695" s="103" t="str">
        <f aca="false">IF(OR($B695="", $D695="", $E695="", $F695="", $G695="", $H695=""),"",ROUND(($D695*Lists!$AD$20)+($E695*Lists!$AD$21)+($F695*Lists!$AD$22)+($G695*Lists!$AD$23)+($H695*Lists!$AD$24),2))</f>
        <v/>
      </c>
      <c r="J695" s="101"/>
      <c r="K695" s="105"/>
      <c r="L695" s="101"/>
    </row>
    <row r="696" customFormat="false" ht="15.75" hidden="false" customHeight="true" outlineLevel="0" collapsed="false">
      <c r="A696" s="113"/>
      <c r="B696" s="102"/>
      <c r="C696" s="101" t="str">
        <f aca="false">IF($B696="","",IFERROR(VLOOKUP($B696,'Application Portfolio'!$A$2:$B$1000,2,FALSE()),""))</f>
        <v/>
      </c>
      <c r="D696" s="106"/>
      <c r="E696" s="106"/>
      <c r="F696" s="106"/>
      <c r="G696" s="106"/>
      <c r="H696" s="106"/>
      <c r="I696" s="103" t="str">
        <f aca="false">IF(OR($B696="", $D696="", $E696="", $F696="", $G696="", $H696=""),"",ROUND(($D696*Lists!$AD$20)+($E696*Lists!$AD$21)+($F696*Lists!$AD$22)+($G696*Lists!$AD$23)+($H696*Lists!$AD$24),2))</f>
        <v/>
      </c>
      <c r="J696" s="101"/>
      <c r="K696" s="105"/>
      <c r="L696" s="101"/>
    </row>
    <row r="697" customFormat="false" ht="15.75" hidden="false" customHeight="true" outlineLevel="0" collapsed="false">
      <c r="A697" s="113"/>
      <c r="B697" s="102"/>
      <c r="C697" s="101" t="str">
        <f aca="false">IF($B697="","",IFERROR(VLOOKUP($B697,'Application Portfolio'!$A$2:$B$1000,2,FALSE()),""))</f>
        <v/>
      </c>
      <c r="D697" s="106"/>
      <c r="E697" s="106"/>
      <c r="F697" s="106"/>
      <c r="G697" s="106"/>
      <c r="H697" s="106"/>
      <c r="I697" s="103" t="str">
        <f aca="false">IF(OR($B697="", $D697="", $E697="", $F697="", $G697="", $H697=""),"",ROUND(($D697*Lists!$AD$20)+($E697*Lists!$AD$21)+($F697*Lists!$AD$22)+($G697*Lists!$AD$23)+($H697*Lists!$AD$24),2))</f>
        <v/>
      </c>
      <c r="J697" s="101"/>
      <c r="K697" s="105"/>
      <c r="L697" s="101"/>
    </row>
    <row r="698" customFormat="false" ht="15.75" hidden="false" customHeight="true" outlineLevel="0" collapsed="false">
      <c r="A698" s="113"/>
      <c r="B698" s="102"/>
      <c r="C698" s="101" t="str">
        <f aca="false">IF($B698="","",IFERROR(VLOOKUP($B698,'Application Portfolio'!$A$2:$B$1000,2,FALSE()),""))</f>
        <v/>
      </c>
      <c r="D698" s="106"/>
      <c r="E698" s="106"/>
      <c r="F698" s="106"/>
      <c r="G698" s="106"/>
      <c r="H698" s="106"/>
      <c r="I698" s="103" t="str">
        <f aca="false">IF(OR($B698="", $D698="", $E698="", $F698="", $G698="", $H698=""),"",ROUND(($D698*Lists!$AD$20)+($E698*Lists!$AD$21)+($F698*Lists!$AD$22)+($G698*Lists!$AD$23)+($H698*Lists!$AD$24),2))</f>
        <v/>
      </c>
      <c r="J698" s="101"/>
      <c r="K698" s="105"/>
      <c r="L698" s="101"/>
    </row>
    <row r="699" customFormat="false" ht="15.75" hidden="false" customHeight="true" outlineLevel="0" collapsed="false">
      <c r="A699" s="113"/>
      <c r="B699" s="102"/>
      <c r="C699" s="101" t="str">
        <f aca="false">IF($B699="","",IFERROR(VLOOKUP($B699,'Application Portfolio'!$A$2:$B$1000,2,FALSE()),""))</f>
        <v/>
      </c>
      <c r="D699" s="106"/>
      <c r="E699" s="106"/>
      <c r="F699" s="106"/>
      <c r="G699" s="106"/>
      <c r="H699" s="106"/>
      <c r="I699" s="103" t="str">
        <f aca="false">IF(OR($B699="", $D699="", $E699="", $F699="", $G699="", $H699=""),"",ROUND(($D699*Lists!$AD$20)+($E699*Lists!$AD$21)+($F699*Lists!$AD$22)+($G699*Lists!$AD$23)+($H699*Lists!$AD$24),2))</f>
        <v/>
      </c>
      <c r="J699" s="101"/>
      <c r="K699" s="105"/>
      <c r="L699" s="101"/>
    </row>
    <row r="700" customFormat="false" ht="15.75" hidden="false" customHeight="true" outlineLevel="0" collapsed="false">
      <c r="A700" s="113"/>
      <c r="B700" s="102"/>
      <c r="C700" s="101" t="str">
        <f aca="false">IF($B700="","",IFERROR(VLOOKUP($B700,'Application Portfolio'!$A$2:$B$1000,2,FALSE()),""))</f>
        <v/>
      </c>
      <c r="D700" s="106"/>
      <c r="E700" s="106"/>
      <c r="F700" s="106"/>
      <c r="G700" s="106"/>
      <c r="H700" s="106"/>
      <c r="I700" s="103" t="str">
        <f aca="false">IF(OR($B700="", $D700="", $E700="", $F700="", $G700="", $H700=""),"",ROUND(($D700*Lists!$AD$20)+($E700*Lists!$AD$21)+($F700*Lists!$AD$22)+($G700*Lists!$AD$23)+($H700*Lists!$AD$24),2))</f>
        <v/>
      </c>
      <c r="J700" s="101"/>
      <c r="K700" s="105"/>
      <c r="L700" s="101"/>
    </row>
    <row r="701" customFormat="false" ht="15.75" hidden="false" customHeight="true" outlineLevel="0" collapsed="false">
      <c r="A701" s="113"/>
      <c r="B701" s="102"/>
      <c r="C701" s="101" t="str">
        <f aca="false">IF($B701="","",IFERROR(VLOOKUP($B701,'Application Portfolio'!$A$2:$B$1000,2,FALSE()),""))</f>
        <v/>
      </c>
      <c r="D701" s="106"/>
      <c r="E701" s="106"/>
      <c r="F701" s="106"/>
      <c r="G701" s="106"/>
      <c r="H701" s="106"/>
      <c r="I701" s="103" t="str">
        <f aca="false">IF(OR($B701="", $D701="", $E701="", $F701="", $G701="", $H701=""),"",ROUND(($D701*Lists!$AD$20)+($E701*Lists!$AD$21)+($F701*Lists!$AD$22)+($G701*Lists!$AD$23)+($H701*Lists!$AD$24),2))</f>
        <v/>
      </c>
      <c r="J701" s="101"/>
      <c r="K701" s="105"/>
      <c r="L701" s="101"/>
    </row>
    <row r="702" customFormat="false" ht="15.75" hidden="false" customHeight="true" outlineLevel="0" collapsed="false">
      <c r="A702" s="113"/>
      <c r="B702" s="102"/>
      <c r="C702" s="101" t="str">
        <f aca="false">IF($B702="","",IFERROR(VLOOKUP($B702,'Application Portfolio'!$A$2:$B$1000,2,FALSE()),""))</f>
        <v/>
      </c>
      <c r="D702" s="106"/>
      <c r="E702" s="106"/>
      <c r="F702" s="106"/>
      <c r="G702" s="106"/>
      <c r="H702" s="106"/>
      <c r="I702" s="103" t="str">
        <f aca="false">IF(OR($B702="", $D702="", $E702="", $F702="", $G702="", $H702=""),"",ROUND(($D702*Lists!$AD$20)+($E702*Lists!$AD$21)+($F702*Lists!$AD$22)+($G702*Lists!$AD$23)+($H702*Lists!$AD$24),2))</f>
        <v/>
      </c>
      <c r="J702" s="101"/>
      <c r="K702" s="105"/>
      <c r="L702" s="101"/>
    </row>
    <row r="703" customFormat="false" ht="15.75" hidden="false" customHeight="true" outlineLevel="0" collapsed="false">
      <c r="A703" s="113"/>
      <c r="B703" s="102"/>
      <c r="C703" s="101" t="str">
        <f aca="false">IF($B703="","",IFERROR(VLOOKUP($B703,'Application Portfolio'!$A$2:$B$1000,2,FALSE()),""))</f>
        <v/>
      </c>
      <c r="D703" s="106"/>
      <c r="E703" s="106"/>
      <c r="F703" s="106"/>
      <c r="G703" s="106"/>
      <c r="H703" s="106"/>
      <c r="I703" s="103" t="str">
        <f aca="false">IF(OR($B703="", $D703="", $E703="", $F703="", $G703="", $H703=""),"",ROUND(($D703*Lists!$AD$20)+($E703*Lists!$AD$21)+($F703*Lists!$AD$22)+($G703*Lists!$AD$23)+($H703*Lists!$AD$24),2))</f>
        <v/>
      </c>
      <c r="J703" s="101"/>
      <c r="K703" s="105"/>
      <c r="L703" s="101"/>
    </row>
    <row r="704" customFormat="false" ht="15.75" hidden="false" customHeight="true" outlineLevel="0" collapsed="false">
      <c r="A704" s="113"/>
      <c r="B704" s="102"/>
      <c r="C704" s="101" t="str">
        <f aca="false">IF($B704="","",IFERROR(VLOOKUP($B704,'Application Portfolio'!$A$2:$B$1000,2,FALSE()),""))</f>
        <v/>
      </c>
      <c r="D704" s="106"/>
      <c r="E704" s="106"/>
      <c r="F704" s="106"/>
      <c r="G704" s="106"/>
      <c r="H704" s="106"/>
      <c r="I704" s="103" t="str">
        <f aca="false">IF(OR($B704="", $D704="", $E704="", $F704="", $G704="", $H704=""),"",ROUND(($D704*Lists!$AD$20)+($E704*Lists!$AD$21)+($F704*Lists!$AD$22)+($G704*Lists!$AD$23)+($H704*Lists!$AD$24),2))</f>
        <v/>
      </c>
      <c r="J704" s="101"/>
      <c r="K704" s="105"/>
      <c r="L704" s="101"/>
    </row>
    <row r="705" customFormat="false" ht="15.75" hidden="false" customHeight="true" outlineLevel="0" collapsed="false">
      <c r="A705" s="113"/>
      <c r="B705" s="102"/>
      <c r="C705" s="101" t="str">
        <f aca="false">IF($B705="","",IFERROR(VLOOKUP($B705,'Application Portfolio'!$A$2:$B$1000,2,FALSE()),""))</f>
        <v/>
      </c>
      <c r="D705" s="106"/>
      <c r="E705" s="106"/>
      <c r="F705" s="106"/>
      <c r="G705" s="106"/>
      <c r="H705" s="106"/>
      <c r="I705" s="103" t="str">
        <f aca="false">IF(OR($B705="", $D705="", $E705="", $F705="", $G705="", $H705=""),"",ROUND(($D705*Lists!$AD$20)+($E705*Lists!$AD$21)+($F705*Lists!$AD$22)+($G705*Lists!$AD$23)+($H705*Lists!$AD$24),2))</f>
        <v/>
      </c>
      <c r="J705" s="101"/>
      <c r="K705" s="105"/>
      <c r="L705" s="101"/>
    </row>
    <row r="706" customFormat="false" ht="15.75" hidden="false" customHeight="true" outlineLevel="0" collapsed="false">
      <c r="A706" s="113"/>
      <c r="B706" s="102"/>
      <c r="C706" s="101" t="str">
        <f aca="false">IF($B706="","",IFERROR(VLOOKUP($B706,'Application Portfolio'!$A$2:$B$1000,2,FALSE()),""))</f>
        <v/>
      </c>
      <c r="D706" s="106"/>
      <c r="E706" s="106"/>
      <c r="F706" s="106"/>
      <c r="G706" s="106"/>
      <c r="H706" s="106"/>
      <c r="I706" s="103" t="str">
        <f aca="false">IF(OR($B706="", $D706="", $E706="", $F706="", $G706="", $H706=""),"",ROUND(($D706*Lists!$AD$20)+($E706*Lists!$AD$21)+($F706*Lists!$AD$22)+($G706*Lists!$AD$23)+($H706*Lists!$AD$24),2))</f>
        <v/>
      </c>
      <c r="J706" s="101"/>
      <c r="K706" s="105"/>
      <c r="L706" s="101"/>
    </row>
    <row r="707" customFormat="false" ht="15.75" hidden="false" customHeight="true" outlineLevel="0" collapsed="false">
      <c r="A707" s="113"/>
      <c r="B707" s="102"/>
      <c r="C707" s="101" t="str">
        <f aca="false">IF($B707="","",IFERROR(VLOOKUP($B707,'Application Portfolio'!$A$2:$B$1000,2,FALSE()),""))</f>
        <v/>
      </c>
      <c r="D707" s="106"/>
      <c r="E707" s="106"/>
      <c r="F707" s="106"/>
      <c r="G707" s="106"/>
      <c r="H707" s="106"/>
      <c r="I707" s="103" t="str">
        <f aca="false">IF(OR($B707="", $D707="", $E707="", $F707="", $G707="", $H707=""),"",ROUND(($D707*Lists!$AD$20)+($E707*Lists!$AD$21)+($F707*Lists!$AD$22)+($G707*Lists!$AD$23)+($H707*Lists!$AD$24),2))</f>
        <v/>
      </c>
      <c r="J707" s="101"/>
      <c r="K707" s="105"/>
      <c r="L707" s="101"/>
    </row>
    <row r="708" customFormat="false" ht="15.75" hidden="false" customHeight="true" outlineLevel="0" collapsed="false">
      <c r="A708" s="113"/>
      <c r="B708" s="102"/>
      <c r="C708" s="101" t="str">
        <f aca="false">IF($B708="","",IFERROR(VLOOKUP($B708,'Application Portfolio'!$A$2:$B$1000,2,FALSE()),""))</f>
        <v/>
      </c>
      <c r="D708" s="106"/>
      <c r="E708" s="106"/>
      <c r="F708" s="106"/>
      <c r="G708" s="106"/>
      <c r="H708" s="106"/>
      <c r="I708" s="103" t="str">
        <f aca="false">IF(OR($B708="", $D708="", $E708="", $F708="", $G708="", $H708=""),"",ROUND(($D708*Lists!$AD$20)+($E708*Lists!$AD$21)+($F708*Lists!$AD$22)+($G708*Lists!$AD$23)+($H708*Lists!$AD$24),2))</f>
        <v/>
      </c>
      <c r="J708" s="101"/>
      <c r="K708" s="105"/>
      <c r="L708" s="101"/>
    </row>
    <row r="709" customFormat="false" ht="15.75" hidden="false" customHeight="true" outlineLevel="0" collapsed="false">
      <c r="A709" s="113"/>
      <c r="B709" s="102"/>
      <c r="C709" s="101" t="str">
        <f aca="false">IF($B709="","",IFERROR(VLOOKUP($B709,'Application Portfolio'!$A$2:$B$1000,2,FALSE()),""))</f>
        <v/>
      </c>
      <c r="D709" s="106"/>
      <c r="E709" s="106"/>
      <c r="F709" s="106"/>
      <c r="G709" s="106"/>
      <c r="H709" s="106"/>
      <c r="I709" s="103" t="str">
        <f aca="false">IF(OR($B709="", $D709="", $E709="", $F709="", $G709="", $H709=""),"",ROUND(($D709*Lists!$AD$20)+($E709*Lists!$AD$21)+($F709*Lists!$AD$22)+($G709*Lists!$AD$23)+($H709*Lists!$AD$24),2))</f>
        <v/>
      </c>
      <c r="J709" s="101"/>
      <c r="K709" s="105"/>
      <c r="L709" s="101"/>
    </row>
    <row r="710" customFormat="false" ht="15.75" hidden="false" customHeight="true" outlineLevel="0" collapsed="false">
      <c r="A710" s="113"/>
      <c r="B710" s="102"/>
      <c r="C710" s="101" t="str">
        <f aca="false">IF($B710="","",IFERROR(VLOOKUP($B710,'Application Portfolio'!$A$2:$B$1000,2,FALSE()),""))</f>
        <v/>
      </c>
      <c r="D710" s="106"/>
      <c r="E710" s="106"/>
      <c r="F710" s="106"/>
      <c r="G710" s="106"/>
      <c r="H710" s="106"/>
      <c r="I710" s="103" t="str">
        <f aca="false">IF(OR($B710="", $D710="", $E710="", $F710="", $G710="", $H710=""),"",ROUND(($D710*Lists!$AD$20)+($E710*Lists!$AD$21)+($F710*Lists!$AD$22)+($G710*Lists!$AD$23)+($H710*Lists!$AD$24),2))</f>
        <v/>
      </c>
      <c r="J710" s="101"/>
      <c r="K710" s="105"/>
      <c r="L710" s="101"/>
    </row>
    <row r="711" customFormat="false" ht="15.75" hidden="false" customHeight="true" outlineLevel="0" collapsed="false">
      <c r="A711" s="113"/>
      <c r="B711" s="102"/>
      <c r="C711" s="101" t="str">
        <f aca="false">IF($B711="","",IFERROR(VLOOKUP($B711,'Application Portfolio'!$A$2:$B$1000,2,FALSE()),""))</f>
        <v/>
      </c>
      <c r="D711" s="106"/>
      <c r="E711" s="106"/>
      <c r="F711" s="106"/>
      <c r="G711" s="106"/>
      <c r="H711" s="106"/>
      <c r="I711" s="103" t="str">
        <f aca="false">IF(OR($B711="", $D711="", $E711="", $F711="", $G711="", $H711=""),"",ROUND(($D711*Lists!$AD$20)+($E711*Lists!$AD$21)+($F711*Lists!$AD$22)+($G711*Lists!$AD$23)+($H711*Lists!$AD$24),2))</f>
        <v/>
      </c>
      <c r="J711" s="101"/>
      <c r="K711" s="105"/>
      <c r="L711" s="101"/>
    </row>
    <row r="712" customFormat="false" ht="15.75" hidden="false" customHeight="true" outlineLevel="0" collapsed="false">
      <c r="A712" s="113"/>
      <c r="B712" s="102"/>
      <c r="C712" s="101" t="str">
        <f aca="false">IF($B712="","",IFERROR(VLOOKUP($B712,'Application Portfolio'!$A$2:$B$1000,2,FALSE()),""))</f>
        <v/>
      </c>
      <c r="D712" s="106"/>
      <c r="E712" s="106"/>
      <c r="F712" s="106"/>
      <c r="G712" s="106"/>
      <c r="H712" s="106"/>
      <c r="I712" s="103" t="str">
        <f aca="false">IF(OR($B712="", $D712="", $E712="", $F712="", $G712="", $H712=""),"",ROUND(($D712*Lists!$AD$20)+($E712*Lists!$AD$21)+($F712*Lists!$AD$22)+($G712*Lists!$AD$23)+($H712*Lists!$AD$24),2))</f>
        <v/>
      </c>
      <c r="J712" s="101"/>
      <c r="K712" s="105"/>
      <c r="L712" s="101"/>
    </row>
    <row r="713" customFormat="false" ht="15.75" hidden="false" customHeight="true" outlineLevel="0" collapsed="false">
      <c r="A713" s="113"/>
      <c r="B713" s="102"/>
      <c r="C713" s="101" t="str">
        <f aca="false">IF($B713="","",IFERROR(VLOOKUP($B713,'Application Portfolio'!$A$2:$B$1000,2,FALSE()),""))</f>
        <v/>
      </c>
      <c r="D713" s="106"/>
      <c r="E713" s="106"/>
      <c r="F713" s="106"/>
      <c r="G713" s="106"/>
      <c r="H713" s="106"/>
      <c r="I713" s="103" t="str">
        <f aca="false">IF(OR($B713="", $D713="", $E713="", $F713="", $G713="", $H713=""),"",ROUND(($D713*Lists!$AD$20)+($E713*Lists!$AD$21)+($F713*Lists!$AD$22)+($G713*Lists!$AD$23)+($H713*Lists!$AD$24),2))</f>
        <v/>
      </c>
      <c r="J713" s="101"/>
      <c r="K713" s="105"/>
      <c r="L713" s="101"/>
    </row>
    <row r="714" customFormat="false" ht="15.75" hidden="false" customHeight="true" outlineLevel="0" collapsed="false">
      <c r="A714" s="113"/>
      <c r="B714" s="102"/>
      <c r="C714" s="101" t="str">
        <f aca="false">IF($B714="","",IFERROR(VLOOKUP($B714,'Application Portfolio'!$A$2:$B$1000,2,FALSE()),""))</f>
        <v/>
      </c>
      <c r="D714" s="106"/>
      <c r="E714" s="106"/>
      <c r="F714" s="106"/>
      <c r="G714" s="106"/>
      <c r="H714" s="106"/>
      <c r="I714" s="103" t="str">
        <f aca="false">IF(OR($B714="", $D714="", $E714="", $F714="", $G714="", $H714=""),"",ROUND(($D714*Lists!$AD$20)+($E714*Lists!$AD$21)+($F714*Lists!$AD$22)+($G714*Lists!$AD$23)+($H714*Lists!$AD$24),2))</f>
        <v/>
      </c>
      <c r="J714" s="101"/>
      <c r="K714" s="105"/>
      <c r="L714" s="101"/>
    </row>
    <row r="715" customFormat="false" ht="15.75" hidden="false" customHeight="true" outlineLevel="0" collapsed="false">
      <c r="A715" s="113"/>
      <c r="B715" s="102"/>
      <c r="C715" s="101" t="str">
        <f aca="false">IF($B715="","",IFERROR(VLOOKUP($B715,'Application Portfolio'!$A$2:$B$1000,2,FALSE()),""))</f>
        <v/>
      </c>
      <c r="D715" s="106"/>
      <c r="E715" s="106"/>
      <c r="F715" s="106"/>
      <c r="G715" s="106"/>
      <c r="H715" s="106"/>
      <c r="I715" s="103" t="str">
        <f aca="false">IF(OR($B715="", $D715="", $E715="", $F715="", $G715="", $H715=""),"",ROUND(($D715*Lists!$AD$20)+($E715*Lists!$AD$21)+($F715*Lists!$AD$22)+($G715*Lists!$AD$23)+($H715*Lists!$AD$24),2))</f>
        <v/>
      </c>
      <c r="J715" s="101"/>
      <c r="K715" s="105"/>
      <c r="L715" s="101"/>
    </row>
    <row r="716" customFormat="false" ht="15.75" hidden="false" customHeight="true" outlineLevel="0" collapsed="false">
      <c r="A716" s="113"/>
      <c r="B716" s="102"/>
      <c r="C716" s="101" t="str">
        <f aca="false">IF($B716="","",IFERROR(VLOOKUP($B716,'Application Portfolio'!$A$2:$B$1000,2,FALSE()),""))</f>
        <v/>
      </c>
      <c r="D716" s="106"/>
      <c r="E716" s="106"/>
      <c r="F716" s="106"/>
      <c r="G716" s="106"/>
      <c r="H716" s="106"/>
      <c r="I716" s="103" t="str">
        <f aca="false">IF(OR($B716="", $D716="", $E716="", $F716="", $G716="", $H716=""),"",ROUND(($D716*Lists!$AD$20)+($E716*Lists!$AD$21)+($F716*Lists!$AD$22)+($G716*Lists!$AD$23)+($H716*Lists!$AD$24),2))</f>
        <v/>
      </c>
      <c r="J716" s="101"/>
      <c r="K716" s="105"/>
      <c r="L716" s="101"/>
    </row>
    <row r="717" customFormat="false" ht="15.75" hidden="false" customHeight="true" outlineLevel="0" collapsed="false">
      <c r="A717" s="113"/>
      <c r="B717" s="102"/>
      <c r="C717" s="101" t="str">
        <f aca="false">IF($B717="","",IFERROR(VLOOKUP($B717,'Application Portfolio'!$A$2:$B$1000,2,FALSE()),""))</f>
        <v/>
      </c>
      <c r="D717" s="106"/>
      <c r="E717" s="106"/>
      <c r="F717" s="106"/>
      <c r="G717" s="106"/>
      <c r="H717" s="106"/>
      <c r="I717" s="103" t="str">
        <f aca="false">IF(OR($B717="", $D717="", $E717="", $F717="", $G717="", $H717=""),"",ROUND(($D717*Lists!$AD$20)+($E717*Lists!$AD$21)+($F717*Lists!$AD$22)+($G717*Lists!$AD$23)+($H717*Lists!$AD$24),2))</f>
        <v/>
      </c>
      <c r="J717" s="101"/>
      <c r="K717" s="105"/>
      <c r="L717" s="101"/>
    </row>
    <row r="718" customFormat="false" ht="15.75" hidden="false" customHeight="true" outlineLevel="0" collapsed="false">
      <c r="A718" s="113"/>
      <c r="B718" s="102"/>
      <c r="C718" s="101" t="str">
        <f aca="false">IF($B718="","",IFERROR(VLOOKUP($B718,'Application Portfolio'!$A$2:$B$1000,2,FALSE()),""))</f>
        <v/>
      </c>
      <c r="D718" s="106"/>
      <c r="E718" s="106"/>
      <c r="F718" s="106"/>
      <c r="G718" s="106"/>
      <c r="H718" s="106"/>
      <c r="I718" s="103" t="str">
        <f aca="false">IF(OR($B718="", $D718="", $E718="", $F718="", $G718="", $H718=""),"",ROUND(($D718*Lists!$AD$20)+($E718*Lists!$AD$21)+($F718*Lists!$AD$22)+($G718*Lists!$AD$23)+($H718*Lists!$AD$24),2))</f>
        <v/>
      </c>
      <c r="J718" s="101"/>
      <c r="K718" s="105"/>
      <c r="L718" s="101"/>
    </row>
    <row r="719" customFormat="false" ht="15.75" hidden="false" customHeight="true" outlineLevel="0" collapsed="false">
      <c r="A719" s="113"/>
      <c r="B719" s="102"/>
      <c r="C719" s="101" t="str">
        <f aca="false">IF($B719="","",IFERROR(VLOOKUP($B719,'Application Portfolio'!$A$2:$B$1000,2,FALSE()),""))</f>
        <v/>
      </c>
      <c r="D719" s="106"/>
      <c r="E719" s="106"/>
      <c r="F719" s="106"/>
      <c r="G719" s="106"/>
      <c r="H719" s="106"/>
      <c r="I719" s="103" t="str">
        <f aca="false">IF(OR($B719="", $D719="", $E719="", $F719="", $G719="", $H719=""),"",ROUND(($D719*Lists!$AD$20)+($E719*Lists!$AD$21)+($F719*Lists!$AD$22)+($G719*Lists!$AD$23)+($H719*Lists!$AD$24),2))</f>
        <v/>
      </c>
      <c r="J719" s="101"/>
      <c r="K719" s="105"/>
      <c r="L719" s="101"/>
    </row>
    <row r="720" customFormat="false" ht="15.75" hidden="false" customHeight="true" outlineLevel="0" collapsed="false">
      <c r="A720" s="113"/>
      <c r="B720" s="102"/>
      <c r="C720" s="101" t="str">
        <f aca="false">IF($B720="","",IFERROR(VLOOKUP($B720,'Application Portfolio'!$A$2:$B$1000,2,FALSE()),""))</f>
        <v/>
      </c>
      <c r="D720" s="106"/>
      <c r="E720" s="106"/>
      <c r="F720" s="106"/>
      <c r="G720" s="106"/>
      <c r="H720" s="106"/>
      <c r="I720" s="103" t="str">
        <f aca="false">IF(OR($B720="", $D720="", $E720="", $F720="", $G720="", $H720=""),"",ROUND(($D720*Lists!$AD$20)+($E720*Lists!$AD$21)+($F720*Lists!$AD$22)+($G720*Lists!$AD$23)+($H720*Lists!$AD$24),2))</f>
        <v/>
      </c>
      <c r="J720" s="101"/>
      <c r="K720" s="105"/>
      <c r="L720" s="101"/>
    </row>
    <row r="721" customFormat="false" ht="15.75" hidden="false" customHeight="true" outlineLevel="0" collapsed="false">
      <c r="A721" s="113"/>
      <c r="B721" s="102"/>
      <c r="C721" s="101" t="str">
        <f aca="false">IF($B721="","",IFERROR(VLOOKUP($B721,'Application Portfolio'!$A$2:$B$1000,2,FALSE()),""))</f>
        <v/>
      </c>
      <c r="D721" s="106"/>
      <c r="E721" s="106"/>
      <c r="F721" s="106"/>
      <c r="G721" s="106"/>
      <c r="H721" s="106"/>
      <c r="I721" s="103" t="str">
        <f aca="false">IF(OR($B721="", $D721="", $E721="", $F721="", $G721="", $H721=""),"",ROUND(($D721*Lists!$AD$20)+($E721*Lists!$AD$21)+($F721*Lists!$AD$22)+($G721*Lists!$AD$23)+($H721*Lists!$AD$24),2))</f>
        <v/>
      </c>
      <c r="J721" s="101"/>
      <c r="K721" s="105"/>
      <c r="L721" s="101"/>
    </row>
    <row r="722" customFormat="false" ht="15.75" hidden="false" customHeight="true" outlineLevel="0" collapsed="false">
      <c r="A722" s="113"/>
      <c r="B722" s="102"/>
      <c r="C722" s="101" t="str">
        <f aca="false">IF($B722="","",IFERROR(VLOOKUP($B722,'Application Portfolio'!$A$2:$B$1000,2,FALSE()),""))</f>
        <v/>
      </c>
      <c r="D722" s="106"/>
      <c r="E722" s="106"/>
      <c r="F722" s="106"/>
      <c r="G722" s="106"/>
      <c r="H722" s="106"/>
      <c r="I722" s="103" t="str">
        <f aca="false">IF(OR($B722="", $D722="", $E722="", $F722="", $G722="", $H722=""),"",ROUND(($D722*Lists!$AD$20)+($E722*Lists!$AD$21)+($F722*Lists!$AD$22)+($G722*Lists!$AD$23)+($H722*Lists!$AD$24),2))</f>
        <v/>
      </c>
      <c r="J722" s="101"/>
      <c r="K722" s="105"/>
      <c r="L722" s="101"/>
    </row>
    <row r="723" customFormat="false" ht="15.75" hidden="false" customHeight="true" outlineLevel="0" collapsed="false">
      <c r="A723" s="113"/>
      <c r="B723" s="102"/>
      <c r="C723" s="101" t="str">
        <f aca="false">IF($B723="","",IFERROR(VLOOKUP($B723,'Application Portfolio'!$A$2:$B$1000,2,FALSE()),""))</f>
        <v/>
      </c>
      <c r="D723" s="106"/>
      <c r="E723" s="106"/>
      <c r="F723" s="106"/>
      <c r="G723" s="106"/>
      <c r="H723" s="106"/>
      <c r="I723" s="103" t="str">
        <f aca="false">IF(OR($B723="", $D723="", $E723="", $F723="", $G723="", $H723=""),"",ROUND(($D723*Lists!$AD$20)+($E723*Lists!$AD$21)+($F723*Lists!$AD$22)+($G723*Lists!$AD$23)+($H723*Lists!$AD$24),2))</f>
        <v/>
      </c>
      <c r="J723" s="101"/>
      <c r="K723" s="105"/>
      <c r="L723" s="101"/>
    </row>
    <row r="724" customFormat="false" ht="15.75" hidden="false" customHeight="true" outlineLevel="0" collapsed="false">
      <c r="A724" s="113"/>
      <c r="B724" s="102"/>
      <c r="C724" s="101" t="str">
        <f aca="false">IF($B724="","",IFERROR(VLOOKUP($B724,'Application Portfolio'!$A$2:$B$1000,2,FALSE()),""))</f>
        <v/>
      </c>
      <c r="D724" s="106"/>
      <c r="E724" s="106"/>
      <c r="F724" s="106"/>
      <c r="G724" s="106"/>
      <c r="H724" s="106"/>
      <c r="I724" s="103" t="str">
        <f aca="false">IF(OR($B724="", $D724="", $E724="", $F724="", $G724="", $H724=""),"",ROUND(($D724*Lists!$AD$20)+($E724*Lists!$AD$21)+($F724*Lists!$AD$22)+($G724*Lists!$AD$23)+($H724*Lists!$AD$24),2))</f>
        <v/>
      </c>
      <c r="J724" s="101"/>
      <c r="K724" s="105"/>
      <c r="L724" s="101"/>
    </row>
    <row r="725" customFormat="false" ht="15.75" hidden="false" customHeight="true" outlineLevel="0" collapsed="false">
      <c r="A725" s="113"/>
      <c r="B725" s="102"/>
      <c r="C725" s="101" t="str">
        <f aca="false">IF($B725="","",IFERROR(VLOOKUP($B725,'Application Portfolio'!$A$2:$B$1000,2,FALSE()),""))</f>
        <v/>
      </c>
      <c r="D725" s="106"/>
      <c r="E725" s="106"/>
      <c r="F725" s="106"/>
      <c r="G725" s="106"/>
      <c r="H725" s="106"/>
      <c r="I725" s="103" t="str">
        <f aca="false">IF(OR($B725="", $D725="", $E725="", $F725="", $G725="", $H725=""),"",ROUND(($D725*Lists!$AD$20)+($E725*Lists!$AD$21)+($F725*Lists!$AD$22)+($G725*Lists!$AD$23)+($H725*Lists!$AD$24),2))</f>
        <v/>
      </c>
      <c r="J725" s="101"/>
      <c r="K725" s="105"/>
      <c r="L725" s="101"/>
    </row>
    <row r="726" customFormat="false" ht="15.75" hidden="false" customHeight="true" outlineLevel="0" collapsed="false">
      <c r="A726" s="113"/>
      <c r="B726" s="102"/>
      <c r="C726" s="101" t="str">
        <f aca="false">IF($B726="","",IFERROR(VLOOKUP($B726,'Application Portfolio'!$A$2:$B$1000,2,FALSE()),""))</f>
        <v/>
      </c>
      <c r="D726" s="106"/>
      <c r="E726" s="106"/>
      <c r="F726" s="106"/>
      <c r="G726" s="106"/>
      <c r="H726" s="106"/>
      <c r="I726" s="103" t="str">
        <f aca="false">IF(OR($B726="", $D726="", $E726="", $F726="", $G726="", $H726=""),"",ROUND(($D726*Lists!$AD$20)+($E726*Lists!$AD$21)+($F726*Lists!$AD$22)+($G726*Lists!$AD$23)+($H726*Lists!$AD$24),2))</f>
        <v/>
      </c>
      <c r="J726" s="101"/>
      <c r="K726" s="105"/>
      <c r="L726" s="101"/>
    </row>
    <row r="727" customFormat="false" ht="15.75" hidden="false" customHeight="true" outlineLevel="0" collapsed="false">
      <c r="A727" s="113"/>
      <c r="B727" s="102"/>
      <c r="C727" s="101" t="str">
        <f aca="false">IF($B727="","",IFERROR(VLOOKUP($B727,'Application Portfolio'!$A$2:$B$1000,2,FALSE()),""))</f>
        <v/>
      </c>
      <c r="D727" s="106"/>
      <c r="E727" s="106"/>
      <c r="F727" s="106"/>
      <c r="G727" s="106"/>
      <c r="H727" s="106"/>
      <c r="I727" s="103" t="str">
        <f aca="false">IF(OR($B727="", $D727="", $E727="", $F727="", $G727="", $H727=""),"",ROUND(($D727*Lists!$AD$20)+($E727*Lists!$AD$21)+($F727*Lists!$AD$22)+($G727*Lists!$AD$23)+($H727*Lists!$AD$24),2))</f>
        <v/>
      </c>
      <c r="J727" s="101"/>
      <c r="K727" s="105"/>
      <c r="L727" s="101"/>
    </row>
    <row r="728" customFormat="false" ht="15.75" hidden="false" customHeight="true" outlineLevel="0" collapsed="false">
      <c r="A728" s="113"/>
      <c r="B728" s="102"/>
      <c r="C728" s="101" t="str">
        <f aca="false">IF($B728="","",IFERROR(VLOOKUP($B728,'Application Portfolio'!$A$2:$B$1000,2,FALSE()),""))</f>
        <v/>
      </c>
      <c r="D728" s="106"/>
      <c r="E728" s="106"/>
      <c r="F728" s="106"/>
      <c r="G728" s="106"/>
      <c r="H728" s="106"/>
      <c r="I728" s="103" t="str">
        <f aca="false">IF(OR($B728="", $D728="", $E728="", $F728="", $G728="", $H728=""),"",ROUND(($D728*Lists!$AD$20)+($E728*Lists!$AD$21)+($F728*Lists!$AD$22)+($G728*Lists!$AD$23)+($H728*Lists!$AD$24),2))</f>
        <v/>
      </c>
      <c r="J728" s="101"/>
      <c r="K728" s="105"/>
      <c r="L728" s="101"/>
    </row>
    <row r="729" customFormat="false" ht="15.75" hidden="false" customHeight="true" outlineLevel="0" collapsed="false">
      <c r="A729" s="113"/>
      <c r="B729" s="102"/>
      <c r="C729" s="101" t="str">
        <f aca="false">IF($B729="","",IFERROR(VLOOKUP($B729,'Application Portfolio'!$A$2:$B$1000,2,FALSE()),""))</f>
        <v/>
      </c>
      <c r="D729" s="106"/>
      <c r="E729" s="106"/>
      <c r="F729" s="106"/>
      <c r="G729" s="106"/>
      <c r="H729" s="106"/>
      <c r="I729" s="103" t="str">
        <f aca="false">IF(OR($B729="", $D729="", $E729="", $F729="", $G729="", $H729=""),"",ROUND(($D729*Lists!$AD$20)+($E729*Lists!$AD$21)+($F729*Lists!$AD$22)+($G729*Lists!$AD$23)+($H729*Lists!$AD$24),2))</f>
        <v/>
      </c>
      <c r="J729" s="101"/>
      <c r="K729" s="105"/>
      <c r="L729" s="101"/>
    </row>
    <row r="730" customFormat="false" ht="15.75" hidden="false" customHeight="true" outlineLevel="0" collapsed="false">
      <c r="A730" s="113"/>
      <c r="B730" s="102"/>
      <c r="C730" s="101" t="str">
        <f aca="false">IF($B730="","",IFERROR(VLOOKUP($B730,'Application Portfolio'!$A$2:$B$1000,2,FALSE()),""))</f>
        <v/>
      </c>
      <c r="D730" s="106"/>
      <c r="E730" s="106"/>
      <c r="F730" s="106"/>
      <c r="G730" s="106"/>
      <c r="H730" s="106"/>
      <c r="I730" s="103" t="str">
        <f aca="false">IF(OR($B730="", $D730="", $E730="", $F730="", $G730="", $H730=""),"",ROUND(($D730*Lists!$AD$20)+($E730*Lists!$AD$21)+($F730*Lists!$AD$22)+($G730*Lists!$AD$23)+($H730*Lists!$AD$24),2))</f>
        <v/>
      </c>
      <c r="J730" s="101"/>
      <c r="K730" s="105"/>
      <c r="L730" s="101"/>
    </row>
    <row r="731" customFormat="false" ht="15.75" hidden="false" customHeight="true" outlineLevel="0" collapsed="false">
      <c r="A731" s="113"/>
      <c r="B731" s="102"/>
      <c r="C731" s="101" t="str">
        <f aca="false">IF($B731="","",IFERROR(VLOOKUP($B731,'Application Portfolio'!$A$2:$B$1000,2,FALSE()),""))</f>
        <v/>
      </c>
      <c r="D731" s="106"/>
      <c r="E731" s="106"/>
      <c r="F731" s="106"/>
      <c r="G731" s="106"/>
      <c r="H731" s="106"/>
      <c r="I731" s="103" t="str">
        <f aca="false">IF(OR($B731="", $D731="", $E731="", $F731="", $G731="", $H731=""),"",ROUND(($D731*Lists!$AD$20)+($E731*Lists!$AD$21)+($F731*Lists!$AD$22)+($G731*Lists!$AD$23)+($H731*Lists!$AD$24),2))</f>
        <v/>
      </c>
      <c r="J731" s="101"/>
      <c r="K731" s="105"/>
      <c r="L731" s="101"/>
    </row>
    <row r="732" customFormat="false" ht="15.75" hidden="false" customHeight="true" outlineLevel="0" collapsed="false">
      <c r="A732" s="113"/>
      <c r="B732" s="102"/>
      <c r="C732" s="101" t="str">
        <f aca="false">IF($B732="","",IFERROR(VLOOKUP($B732,'Application Portfolio'!$A$2:$B$1000,2,FALSE()),""))</f>
        <v/>
      </c>
      <c r="D732" s="106"/>
      <c r="E732" s="106"/>
      <c r="F732" s="106"/>
      <c r="G732" s="106"/>
      <c r="H732" s="106"/>
      <c r="I732" s="103" t="str">
        <f aca="false">IF(OR($B732="", $D732="", $E732="", $F732="", $G732="", $H732=""),"",ROUND(($D732*Lists!$AD$20)+($E732*Lists!$AD$21)+($F732*Lists!$AD$22)+($G732*Lists!$AD$23)+($H732*Lists!$AD$24),2))</f>
        <v/>
      </c>
      <c r="J732" s="101"/>
      <c r="K732" s="105"/>
      <c r="L732" s="101"/>
    </row>
    <row r="733" customFormat="false" ht="15.75" hidden="false" customHeight="true" outlineLevel="0" collapsed="false">
      <c r="A733" s="113"/>
      <c r="B733" s="102"/>
      <c r="C733" s="101" t="str">
        <f aca="false">IF($B733="","",IFERROR(VLOOKUP($B733,'Application Portfolio'!$A$2:$B$1000,2,FALSE()),""))</f>
        <v/>
      </c>
      <c r="D733" s="106"/>
      <c r="E733" s="106"/>
      <c r="F733" s="106"/>
      <c r="G733" s="106"/>
      <c r="H733" s="106"/>
      <c r="I733" s="103" t="str">
        <f aca="false">IF(OR($B733="", $D733="", $E733="", $F733="", $G733="", $H733=""),"",ROUND(($D733*Lists!$AD$20)+($E733*Lists!$AD$21)+($F733*Lists!$AD$22)+($G733*Lists!$AD$23)+($H733*Lists!$AD$24),2))</f>
        <v/>
      </c>
      <c r="J733" s="101"/>
      <c r="K733" s="105"/>
      <c r="L733" s="101"/>
    </row>
    <row r="734" customFormat="false" ht="15.75" hidden="false" customHeight="true" outlineLevel="0" collapsed="false">
      <c r="A734" s="113"/>
      <c r="B734" s="102"/>
      <c r="C734" s="101" t="str">
        <f aca="false">IF($B734="","",IFERROR(VLOOKUP($B734,'Application Portfolio'!$A$2:$B$1000,2,FALSE()),""))</f>
        <v/>
      </c>
      <c r="D734" s="106"/>
      <c r="E734" s="106"/>
      <c r="F734" s="106"/>
      <c r="G734" s="106"/>
      <c r="H734" s="106"/>
      <c r="I734" s="103" t="str">
        <f aca="false">IF(OR($B734="", $D734="", $E734="", $F734="", $G734="", $H734=""),"",ROUND(($D734*Lists!$AD$20)+($E734*Lists!$AD$21)+($F734*Lists!$AD$22)+($G734*Lists!$AD$23)+($H734*Lists!$AD$24),2))</f>
        <v/>
      </c>
      <c r="J734" s="101"/>
      <c r="K734" s="105"/>
      <c r="L734" s="101"/>
    </row>
    <row r="735" customFormat="false" ht="15.75" hidden="false" customHeight="true" outlineLevel="0" collapsed="false">
      <c r="A735" s="113"/>
      <c r="B735" s="102"/>
      <c r="C735" s="101" t="str">
        <f aca="false">IF($B735="","",IFERROR(VLOOKUP($B735,'Application Portfolio'!$A$2:$B$1000,2,FALSE()),""))</f>
        <v/>
      </c>
      <c r="D735" s="106"/>
      <c r="E735" s="106"/>
      <c r="F735" s="106"/>
      <c r="G735" s="106"/>
      <c r="H735" s="106"/>
      <c r="I735" s="103" t="str">
        <f aca="false">IF(OR($B735="", $D735="", $E735="", $F735="", $G735="", $H735=""),"",ROUND(($D735*Lists!$AD$20)+($E735*Lists!$AD$21)+($F735*Lists!$AD$22)+($G735*Lists!$AD$23)+($H735*Lists!$AD$24),2))</f>
        <v/>
      </c>
      <c r="J735" s="101"/>
      <c r="K735" s="105"/>
      <c r="L735" s="101"/>
    </row>
    <row r="736" customFormat="false" ht="15.75" hidden="false" customHeight="true" outlineLevel="0" collapsed="false">
      <c r="A736" s="113"/>
      <c r="B736" s="102"/>
      <c r="C736" s="101" t="str">
        <f aca="false">IF($B736="","",IFERROR(VLOOKUP($B736,'Application Portfolio'!$A$2:$B$1000,2,FALSE()),""))</f>
        <v/>
      </c>
      <c r="D736" s="106"/>
      <c r="E736" s="106"/>
      <c r="F736" s="106"/>
      <c r="G736" s="106"/>
      <c r="H736" s="106"/>
      <c r="I736" s="103" t="str">
        <f aca="false">IF(OR($B736="", $D736="", $E736="", $F736="", $G736="", $H736=""),"",ROUND(($D736*Lists!$AD$20)+($E736*Lists!$AD$21)+($F736*Lists!$AD$22)+($G736*Lists!$AD$23)+($H736*Lists!$AD$24),2))</f>
        <v/>
      </c>
      <c r="J736" s="101"/>
      <c r="K736" s="105"/>
      <c r="L736" s="101"/>
    </row>
    <row r="737" customFormat="false" ht="15.75" hidden="false" customHeight="true" outlineLevel="0" collapsed="false">
      <c r="A737" s="113"/>
      <c r="B737" s="102"/>
      <c r="C737" s="101" t="str">
        <f aca="false">IF($B737="","",IFERROR(VLOOKUP($B737,'Application Portfolio'!$A$2:$B$1000,2,FALSE()),""))</f>
        <v/>
      </c>
      <c r="D737" s="106"/>
      <c r="E737" s="106"/>
      <c r="F737" s="106"/>
      <c r="G737" s="106"/>
      <c r="H737" s="106"/>
      <c r="I737" s="103" t="str">
        <f aca="false">IF(OR($B737="", $D737="", $E737="", $F737="", $G737="", $H737=""),"",ROUND(($D737*Lists!$AD$20)+($E737*Lists!$AD$21)+($F737*Lists!$AD$22)+($G737*Lists!$AD$23)+($H737*Lists!$AD$24),2))</f>
        <v/>
      </c>
      <c r="J737" s="101"/>
      <c r="K737" s="105"/>
      <c r="L737" s="101"/>
    </row>
    <row r="738" customFormat="false" ht="15.75" hidden="false" customHeight="true" outlineLevel="0" collapsed="false">
      <c r="A738" s="113"/>
      <c r="B738" s="102"/>
      <c r="C738" s="101" t="str">
        <f aca="false">IF($B738="","",IFERROR(VLOOKUP($B738,'Application Portfolio'!$A$2:$B$1000,2,FALSE()),""))</f>
        <v/>
      </c>
      <c r="D738" s="106"/>
      <c r="E738" s="106"/>
      <c r="F738" s="106"/>
      <c r="G738" s="106"/>
      <c r="H738" s="106"/>
      <c r="I738" s="103" t="str">
        <f aca="false">IF(OR($B738="", $D738="", $E738="", $F738="", $G738="", $H738=""),"",ROUND(($D738*Lists!$AD$20)+($E738*Lists!$AD$21)+($F738*Lists!$AD$22)+($G738*Lists!$AD$23)+($H738*Lists!$AD$24),2))</f>
        <v/>
      </c>
      <c r="J738" s="101"/>
      <c r="K738" s="105"/>
      <c r="L738" s="101"/>
    </row>
    <row r="739" customFormat="false" ht="15.75" hidden="false" customHeight="true" outlineLevel="0" collapsed="false">
      <c r="A739" s="113"/>
      <c r="B739" s="102"/>
      <c r="C739" s="101" t="str">
        <f aca="false">IF($B739="","",IFERROR(VLOOKUP($B739,'Application Portfolio'!$A$2:$B$1000,2,FALSE()),""))</f>
        <v/>
      </c>
      <c r="D739" s="106"/>
      <c r="E739" s="106"/>
      <c r="F739" s="106"/>
      <c r="G739" s="106"/>
      <c r="H739" s="106"/>
      <c r="I739" s="103" t="str">
        <f aca="false">IF(OR($B739="", $D739="", $E739="", $F739="", $G739="", $H739=""),"",ROUND(($D739*Lists!$AD$20)+($E739*Lists!$AD$21)+($F739*Lists!$AD$22)+($G739*Lists!$AD$23)+($H739*Lists!$AD$24),2))</f>
        <v/>
      </c>
      <c r="J739" s="101"/>
      <c r="K739" s="105"/>
      <c r="L739" s="101"/>
    </row>
    <row r="740" customFormat="false" ht="15.75" hidden="false" customHeight="true" outlineLevel="0" collapsed="false">
      <c r="A740" s="113"/>
      <c r="B740" s="102"/>
      <c r="C740" s="101" t="str">
        <f aca="false">IF($B740="","",IFERROR(VLOOKUP($B740,'Application Portfolio'!$A$2:$B$1000,2,FALSE()),""))</f>
        <v/>
      </c>
      <c r="D740" s="106"/>
      <c r="E740" s="106"/>
      <c r="F740" s="106"/>
      <c r="G740" s="106"/>
      <c r="H740" s="106"/>
      <c r="I740" s="103" t="str">
        <f aca="false">IF(OR($B740="", $D740="", $E740="", $F740="", $G740="", $H740=""),"",ROUND(($D740*Lists!$AD$20)+($E740*Lists!$AD$21)+($F740*Lists!$AD$22)+($G740*Lists!$AD$23)+($H740*Lists!$AD$24),2))</f>
        <v/>
      </c>
      <c r="J740" s="101"/>
      <c r="K740" s="105"/>
      <c r="L740" s="101"/>
    </row>
    <row r="741" customFormat="false" ht="15.75" hidden="false" customHeight="true" outlineLevel="0" collapsed="false">
      <c r="A741" s="113"/>
      <c r="B741" s="102"/>
      <c r="C741" s="101" t="str">
        <f aca="false">IF($B741="","",IFERROR(VLOOKUP($B741,'Application Portfolio'!$A$2:$B$1000,2,FALSE()),""))</f>
        <v/>
      </c>
      <c r="D741" s="106"/>
      <c r="E741" s="106"/>
      <c r="F741" s="106"/>
      <c r="G741" s="106"/>
      <c r="H741" s="106"/>
      <c r="I741" s="103" t="str">
        <f aca="false">IF(OR($B741="", $D741="", $E741="", $F741="", $G741="", $H741=""),"",ROUND(($D741*Lists!$AD$20)+($E741*Lists!$AD$21)+($F741*Lists!$AD$22)+($G741*Lists!$AD$23)+($H741*Lists!$AD$24),2))</f>
        <v/>
      </c>
      <c r="J741" s="101"/>
      <c r="K741" s="105"/>
      <c r="L741" s="101"/>
    </row>
    <row r="742" customFormat="false" ht="15.75" hidden="false" customHeight="true" outlineLevel="0" collapsed="false">
      <c r="A742" s="113"/>
      <c r="B742" s="102"/>
      <c r="C742" s="101" t="str">
        <f aca="false">IF($B742="","",IFERROR(VLOOKUP($B742,'Application Portfolio'!$A$2:$B$1000,2,FALSE()),""))</f>
        <v/>
      </c>
      <c r="D742" s="106"/>
      <c r="E742" s="106"/>
      <c r="F742" s="106"/>
      <c r="G742" s="106"/>
      <c r="H742" s="106"/>
      <c r="I742" s="103" t="str">
        <f aca="false">IF(OR($B742="", $D742="", $E742="", $F742="", $G742="", $H742=""),"",ROUND(($D742*Lists!$AD$20)+($E742*Lists!$AD$21)+($F742*Lists!$AD$22)+($G742*Lists!$AD$23)+($H742*Lists!$AD$24),2))</f>
        <v/>
      </c>
      <c r="J742" s="101"/>
      <c r="K742" s="105"/>
      <c r="L742" s="101"/>
    </row>
    <row r="743" customFormat="false" ht="15.75" hidden="false" customHeight="true" outlineLevel="0" collapsed="false">
      <c r="A743" s="113"/>
      <c r="B743" s="102"/>
      <c r="C743" s="101" t="str">
        <f aca="false">IF($B743="","",IFERROR(VLOOKUP($B743,'Application Portfolio'!$A$2:$B$1000,2,FALSE()),""))</f>
        <v/>
      </c>
      <c r="D743" s="106"/>
      <c r="E743" s="106"/>
      <c r="F743" s="106"/>
      <c r="G743" s="106"/>
      <c r="H743" s="106"/>
      <c r="I743" s="103" t="str">
        <f aca="false">IF(OR($B743="", $D743="", $E743="", $F743="", $G743="", $H743=""),"",ROUND(($D743*Lists!$AD$20)+($E743*Lists!$AD$21)+($F743*Lists!$AD$22)+($G743*Lists!$AD$23)+($H743*Lists!$AD$24),2))</f>
        <v/>
      </c>
      <c r="J743" s="101"/>
      <c r="K743" s="105"/>
      <c r="L743" s="101"/>
    </row>
    <row r="744" customFormat="false" ht="15.75" hidden="false" customHeight="true" outlineLevel="0" collapsed="false">
      <c r="A744" s="113"/>
      <c r="B744" s="102"/>
      <c r="C744" s="101" t="str">
        <f aca="false">IF($B744="","",IFERROR(VLOOKUP($B744,'Application Portfolio'!$A$2:$B$1000,2,FALSE()),""))</f>
        <v/>
      </c>
      <c r="D744" s="106"/>
      <c r="E744" s="106"/>
      <c r="F744" s="106"/>
      <c r="G744" s="106"/>
      <c r="H744" s="106"/>
      <c r="I744" s="103" t="str">
        <f aca="false">IF(OR($B744="", $D744="", $E744="", $F744="", $G744="", $H744=""),"",ROUND(($D744*Lists!$AD$20)+($E744*Lists!$AD$21)+($F744*Lists!$AD$22)+($G744*Lists!$AD$23)+($H744*Lists!$AD$24),2))</f>
        <v/>
      </c>
      <c r="J744" s="101"/>
      <c r="K744" s="105"/>
      <c r="L744" s="101"/>
    </row>
    <row r="745" customFormat="false" ht="15.75" hidden="false" customHeight="true" outlineLevel="0" collapsed="false">
      <c r="A745" s="113"/>
      <c r="B745" s="102"/>
      <c r="C745" s="101" t="str">
        <f aca="false">IF($B745="","",IFERROR(VLOOKUP($B745,'Application Portfolio'!$A$2:$B$1000,2,FALSE()),""))</f>
        <v/>
      </c>
      <c r="D745" s="106"/>
      <c r="E745" s="106"/>
      <c r="F745" s="106"/>
      <c r="G745" s="106"/>
      <c r="H745" s="106"/>
      <c r="I745" s="103" t="str">
        <f aca="false">IF(OR($B745="", $D745="", $E745="", $F745="", $G745="", $H745=""),"",ROUND(($D745*Lists!$AD$20)+($E745*Lists!$AD$21)+($F745*Lists!$AD$22)+($G745*Lists!$AD$23)+($H745*Lists!$AD$24),2))</f>
        <v/>
      </c>
      <c r="J745" s="101"/>
      <c r="K745" s="105"/>
      <c r="L745" s="101"/>
    </row>
    <row r="746" customFormat="false" ht="15.75" hidden="false" customHeight="true" outlineLevel="0" collapsed="false">
      <c r="A746" s="113"/>
      <c r="B746" s="102"/>
      <c r="C746" s="101" t="str">
        <f aca="false">IF($B746="","",IFERROR(VLOOKUP($B746,'Application Portfolio'!$A$2:$B$1000,2,FALSE()),""))</f>
        <v/>
      </c>
      <c r="D746" s="106"/>
      <c r="E746" s="106"/>
      <c r="F746" s="106"/>
      <c r="G746" s="106"/>
      <c r="H746" s="106"/>
      <c r="I746" s="103" t="str">
        <f aca="false">IF(OR($B746="", $D746="", $E746="", $F746="", $G746="", $H746=""),"",ROUND(($D746*Lists!$AD$20)+($E746*Lists!$AD$21)+($F746*Lists!$AD$22)+($G746*Lists!$AD$23)+($H746*Lists!$AD$24),2))</f>
        <v/>
      </c>
      <c r="J746" s="101"/>
      <c r="K746" s="105"/>
      <c r="L746" s="101"/>
    </row>
    <row r="747" customFormat="false" ht="15.75" hidden="false" customHeight="true" outlineLevel="0" collapsed="false">
      <c r="A747" s="113"/>
      <c r="B747" s="102"/>
      <c r="C747" s="101" t="str">
        <f aca="false">IF($B747="","",IFERROR(VLOOKUP($B747,'Application Portfolio'!$A$2:$B$1000,2,FALSE()),""))</f>
        <v/>
      </c>
      <c r="D747" s="106"/>
      <c r="E747" s="106"/>
      <c r="F747" s="106"/>
      <c r="G747" s="106"/>
      <c r="H747" s="106"/>
      <c r="I747" s="103" t="str">
        <f aca="false">IF(OR($B747="", $D747="", $E747="", $F747="", $G747="", $H747=""),"",ROUND(($D747*Lists!$AD$20)+($E747*Lists!$AD$21)+($F747*Lists!$AD$22)+($G747*Lists!$AD$23)+($H747*Lists!$AD$24),2))</f>
        <v/>
      </c>
      <c r="J747" s="101"/>
      <c r="K747" s="105"/>
      <c r="L747" s="101"/>
    </row>
    <row r="748" customFormat="false" ht="15.75" hidden="false" customHeight="true" outlineLevel="0" collapsed="false">
      <c r="A748" s="113"/>
      <c r="B748" s="102"/>
      <c r="C748" s="101" t="str">
        <f aca="false">IF($B748="","",IFERROR(VLOOKUP($B748,'Application Portfolio'!$A$2:$B$1000,2,FALSE()),""))</f>
        <v/>
      </c>
      <c r="D748" s="106"/>
      <c r="E748" s="106"/>
      <c r="F748" s="106"/>
      <c r="G748" s="106"/>
      <c r="H748" s="106"/>
      <c r="I748" s="103" t="str">
        <f aca="false">IF(OR($B748="", $D748="", $E748="", $F748="", $G748="", $H748=""),"",ROUND(($D748*Lists!$AD$20)+($E748*Lists!$AD$21)+($F748*Lists!$AD$22)+($G748*Lists!$AD$23)+($H748*Lists!$AD$24),2))</f>
        <v/>
      </c>
      <c r="J748" s="101"/>
      <c r="K748" s="105"/>
      <c r="L748" s="101"/>
    </row>
    <row r="749" customFormat="false" ht="15.75" hidden="false" customHeight="true" outlineLevel="0" collapsed="false">
      <c r="A749" s="113"/>
      <c r="B749" s="102"/>
      <c r="C749" s="101" t="str">
        <f aca="false">IF($B749="","",IFERROR(VLOOKUP($B749,'Application Portfolio'!$A$2:$B$1000,2,FALSE()),""))</f>
        <v/>
      </c>
      <c r="D749" s="106"/>
      <c r="E749" s="106"/>
      <c r="F749" s="106"/>
      <c r="G749" s="106"/>
      <c r="H749" s="106"/>
      <c r="I749" s="103" t="str">
        <f aca="false">IF(OR($B749="", $D749="", $E749="", $F749="", $G749="", $H749=""),"",ROUND(($D749*Lists!$AD$20)+($E749*Lists!$AD$21)+($F749*Lists!$AD$22)+($G749*Lists!$AD$23)+($H749*Lists!$AD$24),2))</f>
        <v/>
      </c>
      <c r="J749" s="101"/>
      <c r="K749" s="105"/>
      <c r="L749" s="101"/>
    </row>
    <row r="750" customFormat="false" ht="15.75" hidden="false" customHeight="true" outlineLevel="0" collapsed="false">
      <c r="A750" s="113"/>
      <c r="B750" s="102"/>
      <c r="C750" s="101" t="str">
        <f aca="false">IF($B750="","",IFERROR(VLOOKUP($B750,'Application Portfolio'!$A$2:$B$1000,2,FALSE()),""))</f>
        <v/>
      </c>
      <c r="D750" s="106"/>
      <c r="E750" s="106"/>
      <c r="F750" s="106"/>
      <c r="G750" s="106"/>
      <c r="H750" s="106"/>
      <c r="I750" s="103" t="str">
        <f aca="false">IF(OR($B750="", $D750="", $E750="", $F750="", $G750="", $H750=""),"",ROUND(($D750*Lists!$AD$20)+($E750*Lists!$AD$21)+($F750*Lists!$AD$22)+($G750*Lists!$AD$23)+($H750*Lists!$AD$24),2))</f>
        <v/>
      </c>
      <c r="J750" s="101"/>
      <c r="K750" s="105"/>
      <c r="L750" s="101"/>
    </row>
    <row r="751" customFormat="false" ht="15.75" hidden="false" customHeight="true" outlineLevel="0" collapsed="false">
      <c r="A751" s="113"/>
      <c r="B751" s="102"/>
      <c r="C751" s="101" t="str">
        <f aca="false">IF($B751="","",IFERROR(VLOOKUP($B751,'Application Portfolio'!$A$2:$B$1000,2,FALSE()),""))</f>
        <v/>
      </c>
      <c r="D751" s="106"/>
      <c r="E751" s="106"/>
      <c r="F751" s="106"/>
      <c r="G751" s="106"/>
      <c r="H751" s="106"/>
      <c r="I751" s="103" t="str">
        <f aca="false">IF(OR($B751="", $D751="", $E751="", $F751="", $G751="", $H751=""),"",ROUND(($D751*Lists!$AD$20)+($E751*Lists!$AD$21)+($F751*Lists!$AD$22)+($G751*Lists!$AD$23)+($H751*Lists!$AD$24),2))</f>
        <v/>
      </c>
      <c r="J751" s="101"/>
      <c r="K751" s="105"/>
      <c r="L751" s="101"/>
    </row>
    <row r="752" customFormat="false" ht="15.75" hidden="false" customHeight="true" outlineLevel="0" collapsed="false">
      <c r="A752" s="113"/>
      <c r="B752" s="102"/>
      <c r="C752" s="101" t="str">
        <f aca="false">IF($B752="","",IFERROR(VLOOKUP($B752,'Application Portfolio'!$A$2:$B$1000,2,FALSE()),""))</f>
        <v/>
      </c>
      <c r="D752" s="106"/>
      <c r="E752" s="106"/>
      <c r="F752" s="106"/>
      <c r="G752" s="106"/>
      <c r="H752" s="106"/>
      <c r="I752" s="103" t="str">
        <f aca="false">IF(OR($B752="", $D752="", $E752="", $F752="", $G752="", $H752=""),"",ROUND(($D752*Lists!$AD$20)+($E752*Lists!$AD$21)+($F752*Lists!$AD$22)+($G752*Lists!$AD$23)+($H752*Lists!$AD$24),2))</f>
        <v/>
      </c>
      <c r="J752" s="101"/>
      <c r="K752" s="105"/>
      <c r="L752" s="101"/>
    </row>
    <row r="753" customFormat="false" ht="15.75" hidden="false" customHeight="true" outlineLevel="0" collapsed="false">
      <c r="A753" s="113"/>
      <c r="B753" s="102"/>
      <c r="C753" s="101" t="str">
        <f aca="false">IF($B753="","",IFERROR(VLOOKUP($B753,'Application Portfolio'!$A$2:$B$1000,2,FALSE()),""))</f>
        <v/>
      </c>
      <c r="D753" s="106"/>
      <c r="E753" s="106"/>
      <c r="F753" s="106"/>
      <c r="G753" s="106"/>
      <c r="H753" s="106"/>
      <c r="I753" s="103" t="str">
        <f aca="false">IF(OR($B753="", $D753="", $E753="", $F753="", $G753="", $H753=""),"",ROUND(($D753*Lists!$AD$20)+($E753*Lists!$AD$21)+($F753*Lists!$AD$22)+($G753*Lists!$AD$23)+($H753*Lists!$AD$24),2))</f>
        <v/>
      </c>
      <c r="J753" s="101"/>
      <c r="K753" s="105"/>
      <c r="L753" s="101"/>
    </row>
    <row r="754" customFormat="false" ht="15.75" hidden="false" customHeight="true" outlineLevel="0" collapsed="false">
      <c r="A754" s="113"/>
      <c r="B754" s="102"/>
      <c r="C754" s="101" t="str">
        <f aca="false">IF($B754="","",IFERROR(VLOOKUP($B754,'Application Portfolio'!$A$2:$B$1000,2,FALSE()),""))</f>
        <v/>
      </c>
      <c r="D754" s="106"/>
      <c r="E754" s="106"/>
      <c r="F754" s="106"/>
      <c r="G754" s="106"/>
      <c r="H754" s="106"/>
      <c r="I754" s="103" t="str">
        <f aca="false">IF(OR($B754="", $D754="", $E754="", $F754="", $G754="", $H754=""),"",ROUND(($D754*Lists!$AD$20)+($E754*Lists!$AD$21)+($F754*Lists!$AD$22)+($G754*Lists!$AD$23)+($H754*Lists!$AD$24),2))</f>
        <v/>
      </c>
      <c r="J754" s="101"/>
      <c r="K754" s="105"/>
      <c r="L754" s="101"/>
    </row>
    <row r="755" customFormat="false" ht="15.75" hidden="false" customHeight="true" outlineLevel="0" collapsed="false">
      <c r="A755" s="113"/>
      <c r="B755" s="102"/>
      <c r="C755" s="101" t="str">
        <f aca="false">IF($B755="","",IFERROR(VLOOKUP($B755,'Application Portfolio'!$A$2:$B$1000,2,FALSE()),""))</f>
        <v/>
      </c>
      <c r="D755" s="106"/>
      <c r="E755" s="106"/>
      <c r="F755" s="106"/>
      <c r="G755" s="106"/>
      <c r="H755" s="106"/>
      <c r="I755" s="103" t="str">
        <f aca="false">IF(OR($B755="", $D755="", $E755="", $F755="", $G755="", $H755=""),"",ROUND(($D755*Lists!$AD$20)+($E755*Lists!$AD$21)+($F755*Lists!$AD$22)+($G755*Lists!$AD$23)+($H755*Lists!$AD$24),2))</f>
        <v/>
      </c>
      <c r="J755" s="101"/>
      <c r="K755" s="105"/>
      <c r="L755" s="101"/>
    </row>
    <row r="756" customFormat="false" ht="15.75" hidden="false" customHeight="true" outlineLevel="0" collapsed="false">
      <c r="A756" s="113"/>
      <c r="B756" s="102"/>
      <c r="C756" s="101" t="str">
        <f aca="false">IF($B756="","",IFERROR(VLOOKUP($B756,'Application Portfolio'!$A$2:$B$1000,2,FALSE()),""))</f>
        <v/>
      </c>
      <c r="D756" s="106"/>
      <c r="E756" s="106"/>
      <c r="F756" s="106"/>
      <c r="G756" s="106"/>
      <c r="H756" s="106"/>
      <c r="I756" s="103" t="str">
        <f aca="false">IF(OR($B756="", $D756="", $E756="", $F756="", $G756="", $H756=""),"",ROUND(($D756*Lists!$AD$20)+($E756*Lists!$AD$21)+($F756*Lists!$AD$22)+($G756*Lists!$AD$23)+($H756*Lists!$AD$24),2))</f>
        <v/>
      </c>
      <c r="J756" s="101"/>
      <c r="K756" s="105"/>
      <c r="L756" s="101"/>
    </row>
    <row r="757" customFormat="false" ht="15.75" hidden="false" customHeight="true" outlineLevel="0" collapsed="false">
      <c r="A757" s="113"/>
      <c r="B757" s="102"/>
      <c r="C757" s="101" t="str">
        <f aca="false">IF($B757="","",IFERROR(VLOOKUP($B757,'Application Portfolio'!$A$2:$B$1000,2,FALSE()),""))</f>
        <v/>
      </c>
      <c r="D757" s="106"/>
      <c r="E757" s="106"/>
      <c r="F757" s="106"/>
      <c r="G757" s="106"/>
      <c r="H757" s="106"/>
      <c r="I757" s="103" t="str">
        <f aca="false">IF(OR($B757="", $D757="", $E757="", $F757="", $G757="", $H757=""),"",ROUND(($D757*Lists!$AD$20)+($E757*Lists!$AD$21)+($F757*Lists!$AD$22)+($G757*Lists!$AD$23)+($H757*Lists!$AD$24),2))</f>
        <v/>
      </c>
      <c r="J757" s="101"/>
      <c r="K757" s="105"/>
      <c r="L757" s="101"/>
    </row>
    <row r="758" customFormat="false" ht="15.75" hidden="false" customHeight="true" outlineLevel="0" collapsed="false">
      <c r="A758" s="113"/>
      <c r="B758" s="102"/>
      <c r="C758" s="101" t="str">
        <f aca="false">IF($B758="","",IFERROR(VLOOKUP($B758,'Application Portfolio'!$A$2:$B$1000,2,FALSE()),""))</f>
        <v/>
      </c>
      <c r="D758" s="106"/>
      <c r="E758" s="106"/>
      <c r="F758" s="106"/>
      <c r="G758" s="106"/>
      <c r="H758" s="106"/>
      <c r="I758" s="103" t="str">
        <f aca="false">IF(OR($B758="", $D758="", $E758="", $F758="", $G758="", $H758=""),"",ROUND(($D758*Lists!$AD$20)+($E758*Lists!$AD$21)+($F758*Lists!$AD$22)+($G758*Lists!$AD$23)+($H758*Lists!$AD$24),2))</f>
        <v/>
      </c>
      <c r="J758" s="101"/>
      <c r="K758" s="105"/>
      <c r="L758" s="101"/>
    </row>
    <row r="759" customFormat="false" ht="15.75" hidden="false" customHeight="true" outlineLevel="0" collapsed="false">
      <c r="A759" s="113"/>
      <c r="B759" s="102"/>
      <c r="C759" s="101" t="str">
        <f aca="false">IF($B759="","",IFERROR(VLOOKUP($B759,'Application Portfolio'!$A$2:$B$1000,2,FALSE()),""))</f>
        <v/>
      </c>
      <c r="D759" s="106"/>
      <c r="E759" s="106"/>
      <c r="F759" s="106"/>
      <c r="G759" s="106"/>
      <c r="H759" s="106"/>
      <c r="I759" s="103" t="str">
        <f aca="false">IF(OR($B759="", $D759="", $E759="", $F759="", $G759="", $H759=""),"",ROUND(($D759*Lists!$AD$20)+($E759*Lists!$AD$21)+($F759*Lists!$AD$22)+($G759*Lists!$AD$23)+($H759*Lists!$AD$24),2))</f>
        <v/>
      </c>
      <c r="J759" s="101"/>
      <c r="K759" s="105"/>
      <c r="L759" s="101"/>
    </row>
    <row r="760" customFormat="false" ht="15.75" hidden="false" customHeight="true" outlineLevel="0" collapsed="false">
      <c r="A760" s="113"/>
      <c r="B760" s="102"/>
      <c r="C760" s="101" t="str">
        <f aca="false">IF($B760="","",IFERROR(VLOOKUP($B760,'Application Portfolio'!$A$2:$B$1000,2,FALSE()),""))</f>
        <v/>
      </c>
      <c r="D760" s="106"/>
      <c r="E760" s="106"/>
      <c r="F760" s="106"/>
      <c r="G760" s="106"/>
      <c r="H760" s="106"/>
      <c r="I760" s="103" t="str">
        <f aca="false">IF(OR($B760="", $D760="", $E760="", $F760="", $G760="", $H760=""),"",ROUND(($D760*Lists!$AD$20)+($E760*Lists!$AD$21)+($F760*Lists!$AD$22)+($G760*Lists!$AD$23)+($H760*Lists!$AD$24),2))</f>
        <v/>
      </c>
      <c r="J760" s="101"/>
      <c r="K760" s="105"/>
      <c r="L760" s="101"/>
    </row>
    <row r="761" customFormat="false" ht="15.75" hidden="false" customHeight="true" outlineLevel="0" collapsed="false">
      <c r="A761" s="113"/>
      <c r="B761" s="102"/>
      <c r="C761" s="101" t="str">
        <f aca="false">IF($B761="","",IFERROR(VLOOKUP($B761,'Application Portfolio'!$A$2:$B$1000,2,FALSE()),""))</f>
        <v/>
      </c>
      <c r="D761" s="106"/>
      <c r="E761" s="106"/>
      <c r="F761" s="106"/>
      <c r="G761" s="106"/>
      <c r="H761" s="106"/>
      <c r="I761" s="103" t="str">
        <f aca="false">IF(OR($B761="", $D761="", $E761="", $F761="", $G761="", $H761=""),"",ROUND(($D761*Lists!$AD$20)+($E761*Lists!$AD$21)+($F761*Lists!$AD$22)+($G761*Lists!$AD$23)+($H761*Lists!$AD$24),2))</f>
        <v/>
      </c>
      <c r="J761" s="101"/>
      <c r="K761" s="105"/>
      <c r="L761" s="101"/>
    </row>
    <row r="762" customFormat="false" ht="15.75" hidden="false" customHeight="true" outlineLevel="0" collapsed="false">
      <c r="A762" s="113"/>
      <c r="B762" s="102"/>
      <c r="C762" s="101" t="str">
        <f aca="false">IF($B762="","",IFERROR(VLOOKUP($B762,'Application Portfolio'!$A$2:$B$1000,2,FALSE()),""))</f>
        <v/>
      </c>
      <c r="D762" s="106"/>
      <c r="E762" s="106"/>
      <c r="F762" s="106"/>
      <c r="G762" s="106"/>
      <c r="H762" s="106"/>
      <c r="I762" s="103" t="str">
        <f aca="false">IF(OR($B762="", $D762="", $E762="", $F762="", $G762="", $H762=""),"",ROUND(($D762*Lists!$AD$20)+($E762*Lists!$AD$21)+($F762*Lists!$AD$22)+($G762*Lists!$AD$23)+($H762*Lists!$AD$24),2))</f>
        <v/>
      </c>
      <c r="J762" s="101"/>
      <c r="K762" s="105"/>
      <c r="L762" s="101"/>
    </row>
    <row r="763" customFormat="false" ht="15.75" hidden="false" customHeight="true" outlineLevel="0" collapsed="false">
      <c r="A763" s="113"/>
      <c r="B763" s="102"/>
      <c r="C763" s="101" t="str">
        <f aca="false">IF($B763="","",IFERROR(VLOOKUP($B763,'Application Portfolio'!$A$2:$B$1000,2,FALSE()),""))</f>
        <v/>
      </c>
      <c r="D763" s="106"/>
      <c r="E763" s="106"/>
      <c r="F763" s="106"/>
      <c r="G763" s="106"/>
      <c r="H763" s="106"/>
      <c r="I763" s="103" t="str">
        <f aca="false">IF(OR($B763="", $D763="", $E763="", $F763="", $G763="", $H763=""),"",ROUND(($D763*Lists!$AD$20)+($E763*Lists!$AD$21)+($F763*Lists!$AD$22)+($G763*Lists!$AD$23)+($H763*Lists!$AD$24),2))</f>
        <v/>
      </c>
      <c r="J763" s="101"/>
      <c r="K763" s="105"/>
      <c r="L763" s="101"/>
    </row>
    <row r="764" customFormat="false" ht="15.75" hidden="false" customHeight="true" outlineLevel="0" collapsed="false">
      <c r="A764" s="113"/>
      <c r="B764" s="102"/>
      <c r="C764" s="101" t="str">
        <f aca="false">IF($B764="","",IFERROR(VLOOKUP($B764,'Application Portfolio'!$A$2:$B$1000,2,FALSE()),""))</f>
        <v/>
      </c>
      <c r="D764" s="106"/>
      <c r="E764" s="106"/>
      <c r="F764" s="106"/>
      <c r="G764" s="106"/>
      <c r="H764" s="106"/>
      <c r="I764" s="103" t="str">
        <f aca="false">IF(OR($B764="", $D764="", $E764="", $F764="", $G764="", $H764=""),"",ROUND(($D764*Lists!$AD$20)+($E764*Lists!$AD$21)+($F764*Lists!$AD$22)+($G764*Lists!$AD$23)+($H764*Lists!$AD$24),2))</f>
        <v/>
      </c>
      <c r="J764" s="101"/>
      <c r="K764" s="105"/>
      <c r="L764" s="101"/>
    </row>
    <row r="765" customFormat="false" ht="15.75" hidden="false" customHeight="true" outlineLevel="0" collapsed="false">
      <c r="A765" s="113"/>
      <c r="B765" s="102"/>
      <c r="C765" s="101" t="str">
        <f aca="false">IF($B765="","",IFERROR(VLOOKUP($B765,'Application Portfolio'!$A$2:$B$1000,2,FALSE()),""))</f>
        <v/>
      </c>
      <c r="D765" s="106"/>
      <c r="E765" s="106"/>
      <c r="F765" s="106"/>
      <c r="G765" s="106"/>
      <c r="H765" s="106"/>
      <c r="I765" s="103" t="str">
        <f aca="false">IF(OR($B765="", $D765="", $E765="", $F765="", $G765="", $H765=""),"",ROUND(($D765*Lists!$AD$20)+($E765*Lists!$AD$21)+($F765*Lists!$AD$22)+($G765*Lists!$AD$23)+($H765*Lists!$AD$24),2))</f>
        <v/>
      </c>
      <c r="J765" s="101"/>
      <c r="K765" s="105"/>
      <c r="L765" s="101"/>
    </row>
    <row r="766" customFormat="false" ht="15.75" hidden="false" customHeight="true" outlineLevel="0" collapsed="false">
      <c r="A766" s="113"/>
      <c r="B766" s="102"/>
      <c r="C766" s="101" t="str">
        <f aca="false">IF($B766="","",IFERROR(VLOOKUP($B766,'Application Portfolio'!$A$2:$B$1000,2,FALSE()),""))</f>
        <v/>
      </c>
      <c r="D766" s="106"/>
      <c r="E766" s="106"/>
      <c r="F766" s="106"/>
      <c r="G766" s="106"/>
      <c r="H766" s="106"/>
      <c r="I766" s="103" t="str">
        <f aca="false">IF(OR($B766="", $D766="", $E766="", $F766="", $G766="", $H766=""),"",ROUND(($D766*Lists!$AD$20)+($E766*Lists!$AD$21)+($F766*Lists!$AD$22)+($G766*Lists!$AD$23)+($H766*Lists!$AD$24),2))</f>
        <v/>
      </c>
      <c r="J766" s="101"/>
      <c r="K766" s="105"/>
      <c r="L766" s="101"/>
    </row>
    <row r="767" customFormat="false" ht="15.75" hidden="false" customHeight="true" outlineLevel="0" collapsed="false">
      <c r="A767" s="113"/>
      <c r="B767" s="102"/>
      <c r="C767" s="101" t="str">
        <f aca="false">IF($B767="","",IFERROR(VLOOKUP($B767,'Application Portfolio'!$A$2:$B$1000,2,FALSE()),""))</f>
        <v/>
      </c>
      <c r="D767" s="106"/>
      <c r="E767" s="106"/>
      <c r="F767" s="106"/>
      <c r="G767" s="106"/>
      <c r="H767" s="106"/>
      <c r="I767" s="103" t="str">
        <f aca="false">IF(OR($B767="", $D767="", $E767="", $F767="", $G767="", $H767=""),"",ROUND(($D767*Lists!$AD$20)+($E767*Lists!$AD$21)+($F767*Lists!$AD$22)+($G767*Lists!$AD$23)+($H767*Lists!$AD$24),2))</f>
        <v/>
      </c>
      <c r="J767" s="101"/>
      <c r="K767" s="105"/>
      <c r="L767" s="101"/>
    </row>
    <row r="768" customFormat="false" ht="15.75" hidden="false" customHeight="true" outlineLevel="0" collapsed="false">
      <c r="A768" s="113"/>
      <c r="B768" s="102"/>
      <c r="C768" s="101" t="str">
        <f aca="false">IF($B768="","",IFERROR(VLOOKUP($B768,'Application Portfolio'!$A$2:$B$1000,2,FALSE()),""))</f>
        <v/>
      </c>
      <c r="D768" s="106"/>
      <c r="E768" s="106"/>
      <c r="F768" s="106"/>
      <c r="G768" s="106"/>
      <c r="H768" s="106"/>
      <c r="I768" s="103" t="str">
        <f aca="false">IF(OR($B768="", $D768="", $E768="", $F768="", $G768="", $H768=""),"",ROUND(($D768*Lists!$AD$20)+($E768*Lists!$AD$21)+($F768*Lists!$AD$22)+($G768*Lists!$AD$23)+($H768*Lists!$AD$24),2))</f>
        <v/>
      </c>
      <c r="J768" s="101"/>
      <c r="K768" s="105"/>
      <c r="L768" s="101"/>
    </row>
    <row r="769" customFormat="false" ht="15.75" hidden="false" customHeight="true" outlineLevel="0" collapsed="false">
      <c r="A769" s="113"/>
      <c r="B769" s="102"/>
      <c r="C769" s="101" t="str">
        <f aca="false">IF($B769="","",IFERROR(VLOOKUP($B769,'Application Portfolio'!$A$2:$B$1000,2,FALSE()),""))</f>
        <v/>
      </c>
      <c r="D769" s="106"/>
      <c r="E769" s="106"/>
      <c r="F769" s="106"/>
      <c r="G769" s="106"/>
      <c r="H769" s="106"/>
      <c r="I769" s="103" t="str">
        <f aca="false">IF(OR($B769="", $D769="", $E769="", $F769="", $G769="", $H769=""),"",ROUND(($D769*Lists!$AD$20)+($E769*Lists!$AD$21)+($F769*Lists!$AD$22)+($G769*Lists!$AD$23)+($H769*Lists!$AD$24),2))</f>
        <v/>
      </c>
      <c r="J769" s="101"/>
      <c r="K769" s="105"/>
      <c r="L769" s="101"/>
    </row>
    <row r="770" customFormat="false" ht="15.75" hidden="false" customHeight="true" outlineLevel="0" collapsed="false">
      <c r="A770" s="113"/>
      <c r="B770" s="102"/>
      <c r="C770" s="101" t="str">
        <f aca="false">IF($B770="","",IFERROR(VLOOKUP($B770,'Application Portfolio'!$A$2:$B$1000,2,FALSE()),""))</f>
        <v/>
      </c>
      <c r="D770" s="106"/>
      <c r="E770" s="106"/>
      <c r="F770" s="106"/>
      <c r="G770" s="106"/>
      <c r="H770" s="106"/>
      <c r="I770" s="103" t="str">
        <f aca="false">IF(OR($B770="", $D770="", $E770="", $F770="", $G770="", $H770=""),"",ROUND(($D770*Lists!$AD$20)+($E770*Lists!$AD$21)+($F770*Lists!$AD$22)+($G770*Lists!$AD$23)+($H770*Lists!$AD$24),2))</f>
        <v/>
      </c>
      <c r="J770" s="101"/>
      <c r="K770" s="105"/>
      <c r="L770" s="101"/>
    </row>
    <row r="771" customFormat="false" ht="15.75" hidden="false" customHeight="true" outlineLevel="0" collapsed="false">
      <c r="A771" s="113"/>
      <c r="B771" s="102"/>
      <c r="C771" s="101" t="str">
        <f aca="false">IF($B771="","",IFERROR(VLOOKUP($B771,'Application Portfolio'!$A$2:$B$1000,2,FALSE()),""))</f>
        <v/>
      </c>
      <c r="D771" s="106"/>
      <c r="E771" s="106"/>
      <c r="F771" s="106"/>
      <c r="G771" s="106"/>
      <c r="H771" s="106"/>
      <c r="I771" s="103" t="str">
        <f aca="false">IF(OR($B771="", $D771="", $E771="", $F771="", $G771="", $H771=""),"",ROUND(($D771*Lists!$AD$20)+($E771*Lists!$AD$21)+($F771*Lists!$AD$22)+($G771*Lists!$AD$23)+($H771*Lists!$AD$24),2))</f>
        <v/>
      </c>
      <c r="J771" s="101"/>
      <c r="K771" s="105"/>
      <c r="L771" s="101"/>
    </row>
    <row r="772" customFormat="false" ht="15.75" hidden="false" customHeight="true" outlineLevel="0" collapsed="false">
      <c r="A772" s="113"/>
      <c r="B772" s="102"/>
      <c r="C772" s="101" t="str">
        <f aca="false">IF($B772="","",IFERROR(VLOOKUP($B772,'Application Portfolio'!$A$2:$B$1000,2,FALSE()),""))</f>
        <v/>
      </c>
      <c r="D772" s="106"/>
      <c r="E772" s="106"/>
      <c r="F772" s="106"/>
      <c r="G772" s="106"/>
      <c r="H772" s="106"/>
      <c r="I772" s="103" t="str">
        <f aca="false">IF(OR($B772="", $D772="", $E772="", $F772="", $G772="", $H772=""),"",ROUND(($D772*Lists!$AD$20)+($E772*Lists!$AD$21)+($F772*Lists!$AD$22)+($G772*Lists!$AD$23)+($H772*Lists!$AD$24),2))</f>
        <v/>
      </c>
      <c r="J772" s="101"/>
      <c r="K772" s="105"/>
      <c r="L772" s="101"/>
    </row>
    <row r="773" customFormat="false" ht="15.75" hidden="false" customHeight="true" outlineLevel="0" collapsed="false">
      <c r="A773" s="113"/>
      <c r="B773" s="102"/>
      <c r="C773" s="101" t="str">
        <f aca="false">IF($B773="","",IFERROR(VLOOKUP($B773,'Application Portfolio'!$A$2:$B$1000,2,FALSE()),""))</f>
        <v/>
      </c>
      <c r="D773" s="106"/>
      <c r="E773" s="106"/>
      <c r="F773" s="106"/>
      <c r="G773" s="106"/>
      <c r="H773" s="106"/>
      <c r="I773" s="103" t="str">
        <f aca="false">IF(OR($B773="", $D773="", $E773="", $F773="", $G773="", $H773=""),"",ROUND(($D773*Lists!$AD$20)+($E773*Lists!$AD$21)+($F773*Lists!$AD$22)+($G773*Lists!$AD$23)+($H773*Lists!$AD$24),2))</f>
        <v/>
      </c>
      <c r="J773" s="101"/>
      <c r="K773" s="105"/>
      <c r="L773" s="101"/>
    </row>
    <row r="774" customFormat="false" ht="15.75" hidden="false" customHeight="true" outlineLevel="0" collapsed="false">
      <c r="A774" s="113"/>
      <c r="B774" s="102"/>
      <c r="C774" s="101" t="str">
        <f aca="false">IF($B774="","",IFERROR(VLOOKUP($B774,'Application Portfolio'!$A$2:$B$1000,2,FALSE()),""))</f>
        <v/>
      </c>
      <c r="D774" s="106"/>
      <c r="E774" s="106"/>
      <c r="F774" s="106"/>
      <c r="G774" s="106"/>
      <c r="H774" s="106"/>
      <c r="I774" s="103" t="str">
        <f aca="false">IF(OR($B774="", $D774="", $E774="", $F774="", $G774="", $H774=""),"",ROUND(($D774*Lists!$AD$20)+($E774*Lists!$AD$21)+($F774*Lists!$AD$22)+($G774*Lists!$AD$23)+($H774*Lists!$AD$24),2))</f>
        <v/>
      </c>
      <c r="J774" s="101"/>
      <c r="K774" s="105"/>
      <c r="L774" s="101"/>
    </row>
    <row r="775" customFormat="false" ht="15.75" hidden="false" customHeight="true" outlineLevel="0" collapsed="false">
      <c r="A775" s="113"/>
      <c r="B775" s="102"/>
      <c r="C775" s="101" t="str">
        <f aca="false">IF($B775="","",IFERROR(VLOOKUP($B775,'Application Portfolio'!$A$2:$B$1000,2,FALSE()),""))</f>
        <v/>
      </c>
      <c r="D775" s="106"/>
      <c r="E775" s="106"/>
      <c r="F775" s="106"/>
      <c r="G775" s="106"/>
      <c r="H775" s="106"/>
      <c r="I775" s="103" t="str">
        <f aca="false">IF(OR($B775="", $D775="", $E775="", $F775="", $G775="", $H775=""),"",ROUND(($D775*Lists!$AD$20)+($E775*Lists!$AD$21)+($F775*Lists!$AD$22)+($G775*Lists!$AD$23)+($H775*Lists!$AD$24),2))</f>
        <v/>
      </c>
      <c r="J775" s="101"/>
      <c r="K775" s="105"/>
      <c r="L775" s="101"/>
    </row>
    <row r="776" customFormat="false" ht="15.75" hidden="false" customHeight="true" outlineLevel="0" collapsed="false">
      <c r="A776" s="113"/>
      <c r="B776" s="102"/>
      <c r="C776" s="101" t="str">
        <f aca="false">IF($B776="","",IFERROR(VLOOKUP($B776,'Application Portfolio'!$A$2:$B$1000,2,FALSE()),""))</f>
        <v/>
      </c>
      <c r="D776" s="106"/>
      <c r="E776" s="106"/>
      <c r="F776" s="106"/>
      <c r="G776" s="106"/>
      <c r="H776" s="106"/>
      <c r="I776" s="103" t="str">
        <f aca="false">IF(OR($B776="", $D776="", $E776="", $F776="", $G776="", $H776=""),"",ROUND(($D776*Lists!$AD$20)+($E776*Lists!$AD$21)+($F776*Lists!$AD$22)+($G776*Lists!$AD$23)+($H776*Lists!$AD$24),2))</f>
        <v/>
      </c>
      <c r="J776" s="101"/>
      <c r="K776" s="105"/>
      <c r="L776" s="101"/>
    </row>
    <row r="777" customFormat="false" ht="15.75" hidden="false" customHeight="true" outlineLevel="0" collapsed="false">
      <c r="A777" s="113"/>
      <c r="B777" s="102"/>
      <c r="C777" s="101" t="str">
        <f aca="false">IF($B777="","",IFERROR(VLOOKUP($B777,'Application Portfolio'!$A$2:$B$1000,2,FALSE()),""))</f>
        <v/>
      </c>
      <c r="D777" s="106"/>
      <c r="E777" s="106"/>
      <c r="F777" s="106"/>
      <c r="G777" s="106"/>
      <c r="H777" s="106"/>
      <c r="I777" s="103" t="str">
        <f aca="false">IF(OR($B777="", $D777="", $E777="", $F777="", $G777="", $H777=""),"",ROUND(($D777*Lists!$AD$20)+($E777*Lists!$AD$21)+($F777*Lists!$AD$22)+($G777*Lists!$AD$23)+($H777*Lists!$AD$24),2))</f>
        <v/>
      </c>
      <c r="J777" s="101"/>
      <c r="K777" s="105"/>
      <c r="L777" s="101"/>
    </row>
    <row r="778" customFormat="false" ht="15.75" hidden="false" customHeight="true" outlineLevel="0" collapsed="false">
      <c r="A778" s="113"/>
      <c r="B778" s="102"/>
      <c r="C778" s="101" t="str">
        <f aca="false">IF($B778="","",IFERROR(VLOOKUP($B778,'Application Portfolio'!$A$2:$B$1000,2,FALSE()),""))</f>
        <v/>
      </c>
      <c r="D778" s="106"/>
      <c r="E778" s="106"/>
      <c r="F778" s="106"/>
      <c r="G778" s="106"/>
      <c r="H778" s="106"/>
      <c r="I778" s="103" t="str">
        <f aca="false">IF(OR($B778="", $D778="", $E778="", $F778="", $G778="", $H778=""),"",ROUND(($D778*Lists!$AD$20)+($E778*Lists!$AD$21)+($F778*Lists!$AD$22)+($G778*Lists!$AD$23)+($H778*Lists!$AD$24),2))</f>
        <v/>
      </c>
      <c r="J778" s="101"/>
      <c r="K778" s="105"/>
      <c r="L778" s="101"/>
    </row>
    <row r="779" customFormat="false" ht="15.75" hidden="false" customHeight="true" outlineLevel="0" collapsed="false">
      <c r="A779" s="113"/>
      <c r="B779" s="102"/>
      <c r="C779" s="101" t="str">
        <f aca="false">IF($B779="","",IFERROR(VLOOKUP($B779,'Application Portfolio'!$A$2:$B$1000,2,FALSE()),""))</f>
        <v/>
      </c>
      <c r="D779" s="106"/>
      <c r="E779" s="106"/>
      <c r="F779" s="106"/>
      <c r="G779" s="106"/>
      <c r="H779" s="106"/>
      <c r="I779" s="103" t="str">
        <f aca="false">IF(OR($B779="", $D779="", $E779="", $F779="", $G779="", $H779=""),"",ROUND(($D779*Lists!$AD$20)+($E779*Lists!$AD$21)+($F779*Lists!$AD$22)+($G779*Lists!$AD$23)+($H779*Lists!$AD$24),2))</f>
        <v/>
      </c>
      <c r="J779" s="101"/>
      <c r="K779" s="105"/>
      <c r="L779" s="101"/>
    </row>
    <row r="780" customFormat="false" ht="15.75" hidden="false" customHeight="true" outlineLevel="0" collapsed="false">
      <c r="A780" s="113"/>
      <c r="B780" s="102"/>
      <c r="C780" s="101" t="str">
        <f aca="false">IF($B780="","",IFERROR(VLOOKUP($B780,'Application Portfolio'!$A$2:$B$1000,2,FALSE()),""))</f>
        <v/>
      </c>
      <c r="D780" s="106"/>
      <c r="E780" s="106"/>
      <c r="F780" s="106"/>
      <c r="G780" s="106"/>
      <c r="H780" s="106"/>
      <c r="I780" s="103" t="str">
        <f aca="false">IF(OR($B780="", $D780="", $E780="", $F780="", $G780="", $H780=""),"",ROUND(($D780*Lists!$AD$20)+($E780*Lists!$AD$21)+($F780*Lists!$AD$22)+($G780*Lists!$AD$23)+($H780*Lists!$AD$24),2))</f>
        <v/>
      </c>
      <c r="J780" s="101"/>
      <c r="K780" s="105"/>
      <c r="L780" s="101"/>
    </row>
    <row r="781" customFormat="false" ht="15.75" hidden="false" customHeight="true" outlineLevel="0" collapsed="false">
      <c r="A781" s="113"/>
      <c r="B781" s="102"/>
      <c r="C781" s="101" t="str">
        <f aca="false">IF($B781="","",IFERROR(VLOOKUP($B781,'Application Portfolio'!$A$2:$B$1000,2,FALSE()),""))</f>
        <v/>
      </c>
      <c r="D781" s="106"/>
      <c r="E781" s="106"/>
      <c r="F781" s="106"/>
      <c r="G781" s="106"/>
      <c r="H781" s="106"/>
      <c r="I781" s="103" t="str">
        <f aca="false">IF(OR($B781="", $D781="", $E781="", $F781="", $G781="", $H781=""),"",ROUND(($D781*Lists!$AD$20)+($E781*Lists!$AD$21)+($F781*Lists!$AD$22)+($G781*Lists!$AD$23)+($H781*Lists!$AD$24),2))</f>
        <v/>
      </c>
      <c r="J781" s="101"/>
      <c r="K781" s="105"/>
      <c r="L781" s="101"/>
    </row>
    <row r="782" customFormat="false" ht="15.75" hidden="false" customHeight="true" outlineLevel="0" collapsed="false">
      <c r="A782" s="113"/>
      <c r="B782" s="102"/>
      <c r="C782" s="101" t="str">
        <f aca="false">IF($B782="","",IFERROR(VLOOKUP($B782,'Application Portfolio'!$A$2:$B$1000,2,FALSE()),""))</f>
        <v/>
      </c>
      <c r="D782" s="106"/>
      <c r="E782" s="106"/>
      <c r="F782" s="106"/>
      <c r="G782" s="106"/>
      <c r="H782" s="106"/>
      <c r="I782" s="103" t="str">
        <f aca="false">IF(OR($B782="", $D782="", $E782="", $F782="", $G782="", $H782=""),"",ROUND(($D782*Lists!$AD$20)+($E782*Lists!$AD$21)+($F782*Lists!$AD$22)+($G782*Lists!$AD$23)+($H782*Lists!$AD$24),2))</f>
        <v/>
      </c>
      <c r="J782" s="101"/>
      <c r="K782" s="105"/>
      <c r="L782" s="101"/>
    </row>
    <row r="783" customFormat="false" ht="15.75" hidden="false" customHeight="true" outlineLevel="0" collapsed="false">
      <c r="A783" s="113"/>
      <c r="B783" s="102"/>
      <c r="C783" s="101" t="str">
        <f aca="false">IF($B783="","",IFERROR(VLOOKUP($B783,'Application Portfolio'!$A$2:$B$1000,2,FALSE()),""))</f>
        <v/>
      </c>
      <c r="D783" s="106"/>
      <c r="E783" s="106"/>
      <c r="F783" s="106"/>
      <c r="G783" s="106"/>
      <c r="H783" s="106"/>
      <c r="I783" s="103" t="str">
        <f aca="false">IF(OR($B783="", $D783="", $E783="", $F783="", $G783="", $H783=""),"",ROUND(($D783*Lists!$AD$20)+($E783*Lists!$AD$21)+($F783*Lists!$AD$22)+($G783*Lists!$AD$23)+($H783*Lists!$AD$24),2))</f>
        <v/>
      </c>
      <c r="J783" s="101"/>
      <c r="K783" s="105"/>
      <c r="L783" s="101"/>
    </row>
    <row r="784" customFormat="false" ht="15.75" hidden="false" customHeight="true" outlineLevel="0" collapsed="false">
      <c r="A784" s="113"/>
      <c r="B784" s="102"/>
      <c r="C784" s="101" t="str">
        <f aca="false">IF($B784="","",IFERROR(VLOOKUP($B784,'Application Portfolio'!$A$2:$B$1000,2,FALSE()),""))</f>
        <v/>
      </c>
      <c r="D784" s="106"/>
      <c r="E784" s="106"/>
      <c r="F784" s="106"/>
      <c r="G784" s="106"/>
      <c r="H784" s="106"/>
      <c r="I784" s="103" t="str">
        <f aca="false">IF(OR($B784="", $D784="", $E784="", $F784="", $G784="", $H784=""),"",ROUND(($D784*Lists!$AD$20)+($E784*Lists!$AD$21)+($F784*Lists!$AD$22)+($G784*Lists!$AD$23)+($H784*Lists!$AD$24),2))</f>
        <v/>
      </c>
      <c r="J784" s="101"/>
      <c r="K784" s="105"/>
      <c r="L784" s="101"/>
    </row>
    <row r="785" customFormat="false" ht="15.75" hidden="false" customHeight="true" outlineLevel="0" collapsed="false">
      <c r="A785" s="113"/>
      <c r="B785" s="102"/>
      <c r="C785" s="101" t="str">
        <f aca="false">IF($B785="","",IFERROR(VLOOKUP($B785,'Application Portfolio'!$A$2:$B$1000,2,FALSE()),""))</f>
        <v/>
      </c>
      <c r="D785" s="106"/>
      <c r="E785" s="106"/>
      <c r="F785" s="106"/>
      <c r="G785" s="106"/>
      <c r="H785" s="106"/>
      <c r="I785" s="103" t="str">
        <f aca="false">IF(OR($B785="", $D785="", $E785="", $F785="", $G785="", $H785=""),"",ROUND(($D785*Lists!$AD$20)+($E785*Lists!$AD$21)+($F785*Lists!$AD$22)+($G785*Lists!$AD$23)+($H785*Lists!$AD$24),2))</f>
        <v/>
      </c>
      <c r="J785" s="101"/>
      <c r="K785" s="105"/>
      <c r="L785" s="101"/>
    </row>
    <row r="786" customFormat="false" ht="15.75" hidden="false" customHeight="true" outlineLevel="0" collapsed="false">
      <c r="A786" s="113"/>
      <c r="B786" s="102"/>
      <c r="C786" s="101" t="str">
        <f aca="false">IF($B786="","",IFERROR(VLOOKUP($B786,'Application Portfolio'!$A$2:$B$1000,2,FALSE()),""))</f>
        <v/>
      </c>
      <c r="D786" s="106"/>
      <c r="E786" s="106"/>
      <c r="F786" s="106"/>
      <c r="G786" s="106"/>
      <c r="H786" s="106"/>
      <c r="I786" s="103" t="str">
        <f aca="false">IF(OR($B786="", $D786="", $E786="", $F786="", $G786="", $H786=""),"",ROUND(($D786*Lists!$AD$20)+($E786*Lists!$AD$21)+($F786*Lists!$AD$22)+($G786*Lists!$AD$23)+($H786*Lists!$AD$24),2))</f>
        <v/>
      </c>
      <c r="J786" s="101"/>
      <c r="K786" s="105"/>
      <c r="L786" s="101"/>
    </row>
    <row r="787" customFormat="false" ht="15.75" hidden="false" customHeight="true" outlineLevel="0" collapsed="false">
      <c r="A787" s="113"/>
      <c r="B787" s="102"/>
      <c r="C787" s="101" t="str">
        <f aca="false">IF($B787="","",IFERROR(VLOOKUP($B787,'Application Portfolio'!$A$2:$B$1000,2,FALSE()),""))</f>
        <v/>
      </c>
      <c r="D787" s="106"/>
      <c r="E787" s="106"/>
      <c r="F787" s="106"/>
      <c r="G787" s="106"/>
      <c r="H787" s="106"/>
      <c r="I787" s="103" t="str">
        <f aca="false">IF(OR($B787="", $D787="", $E787="", $F787="", $G787="", $H787=""),"",ROUND(($D787*Lists!$AD$20)+($E787*Lists!$AD$21)+($F787*Lists!$AD$22)+($G787*Lists!$AD$23)+($H787*Lists!$AD$24),2))</f>
        <v/>
      </c>
      <c r="J787" s="101"/>
      <c r="K787" s="105"/>
      <c r="L787" s="101"/>
    </row>
    <row r="788" customFormat="false" ht="15.75" hidden="false" customHeight="true" outlineLevel="0" collapsed="false">
      <c r="A788" s="113"/>
      <c r="B788" s="102"/>
      <c r="C788" s="101" t="str">
        <f aca="false">IF($B788="","",IFERROR(VLOOKUP($B788,'Application Portfolio'!$A$2:$B$1000,2,FALSE()),""))</f>
        <v/>
      </c>
      <c r="D788" s="106"/>
      <c r="E788" s="106"/>
      <c r="F788" s="106"/>
      <c r="G788" s="106"/>
      <c r="H788" s="106"/>
      <c r="I788" s="103" t="str">
        <f aca="false">IF(OR($B788="", $D788="", $E788="", $F788="", $G788="", $H788=""),"",ROUND(($D788*Lists!$AD$20)+($E788*Lists!$AD$21)+($F788*Lists!$AD$22)+($G788*Lists!$AD$23)+($H788*Lists!$AD$24),2))</f>
        <v/>
      </c>
      <c r="J788" s="101"/>
      <c r="K788" s="105"/>
      <c r="L788" s="101"/>
    </row>
    <row r="789" customFormat="false" ht="15.75" hidden="false" customHeight="true" outlineLevel="0" collapsed="false">
      <c r="A789" s="113"/>
      <c r="B789" s="102"/>
      <c r="C789" s="101" t="str">
        <f aca="false">IF($B789="","",IFERROR(VLOOKUP($B789,'Application Portfolio'!$A$2:$B$1000,2,FALSE()),""))</f>
        <v/>
      </c>
      <c r="D789" s="106"/>
      <c r="E789" s="106"/>
      <c r="F789" s="106"/>
      <c r="G789" s="106"/>
      <c r="H789" s="106"/>
      <c r="I789" s="103" t="str">
        <f aca="false">IF(OR($B789="", $D789="", $E789="", $F789="", $G789="", $H789=""),"",ROUND(($D789*Lists!$AD$20)+($E789*Lists!$AD$21)+($F789*Lists!$AD$22)+($G789*Lists!$AD$23)+($H789*Lists!$AD$24),2))</f>
        <v/>
      </c>
      <c r="J789" s="101"/>
      <c r="K789" s="105"/>
      <c r="L789" s="101"/>
    </row>
    <row r="790" customFormat="false" ht="15.75" hidden="false" customHeight="true" outlineLevel="0" collapsed="false">
      <c r="A790" s="113"/>
      <c r="B790" s="102"/>
      <c r="C790" s="101" t="str">
        <f aca="false">IF($B790="","",IFERROR(VLOOKUP($B790,'Application Portfolio'!$A$2:$B$1000,2,FALSE()),""))</f>
        <v/>
      </c>
      <c r="D790" s="106"/>
      <c r="E790" s="106"/>
      <c r="F790" s="106"/>
      <c r="G790" s="106"/>
      <c r="H790" s="106"/>
      <c r="I790" s="103" t="str">
        <f aca="false">IF(OR($B790="", $D790="", $E790="", $F790="", $G790="", $H790=""),"",ROUND(($D790*Lists!$AD$20)+($E790*Lists!$AD$21)+($F790*Lists!$AD$22)+($G790*Lists!$AD$23)+($H790*Lists!$AD$24),2))</f>
        <v/>
      </c>
      <c r="J790" s="101"/>
      <c r="K790" s="105"/>
      <c r="L790" s="101"/>
    </row>
    <row r="791" customFormat="false" ht="15.75" hidden="false" customHeight="true" outlineLevel="0" collapsed="false">
      <c r="A791" s="113"/>
      <c r="B791" s="102"/>
      <c r="C791" s="101" t="str">
        <f aca="false">IF($B791="","",IFERROR(VLOOKUP($B791,'Application Portfolio'!$A$2:$B$1000,2,FALSE()),""))</f>
        <v/>
      </c>
      <c r="D791" s="106"/>
      <c r="E791" s="106"/>
      <c r="F791" s="106"/>
      <c r="G791" s="106"/>
      <c r="H791" s="106"/>
      <c r="I791" s="103" t="str">
        <f aca="false">IF(OR($B791="", $D791="", $E791="", $F791="", $G791="", $H791=""),"",ROUND(($D791*Lists!$AD$20)+($E791*Lists!$AD$21)+($F791*Lists!$AD$22)+($G791*Lists!$AD$23)+($H791*Lists!$AD$24),2))</f>
        <v/>
      </c>
      <c r="J791" s="101"/>
      <c r="K791" s="105"/>
      <c r="L791" s="101"/>
    </row>
    <row r="792" customFormat="false" ht="15.75" hidden="false" customHeight="true" outlineLevel="0" collapsed="false">
      <c r="A792" s="113"/>
      <c r="B792" s="102"/>
      <c r="C792" s="101" t="str">
        <f aca="false">IF($B792="","",IFERROR(VLOOKUP($B792,'Application Portfolio'!$A$2:$B$1000,2,FALSE()),""))</f>
        <v/>
      </c>
      <c r="D792" s="106"/>
      <c r="E792" s="106"/>
      <c r="F792" s="106"/>
      <c r="G792" s="106"/>
      <c r="H792" s="106"/>
      <c r="I792" s="103" t="str">
        <f aca="false">IF(OR($B792="", $D792="", $E792="", $F792="", $G792="", $H792=""),"",ROUND(($D792*Lists!$AD$20)+($E792*Lists!$AD$21)+($F792*Lists!$AD$22)+($G792*Lists!$AD$23)+($H792*Lists!$AD$24),2))</f>
        <v/>
      </c>
      <c r="J792" s="101"/>
      <c r="K792" s="105"/>
      <c r="L792" s="101"/>
    </row>
    <row r="793" customFormat="false" ht="15.75" hidden="false" customHeight="true" outlineLevel="0" collapsed="false">
      <c r="A793" s="113"/>
      <c r="B793" s="102"/>
      <c r="C793" s="101" t="str">
        <f aca="false">IF($B793="","",IFERROR(VLOOKUP($B793,'Application Portfolio'!$A$2:$B$1000,2,FALSE()),""))</f>
        <v/>
      </c>
      <c r="D793" s="106"/>
      <c r="E793" s="106"/>
      <c r="F793" s="106"/>
      <c r="G793" s="106"/>
      <c r="H793" s="106"/>
      <c r="I793" s="103" t="str">
        <f aca="false">IF(OR($B793="", $D793="", $E793="", $F793="", $G793="", $H793=""),"",ROUND(($D793*Lists!$AD$20)+($E793*Lists!$AD$21)+($F793*Lists!$AD$22)+($G793*Lists!$AD$23)+($H793*Lists!$AD$24),2))</f>
        <v/>
      </c>
      <c r="J793" s="101"/>
      <c r="K793" s="105"/>
      <c r="L793" s="101"/>
    </row>
    <row r="794" customFormat="false" ht="15.75" hidden="false" customHeight="true" outlineLevel="0" collapsed="false">
      <c r="A794" s="113"/>
      <c r="B794" s="102"/>
      <c r="C794" s="101" t="str">
        <f aca="false">IF($B794="","",IFERROR(VLOOKUP($B794,'Application Portfolio'!$A$2:$B$1000,2,FALSE()),""))</f>
        <v/>
      </c>
      <c r="D794" s="106"/>
      <c r="E794" s="106"/>
      <c r="F794" s="106"/>
      <c r="G794" s="106"/>
      <c r="H794" s="106"/>
      <c r="I794" s="103" t="str">
        <f aca="false">IF(OR($B794="", $D794="", $E794="", $F794="", $G794="", $H794=""),"",ROUND(($D794*Lists!$AD$20)+($E794*Lists!$AD$21)+($F794*Lists!$AD$22)+($G794*Lists!$AD$23)+($H794*Lists!$AD$24),2))</f>
        <v/>
      </c>
      <c r="J794" s="101"/>
      <c r="K794" s="105"/>
      <c r="L794" s="101"/>
    </row>
    <row r="795" customFormat="false" ht="15.75" hidden="false" customHeight="true" outlineLevel="0" collapsed="false">
      <c r="A795" s="113"/>
      <c r="B795" s="102"/>
      <c r="C795" s="101" t="str">
        <f aca="false">IF($B795="","",IFERROR(VLOOKUP($B795,'Application Portfolio'!$A$2:$B$1000,2,FALSE()),""))</f>
        <v/>
      </c>
      <c r="D795" s="106"/>
      <c r="E795" s="106"/>
      <c r="F795" s="106"/>
      <c r="G795" s="106"/>
      <c r="H795" s="106"/>
      <c r="I795" s="103" t="str">
        <f aca="false">IF(OR($B795="", $D795="", $E795="", $F795="", $G795="", $H795=""),"",ROUND(($D795*Lists!$AD$20)+($E795*Lists!$AD$21)+($F795*Lists!$AD$22)+($G795*Lists!$AD$23)+($H795*Lists!$AD$24),2))</f>
        <v/>
      </c>
      <c r="J795" s="101"/>
      <c r="K795" s="105"/>
      <c r="L795" s="101"/>
    </row>
    <row r="796" customFormat="false" ht="15.75" hidden="false" customHeight="true" outlineLevel="0" collapsed="false">
      <c r="A796" s="113"/>
      <c r="B796" s="102"/>
      <c r="C796" s="101" t="str">
        <f aca="false">IF($B796="","",IFERROR(VLOOKUP($B796,'Application Portfolio'!$A$2:$B$1000,2,FALSE()),""))</f>
        <v/>
      </c>
      <c r="D796" s="106"/>
      <c r="E796" s="106"/>
      <c r="F796" s="106"/>
      <c r="G796" s="106"/>
      <c r="H796" s="106"/>
      <c r="I796" s="103" t="str">
        <f aca="false">IF(OR($B796="", $D796="", $E796="", $F796="", $G796="", $H796=""),"",ROUND(($D796*Lists!$AD$20)+($E796*Lists!$AD$21)+($F796*Lists!$AD$22)+($G796*Lists!$AD$23)+($H796*Lists!$AD$24),2))</f>
        <v/>
      </c>
      <c r="J796" s="101"/>
      <c r="K796" s="105"/>
      <c r="L796" s="101"/>
    </row>
    <row r="797" customFormat="false" ht="15.75" hidden="false" customHeight="true" outlineLevel="0" collapsed="false">
      <c r="A797" s="113"/>
      <c r="B797" s="102"/>
      <c r="C797" s="101" t="str">
        <f aca="false">IF($B797="","",IFERROR(VLOOKUP($B797,'Application Portfolio'!$A$2:$B$1000,2,FALSE()),""))</f>
        <v/>
      </c>
      <c r="D797" s="106"/>
      <c r="E797" s="106"/>
      <c r="F797" s="106"/>
      <c r="G797" s="106"/>
      <c r="H797" s="106"/>
      <c r="I797" s="103" t="str">
        <f aca="false">IF(OR($B797="", $D797="", $E797="", $F797="", $G797="", $H797=""),"",ROUND(($D797*Lists!$AD$20)+($E797*Lists!$AD$21)+($F797*Lists!$AD$22)+($G797*Lists!$AD$23)+($H797*Lists!$AD$24),2))</f>
        <v/>
      </c>
      <c r="J797" s="101"/>
      <c r="K797" s="105"/>
      <c r="L797" s="101"/>
    </row>
    <row r="798" customFormat="false" ht="15.75" hidden="false" customHeight="true" outlineLevel="0" collapsed="false">
      <c r="A798" s="113"/>
      <c r="B798" s="102"/>
      <c r="C798" s="101" t="str">
        <f aca="false">IF($B798="","",IFERROR(VLOOKUP($B798,'Application Portfolio'!$A$2:$B$1000,2,FALSE()),""))</f>
        <v/>
      </c>
      <c r="D798" s="106"/>
      <c r="E798" s="106"/>
      <c r="F798" s="106"/>
      <c r="G798" s="106"/>
      <c r="H798" s="106"/>
      <c r="I798" s="103" t="str">
        <f aca="false">IF(OR($B798="", $D798="", $E798="", $F798="", $G798="", $H798=""),"",ROUND(($D798*Lists!$AD$20)+($E798*Lists!$AD$21)+($F798*Lists!$AD$22)+($G798*Lists!$AD$23)+($H798*Lists!$AD$24),2))</f>
        <v/>
      </c>
      <c r="J798" s="101"/>
      <c r="K798" s="105"/>
      <c r="L798" s="101"/>
    </row>
    <row r="799" customFormat="false" ht="15.75" hidden="false" customHeight="true" outlineLevel="0" collapsed="false">
      <c r="A799" s="113"/>
      <c r="B799" s="102"/>
      <c r="C799" s="101" t="str">
        <f aca="false">IF($B799="","",IFERROR(VLOOKUP($B799,'Application Portfolio'!$A$2:$B$1000,2,FALSE()),""))</f>
        <v/>
      </c>
      <c r="D799" s="106"/>
      <c r="E799" s="106"/>
      <c r="F799" s="106"/>
      <c r="G799" s="106"/>
      <c r="H799" s="106"/>
      <c r="I799" s="103" t="str">
        <f aca="false">IF(OR($B799="", $D799="", $E799="", $F799="", $G799="", $H799=""),"",ROUND(($D799*Lists!$AD$20)+($E799*Lists!$AD$21)+($F799*Lists!$AD$22)+($G799*Lists!$AD$23)+($H799*Lists!$AD$24),2))</f>
        <v/>
      </c>
      <c r="J799" s="101"/>
      <c r="K799" s="105"/>
      <c r="L799" s="101"/>
    </row>
    <row r="800" customFormat="false" ht="15.75" hidden="false" customHeight="true" outlineLevel="0" collapsed="false">
      <c r="A800" s="113"/>
      <c r="B800" s="102"/>
      <c r="C800" s="101" t="str">
        <f aca="false">IF($B800="","",IFERROR(VLOOKUP($B800,'Application Portfolio'!$A$2:$B$1000,2,FALSE()),""))</f>
        <v/>
      </c>
      <c r="D800" s="106"/>
      <c r="E800" s="106"/>
      <c r="F800" s="106"/>
      <c r="G800" s="106"/>
      <c r="H800" s="106"/>
      <c r="I800" s="103" t="str">
        <f aca="false">IF(OR($B800="", $D800="", $E800="", $F800="", $G800="", $H800=""),"",ROUND(($D800*Lists!$AD$20)+($E800*Lists!$AD$21)+($F800*Lists!$AD$22)+($G800*Lists!$AD$23)+($H800*Lists!$AD$24),2))</f>
        <v/>
      </c>
      <c r="J800" s="101"/>
      <c r="K800" s="105"/>
      <c r="L800" s="101"/>
    </row>
    <row r="801" customFormat="false" ht="15.75" hidden="false" customHeight="true" outlineLevel="0" collapsed="false">
      <c r="A801" s="113"/>
      <c r="B801" s="102"/>
      <c r="C801" s="101" t="str">
        <f aca="false">IF($B801="","",IFERROR(VLOOKUP($B801,'Application Portfolio'!$A$2:$B$1000,2,FALSE()),""))</f>
        <v/>
      </c>
      <c r="D801" s="106"/>
      <c r="E801" s="106"/>
      <c r="F801" s="106"/>
      <c r="G801" s="106"/>
      <c r="H801" s="106"/>
      <c r="I801" s="103" t="str">
        <f aca="false">IF(OR($B801="", $D801="", $E801="", $F801="", $G801="", $H801=""),"",ROUND(($D801*Lists!$AD$20)+($E801*Lists!$AD$21)+($F801*Lists!$AD$22)+($G801*Lists!$AD$23)+($H801*Lists!$AD$24),2))</f>
        <v/>
      </c>
      <c r="J801" s="101"/>
      <c r="K801" s="105"/>
      <c r="L801" s="101"/>
    </row>
    <row r="802" customFormat="false" ht="15.75" hidden="false" customHeight="true" outlineLevel="0" collapsed="false">
      <c r="A802" s="113"/>
      <c r="B802" s="102"/>
      <c r="C802" s="101" t="str">
        <f aca="false">IF($B802="","",IFERROR(VLOOKUP($B802,'Application Portfolio'!$A$2:$B$1000,2,FALSE()),""))</f>
        <v/>
      </c>
      <c r="D802" s="106"/>
      <c r="E802" s="106"/>
      <c r="F802" s="106"/>
      <c r="G802" s="106"/>
      <c r="H802" s="106"/>
      <c r="I802" s="103" t="str">
        <f aca="false">IF(OR($B802="", $D802="", $E802="", $F802="", $G802="", $H802=""),"",ROUND(($D802*Lists!$AD$20)+($E802*Lists!$AD$21)+($F802*Lists!$AD$22)+($G802*Lists!$AD$23)+($H802*Lists!$AD$24),2))</f>
        <v/>
      </c>
      <c r="J802" s="101"/>
      <c r="K802" s="105"/>
      <c r="L802" s="101"/>
    </row>
    <row r="803" customFormat="false" ht="15.75" hidden="false" customHeight="true" outlineLevel="0" collapsed="false">
      <c r="A803" s="113"/>
      <c r="B803" s="102"/>
      <c r="C803" s="101" t="str">
        <f aca="false">IF($B803="","",IFERROR(VLOOKUP($B803,'Application Portfolio'!$A$2:$B$1000,2,FALSE()),""))</f>
        <v/>
      </c>
      <c r="D803" s="106"/>
      <c r="E803" s="106"/>
      <c r="F803" s="106"/>
      <c r="G803" s="106"/>
      <c r="H803" s="106"/>
      <c r="I803" s="103" t="str">
        <f aca="false">IF(OR($B803="", $D803="", $E803="", $F803="", $G803="", $H803=""),"",ROUND(($D803*Lists!$AD$20)+($E803*Lists!$AD$21)+($F803*Lists!$AD$22)+($G803*Lists!$AD$23)+($H803*Lists!$AD$24),2))</f>
        <v/>
      </c>
      <c r="J803" s="101"/>
      <c r="K803" s="105"/>
      <c r="L803" s="101"/>
    </row>
    <row r="804" customFormat="false" ht="15.75" hidden="false" customHeight="true" outlineLevel="0" collapsed="false">
      <c r="A804" s="113"/>
      <c r="B804" s="102"/>
      <c r="C804" s="101" t="str">
        <f aca="false">IF($B804="","",IFERROR(VLOOKUP($B804,'Application Portfolio'!$A$2:$B$1000,2,FALSE()),""))</f>
        <v/>
      </c>
      <c r="D804" s="106"/>
      <c r="E804" s="106"/>
      <c r="F804" s="106"/>
      <c r="G804" s="106"/>
      <c r="H804" s="106"/>
      <c r="I804" s="103" t="str">
        <f aca="false">IF(OR($B804="", $D804="", $E804="", $F804="", $G804="", $H804=""),"",ROUND(($D804*Lists!$AD$20)+($E804*Lists!$AD$21)+($F804*Lists!$AD$22)+($G804*Lists!$AD$23)+($H804*Lists!$AD$24),2))</f>
        <v/>
      </c>
      <c r="J804" s="101"/>
      <c r="K804" s="105"/>
      <c r="L804" s="101"/>
    </row>
    <row r="805" customFormat="false" ht="15.75" hidden="false" customHeight="true" outlineLevel="0" collapsed="false">
      <c r="A805" s="113"/>
      <c r="B805" s="102"/>
      <c r="C805" s="101" t="str">
        <f aca="false">IF($B805="","",IFERROR(VLOOKUP($B805,'Application Portfolio'!$A$2:$B$1000,2,FALSE()),""))</f>
        <v/>
      </c>
      <c r="D805" s="106"/>
      <c r="E805" s="106"/>
      <c r="F805" s="106"/>
      <c r="G805" s="106"/>
      <c r="H805" s="106"/>
      <c r="I805" s="103" t="str">
        <f aca="false">IF(OR($B805="", $D805="", $E805="", $F805="", $G805="", $H805=""),"",ROUND(($D805*Lists!$AD$20)+($E805*Lists!$AD$21)+($F805*Lists!$AD$22)+($G805*Lists!$AD$23)+($H805*Lists!$AD$24),2))</f>
        <v/>
      </c>
      <c r="J805" s="101"/>
      <c r="K805" s="105"/>
      <c r="L805" s="101"/>
    </row>
    <row r="806" customFormat="false" ht="15.75" hidden="false" customHeight="true" outlineLevel="0" collapsed="false">
      <c r="A806" s="113"/>
      <c r="B806" s="102"/>
      <c r="C806" s="101" t="str">
        <f aca="false">IF($B806="","",IFERROR(VLOOKUP($B806,'Application Portfolio'!$A$2:$B$1000,2,FALSE()),""))</f>
        <v/>
      </c>
      <c r="D806" s="106"/>
      <c r="E806" s="106"/>
      <c r="F806" s="106"/>
      <c r="G806" s="106"/>
      <c r="H806" s="106"/>
      <c r="I806" s="103" t="str">
        <f aca="false">IF(OR($B806="", $D806="", $E806="", $F806="", $G806="", $H806=""),"",ROUND(($D806*Lists!$AD$20)+($E806*Lists!$AD$21)+($F806*Lists!$AD$22)+($G806*Lists!$AD$23)+($H806*Lists!$AD$24),2))</f>
        <v/>
      </c>
      <c r="J806" s="101"/>
      <c r="K806" s="105"/>
      <c r="L806" s="101"/>
    </row>
    <row r="807" customFormat="false" ht="15.75" hidden="false" customHeight="true" outlineLevel="0" collapsed="false">
      <c r="A807" s="113"/>
      <c r="B807" s="102"/>
      <c r="C807" s="101" t="str">
        <f aca="false">IF($B807="","",IFERROR(VLOOKUP($B807,'Application Portfolio'!$A$2:$B$1000,2,FALSE()),""))</f>
        <v/>
      </c>
      <c r="D807" s="106"/>
      <c r="E807" s="106"/>
      <c r="F807" s="106"/>
      <c r="G807" s="106"/>
      <c r="H807" s="106"/>
      <c r="I807" s="103" t="str">
        <f aca="false">IF(OR($B807="", $D807="", $E807="", $F807="", $G807="", $H807=""),"",ROUND(($D807*Lists!$AD$20)+($E807*Lists!$AD$21)+($F807*Lists!$AD$22)+($G807*Lists!$AD$23)+($H807*Lists!$AD$24),2))</f>
        <v/>
      </c>
      <c r="J807" s="101"/>
      <c r="K807" s="105"/>
      <c r="L807" s="101"/>
    </row>
    <row r="808" customFormat="false" ht="15.75" hidden="false" customHeight="true" outlineLevel="0" collapsed="false">
      <c r="A808" s="113"/>
      <c r="B808" s="102"/>
      <c r="C808" s="101" t="str">
        <f aca="false">IF($B808="","",IFERROR(VLOOKUP($B808,'Application Portfolio'!$A$2:$B$1000,2,FALSE()),""))</f>
        <v/>
      </c>
      <c r="D808" s="106"/>
      <c r="E808" s="106"/>
      <c r="F808" s="106"/>
      <c r="G808" s="106"/>
      <c r="H808" s="106"/>
      <c r="I808" s="103" t="str">
        <f aca="false">IF(OR($B808="", $D808="", $E808="", $F808="", $G808="", $H808=""),"",ROUND(($D808*Lists!$AD$20)+($E808*Lists!$AD$21)+($F808*Lists!$AD$22)+($G808*Lists!$AD$23)+($H808*Lists!$AD$24),2))</f>
        <v/>
      </c>
      <c r="J808" s="101"/>
      <c r="K808" s="105"/>
      <c r="L808" s="101"/>
    </row>
    <row r="809" customFormat="false" ht="15.75" hidden="false" customHeight="true" outlineLevel="0" collapsed="false">
      <c r="A809" s="113"/>
      <c r="B809" s="102"/>
      <c r="C809" s="101" t="str">
        <f aca="false">IF($B809="","",IFERROR(VLOOKUP($B809,'Application Portfolio'!$A$2:$B$1000,2,FALSE()),""))</f>
        <v/>
      </c>
      <c r="D809" s="106"/>
      <c r="E809" s="106"/>
      <c r="F809" s="106"/>
      <c r="G809" s="106"/>
      <c r="H809" s="106"/>
      <c r="I809" s="103" t="str">
        <f aca="false">IF(OR($B809="", $D809="", $E809="", $F809="", $G809="", $H809=""),"",ROUND(($D809*Lists!$AD$20)+($E809*Lists!$AD$21)+($F809*Lists!$AD$22)+($G809*Lists!$AD$23)+($H809*Lists!$AD$24),2))</f>
        <v/>
      </c>
      <c r="J809" s="101"/>
      <c r="K809" s="105"/>
      <c r="L809" s="101"/>
    </row>
    <row r="810" customFormat="false" ht="15.75" hidden="false" customHeight="true" outlineLevel="0" collapsed="false">
      <c r="A810" s="113"/>
      <c r="B810" s="102"/>
      <c r="C810" s="101" t="str">
        <f aca="false">IF($B810="","",IFERROR(VLOOKUP($B810,'Application Portfolio'!$A$2:$B$1000,2,FALSE()),""))</f>
        <v/>
      </c>
      <c r="D810" s="106"/>
      <c r="E810" s="106"/>
      <c r="F810" s="106"/>
      <c r="G810" s="106"/>
      <c r="H810" s="106"/>
      <c r="I810" s="103" t="str">
        <f aca="false">IF(OR($B810="", $D810="", $E810="", $F810="", $G810="", $H810=""),"",ROUND(($D810*Lists!$AD$20)+($E810*Lists!$AD$21)+($F810*Lists!$AD$22)+($G810*Lists!$AD$23)+($H810*Lists!$AD$24),2))</f>
        <v/>
      </c>
      <c r="J810" s="101"/>
      <c r="K810" s="105"/>
      <c r="L810" s="101"/>
    </row>
    <row r="811" customFormat="false" ht="15.75" hidden="false" customHeight="true" outlineLevel="0" collapsed="false">
      <c r="A811" s="113"/>
      <c r="B811" s="102"/>
      <c r="C811" s="101" t="str">
        <f aca="false">IF($B811="","",IFERROR(VLOOKUP($B811,'Application Portfolio'!$A$2:$B$1000,2,FALSE()),""))</f>
        <v/>
      </c>
      <c r="D811" s="106"/>
      <c r="E811" s="106"/>
      <c r="F811" s="106"/>
      <c r="G811" s="106"/>
      <c r="H811" s="106"/>
      <c r="I811" s="103" t="str">
        <f aca="false">IF(OR($B811="", $D811="", $E811="", $F811="", $G811="", $H811=""),"",ROUND(($D811*Lists!$AD$20)+($E811*Lists!$AD$21)+($F811*Lists!$AD$22)+($G811*Lists!$AD$23)+($H811*Lists!$AD$24),2))</f>
        <v/>
      </c>
      <c r="J811" s="101"/>
      <c r="K811" s="105"/>
      <c r="L811" s="101"/>
    </row>
    <row r="812" customFormat="false" ht="15.75" hidden="false" customHeight="true" outlineLevel="0" collapsed="false">
      <c r="A812" s="113"/>
      <c r="B812" s="102"/>
      <c r="C812" s="101" t="str">
        <f aca="false">IF($B812="","",IFERROR(VLOOKUP($B812,'Application Portfolio'!$A$2:$B$1000,2,FALSE()),""))</f>
        <v/>
      </c>
      <c r="D812" s="106"/>
      <c r="E812" s="106"/>
      <c r="F812" s="106"/>
      <c r="G812" s="106"/>
      <c r="H812" s="106"/>
      <c r="I812" s="103" t="str">
        <f aca="false">IF(OR($B812="", $D812="", $E812="", $F812="", $G812="", $H812=""),"",ROUND(($D812*Lists!$AD$20)+($E812*Lists!$AD$21)+($F812*Lists!$AD$22)+($G812*Lists!$AD$23)+($H812*Lists!$AD$24),2))</f>
        <v/>
      </c>
      <c r="J812" s="101"/>
      <c r="K812" s="105"/>
      <c r="L812" s="101"/>
    </row>
    <row r="813" customFormat="false" ht="15.75" hidden="false" customHeight="true" outlineLevel="0" collapsed="false">
      <c r="A813" s="113"/>
      <c r="B813" s="102"/>
      <c r="C813" s="101" t="str">
        <f aca="false">IF($B813="","",IFERROR(VLOOKUP($B813,'Application Portfolio'!$A$2:$B$1000,2,FALSE()),""))</f>
        <v/>
      </c>
      <c r="D813" s="106"/>
      <c r="E813" s="106"/>
      <c r="F813" s="106"/>
      <c r="G813" s="106"/>
      <c r="H813" s="106"/>
      <c r="I813" s="103" t="str">
        <f aca="false">IF(OR($B813="", $D813="", $E813="", $F813="", $G813="", $H813=""),"",ROUND(($D813*Lists!$AD$20)+($E813*Lists!$AD$21)+($F813*Lists!$AD$22)+($G813*Lists!$AD$23)+($H813*Lists!$AD$24),2))</f>
        <v/>
      </c>
      <c r="J813" s="101"/>
      <c r="K813" s="105"/>
      <c r="L813" s="101"/>
    </row>
    <row r="814" customFormat="false" ht="15.75" hidden="false" customHeight="true" outlineLevel="0" collapsed="false">
      <c r="A814" s="113"/>
      <c r="B814" s="102"/>
      <c r="C814" s="101" t="str">
        <f aca="false">IF($B814="","",IFERROR(VLOOKUP($B814,'Application Portfolio'!$A$2:$B$1000,2,FALSE()),""))</f>
        <v/>
      </c>
      <c r="D814" s="106"/>
      <c r="E814" s="106"/>
      <c r="F814" s="106"/>
      <c r="G814" s="106"/>
      <c r="H814" s="106"/>
      <c r="I814" s="103" t="str">
        <f aca="false">IF(OR($B814="", $D814="", $E814="", $F814="", $G814="", $H814=""),"",ROUND(($D814*Lists!$AD$20)+($E814*Lists!$AD$21)+($F814*Lists!$AD$22)+($G814*Lists!$AD$23)+($H814*Lists!$AD$24),2))</f>
        <v/>
      </c>
      <c r="J814" s="101"/>
      <c r="K814" s="105"/>
      <c r="L814" s="101"/>
    </row>
    <row r="815" customFormat="false" ht="15.75" hidden="false" customHeight="true" outlineLevel="0" collapsed="false">
      <c r="A815" s="113"/>
      <c r="B815" s="102"/>
      <c r="C815" s="101" t="str">
        <f aca="false">IF($B815="","",IFERROR(VLOOKUP($B815,'Application Portfolio'!$A$2:$B$1000,2,FALSE()),""))</f>
        <v/>
      </c>
      <c r="D815" s="106"/>
      <c r="E815" s="106"/>
      <c r="F815" s="106"/>
      <c r="G815" s="106"/>
      <c r="H815" s="106"/>
      <c r="I815" s="103" t="str">
        <f aca="false">IF(OR($B815="", $D815="", $E815="", $F815="", $G815="", $H815=""),"",ROUND(($D815*Lists!$AD$20)+($E815*Lists!$AD$21)+($F815*Lists!$AD$22)+($G815*Lists!$AD$23)+($H815*Lists!$AD$24),2))</f>
        <v/>
      </c>
      <c r="J815" s="101"/>
      <c r="K815" s="105"/>
      <c r="L815" s="101"/>
    </row>
    <row r="816" customFormat="false" ht="15.75" hidden="false" customHeight="true" outlineLevel="0" collapsed="false">
      <c r="A816" s="113"/>
      <c r="B816" s="102"/>
      <c r="C816" s="101" t="str">
        <f aca="false">IF($B816="","",IFERROR(VLOOKUP($B816,'Application Portfolio'!$A$2:$B$1000,2,FALSE()),""))</f>
        <v/>
      </c>
      <c r="D816" s="106"/>
      <c r="E816" s="106"/>
      <c r="F816" s="106"/>
      <c r="G816" s="106"/>
      <c r="H816" s="106"/>
      <c r="I816" s="103" t="str">
        <f aca="false">IF(OR($B816="", $D816="", $E816="", $F816="", $G816="", $H816=""),"",ROUND(($D816*Lists!$AD$20)+($E816*Lists!$AD$21)+($F816*Lists!$AD$22)+($G816*Lists!$AD$23)+($H816*Lists!$AD$24),2))</f>
        <v/>
      </c>
      <c r="J816" s="101"/>
      <c r="K816" s="105"/>
      <c r="L816" s="101"/>
    </row>
    <row r="817" customFormat="false" ht="15.75" hidden="false" customHeight="true" outlineLevel="0" collapsed="false">
      <c r="A817" s="113"/>
      <c r="B817" s="102"/>
      <c r="C817" s="101" t="str">
        <f aca="false">IF($B817="","",IFERROR(VLOOKUP($B817,'Application Portfolio'!$A$2:$B$1000,2,FALSE()),""))</f>
        <v/>
      </c>
      <c r="D817" s="106"/>
      <c r="E817" s="106"/>
      <c r="F817" s="106"/>
      <c r="G817" s="106"/>
      <c r="H817" s="106"/>
      <c r="I817" s="103" t="str">
        <f aca="false">IF(OR($B817="", $D817="", $E817="", $F817="", $G817="", $H817=""),"",ROUND(($D817*Lists!$AD$20)+($E817*Lists!$AD$21)+($F817*Lists!$AD$22)+($G817*Lists!$AD$23)+($H817*Lists!$AD$24),2))</f>
        <v/>
      </c>
      <c r="J817" s="101"/>
      <c r="K817" s="105"/>
      <c r="L817" s="101"/>
    </row>
    <row r="818" customFormat="false" ht="15.75" hidden="false" customHeight="true" outlineLevel="0" collapsed="false">
      <c r="A818" s="113"/>
      <c r="B818" s="102"/>
      <c r="C818" s="101" t="str">
        <f aca="false">IF($B818="","",IFERROR(VLOOKUP($B818,'Application Portfolio'!$A$2:$B$1000,2,FALSE()),""))</f>
        <v/>
      </c>
      <c r="D818" s="106"/>
      <c r="E818" s="106"/>
      <c r="F818" s="106"/>
      <c r="G818" s="106"/>
      <c r="H818" s="106"/>
      <c r="I818" s="103" t="str">
        <f aca="false">IF(OR($B818="", $D818="", $E818="", $F818="", $G818="", $H818=""),"",ROUND(($D818*Lists!$AD$20)+($E818*Lists!$AD$21)+($F818*Lists!$AD$22)+($G818*Lists!$AD$23)+($H818*Lists!$AD$24),2))</f>
        <v/>
      </c>
      <c r="J818" s="101"/>
      <c r="K818" s="105"/>
      <c r="L818" s="101"/>
    </row>
    <row r="819" customFormat="false" ht="15.75" hidden="false" customHeight="true" outlineLevel="0" collapsed="false">
      <c r="A819" s="113"/>
      <c r="B819" s="102"/>
      <c r="C819" s="101" t="str">
        <f aca="false">IF($B819="","",IFERROR(VLOOKUP($B819,'Application Portfolio'!$A$2:$B$1000,2,FALSE()),""))</f>
        <v/>
      </c>
      <c r="D819" s="106"/>
      <c r="E819" s="106"/>
      <c r="F819" s="106"/>
      <c r="G819" s="106"/>
      <c r="H819" s="106"/>
      <c r="I819" s="103" t="str">
        <f aca="false">IF(OR($B819="", $D819="", $E819="", $F819="", $G819="", $H819=""),"",ROUND(($D819*Lists!$AD$20)+($E819*Lists!$AD$21)+($F819*Lists!$AD$22)+($G819*Lists!$AD$23)+($H819*Lists!$AD$24),2))</f>
        <v/>
      </c>
      <c r="J819" s="101"/>
      <c r="K819" s="105"/>
      <c r="L819" s="101"/>
    </row>
    <row r="820" customFormat="false" ht="15.75" hidden="false" customHeight="true" outlineLevel="0" collapsed="false">
      <c r="A820" s="113"/>
      <c r="B820" s="102"/>
      <c r="C820" s="101" t="str">
        <f aca="false">IF($B820="","",IFERROR(VLOOKUP($B820,'Application Portfolio'!$A$2:$B$1000,2,FALSE()),""))</f>
        <v/>
      </c>
      <c r="D820" s="106"/>
      <c r="E820" s="106"/>
      <c r="F820" s="106"/>
      <c r="G820" s="106"/>
      <c r="H820" s="106"/>
      <c r="I820" s="103" t="str">
        <f aca="false">IF(OR($B820="", $D820="", $E820="", $F820="", $G820="", $H820=""),"",ROUND(($D820*Lists!$AD$20)+($E820*Lists!$AD$21)+($F820*Lists!$AD$22)+($G820*Lists!$AD$23)+($H820*Lists!$AD$24),2))</f>
        <v/>
      </c>
      <c r="J820" s="101"/>
      <c r="K820" s="105"/>
      <c r="L820" s="101"/>
    </row>
    <row r="821" customFormat="false" ht="15.75" hidden="false" customHeight="true" outlineLevel="0" collapsed="false">
      <c r="A821" s="113"/>
      <c r="B821" s="102"/>
      <c r="C821" s="101" t="str">
        <f aca="false">IF($B821="","",IFERROR(VLOOKUP($B821,'Application Portfolio'!$A$2:$B$1000,2,FALSE()),""))</f>
        <v/>
      </c>
      <c r="D821" s="106"/>
      <c r="E821" s="106"/>
      <c r="F821" s="106"/>
      <c r="G821" s="106"/>
      <c r="H821" s="106"/>
      <c r="I821" s="103" t="str">
        <f aca="false">IF(OR($B821="", $D821="", $E821="", $F821="", $G821="", $H821=""),"",ROUND(($D821*Lists!$AD$20)+($E821*Lists!$AD$21)+($F821*Lists!$AD$22)+($G821*Lists!$AD$23)+($H821*Lists!$AD$24),2))</f>
        <v/>
      </c>
      <c r="J821" s="101"/>
      <c r="K821" s="105"/>
      <c r="L821" s="101"/>
    </row>
    <row r="822" customFormat="false" ht="15.75" hidden="false" customHeight="true" outlineLevel="0" collapsed="false">
      <c r="A822" s="113"/>
      <c r="B822" s="102"/>
      <c r="C822" s="101" t="str">
        <f aca="false">IF($B822="","",IFERROR(VLOOKUP($B822,'Application Portfolio'!$A$2:$B$1000,2,FALSE()),""))</f>
        <v/>
      </c>
      <c r="D822" s="106"/>
      <c r="E822" s="106"/>
      <c r="F822" s="106"/>
      <c r="G822" s="106"/>
      <c r="H822" s="106"/>
      <c r="I822" s="103" t="str">
        <f aca="false">IF(OR($B822="", $D822="", $E822="", $F822="", $G822="", $H822=""),"",ROUND(($D822*Lists!$AD$20)+($E822*Lists!$AD$21)+($F822*Lists!$AD$22)+($G822*Lists!$AD$23)+($H822*Lists!$AD$24),2))</f>
        <v/>
      </c>
      <c r="J822" s="101"/>
      <c r="K822" s="105"/>
      <c r="L822" s="101"/>
    </row>
    <row r="823" customFormat="false" ht="15.75" hidden="false" customHeight="true" outlineLevel="0" collapsed="false">
      <c r="A823" s="113"/>
      <c r="B823" s="102"/>
      <c r="C823" s="101" t="str">
        <f aca="false">IF($B823="","",IFERROR(VLOOKUP($B823,'Application Portfolio'!$A$2:$B$1000,2,FALSE()),""))</f>
        <v/>
      </c>
      <c r="D823" s="106"/>
      <c r="E823" s="106"/>
      <c r="F823" s="106"/>
      <c r="G823" s="106"/>
      <c r="H823" s="106"/>
      <c r="I823" s="103" t="str">
        <f aca="false">IF(OR($B823="", $D823="", $E823="", $F823="", $G823="", $H823=""),"",ROUND(($D823*Lists!$AD$20)+($E823*Lists!$AD$21)+($F823*Lists!$AD$22)+($G823*Lists!$AD$23)+($H823*Lists!$AD$24),2))</f>
        <v/>
      </c>
      <c r="J823" s="101"/>
      <c r="K823" s="105"/>
      <c r="L823" s="101"/>
    </row>
    <row r="824" customFormat="false" ht="15.75" hidden="false" customHeight="true" outlineLevel="0" collapsed="false">
      <c r="A824" s="113"/>
      <c r="B824" s="102"/>
      <c r="C824" s="101" t="str">
        <f aca="false">IF($B824="","",IFERROR(VLOOKUP($B824,'Application Portfolio'!$A$2:$B$1000,2,FALSE()),""))</f>
        <v/>
      </c>
      <c r="D824" s="106"/>
      <c r="E824" s="106"/>
      <c r="F824" s="106"/>
      <c r="G824" s="106"/>
      <c r="H824" s="106"/>
      <c r="I824" s="103" t="str">
        <f aca="false">IF(OR($B824="", $D824="", $E824="", $F824="", $G824="", $H824=""),"",ROUND(($D824*Lists!$AD$20)+($E824*Lists!$AD$21)+($F824*Lists!$AD$22)+($G824*Lists!$AD$23)+($H824*Lists!$AD$24),2))</f>
        <v/>
      </c>
      <c r="J824" s="101"/>
      <c r="K824" s="105"/>
      <c r="L824" s="101"/>
    </row>
    <row r="825" customFormat="false" ht="15.75" hidden="false" customHeight="true" outlineLevel="0" collapsed="false">
      <c r="A825" s="113"/>
      <c r="B825" s="102"/>
      <c r="C825" s="101" t="str">
        <f aca="false">IF($B825="","",IFERROR(VLOOKUP($B825,'Application Portfolio'!$A$2:$B$1000,2,FALSE()),""))</f>
        <v/>
      </c>
      <c r="D825" s="106"/>
      <c r="E825" s="106"/>
      <c r="F825" s="106"/>
      <c r="G825" s="106"/>
      <c r="H825" s="106"/>
      <c r="I825" s="103" t="str">
        <f aca="false">IF(OR($B825="", $D825="", $E825="", $F825="", $G825="", $H825=""),"",ROUND(($D825*Lists!$AD$20)+($E825*Lists!$AD$21)+($F825*Lists!$AD$22)+($G825*Lists!$AD$23)+($H825*Lists!$AD$24),2))</f>
        <v/>
      </c>
      <c r="J825" s="101"/>
      <c r="K825" s="105"/>
      <c r="L825" s="101"/>
    </row>
    <row r="826" customFormat="false" ht="15.75" hidden="false" customHeight="true" outlineLevel="0" collapsed="false">
      <c r="A826" s="113"/>
      <c r="B826" s="102"/>
      <c r="C826" s="101" t="str">
        <f aca="false">IF($B826="","",IFERROR(VLOOKUP($B826,'Application Portfolio'!$A$2:$B$1000,2,FALSE()),""))</f>
        <v/>
      </c>
      <c r="D826" s="106"/>
      <c r="E826" s="106"/>
      <c r="F826" s="106"/>
      <c r="G826" s="106"/>
      <c r="H826" s="106"/>
      <c r="I826" s="103" t="str">
        <f aca="false">IF(OR($B826="", $D826="", $E826="", $F826="", $G826="", $H826=""),"",ROUND(($D826*Lists!$AD$20)+($E826*Lists!$AD$21)+($F826*Lists!$AD$22)+($G826*Lists!$AD$23)+($H826*Lists!$AD$24),2))</f>
        <v/>
      </c>
      <c r="J826" s="101"/>
      <c r="K826" s="105"/>
      <c r="L826" s="101"/>
    </row>
    <row r="827" customFormat="false" ht="15.75" hidden="false" customHeight="true" outlineLevel="0" collapsed="false">
      <c r="A827" s="113"/>
      <c r="B827" s="102"/>
      <c r="C827" s="101" t="str">
        <f aca="false">IF($B827="","",IFERROR(VLOOKUP($B827,'Application Portfolio'!$A$2:$B$1000,2,FALSE()),""))</f>
        <v/>
      </c>
      <c r="D827" s="106"/>
      <c r="E827" s="106"/>
      <c r="F827" s="106"/>
      <c r="G827" s="106"/>
      <c r="H827" s="106"/>
      <c r="I827" s="103" t="str">
        <f aca="false">IF(OR($B827="", $D827="", $E827="", $F827="", $G827="", $H827=""),"",ROUND(($D827*Lists!$AD$20)+($E827*Lists!$AD$21)+($F827*Lists!$AD$22)+($G827*Lists!$AD$23)+($H827*Lists!$AD$24),2))</f>
        <v/>
      </c>
      <c r="J827" s="101"/>
      <c r="K827" s="105"/>
      <c r="L827" s="101"/>
    </row>
    <row r="828" customFormat="false" ht="15.75" hidden="false" customHeight="true" outlineLevel="0" collapsed="false">
      <c r="A828" s="113"/>
      <c r="B828" s="102"/>
      <c r="C828" s="101" t="str">
        <f aca="false">IF($B828="","",IFERROR(VLOOKUP($B828,'Application Portfolio'!$A$2:$B$1000,2,FALSE()),""))</f>
        <v/>
      </c>
      <c r="D828" s="106"/>
      <c r="E828" s="106"/>
      <c r="F828" s="106"/>
      <c r="G828" s="106"/>
      <c r="H828" s="106"/>
      <c r="I828" s="103" t="str">
        <f aca="false">IF(OR($B828="", $D828="", $E828="", $F828="", $G828="", $H828=""),"",ROUND(($D828*Lists!$AD$20)+($E828*Lists!$AD$21)+($F828*Lists!$AD$22)+($G828*Lists!$AD$23)+($H828*Lists!$AD$24),2))</f>
        <v/>
      </c>
      <c r="J828" s="101"/>
      <c r="K828" s="105"/>
      <c r="L828" s="101"/>
    </row>
    <row r="829" customFormat="false" ht="15.75" hidden="false" customHeight="true" outlineLevel="0" collapsed="false">
      <c r="A829" s="113"/>
      <c r="B829" s="102"/>
      <c r="C829" s="101" t="str">
        <f aca="false">IF($B829="","",IFERROR(VLOOKUP($B829,'Application Portfolio'!$A$2:$B$1000,2,FALSE()),""))</f>
        <v/>
      </c>
      <c r="D829" s="106"/>
      <c r="E829" s="106"/>
      <c r="F829" s="106"/>
      <c r="G829" s="106"/>
      <c r="H829" s="106"/>
      <c r="I829" s="103" t="str">
        <f aca="false">IF(OR($B829="", $D829="", $E829="", $F829="", $G829="", $H829=""),"",ROUND(($D829*Lists!$AD$20)+($E829*Lists!$AD$21)+($F829*Lists!$AD$22)+($G829*Lists!$AD$23)+($H829*Lists!$AD$24),2))</f>
        <v/>
      </c>
      <c r="J829" s="101"/>
      <c r="K829" s="105"/>
      <c r="L829" s="101"/>
    </row>
    <row r="830" customFormat="false" ht="15.75" hidden="false" customHeight="true" outlineLevel="0" collapsed="false">
      <c r="A830" s="113"/>
      <c r="B830" s="102"/>
      <c r="C830" s="101" t="str">
        <f aca="false">IF($B830="","",IFERROR(VLOOKUP($B830,'Application Portfolio'!$A$2:$B$1000,2,FALSE()),""))</f>
        <v/>
      </c>
      <c r="D830" s="106"/>
      <c r="E830" s="106"/>
      <c r="F830" s="106"/>
      <c r="G830" s="106"/>
      <c r="H830" s="106"/>
      <c r="I830" s="103" t="str">
        <f aca="false">IF(OR($B830="", $D830="", $E830="", $F830="", $G830="", $H830=""),"",ROUND(($D830*Lists!$AD$20)+($E830*Lists!$AD$21)+($F830*Lists!$AD$22)+($G830*Lists!$AD$23)+($H830*Lists!$AD$24),2))</f>
        <v/>
      </c>
      <c r="J830" s="101"/>
      <c r="K830" s="105"/>
      <c r="L830" s="101"/>
    </row>
    <row r="831" customFormat="false" ht="15.75" hidden="false" customHeight="true" outlineLevel="0" collapsed="false">
      <c r="A831" s="113"/>
      <c r="B831" s="102"/>
      <c r="C831" s="101" t="str">
        <f aca="false">IF($B831="","",IFERROR(VLOOKUP($B831,'Application Portfolio'!$A$2:$B$1000,2,FALSE()),""))</f>
        <v/>
      </c>
      <c r="D831" s="106"/>
      <c r="E831" s="106"/>
      <c r="F831" s="106"/>
      <c r="G831" s="106"/>
      <c r="H831" s="106"/>
      <c r="I831" s="103" t="str">
        <f aca="false">IF(OR($B831="", $D831="", $E831="", $F831="", $G831="", $H831=""),"",ROUND(($D831*Lists!$AD$20)+($E831*Lists!$AD$21)+($F831*Lists!$AD$22)+($G831*Lists!$AD$23)+($H831*Lists!$AD$24),2))</f>
        <v/>
      </c>
      <c r="J831" s="101"/>
      <c r="K831" s="105"/>
      <c r="L831" s="101"/>
    </row>
    <row r="832" customFormat="false" ht="15.75" hidden="false" customHeight="true" outlineLevel="0" collapsed="false">
      <c r="A832" s="113"/>
      <c r="B832" s="102"/>
      <c r="C832" s="101" t="str">
        <f aca="false">IF($B832="","",IFERROR(VLOOKUP($B832,'Application Portfolio'!$A$2:$B$1000,2,FALSE()),""))</f>
        <v/>
      </c>
      <c r="D832" s="106"/>
      <c r="E832" s="106"/>
      <c r="F832" s="106"/>
      <c r="G832" s="106"/>
      <c r="H832" s="106"/>
      <c r="I832" s="103" t="str">
        <f aca="false">IF(OR($B832="", $D832="", $E832="", $F832="", $G832="", $H832=""),"",ROUND(($D832*Lists!$AD$20)+($E832*Lists!$AD$21)+($F832*Lists!$AD$22)+($G832*Lists!$AD$23)+($H832*Lists!$AD$24),2))</f>
        <v/>
      </c>
      <c r="J832" s="101"/>
      <c r="K832" s="105"/>
      <c r="L832" s="101"/>
    </row>
    <row r="833" customFormat="false" ht="15.75" hidden="false" customHeight="true" outlineLevel="0" collapsed="false">
      <c r="A833" s="113"/>
      <c r="B833" s="102"/>
      <c r="C833" s="101" t="str">
        <f aca="false">IF($B833="","",IFERROR(VLOOKUP($B833,'Application Portfolio'!$A$2:$B$1000,2,FALSE()),""))</f>
        <v/>
      </c>
      <c r="D833" s="106"/>
      <c r="E833" s="106"/>
      <c r="F833" s="106"/>
      <c r="G833" s="106"/>
      <c r="H833" s="106"/>
      <c r="I833" s="103" t="str">
        <f aca="false">IF(OR($B833="", $D833="", $E833="", $F833="", $G833="", $H833=""),"",ROUND(($D833*Lists!$AD$20)+($E833*Lists!$AD$21)+($F833*Lists!$AD$22)+($G833*Lists!$AD$23)+($H833*Lists!$AD$24),2))</f>
        <v/>
      </c>
      <c r="J833" s="101"/>
      <c r="K833" s="105"/>
      <c r="L833" s="101"/>
    </row>
    <row r="834" customFormat="false" ht="15.75" hidden="false" customHeight="true" outlineLevel="0" collapsed="false">
      <c r="A834" s="113"/>
      <c r="B834" s="102"/>
      <c r="C834" s="101" t="str">
        <f aca="false">IF($B834="","",IFERROR(VLOOKUP($B834,'Application Portfolio'!$A$2:$B$1000,2,FALSE()),""))</f>
        <v/>
      </c>
      <c r="D834" s="106"/>
      <c r="E834" s="106"/>
      <c r="F834" s="106"/>
      <c r="G834" s="106"/>
      <c r="H834" s="106"/>
      <c r="I834" s="103" t="str">
        <f aca="false">IF(OR($B834="", $D834="", $E834="", $F834="", $G834="", $H834=""),"",ROUND(($D834*Lists!$AD$20)+($E834*Lists!$AD$21)+($F834*Lists!$AD$22)+($G834*Lists!$AD$23)+($H834*Lists!$AD$24),2))</f>
        <v/>
      </c>
      <c r="J834" s="101"/>
      <c r="K834" s="105"/>
      <c r="L834" s="101"/>
    </row>
    <row r="835" customFormat="false" ht="15.75" hidden="false" customHeight="true" outlineLevel="0" collapsed="false">
      <c r="A835" s="113"/>
      <c r="B835" s="102"/>
      <c r="C835" s="101" t="str">
        <f aca="false">IF($B835="","",IFERROR(VLOOKUP($B835,'Application Portfolio'!$A$2:$B$1000,2,FALSE()),""))</f>
        <v/>
      </c>
      <c r="D835" s="106"/>
      <c r="E835" s="106"/>
      <c r="F835" s="106"/>
      <c r="G835" s="106"/>
      <c r="H835" s="106"/>
      <c r="I835" s="103" t="str">
        <f aca="false">IF(OR($B835="", $D835="", $E835="", $F835="", $G835="", $H835=""),"",ROUND(($D835*Lists!$AD$20)+($E835*Lists!$AD$21)+($F835*Lists!$AD$22)+($G835*Lists!$AD$23)+($H835*Lists!$AD$24),2))</f>
        <v/>
      </c>
      <c r="J835" s="101"/>
      <c r="K835" s="105"/>
      <c r="L835" s="101"/>
    </row>
    <row r="836" customFormat="false" ht="15.75" hidden="false" customHeight="true" outlineLevel="0" collapsed="false">
      <c r="A836" s="113"/>
      <c r="B836" s="102"/>
      <c r="C836" s="101" t="str">
        <f aca="false">IF($B836="","",IFERROR(VLOOKUP($B836,'Application Portfolio'!$A$2:$B$1000,2,FALSE()),""))</f>
        <v/>
      </c>
      <c r="D836" s="106"/>
      <c r="E836" s="106"/>
      <c r="F836" s="106"/>
      <c r="G836" s="106"/>
      <c r="H836" s="106"/>
      <c r="I836" s="103" t="str">
        <f aca="false">IF(OR($B836="", $D836="", $E836="", $F836="", $G836="", $H836=""),"",ROUND(($D836*Lists!$AD$20)+($E836*Lists!$AD$21)+($F836*Lists!$AD$22)+($G836*Lists!$AD$23)+($H836*Lists!$AD$24),2))</f>
        <v/>
      </c>
      <c r="J836" s="101"/>
      <c r="K836" s="105"/>
      <c r="L836" s="101"/>
    </row>
    <row r="837" customFormat="false" ht="15.75" hidden="false" customHeight="true" outlineLevel="0" collapsed="false">
      <c r="A837" s="113"/>
      <c r="B837" s="102"/>
      <c r="C837" s="101" t="str">
        <f aca="false">IF($B837="","",IFERROR(VLOOKUP($B837,'Application Portfolio'!$A$2:$B$1000,2,FALSE()),""))</f>
        <v/>
      </c>
      <c r="D837" s="106"/>
      <c r="E837" s="106"/>
      <c r="F837" s="106"/>
      <c r="G837" s="106"/>
      <c r="H837" s="106"/>
      <c r="I837" s="103" t="str">
        <f aca="false">IF(OR($B837="", $D837="", $E837="", $F837="", $G837="", $H837=""),"",ROUND(($D837*Lists!$AD$20)+($E837*Lists!$AD$21)+($F837*Lists!$AD$22)+($G837*Lists!$AD$23)+($H837*Lists!$AD$24),2))</f>
        <v/>
      </c>
      <c r="J837" s="101"/>
      <c r="K837" s="105"/>
      <c r="L837" s="101"/>
    </row>
    <row r="838" customFormat="false" ht="15.75" hidden="false" customHeight="true" outlineLevel="0" collapsed="false">
      <c r="A838" s="113"/>
      <c r="B838" s="102"/>
      <c r="C838" s="101" t="str">
        <f aca="false">IF($B838="","",IFERROR(VLOOKUP($B838,'Application Portfolio'!$A$2:$B$1000,2,FALSE()),""))</f>
        <v/>
      </c>
      <c r="D838" s="106"/>
      <c r="E838" s="106"/>
      <c r="F838" s="106"/>
      <c r="G838" s="106"/>
      <c r="H838" s="106"/>
      <c r="I838" s="103" t="str">
        <f aca="false">IF(OR($B838="", $D838="", $E838="", $F838="", $G838="", $H838=""),"",ROUND(($D838*Lists!$AD$20)+($E838*Lists!$AD$21)+($F838*Lists!$AD$22)+($G838*Lists!$AD$23)+($H838*Lists!$AD$24),2))</f>
        <v/>
      </c>
      <c r="J838" s="101"/>
      <c r="K838" s="105"/>
      <c r="L838" s="101"/>
    </row>
    <row r="839" customFormat="false" ht="15.75" hidden="false" customHeight="true" outlineLevel="0" collapsed="false">
      <c r="A839" s="113"/>
      <c r="B839" s="102"/>
      <c r="C839" s="101" t="str">
        <f aca="false">IF($B839="","",IFERROR(VLOOKUP($B839,'Application Portfolio'!$A$2:$B$1000,2,FALSE()),""))</f>
        <v/>
      </c>
      <c r="D839" s="106"/>
      <c r="E839" s="106"/>
      <c r="F839" s="106"/>
      <c r="G839" s="106"/>
      <c r="H839" s="106"/>
      <c r="I839" s="103" t="str">
        <f aca="false">IF(OR($B839="", $D839="", $E839="", $F839="", $G839="", $H839=""),"",ROUND(($D839*Lists!$AD$20)+($E839*Lists!$AD$21)+($F839*Lists!$AD$22)+($G839*Lists!$AD$23)+($H839*Lists!$AD$24),2))</f>
        <v/>
      </c>
      <c r="J839" s="101"/>
      <c r="K839" s="105"/>
      <c r="L839" s="101"/>
    </row>
    <row r="840" customFormat="false" ht="15.75" hidden="false" customHeight="true" outlineLevel="0" collapsed="false">
      <c r="A840" s="113"/>
      <c r="B840" s="102"/>
      <c r="C840" s="101" t="str">
        <f aca="false">IF($B840="","",IFERROR(VLOOKUP($B840,'Application Portfolio'!$A$2:$B$1000,2,FALSE()),""))</f>
        <v/>
      </c>
      <c r="D840" s="106"/>
      <c r="E840" s="106"/>
      <c r="F840" s="106"/>
      <c r="G840" s="106"/>
      <c r="H840" s="106"/>
      <c r="I840" s="103" t="str">
        <f aca="false">IF(OR($B840="", $D840="", $E840="", $F840="", $G840="", $H840=""),"",ROUND(($D840*Lists!$AD$20)+($E840*Lists!$AD$21)+($F840*Lists!$AD$22)+($G840*Lists!$AD$23)+($H840*Lists!$AD$24),2))</f>
        <v/>
      </c>
      <c r="J840" s="101"/>
      <c r="K840" s="105"/>
      <c r="L840" s="101"/>
    </row>
    <row r="841" customFormat="false" ht="15.75" hidden="false" customHeight="true" outlineLevel="0" collapsed="false">
      <c r="A841" s="113"/>
      <c r="B841" s="102"/>
      <c r="C841" s="101" t="str">
        <f aca="false">IF($B841="","",IFERROR(VLOOKUP($B841,'Application Portfolio'!$A$2:$B$1000,2,FALSE()),""))</f>
        <v/>
      </c>
      <c r="D841" s="106"/>
      <c r="E841" s="106"/>
      <c r="F841" s="106"/>
      <c r="G841" s="106"/>
      <c r="H841" s="106"/>
      <c r="I841" s="103" t="str">
        <f aca="false">IF(OR($B841="", $D841="", $E841="", $F841="", $G841="", $H841=""),"",ROUND(($D841*Lists!$AD$20)+($E841*Lists!$AD$21)+($F841*Lists!$AD$22)+($G841*Lists!$AD$23)+($H841*Lists!$AD$24),2))</f>
        <v/>
      </c>
      <c r="J841" s="101"/>
      <c r="K841" s="105"/>
      <c r="L841" s="101"/>
    </row>
    <row r="842" customFormat="false" ht="15.75" hidden="false" customHeight="true" outlineLevel="0" collapsed="false">
      <c r="A842" s="113"/>
      <c r="B842" s="102"/>
      <c r="C842" s="101" t="str">
        <f aca="false">IF($B842="","",IFERROR(VLOOKUP($B842,'Application Portfolio'!$A$2:$B$1000,2,FALSE()),""))</f>
        <v/>
      </c>
      <c r="D842" s="106"/>
      <c r="E842" s="106"/>
      <c r="F842" s="106"/>
      <c r="G842" s="106"/>
      <c r="H842" s="106"/>
      <c r="I842" s="103" t="str">
        <f aca="false">IF(OR($B842="", $D842="", $E842="", $F842="", $G842="", $H842=""),"",ROUND(($D842*Lists!$AD$20)+($E842*Lists!$AD$21)+($F842*Lists!$AD$22)+($G842*Lists!$AD$23)+($H842*Lists!$AD$24),2))</f>
        <v/>
      </c>
      <c r="J842" s="101"/>
      <c r="K842" s="105"/>
      <c r="L842" s="101"/>
    </row>
    <row r="843" customFormat="false" ht="15.75" hidden="false" customHeight="true" outlineLevel="0" collapsed="false">
      <c r="A843" s="113"/>
      <c r="B843" s="102"/>
      <c r="C843" s="101" t="str">
        <f aca="false">IF($B843="","",IFERROR(VLOOKUP($B843,'Application Portfolio'!$A$2:$B$1000,2,FALSE()),""))</f>
        <v/>
      </c>
      <c r="D843" s="106"/>
      <c r="E843" s="106"/>
      <c r="F843" s="106"/>
      <c r="G843" s="106"/>
      <c r="H843" s="106"/>
      <c r="I843" s="103" t="str">
        <f aca="false">IF(OR($B843="", $D843="", $E843="", $F843="", $G843="", $H843=""),"",ROUND(($D843*Lists!$AD$20)+($E843*Lists!$AD$21)+($F843*Lists!$AD$22)+($G843*Lists!$AD$23)+($H843*Lists!$AD$24),2))</f>
        <v/>
      </c>
      <c r="J843" s="101"/>
      <c r="K843" s="105"/>
      <c r="L843" s="101"/>
    </row>
    <row r="844" customFormat="false" ht="15.75" hidden="false" customHeight="true" outlineLevel="0" collapsed="false">
      <c r="A844" s="113"/>
      <c r="B844" s="102"/>
      <c r="C844" s="101" t="str">
        <f aca="false">IF($B844="","",IFERROR(VLOOKUP($B844,'Application Portfolio'!$A$2:$B$1000,2,FALSE()),""))</f>
        <v/>
      </c>
      <c r="D844" s="106"/>
      <c r="E844" s="106"/>
      <c r="F844" s="106"/>
      <c r="G844" s="106"/>
      <c r="H844" s="106"/>
      <c r="I844" s="103" t="str">
        <f aca="false">IF(OR($B844="", $D844="", $E844="", $F844="", $G844="", $H844=""),"",ROUND(($D844*Lists!$AD$20)+($E844*Lists!$AD$21)+($F844*Lists!$AD$22)+($G844*Lists!$AD$23)+($H844*Lists!$AD$24),2))</f>
        <v/>
      </c>
      <c r="J844" s="101"/>
      <c r="K844" s="105"/>
      <c r="L844" s="101"/>
    </row>
    <row r="845" customFormat="false" ht="15.75" hidden="false" customHeight="true" outlineLevel="0" collapsed="false">
      <c r="A845" s="113"/>
      <c r="B845" s="102"/>
      <c r="C845" s="101" t="str">
        <f aca="false">IF($B845="","",IFERROR(VLOOKUP($B845,'Application Portfolio'!$A$2:$B$1000,2,FALSE()),""))</f>
        <v/>
      </c>
      <c r="D845" s="106"/>
      <c r="E845" s="106"/>
      <c r="F845" s="106"/>
      <c r="G845" s="106"/>
      <c r="H845" s="106"/>
      <c r="I845" s="103" t="str">
        <f aca="false">IF(OR($B845="", $D845="", $E845="", $F845="", $G845="", $H845=""),"",ROUND(($D845*Lists!$AD$20)+($E845*Lists!$AD$21)+($F845*Lists!$AD$22)+($G845*Lists!$AD$23)+($H845*Lists!$AD$24),2))</f>
        <v/>
      </c>
      <c r="J845" s="101"/>
      <c r="K845" s="105"/>
      <c r="L845" s="101"/>
    </row>
    <row r="846" customFormat="false" ht="15.75" hidden="false" customHeight="true" outlineLevel="0" collapsed="false">
      <c r="A846" s="113"/>
      <c r="B846" s="102"/>
      <c r="C846" s="101" t="str">
        <f aca="false">IF($B846="","",IFERROR(VLOOKUP($B846,'Application Portfolio'!$A$2:$B$1000,2,FALSE()),""))</f>
        <v/>
      </c>
      <c r="D846" s="106"/>
      <c r="E846" s="106"/>
      <c r="F846" s="106"/>
      <c r="G846" s="106"/>
      <c r="H846" s="106"/>
      <c r="I846" s="103" t="str">
        <f aca="false">IF(OR($B846="", $D846="", $E846="", $F846="", $G846="", $H846=""),"",ROUND(($D846*Lists!$AD$20)+($E846*Lists!$AD$21)+($F846*Lists!$AD$22)+($G846*Lists!$AD$23)+($H846*Lists!$AD$24),2))</f>
        <v/>
      </c>
      <c r="J846" s="101"/>
      <c r="K846" s="105"/>
      <c r="L846" s="101"/>
    </row>
    <row r="847" customFormat="false" ht="15.75" hidden="false" customHeight="true" outlineLevel="0" collapsed="false">
      <c r="A847" s="113"/>
      <c r="B847" s="102"/>
      <c r="C847" s="101" t="str">
        <f aca="false">IF($B847="","",IFERROR(VLOOKUP($B847,'Application Portfolio'!$A$2:$B$1000,2,FALSE()),""))</f>
        <v/>
      </c>
      <c r="D847" s="106"/>
      <c r="E847" s="106"/>
      <c r="F847" s="106"/>
      <c r="G847" s="106"/>
      <c r="H847" s="106"/>
      <c r="I847" s="103" t="str">
        <f aca="false">IF(OR($B847="", $D847="", $E847="", $F847="", $G847="", $H847=""),"",ROUND(($D847*Lists!$AD$20)+($E847*Lists!$AD$21)+($F847*Lists!$AD$22)+($G847*Lists!$AD$23)+($H847*Lists!$AD$24),2))</f>
        <v/>
      </c>
      <c r="J847" s="101"/>
      <c r="K847" s="105"/>
      <c r="L847" s="101"/>
    </row>
    <row r="848" customFormat="false" ht="15.75" hidden="false" customHeight="true" outlineLevel="0" collapsed="false">
      <c r="A848" s="113"/>
      <c r="B848" s="102"/>
      <c r="C848" s="101" t="str">
        <f aca="false">IF($B848="","",IFERROR(VLOOKUP($B848,'Application Portfolio'!$A$2:$B$1000,2,FALSE()),""))</f>
        <v/>
      </c>
      <c r="D848" s="106"/>
      <c r="E848" s="106"/>
      <c r="F848" s="106"/>
      <c r="G848" s="106"/>
      <c r="H848" s="106"/>
      <c r="I848" s="103" t="str">
        <f aca="false">IF(OR($B848="", $D848="", $E848="", $F848="", $G848="", $H848=""),"",ROUND(($D848*Lists!$AD$20)+($E848*Lists!$AD$21)+($F848*Lists!$AD$22)+($G848*Lists!$AD$23)+($H848*Lists!$AD$24),2))</f>
        <v/>
      </c>
      <c r="J848" s="101"/>
      <c r="K848" s="105"/>
      <c r="L848" s="101"/>
    </row>
    <row r="849" customFormat="false" ht="15.75" hidden="false" customHeight="true" outlineLevel="0" collapsed="false">
      <c r="A849" s="113"/>
      <c r="B849" s="102"/>
      <c r="C849" s="101" t="str">
        <f aca="false">IF($B849="","",IFERROR(VLOOKUP($B849,'Application Portfolio'!$A$2:$B$1000,2,FALSE()),""))</f>
        <v/>
      </c>
      <c r="D849" s="106"/>
      <c r="E849" s="106"/>
      <c r="F849" s="106"/>
      <c r="G849" s="106"/>
      <c r="H849" s="106"/>
      <c r="I849" s="103" t="str">
        <f aca="false">IF(OR($B849="", $D849="", $E849="", $F849="", $G849="", $H849=""),"",ROUND(($D849*Lists!$AD$20)+($E849*Lists!$AD$21)+($F849*Lists!$AD$22)+($G849*Lists!$AD$23)+($H849*Lists!$AD$24),2))</f>
        <v/>
      </c>
      <c r="J849" s="101"/>
      <c r="K849" s="105"/>
      <c r="L849" s="101"/>
    </row>
    <row r="850" customFormat="false" ht="15.75" hidden="false" customHeight="true" outlineLevel="0" collapsed="false">
      <c r="A850" s="113"/>
      <c r="B850" s="102"/>
      <c r="C850" s="101" t="str">
        <f aca="false">IF($B850="","",IFERROR(VLOOKUP($B850,'Application Portfolio'!$A$2:$B$1000,2,FALSE()),""))</f>
        <v/>
      </c>
      <c r="D850" s="106"/>
      <c r="E850" s="106"/>
      <c r="F850" s="106"/>
      <c r="G850" s="106"/>
      <c r="H850" s="106"/>
      <c r="I850" s="103" t="str">
        <f aca="false">IF(OR($B850="", $D850="", $E850="", $F850="", $G850="", $H850=""),"",ROUND(($D850*Lists!$AD$20)+($E850*Lists!$AD$21)+($F850*Lists!$AD$22)+($G850*Lists!$AD$23)+($H850*Lists!$AD$24),2))</f>
        <v/>
      </c>
      <c r="J850" s="101"/>
      <c r="K850" s="105"/>
      <c r="L850" s="101"/>
    </row>
    <row r="851" customFormat="false" ht="15.75" hidden="false" customHeight="true" outlineLevel="0" collapsed="false">
      <c r="A851" s="113"/>
      <c r="B851" s="102"/>
      <c r="C851" s="101" t="str">
        <f aca="false">IF($B851="","",IFERROR(VLOOKUP($B851,'Application Portfolio'!$A$2:$B$1000,2,FALSE()),""))</f>
        <v/>
      </c>
      <c r="D851" s="106"/>
      <c r="E851" s="106"/>
      <c r="F851" s="106"/>
      <c r="G851" s="106"/>
      <c r="H851" s="106"/>
      <c r="I851" s="103" t="str">
        <f aca="false">IF(OR($B851="", $D851="", $E851="", $F851="", $G851="", $H851=""),"",ROUND(($D851*Lists!$AD$20)+($E851*Lists!$AD$21)+($F851*Lists!$AD$22)+($G851*Lists!$AD$23)+($H851*Lists!$AD$24),2))</f>
        <v/>
      </c>
      <c r="J851" s="101"/>
      <c r="K851" s="105"/>
      <c r="L851" s="101"/>
    </row>
    <row r="852" customFormat="false" ht="15.75" hidden="false" customHeight="true" outlineLevel="0" collapsed="false">
      <c r="A852" s="113"/>
      <c r="B852" s="102"/>
      <c r="C852" s="101" t="str">
        <f aca="false">IF($B852="","",IFERROR(VLOOKUP($B852,'Application Portfolio'!$A$2:$B$1000,2,FALSE()),""))</f>
        <v/>
      </c>
      <c r="D852" s="106"/>
      <c r="E852" s="106"/>
      <c r="F852" s="106"/>
      <c r="G852" s="106"/>
      <c r="H852" s="106"/>
      <c r="I852" s="103" t="str">
        <f aca="false">IF(OR($B852="", $D852="", $E852="", $F852="", $G852="", $H852=""),"",ROUND(($D852*Lists!$AD$20)+($E852*Lists!$AD$21)+($F852*Lists!$AD$22)+($G852*Lists!$AD$23)+($H852*Lists!$AD$24),2))</f>
        <v/>
      </c>
      <c r="J852" s="101"/>
      <c r="K852" s="105"/>
      <c r="L852" s="101"/>
    </row>
    <row r="853" customFormat="false" ht="15.75" hidden="false" customHeight="true" outlineLevel="0" collapsed="false">
      <c r="A853" s="113"/>
      <c r="B853" s="102"/>
      <c r="C853" s="101" t="str">
        <f aca="false">IF($B853="","",IFERROR(VLOOKUP($B853,'Application Portfolio'!$A$2:$B$1000,2,FALSE()),""))</f>
        <v/>
      </c>
      <c r="D853" s="106"/>
      <c r="E853" s="106"/>
      <c r="F853" s="106"/>
      <c r="G853" s="106"/>
      <c r="H853" s="106"/>
      <c r="I853" s="103" t="str">
        <f aca="false">IF(OR($B853="", $D853="", $E853="", $F853="", $G853="", $H853=""),"",ROUND(($D853*Lists!$AD$20)+($E853*Lists!$AD$21)+($F853*Lists!$AD$22)+($G853*Lists!$AD$23)+($H853*Lists!$AD$24),2))</f>
        <v/>
      </c>
      <c r="J853" s="101"/>
      <c r="K853" s="105"/>
      <c r="L853" s="101"/>
    </row>
    <row r="854" customFormat="false" ht="15.75" hidden="false" customHeight="true" outlineLevel="0" collapsed="false">
      <c r="A854" s="113"/>
      <c r="B854" s="102"/>
      <c r="C854" s="101" t="str">
        <f aca="false">IF($B854="","",IFERROR(VLOOKUP($B854,'Application Portfolio'!$A$2:$B$1000,2,FALSE()),""))</f>
        <v/>
      </c>
      <c r="D854" s="106"/>
      <c r="E854" s="106"/>
      <c r="F854" s="106"/>
      <c r="G854" s="106"/>
      <c r="H854" s="106"/>
      <c r="I854" s="103" t="str">
        <f aca="false">IF(OR($B854="", $D854="", $E854="", $F854="", $G854="", $H854=""),"",ROUND(($D854*Lists!$AD$20)+($E854*Lists!$AD$21)+($F854*Lists!$AD$22)+($G854*Lists!$AD$23)+($H854*Lists!$AD$24),2))</f>
        <v/>
      </c>
      <c r="J854" s="101"/>
      <c r="K854" s="105"/>
      <c r="L854" s="101"/>
    </row>
    <row r="855" customFormat="false" ht="15.75" hidden="false" customHeight="true" outlineLevel="0" collapsed="false">
      <c r="A855" s="113"/>
      <c r="B855" s="102"/>
      <c r="C855" s="101" t="str">
        <f aca="false">IF($B855="","",IFERROR(VLOOKUP($B855,'Application Portfolio'!$A$2:$B$1000,2,FALSE()),""))</f>
        <v/>
      </c>
      <c r="D855" s="106"/>
      <c r="E855" s="106"/>
      <c r="F855" s="106"/>
      <c r="G855" s="106"/>
      <c r="H855" s="106"/>
      <c r="I855" s="103" t="str">
        <f aca="false">IF(OR($B855="", $D855="", $E855="", $F855="", $G855="", $H855=""),"",ROUND(($D855*Lists!$AD$20)+($E855*Lists!$AD$21)+($F855*Lists!$AD$22)+($G855*Lists!$AD$23)+($H855*Lists!$AD$24),2))</f>
        <v/>
      </c>
      <c r="J855" s="101"/>
      <c r="K855" s="105"/>
      <c r="L855" s="101"/>
    </row>
    <row r="856" customFormat="false" ht="15.75" hidden="false" customHeight="true" outlineLevel="0" collapsed="false">
      <c r="A856" s="113"/>
      <c r="B856" s="102"/>
      <c r="C856" s="101" t="str">
        <f aca="false">IF($B856="","",IFERROR(VLOOKUP($B856,'Application Portfolio'!$A$2:$B$1000,2,FALSE()),""))</f>
        <v/>
      </c>
      <c r="D856" s="106"/>
      <c r="E856" s="106"/>
      <c r="F856" s="106"/>
      <c r="G856" s="106"/>
      <c r="H856" s="106"/>
      <c r="I856" s="103" t="str">
        <f aca="false">IF(OR($B856="", $D856="", $E856="", $F856="", $G856="", $H856=""),"",ROUND(($D856*Lists!$AD$20)+($E856*Lists!$AD$21)+($F856*Lists!$AD$22)+($G856*Lists!$AD$23)+($H856*Lists!$AD$24),2))</f>
        <v/>
      </c>
      <c r="J856" s="101"/>
      <c r="K856" s="105"/>
      <c r="L856" s="101"/>
    </row>
    <row r="857" customFormat="false" ht="15.75" hidden="false" customHeight="true" outlineLevel="0" collapsed="false">
      <c r="A857" s="113"/>
      <c r="B857" s="102"/>
      <c r="C857" s="101" t="str">
        <f aca="false">IF($B857="","",IFERROR(VLOOKUP($B857,'Application Portfolio'!$A$2:$B$1000,2,FALSE()),""))</f>
        <v/>
      </c>
      <c r="D857" s="106"/>
      <c r="E857" s="106"/>
      <c r="F857" s="106"/>
      <c r="G857" s="106"/>
      <c r="H857" s="106"/>
      <c r="I857" s="103" t="str">
        <f aca="false">IF(OR($B857="", $D857="", $E857="", $F857="", $G857="", $H857=""),"",ROUND(($D857*Lists!$AD$20)+($E857*Lists!$AD$21)+($F857*Lists!$AD$22)+($G857*Lists!$AD$23)+($H857*Lists!$AD$24),2))</f>
        <v/>
      </c>
      <c r="J857" s="101"/>
      <c r="K857" s="105"/>
      <c r="L857" s="101"/>
    </row>
    <row r="858" customFormat="false" ht="15.75" hidden="false" customHeight="true" outlineLevel="0" collapsed="false">
      <c r="A858" s="113"/>
      <c r="B858" s="102"/>
      <c r="C858" s="101" t="str">
        <f aca="false">IF($B858="","",IFERROR(VLOOKUP($B858,'Application Portfolio'!$A$2:$B$1000,2,FALSE()),""))</f>
        <v/>
      </c>
      <c r="D858" s="106"/>
      <c r="E858" s="106"/>
      <c r="F858" s="106"/>
      <c r="G858" s="106"/>
      <c r="H858" s="106"/>
      <c r="I858" s="103" t="str">
        <f aca="false">IF(OR($B858="", $D858="", $E858="", $F858="", $G858="", $H858=""),"",ROUND(($D858*Lists!$AD$20)+($E858*Lists!$AD$21)+($F858*Lists!$AD$22)+($G858*Lists!$AD$23)+($H858*Lists!$AD$24),2))</f>
        <v/>
      </c>
      <c r="J858" s="101"/>
      <c r="K858" s="105"/>
      <c r="L858" s="101"/>
    </row>
    <row r="859" customFormat="false" ht="15.75" hidden="false" customHeight="true" outlineLevel="0" collapsed="false">
      <c r="A859" s="113"/>
      <c r="B859" s="102"/>
      <c r="C859" s="101" t="str">
        <f aca="false">IF($B859="","",IFERROR(VLOOKUP($B859,'Application Portfolio'!$A$2:$B$1000,2,FALSE()),""))</f>
        <v/>
      </c>
      <c r="D859" s="106"/>
      <c r="E859" s="106"/>
      <c r="F859" s="106"/>
      <c r="G859" s="106"/>
      <c r="H859" s="106"/>
      <c r="I859" s="103" t="str">
        <f aca="false">IF(OR($B859="", $D859="", $E859="", $F859="", $G859="", $H859=""),"",ROUND(($D859*Lists!$AD$20)+($E859*Lists!$AD$21)+($F859*Lists!$AD$22)+($G859*Lists!$AD$23)+($H859*Lists!$AD$24),2))</f>
        <v/>
      </c>
      <c r="J859" s="101"/>
      <c r="K859" s="105"/>
      <c r="L859" s="101"/>
    </row>
    <row r="860" customFormat="false" ht="15.75" hidden="false" customHeight="true" outlineLevel="0" collapsed="false">
      <c r="A860" s="113"/>
      <c r="B860" s="102"/>
      <c r="C860" s="101" t="str">
        <f aca="false">IF($B860="","",IFERROR(VLOOKUP($B860,'Application Portfolio'!$A$2:$B$1000,2,FALSE()),""))</f>
        <v/>
      </c>
      <c r="D860" s="106"/>
      <c r="E860" s="106"/>
      <c r="F860" s="106"/>
      <c r="G860" s="106"/>
      <c r="H860" s="106"/>
      <c r="I860" s="103" t="str">
        <f aca="false">IF(OR($B860="", $D860="", $E860="", $F860="", $G860="", $H860=""),"",ROUND(($D860*Lists!$AD$20)+($E860*Lists!$AD$21)+($F860*Lists!$AD$22)+($G860*Lists!$AD$23)+($H860*Lists!$AD$24),2))</f>
        <v/>
      </c>
      <c r="J860" s="101"/>
      <c r="K860" s="105"/>
      <c r="L860" s="101"/>
    </row>
    <row r="861" customFormat="false" ht="15.75" hidden="false" customHeight="true" outlineLevel="0" collapsed="false">
      <c r="A861" s="113"/>
      <c r="B861" s="102"/>
      <c r="C861" s="101" t="str">
        <f aca="false">IF($B861="","",IFERROR(VLOOKUP($B861,'Application Portfolio'!$A$2:$B$1000,2,FALSE()),""))</f>
        <v/>
      </c>
      <c r="D861" s="106"/>
      <c r="E861" s="106"/>
      <c r="F861" s="106"/>
      <c r="G861" s="106"/>
      <c r="H861" s="106"/>
      <c r="I861" s="103" t="str">
        <f aca="false">IF(OR($B861="", $D861="", $E861="", $F861="", $G861="", $H861=""),"",ROUND(($D861*Lists!$AD$20)+($E861*Lists!$AD$21)+($F861*Lists!$AD$22)+($G861*Lists!$AD$23)+($H861*Lists!$AD$24),2))</f>
        <v/>
      </c>
      <c r="J861" s="101"/>
      <c r="K861" s="105"/>
      <c r="L861" s="101"/>
    </row>
    <row r="862" customFormat="false" ht="15.75" hidden="false" customHeight="true" outlineLevel="0" collapsed="false">
      <c r="A862" s="113"/>
      <c r="B862" s="102"/>
      <c r="C862" s="101" t="str">
        <f aca="false">IF($B862="","",IFERROR(VLOOKUP($B862,'Application Portfolio'!$A$2:$B$1000,2,FALSE()),""))</f>
        <v/>
      </c>
      <c r="D862" s="106"/>
      <c r="E862" s="106"/>
      <c r="F862" s="106"/>
      <c r="G862" s="106"/>
      <c r="H862" s="106"/>
      <c r="I862" s="103" t="str">
        <f aca="false">IF(OR($B862="", $D862="", $E862="", $F862="", $G862="", $H862=""),"",ROUND(($D862*Lists!$AD$20)+($E862*Lists!$AD$21)+($F862*Lists!$AD$22)+($G862*Lists!$AD$23)+($H862*Lists!$AD$24),2))</f>
        <v/>
      </c>
      <c r="J862" s="101"/>
      <c r="K862" s="105"/>
      <c r="L862" s="101"/>
    </row>
    <row r="863" customFormat="false" ht="15.75" hidden="false" customHeight="true" outlineLevel="0" collapsed="false">
      <c r="A863" s="113"/>
      <c r="B863" s="102"/>
      <c r="C863" s="101" t="str">
        <f aca="false">IF($B863="","",IFERROR(VLOOKUP($B863,'Application Portfolio'!$A$2:$B$1000,2,FALSE()),""))</f>
        <v/>
      </c>
      <c r="D863" s="106"/>
      <c r="E863" s="106"/>
      <c r="F863" s="106"/>
      <c r="G863" s="106"/>
      <c r="H863" s="106"/>
      <c r="I863" s="103" t="str">
        <f aca="false">IF(OR($B863="", $D863="", $E863="", $F863="", $G863="", $H863=""),"",ROUND(($D863*Lists!$AD$20)+($E863*Lists!$AD$21)+($F863*Lists!$AD$22)+($G863*Lists!$AD$23)+($H863*Lists!$AD$24),2))</f>
        <v/>
      </c>
      <c r="J863" s="101"/>
      <c r="K863" s="105"/>
      <c r="L863" s="101"/>
    </row>
    <row r="864" customFormat="false" ht="15.75" hidden="false" customHeight="true" outlineLevel="0" collapsed="false">
      <c r="A864" s="113"/>
      <c r="B864" s="102"/>
      <c r="C864" s="101" t="str">
        <f aca="false">IF($B864="","",IFERROR(VLOOKUP($B864,'Application Portfolio'!$A$2:$B$1000,2,FALSE()),""))</f>
        <v/>
      </c>
      <c r="D864" s="106"/>
      <c r="E864" s="106"/>
      <c r="F864" s="106"/>
      <c r="G864" s="106"/>
      <c r="H864" s="106"/>
      <c r="I864" s="103" t="str">
        <f aca="false">IF(OR($B864="", $D864="", $E864="", $F864="", $G864="", $H864=""),"",ROUND(($D864*Lists!$AD$20)+($E864*Lists!$AD$21)+($F864*Lists!$AD$22)+($G864*Lists!$AD$23)+($H864*Lists!$AD$24),2))</f>
        <v/>
      </c>
      <c r="J864" s="101"/>
      <c r="K864" s="105"/>
      <c r="L864" s="101"/>
    </row>
    <row r="865" customFormat="false" ht="15.75" hidden="false" customHeight="true" outlineLevel="0" collapsed="false">
      <c r="A865" s="113"/>
      <c r="B865" s="102"/>
      <c r="C865" s="101" t="str">
        <f aca="false">IF($B865="","",IFERROR(VLOOKUP($B865,'Application Portfolio'!$A$2:$B$1000,2,FALSE()),""))</f>
        <v/>
      </c>
      <c r="D865" s="106"/>
      <c r="E865" s="106"/>
      <c r="F865" s="106"/>
      <c r="G865" s="106"/>
      <c r="H865" s="106"/>
      <c r="I865" s="103" t="str">
        <f aca="false">IF(OR($B865="", $D865="", $E865="", $F865="", $G865="", $H865=""),"",ROUND(($D865*Lists!$AD$20)+($E865*Lists!$AD$21)+($F865*Lists!$AD$22)+($G865*Lists!$AD$23)+($H865*Lists!$AD$24),2))</f>
        <v/>
      </c>
      <c r="J865" s="101"/>
      <c r="K865" s="105"/>
      <c r="L865" s="101"/>
    </row>
    <row r="866" customFormat="false" ht="15.75" hidden="false" customHeight="true" outlineLevel="0" collapsed="false">
      <c r="A866" s="113"/>
      <c r="B866" s="102"/>
      <c r="C866" s="101" t="str">
        <f aca="false">IF($B866="","",IFERROR(VLOOKUP($B866,'Application Portfolio'!$A$2:$B$1000,2,FALSE()),""))</f>
        <v/>
      </c>
      <c r="D866" s="106"/>
      <c r="E866" s="106"/>
      <c r="F866" s="106"/>
      <c r="G866" s="106"/>
      <c r="H866" s="106"/>
      <c r="I866" s="103" t="str">
        <f aca="false">IF(OR($B866="", $D866="", $E866="", $F866="", $G866="", $H866=""),"",ROUND(($D866*Lists!$AD$20)+($E866*Lists!$AD$21)+($F866*Lists!$AD$22)+($G866*Lists!$AD$23)+($H866*Lists!$AD$24),2))</f>
        <v/>
      </c>
      <c r="J866" s="101"/>
      <c r="K866" s="105"/>
      <c r="L866" s="101"/>
    </row>
    <row r="867" customFormat="false" ht="15.75" hidden="false" customHeight="true" outlineLevel="0" collapsed="false">
      <c r="A867" s="113"/>
      <c r="B867" s="102"/>
      <c r="C867" s="101" t="str">
        <f aca="false">IF($B867="","",IFERROR(VLOOKUP($B867,'Application Portfolio'!$A$2:$B$1000,2,FALSE()),""))</f>
        <v/>
      </c>
      <c r="D867" s="106"/>
      <c r="E867" s="106"/>
      <c r="F867" s="106"/>
      <c r="G867" s="106"/>
      <c r="H867" s="106"/>
      <c r="I867" s="103" t="str">
        <f aca="false">IF(OR($B867="", $D867="", $E867="", $F867="", $G867="", $H867=""),"",ROUND(($D867*Lists!$AD$20)+($E867*Lists!$AD$21)+($F867*Lists!$AD$22)+($G867*Lists!$AD$23)+($H867*Lists!$AD$24),2))</f>
        <v/>
      </c>
      <c r="J867" s="101"/>
      <c r="K867" s="105"/>
      <c r="L867" s="101"/>
    </row>
    <row r="868" customFormat="false" ht="15.75" hidden="false" customHeight="true" outlineLevel="0" collapsed="false">
      <c r="A868" s="113"/>
      <c r="B868" s="102"/>
      <c r="C868" s="101" t="str">
        <f aca="false">IF($B868="","",IFERROR(VLOOKUP($B868,'Application Portfolio'!$A$2:$B$1000,2,FALSE()),""))</f>
        <v/>
      </c>
      <c r="D868" s="106"/>
      <c r="E868" s="106"/>
      <c r="F868" s="106"/>
      <c r="G868" s="106"/>
      <c r="H868" s="106"/>
      <c r="I868" s="103" t="str">
        <f aca="false">IF(OR($B868="", $D868="", $E868="", $F868="", $G868="", $H868=""),"",ROUND(($D868*Lists!$AD$20)+($E868*Lists!$AD$21)+($F868*Lists!$AD$22)+($G868*Lists!$AD$23)+($H868*Lists!$AD$24),2))</f>
        <v/>
      </c>
      <c r="J868" s="101"/>
      <c r="K868" s="105"/>
      <c r="L868" s="101"/>
    </row>
    <row r="869" customFormat="false" ht="15.75" hidden="false" customHeight="true" outlineLevel="0" collapsed="false">
      <c r="A869" s="113"/>
      <c r="B869" s="102"/>
      <c r="C869" s="101" t="str">
        <f aca="false">IF($B869="","",IFERROR(VLOOKUP($B869,'Application Portfolio'!$A$2:$B$1000,2,FALSE()),""))</f>
        <v/>
      </c>
      <c r="D869" s="106"/>
      <c r="E869" s="106"/>
      <c r="F869" s="106"/>
      <c r="G869" s="106"/>
      <c r="H869" s="106"/>
      <c r="I869" s="103" t="str">
        <f aca="false">IF(OR($B869="", $D869="", $E869="", $F869="", $G869="", $H869=""),"",ROUND(($D869*Lists!$AD$20)+($E869*Lists!$AD$21)+($F869*Lists!$AD$22)+($G869*Lists!$AD$23)+($H869*Lists!$AD$24),2))</f>
        <v/>
      </c>
      <c r="J869" s="101"/>
      <c r="K869" s="105"/>
      <c r="L869" s="101"/>
    </row>
    <row r="870" customFormat="false" ht="15.75" hidden="false" customHeight="true" outlineLevel="0" collapsed="false">
      <c r="A870" s="113"/>
      <c r="B870" s="102"/>
      <c r="C870" s="101" t="str">
        <f aca="false">IF($B870="","",IFERROR(VLOOKUP($B870,'Application Portfolio'!$A$2:$B$1000,2,FALSE()),""))</f>
        <v/>
      </c>
      <c r="D870" s="106"/>
      <c r="E870" s="106"/>
      <c r="F870" s="106"/>
      <c r="G870" s="106"/>
      <c r="H870" s="106"/>
      <c r="I870" s="103" t="str">
        <f aca="false">IF(OR($B870="", $D870="", $E870="", $F870="", $G870="", $H870=""),"",ROUND(($D870*Lists!$AD$20)+($E870*Lists!$AD$21)+($F870*Lists!$AD$22)+($G870*Lists!$AD$23)+($H870*Lists!$AD$24),2))</f>
        <v/>
      </c>
      <c r="J870" s="101"/>
      <c r="K870" s="105"/>
      <c r="L870" s="101"/>
    </row>
    <row r="871" customFormat="false" ht="15.75" hidden="false" customHeight="true" outlineLevel="0" collapsed="false">
      <c r="A871" s="113"/>
      <c r="B871" s="102"/>
      <c r="C871" s="101" t="str">
        <f aca="false">IF($B871="","",IFERROR(VLOOKUP($B871,'Application Portfolio'!$A$2:$B$1000,2,FALSE()),""))</f>
        <v/>
      </c>
      <c r="D871" s="106"/>
      <c r="E871" s="106"/>
      <c r="F871" s="106"/>
      <c r="G871" s="106"/>
      <c r="H871" s="106"/>
      <c r="I871" s="103" t="str">
        <f aca="false">IF(OR($B871="", $D871="", $E871="", $F871="", $G871="", $H871=""),"",ROUND(($D871*Lists!$AD$20)+($E871*Lists!$AD$21)+($F871*Lists!$AD$22)+($G871*Lists!$AD$23)+($H871*Lists!$AD$24),2))</f>
        <v/>
      </c>
      <c r="J871" s="101"/>
      <c r="K871" s="105"/>
      <c r="L871" s="101"/>
    </row>
    <row r="872" customFormat="false" ht="15.75" hidden="false" customHeight="true" outlineLevel="0" collapsed="false">
      <c r="A872" s="113"/>
      <c r="B872" s="102"/>
      <c r="C872" s="101" t="str">
        <f aca="false">IF($B872="","",IFERROR(VLOOKUP($B872,'Application Portfolio'!$A$2:$B$1000,2,FALSE()),""))</f>
        <v/>
      </c>
      <c r="D872" s="106"/>
      <c r="E872" s="106"/>
      <c r="F872" s="106"/>
      <c r="G872" s="106"/>
      <c r="H872" s="106"/>
      <c r="I872" s="103" t="str">
        <f aca="false">IF(OR($B872="", $D872="", $E872="", $F872="", $G872="", $H872=""),"",ROUND(($D872*Lists!$AD$20)+($E872*Lists!$AD$21)+($F872*Lists!$AD$22)+($G872*Lists!$AD$23)+($H872*Lists!$AD$24),2))</f>
        <v/>
      </c>
      <c r="J872" s="101"/>
      <c r="K872" s="105"/>
      <c r="L872" s="101"/>
    </row>
    <row r="873" customFormat="false" ht="15.75" hidden="false" customHeight="true" outlineLevel="0" collapsed="false">
      <c r="A873" s="113"/>
      <c r="B873" s="102"/>
      <c r="C873" s="101" t="str">
        <f aca="false">IF($B873="","",IFERROR(VLOOKUP($B873,'Application Portfolio'!$A$2:$B$1000,2,FALSE()),""))</f>
        <v/>
      </c>
      <c r="D873" s="106"/>
      <c r="E873" s="106"/>
      <c r="F873" s="106"/>
      <c r="G873" s="106"/>
      <c r="H873" s="106"/>
      <c r="I873" s="103" t="str">
        <f aca="false">IF(OR($B873="", $D873="", $E873="", $F873="", $G873="", $H873=""),"",ROUND(($D873*Lists!$AD$20)+($E873*Lists!$AD$21)+($F873*Lists!$AD$22)+($G873*Lists!$AD$23)+($H873*Lists!$AD$24),2))</f>
        <v/>
      </c>
      <c r="J873" s="101"/>
      <c r="K873" s="105"/>
      <c r="L873" s="101"/>
    </row>
    <row r="874" customFormat="false" ht="15.75" hidden="false" customHeight="true" outlineLevel="0" collapsed="false">
      <c r="A874" s="113"/>
      <c r="B874" s="102"/>
      <c r="C874" s="101" t="str">
        <f aca="false">IF($B874="","",IFERROR(VLOOKUP($B874,'Application Portfolio'!$A$2:$B$1000,2,FALSE()),""))</f>
        <v/>
      </c>
      <c r="D874" s="106"/>
      <c r="E874" s="106"/>
      <c r="F874" s="106"/>
      <c r="G874" s="106"/>
      <c r="H874" s="106"/>
      <c r="I874" s="103" t="str">
        <f aca="false">IF(OR($B874="", $D874="", $E874="", $F874="", $G874="", $H874=""),"",ROUND(($D874*Lists!$AD$20)+($E874*Lists!$AD$21)+($F874*Lists!$AD$22)+($G874*Lists!$AD$23)+($H874*Lists!$AD$24),2))</f>
        <v/>
      </c>
      <c r="J874" s="101"/>
      <c r="K874" s="105"/>
      <c r="L874" s="101"/>
    </row>
    <row r="875" customFormat="false" ht="15.75" hidden="false" customHeight="true" outlineLevel="0" collapsed="false">
      <c r="A875" s="113"/>
      <c r="B875" s="102"/>
      <c r="C875" s="101" t="str">
        <f aca="false">IF($B875="","",IFERROR(VLOOKUP($B875,'Application Portfolio'!$A$2:$B$1000,2,FALSE()),""))</f>
        <v/>
      </c>
      <c r="D875" s="106"/>
      <c r="E875" s="106"/>
      <c r="F875" s="106"/>
      <c r="G875" s="106"/>
      <c r="H875" s="106"/>
      <c r="I875" s="103" t="str">
        <f aca="false">IF(OR($B875="", $D875="", $E875="", $F875="", $G875="", $H875=""),"",ROUND(($D875*Lists!$AD$20)+($E875*Lists!$AD$21)+($F875*Lists!$AD$22)+($G875*Lists!$AD$23)+($H875*Lists!$AD$24),2))</f>
        <v/>
      </c>
      <c r="J875" s="101"/>
      <c r="K875" s="105"/>
      <c r="L875" s="101"/>
    </row>
    <row r="876" customFormat="false" ht="15.75" hidden="false" customHeight="true" outlineLevel="0" collapsed="false">
      <c r="A876" s="113"/>
      <c r="B876" s="102"/>
      <c r="C876" s="101" t="str">
        <f aca="false">IF($B876="","",IFERROR(VLOOKUP($B876,'Application Portfolio'!$A$2:$B$1000,2,FALSE()),""))</f>
        <v/>
      </c>
      <c r="D876" s="106"/>
      <c r="E876" s="106"/>
      <c r="F876" s="106"/>
      <c r="G876" s="106"/>
      <c r="H876" s="106"/>
      <c r="I876" s="103" t="str">
        <f aca="false">IF(OR($B876="", $D876="", $E876="", $F876="", $G876="", $H876=""),"",ROUND(($D876*Lists!$AD$20)+($E876*Lists!$AD$21)+($F876*Lists!$AD$22)+($G876*Lists!$AD$23)+($H876*Lists!$AD$24),2))</f>
        <v/>
      </c>
      <c r="J876" s="101"/>
      <c r="K876" s="105"/>
      <c r="L876" s="101"/>
    </row>
    <row r="877" customFormat="false" ht="15.75" hidden="false" customHeight="true" outlineLevel="0" collapsed="false">
      <c r="A877" s="113"/>
      <c r="B877" s="102"/>
      <c r="C877" s="101" t="str">
        <f aca="false">IF($B877="","",IFERROR(VLOOKUP($B877,'Application Portfolio'!$A$2:$B$1000,2,FALSE()),""))</f>
        <v/>
      </c>
      <c r="D877" s="106"/>
      <c r="E877" s="106"/>
      <c r="F877" s="106"/>
      <c r="G877" s="106"/>
      <c r="H877" s="106"/>
      <c r="I877" s="103" t="str">
        <f aca="false">IF(OR($B877="", $D877="", $E877="", $F877="", $G877="", $H877=""),"",ROUND(($D877*Lists!$AD$20)+($E877*Lists!$AD$21)+($F877*Lists!$AD$22)+($G877*Lists!$AD$23)+($H877*Lists!$AD$24),2))</f>
        <v/>
      </c>
      <c r="J877" s="101"/>
      <c r="K877" s="105"/>
      <c r="L877" s="101"/>
    </row>
    <row r="878" customFormat="false" ht="15.75" hidden="false" customHeight="true" outlineLevel="0" collapsed="false">
      <c r="A878" s="113"/>
      <c r="B878" s="102"/>
      <c r="C878" s="101" t="str">
        <f aca="false">IF($B878="","",IFERROR(VLOOKUP($B878,'Application Portfolio'!$A$2:$B$1000,2,FALSE()),""))</f>
        <v/>
      </c>
      <c r="D878" s="106"/>
      <c r="E878" s="106"/>
      <c r="F878" s="106"/>
      <c r="G878" s="106"/>
      <c r="H878" s="106"/>
      <c r="I878" s="103" t="str">
        <f aca="false">IF(OR($B878="", $D878="", $E878="", $F878="", $G878="", $H878=""),"",ROUND(($D878*Lists!$AD$20)+($E878*Lists!$AD$21)+($F878*Lists!$AD$22)+($G878*Lists!$AD$23)+($H878*Lists!$AD$24),2))</f>
        <v/>
      </c>
      <c r="J878" s="101"/>
      <c r="K878" s="105"/>
      <c r="L878" s="101"/>
    </row>
    <row r="879" customFormat="false" ht="15.75" hidden="false" customHeight="true" outlineLevel="0" collapsed="false">
      <c r="A879" s="113"/>
      <c r="B879" s="102"/>
      <c r="C879" s="101" t="str">
        <f aca="false">IF($B879="","",IFERROR(VLOOKUP($B879,'Application Portfolio'!$A$2:$B$1000,2,FALSE()),""))</f>
        <v/>
      </c>
      <c r="D879" s="106"/>
      <c r="E879" s="106"/>
      <c r="F879" s="106"/>
      <c r="G879" s="106"/>
      <c r="H879" s="106"/>
      <c r="I879" s="103" t="str">
        <f aca="false">IF(OR($B879="", $D879="", $E879="", $F879="", $G879="", $H879=""),"",ROUND(($D879*Lists!$AD$20)+($E879*Lists!$AD$21)+($F879*Lists!$AD$22)+($G879*Lists!$AD$23)+($H879*Lists!$AD$24),2))</f>
        <v/>
      </c>
      <c r="J879" s="101"/>
      <c r="K879" s="105"/>
      <c r="L879" s="101"/>
    </row>
    <row r="880" customFormat="false" ht="15.75" hidden="false" customHeight="true" outlineLevel="0" collapsed="false">
      <c r="A880" s="113"/>
      <c r="B880" s="102"/>
      <c r="C880" s="101" t="str">
        <f aca="false">IF($B880="","",IFERROR(VLOOKUP($B880,'Application Portfolio'!$A$2:$B$1000,2,FALSE()),""))</f>
        <v/>
      </c>
      <c r="D880" s="106"/>
      <c r="E880" s="106"/>
      <c r="F880" s="106"/>
      <c r="G880" s="106"/>
      <c r="H880" s="106"/>
      <c r="I880" s="103" t="str">
        <f aca="false">IF(OR($B880="", $D880="", $E880="", $F880="", $G880="", $H880=""),"",ROUND(($D880*Lists!$AD$20)+($E880*Lists!$AD$21)+($F880*Lists!$AD$22)+($G880*Lists!$AD$23)+($H880*Lists!$AD$24),2))</f>
        <v/>
      </c>
      <c r="J880" s="101"/>
      <c r="K880" s="105"/>
      <c r="L880" s="101"/>
    </row>
    <row r="881" customFormat="false" ht="15.75" hidden="false" customHeight="true" outlineLevel="0" collapsed="false">
      <c r="A881" s="113"/>
      <c r="B881" s="102"/>
      <c r="C881" s="101" t="str">
        <f aca="false">IF($B881="","",IFERROR(VLOOKUP($B881,'Application Portfolio'!$A$2:$B$1000,2,FALSE()),""))</f>
        <v/>
      </c>
      <c r="D881" s="106"/>
      <c r="E881" s="106"/>
      <c r="F881" s="106"/>
      <c r="G881" s="106"/>
      <c r="H881" s="106"/>
      <c r="I881" s="103" t="str">
        <f aca="false">IF(OR($B881="", $D881="", $E881="", $F881="", $G881="", $H881=""),"",ROUND(($D881*Lists!$AD$20)+($E881*Lists!$AD$21)+($F881*Lists!$AD$22)+($G881*Lists!$AD$23)+($H881*Lists!$AD$24),2))</f>
        <v/>
      </c>
      <c r="J881" s="101"/>
      <c r="K881" s="105"/>
      <c r="L881" s="101"/>
    </row>
    <row r="882" customFormat="false" ht="15.75" hidden="false" customHeight="true" outlineLevel="0" collapsed="false">
      <c r="A882" s="113"/>
      <c r="B882" s="102"/>
      <c r="C882" s="101" t="str">
        <f aca="false">IF($B882="","",IFERROR(VLOOKUP($B882,'Application Portfolio'!$A$2:$B$1000,2,FALSE()),""))</f>
        <v/>
      </c>
      <c r="D882" s="106"/>
      <c r="E882" s="106"/>
      <c r="F882" s="106"/>
      <c r="G882" s="106"/>
      <c r="H882" s="106"/>
      <c r="I882" s="103" t="str">
        <f aca="false">IF(OR($B882="", $D882="", $E882="", $F882="", $G882="", $H882=""),"",ROUND(($D882*Lists!$AD$20)+($E882*Lists!$AD$21)+($F882*Lists!$AD$22)+($G882*Lists!$AD$23)+($H882*Lists!$AD$24),2))</f>
        <v/>
      </c>
      <c r="J882" s="101"/>
      <c r="K882" s="105"/>
      <c r="L882" s="101"/>
    </row>
    <row r="883" customFormat="false" ht="15.75" hidden="false" customHeight="true" outlineLevel="0" collapsed="false">
      <c r="A883" s="113"/>
      <c r="B883" s="102"/>
      <c r="C883" s="101" t="str">
        <f aca="false">IF($B883="","",IFERROR(VLOOKUP($B883,'Application Portfolio'!$A$2:$B$1000,2,FALSE()),""))</f>
        <v/>
      </c>
      <c r="D883" s="106"/>
      <c r="E883" s="106"/>
      <c r="F883" s="106"/>
      <c r="G883" s="106"/>
      <c r="H883" s="106"/>
      <c r="I883" s="103" t="str">
        <f aca="false">IF(OR($B883="", $D883="", $E883="", $F883="", $G883="", $H883=""),"",ROUND(($D883*Lists!$AD$20)+($E883*Lists!$AD$21)+($F883*Lists!$AD$22)+($G883*Lists!$AD$23)+($H883*Lists!$AD$24),2))</f>
        <v/>
      </c>
      <c r="J883" s="101"/>
      <c r="K883" s="105"/>
      <c r="L883" s="101"/>
    </row>
    <row r="884" customFormat="false" ht="15.75" hidden="false" customHeight="true" outlineLevel="0" collapsed="false">
      <c r="A884" s="113"/>
      <c r="B884" s="102"/>
      <c r="C884" s="101" t="str">
        <f aca="false">IF($B884="","",IFERROR(VLOOKUP($B884,'Application Portfolio'!$A$2:$B$1000,2,FALSE()),""))</f>
        <v/>
      </c>
      <c r="D884" s="106"/>
      <c r="E884" s="106"/>
      <c r="F884" s="106"/>
      <c r="G884" s="106"/>
      <c r="H884" s="106"/>
      <c r="I884" s="103" t="str">
        <f aca="false">IF(OR($B884="", $D884="", $E884="", $F884="", $G884="", $H884=""),"",ROUND(($D884*Lists!$AD$20)+($E884*Lists!$AD$21)+($F884*Lists!$AD$22)+($G884*Lists!$AD$23)+($H884*Lists!$AD$24),2))</f>
        <v/>
      </c>
      <c r="J884" s="101"/>
      <c r="K884" s="105"/>
      <c r="L884" s="101"/>
    </row>
    <row r="885" customFormat="false" ht="15.75" hidden="false" customHeight="true" outlineLevel="0" collapsed="false">
      <c r="A885" s="113"/>
      <c r="B885" s="102"/>
      <c r="C885" s="101" t="str">
        <f aca="false">IF($B885="","",IFERROR(VLOOKUP($B885,'Application Portfolio'!$A$2:$B$1000,2,FALSE()),""))</f>
        <v/>
      </c>
      <c r="D885" s="106"/>
      <c r="E885" s="106"/>
      <c r="F885" s="106"/>
      <c r="G885" s="106"/>
      <c r="H885" s="106"/>
      <c r="I885" s="103" t="str">
        <f aca="false">IF(OR($B885="", $D885="", $E885="", $F885="", $G885="", $H885=""),"",ROUND(($D885*Lists!$AD$20)+($E885*Lists!$AD$21)+($F885*Lists!$AD$22)+($G885*Lists!$AD$23)+($H885*Lists!$AD$24),2))</f>
        <v/>
      </c>
      <c r="J885" s="101"/>
      <c r="K885" s="105"/>
      <c r="L885" s="101"/>
    </row>
    <row r="886" customFormat="false" ht="15.75" hidden="false" customHeight="true" outlineLevel="0" collapsed="false">
      <c r="A886" s="113"/>
      <c r="B886" s="102"/>
      <c r="C886" s="101" t="str">
        <f aca="false">IF($B886="","",IFERROR(VLOOKUP($B886,'Application Portfolio'!$A$2:$B$1000,2,FALSE()),""))</f>
        <v/>
      </c>
      <c r="D886" s="106"/>
      <c r="E886" s="106"/>
      <c r="F886" s="106"/>
      <c r="G886" s="106"/>
      <c r="H886" s="106"/>
      <c r="I886" s="103" t="str">
        <f aca="false">IF(OR($B886="", $D886="", $E886="", $F886="", $G886="", $H886=""),"",ROUND(($D886*Lists!$AD$20)+($E886*Lists!$AD$21)+($F886*Lists!$AD$22)+($G886*Lists!$AD$23)+($H886*Lists!$AD$24),2))</f>
        <v/>
      </c>
      <c r="J886" s="101"/>
      <c r="K886" s="105"/>
      <c r="L886" s="101"/>
    </row>
    <row r="887" customFormat="false" ht="15.75" hidden="false" customHeight="true" outlineLevel="0" collapsed="false">
      <c r="A887" s="113"/>
      <c r="B887" s="102"/>
      <c r="C887" s="101" t="str">
        <f aca="false">IF($B887="","",IFERROR(VLOOKUP($B887,'Application Portfolio'!$A$2:$B$1000,2,FALSE()),""))</f>
        <v/>
      </c>
      <c r="D887" s="106"/>
      <c r="E887" s="106"/>
      <c r="F887" s="106"/>
      <c r="G887" s="106"/>
      <c r="H887" s="106"/>
      <c r="I887" s="103" t="str">
        <f aca="false">IF(OR($B887="", $D887="", $E887="", $F887="", $G887="", $H887=""),"",ROUND(($D887*Lists!$AD$20)+($E887*Lists!$AD$21)+($F887*Lists!$AD$22)+($G887*Lists!$AD$23)+($H887*Lists!$AD$24),2))</f>
        <v/>
      </c>
      <c r="J887" s="101"/>
      <c r="K887" s="105"/>
      <c r="L887" s="101"/>
    </row>
    <row r="888" customFormat="false" ht="15.75" hidden="false" customHeight="true" outlineLevel="0" collapsed="false">
      <c r="A888" s="113"/>
      <c r="B888" s="102"/>
      <c r="C888" s="101" t="str">
        <f aca="false">IF($B888="","",IFERROR(VLOOKUP($B888,'Application Portfolio'!$A$2:$B$1000,2,FALSE()),""))</f>
        <v/>
      </c>
      <c r="D888" s="106"/>
      <c r="E888" s="106"/>
      <c r="F888" s="106"/>
      <c r="G888" s="106"/>
      <c r="H888" s="106"/>
      <c r="I888" s="103" t="str">
        <f aca="false">IF(OR($B888="", $D888="", $E888="", $F888="", $G888="", $H888=""),"",ROUND(($D888*Lists!$AD$20)+($E888*Lists!$AD$21)+($F888*Lists!$AD$22)+($G888*Lists!$AD$23)+($H888*Lists!$AD$24),2))</f>
        <v/>
      </c>
      <c r="J888" s="101"/>
      <c r="K888" s="105"/>
      <c r="L888" s="101"/>
    </row>
    <row r="889" customFormat="false" ht="15.75" hidden="false" customHeight="true" outlineLevel="0" collapsed="false">
      <c r="A889" s="113"/>
      <c r="B889" s="102"/>
      <c r="C889" s="101" t="str">
        <f aca="false">IF($B889="","",IFERROR(VLOOKUP($B889,'Application Portfolio'!$A$2:$B$1000,2,FALSE()),""))</f>
        <v/>
      </c>
      <c r="D889" s="106"/>
      <c r="E889" s="106"/>
      <c r="F889" s="106"/>
      <c r="G889" s="106"/>
      <c r="H889" s="106"/>
      <c r="I889" s="103" t="str">
        <f aca="false">IF(OR($B889="", $D889="", $E889="", $F889="", $G889="", $H889=""),"",ROUND(($D889*Lists!$AD$20)+($E889*Lists!$AD$21)+($F889*Lists!$AD$22)+($G889*Lists!$AD$23)+($H889*Lists!$AD$24),2))</f>
        <v/>
      </c>
      <c r="J889" s="101"/>
      <c r="K889" s="105"/>
      <c r="L889" s="101"/>
    </row>
    <row r="890" customFormat="false" ht="15.75" hidden="false" customHeight="true" outlineLevel="0" collapsed="false">
      <c r="A890" s="113"/>
      <c r="B890" s="102"/>
      <c r="C890" s="101" t="str">
        <f aca="false">IF($B890="","",IFERROR(VLOOKUP($B890,'Application Portfolio'!$A$2:$B$1000,2,FALSE()),""))</f>
        <v/>
      </c>
      <c r="D890" s="106"/>
      <c r="E890" s="106"/>
      <c r="F890" s="106"/>
      <c r="G890" s="106"/>
      <c r="H890" s="106"/>
      <c r="I890" s="103" t="str">
        <f aca="false">IF(OR($B890="", $D890="", $E890="", $F890="", $G890="", $H890=""),"",ROUND(($D890*Lists!$AD$20)+($E890*Lists!$AD$21)+($F890*Lists!$AD$22)+($G890*Lists!$AD$23)+($H890*Lists!$AD$24),2))</f>
        <v/>
      </c>
      <c r="J890" s="101"/>
      <c r="K890" s="105"/>
      <c r="L890" s="101"/>
    </row>
    <row r="891" customFormat="false" ht="15.75" hidden="false" customHeight="true" outlineLevel="0" collapsed="false">
      <c r="A891" s="113"/>
      <c r="B891" s="102"/>
      <c r="C891" s="101" t="str">
        <f aca="false">IF($B891="","",IFERROR(VLOOKUP($B891,'Application Portfolio'!$A$2:$B$1000,2,FALSE()),""))</f>
        <v/>
      </c>
      <c r="D891" s="106"/>
      <c r="E891" s="106"/>
      <c r="F891" s="106"/>
      <c r="G891" s="106"/>
      <c r="H891" s="106"/>
      <c r="I891" s="103" t="str">
        <f aca="false">IF(OR($B891="", $D891="", $E891="", $F891="", $G891="", $H891=""),"",ROUND(($D891*Lists!$AD$20)+($E891*Lists!$AD$21)+($F891*Lists!$AD$22)+($G891*Lists!$AD$23)+($H891*Lists!$AD$24),2))</f>
        <v/>
      </c>
      <c r="J891" s="101"/>
      <c r="K891" s="105"/>
      <c r="L891" s="101"/>
    </row>
    <row r="892" customFormat="false" ht="15.75" hidden="false" customHeight="true" outlineLevel="0" collapsed="false">
      <c r="A892" s="113"/>
      <c r="B892" s="102"/>
      <c r="C892" s="101" t="str">
        <f aca="false">IF($B892="","",IFERROR(VLOOKUP($B892,'Application Portfolio'!$A$2:$B$1000,2,FALSE()),""))</f>
        <v/>
      </c>
      <c r="D892" s="106"/>
      <c r="E892" s="106"/>
      <c r="F892" s="106"/>
      <c r="G892" s="106"/>
      <c r="H892" s="106"/>
      <c r="I892" s="103" t="str">
        <f aca="false">IF(OR($B892="", $D892="", $E892="", $F892="", $G892="", $H892=""),"",ROUND(($D892*Lists!$AD$20)+($E892*Lists!$AD$21)+($F892*Lists!$AD$22)+($G892*Lists!$AD$23)+($H892*Lists!$AD$24),2))</f>
        <v/>
      </c>
      <c r="J892" s="101"/>
      <c r="K892" s="105"/>
      <c r="L892" s="101"/>
    </row>
    <row r="893" customFormat="false" ht="15.75" hidden="false" customHeight="true" outlineLevel="0" collapsed="false">
      <c r="A893" s="113"/>
      <c r="B893" s="102"/>
      <c r="C893" s="101" t="str">
        <f aca="false">IF($B893="","",IFERROR(VLOOKUP($B893,'Application Portfolio'!$A$2:$B$1000,2,FALSE()),""))</f>
        <v/>
      </c>
      <c r="D893" s="106"/>
      <c r="E893" s="106"/>
      <c r="F893" s="106"/>
      <c r="G893" s="106"/>
      <c r="H893" s="106"/>
      <c r="I893" s="103" t="str">
        <f aca="false">IF(OR($B893="", $D893="", $E893="", $F893="", $G893="", $H893=""),"",ROUND(($D893*Lists!$AD$20)+($E893*Lists!$AD$21)+($F893*Lists!$AD$22)+($G893*Lists!$AD$23)+($H893*Lists!$AD$24),2))</f>
        <v/>
      </c>
      <c r="J893" s="101"/>
      <c r="K893" s="105"/>
      <c r="L893" s="101"/>
    </row>
    <row r="894" customFormat="false" ht="15.75" hidden="false" customHeight="true" outlineLevel="0" collapsed="false">
      <c r="A894" s="113"/>
      <c r="B894" s="102"/>
      <c r="C894" s="101" t="str">
        <f aca="false">IF($B894="","",IFERROR(VLOOKUP($B894,'Application Portfolio'!$A$2:$B$1000,2,FALSE()),""))</f>
        <v/>
      </c>
      <c r="D894" s="106"/>
      <c r="E894" s="106"/>
      <c r="F894" s="106"/>
      <c r="G894" s="106"/>
      <c r="H894" s="106"/>
      <c r="I894" s="103" t="str">
        <f aca="false">IF(OR($B894="", $D894="", $E894="", $F894="", $G894="", $H894=""),"",ROUND(($D894*Lists!$AD$20)+($E894*Lists!$AD$21)+($F894*Lists!$AD$22)+($G894*Lists!$AD$23)+($H894*Lists!$AD$24),2))</f>
        <v/>
      </c>
      <c r="J894" s="101"/>
      <c r="K894" s="105"/>
      <c r="L894" s="101"/>
    </row>
    <row r="895" customFormat="false" ht="15.75" hidden="false" customHeight="true" outlineLevel="0" collapsed="false">
      <c r="A895" s="113"/>
      <c r="B895" s="102"/>
      <c r="C895" s="101" t="str">
        <f aca="false">IF($B895="","",IFERROR(VLOOKUP($B895,'Application Portfolio'!$A$2:$B$1000,2,FALSE()),""))</f>
        <v/>
      </c>
      <c r="D895" s="106"/>
      <c r="E895" s="106"/>
      <c r="F895" s="106"/>
      <c r="G895" s="106"/>
      <c r="H895" s="106"/>
      <c r="I895" s="103" t="str">
        <f aca="false">IF(OR($B895="", $D895="", $E895="", $F895="", $G895="", $H895=""),"",ROUND(($D895*Lists!$AD$20)+($E895*Lists!$AD$21)+($F895*Lists!$AD$22)+($G895*Lists!$AD$23)+($H895*Lists!$AD$24),2))</f>
        <v/>
      </c>
      <c r="J895" s="101"/>
      <c r="K895" s="105"/>
      <c r="L895" s="101"/>
    </row>
    <row r="896" customFormat="false" ht="15.75" hidden="false" customHeight="true" outlineLevel="0" collapsed="false">
      <c r="A896" s="113"/>
      <c r="B896" s="102"/>
      <c r="C896" s="101" t="str">
        <f aca="false">IF($B896="","",IFERROR(VLOOKUP($B896,'Application Portfolio'!$A$2:$B$1000,2,FALSE()),""))</f>
        <v/>
      </c>
      <c r="D896" s="106"/>
      <c r="E896" s="106"/>
      <c r="F896" s="106"/>
      <c r="G896" s="106"/>
      <c r="H896" s="106"/>
      <c r="I896" s="103" t="str">
        <f aca="false">IF(OR($B896="", $D896="", $E896="", $F896="", $G896="", $H896=""),"",ROUND(($D896*Lists!$AD$20)+($E896*Lists!$AD$21)+($F896*Lists!$AD$22)+($G896*Lists!$AD$23)+($H896*Lists!$AD$24),2))</f>
        <v/>
      </c>
      <c r="J896" s="101"/>
      <c r="K896" s="105"/>
      <c r="L896" s="101"/>
    </row>
    <row r="897" customFormat="false" ht="15.75" hidden="false" customHeight="true" outlineLevel="0" collapsed="false">
      <c r="A897" s="113"/>
      <c r="B897" s="102"/>
      <c r="C897" s="101" t="str">
        <f aca="false">IF($B897="","",IFERROR(VLOOKUP($B897,'Application Portfolio'!$A$2:$B$1000,2,FALSE()),""))</f>
        <v/>
      </c>
      <c r="D897" s="106"/>
      <c r="E897" s="106"/>
      <c r="F897" s="106"/>
      <c r="G897" s="106"/>
      <c r="H897" s="106"/>
      <c r="I897" s="103" t="str">
        <f aca="false">IF(OR($B897="", $D897="", $E897="", $F897="", $G897="", $H897=""),"",ROUND(($D897*Lists!$AD$20)+($E897*Lists!$AD$21)+($F897*Lists!$AD$22)+($G897*Lists!$AD$23)+($H897*Lists!$AD$24),2))</f>
        <v/>
      </c>
      <c r="J897" s="101"/>
      <c r="K897" s="105"/>
      <c r="L897" s="101"/>
    </row>
    <row r="898" customFormat="false" ht="15.75" hidden="false" customHeight="true" outlineLevel="0" collapsed="false">
      <c r="A898" s="113"/>
      <c r="B898" s="102"/>
      <c r="C898" s="101" t="str">
        <f aca="false">IF($B898="","",IFERROR(VLOOKUP($B898,'Application Portfolio'!$A$2:$B$1000,2,FALSE()),""))</f>
        <v/>
      </c>
      <c r="D898" s="106"/>
      <c r="E898" s="106"/>
      <c r="F898" s="106"/>
      <c r="G898" s="106"/>
      <c r="H898" s="106"/>
      <c r="I898" s="103" t="str">
        <f aca="false">IF(OR($B898="", $D898="", $E898="", $F898="", $G898="", $H898=""),"",ROUND(($D898*Lists!$AD$20)+($E898*Lists!$AD$21)+($F898*Lists!$AD$22)+($G898*Lists!$AD$23)+($H898*Lists!$AD$24),2))</f>
        <v/>
      </c>
      <c r="J898" s="101"/>
      <c r="K898" s="105"/>
      <c r="L898" s="101"/>
    </row>
    <row r="899" customFormat="false" ht="15.75" hidden="false" customHeight="true" outlineLevel="0" collapsed="false">
      <c r="A899" s="113"/>
      <c r="B899" s="102"/>
      <c r="C899" s="101" t="str">
        <f aca="false">IF($B899="","",IFERROR(VLOOKUP($B899,'Application Portfolio'!$A$2:$B$1000,2,FALSE()),""))</f>
        <v/>
      </c>
      <c r="D899" s="106"/>
      <c r="E899" s="106"/>
      <c r="F899" s="106"/>
      <c r="G899" s="106"/>
      <c r="H899" s="106"/>
      <c r="I899" s="103" t="str">
        <f aca="false">IF(OR($B899="", $D899="", $E899="", $F899="", $G899="", $H899=""),"",ROUND(($D899*Lists!$AD$20)+($E899*Lists!$AD$21)+($F899*Lists!$AD$22)+($G899*Lists!$AD$23)+($H899*Lists!$AD$24),2))</f>
        <v/>
      </c>
      <c r="J899" s="101"/>
      <c r="K899" s="105"/>
      <c r="L899" s="101"/>
    </row>
    <row r="900" customFormat="false" ht="15.75" hidden="false" customHeight="true" outlineLevel="0" collapsed="false">
      <c r="A900" s="113"/>
      <c r="B900" s="102"/>
      <c r="C900" s="101" t="str">
        <f aca="false">IF($B900="","",IFERROR(VLOOKUP($B900,'Application Portfolio'!$A$2:$B$1000,2,FALSE()),""))</f>
        <v/>
      </c>
      <c r="D900" s="106"/>
      <c r="E900" s="106"/>
      <c r="F900" s="106"/>
      <c r="G900" s="106"/>
      <c r="H900" s="106"/>
      <c r="I900" s="103" t="str">
        <f aca="false">IF(OR($B900="", $D900="", $E900="", $F900="", $G900="", $H900=""),"",ROUND(($D900*Lists!$AD$20)+($E900*Lists!$AD$21)+($F900*Lists!$AD$22)+($G900*Lists!$AD$23)+($H900*Lists!$AD$24),2))</f>
        <v/>
      </c>
      <c r="J900" s="101"/>
      <c r="K900" s="105"/>
      <c r="L900" s="101"/>
    </row>
    <row r="901" customFormat="false" ht="15.75" hidden="false" customHeight="true" outlineLevel="0" collapsed="false">
      <c r="A901" s="113"/>
      <c r="B901" s="102"/>
      <c r="C901" s="101" t="str">
        <f aca="false">IF($B901="","",IFERROR(VLOOKUP($B901,'Application Portfolio'!$A$2:$B$1000,2,FALSE()),""))</f>
        <v/>
      </c>
      <c r="D901" s="106"/>
      <c r="E901" s="106"/>
      <c r="F901" s="106"/>
      <c r="G901" s="106"/>
      <c r="H901" s="106"/>
      <c r="I901" s="103" t="str">
        <f aca="false">IF(OR($B901="", $D901="", $E901="", $F901="", $G901="", $H901=""),"",ROUND(($D901*Lists!$AD$20)+($E901*Lists!$AD$21)+($F901*Lists!$AD$22)+($G901*Lists!$AD$23)+($H901*Lists!$AD$24),2))</f>
        <v/>
      </c>
      <c r="J901" s="101"/>
      <c r="K901" s="105"/>
      <c r="L901" s="101"/>
    </row>
    <row r="902" customFormat="false" ht="15.75" hidden="false" customHeight="true" outlineLevel="0" collapsed="false">
      <c r="A902" s="113"/>
      <c r="B902" s="102"/>
      <c r="C902" s="101" t="str">
        <f aca="false">IF($B902="","",IFERROR(VLOOKUP($B902,'Application Portfolio'!$A$2:$B$1000,2,FALSE()),""))</f>
        <v/>
      </c>
      <c r="D902" s="106"/>
      <c r="E902" s="106"/>
      <c r="F902" s="106"/>
      <c r="G902" s="106"/>
      <c r="H902" s="106"/>
      <c r="I902" s="103" t="str">
        <f aca="false">IF(OR($B902="", $D902="", $E902="", $F902="", $G902="", $H902=""),"",ROUND(($D902*Lists!$AD$20)+($E902*Lists!$AD$21)+($F902*Lists!$AD$22)+($G902*Lists!$AD$23)+($H902*Lists!$AD$24),2))</f>
        <v/>
      </c>
      <c r="J902" s="101"/>
      <c r="K902" s="105"/>
      <c r="L902" s="101"/>
    </row>
    <row r="903" customFormat="false" ht="15.75" hidden="false" customHeight="true" outlineLevel="0" collapsed="false">
      <c r="A903" s="113"/>
      <c r="B903" s="102"/>
      <c r="C903" s="101" t="str">
        <f aca="false">IF($B903="","",IFERROR(VLOOKUP($B903,'Application Portfolio'!$A$2:$B$1000,2,FALSE()),""))</f>
        <v/>
      </c>
      <c r="D903" s="106"/>
      <c r="E903" s="106"/>
      <c r="F903" s="106"/>
      <c r="G903" s="106"/>
      <c r="H903" s="106"/>
      <c r="I903" s="103" t="str">
        <f aca="false">IF(OR($B903="", $D903="", $E903="", $F903="", $G903="", $H903=""),"",ROUND(($D903*Lists!$AD$20)+($E903*Lists!$AD$21)+($F903*Lists!$AD$22)+($G903*Lists!$AD$23)+($H903*Lists!$AD$24),2))</f>
        <v/>
      </c>
      <c r="J903" s="101"/>
      <c r="K903" s="105"/>
      <c r="L903" s="101"/>
    </row>
    <row r="904" customFormat="false" ht="15.75" hidden="false" customHeight="true" outlineLevel="0" collapsed="false">
      <c r="A904" s="113"/>
      <c r="B904" s="102"/>
      <c r="C904" s="101" t="str">
        <f aca="false">IF($B904="","",IFERROR(VLOOKUP($B904,'Application Portfolio'!$A$2:$B$1000,2,FALSE()),""))</f>
        <v/>
      </c>
      <c r="D904" s="106"/>
      <c r="E904" s="106"/>
      <c r="F904" s="106"/>
      <c r="G904" s="106"/>
      <c r="H904" s="106"/>
      <c r="I904" s="103" t="str">
        <f aca="false">IF(OR($B904="", $D904="", $E904="", $F904="", $G904="", $H904=""),"",ROUND(($D904*Lists!$AD$20)+($E904*Lists!$AD$21)+($F904*Lists!$AD$22)+($G904*Lists!$AD$23)+($H904*Lists!$AD$24),2))</f>
        <v/>
      </c>
      <c r="J904" s="101"/>
      <c r="K904" s="105"/>
      <c r="L904" s="101"/>
    </row>
    <row r="905" customFormat="false" ht="15.75" hidden="false" customHeight="true" outlineLevel="0" collapsed="false">
      <c r="A905" s="113"/>
      <c r="B905" s="102"/>
      <c r="C905" s="101" t="str">
        <f aca="false">IF($B905="","",IFERROR(VLOOKUP($B905,'Application Portfolio'!$A$2:$B$1000,2,FALSE()),""))</f>
        <v/>
      </c>
      <c r="D905" s="106"/>
      <c r="E905" s="106"/>
      <c r="F905" s="106"/>
      <c r="G905" s="106"/>
      <c r="H905" s="106"/>
      <c r="I905" s="103" t="str">
        <f aca="false">IF(OR($B905="", $D905="", $E905="", $F905="", $G905="", $H905=""),"",ROUND(($D905*Lists!$AD$20)+($E905*Lists!$AD$21)+($F905*Lists!$AD$22)+($G905*Lists!$AD$23)+($H905*Lists!$AD$24),2))</f>
        <v/>
      </c>
      <c r="J905" s="101"/>
      <c r="K905" s="105"/>
      <c r="L905" s="101"/>
    </row>
    <row r="906" customFormat="false" ht="15.75" hidden="false" customHeight="true" outlineLevel="0" collapsed="false">
      <c r="A906" s="113"/>
      <c r="B906" s="102"/>
      <c r="C906" s="101" t="str">
        <f aca="false">IF($B906="","",IFERROR(VLOOKUP($B906,'Application Portfolio'!$A$2:$B$1000,2,FALSE()),""))</f>
        <v/>
      </c>
      <c r="D906" s="106"/>
      <c r="E906" s="106"/>
      <c r="F906" s="106"/>
      <c r="G906" s="106"/>
      <c r="H906" s="106"/>
      <c r="I906" s="103" t="str">
        <f aca="false">IF(OR($B906="", $D906="", $E906="", $F906="", $G906="", $H906=""),"",ROUND(($D906*Lists!$AD$20)+($E906*Lists!$AD$21)+($F906*Lists!$AD$22)+($G906*Lists!$AD$23)+($H906*Lists!$AD$24),2))</f>
        <v/>
      </c>
      <c r="J906" s="101"/>
      <c r="K906" s="105"/>
      <c r="L906" s="101"/>
    </row>
    <row r="907" customFormat="false" ht="15.75" hidden="false" customHeight="true" outlineLevel="0" collapsed="false">
      <c r="A907" s="113"/>
      <c r="B907" s="102"/>
      <c r="C907" s="101" t="str">
        <f aca="false">IF($B907="","",IFERROR(VLOOKUP($B907,'Application Portfolio'!$A$2:$B$1000,2,FALSE()),""))</f>
        <v/>
      </c>
      <c r="D907" s="106"/>
      <c r="E907" s="106"/>
      <c r="F907" s="106"/>
      <c r="G907" s="106"/>
      <c r="H907" s="106"/>
      <c r="I907" s="103" t="str">
        <f aca="false">IF(OR($B907="", $D907="", $E907="", $F907="", $G907="", $H907=""),"",ROUND(($D907*Lists!$AD$20)+($E907*Lists!$AD$21)+($F907*Lists!$AD$22)+($G907*Lists!$AD$23)+($H907*Lists!$AD$24),2))</f>
        <v/>
      </c>
      <c r="J907" s="101"/>
      <c r="K907" s="105"/>
      <c r="L907" s="101"/>
    </row>
    <row r="908" customFormat="false" ht="15.75" hidden="false" customHeight="true" outlineLevel="0" collapsed="false">
      <c r="A908" s="113"/>
      <c r="B908" s="102"/>
      <c r="C908" s="101" t="str">
        <f aca="false">IF($B908="","",IFERROR(VLOOKUP($B908,'Application Portfolio'!$A$2:$B$1000,2,FALSE()),""))</f>
        <v/>
      </c>
      <c r="D908" s="106"/>
      <c r="E908" s="106"/>
      <c r="F908" s="106"/>
      <c r="G908" s="106"/>
      <c r="H908" s="106"/>
      <c r="I908" s="103" t="str">
        <f aca="false">IF(OR($B908="", $D908="", $E908="", $F908="", $G908="", $H908=""),"",ROUND(($D908*Lists!$AD$20)+($E908*Lists!$AD$21)+($F908*Lists!$AD$22)+($G908*Lists!$AD$23)+($H908*Lists!$AD$24),2))</f>
        <v/>
      </c>
      <c r="J908" s="101"/>
      <c r="K908" s="105"/>
      <c r="L908" s="101"/>
    </row>
    <row r="909" customFormat="false" ht="15.75" hidden="false" customHeight="true" outlineLevel="0" collapsed="false">
      <c r="A909" s="113"/>
      <c r="B909" s="102"/>
      <c r="C909" s="101" t="str">
        <f aca="false">IF($B909="","",IFERROR(VLOOKUP($B909,'Application Portfolio'!$A$2:$B$1000,2,FALSE()),""))</f>
        <v/>
      </c>
      <c r="D909" s="106"/>
      <c r="E909" s="106"/>
      <c r="F909" s="106"/>
      <c r="G909" s="106"/>
      <c r="H909" s="106"/>
      <c r="I909" s="103" t="str">
        <f aca="false">IF(OR($B909="", $D909="", $E909="", $F909="", $G909="", $H909=""),"",ROUND(($D909*Lists!$AD$20)+($E909*Lists!$AD$21)+($F909*Lists!$AD$22)+($G909*Lists!$AD$23)+($H909*Lists!$AD$24),2))</f>
        <v/>
      </c>
      <c r="J909" s="101"/>
      <c r="K909" s="105"/>
      <c r="L909" s="101"/>
    </row>
    <row r="910" customFormat="false" ht="15.75" hidden="false" customHeight="true" outlineLevel="0" collapsed="false">
      <c r="A910" s="113"/>
      <c r="B910" s="102"/>
      <c r="C910" s="101" t="str">
        <f aca="false">IF($B910="","",IFERROR(VLOOKUP($B910,'Application Portfolio'!$A$2:$B$1000,2,FALSE()),""))</f>
        <v/>
      </c>
      <c r="D910" s="106"/>
      <c r="E910" s="106"/>
      <c r="F910" s="106"/>
      <c r="G910" s="106"/>
      <c r="H910" s="106"/>
      <c r="I910" s="103" t="str">
        <f aca="false">IF(OR($B910="", $D910="", $E910="", $F910="", $G910="", $H910=""),"",ROUND(($D910*Lists!$AD$20)+($E910*Lists!$AD$21)+($F910*Lists!$AD$22)+($G910*Lists!$AD$23)+($H910*Lists!$AD$24),2))</f>
        <v/>
      </c>
      <c r="J910" s="101"/>
      <c r="K910" s="105"/>
      <c r="L910" s="101"/>
    </row>
    <row r="911" customFormat="false" ht="15.75" hidden="false" customHeight="true" outlineLevel="0" collapsed="false">
      <c r="A911" s="113"/>
      <c r="B911" s="102"/>
      <c r="C911" s="101" t="str">
        <f aca="false">IF($B911="","",IFERROR(VLOOKUP($B911,'Application Portfolio'!$A$2:$B$1000,2,FALSE()),""))</f>
        <v/>
      </c>
      <c r="D911" s="106"/>
      <c r="E911" s="106"/>
      <c r="F911" s="106"/>
      <c r="G911" s="106"/>
      <c r="H911" s="106"/>
      <c r="I911" s="103" t="str">
        <f aca="false">IF(OR($B911="", $D911="", $E911="", $F911="", $G911="", $H911=""),"",ROUND(($D911*Lists!$AD$20)+($E911*Lists!$AD$21)+($F911*Lists!$AD$22)+($G911*Lists!$AD$23)+($H911*Lists!$AD$24),2))</f>
        <v/>
      </c>
      <c r="J911" s="101"/>
      <c r="K911" s="105"/>
      <c r="L911" s="101"/>
    </row>
    <row r="912" customFormat="false" ht="15.75" hidden="false" customHeight="true" outlineLevel="0" collapsed="false">
      <c r="A912" s="113"/>
      <c r="B912" s="102"/>
      <c r="C912" s="101" t="str">
        <f aca="false">IF($B912="","",IFERROR(VLOOKUP($B912,'Application Portfolio'!$A$2:$B$1000,2,FALSE()),""))</f>
        <v/>
      </c>
      <c r="D912" s="106"/>
      <c r="E912" s="106"/>
      <c r="F912" s="106"/>
      <c r="G912" s="106"/>
      <c r="H912" s="106"/>
      <c r="I912" s="103" t="str">
        <f aca="false">IF(OR($B912="", $D912="", $E912="", $F912="", $G912="", $H912=""),"",ROUND(($D912*Lists!$AD$20)+($E912*Lists!$AD$21)+($F912*Lists!$AD$22)+($G912*Lists!$AD$23)+($H912*Lists!$AD$24),2))</f>
        <v/>
      </c>
      <c r="J912" s="101"/>
      <c r="K912" s="105"/>
      <c r="L912" s="101"/>
    </row>
    <row r="913" customFormat="false" ht="15.75" hidden="false" customHeight="true" outlineLevel="0" collapsed="false">
      <c r="A913" s="113"/>
      <c r="B913" s="102"/>
      <c r="C913" s="101" t="str">
        <f aca="false">IF($B913="","",IFERROR(VLOOKUP($B913,'Application Portfolio'!$A$2:$B$1000,2,FALSE()),""))</f>
        <v/>
      </c>
      <c r="D913" s="106"/>
      <c r="E913" s="106"/>
      <c r="F913" s="106"/>
      <c r="G913" s="106"/>
      <c r="H913" s="106"/>
      <c r="I913" s="103" t="str">
        <f aca="false">IF(OR($B913="", $D913="", $E913="", $F913="", $G913="", $H913=""),"",ROUND(($D913*Lists!$AD$20)+($E913*Lists!$AD$21)+($F913*Lists!$AD$22)+($G913*Lists!$AD$23)+($H913*Lists!$AD$24),2))</f>
        <v/>
      </c>
      <c r="J913" s="101"/>
      <c r="K913" s="105"/>
      <c r="L913" s="101"/>
    </row>
    <row r="914" customFormat="false" ht="15.75" hidden="false" customHeight="true" outlineLevel="0" collapsed="false">
      <c r="A914" s="113"/>
      <c r="B914" s="102"/>
      <c r="C914" s="101" t="str">
        <f aca="false">IF($B914="","",IFERROR(VLOOKUP($B914,'Application Portfolio'!$A$2:$B$1000,2,FALSE()),""))</f>
        <v/>
      </c>
      <c r="D914" s="106"/>
      <c r="E914" s="106"/>
      <c r="F914" s="106"/>
      <c r="G914" s="106"/>
      <c r="H914" s="106"/>
      <c r="I914" s="103" t="str">
        <f aca="false">IF(OR($B914="", $D914="", $E914="", $F914="", $G914="", $H914=""),"",ROUND(($D914*Lists!$AD$20)+($E914*Lists!$AD$21)+($F914*Lists!$AD$22)+($G914*Lists!$AD$23)+($H914*Lists!$AD$24),2))</f>
        <v/>
      </c>
      <c r="J914" s="101"/>
      <c r="K914" s="105"/>
      <c r="L914" s="101"/>
    </row>
    <row r="915" customFormat="false" ht="15.75" hidden="false" customHeight="true" outlineLevel="0" collapsed="false">
      <c r="A915" s="113"/>
      <c r="B915" s="102"/>
      <c r="C915" s="101" t="str">
        <f aca="false">IF($B915="","",IFERROR(VLOOKUP($B915,'Application Portfolio'!$A$2:$B$1000,2,FALSE()),""))</f>
        <v/>
      </c>
      <c r="D915" s="106"/>
      <c r="E915" s="106"/>
      <c r="F915" s="106"/>
      <c r="G915" s="106"/>
      <c r="H915" s="106"/>
      <c r="I915" s="103" t="str">
        <f aca="false">IF(OR($B915="", $D915="", $E915="", $F915="", $G915="", $H915=""),"",ROUND(($D915*Lists!$AD$20)+($E915*Lists!$AD$21)+($F915*Lists!$AD$22)+($G915*Lists!$AD$23)+($H915*Lists!$AD$24),2))</f>
        <v/>
      </c>
      <c r="J915" s="101"/>
      <c r="K915" s="105"/>
      <c r="L915" s="101"/>
    </row>
    <row r="916" customFormat="false" ht="15.75" hidden="false" customHeight="true" outlineLevel="0" collapsed="false">
      <c r="A916" s="113"/>
      <c r="B916" s="102"/>
      <c r="C916" s="101" t="str">
        <f aca="false">IF($B916="","",IFERROR(VLOOKUP($B916,'Application Portfolio'!$A$2:$B$1000,2,FALSE()),""))</f>
        <v/>
      </c>
      <c r="D916" s="106"/>
      <c r="E916" s="106"/>
      <c r="F916" s="106"/>
      <c r="G916" s="106"/>
      <c r="H916" s="106"/>
      <c r="I916" s="103" t="str">
        <f aca="false">IF(OR($B916="", $D916="", $E916="", $F916="", $G916="", $H916=""),"",ROUND(($D916*Lists!$AD$20)+($E916*Lists!$AD$21)+($F916*Lists!$AD$22)+($G916*Lists!$AD$23)+($H916*Lists!$AD$24),2))</f>
        <v/>
      </c>
      <c r="J916" s="101"/>
      <c r="K916" s="105"/>
      <c r="L916" s="101"/>
    </row>
    <row r="917" customFormat="false" ht="15.75" hidden="false" customHeight="true" outlineLevel="0" collapsed="false">
      <c r="A917" s="113"/>
      <c r="B917" s="102"/>
      <c r="C917" s="101" t="str">
        <f aca="false">IF($B917="","",IFERROR(VLOOKUP($B917,'Application Portfolio'!$A$2:$B$1000,2,FALSE()),""))</f>
        <v/>
      </c>
      <c r="D917" s="106"/>
      <c r="E917" s="106"/>
      <c r="F917" s="106"/>
      <c r="G917" s="106"/>
      <c r="H917" s="106"/>
      <c r="I917" s="103" t="str">
        <f aca="false">IF(OR($B917="", $D917="", $E917="", $F917="", $G917="", $H917=""),"",ROUND(($D917*Lists!$AD$20)+($E917*Lists!$AD$21)+($F917*Lists!$AD$22)+($G917*Lists!$AD$23)+($H917*Lists!$AD$24),2))</f>
        <v/>
      </c>
      <c r="J917" s="101"/>
      <c r="K917" s="105"/>
      <c r="L917" s="101"/>
    </row>
    <row r="918" customFormat="false" ht="15.75" hidden="false" customHeight="true" outlineLevel="0" collapsed="false">
      <c r="A918" s="113"/>
      <c r="B918" s="102"/>
      <c r="C918" s="101" t="str">
        <f aca="false">IF($B918="","",IFERROR(VLOOKUP($B918,'Application Portfolio'!$A$2:$B$1000,2,FALSE()),""))</f>
        <v/>
      </c>
      <c r="D918" s="106"/>
      <c r="E918" s="106"/>
      <c r="F918" s="106"/>
      <c r="G918" s="106"/>
      <c r="H918" s="106"/>
      <c r="I918" s="103" t="str">
        <f aca="false">IF(OR($B918="", $D918="", $E918="", $F918="", $G918="", $H918=""),"",ROUND(($D918*Lists!$AD$20)+($E918*Lists!$AD$21)+($F918*Lists!$AD$22)+($G918*Lists!$AD$23)+($H918*Lists!$AD$24),2))</f>
        <v/>
      </c>
      <c r="J918" s="101"/>
      <c r="K918" s="105"/>
      <c r="L918" s="101"/>
    </row>
    <row r="919" customFormat="false" ht="15.75" hidden="false" customHeight="true" outlineLevel="0" collapsed="false">
      <c r="A919" s="113"/>
      <c r="B919" s="102"/>
      <c r="C919" s="101" t="str">
        <f aca="false">IF($B919="","",IFERROR(VLOOKUP($B919,'Application Portfolio'!$A$2:$B$1000,2,FALSE()),""))</f>
        <v/>
      </c>
      <c r="D919" s="106"/>
      <c r="E919" s="106"/>
      <c r="F919" s="106"/>
      <c r="G919" s="106"/>
      <c r="H919" s="106"/>
      <c r="I919" s="103" t="str">
        <f aca="false">IF(OR($B919="", $D919="", $E919="", $F919="", $G919="", $H919=""),"",ROUND(($D919*Lists!$AD$20)+($E919*Lists!$AD$21)+($F919*Lists!$AD$22)+($G919*Lists!$AD$23)+($H919*Lists!$AD$24),2))</f>
        <v/>
      </c>
      <c r="J919" s="101"/>
      <c r="K919" s="105"/>
      <c r="L919" s="101"/>
    </row>
    <row r="920" customFormat="false" ht="15.75" hidden="false" customHeight="true" outlineLevel="0" collapsed="false">
      <c r="A920" s="113"/>
      <c r="B920" s="102"/>
      <c r="C920" s="101" t="str">
        <f aca="false">IF($B920="","",IFERROR(VLOOKUP($B920,'Application Portfolio'!$A$2:$B$1000,2,FALSE()),""))</f>
        <v/>
      </c>
      <c r="D920" s="106"/>
      <c r="E920" s="106"/>
      <c r="F920" s="106"/>
      <c r="G920" s="106"/>
      <c r="H920" s="106"/>
      <c r="I920" s="103" t="str">
        <f aca="false">IF(OR($B920="", $D920="", $E920="", $F920="", $G920="", $H920=""),"",ROUND(($D920*Lists!$AD$20)+($E920*Lists!$AD$21)+($F920*Lists!$AD$22)+($G920*Lists!$AD$23)+($H920*Lists!$AD$24),2))</f>
        <v/>
      </c>
      <c r="J920" s="101"/>
      <c r="K920" s="105"/>
      <c r="L920" s="101"/>
    </row>
    <row r="921" customFormat="false" ht="15.75" hidden="false" customHeight="true" outlineLevel="0" collapsed="false">
      <c r="A921" s="113"/>
      <c r="B921" s="102"/>
      <c r="C921" s="101" t="str">
        <f aca="false">IF($B921="","",IFERROR(VLOOKUP($B921,'Application Portfolio'!$A$2:$B$1000,2,FALSE()),""))</f>
        <v/>
      </c>
      <c r="D921" s="106"/>
      <c r="E921" s="106"/>
      <c r="F921" s="106"/>
      <c r="G921" s="106"/>
      <c r="H921" s="106"/>
      <c r="I921" s="103" t="str">
        <f aca="false">IF(OR($B921="", $D921="", $E921="", $F921="", $G921="", $H921=""),"",ROUND(($D921*Lists!$AD$20)+($E921*Lists!$AD$21)+($F921*Lists!$AD$22)+($G921*Lists!$AD$23)+($H921*Lists!$AD$24),2))</f>
        <v/>
      </c>
      <c r="J921" s="101"/>
      <c r="K921" s="105"/>
      <c r="L921" s="101"/>
    </row>
    <row r="922" customFormat="false" ht="15.75" hidden="false" customHeight="true" outlineLevel="0" collapsed="false">
      <c r="A922" s="113"/>
      <c r="B922" s="102"/>
      <c r="C922" s="101" t="str">
        <f aca="false">IF($B922="","",IFERROR(VLOOKUP($B922,'Application Portfolio'!$A$2:$B$1000,2,FALSE()),""))</f>
        <v/>
      </c>
      <c r="D922" s="106"/>
      <c r="E922" s="106"/>
      <c r="F922" s="106"/>
      <c r="G922" s="106"/>
      <c r="H922" s="106"/>
      <c r="I922" s="103" t="str">
        <f aca="false">IF(OR($B922="", $D922="", $E922="", $F922="", $G922="", $H922=""),"",ROUND(($D922*Lists!$AD$20)+($E922*Lists!$AD$21)+($F922*Lists!$AD$22)+($G922*Lists!$AD$23)+($H922*Lists!$AD$24),2))</f>
        <v/>
      </c>
      <c r="J922" s="101"/>
      <c r="K922" s="105"/>
      <c r="L922" s="101"/>
    </row>
    <row r="923" customFormat="false" ht="15.75" hidden="false" customHeight="true" outlineLevel="0" collapsed="false">
      <c r="A923" s="113"/>
      <c r="B923" s="102"/>
      <c r="C923" s="101" t="str">
        <f aca="false">IF($B923="","",IFERROR(VLOOKUP($B923,'Application Portfolio'!$A$2:$B$1000,2,FALSE()),""))</f>
        <v/>
      </c>
      <c r="D923" s="106"/>
      <c r="E923" s="106"/>
      <c r="F923" s="106"/>
      <c r="G923" s="106"/>
      <c r="H923" s="106"/>
      <c r="I923" s="103" t="str">
        <f aca="false">IF(OR($B923="", $D923="", $E923="", $F923="", $G923="", $H923=""),"",ROUND(($D923*Lists!$AD$20)+($E923*Lists!$AD$21)+($F923*Lists!$AD$22)+($G923*Lists!$AD$23)+($H923*Lists!$AD$24),2))</f>
        <v/>
      </c>
      <c r="J923" s="101"/>
      <c r="K923" s="105"/>
      <c r="L923" s="101"/>
    </row>
    <row r="924" customFormat="false" ht="15.75" hidden="false" customHeight="true" outlineLevel="0" collapsed="false">
      <c r="A924" s="113"/>
      <c r="B924" s="102"/>
      <c r="C924" s="101" t="str">
        <f aca="false">IF($B924="","",IFERROR(VLOOKUP($B924,'Application Portfolio'!$A$2:$B$1000,2,FALSE()),""))</f>
        <v/>
      </c>
      <c r="D924" s="106"/>
      <c r="E924" s="106"/>
      <c r="F924" s="106"/>
      <c r="G924" s="106"/>
      <c r="H924" s="106"/>
      <c r="I924" s="103" t="str">
        <f aca="false">IF(OR($B924="", $D924="", $E924="", $F924="", $G924="", $H924=""),"",ROUND(($D924*Lists!$AD$20)+($E924*Lists!$AD$21)+($F924*Lists!$AD$22)+($G924*Lists!$AD$23)+($H924*Lists!$AD$24),2))</f>
        <v/>
      </c>
      <c r="J924" s="101"/>
      <c r="K924" s="105"/>
      <c r="L924" s="101"/>
    </row>
    <row r="925" customFormat="false" ht="15.75" hidden="false" customHeight="true" outlineLevel="0" collapsed="false">
      <c r="A925" s="113"/>
      <c r="B925" s="102"/>
      <c r="C925" s="101" t="str">
        <f aca="false">IF($B925="","",IFERROR(VLOOKUP($B925,'Application Portfolio'!$A$2:$B$1000,2,FALSE()),""))</f>
        <v/>
      </c>
      <c r="D925" s="106"/>
      <c r="E925" s="106"/>
      <c r="F925" s="106"/>
      <c r="G925" s="106"/>
      <c r="H925" s="106"/>
      <c r="I925" s="103" t="str">
        <f aca="false">IF(OR($B925="", $D925="", $E925="", $F925="", $G925="", $H925=""),"",ROUND(($D925*Lists!$AD$20)+($E925*Lists!$AD$21)+($F925*Lists!$AD$22)+($G925*Lists!$AD$23)+($H925*Lists!$AD$24),2))</f>
        <v/>
      </c>
      <c r="J925" s="101"/>
      <c r="K925" s="105"/>
      <c r="L925" s="101"/>
    </row>
    <row r="926" customFormat="false" ht="15.75" hidden="false" customHeight="true" outlineLevel="0" collapsed="false">
      <c r="A926" s="113"/>
      <c r="B926" s="102"/>
      <c r="C926" s="101" t="str">
        <f aca="false">IF($B926="","",IFERROR(VLOOKUP($B926,'Application Portfolio'!$A$2:$B$1000,2,FALSE()),""))</f>
        <v/>
      </c>
      <c r="D926" s="106"/>
      <c r="E926" s="106"/>
      <c r="F926" s="106"/>
      <c r="G926" s="106"/>
      <c r="H926" s="106"/>
      <c r="I926" s="103" t="str">
        <f aca="false">IF(OR($B926="", $D926="", $E926="", $F926="", $G926="", $H926=""),"",ROUND(($D926*Lists!$AD$20)+($E926*Lists!$AD$21)+($F926*Lists!$AD$22)+($G926*Lists!$AD$23)+($H926*Lists!$AD$24),2))</f>
        <v/>
      </c>
      <c r="J926" s="101"/>
      <c r="K926" s="105"/>
      <c r="L926" s="101"/>
    </row>
    <row r="927" customFormat="false" ht="15.75" hidden="false" customHeight="true" outlineLevel="0" collapsed="false">
      <c r="A927" s="113"/>
      <c r="B927" s="102"/>
      <c r="C927" s="101" t="str">
        <f aca="false">IF($B927="","",IFERROR(VLOOKUP($B927,'Application Portfolio'!$A$2:$B$1000,2,FALSE()),""))</f>
        <v/>
      </c>
      <c r="D927" s="106"/>
      <c r="E927" s="106"/>
      <c r="F927" s="106"/>
      <c r="G927" s="106"/>
      <c r="H927" s="106"/>
      <c r="I927" s="103" t="str">
        <f aca="false">IF(OR($B927="", $D927="", $E927="", $F927="", $G927="", $H927=""),"",ROUND(($D927*Lists!$AD$20)+($E927*Lists!$AD$21)+($F927*Lists!$AD$22)+($G927*Lists!$AD$23)+($H927*Lists!$AD$24),2))</f>
        <v/>
      </c>
      <c r="J927" s="101"/>
      <c r="K927" s="105"/>
      <c r="L927" s="101"/>
    </row>
    <row r="928" customFormat="false" ht="15.75" hidden="false" customHeight="true" outlineLevel="0" collapsed="false">
      <c r="A928" s="113"/>
      <c r="B928" s="102"/>
      <c r="C928" s="101" t="str">
        <f aca="false">IF($B928="","",IFERROR(VLOOKUP($B928,'Application Portfolio'!$A$2:$B$1000,2,FALSE()),""))</f>
        <v/>
      </c>
      <c r="D928" s="106"/>
      <c r="E928" s="106"/>
      <c r="F928" s="106"/>
      <c r="G928" s="106"/>
      <c r="H928" s="106"/>
      <c r="I928" s="103" t="str">
        <f aca="false">IF(OR($B928="", $D928="", $E928="", $F928="", $G928="", $H928=""),"",ROUND(($D928*Lists!$AD$20)+($E928*Lists!$AD$21)+($F928*Lists!$AD$22)+($G928*Lists!$AD$23)+($H928*Lists!$AD$24),2))</f>
        <v/>
      </c>
      <c r="J928" s="101"/>
      <c r="K928" s="105"/>
      <c r="L928" s="101"/>
    </row>
    <row r="929" customFormat="false" ht="15.75" hidden="false" customHeight="true" outlineLevel="0" collapsed="false">
      <c r="A929" s="113"/>
      <c r="B929" s="102"/>
      <c r="C929" s="101" t="str">
        <f aca="false">IF($B929="","",IFERROR(VLOOKUP($B929,'Application Portfolio'!$A$2:$B$1000,2,FALSE()),""))</f>
        <v/>
      </c>
      <c r="D929" s="106"/>
      <c r="E929" s="106"/>
      <c r="F929" s="106"/>
      <c r="G929" s="106"/>
      <c r="H929" s="106"/>
      <c r="I929" s="103" t="str">
        <f aca="false">IF(OR($B929="", $D929="", $E929="", $F929="", $G929="", $H929=""),"",ROUND(($D929*Lists!$AD$20)+($E929*Lists!$AD$21)+($F929*Lists!$AD$22)+($G929*Lists!$AD$23)+($H929*Lists!$AD$24),2))</f>
        <v/>
      </c>
      <c r="J929" s="101"/>
      <c r="K929" s="105"/>
      <c r="L929" s="101"/>
    </row>
    <row r="930" customFormat="false" ht="15.75" hidden="false" customHeight="true" outlineLevel="0" collapsed="false">
      <c r="A930" s="113"/>
      <c r="B930" s="102"/>
      <c r="C930" s="101" t="str">
        <f aca="false">IF($B930="","",IFERROR(VLOOKUP($B930,'Application Portfolio'!$A$2:$B$1000,2,FALSE()),""))</f>
        <v/>
      </c>
      <c r="D930" s="106"/>
      <c r="E930" s="106"/>
      <c r="F930" s="106"/>
      <c r="G930" s="106"/>
      <c r="H930" s="106"/>
      <c r="I930" s="103" t="str">
        <f aca="false">IF(OR($B930="", $D930="", $E930="", $F930="", $G930="", $H930=""),"",ROUND(($D930*Lists!$AD$20)+($E930*Lists!$AD$21)+($F930*Lists!$AD$22)+($G930*Lists!$AD$23)+($H930*Lists!$AD$24),2))</f>
        <v/>
      </c>
      <c r="J930" s="101"/>
      <c r="K930" s="105"/>
      <c r="L930" s="101"/>
    </row>
    <row r="931" customFormat="false" ht="15.75" hidden="false" customHeight="true" outlineLevel="0" collapsed="false">
      <c r="A931" s="113"/>
      <c r="B931" s="102"/>
      <c r="C931" s="101" t="str">
        <f aca="false">IF($B931="","",IFERROR(VLOOKUP($B931,'Application Portfolio'!$A$2:$B$1000,2,FALSE()),""))</f>
        <v/>
      </c>
      <c r="D931" s="106"/>
      <c r="E931" s="106"/>
      <c r="F931" s="106"/>
      <c r="G931" s="106"/>
      <c r="H931" s="106"/>
      <c r="I931" s="103" t="str">
        <f aca="false">IF(OR($B931="", $D931="", $E931="", $F931="", $G931="", $H931=""),"",ROUND(($D931*Lists!$AD$20)+($E931*Lists!$AD$21)+($F931*Lists!$AD$22)+($G931*Lists!$AD$23)+($H931*Lists!$AD$24),2))</f>
        <v/>
      </c>
      <c r="J931" s="101"/>
      <c r="K931" s="105"/>
      <c r="L931" s="101"/>
    </row>
    <row r="932" customFormat="false" ht="15.75" hidden="false" customHeight="true" outlineLevel="0" collapsed="false">
      <c r="A932" s="113"/>
      <c r="B932" s="102"/>
      <c r="C932" s="101" t="str">
        <f aca="false">IF($B932="","",IFERROR(VLOOKUP($B932,'Application Portfolio'!$A$2:$B$1000,2,FALSE()),""))</f>
        <v/>
      </c>
      <c r="D932" s="106"/>
      <c r="E932" s="106"/>
      <c r="F932" s="106"/>
      <c r="G932" s="106"/>
      <c r="H932" s="106"/>
      <c r="I932" s="103" t="str">
        <f aca="false">IF(OR($B932="", $D932="", $E932="", $F932="", $G932="", $H932=""),"",ROUND(($D932*Lists!$AD$20)+($E932*Lists!$AD$21)+($F932*Lists!$AD$22)+($G932*Lists!$AD$23)+($H932*Lists!$AD$24),2))</f>
        <v/>
      </c>
      <c r="J932" s="101"/>
      <c r="K932" s="105"/>
      <c r="L932" s="101"/>
    </row>
    <row r="933" customFormat="false" ht="15.75" hidden="false" customHeight="true" outlineLevel="0" collapsed="false">
      <c r="A933" s="113"/>
      <c r="B933" s="102"/>
      <c r="C933" s="101" t="str">
        <f aca="false">IF($B933="","",IFERROR(VLOOKUP($B933,'Application Portfolio'!$A$2:$B$1000,2,FALSE()),""))</f>
        <v/>
      </c>
      <c r="D933" s="106"/>
      <c r="E933" s="106"/>
      <c r="F933" s="106"/>
      <c r="G933" s="106"/>
      <c r="H933" s="106"/>
      <c r="I933" s="103" t="str">
        <f aca="false">IF(OR($B933="", $D933="", $E933="", $F933="", $G933="", $H933=""),"",ROUND(($D933*Lists!$AD$20)+($E933*Lists!$AD$21)+($F933*Lists!$AD$22)+($G933*Lists!$AD$23)+($H933*Lists!$AD$24),2))</f>
        <v/>
      </c>
      <c r="J933" s="101"/>
      <c r="K933" s="105"/>
      <c r="L933" s="101"/>
    </row>
    <row r="934" customFormat="false" ht="15.75" hidden="false" customHeight="true" outlineLevel="0" collapsed="false">
      <c r="A934" s="113"/>
      <c r="B934" s="102"/>
      <c r="C934" s="101" t="str">
        <f aca="false">IF($B934="","",IFERROR(VLOOKUP($B934,'Application Portfolio'!$A$2:$B$1000,2,FALSE()),""))</f>
        <v/>
      </c>
      <c r="D934" s="106"/>
      <c r="E934" s="106"/>
      <c r="F934" s="106"/>
      <c r="G934" s="106"/>
      <c r="H934" s="106"/>
      <c r="I934" s="103" t="str">
        <f aca="false">IF(OR($B934="", $D934="", $E934="", $F934="", $G934="", $H934=""),"",ROUND(($D934*Lists!$AD$20)+($E934*Lists!$AD$21)+($F934*Lists!$AD$22)+($G934*Lists!$AD$23)+($H934*Lists!$AD$24),2))</f>
        <v/>
      </c>
      <c r="J934" s="101"/>
      <c r="K934" s="105"/>
      <c r="L934" s="101"/>
    </row>
    <row r="935" customFormat="false" ht="15.75" hidden="false" customHeight="true" outlineLevel="0" collapsed="false">
      <c r="A935" s="113"/>
      <c r="B935" s="102"/>
      <c r="C935" s="101" t="str">
        <f aca="false">IF($B935="","",IFERROR(VLOOKUP($B935,'Application Portfolio'!$A$2:$B$1000,2,FALSE()),""))</f>
        <v/>
      </c>
      <c r="D935" s="106"/>
      <c r="E935" s="106"/>
      <c r="F935" s="106"/>
      <c r="G935" s="106"/>
      <c r="H935" s="106"/>
      <c r="I935" s="103" t="str">
        <f aca="false">IF(OR($B935="", $D935="", $E935="", $F935="", $G935="", $H935=""),"",ROUND(($D935*Lists!$AD$20)+($E935*Lists!$AD$21)+($F935*Lists!$AD$22)+($G935*Lists!$AD$23)+($H935*Lists!$AD$24),2))</f>
        <v/>
      </c>
      <c r="J935" s="101"/>
      <c r="K935" s="105"/>
      <c r="L935" s="101"/>
    </row>
    <row r="936" customFormat="false" ht="15.75" hidden="false" customHeight="true" outlineLevel="0" collapsed="false">
      <c r="A936" s="113"/>
      <c r="B936" s="102"/>
      <c r="C936" s="101" t="str">
        <f aca="false">IF($B936="","",IFERROR(VLOOKUP($B936,'Application Portfolio'!$A$2:$B$1000,2,FALSE()),""))</f>
        <v/>
      </c>
      <c r="D936" s="106"/>
      <c r="E936" s="106"/>
      <c r="F936" s="106"/>
      <c r="G936" s="106"/>
      <c r="H936" s="106"/>
      <c r="I936" s="103" t="str">
        <f aca="false">IF(OR($B936="", $D936="", $E936="", $F936="", $G936="", $H936=""),"",ROUND(($D936*Lists!$AD$20)+($E936*Lists!$AD$21)+($F936*Lists!$AD$22)+($G936*Lists!$AD$23)+($H936*Lists!$AD$24),2))</f>
        <v/>
      </c>
      <c r="J936" s="101"/>
      <c r="K936" s="105"/>
      <c r="L936" s="101"/>
    </row>
    <row r="937" customFormat="false" ht="15.75" hidden="false" customHeight="true" outlineLevel="0" collapsed="false">
      <c r="A937" s="113"/>
      <c r="B937" s="102"/>
      <c r="C937" s="101" t="str">
        <f aca="false">IF($B937="","",IFERROR(VLOOKUP($B937,'Application Portfolio'!$A$2:$B$1000,2,FALSE()),""))</f>
        <v/>
      </c>
      <c r="D937" s="106"/>
      <c r="E937" s="106"/>
      <c r="F937" s="106"/>
      <c r="G937" s="106"/>
      <c r="H937" s="106"/>
      <c r="I937" s="103" t="str">
        <f aca="false">IF(OR($B937="", $D937="", $E937="", $F937="", $G937="", $H937=""),"",ROUND(($D937*Lists!$AD$20)+($E937*Lists!$AD$21)+($F937*Lists!$AD$22)+($G937*Lists!$AD$23)+($H937*Lists!$AD$24),2))</f>
        <v/>
      </c>
      <c r="J937" s="101"/>
      <c r="K937" s="105"/>
      <c r="L937" s="101"/>
    </row>
    <row r="938" customFormat="false" ht="15.75" hidden="false" customHeight="true" outlineLevel="0" collapsed="false">
      <c r="A938" s="113"/>
      <c r="B938" s="102"/>
      <c r="C938" s="101" t="str">
        <f aca="false">IF($B938="","",IFERROR(VLOOKUP($B938,'Application Portfolio'!$A$2:$B$1000,2,FALSE()),""))</f>
        <v/>
      </c>
      <c r="D938" s="106"/>
      <c r="E938" s="106"/>
      <c r="F938" s="106"/>
      <c r="G938" s="106"/>
      <c r="H938" s="106"/>
      <c r="I938" s="103" t="str">
        <f aca="false">IF(OR($B938="", $D938="", $E938="", $F938="", $G938="", $H938=""),"",ROUND(($D938*Lists!$AD$20)+($E938*Lists!$AD$21)+($F938*Lists!$AD$22)+($G938*Lists!$AD$23)+($H938*Lists!$AD$24),2))</f>
        <v/>
      </c>
      <c r="J938" s="101"/>
      <c r="K938" s="105"/>
      <c r="L938" s="101"/>
    </row>
    <row r="939" customFormat="false" ht="15.75" hidden="false" customHeight="true" outlineLevel="0" collapsed="false">
      <c r="A939" s="113"/>
      <c r="B939" s="102"/>
      <c r="C939" s="101" t="str">
        <f aca="false">IF($B939="","",IFERROR(VLOOKUP($B939,'Application Portfolio'!$A$2:$B$1000,2,FALSE()),""))</f>
        <v/>
      </c>
      <c r="D939" s="106"/>
      <c r="E939" s="106"/>
      <c r="F939" s="106"/>
      <c r="G939" s="106"/>
      <c r="H939" s="106"/>
      <c r="I939" s="103" t="str">
        <f aca="false">IF(OR($B939="", $D939="", $E939="", $F939="", $G939="", $H939=""),"",ROUND(($D939*Lists!$AD$20)+($E939*Lists!$AD$21)+($F939*Lists!$AD$22)+($G939*Lists!$AD$23)+($H939*Lists!$AD$24),2))</f>
        <v/>
      </c>
      <c r="J939" s="101"/>
      <c r="K939" s="105"/>
      <c r="L939" s="101"/>
    </row>
    <row r="940" customFormat="false" ht="15.75" hidden="false" customHeight="true" outlineLevel="0" collapsed="false">
      <c r="A940" s="113"/>
      <c r="B940" s="102"/>
      <c r="C940" s="101" t="str">
        <f aca="false">IF($B940="","",IFERROR(VLOOKUP($B940,'Application Portfolio'!$A$2:$B$1000,2,FALSE()),""))</f>
        <v/>
      </c>
      <c r="D940" s="106"/>
      <c r="E940" s="106"/>
      <c r="F940" s="106"/>
      <c r="G940" s="106"/>
      <c r="H940" s="106"/>
      <c r="I940" s="103" t="str">
        <f aca="false">IF(OR($B940="", $D940="", $E940="", $F940="", $G940="", $H940=""),"",ROUND(($D940*Lists!$AD$20)+($E940*Lists!$AD$21)+($F940*Lists!$AD$22)+($G940*Lists!$AD$23)+($H940*Lists!$AD$24),2))</f>
        <v/>
      </c>
      <c r="J940" s="101"/>
      <c r="K940" s="105"/>
      <c r="L940" s="101"/>
    </row>
    <row r="941" customFormat="false" ht="15.75" hidden="false" customHeight="true" outlineLevel="0" collapsed="false">
      <c r="A941" s="113"/>
      <c r="B941" s="102"/>
      <c r="C941" s="101" t="str">
        <f aca="false">IF($B941="","",IFERROR(VLOOKUP($B941,'Application Portfolio'!$A$2:$B$1000,2,FALSE()),""))</f>
        <v/>
      </c>
      <c r="D941" s="106"/>
      <c r="E941" s="106"/>
      <c r="F941" s="106"/>
      <c r="G941" s="106"/>
      <c r="H941" s="106"/>
      <c r="I941" s="103" t="str">
        <f aca="false">IF(OR($B941="", $D941="", $E941="", $F941="", $G941="", $H941=""),"",ROUND(($D941*Lists!$AD$20)+($E941*Lists!$AD$21)+($F941*Lists!$AD$22)+($G941*Lists!$AD$23)+($H941*Lists!$AD$24),2))</f>
        <v/>
      </c>
      <c r="J941" s="101"/>
      <c r="K941" s="105"/>
      <c r="L941" s="101"/>
    </row>
    <row r="942" customFormat="false" ht="15.75" hidden="false" customHeight="true" outlineLevel="0" collapsed="false">
      <c r="A942" s="113"/>
      <c r="B942" s="102"/>
      <c r="C942" s="101" t="str">
        <f aca="false">IF($B942="","",IFERROR(VLOOKUP($B942,'Application Portfolio'!$A$2:$B$1000,2,FALSE()),""))</f>
        <v/>
      </c>
      <c r="D942" s="106"/>
      <c r="E942" s="106"/>
      <c r="F942" s="106"/>
      <c r="G942" s="106"/>
      <c r="H942" s="106"/>
      <c r="I942" s="103" t="str">
        <f aca="false">IF(OR($B942="", $D942="", $E942="", $F942="", $G942="", $H942=""),"",ROUND(($D942*Lists!$AD$20)+($E942*Lists!$AD$21)+($F942*Lists!$AD$22)+($G942*Lists!$AD$23)+($H942*Lists!$AD$24),2))</f>
        <v/>
      </c>
      <c r="J942" s="101"/>
      <c r="K942" s="105"/>
      <c r="L942" s="101"/>
    </row>
    <row r="943" customFormat="false" ht="15.75" hidden="false" customHeight="true" outlineLevel="0" collapsed="false">
      <c r="A943" s="113"/>
      <c r="B943" s="102"/>
      <c r="C943" s="101" t="str">
        <f aca="false">IF($B943="","",IFERROR(VLOOKUP($B943,'Application Portfolio'!$A$2:$B$1000,2,FALSE()),""))</f>
        <v/>
      </c>
      <c r="D943" s="106"/>
      <c r="E943" s="106"/>
      <c r="F943" s="106"/>
      <c r="G943" s="106"/>
      <c r="H943" s="106"/>
      <c r="I943" s="103" t="str">
        <f aca="false">IF(OR($B943="", $D943="", $E943="", $F943="", $G943="", $H943=""),"",ROUND(($D943*Lists!$AD$20)+($E943*Lists!$AD$21)+($F943*Lists!$AD$22)+($G943*Lists!$AD$23)+($H943*Lists!$AD$24),2))</f>
        <v/>
      </c>
      <c r="J943" s="101"/>
      <c r="K943" s="105"/>
      <c r="L943" s="101"/>
    </row>
    <row r="944" customFormat="false" ht="15.75" hidden="false" customHeight="true" outlineLevel="0" collapsed="false">
      <c r="A944" s="113"/>
      <c r="B944" s="102"/>
      <c r="C944" s="101" t="str">
        <f aca="false">IF($B944="","",IFERROR(VLOOKUP($B944,'Application Portfolio'!$A$2:$B$1000,2,FALSE()),""))</f>
        <v/>
      </c>
      <c r="D944" s="106"/>
      <c r="E944" s="106"/>
      <c r="F944" s="106"/>
      <c r="G944" s="106"/>
      <c r="H944" s="106"/>
      <c r="I944" s="103" t="str">
        <f aca="false">IF(OR($B944="", $D944="", $E944="", $F944="", $G944="", $H944=""),"",ROUND(($D944*Lists!$AD$20)+($E944*Lists!$AD$21)+($F944*Lists!$AD$22)+($G944*Lists!$AD$23)+($H944*Lists!$AD$24),2))</f>
        <v/>
      </c>
      <c r="J944" s="101"/>
      <c r="K944" s="105"/>
      <c r="L944" s="101"/>
    </row>
    <row r="945" customFormat="false" ht="15.75" hidden="false" customHeight="true" outlineLevel="0" collapsed="false">
      <c r="A945" s="113"/>
      <c r="B945" s="102"/>
      <c r="C945" s="101" t="str">
        <f aca="false">IF($B945="","",IFERROR(VLOOKUP($B945,'Application Portfolio'!$A$2:$B$1000,2,FALSE()),""))</f>
        <v/>
      </c>
      <c r="D945" s="106"/>
      <c r="E945" s="106"/>
      <c r="F945" s="106"/>
      <c r="G945" s="106"/>
      <c r="H945" s="106"/>
      <c r="I945" s="103" t="str">
        <f aca="false">IF(OR($B945="", $D945="", $E945="", $F945="", $G945="", $H945=""),"",ROUND(($D945*Lists!$AD$20)+($E945*Lists!$AD$21)+($F945*Lists!$AD$22)+($G945*Lists!$AD$23)+($H945*Lists!$AD$24),2))</f>
        <v/>
      </c>
      <c r="J945" s="101"/>
      <c r="K945" s="105"/>
      <c r="L945" s="101"/>
    </row>
    <row r="946" customFormat="false" ht="15.75" hidden="false" customHeight="true" outlineLevel="0" collapsed="false">
      <c r="A946" s="113"/>
      <c r="B946" s="102"/>
      <c r="C946" s="101" t="str">
        <f aca="false">IF($B946="","",IFERROR(VLOOKUP($B946,'Application Portfolio'!$A$2:$B$1000,2,FALSE()),""))</f>
        <v/>
      </c>
      <c r="D946" s="106"/>
      <c r="E946" s="106"/>
      <c r="F946" s="106"/>
      <c r="G946" s="106"/>
      <c r="H946" s="106"/>
      <c r="I946" s="103" t="str">
        <f aca="false">IF(OR($B946="", $D946="", $E946="", $F946="", $G946="", $H946=""),"",ROUND(($D946*Lists!$AD$20)+($E946*Lists!$AD$21)+($F946*Lists!$AD$22)+($G946*Lists!$AD$23)+($H946*Lists!$AD$24),2))</f>
        <v/>
      </c>
      <c r="J946" s="101"/>
      <c r="K946" s="105"/>
      <c r="L946" s="101"/>
    </row>
    <row r="947" customFormat="false" ht="15.75" hidden="false" customHeight="true" outlineLevel="0" collapsed="false">
      <c r="A947" s="113"/>
      <c r="B947" s="102"/>
      <c r="C947" s="101" t="str">
        <f aca="false">IF($B947="","",IFERROR(VLOOKUP($B947,'Application Portfolio'!$A$2:$B$1000,2,FALSE()),""))</f>
        <v/>
      </c>
      <c r="D947" s="106"/>
      <c r="E947" s="106"/>
      <c r="F947" s="106"/>
      <c r="G947" s="106"/>
      <c r="H947" s="106"/>
      <c r="I947" s="103" t="str">
        <f aca="false">IF(OR($B947="", $D947="", $E947="", $F947="", $G947="", $H947=""),"",ROUND(($D947*Lists!$AD$20)+($E947*Lists!$AD$21)+($F947*Lists!$AD$22)+($G947*Lists!$AD$23)+($H947*Lists!$AD$24),2))</f>
        <v/>
      </c>
      <c r="J947" s="101"/>
      <c r="K947" s="105"/>
      <c r="L947" s="101"/>
    </row>
    <row r="948" customFormat="false" ht="15.75" hidden="false" customHeight="true" outlineLevel="0" collapsed="false">
      <c r="A948" s="113"/>
      <c r="B948" s="102"/>
      <c r="C948" s="101" t="str">
        <f aca="false">IF($B948="","",IFERROR(VLOOKUP($B948,'Application Portfolio'!$A$2:$B$1000,2,FALSE()),""))</f>
        <v/>
      </c>
      <c r="D948" s="106"/>
      <c r="E948" s="106"/>
      <c r="F948" s="106"/>
      <c r="G948" s="106"/>
      <c r="H948" s="106"/>
      <c r="I948" s="103" t="str">
        <f aca="false">IF(OR($B948="", $D948="", $E948="", $F948="", $G948="", $H948=""),"",ROUND(($D948*Lists!$AD$20)+($E948*Lists!$AD$21)+($F948*Lists!$AD$22)+($G948*Lists!$AD$23)+($H948*Lists!$AD$24),2))</f>
        <v/>
      </c>
      <c r="J948" s="101"/>
      <c r="K948" s="105"/>
      <c r="L948" s="101"/>
    </row>
    <row r="949" customFormat="false" ht="15.75" hidden="false" customHeight="true" outlineLevel="0" collapsed="false">
      <c r="A949" s="113"/>
      <c r="B949" s="102"/>
      <c r="C949" s="101" t="str">
        <f aca="false">IF($B949="","",IFERROR(VLOOKUP($B949,'Application Portfolio'!$A$2:$B$1000,2,FALSE()),""))</f>
        <v/>
      </c>
      <c r="D949" s="106"/>
      <c r="E949" s="106"/>
      <c r="F949" s="106"/>
      <c r="G949" s="106"/>
      <c r="H949" s="106"/>
      <c r="I949" s="103" t="str">
        <f aca="false">IF(OR($B949="", $D949="", $E949="", $F949="", $G949="", $H949=""),"",ROUND(($D949*Lists!$AD$20)+($E949*Lists!$AD$21)+($F949*Lists!$AD$22)+($G949*Lists!$AD$23)+($H949*Lists!$AD$24),2))</f>
        <v/>
      </c>
      <c r="J949" s="101"/>
      <c r="K949" s="105"/>
      <c r="L949" s="101"/>
    </row>
    <row r="950" customFormat="false" ht="15.75" hidden="false" customHeight="true" outlineLevel="0" collapsed="false">
      <c r="A950" s="113"/>
      <c r="B950" s="102"/>
      <c r="C950" s="101" t="str">
        <f aca="false">IF($B950="","",IFERROR(VLOOKUP($B950,'Application Portfolio'!$A$2:$B$1000,2,FALSE()),""))</f>
        <v/>
      </c>
      <c r="D950" s="106"/>
      <c r="E950" s="106"/>
      <c r="F950" s="106"/>
      <c r="G950" s="106"/>
      <c r="H950" s="106"/>
      <c r="I950" s="103" t="str">
        <f aca="false">IF(OR($B950="", $D950="", $E950="", $F950="", $G950="", $H950=""),"",ROUND(($D950*Lists!$AD$20)+($E950*Lists!$AD$21)+($F950*Lists!$AD$22)+($G950*Lists!$AD$23)+($H950*Lists!$AD$24),2))</f>
        <v/>
      </c>
      <c r="J950" s="101"/>
      <c r="K950" s="105"/>
      <c r="L950" s="101"/>
    </row>
    <row r="951" customFormat="false" ht="15.75" hidden="false" customHeight="true" outlineLevel="0" collapsed="false">
      <c r="A951" s="113"/>
      <c r="B951" s="102"/>
      <c r="C951" s="101" t="str">
        <f aca="false">IF($B951="","",IFERROR(VLOOKUP($B951,'Application Portfolio'!$A$2:$B$1000,2,FALSE()),""))</f>
        <v/>
      </c>
      <c r="D951" s="106"/>
      <c r="E951" s="106"/>
      <c r="F951" s="106"/>
      <c r="G951" s="106"/>
      <c r="H951" s="106"/>
      <c r="I951" s="103" t="str">
        <f aca="false">IF(OR($B951="", $D951="", $E951="", $F951="", $G951="", $H951=""),"",ROUND(($D951*Lists!$AD$20)+($E951*Lists!$AD$21)+($F951*Lists!$AD$22)+($G951*Lists!$AD$23)+($H951*Lists!$AD$24),2))</f>
        <v/>
      </c>
      <c r="J951" s="101"/>
      <c r="K951" s="105"/>
      <c r="L951" s="101"/>
    </row>
    <row r="952" customFormat="false" ht="15.75" hidden="false" customHeight="true" outlineLevel="0" collapsed="false">
      <c r="A952" s="113"/>
      <c r="B952" s="102"/>
      <c r="C952" s="101" t="str">
        <f aca="false">IF($B952="","",IFERROR(VLOOKUP($B952,'Application Portfolio'!$A$2:$B$1000,2,FALSE()),""))</f>
        <v/>
      </c>
      <c r="D952" s="106"/>
      <c r="E952" s="106"/>
      <c r="F952" s="106"/>
      <c r="G952" s="106"/>
      <c r="H952" s="106"/>
      <c r="I952" s="103" t="str">
        <f aca="false">IF(OR($B952="", $D952="", $E952="", $F952="", $G952="", $H952=""),"",ROUND(($D952*Lists!$AD$20)+($E952*Lists!$AD$21)+($F952*Lists!$AD$22)+($G952*Lists!$AD$23)+($H952*Lists!$AD$24),2))</f>
        <v/>
      </c>
      <c r="J952" s="101"/>
      <c r="K952" s="105"/>
      <c r="L952" s="101"/>
    </row>
    <row r="953" customFormat="false" ht="15.75" hidden="false" customHeight="true" outlineLevel="0" collapsed="false">
      <c r="A953" s="113"/>
      <c r="B953" s="102"/>
      <c r="C953" s="101" t="str">
        <f aca="false">IF($B953="","",IFERROR(VLOOKUP($B953,'Application Portfolio'!$A$2:$B$1000,2,FALSE()),""))</f>
        <v/>
      </c>
      <c r="D953" s="106"/>
      <c r="E953" s="106"/>
      <c r="F953" s="106"/>
      <c r="G953" s="106"/>
      <c r="H953" s="106"/>
      <c r="I953" s="103" t="str">
        <f aca="false">IF(OR($B953="", $D953="", $E953="", $F953="", $G953="", $H953=""),"",ROUND(($D953*Lists!$AD$20)+($E953*Lists!$AD$21)+($F953*Lists!$AD$22)+($G953*Lists!$AD$23)+($H953*Lists!$AD$24),2))</f>
        <v/>
      </c>
      <c r="J953" s="101"/>
      <c r="K953" s="105"/>
      <c r="L953" s="101"/>
    </row>
    <row r="954" customFormat="false" ht="15.75" hidden="false" customHeight="true" outlineLevel="0" collapsed="false">
      <c r="A954" s="113"/>
      <c r="B954" s="102"/>
      <c r="C954" s="101" t="str">
        <f aca="false">IF($B954="","",IFERROR(VLOOKUP($B954,'Application Portfolio'!$A$2:$B$1000,2,FALSE()),""))</f>
        <v/>
      </c>
      <c r="D954" s="106"/>
      <c r="E954" s="106"/>
      <c r="F954" s="106"/>
      <c r="G954" s="106"/>
      <c r="H954" s="106"/>
      <c r="I954" s="103" t="str">
        <f aca="false">IF(OR($B954="", $D954="", $E954="", $F954="", $G954="", $H954=""),"",ROUND(($D954*Lists!$AD$20)+($E954*Lists!$AD$21)+($F954*Lists!$AD$22)+($G954*Lists!$AD$23)+($H954*Lists!$AD$24),2))</f>
        <v/>
      </c>
      <c r="J954" s="101"/>
      <c r="K954" s="105"/>
      <c r="L954" s="101"/>
    </row>
    <row r="955" customFormat="false" ht="15.75" hidden="false" customHeight="true" outlineLevel="0" collapsed="false">
      <c r="A955" s="113"/>
      <c r="B955" s="102"/>
      <c r="C955" s="101" t="str">
        <f aca="false">IF($B955="","",IFERROR(VLOOKUP($B955,'Application Portfolio'!$A$2:$B$1000,2,FALSE()),""))</f>
        <v/>
      </c>
      <c r="D955" s="106"/>
      <c r="E955" s="106"/>
      <c r="F955" s="106"/>
      <c r="G955" s="106"/>
      <c r="H955" s="106"/>
      <c r="I955" s="103" t="str">
        <f aca="false">IF(OR($B955="", $D955="", $E955="", $F955="", $G955="", $H955=""),"",ROUND(($D955*Lists!$AD$20)+($E955*Lists!$AD$21)+($F955*Lists!$AD$22)+($G955*Lists!$AD$23)+($H955*Lists!$AD$24),2))</f>
        <v/>
      </c>
      <c r="J955" s="101"/>
      <c r="K955" s="105"/>
      <c r="L955" s="101"/>
    </row>
    <row r="956" customFormat="false" ht="15.75" hidden="false" customHeight="true" outlineLevel="0" collapsed="false">
      <c r="A956" s="113"/>
      <c r="B956" s="102"/>
      <c r="C956" s="101" t="str">
        <f aca="false">IF($B956="","",IFERROR(VLOOKUP($B956,'Application Portfolio'!$A$2:$B$1000,2,FALSE()),""))</f>
        <v/>
      </c>
      <c r="D956" s="106"/>
      <c r="E956" s="106"/>
      <c r="F956" s="106"/>
      <c r="G956" s="106"/>
      <c r="H956" s="106"/>
      <c r="I956" s="103" t="str">
        <f aca="false">IF(OR($B956="", $D956="", $E956="", $F956="", $G956="", $H956=""),"",ROUND(($D956*Lists!$AD$20)+($E956*Lists!$AD$21)+($F956*Lists!$AD$22)+($G956*Lists!$AD$23)+($H956*Lists!$AD$24),2))</f>
        <v/>
      </c>
      <c r="J956" s="101"/>
      <c r="K956" s="105"/>
      <c r="L956" s="101"/>
    </row>
    <row r="957" customFormat="false" ht="15.75" hidden="false" customHeight="true" outlineLevel="0" collapsed="false">
      <c r="A957" s="113"/>
      <c r="B957" s="102"/>
      <c r="C957" s="101" t="str">
        <f aca="false">IF($B957="","",IFERROR(VLOOKUP($B957,'Application Portfolio'!$A$2:$B$1000,2,FALSE()),""))</f>
        <v/>
      </c>
      <c r="D957" s="106"/>
      <c r="E957" s="106"/>
      <c r="F957" s="106"/>
      <c r="G957" s="106"/>
      <c r="H957" s="106"/>
      <c r="I957" s="103" t="str">
        <f aca="false">IF(OR($B957="", $D957="", $E957="", $F957="", $G957="", $H957=""),"",ROUND(($D957*Lists!$AD$20)+($E957*Lists!$AD$21)+($F957*Lists!$AD$22)+($G957*Lists!$AD$23)+($H957*Lists!$AD$24),2))</f>
        <v/>
      </c>
      <c r="J957" s="101"/>
      <c r="K957" s="105"/>
      <c r="L957" s="101"/>
    </row>
    <row r="958" customFormat="false" ht="15.75" hidden="false" customHeight="true" outlineLevel="0" collapsed="false">
      <c r="A958" s="113"/>
      <c r="B958" s="102"/>
      <c r="C958" s="101" t="str">
        <f aca="false">IF($B958="","",IFERROR(VLOOKUP($B958,'Application Portfolio'!$A$2:$B$1000,2,FALSE()),""))</f>
        <v/>
      </c>
      <c r="D958" s="106"/>
      <c r="E958" s="106"/>
      <c r="F958" s="106"/>
      <c r="G958" s="106"/>
      <c r="H958" s="106"/>
      <c r="I958" s="103" t="str">
        <f aca="false">IF(OR($B958="", $D958="", $E958="", $F958="", $G958="", $H958=""),"",ROUND(($D958*Lists!$AD$20)+($E958*Lists!$AD$21)+($F958*Lists!$AD$22)+($G958*Lists!$AD$23)+($H958*Lists!$AD$24),2))</f>
        <v/>
      </c>
      <c r="J958" s="101"/>
      <c r="K958" s="105"/>
      <c r="L958" s="101"/>
    </row>
    <row r="959" customFormat="false" ht="15.75" hidden="false" customHeight="true" outlineLevel="0" collapsed="false">
      <c r="A959" s="113"/>
      <c r="B959" s="102"/>
      <c r="C959" s="101" t="str">
        <f aca="false">IF($B959="","",IFERROR(VLOOKUP($B959,'Application Portfolio'!$A$2:$B$1000,2,FALSE()),""))</f>
        <v/>
      </c>
      <c r="D959" s="106"/>
      <c r="E959" s="106"/>
      <c r="F959" s="106"/>
      <c r="G959" s="106"/>
      <c r="H959" s="106"/>
      <c r="I959" s="103" t="str">
        <f aca="false">IF(OR($B959="", $D959="", $E959="", $F959="", $G959="", $H959=""),"",ROUND(($D959*Lists!$AD$20)+($E959*Lists!$AD$21)+($F959*Lists!$AD$22)+($G959*Lists!$AD$23)+($H959*Lists!$AD$24),2))</f>
        <v/>
      </c>
      <c r="J959" s="101"/>
      <c r="K959" s="105"/>
      <c r="L959" s="101"/>
    </row>
    <row r="960" customFormat="false" ht="15.75" hidden="false" customHeight="true" outlineLevel="0" collapsed="false">
      <c r="A960" s="113"/>
      <c r="B960" s="102"/>
      <c r="C960" s="101" t="str">
        <f aca="false">IF($B960="","",IFERROR(VLOOKUP($B960,'Application Portfolio'!$A$2:$B$1000,2,FALSE()),""))</f>
        <v/>
      </c>
      <c r="D960" s="106"/>
      <c r="E960" s="106"/>
      <c r="F960" s="106"/>
      <c r="G960" s="106"/>
      <c r="H960" s="106"/>
      <c r="I960" s="103" t="str">
        <f aca="false">IF(OR($B960="", $D960="", $E960="", $F960="", $G960="", $H960=""),"",ROUND(($D960*Lists!$AD$20)+($E960*Lists!$AD$21)+($F960*Lists!$AD$22)+($G960*Lists!$AD$23)+($H960*Lists!$AD$24),2))</f>
        <v/>
      </c>
      <c r="J960" s="101"/>
      <c r="K960" s="105"/>
      <c r="L960" s="101"/>
    </row>
    <row r="961" customFormat="false" ht="15.75" hidden="false" customHeight="true" outlineLevel="0" collapsed="false">
      <c r="A961" s="113"/>
      <c r="B961" s="102"/>
      <c r="C961" s="101" t="str">
        <f aca="false">IF($B961="","",IFERROR(VLOOKUP($B961,'Application Portfolio'!$A$2:$B$1000,2,FALSE()),""))</f>
        <v/>
      </c>
      <c r="D961" s="106"/>
      <c r="E961" s="106"/>
      <c r="F961" s="106"/>
      <c r="G961" s="106"/>
      <c r="H961" s="106"/>
      <c r="I961" s="103" t="str">
        <f aca="false">IF(OR($B961="", $D961="", $E961="", $F961="", $G961="", $H961=""),"",ROUND(($D961*Lists!$AD$20)+($E961*Lists!$AD$21)+($F961*Lists!$AD$22)+($G961*Lists!$AD$23)+($H961*Lists!$AD$24),2))</f>
        <v/>
      </c>
      <c r="J961" s="101"/>
      <c r="K961" s="105"/>
      <c r="L961" s="101"/>
    </row>
    <row r="962" customFormat="false" ht="15.75" hidden="false" customHeight="true" outlineLevel="0" collapsed="false">
      <c r="A962" s="113"/>
      <c r="B962" s="102"/>
      <c r="C962" s="101" t="str">
        <f aca="false">IF($B962="","",IFERROR(VLOOKUP($B962,'Application Portfolio'!$A$2:$B$1000,2,FALSE()),""))</f>
        <v/>
      </c>
      <c r="D962" s="106"/>
      <c r="E962" s="106"/>
      <c r="F962" s="106"/>
      <c r="G962" s="106"/>
      <c r="H962" s="106"/>
      <c r="I962" s="103" t="str">
        <f aca="false">IF(OR($B962="", $D962="", $E962="", $F962="", $G962="", $H962=""),"",ROUND(($D962*Lists!$AD$20)+($E962*Lists!$AD$21)+($F962*Lists!$AD$22)+($G962*Lists!$AD$23)+($H962*Lists!$AD$24),2))</f>
        <v/>
      </c>
      <c r="J962" s="101"/>
      <c r="K962" s="105"/>
      <c r="L962" s="101"/>
    </row>
    <row r="963" customFormat="false" ht="15.75" hidden="false" customHeight="true" outlineLevel="0" collapsed="false">
      <c r="A963" s="113"/>
      <c r="B963" s="102"/>
      <c r="C963" s="101" t="str">
        <f aca="false">IF($B963="","",IFERROR(VLOOKUP($B963,'Application Portfolio'!$A$2:$B$1000,2,FALSE()),""))</f>
        <v/>
      </c>
      <c r="D963" s="106"/>
      <c r="E963" s="106"/>
      <c r="F963" s="106"/>
      <c r="G963" s="106"/>
      <c r="H963" s="106"/>
      <c r="I963" s="103" t="str">
        <f aca="false">IF(OR($B963="", $D963="", $E963="", $F963="", $G963="", $H963=""),"",ROUND(($D963*Lists!$AD$20)+($E963*Lists!$AD$21)+($F963*Lists!$AD$22)+($G963*Lists!$AD$23)+($H963*Lists!$AD$24),2))</f>
        <v/>
      </c>
      <c r="J963" s="101"/>
      <c r="K963" s="105"/>
      <c r="L963" s="101"/>
    </row>
    <row r="964" customFormat="false" ht="15.75" hidden="false" customHeight="true" outlineLevel="0" collapsed="false">
      <c r="A964" s="113"/>
      <c r="B964" s="102"/>
      <c r="C964" s="101" t="str">
        <f aca="false">IF($B964="","",IFERROR(VLOOKUP($B964,'Application Portfolio'!$A$2:$B$1000,2,FALSE()),""))</f>
        <v/>
      </c>
      <c r="D964" s="106"/>
      <c r="E964" s="106"/>
      <c r="F964" s="106"/>
      <c r="G964" s="106"/>
      <c r="H964" s="106"/>
      <c r="I964" s="103" t="str">
        <f aca="false">IF(OR($B964="", $D964="", $E964="", $F964="", $G964="", $H964=""),"",ROUND(($D964*Lists!$AD$20)+($E964*Lists!$AD$21)+($F964*Lists!$AD$22)+($G964*Lists!$AD$23)+($H964*Lists!$AD$24),2))</f>
        <v/>
      </c>
      <c r="J964" s="101"/>
      <c r="K964" s="105"/>
      <c r="L964" s="101"/>
    </row>
    <row r="965" customFormat="false" ht="15.75" hidden="false" customHeight="true" outlineLevel="0" collapsed="false">
      <c r="A965" s="113"/>
      <c r="B965" s="102"/>
      <c r="C965" s="101" t="str">
        <f aca="false">IF($B965="","",IFERROR(VLOOKUP($B965,'Application Portfolio'!$A$2:$B$1000,2,FALSE()),""))</f>
        <v/>
      </c>
      <c r="D965" s="106"/>
      <c r="E965" s="106"/>
      <c r="F965" s="106"/>
      <c r="G965" s="106"/>
      <c r="H965" s="106"/>
      <c r="I965" s="103" t="str">
        <f aca="false">IF(OR($B965="", $D965="", $E965="", $F965="", $G965="", $H965=""),"",ROUND(($D965*Lists!$AD$20)+($E965*Lists!$AD$21)+($F965*Lists!$AD$22)+($G965*Lists!$AD$23)+($H965*Lists!$AD$24),2))</f>
        <v/>
      </c>
      <c r="J965" s="101"/>
      <c r="K965" s="105"/>
      <c r="L965" s="101"/>
    </row>
    <row r="966" customFormat="false" ht="15.75" hidden="false" customHeight="true" outlineLevel="0" collapsed="false">
      <c r="A966" s="113"/>
      <c r="B966" s="102"/>
      <c r="C966" s="101" t="str">
        <f aca="false">IF($B966="","",IFERROR(VLOOKUP($B966,'Application Portfolio'!$A$2:$B$1000,2,FALSE()),""))</f>
        <v/>
      </c>
      <c r="D966" s="106"/>
      <c r="E966" s="106"/>
      <c r="F966" s="106"/>
      <c r="G966" s="106"/>
      <c r="H966" s="106"/>
      <c r="I966" s="103" t="str">
        <f aca="false">IF(OR($B966="", $D966="", $E966="", $F966="", $G966="", $H966=""),"",ROUND(($D966*Lists!$AD$20)+($E966*Lists!$AD$21)+($F966*Lists!$AD$22)+($G966*Lists!$AD$23)+($H966*Lists!$AD$24),2))</f>
        <v/>
      </c>
      <c r="J966" s="101"/>
      <c r="K966" s="105"/>
      <c r="L966" s="101"/>
    </row>
    <row r="967" customFormat="false" ht="15.75" hidden="false" customHeight="true" outlineLevel="0" collapsed="false">
      <c r="A967" s="113"/>
      <c r="B967" s="102"/>
      <c r="C967" s="101" t="str">
        <f aca="false">IF($B967="","",IFERROR(VLOOKUP($B967,'Application Portfolio'!$A$2:$B$1000,2,FALSE()),""))</f>
        <v/>
      </c>
      <c r="D967" s="106"/>
      <c r="E967" s="106"/>
      <c r="F967" s="106"/>
      <c r="G967" s="106"/>
      <c r="H967" s="106"/>
      <c r="I967" s="103" t="str">
        <f aca="false">IF(OR($B967="", $D967="", $E967="", $F967="", $G967="", $H967=""),"",ROUND(($D967*Lists!$AD$20)+($E967*Lists!$AD$21)+($F967*Lists!$AD$22)+($G967*Lists!$AD$23)+($H967*Lists!$AD$24),2))</f>
        <v/>
      </c>
      <c r="J967" s="101"/>
      <c r="K967" s="105"/>
      <c r="L967" s="101"/>
    </row>
    <row r="968" customFormat="false" ht="15.75" hidden="false" customHeight="true" outlineLevel="0" collapsed="false">
      <c r="A968" s="113"/>
      <c r="B968" s="102"/>
      <c r="C968" s="101" t="str">
        <f aca="false">IF($B968="","",IFERROR(VLOOKUP($B968,'Application Portfolio'!$A$2:$B$1000,2,FALSE()),""))</f>
        <v/>
      </c>
      <c r="D968" s="106"/>
      <c r="E968" s="106"/>
      <c r="F968" s="106"/>
      <c r="G968" s="106"/>
      <c r="H968" s="106"/>
      <c r="I968" s="103" t="str">
        <f aca="false">IF(OR($B968="", $D968="", $E968="", $F968="", $G968="", $H968=""),"",ROUND(($D968*Lists!$AD$20)+($E968*Lists!$AD$21)+($F968*Lists!$AD$22)+($G968*Lists!$AD$23)+($H968*Lists!$AD$24),2))</f>
        <v/>
      </c>
      <c r="J968" s="101"/>
      <c r="K968" s="105"/>
      <c r="L968" s="101"/>
    </row>
    <row r="969" customFormat="false" ht="15.75" hidden="false" customHeight="true" outlineLevel="0" collapsed="false">
      <c r="A969" s="113"/>
      <c r="B969" s="102"/>
      <c r="C969" s="101" t="str">
        <f aca="false">IF($B969="","",IFERROR(VLOOKUP($B969,'Application Portfolio'!$A$2:$B$1000,2,FALSE()),""))</f>
        <v/>
      </c>
      <c r="D969" s="106"/>
      <c r="E969" s="106"/>
      <c r="F969" s="106"/>
      <c r="G969" s="106"/>
      <c r="H969" s="106"/>
      <c r="I969" s="103" t="str">
        <f aca="false">IF(OR($B969="", $D969="", $E969="", $F969="", $G969="", $H969=""),"",ROUND(($D969*Lists!$AD$20)+($E969*Lists!$AD$21)+($F969*Lists!$AD$22)+($G969*Lists!$AD$23)+($H969*Lists!$AD$24),2))</f>
        <v/>
      </c>
      <c r="J969" s="101"/>
      <c r="K969" s="105"/>
      <c r="L969" s="101"/>
    </row>
    <row r="970" customFormat="false" ht="15.75" hidden="false" customHeight="true" outlineLevel="0" collapsed="false">
      <c r="A970" s="113"/>
      <c r="B970" s="102"/>
      <c r="C970" s="101" t="str">
        <f aca="false">IF($B970="","",IFERROR(VLOOKUP($B970,'Application Portfolio'!$A$2:$B$1000,2,FALSE()),""))</f>
        <v/>
      </c>
      <c r="D970" s="106"/>
      <c r="E970" s="106"/>
      <c r="F970" s="106"/>
      <c r="G970" s="106"/>
      <c r="H970" s="106"/>
      <c r="I970" s="103" t="str">
        <f aca="false">IF(OR($B970="", $D970="", $E970="", $F970="", $G970="", $H970=""),"",ROUND(($D970*Lists!$AD$20)+($E970*Lists!$AD$21)+($F970*Lists!$AD$22)+($G970*Lists!$AD$23)+($H970*Lists!$AD$24),2))</f>
        <v/>
      </c>
      <c r="J970" s="101"/>
      <c r="K970" s="105"/>
      <c r="L970" s="101"/>
    </row>
    <row r="971" customFormat="false" ht="15.75" hidden="false" customHeight="true" outlineLevel="0" collapsed="false">
      <c r="A971" s="113"/>
      <c r="B971" s="102"/>
      <c r="C971" s="101" t="str">
        <f aca="false">IF($B971="","",IFERROR(VLOOKUP($B971,'Application Portfolio'!$A$2:$B$1000,2,FALSE()),""))</f>
        <v/>
      </c>
      <c r="D971" s="106"/>
      <c r="E971" s="106"/>
      <c r="F971" s="106"/>
      <c r="G971" s="106"/>
      <c r="H971" s="106"/>
      <c r="I971" s="103" t="str">
        <f aca="false">IF(OR($B971="", $D971="", $E971="", $F971="", $G971="", $H971=""),"",ROUND(($D971*Lists!$AD$20)+($E971*Lists!$AD$21)+($F971*Lists!$AD$22)+($G971*Lists!$AD$23)+($H971*Lists!$AD$24),2))</f>
        <v/>
      </c>
      <c r="J971" s="101"/>
      <c r="K971" s="105"/>
      <c r="L971" s="101"/>
    </row>
    <row r="972" customFormat="false" ht="15.75" hidden="false" customHeight="true" outlineLevel="0" collapsed="false">
      <c r="A972" s="113"/>
      <c r="B972" s="102"/>
      <c r="C972" s="101" t="str">
        <f aca="false">IF($B972="","",IFERROR(VLOOKUP($B972,'Application Portfolio'!$A$2:$B$1000,2,FALSE()),""))</f>
        <v/>
      </c>
      <c r="D972" s="106"/>
      <c r="E972" s="106"/>
      <c r="F972" s="106"/>
      <c r="G972" s="106"/>
      <c r="H972" s="106"/>
      <c r="I972" s="103" t="str">
        <f aca="false">IF(OR($B972="", $D972="", $E972="", $F972="", $G972="", $H972=""),"",ROUND(($D972*Lists!$AD$20)+($E972*Lists!$AD$21)+($F972*Lists!$AD$22)+($G972*Lists!$AD$23)+($H972*Lists!$AD$24),2))</f>
        <v/>
      </c>
      <c r="J972" s="101"/>
      <c r="K972" s="105"/>
      <c r="L972" s="101"/>
    </row>
    <row r="973" customFormat="false" ht="15.75" hidden="false" customHeight="true" outlineLevel="0" collapsed="false">
      <c r="A973" s="113"/>
      <c r="B973" s="102"/>
      <c r="C973" s="101" t="str">
        <f aca="false">IF($B973="","",IFERROR(VLOOKUP($B973,'Application Portfolio'!$A$2:$B$1000,2,FALSE()),""))</f>
        <v/>
      </c>
      <c r="D973" s="106"/>
      <c r="E973" s="106"/>
      <c r="F973" s="106"/>
      <c r="G973" s="106"/>
      <c r="H973" s="106"/>
      <c r="I973" s="103" t="str">
        <f aca="false">IF(OR($B973="", $D973="", $E973="", $F973="", $G973="", $H973=""),"",ROUND(($D973*Lists!$AD$20)+($E973*Lists!$AD$21)+($F973*Lists!$AD$22)+($G973*Lists!$AD$23)+($H973*Lists!$AD$24),2))</f>
        <v/>
      </c>
      <c r="J973" s="101"/>
      <c r="K973" s="105"/>
      <c r="L973" s="101"/>
    </row>
    <row r="974" customFormat="false" ht="15.75" hidden="false" customHeight="true" outlineLevel="0" collapsed="false">
      <c r="A974" s="113"/>
      <c r="B974" s="102"/>
      <c r="C974" s="101" t="str">
        <f aca="false">IF($B974="","",IFERROR(VLOOKUP($B974,'Application Portfolio'!$A$2:$B$1000,2,FALSE()),""))</f>
        <v/>
      </c>
      <c r="D974" s="106"/>
      <c r="E974" s="106"/>
      <c r="F974" s="106"/>
      <c r="G974" s="106"/>
      <c r="H974" s="106"/>
      <c r="I974" s="103" t="str">
        <f aca="false">IF(OR($B974="", $D974="", $E974="", $F974="", $G974="", $H974=""),"",ROUND(($D974*Lists!$AD$20)+($E974*Lists!$AD$21)+($F974*Lists!$AD$22)+($G974*Lists!$AD$23)+($H974*Lists!$AD$24),2))</f>
        <v/>
      </c>
      <c r="J974" s="101"/>
      <c r="K974" s="105"/>
      <c r="L974" s="101"/>
    </row>
    <row r="975" customFormat="false" ht="15.75" hidden="false" customHeight="true" outlineLevel="0" collapsed="false">
      <c r="A975" s="113"/>
      <c r="B975" s="102"/>
      <c r="C975" s="101" t="str">
        <f aca="false">IF($B975="","",IFERROR(VLOOKUP($B975,'Application Portfolio'!$A$2:$B$1000,2,FALSE()),""))</f>
        <v/>
      </c>
      <c r="D975" s="106"/>
      <c r="E975" s="106"/>
      <c r="F975" s="106"/>
      <c r="G975" s="106"/>
      <c r="H975" s="106"/>
      <c r="I975" s="103" t="str">
        <f aca="false">IF(OR($B975="", $D975="", $E975="", $F975="", $G975="", $H975=""),"",ROUND(($D975*Lists!$AD$20)+($E975*Lists!$AD$21)+($F975*Lists!$AD$22)+($G975*Lists!$AD$23)+($H975*Lists!$AD$24),2))</f>
        <v/>
      </c>
      <c r="J975" s="101"/>
      <c r="K975" s="105"/>
      <c r="L975" s="101"/>
    </row>
    <row r="976" customFormat="false" ht="15.75" hidden="false" customHeight="true" outlineLevel="0" collapsed="false">
      <c r="A976" s="113"/>
      <c r="B976" s="102"/>
      <c r="C976" s="101" t="str">
        <f aca="false">IF($B976="","",IFERROR(VLOOKUP($B976,'Application Portfolio'!$A$2:$B$1000,2,FALSE()),""))</f>
        <v/>
      </c>
      <c r="D976" s="106"/>
      <c r="E976" s="106"/>
      <c r="F976" s="106"/>
      <c r="G976" s="106"/>
      <c r="H976" s="106"/>
      <c r="I976" s="103" t="str">
        <f aca="false">IF(OR($B976="", $D976="", $E976="", $F976="", $G976="", $H976=""),"",ROUND(($D976*Lists!$AD$20)+($E976*Lists!$AD$21)+($F976*Lists!$AD$22)+($G976*Lists!$AD$23)+($H976*Lists!$AD$24),2))</f>
        <v/>
      </c>
      <c r="J976" s="101"/>
      <c r="K976" s="105"/>
      <c r="L976" s="101"/>
    </row>
    <row r="977" customFormat="false" ht="15.75" hidden="false" customHeight="true" outlineLevel="0" collapsed="false">
      <c r="A977" s="113"/>
      <c r="B977" s="102"/>
      <c r="C977" s="101" t="str">
        <f aca="false">IF($B977="","",IFERROR(VLOOKUP($B977,'Application Portfolio'!$A$2:$B$1000,2,FALSE()),""))</f>
        <v/>
      </c>
      <c r="D977" s="106"/>
      <c r="E977" s="106"/>
      <c r="F977" s="106"/>
      <c r="G977" s="106"/>
      <c r="H977" s="106"/>
      <c r="I977" s="103" t="str">
        <f aca="false">IF(OR($B977="", $D977="", $E977="", $F977="", $G977="", $H977=""),"",ROUND(($D977*Lists!$AD$20)+($E977*Lists!$AD$21)+($F977*Lists!$AD$22)+($G977*Lists!$AD$23)+($H977*Lists!$AD$24),2))</f>
        <v/>
      </c>
      <c r="J977" s="101"/>
      <c r="K977" s="105"/>
      <c r="L977" s="101"/>
    </row>
    <row r="978" customFormat="false" ht="15.75" hidden="false" customHeight="true" outlineLevel="0" collapsed="false">
      <c r="A978" s="113"/>
      <c r="B978" s="102"/>
      <c r="C978" s="101" t="str">
        <f aca="false">IF($B978="","",IFERROR(VLOOKUP($B978,'Application Portfolio'!$A$2:$B$1000,2,FALSE()),""))</f>
        <v/>
      </c>
      <c r="D978" s="106"/>
      <c r="E978" s="106"/>
      <c r="F978" s="106"/>
      <c r="G978" s="106"/>
      <c r="H978" s="106"/>
      <c r="I978" s="103" t="str">
        <f aca="false">IF(OR($B978="", $D978="", $E978="", $F978="", $G978="", $H978=""),"",ROUND(($D978*Lists!$AD$20)+($E978*Lists!$AD$21)+($F978*Lists!$AD$22)+($G978*Lists!$AD$23)+($H978*Lists!$AD$24),2))</f>
        <v/>
      </c>
      <c r="J978" s="101"/>
      <c r="K978" s="105"/>
      <c r="L978" s="101"/>
    </row>
    <row r="979" customFormat="false" ht="15.75" hidden="false" customHeight="true" outlineLevel="0" collapsed="false">
      <c r="A979" s="113"/>
      <c r="B979" s="102"/>
      <c r="C979" s="101" t="str">
        <f aca="false">IF($B979="","",IFERROR(VLOOKUP($B979,'Application Portfolio'!$A$2:$B$1000,2,FALSE()),""))</f>
        <v/>
      </c>
      <c r="D979" s="106"/>
      <c r="E979" s="106"/>
      <c r="F979" s="106"/>
      <c r="G979" s="106"/>
      <c r="H979" s="106"/>
      <c r="I979" s="103" t="str">
        <f aca="false">IF(OR($B979="", $D979="", $E979="", $F979="", $G979="", $H979=""),"",ROUND(($D979*Lists!$AD$20)+($E979*Lists!$AD$21)+($F979*Lists!$AD$22)+($G979*Lists!$AD$23)+($H979*Lists!$AD$24),2))</f>
        <v/>
      </c>
      <c r="J979" s="101"/>
      <c r="K979" s="105"/>
      <c r="L979" s="101"/>
    </row>
    <row r="980" customFormat="false" ht="15.75" hidden="false" customHeight="true" outlineLevel="0" collapsed="false">
      <c r="A980" s="113"/>
      <c r="B980" s="102"/>
      <c r="C980" s="101" t="str">
        <f aca="false">IF($B980="","",IFERROR(VLOOKUP($B980,'Application Portfolio'!$A$2:$B$1000,2,FALSE()),""))</f>
        <v/>
      </c>
      <c r="D980" s="106"/>
      <c r="E980" s="106"/>
      <c r="F980" s="106"/>
      <c r="G980" s="106"/>
      <c r="H980" s="106"/>
      <c r="I980" s="103" t="str">
        <f aca="false">IF(OR($B980="", $D980="", $E980="", $F980="", $G980="", $H980=""),"",ROUND(($D980*Lists!$AD$20)+($E980*Lists!$AD$21)+($F980*Lists!$AD$22)+($G980*Lists!$AD$23)+($H980*Lists!$AD$24),2))</f>
        <v/>
      </c>
      <c r="J980" s="101"/>
      <c r="K980" s="105"/>
      <c r="L980" s="101"/>
    </row>
    <row r="981" customFormat="false" ht="15.75" hidden="false" customHeight="true" outlineLevel="0" collapsed="false">
      <c r="A981" s="113"/>
      <c r="B981" s="102"/>
      <c r="C981" s="101" t="str">
        <f aca="false">IF($B981="","",IFERROR(VLOOKUP($B981,'Application Portfolio'!$A$2:$B$1000,2,FALSE()),""))</f>
        <v/>
      </c>
      <c r="D981" s="106"/>
      <c r="E981" s="106"/>
      <c r="F981" s="106"/>
      <c r="G981" s="106"/>
      <c r="H981" s="106"/>
      <c r="I981" s="103" t="str">
        <f aca="false">IF(OR($B981="", $D981="", $E981="", $F981="", $G981="", $H981=""),"",ROUND(($D981*Lists!$AD$20)+($E981*Lists!$AD$21)+($F981*Lists!$AD$22)+($G981*Lists!$AD$23)+($H981*Lists!$AD$24),2))</f>
        <v/>
      </c>
      <c r="J981" s="101"/>
      <c r="K981" s="105"/>
      <c r="L981" s="101"/>
    </row>
    <row r="982" customFormat="false" ht="15.75" hidden="false" customHeight="true" outlineLevel="0" collapsed="false">
      <c r="A982" s="113"/>
      <c r="B982" s="102"/>
      <c r="C982" s="101" t="str">
        <f aca="false">IF($B982="","",IFERROR(VLOOKUP($B982,'Application Portfolio'!$A$2:$B$1000,2,FALSE()),""))</f>
        <v/>
      </c>
      <c r="D982" s="106"/>
      <c r="E982" s="106"/>
      <c r="F982" s="106"/>
      <c r="G982" s="106"/>
      <c r="H982" s="106"/>
      <c r="I982" s="103" t="str">
        <f aca="false">IF(OR($B982="", $D982="", $E982="", $F982="", $G982="", $H982=""),"",ROUND(($D982*Lists!$AD$20)+($E982*Lists!$AD$21)+($F982*Lists!$AD$22)+($G982*Lists!$AD$23)+($H982*Lists!$AD$24),2))</f>
        <v/>
      </c>
      <c r="J982" s="101"/>
      <c r="K982" s="105"/>
      <c r="L982" s="101"/>
    </row>
    <row r="983" customFormat="false" ht="15.75" hidden="false" customHeight="true" outlineLevel="0" collapsed="false">
      <c r="A983" s="113"/>
      <c r="B983" s="102"/>
      <c r="C983" s="101" t="str">
        <f aca="false">IF($B983="","",IFERROR(VLOOKUP($B983,'Application Portfolio'!$A$2:$B$1000,2,FALSE()),""))</f>
        <v/>
      </c>
      <c r="D983" s="106"/>
      <c r="E983" s="106"/>
      <c r="F983" s="106"/>
      <c r="G983" s="106"/>
      <c r="H983" s="106"/>
      <c r="I983" s="103" t="str">
        <f aca="false">IF(OR($B983="", $D983="", $E983="", $F983="", $G983="", $H983=""),"",ROUND(($D983*Lists!$AD$20)+($E983*Lists!$AD$21)+($F983*Lists!$AD$22)+($G983*Lists!$AD$23)+($H983*Lists!$AD$24),2))</f>
        <v/>
      </c>
      <c r="J983" s="101"/>
      <c r="K983" s="105"/>
      <c r="L983" s="101"/>
    </row>
    <row r="984" customFormat="false" ht="15.75" hidden="false" customHeight="true" outlineLevel="0" collapsed="false">
      <c r="A984" s="113"/>
      <c r="B984" s="102"/>
      <c r="C984" s="101" t="str">
        <f aca="false">IF($B984="","",IFERROR(VLOOKUP($B984,'Application Portfolio'!$A$2:$B$1000,2,FALSE()),""))</f>
        <v/>
      </c>
      <c r="D984" s="106"/>
      <c r="E984" s="106"/>
      <c r="F984" s="106"/>
      <c r="G984" s="106"/>
      <c r="H984" s="106"/>
      <c r="I984" s="103" t="str">
        <f aca="false">IF(OR($B984="", $D984="", $E984="", $F984="", $G984="", $H984=""),"",ROUND(($D984*Lists!$AD$20)+($E984*Lists!$AD$21)+($F984*Lists!$AD$22)+($G984*Lists!$AD$23)+($H984*Lists!$AD$24),2))</f>
        <v/>
      </c>
      <c r="J984" s="101"/>
      <c r="K984" s="105"/>
      <c r="L984" s="101"/>
    </row>
    <row r="985" customFormat="false" ht="15.75" hidden="false" customHeight="true" outlineLevel="0" collapsed="false">
      <c r="A985" s="113"/>
      <c r="B985" s="102"/>
      <c r="C985" s="101" t="str">
        <f aca="false">IF($B985="","",IFERROR(VLOOKUP($B985,'Application Portfolio'!$A$2:$B$1000,2,FALSE()),""))</f>
        <v/>
      </c>
      <c r="D985" s="106"/>
      <c r="E985" s="106"/>
      <c r="F985" s="106"/>
      <c r="G985" s="106"/>
      <c r="H985" s="106"/>
      <c r="I985" s="103" t="str">
        <f aca="false">IF(OR($B985="", $D985="", $E985="", $F985="", $G985="", $H985=""),"",ROUND(($D985*Lists!$AD$20)+($E985*Lists!$AD$21)+($F985*Lists!$AD$22)+($G985*Lists!$AD$23)+($H985*Lists!$AD$24),2))</f>
        <v/>
      </c>
      <c r="J985" s="101"/>
      <c r="K985" s="105"/>
      <c r="L985" s="101"/>
    </row>
    <row r="986" customFormat="false" ht="15.75" hidden="false" customHeight="true" outlineLevel="0" collapsed="false">
      <c r="A986" s="113"/>
      <c r="B986" s="102"/>
      <c r="C986" s="101" t="str">
        <f aca="false">IF($B986="","",IFERROR(VLOOKUP($B986,'Application Portfolio'!$A$2:$B$1000,2,FALSE()),""))</f>
        <v/>
      </c>
      <c r="D986" s="106"/>
      <c r="E986" s="106"/>
      <c r="F986" s="106"/>
      <c r="G986" s="106"/>
      <c r="H986" s="106"/>
      <c r="I986" s="103" t="str">
        <f aca="false">IF(OR($B986="", $D986="", $E986="", $F986="", $G986="", $H986=""),"",ROUND(($D986*Lists!$AD$20)+($E986*Lists!$AD$21)+($F986*Lists!$AD$22)+($G986*Lists!$AD$23)+($H986*Lists!$AD$24),2))</f>
        <v/>
      </c>
      <c r="J986" s="101"/>
      <c r="K986" s="105"/>
      <c r="L986" s="101"/>
    </row>
    <row r="987" customFormat="false" ht="15.75" hidden="false" customHeight="true" outlineLevel="0" collapsed="false">
      <c r="A987" s="113"/>
      <c r="B987" s="102"/>
      <c r="C987" s="101" t="str">
        <f aca="false">IF($B987="","",IFERROR(VLOOKUP($B987,'Application Portfolio'!$A$2:$B$1000,2,FALSE()),""))</f>
        <v/>
      </c>
      <c r="D987" s="106"/>
      <c r="E987" s="106"/>
      <c r="F987" s="106"/>
      <c r="G987" s="106"/>
      <c r="H987" s="106"/>
      <c r="I987" s="103" t="str">
        <f aca="false">IF(OR($B987="", $D987="", $E987="", $F987="", $G987="", $H987=""),"",ROUND(($D987*Lists!$AD$20)+($E987*Lists!$AD$21)+($F987*Lists!$AD$22)+($G987*Lists!$AD$23)+($H987*Lists!$AD$24),2))</f>
        <v/>
      </c>
      <c r="J987" s="101"/>
      <c r="K987" s="105"/>
      <c r="L987" s="101"/>
    </row>
    <row r="988" customFormat="false" ht="15.75" hidden="false" customHeight="true" outlineLevel="0" collapsed="false">
      <c r="A988" s="113"/>
      <c r="B988" s="102"/>
      <c r="C988" s="101" t="str">
        <f aca="false">IF($B988="","",IFERROR(VLOOKUP($B988,'Application Portfolio'!$A$2:$B$1000,2,FALSE()),""))</f>
        <v/>
      </c>
      <c r="D988" s="106"/>
      <c r="E988" s="106"/>
      <c r="F988" s="106"/>
      <c r="G988" s="106"/>
      <c r="H988" s="106"/>
      <c r="I988" s="103" t="str">
        <f aca="false">IF(OR($B988="", $D988="", $E988="", $F988="", $G988="", $H988=""),"",ROUND(($D988*Lists!$AD$20)+($E988*Lists!$AD$21)+($F988*Lists!$AD$22)+($G988*Lists!$AD$23)+($H988*Lists!$AD$24),2))</f>
        <v/>
      </c>
      <c r="J988" s="101"/>
      <c r="K988" s="105"/>
      <c r="L988" s="101"/>
    </row>
    <row r="989" customFormat="false" ht="15.75" hidden="false" customHeight="true" outlineLevel="0" collapsed="false">
      <c r="A989" s="113"/>
      <c r="B989" s="102"/>
      <c r="C989" s="101" t="str">
        <f aca="false">IF($B989="","",IFERROR(VLOOKUP($B989,'Application Portfolio'!$A$2:$B$1000,2,FALSE()),""))</f>
        <v/>
      </c>
      <c r="D989" s="106"/>
      <c r="E989" s="106"/>
      <c r="F989" s="106"/>
      <c r="G989" s="106"/>
      <c r="H989" s="106"/>
      <c r="I989" s="103" t="str">
        <f aca="false">IF(OR($B989="", $D989="", $E989="", $F989="", $G989="", $H989=""),"",ROUND(($D989*Lists!$AD$20)+($E989*Lists!$AD$21)+($F989*Lists!$AD$22)+($G989*Lists!$AD$23)+($H989*Lists!$AD$24),2))</f>
        <v/>
      </c>
      <c r="J989" s="101"/>
      <c r="K989" s="105"/>
      <c r="L989" s="101"/>
    </row>
    <row r="990" customFormat="false" ht="15.75" hidden="false" customHeight="true" outlineLevel="0" collapsed="false">
      <c r="A990" s="113"/>
      <c r="B990" s="102"/>
      <c r="C990" s="101" t="str">
        <f aca="false">IF($B990="","",IFERROR(VLOOKUP($B990,'Application Portfolio'!$A$2:$B$1000,2,FALSE()),""))</f>
        <v/>
      </c>
      <c r="D990" s="106"/>
      <c r="E990" s="106"/>
      <c r="F990" s="106"/>
      <c r="G990" s="106"/>
      <c r="H990" s="106"/>
      <c r="I990" s="103" t="str">
        <f aca="false">IF(OR($B990="", $D990="", $E990="", $F990="", $G990="", $H990=""),"",ROUND(($D990*Lists!$AD$20)+($E990*Lists!$AD$21)+($F990*Lists!$AD$22)+($G990*Lists!$AD$23)+($H990*Lists!$AD$24),2))</f>
        <v/>
      </c>
      <c r="J990" s="101"/>
      <c r="K990" s="105"/>
      <c r="L990" s="101"/>
    </row>
    <row r="991" customFormat="false" ht="15.75" hidden="false" customHeight="true" outlineLevel="0" collapsed="false">
      <c r="A991" s="113"/>
      <c r="B991" s="102"/>
      <c r="C991" s="101" t="str">
        <f aca="false">IF($B991="","",IFERROR(VLOOKUP($B991,'Application Portfolio'!$A$2:$B$1000,2,FALSE()),""))</f>
        <v/>
      </c>
      <c r="D991" s="106"/>
      <c r="E991" s="106"/>
      <c r="F991" s="106"/>
      <c r="G991" s="106"/>
      <c r="H991" s="106"/>
      <c r="I991" s="103" t="str">
        <f aca="false">IF(OR($B991="", $D991="", $E991="", $F991="", $G991="", $H991=""),"",ROUND(($D991*Lists!$AD$20)+($E991*Lists!$AD$21)+($F991*Lists!$AD$22)+($G991*Lists!$AD$23)+($H991*Lists!$AD$24),2))</f>
        <v/>
      </c>
      <c r="J991" s="101"/>
      <c r="K991" s="105"/>
      <c r="L991" s="101"/>
    </row>
    <row r="992" customFormat="false" ht="15.75" hidden="false" customHeight="true" outlineLevel="0" collapsed="false">
      <c r="A992" s="113"/>
      <c r="B992" s="102"/>
      <c r="C992" s="101" t="str">
        <f aca="false">IF($B992="","",IFERROR(VLOOKUP($B992,'Application Portfolio'!$A$2:$B$1000,2,FALSE()),""))</f>
        <v/>
      </c>
      <c r="D992" s="106"/>
      <c r="E992" s="106"/>
      <c r="F992" s="106"/>
      <c r="G992" s="106"/>
      <c r="H992" s="106"/>
      <c r="I992" s="103" t="str">
        <f aca="false">IF(OR($B992="", $D992="", $E992="", $F992="", $G992="", $H992=""),"",ROUND(($D992*Lists!$AD$20)+($E992*Lists!$AD$21)+($F992*Lists!$AD$22)+($G992*Lists!$AD$23)+($H992*Lists!$AD$24),2))</f>
        <v/>
      </c>
      <c r="J992" s="101"/>
      <c r="K992" s="105"/>
      <c r="L992" s="101"/>
    </row>
    <row r="993" customFormat="false" ht="15.75" hidden="false" customHeight="true" outlineLevel="0" collapsed="false">
      <c r="A993" s="113"/>
      <c r="B993" s="102"/>
      <c r="C993" s="101" t="str">
        <f aca="false">IF($B993="","",IFERROR(VLOOKUP($B993,'Application Portfolio'!$A$2:$B$1000,2,FALSE()),""))</f>
        <v/>
      </c>
      <c r="D993" s="106"/>
      <c r="E993" s="106"/>
      <c r="F993" s="106"/>
      <c r="G993" s="106"/>
      <c r="H993" s="106"/>
      <c r="I993" s="103" t="str">
        <f aca="false">IF(OR($B993="", $D993="", $E993="", $F993="", $G993="", $H993=""),"",ROUND(($D993*Lists!$AD$20)+($E993*Lists!$AD$21)+($F993*Lists!$AD$22)+($G993*Lists!$AD$23)+($H993*Lists!$AD$24),2))</f>
        <v/>
      </c>
      <c r="J993" s="101"/>
      <c r="K993" s="105"/>
      <c r="L993" s="101"/>
    </row>
    <row r="994" customFormat="false" ht="15.75" hidden="false" customHeight="true" outlineLevel="0" collapsed="false">
      <c r="A994" s="113"/>
      <c r="B994" s="102"/>
      <c r="C994" s="101" t="str">
        <f aca="false">IF($B994="","",IFERROR(VLOOKUP($B994,'Application Portfolio'!$A$2:$B$1000,2,FALSE()),""))</f>
        <v/>
      </c>
      <c r="D994" s="106"/>
      <c r="E994" s="106"/>
      <c r="F994" s="106"/>
      <c r="G994" s="106"/>
      <c r="H994" s="106"/>
      <c r="I994" s="103" t="str">
        <f aca="false">IF(OR($B994="", $D994="", $E994="", $F994="", $G994="", $H994=""),"",ROUND(($D994*Lists!$AD$20)+($E994*Lists!$AD$21)+($F994*Lists!$AD$22)+($G994*Lists!$AD$23)+($H994*Lists!$AD$24),2))</f>
        <v/>
      </c>
      <c r="J994" s="101"/>
      <c r="K994" s="105"/>
      <c r="L994" s="101"/>
    </row>
    <row r="995" customFormat="false" ht="15.75" hidden="false" customHeight="true" outlineLevel="0" collapsed="false">
      <c r="A995" s="113"/>
      <c r="B995" s="102"/>
      <c r="C995" s="101" t="str">
        <f aca="false">IF($B995="","",IFERROR(VLOOKUP($B995,'Application Portfolio'!$A$2:$B$1000,2,FALSE()),""))</f>
        <v/>
      </c>
      <c r="D995" s="106"/>
      <c r="E995" s="106"/>
      <c r="F995" s="106"/>
      <c r="G995" s="106"/>
      <c r="H995" s="106"/>
      <c r="I995" s="103" t="str">
        <f aca="false">IF(OR($B995="", $D995="", $E995="", $F995="", $G995="", $H995=""),"",ROUND(($D995*Lists!$AD$20)+($E995*Lists!$AD$21)+($F995*Lists!$AD$22)+($G995*Lists!$AD$23)+($H995*Lists!$AD$24),2))</f>
        <v/>
      </c>
      <c r="J995" s="101"/>
      <c r="K995" s="105"/>
      <c r="L995" s="101"/>
    </row>
    <row r="996" customFormat="false" ht="15.75" hidden="false" customHeight="true" outlineLevel="0" collapsed="false">
      <c r="A996" s="113"/>
      <c r="B996" s="102"/>
      <c r="C996" s="101" t="str">
        <f aca="false">IF($B996="","",IFERROR(VLOOKUP($B996,'Application Portfolio'!$A$2:$B$1000,2,FALSE()),""))</f>
        <v/>
      </c>
      <c r="D996" s="106"/>
      <c r="E996" s="106"/>
      <c r="F996" s="106"/>
      <c r="G996" s="106"/>
      <c r="H996" s="106"/>
      <c r="I996" s="103" t="str">
        <f aca="false">IF(OR($B996="", $D996="", $E996="", $F996="", $G996="", $H996=""),"",ROUND(($D996*Lists!$AD$20)+($E996*Lists!$AD$21)+($F996*Lists!$AD$22)+($G996*Lists!$AD$23)+($H996*Lists!$AD$24),2))</f>
        <v/>
      </c>
      <c r="J996" s="101"/>
      <c r="K996" s="105"/>
      <c r="L996" s="101"/>
    </row>
    <row r="997" customFormat="false" ht="15.75" hidden="false" customHeight="true" outlineLevel="0" collapsed="false">
      <c r="A997" s="113"/>
      <c r="B997" s="102"/>
      <c r="C997" s="101" t="str">
        <f aca="false">IF($B997="","",IFERROR(VLOOKUP($B997,'Application Portfolio'!$A$2:$B$1000,2,FALSE()),""))</f>
        <v/>
      </c>
      <c r="D997" s="106"/>
      <c r="E997" s="106"/>
      <c r="F997" s="106"/>
      <c r="G997" s="106"/>
      <c r="H997" s="106"/>
      <c r="I997" s="103" t="str">
        <f aca="false">IF(OR($B997="", $D997="", $E997="", $F997="", $G997="", $H997=""),"",ROUND(($D997*Lists!$AD$20)+($E997*Lists!$AD$21)+($F997*Lists!$AD$22)+($G997*Lists!$AD$23)+($H997*Lists!$AD$24),2))</f>
        <v/>
      </c>
      <c r="J997" s="101"/>
      <c r="K997" s="105"/>
      <c r="L997" s="101"/>
    </row>
    <row r="998" customFormat="false" ht="15.75" hidden="false" customHeight="true" outlineLevel="0" collapsed="false">
      <c r="A998" s="113"/>
      <c r="B998" s="102"/>
      <c r="C998" s="101" t="str">
        <f aca="false">IF($B998="","",IFERROR(VLOOKUP($B998,'Application Portfolio'!$A$2:$B$1000,2,FALSE()),""))</f>
        <v/>
      </c>
      <c r="D998" s="106"/>
      <c r="E998" s="106"/>
      <c r="F998" s="106"/>
      <c r="G998" s="106"/>
      <c r="H998" s="106"/>
      <c r="I998" s="103" t="str">
        <f aca="false">IF(OR($B998="", $D998="", $E998="", $F998="", $G998="", $H998=""),"",ROUND(($D998*Lists!$AD$20)+($E998*Lists!$AD$21)+($F998*Lists!$AD$22)+($G998*Lists!$AD$23)+($H998*Lists!$AD$24),2))</f>
        <v/>
      </c>
      <c r="J998" s="101"/>
      <c r="K998" s="105"/>
      <c r="L998" s="101"/>
    </row>
    <row r="999" customFormat="false" ht="15.75" hidden="false" customHeight="true" outlineLevel="0" collapsed="false">
      <c r="A999" s="113"/>
      <c r="B999" s="102"/>
      <c r="C999" s="101" t="str">
        <f aca="false">IF($B999="","",IFERROR(VLOOKUP($B999,'Application Portfolio'!$A$2:$B$1000,2,FALSE()),""))</f>
        <v/>
      </c>
      <c r="D999" s="106"/>
      <c r="E999" s="106"/>
      <c r="F999" s="106"/>
      <c r="G999" s="106"/>
      <c r="H999" s="106"/>
      <c r="I999" s="103" t="str">
        <f aca="false">IF(OR($B999="", $D999="", $E999="", $F999="", $G999="", $H999=""),"",ROUND(($D999*Lists!$AD$20)+($E999*Lists!$AD$21)+($F999*Lists!$AD$22)+($G999*Lists!$AD$23)+($H999*Lists!$AD$24),2))</f>
        <v/>
      </c>
      <c r="J999" s="101"/>
      <c r="K999" s="105"/>
      <c r="L999" s="101"/>
    </row>
    <row r="1000" customFormat="false" ht="15.75" hidden="false" customHeight="true" outlineLevel="0" collapsed="false">
      <c r="A1000" s="113"/>
      <c r="B1000" s="102"/>
      <c r="C1000" s="101" t="str">
        <f aca="false">IF($B1000="","",IFERROR(VLOOKUP($B1000,'Application Portfolio'!$A$2:$B$1000,2,FALSE()),""))</f>
        <v/>
      </c>
      <c r="D1000" s="106"/>
      <c r="E1000" s="106"/>
      <c r="F1000" s="106"/>
      <c r="G1000" s="106"/>
      <c r="H1000" s="106"/>
      <c r="I1000" s="103" t="str">
        <f aca="false">IF(OR($B1000="", $D1000="", $E1000="", $F1000="", $G1000="", $H1000=""),"",ROUND(($D1000*Lists!$AD$20)+($E1000*Lists!$AD$21)+($F1000*Lists!$AD$22)+($G1000*Lists!$AD$23)+($H1000*Lists!$AD$24),2))</f>
        <v/>
      </c>
      <c r="J1000" s="101"/>
      <c r="K1000" s="105"/>
      <c r="L1000" s="101"/>
    </row>
  </sheetData>
  <conditionalFormatting sqref="I2:I1000">
    <cfRule type="colorScale" priority="2">
      <colorScale>
        <cfvo type="min" val="0"/>
        <cfvo type="percentile" val="50"/>
        <cfvo type="max" val="0"/>
        <color rgb="FF63BE7B"/>
        <color rgb="FFFFEB84"/>
        <color rgb="FFF8696B"/>
      </colorScale>
    </cfRule>
    <cfRule type="colorScale" priority="3">
      <colorScale>
        <cfvo type="num" val="1"/>
        <cfvo type="num" val="3"/>
        <cfvo type="num" val="5"/>
        <color rgb="FF86EFAC"/>
        <color rgb="FFFDE68A"/>
        <color rgb="FFFCA5A5"/>
      </colorScale>
    </cfRule>
  </conditionalFormatting>
  <conditionalFormatting sqref="D2:D1000">
    <cfRule type="colorScale" priority="4">
      <colorScale>
        <cfvo type="num" val="1"/>
        <cfvo type="num" val="3"/>
        <cfvo type="num" val="5"/>
        <color rgb="FF86EFAC"/>
        <color rgb="FFFDE68A"/>
        <color rgb="FFFCA5A5"/>
      </colorScale>
    </cfRule>
  </conditionalFormatting>
  <conditionalFormatting sqref="E2:E1000">
    <cfRule type="colorScale" priority="5">
      <colorScale>
        <cfvo type="num" val="1"/>
        <cfvo type="num" val="3"/>
        <cfvo type="num" val="5"/>
        <color rgb="FF86EFAC"/>
        <color rgb="FFFDE68A"/>
        <color rgb="FFFCA5A5"/>
      </colorScale>
    </cfRule>
  </conditionalFormatting>
  <conditionalFormatting sqref="F2:F1000">
    <cfRule type="colorScale" priority="6">
      <colorScale>
        <cfvo type="num" val="1"/>
        <cfvo type="num" val="3"/>
        <cfvo type="num" val="5"/>
        <color rgb="FF86EFAC"/>
        <color rgb="FFFDE68A"/>
        <color rgb="FFFCA5A5"/>
      </colorScale>
    </cfRule>
  </conditionalFormatting>
  <conditionalFormatting sqref="G2:G1000">
    <cfRule type="colorScale" priority="7">
      <colorScale>
        <cfvo type="num" val="1"/>
        <cfvo type="num" val="3"/>
        <cfvo type="num" val="5"/>
        <color rgb="FF86EFAC"/>
        <color rgb="FFFDE68A"/>
        <color rgb="FFFCA5A5"/>
      </colorScale>
    </cfRule>
  </conditionalFormatting>
  <conditionalFormatting sqref="H2:H1000">
    <cfRule type="colorScale" priority="8">
      <colorScale>
        <cfvo type="num" val="1"/>
        <cfvo type="num" val="3"/>
        <cfvo type="num" val="5"/>
        <color rgb="FF86EFAC"/>
        <color rgb="FFFDE68A"/>
        <color rgb="FFFCA5A5"/>
      </colorScale>
    </cfRule>
  </conditionalFormatting>
  <conditionalFormatting sqref="A2:A1000">
    <cfRule type="expression" priority="9" aboveAverage="0" equalAverage="0" bottom="0" percent="0" rank="0" text="" dxfId="27">
      <formula>AND($B2&lt;&gt;"",OR($A2="",COUNTIF($A$2:$A$1000,$A2)&gt;1,LEFT($A2,2)&lt;&gt;"R-",LEN($A2)&lt;&gt;6,NOT(ISNUMBER(--RIGHT($A2,4)))))</formula>
    </cfRule>
  </conditionalFormatting>
  <dataValidations count="3">
    <dataValidation allowBlank="true" errorStyle="stop" operator="between" showDropDown="false" showErrorMessage="false" showInputMessage="false" sqref="D2:H1000" type="list">
      <formula1>"1,2,3,4,5"</formula1>
      <formula2>0</formula2>
    </dataValidation>
    <dataValidation allowBlank="true" error="IDs are R- plus 4 digits and must be unique. Use the Next ID on Dashboard." errorStyle="stop" errorTitle="ID" operator="between" prompt="Fixed once assigned. Never renumber or reuse." promptTitle="ID" showDropDown="false" showErrorMessage="true" showInputMessage="true" sqref="A2:A1000" type="custom">
      <formula1>AND(LEFT(A2,2)="R-",LEN(A2)=6,ISNUMBER(--RIGHT(A2,4)),COUNTIF($A$2:$A$1000,A2)=1)</formula1>
      <formula2>0</formula2>
    </dataValidation>
    <dataValidation allowBlank="true" error="Select an App ID from Application Portfolio." errorStyle="stop" errorTitle="Invalid selection" operator="between" showDropDown="false" showErrorMessage="true" showInputMessage="false" sqref="B2:B1000" type="list">
      <formula1>lstAppID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P2" activeCellId="0" sqref="AP2"/>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32"/>
    <col collapsed="false" customWidth="true" hidden="false" outlineLevel="0" max="4" min="4" style="1" width="22"/>
    <col collapsed="false" customWidth="true" hidden="false" outlineLevel="0" max="7" min="5" style="1" width="16"/>
    <col collapsed="false" customWidth="true" hidden="false" outlineLevel="0" max="8" min="8" style="1" width="14"/>
    <col collapsed="false" customWidth="true" hidden="false" outlineLevel="0" max="9" min="9" style="1" width="23.16"/>
    <col collapsed="false" customWidth="true" hidden="false" outlineLevel="0" max="10" min="10" style="1" width="30"/>
    <col collapsed="false" customWidth="true" hidden="false" outlineLevel="0" max="11" min="11" style="1" width="30.83"/>
    <col collapsed="false" customWidth="true" hidden="false" outlineLevel="0" max="12" min="12" style="1" width="24.67"/>
    <col collapsed="false" customWidth="true" hidden="false" outlineLevel="0" max="13" min="13" style="1" width="28.33"/>
    <col collapsed="false" customWidth="true" hidden="false" outlineLevel="0" max="14" min="14" style="1" width="12.83"/>
    <col collapsed="false" customWidth="true" hidden="false" outlineLevel="0" max="15" min="15" style="1" width="10.83"/>
    <col collapsed="false" customWidth="true" hidden="false" outlineLevel="0" max="16" min="16" style="1" width="11.83"/>
    <col collapsed="false" customWidth="true" hidden="false" outlineLevel="0" max="17" min="17" style="1" width="18.67"/>
    <col collapsed="false" customWidth="true" hidden="false" outlineLevel="0" max="18" min="18" style="1" width="18.5"/>
    <col collapsed="false" customWidth="true" hidden="false" outlineLevel="0" max="19" min="19" style="1" width="15.83"/>
    <col collapsed="false" customWidth="true" hidden="false" outlineLevel="0" max="20" min="20" style="1" width="16.16"/>
    <col collapsed="false" customWidth="true" hidden="false" outlineLevel="0" max="21" min="21" style="1" width="18"/>
    <col collapsed="false" customWidth="true" hidden="false" outlineLevel="0" max="22" min="22" style="1" width="14.52"/>
    <col collapsed="false" customWidth="true" hidden="false" outlineLevel="0" max="23" min="23" style="1" width="13.34"/>
    <col collapsed="false" customWidth="true" hidden="false" outlineLevel="0" max="24" min="24" style="1" width="16"/>
    <col collapsed="false" customWidth="true" hidden="false" outlineLevel="0" max="25" min="25" style="1" width="19.16"/>
    <col collapsed="false" customWidth="true" hidden="false" outlineLevel="0" max="26" min="26" style="1" width="13"/>
    <col collapsed="false" customWidth="true" hidden="false" outlineLevel="0" max="27" min="27" style="1" width="14.52"/>
    <col collapsed="false" customWidth="true" hidden="false" outlineLevel="0" max="28" min="28" style="1" width="16"/>
    <col collapsed="false" customWidth="true" hidden="false" outlineLevel="0" max="29" min="29" style="1" width="12.83"/>
    <col collapsed="false" customWidth="true" hidden="false" outlineLevel="0" max="30" min="30" style="1" width="17.33"/>
    <col collapsed="false" customWidth="true" hidden="false" outlineLevel="0" max="31" min="31" style="1" width="24"/>
    <col collapsed="false" customWidth="true" hidden="false" outlineLevel="0" max="32" min="32" style="1" width="30"/>
    <col collapsed="false" customWidth="true" hidden="false" outlineLevel="0" max="33" min="33" style="1" width="21"/>
    <col collapsed="false" customWidth="true" hidden="false" outlineLevel="0" max="35" min="34" style="1" width="16"/>
  </cols>
  <sheetData>
    <row r="1" customFormat="false" ht="43.5" hidden="false" customHeight="true" outlineLevel="0" collapsed="false">
      <c r="A1" s="33" t="s">
        <v>260</v>
      </c>
      <c r="B1" s="33" t="s">
        <v>261</v>
      </c>
      <c r="C1" s="33" t="s">
        <v>234</v>
      </c>
      <c r="D1" s="33" t="s">
        <v>370</v>
      </c>
      <c r="E1" s="33" t="s">
        <v>371</v>
      </c>
      <c r="F1" s="33" t="s">
        <v>372</v>
      </c>
      <c r="G1" s="33" t="s">
        <v>373</v>
      </c>
      <c r="H1" s="33" t="s">
        <v>374</v>
      </c>
      <c r="I1" s="114" t="s">
        <v>375</v>
      </c>
      <c r="J1" s="114" t="s">
        <v>376</v>
      </c>
      <c r="K1" s="114" t="s">
        <v>377</v>
      </c>
      <c r="L1" s="114" t="s">
        <v>378</v>
      </c>
      <c r="M1" s="114" t="s">
        <v>379</v>
      </c>
      <c r="N1" s="115" t="s">
        <v>380</v>
      </c>
      <c r="O1" s="116" t="s">
        <v>352</v>
      </c>
      <c r="P1" s="117" t="s">
        <v>381</v>
      </c>
      <c r="Q1" s="117" t="s">
        <v>382</v>
      </c>
      <c r="R1" s="117" t="s">
        <v>383</v>
      </c>
      <c r="S1" s="117" t="s">
        <v>384</v>
      </c>
      <c r="T1" s="118" t="s">
        <v>385</v>
      </c>
      <c r="U1" s="114" t="s">
        <v>386</v>
      </c>
      <c r="V1" s="114" t="s">
        <v>387</v>
      </c>
      <c r="W1" s="114" t="s">
        <v>388</v>
      </c>
      <c r="X1" s="114" t="s">
        <v>389</v>
      </c>
      <c r="Y1" s="114" t="s">
        <v>390</v>
      </c>
      <c r="Z1" s="115" t="s">
        <v>391</v>
      </c>
      <c r="AA1" s="33" t="s">
        <v>392</v>
      </c>
      <c r="AB1" s="115" t="s">
        <v>393</v>
      </c>
      <c r="AC1" s="33" t="s">
        <v>394</v>
      </c>
      <c r="AD1" s="33" t="s">
        <v>395</v>
      </c>
      <c r="AE1" s="33" t="s">
        <v>396</v>
      </c>
      <c r="AF1" s="33" t="s">
        <v>252</v>
      </c>
      <c r="AG1" s="33" t="s">
        <v>397</v>
      </c>
      <c r="AH1" s="33" t="s">
        <v>398</v>
      </c>
      <c r="AI1" s="33" t="s">
        <v>399</v>
      </c>
    </row>
    <row r="2" customFormat="false" ht="28.5" hidden="false" customHeight="true" outlineLevel="0" collapsed="false">
      <c r="A2" s="119" t="s">
        <v>276</v>
      </c>
      <c r="B2" s="120" t="s">
        <v>266</v>
      </c>
      <c r="C2" s="120" t="s">
        <v>400</v>
      </c>
      <c r="D2" s="120" t="s">
        <v>401</v>
      </c>
      <c r="E2" s="120" t="s">
        <v>402</v>
      </c>
      <c r="F2" s="120" t="s">
        <v>270</v>
      </c>
      <c r="G2" s="120" t="s">
        <v>403</v>
      </c>
      <c r="H2" s="120" t="s">
        <v>404</v>
      </c>
      <c r="I2" s="121" t="n">
        <v>5</v>
      </c>
      <c r="J2" s="121" t="n">
        <v>5</v>
      </c>
      <c r="K2" s="121" t="n">
        <v>5</v>
      </c>
      <c r="L2" s="121" t="n">
        <v>4</v>
      </c>
      <c r="M2" s="121" t="n">
        <v>3</v>
      </c>
      <c r="N2" s="92" t="n">
        <f aca="false">IF(OR($B2="", $I2="", $J2="", $K2="", $L2="", $M2=""),"",ROUND(($I2*Lists!$AD$2)+($J2*Lists!$AD$3)+($K2*Lists!$AD$4)+($L2*Lists!$AD$5)+($M2*Lists!$AD$6),2))</f>
        <v>4.4</v>
      </c>
      <c r="O2" s="92" t="n">
        <f aca="false">IF($A2="","",IFERROR(VLOOKUP($A2,'Risk Register'!$B$2:$I$1000,8,FALSE()),""))</f>
        <v>3.4</v>
      </c>
      <c r="P2" s="121" t="n">
        <v>4</v>
      </c>
      <c r="Q2" s="121" t="n">
        <v>4</v>
      </c>
      <c r="R2" s="121" t="n">
        <v>3</v>
      </c>
      <c r="S2" s="121" t="n">
        <v>4</v>
      </c>
      <c r="T2" s="92" t="n">
        <f aca="false">IF(OR($B2="", $P2="", $Q2="", $R2="", $S2=""),"",ROUND(($P2*Lists!$AD$7)+($Q2*Lists!$AD$8)+($R2*Lists!$AD$9)+($S2*Lists!$AD$10),2))</f>
        <v>3.75</v>
      </c>
      <c r="U2" s="121" t="n">
        <v>2</v>
      </c>
      <c r="V2" s="121" t="n">
        <v>2</v>
      </c>
      <c r="W2" s="121" t="n">
        <v>2</v>
      </c>
      <c r="X2" s="121" t="n">
        <v>3</v>
      </c>
      <c r="Y2" s="121" t="n">
        <v>2</v>
      </c>
      <c r="Z2" s="92" t="n">
        <f aca="false">IF(OR($B2="", $U2="", $V2="", $W2="", $X2="", $Y2=""),"",ROUND(($U2*Lists!$AD$11)+($V2*Lists!$AD$12)+($W2*Lists!$AD$13)+($X2*Lists!$AD$14)+($Y2*Lists!$AD$15),2))</f>
        <v>2.2</v>
      </c>
      <c r="AA2" s="92" t="n">
        <f aca="false">IF(OR($B2="", $N2="", $O2="", $T2="", $Z2=""),"",ROUND(($N2*Lists!$AD$16)-($O2*Lists!$AD$17)-($T2*Lists!$AD$18)+($Z2*Lists!$AD$19),2))</f>
        <v>-0.14</v>
      </c>
      <c r="AB2" s="110" t="str">
        <f aca="false">IF(OR($B2="", $N2="", $Z2=""),"",IF($N2&gt;=Lists!$AG$2,IF($Z2&gt;=Lists!$AG$3,"Invest","Migrate"),IF($Z2&gt;=Lists!$AG$3,"Tolerate","Eliminate")))</f>
        <v>Migrate</v>
      </c>
      <c r="AC2" s="110" t="str">
        <f aca="false">IF($B2="","",IF($J2&gt;=4,"Yes",""))</f>
        <v>Yes</v>
      </c>
      <c r="AD2" s="110" t="str">
        <f aca="false">IF($A2="","",IFERROR(IF(VLOOKUP($A2,'Risk Register'!$B$2:$H$1000,4,FALSE())&gt;=4,"Yes",""),""))</f>
        <v>Yes</v>
      </c>
      <c r="AE2" s="110" t="str">
        <f aca="false">IF(OR($N2="", $O2=""),"",IF($N2&gt;=Lists!$AG$2,IF($O2&gt;=Lists!$AG$4,"High Value / High Risk","High Value / Low Risk"),IF($O2&gt;=Lists!$AG$4,"Low Value / High Risk","Low Value / Low Risk")))</f>
        <v>High Value / Low Risk</v>
      </c>
      <c r="AF2" s="120"/>
      <c r="AG2" s="122"/>
      <c r="AH2" s="95" t="n">
        <f aca="false">IF($B2="","",COUNTIFS('Debt Backlog'!$AF$2:$AF$1000,$A2,'Debt Backlog'!$B$2:$B$1000,"&lt;&gt;",'Debt Backlog'!$N$2:$N$1000,"&lt;&gt;Done",'Debt Backlog'!$N$2:$N$1000,"&lt;&gt;Won't Fix",'Debt Backlog'!$N$2:$N$1000,"&lt;&gt;Duplicate"))</f>
        <v>2</v>
      </c>
      <c r="AI2" s="92" t="n">
        <f aca="false">IF($B2="","",ROUND(SUMIFS('Debt Backlog'!$L$2:$L$1000,'Debt Backlog'!$AF$2:$AF$1000,$A2,'Debt Backlog'!$B$2:$B$1000,"&lt;&gt;",'Debt Backlog'!$N$2:$N$1000,"&lt;&gt;Done",'Debt Backlog'!$N$2:$N$1000,"&lt;&gt;Won't Fix",'Debt Backlog'!$N$2:$N$1000,"&lt;&gt;Duplicate"),2))</f>
        <v>3.73</v>
      </c>
    </row>
    <row r="3" customFormat="false" ht="25.5" hidden="false" customHeight="true" outlineLevel="0" collapsed="false">
      <c r="A3" s="119" t="s">
        <v>290</v>
      </c>
      <c r="B3" s="123" t="s">
        <v>405</v>
      </c>
      <c r="C3" s="123" t="s">
        <v>406</v>
      </c>
      <c r="D3" s="123" t="s">
        <v>407</v>
      </c>
      <c r="E3" s="123" t="s">
        <v>408</v>
      </c>
      <c r="F3" s="123" t="s">
        <v>285</v>
      </c>
      <c r="G3" s="123" t="s">
        <v>409</v>
      </c>
      <c r="H3" s="123" t="s">
        <v>410</v>
      </c>
      <c r="I3" s="121" t="n">
        <v>5</v>
      </c>
      <c r="J3" s="121" t="n">
        <v>5</v>
      </c>
      <c r="K3" s="121" t="n">
        <v>4</v>
      </c>
      <c r="L3" s="121" t="n">
        <v>3</v>
      </c>
      <c r="M3" s="121" t="n">
        <v>3</v>
      </c>
      <c r="N3" s="92" t="n">
        <f aca="false">IF(OR($B3="", $I3="", $J3="", $K3="", $L3="", $M3=""),"",ROUND(($I3*Lists!$AD$2)+($J3*Lists!$AD$3)+($K3*Lists!$AD$4)+($L3*Lists!$AD$5)+($M3*Lists!$AD$6),2))</f>
        <v>4</v>
      </c>
      <c r="O3" s="92" t="n">
        <f aca="false">IF($A3="","",IFERROR(VLOOKUP($A3,'Risk Register'!$B$2:$I$1000,8,FALSE()),""))</f>
        <v>2.2</v>
      </c>
      <c r="P3" s="121" t="n">
        <v>3</v>
      </c>
      <c r="Q3" s="121" t="n">
        <v>3</v>
      </c>
      <c r="R3" s="121" t="n">
        <v>3</v>
      </c>
      <c r="S3" s="121" t="n">
        <v>3</v>
      </c>
      <c r="T3" s="92" t="n">
        <f aca="false">IF(OR($B3="", $P3="", $Q3="", $R3="", $S3=""),"",ROUND(($P3*Lists!$AD$7)+($Q3*Lists!$AD$8)+($R3*Lists!$AD$9)+($S3*Lists!$AD$10),2))</f>
        <v>3</v>
      </c>
      <c r="U3" s="121" t="n">
        <v>4</v>
      </c>
      <c r="V3" s="121" t="n">
        <v>4</v>
      </c>
      <c r="W3" s="121" t="n">
        <v>4</v>
      </c>
      <c r="X3" s="121" t="n">
        <v>4</v>
      </c>
      <c r="Y3" s="121" t="n">
        <v>3</v>
      </c>
      <c r="Z3" s="92" t="n">
        <f aca="false">IF(OR($B3="", $U3="", $V3="", $W3="", $X3="", $Y3=""),"",ROUND(($U3*Lists!$AD$11)+($V3*Lists!$AD$12)+($W3*Lists!$AD$13)+($X3*Lists!$AD$14)+($Y3*Lists!$AD$15),2))</f>
        <v>3.8</v>
      </c>
      <c r="AA3" s="92" t="n">
        <f aca="false">IF(OR($B3="", $N3="", $O3="", $T3="", $Z3=""),"",ROUND(($N3*Lists!$AD$16)-($O3*Lists!$AD$17)-($T3*Lists!$AD$18)+($Z3*Lists!$AD$19),2))</f>
        <v>0.65</v>
      </c>
      <c r="AB3" s="110" t="str">
        <f aca="false">IF(OR($B3="", $N3="", $Z3=""),"",IF($N3&gt;=Lists!$AG$2,IF($Z3&gt;=Lists!$AG$3,"Invest","Migrate"),IF($Z3&gt;=Lists!$AG$3,"Tolerate","Eliminate")))</f>
        <v>Invest</v>
      </c>
      <c r="AC3" s="110" t="str">
        <f aca="false">IF($B3="","",IF($J3&gt;=4,"Yes",""))</f>
        <v>Yes</v>
      </c>
      <c r="AD3" s="110" t="str">
        <f aca="false">IF($A3="","",IFERROR(IF(VLOOKUP($A3,'Risk Register'!$B$2:$H$1000,4,FALSE())&gt;=4,"Yes",""),""))</f>
        <v/>
      </c>
      <c r="AE3" s="110" t="str">
        <f aca="false">IF(OR($N3="", $O3=""),"",IF($N3&gt;=Lists!$AG$2,IF($O3&gt;=Lists!$AG$4,"High Value / High Risk","High Value / Low Risk"),IF($O3&gt;=Lists!$AG$4,"Low Value / High Risk","Low Value / Low Risk")))</f>
        <v>High Value / Low Risk</v>
      </c>
      <c r="AF3" s="123"/>
      <c r="AG3" s="124"/>
      <c r="AH3" s="95" t="n">
        <f aca="false">IF($B3="","",COUNTIFS('Debt Backlog'!$AF$2:$AF$1000,$A3,'Debt Backlog'!$B$2:$B$1000,"&lt;&gt;",'Debt Backlog'!$N$2:$N$1000,"&lt;&gt;Done",'Debt Backlog'!$N$2:$N$1000,"&lt;&gt;Won't Fix",'Debt Backlog'!$N$2:$N$1000,"&lt;&gt;Duplicate"))</f>
        <v>1</v>
      </c>
      <c r="AI3" s="92" t="n">
        <f aca="false">IF($B3="","",ROUND(SUMIFS('Debt Backlog'!$L$2:$L$1000,'Debt Backlog'!$AF$2:$AF$1000,$A3,'Debt Backlog'!$B$2:$B$1000,"&lt;&gt;",'Debt Backlog'!$N$2:$N$1000,"&lt;&gt;Done",'Debt Backlog'!$N$2:$N$1000,"&lt;&gt;Won't Fix",'Debt Backlog'!$N$2:$N$1000,"&lt;&gt;Duplicate"),2))</f>
        <v>3</v>
      </c>
    </row>
    <row r="4" customFormat="false" ht="25.5" hidden="false" customHeight="true" outlineLevel="0" collapsed="false">
      <c r="A4" s="119" t="s">
        <v>303</v>
      </c>
      <c r="B4" s="120" t="s">
        <v>411</v>
      </c>
      <c r="C4" s="120" t="s">
        <v>412</v>
      </c>
      <c r="D4" s="120" t="s">
        <v>413</v>
      </c>
      <c r="E4" s="120" t="s">
        <v>414</v>
      </c>
      <c r="F4" s="120" t="s">
        <v>299</v>
      </c>
      <c r="G4" s="120" t="s">
        <v>403</v>
      </c>
      <c r="H4" s="120" t="s">
        <v>410</v>
      </c>
      <c r="I4" s="121" t="n">
        <v>5</v>
      </c>
      <c r="J4" s="121" t="n">
        <v>5</v>
      </c>
      <c r="K4" s="121" t="n">
        <v>5</v>
      </c>
      <c r="L4" s="121" t="n">
        <v>5</v>
      </c>
      <c r="M4" s="121" t="n">
        <v>5</v>
      </c>
      <c r="N4" s="92" t="n">
        <f aca="false">IF(OR($B4="", $I4="", $J4="", $K4="", $L4="", $M4=""),"",ROUND(($I4*Lists!$AD$2)+($J4*Lists!$AD$3)+($K4*Lists!$AD$4)+($L4*Lists!$AD$5)+($M4*Lists!$AD$6),2))</f>
        <v>5</v>
      </c>
      <c r="O4" s="92" t="n">
        <f aca="false">IF($A4="","",IFERROR(VLOOKUP($A4,'Risk Register'!$B$2:$I$1000,8,FALSE()),""))</f>
        <v>4</v>
      </c>
      <c r="P4" s="121" t="n">
        <v>4</v>
      </c>
      <c r="Q4" s="121" t="n">
        <v>3</v>
      </c>
      <c r="R4" s="121" t="n">
        <v>3</v>
      </c>
      <c r="S4" s="121" t="n">
        <v>4</v>
      </c>
      <c r="T4" s="92" t="n">
        <f aca="false">IF(OR($B4="", $P4="", $Q4="", $R4="", $S4=""),"",ROUND(($P4*Lists!$AD$7)+($Q4*Lists!$AD$8)+($R4*Lists!$AD$9)+($S4*Lists!$AD$10),2))</f>
        <v>3.5</v>
      </c>
      <c r="U4" s="121" t="n">
        <v>3</v>
      </c>
      <c r="V4" s="121" t="n">
        <v>2</v>
      </c>
      <c r="W4" s="121" t="n">
        <v>2</v>
      </c>
      <c r="X4" s="121" t="n">
        <v>3</v>
      </c>
      <c r="Y4" s="121" t="n">
        <v>2</v>
      </c>
      <c r="Z4" s="92" t="n">
        <f aca="false">IF(OR($B4="", $U4="", $V4="", $W4="", $X4="", $Y4=""),"",ROUND(($U4*Lists!$AD$11)+($V4*Lists!$AD$12)+($W4*Lists!$AD$13)+($X4*Lists!$AD$14)+($Y4*Lists!$AD$15),2))</f>
        <v>2.4</v>
      </c>
      <c r="AA4" s="92" t="n">
        <f aca="false">IF(OR($B4="", $N4="", $O4="", $T4="", $Z4=""),"",ROUND(($N4*Lists!$AD$16)-($O4*Lists!$AD$17)-($T4*Lists!$AD$18)+($Z4*Lists!$AD$19),2))</f>
        <v>-0.03</v>
      </c>
      <c r="AB4" s="110" t="str">
        <f aca="false">IF(OR($B4="", $N4="", $Z4=""),"",IF($N4&gt;=Lists!$AG$2,IF($Z4&gt;=Lists!$AG$3,"Invest","Migrate"),IF($Z4&gt;=Lists!$AG$3,"Tolerate","Eliminate")))</f>
        <v>Migrate</v>
      </c>
      <c r="AC4" s="110" t="str">
        <f aca="false">IF($B4="","",IF($J4&gt;=4,"Yes",""))</f>
        <v>Yes</v>
      </c>
      <c r="AD4" s="110" t="str">
        <f aca="false">IF($A4="","",IFERROR(IF(VLOOKUP($A4,'Risk Register'!$B$2:$H$1000,4,FALSE())&gt;=4,"Yes",""),""))</f>
        <v>Yes</v>
      </c>
      <c r="AE4" s="110" t="str">
        <f aca="false">IF(OR($N4="", $O4=""),"",IF($N4&gt;=Lists!$AG$2,IF($O4&gt;=Lists!$AG$4,"High Value / High Risk","High Value / Low Risk"),IF($O4&gt;=Lists!$AG$4,"Low Value / High Risk","Low Value / Low Risk")))</f>
        <v>High Value / High Risk</v>
      </c>
      <c r="AF4" s="120"/>
      <c r="AG4" s="122"/>
      <c r="AH4" s="95" t="n">
        <f aca="false">IF($B4="","",COUNTIFS('Debt Backlog'!$AF$2:$AF$1000,$A4,'Debt Backlog'!$B$2:$B$1000,"&lt;&gt;",'Debt Backlog'!$N$2:$N$1000,"&lt;&gt;Done",'Debt Backlog'!$N$2:$N$1000,"&lt;&gt;Won't Fix",'Debt Backlog'!$N$2:$N$1000,"&lt;&gt;Duplicate"))</f>
        <v>1</v>
      </c>
      <c r="AI4" s="92" t="n">
        <f aca="false">IF($B4="","",ROUND(SUMIFS('Debt Backlog'!$L$2:$L$1000,'Debt Backlog'!$AF$2:$AF$1000,$A4,'Debt Backlog'!$B$2:$B$1000,"&lt;&gt;",'Debt Backlog'!$N$2:$N$1000,"&lt;&gt;Done",'Debt Backlog'!$N$2:$N$1000,"&lt;&gt;Won't Fix",'Debt Backlog'!$N$2:$N$1000,"&lt;&gt;Duplicate"),2))</f>
        <v>3</v>
      </c>
    </row>
    <row r="5" customFormat="false" ht="28.5" hidden="false" customHeight="true" outlineLevel="0" collapsed="false">
      <c r="A5" s="119" t="s">
        <v>361</v>
      </c>
      <c r="B5" s="123" t="s">
        <v>415</v>
      </c>
      <c r="C5" s="123" t="s">
        <v>416</v>
      </c>
      <c r="D5" s="123" t="s">
        <v>417</v>
      </c>
      <c r="E5" s="123" t="s">
        <v>418</v>
      </c>
      <c r="F5" s="123" t="s">
        <v>285</v>
      </c>
      <c r="G5" s="123" t="s">
        <v>419</v>
      </c>
      <c r="H5" s="123" t="s">
        <v>420</v>
      </c>
      <c r="I5" s="121" t="n">
        <v>1</v>
      </c>
      <c r="J5" s="121" t="n">
        <v>2</v>
      </c>
      <c r="K5" s="121" t="n">
        <v>1</v>
      </c>
      <c r="L5" s="121" t="n">
        <v>1</v>
      </c>
      <c r="M5" s="121" t="n">
        <v>1</v>
      </c>
      <c r="N5" s="92" t="n">
        <f aca="false">IF(OR($B5="", $I5="", $J5="", $K5="", $L5="", $M5=""),"",ROUND(($I5*Lists!$AD$2)+($J5*Lists!$AD$3)+($K5*Lists!$AD$4)+($L5*Lists!$AD$5)+($M5*Lists!$AD$6),2))</f>
        <v>1.2</v>
      </c>
      <c r="O5" s="92" t="n">
        <f aca="false">IF($A5="","",IFERROR(VLOOKUP($A5,'Risk Register'!$B$2:$I$1000,8,FALSE()),""))</f>
        <v>4</v>
      </c>
      <c r="P5" s="121" t="n">
        <v>4</v>
      </c>
      <c r="Q5" s="121" t="n">
        <v>5</v>
      </c>
      <c r="R5" s="121" t="n">
        <v>4</v>
      </c>
      <c r="S5" s="121" t="n">
        <v>5</v>
      </c>
      <c r="T5" s="92" t="n">
        <f aca="false">IF(OR($B5="", $P5="", $Q5="", $R5="", $S5=""),"",ROUND(($P5*Lists!$AD$7)+($Q5*Lists!$AD$8)+($R5*Lists!$AD$9)+($S5*Lists!$AD$10),2))</f>
        <v>4.5</v>
      </c>
      <c r="U5" s="121" t="n">
        <v>1</v>
      </c>
      <c r="V5" s="121" t="n">
        <v>1</v>
      </c>
      <c r="W5" s="121" t="n">
        <v>2</v>
      </c>
      <c r="X5" s="121" t="n">
        <v>1</v>
      </c>
      <c r="Y5" s="121" t="n">
        <v>1</v>
      </c>
      <c r="Z5" s="92" t="n">
        <f aca="false">IF(OR($B5="", $U5="", $V5="", $W5="", $X5="", $Y5=""),"",ROUND(($U5*Lists!$AD$11)+($V5*Lists!$AD$12)+($W5*Lists!$AD$13)+($X5*Lists!$AD$14)+($Y5*Lists!$AD$15),2))</f>
        <v>1.2</v>
      </c>
      <c r="AA5" s="92" t="n">
        <f aca="false">IF(OR($B5="", $N5="", $O5="", $T5="", $Z5=""),"",ROUND(($N5*Lists!$AD$16)-($O5*Lists!$AD$17)-($T5*Lists!$AD$18)+($Z5*Lists!$AD$19),2))</f>
        <v>-1.53</v>
      </c>
      <c r="AB5" s="110" t="str">
        <f aca="false">IF(OR($B5="", $N5="", $Z5=""),"",IF($N5&gt;=Lists!$AG$2,IF($Z5&gt;=Lists!$AG$3,"Invest","Migrate"),IF($Z5&gt;=Lists!$AG$3,"Tolerate","Eliminate")))</f>
        <v>Eliminate</v>
      </c>
      <c r="AC5" s="110" t="str">
        <f aca="false">IF($B5="","",IF($J5&gt;=4,"Yes",""))</f>
        <v/>
      </c>
      <c r="AD5" s="110" t="str">
        <f aca="false">IF($A5="","",IFERROR(IF(VLOOKUP($A5,'Risk Register'!$B$2:$H$1000,4,FALSE())&gt;=4,"Yes",""),""))</f>
        <v/>
      </c>
      <c r="AE5" s="110" t="str">
        <f aca="false">IF(OR($N5="", $O5=""),"",IF($N5&gt;=Lists!$AG$2,IF($O5&gt;=Lists!$AG$4,"High Value / High Risk","High Value / Low Risk"),IF($O5&gt;=Lists!$AG$4,"Low Value / High Risk","Low Value / Low Risk")))</f>
        <v>Low Value / High Risk</v>
      </c>
      <c r="AF5" s="123"/>
      <c r="AG5" s="124"/>
      <c r="AH5" s="95" t="n">
        <f aca="false">IF($B5="","",COUNTIFS('Debt Backlog'!$AF$2:$AF$1000,$A5,'Debt Backlog'!$B$2:$B$1000,"&lt;&gt;",'Debt Backlog'!$N$2:$N$1000,"&lt;&gt;Done",'Debt Backlog'!$N$2:$N$1000,"&lt;&gt;Won't Fix",'Debt Backlog'!$N$2:$N$1000,"&lt;&gt;Duplicate"))</f>
        <v>0</v>
      </c>
      <c r="AI5" s="92" t="n">
        <f aca="false">IF($B5="","",ROUND(SUMIFS('Debt Backlog'!$L$2:$L$1000,'Debt Backlog'!$AF$2:$AF$1000,$A5,'Debt Backlog'!$B$2:$B$1000,"&lt;&gt;",'Debt Backlog'!$N$2:$N$1000,"&lt;&gt;Done",'Debt Backlog'!$N$2:$N$1000,"&lt;&gt;Won't Fix",'Debt Backlog'!$N$2:$N$1000,"&lt;&gt;Duplicate"),2))</f>
        <v>0</v>
      </c>
    </row>
    <row r="6" customFormat="false" ht="28.5" hidden="false" customHeight="true" outlineLevel="0" collapsed="false">
      <c r="A6" s="119" t="s">
        <v>364</v>
      </c>
      <c r="B6" s="120" t="s">
        <v>421</v>
      </c>
      <c r="C6" s="120" t="s">
        <v>422</v>
      </c>
      <c r="D6" s="120" t="s">
        <v>423</v>
      </c>
      <c r="E6" s="120" t="s">
        <v>424</v>
      </c>
      <c r="F6" s="120" t="s">
        <v>321</v>
      </c>
      <c r="G6" s="120" t="s">
        <v>403</v>
      </c>
      <c r="H6" s="120" t="s">
        <v>404</v>
      </c>
      <c r="I6" s="121" t="n">
        <v>3</v>
      </c>
      <c r="J6" s="121" t="n">
        <v>2</v>
      </c>
      <c r="K6" s="121" t="n">
        <v>2</v>
      </c>
      <c r="L6" s="121" t="n">
        <v>3</v>
      </c>
      <c r="M6" s="121" t="n">
        <v>1</v>
      </c>
      <c r="N6" s="92" t="n">
        <f aca="false">IF(OR($B6="", $I6="", $J6="", $K6="", $L6="", $M6=""),"",ROUND(($I6*Lists!$AD$2)+($J6*Lists!$AD$3)+($K6*Lists!$AD$4)+($L6*Lists!$AD$5)+($M6*Lists!$AD$6),2))</f>
        <v>2.2</v>
      </c>
      <c r="O6" s="92" t="n">
        <f aca="false">IF($A6="","",IFERROR(VLOOKUP($A6,'Risk Register'!$B$2:$I$1000,8,FALSE()),""))</f>
        <v>2.2</v>
      </c>
      <c r="P6" s="121" t="n">
        <v>2</v>
      </c>
      <c r="Q6" s="121" t="n">
        <v>2</v>
      </c>
      <c r="R6" s="121" t="n">
        <v>3</v>
      </c>
      <c r="S6" s="121" t="n">
        <v>2</v>
      </c>
      <c r="T6" s="92" t="n">
        <f aca="false">IF(OR($B6="", $P6="", $Q6="", $R6="", $S6=""),"",ROUND(($P6*Lists!$AD$7)+($Q6*Lists!$AD$8)+($R6*Lists!$AD$9)+($S6*Lists!$AD$10),2))</f>
        <v>2.25</v>
      </c>
      <c r="U6" s="121" t="n">
        <v>4</v>
      </c>
      <c r="V6" s="121" t="n">
        <v>4</v>
      </c>
      <c r="W6" s="121" t="n">
        <v>4</v>
      </c>
      <c r="X6" s="121" t="n">
        <v>4</v>
      </c>
      <c r="Y6" s="121" t="n">
        <v>4</v>
      </c>
      <c r="Z6" s="92" t="n">
        <f aca="false">IF(OR($B6="", $U6="", $V6="", $W6="", $X6="", $Y6=""),"",ROUND(($U6*Lists!$AD$11)+($V6*Lists!$AD$12)+($W6*Lists!$AD$13)+($X6*Lists!$AD$14)+($Y6*Lists!$AD$15),2))</f>
        <v>4</v>
      </c>
      <c r="AA6" s="92" t="n">
        <f aca="false">IF(OR($B6="", $N6="", $O6="", $T6="", $Z6=""),"",ROUND(($N6*Lists!$AD$16)-($O6*Lists!$AD$17)-($T6*Lists!$AD$18)+($Z6*Lists!$AD$19),2))</f>
        <v>0.44</v>
      </c>
      <c r="AB6" s="110" t="str">
        <f aca="false">IF(OR($B6="", $N6="", $Z6=""),"",IF($N6&gt;=Lists!$AG$2,IF($Z6&gt;=Lists!$AG$3,"Invest","Migrate"),IF($Z6&gt;=Lists!$AG$3,"Tolerate","Eliminate")))</f>
        <v>Tolerate</v>
      </c>
      <c r="AC6" s="110" t="str">
        <f aca="false">IF($B6="","",IF($J6&gt;=4,"Yes",""))</f>
        <v/>
      </c>
      <c r="AD6" s="110" t="str">
        <f aca="false">IF($A6="","",IFERROR(IF(VLOOKUP($A6,'Risk Register'!$B$2:$H$1000,4,FALSE())&gt;=4,"Yes",""),""))</f>
        <v/>
      </c>
      <c r="AE6" s="110" t="str">
        <f aca="false">IF(OR($N6="", $O6=""),"",IF($N6&gt;=Lists!$AG$2,IF($O6&gt;=Lists!$AG$4,"High Value / High Risk","High Value / Low Risk"),IF($O6&gt;=Lists!$AG$4,"Low Value / High Risk","Low Value / Low Risk")))</f>
        <v>Low Value / Low Risk</v>
      </c>
      <c r="AF6" s="120"/>
      <c r="AG6" s="122"/>
      <c r="AH6" s="95" t="n">
        <f aca="false">IF($B6="","",COUNTIFS('Debt Backlog'!$AF$2:$AF$1000,$A6,'Debt Backlog'!$B$2:$B$1000,"&lt;&gt;",'Debt Backlog'!$N$2:$N$1000,"&lt;&gt;Done",'Debt Backlog'!$N$2:$N$1000,"&lt;&gt;Won't Fix",'Debt Backlog'!$N$2:$N$1000,"&lt;&gt;Duplicate"))</f>
        <v>0</v>
      </c>
      <c r="AI6" s="92" t="n">
        <f aca="false">IF($B6="","",ROUND(SUMIFS('Debt Backlog'!$L$2:$L$1000,'Debt Backlog'!$AF$2:$AF$1000,$A6,'Debt Backlog'!$B$2:$B$1000,"&lt;&gt;",'Debt Backlog'!$N$2:$N$1000,"&lt;&gt;Done",'Debt Backlog'!$N$2:$N$1000,"&lt;&gt;Won't Fix",'Debt Backlog'!$N$2:$N$1000,"&lt;&gt;Duplicate"),2))</f>
        <v>0</v>
      </c>
    </row>
    <row r="7" customFormat="false" ht="28.5" hidden="false" customHeight="true" outlineLevel="0" collapsed="false">
      <c r="A7" s="119" t="s">
        <v>335</v>
      </c>
      <c r="B7" s="123" t="s">
        <v>425</v>
      </c>
      <c r="C7" s="123" t="s">
        <v>426</v>
      </c>
      <c r="D7" s="123" t="s">
        <v>328</v>
      </c>
      <c r="E7" s="123" t="s">
        <v>427</v>
      </c>
      <c r="F7" s="123" t="s">
        <v>331</v>
      </c>
      <c r="G7" s="123" t="s">
        <v>403</v>
      </c>
      <c r="H7" s="123" t="s">
        <v>410</v>
      </c>
      <c r="I7" s="121" t="n">
        <v>4</v>
      </c>
      <c r="J7" s="121" t="n">
        <v>5</v>
      </c>
      <c r="K7" s="121" t="n">
        <v>3</v>
      </c>
      <c r="L7" s="121" t="n">
        <v>2</v>
      </c>
      <c r="M7" s="121" t="n">
        <v>5</v>
      </c>
      <c r="N7" s="92" t="n">
        <f aca="false">IF(OR($B7="", $I7="", $J7="", $K7="", $L7="", $M7=""),"",ROUND(($I7*Lists!$AD$2)+($J7*Lists!$AD$3)+($K7*Lists!$AD$4)+($L7*Lists!$AD$5)+($M7*Lists!$AD$6),2))</f>
        <v>3.8</v>
      </c>
      <c r="O7" s="92" t="n">
        <f aca="false">IF($A7="","",IFERROR(VLOOKUP($A7,'Risk Register'!$B$2:$I$1000,8,FALSE()),""))</f>
        <v>3.2</v>
      </c>
      <c r="P7" s="121" t="n">
        <v>3</v>
      </c>
      <c r="Q7" s="121" t="n">
        <v>3</v>
      </c>
      <c r="R7" s="121" t="n">
        <v>2</v>
      </c>
      <c r="S7" s="121" t="n">
        <v>3</v>
      </c>
      <c r="T7" s="92" t="n">
        <f aca="false">IF(OR($B7="", $P7="", $Q7="", $R7="", $S7=""),"",ROUND(($P7*Lists!$AD$7)+($Q7*Lists!$AD$8)+($R7*Lists!$AD$9)+($S7*Lists!$AD$10),2))</f>
        <v>2.75</v>
      </c>
      <c r="U7" s="121" t="n">
        <v>3</v>
      </c>
      <c r="V7" s="121" t="n">
        <v>3</v>
      </c>
      <c r="W7" s="121" t="n">
        <v>2</v>
      </c>
      <c r="X7" s="121" t="n">
        <v>3</v>
      </c>
      <c r="Y7" s="121" t="n">
        <v>2</v>
      </c>
      <c r="Z7" s="92" t="n">
        <f aca="false">IF(OR($B7="", $U7="", $V7="", $W7="", $X7="", $Y7=""),"",ROUND(($U7*Lists!$AD$11)+($V7*Lists!$AD$12)+($W7*Lists!$AD$13)+($X7*Lists!$AD$14)+($Y7*Lists!$AD$15),2))</f>
        <v>2.6</v>
      </c>
      <c r="AA7" s="92" t="n">
        <f aca="false">IF(OR($B7="", $N7="", $O7="", $T7="", $Z7=""),"",ROUND(($N7*Lists!$AD$16)-($O7*Lists!$AD$17)-($T7*Lists!$AD$18)+($Z7*Lists!$AD$19),2))</f>
        <v>0.11</v>
      </c>
      <c r="AB7" s="110" t="str">
        <f aca="false">IF(OR($B7="", $N7="", $Z7=""),"",IF($N7&gt;=Lists!$AG$2,IF($Z7&gt;=Lists!$AG$3,"Invest","Migrate"),IF($Z7&gt;=Lists!$AG$3,"Tolerate","Eliminate")))</f>
        <v>Migrate</v>
      </c>
      <c r="AC7" s="110" t="str">
        <f aca="false">IF($B7="","",IF($J7&gt;=4,"Yes",""))</f>
        <v>Yes</v>
      </c>
      <c r="AD7" s="110" t="str">
        <f aca="false">IF($A7="","",IFERROR(IF(VLOOKUP($A7,'Risk Register'!$B$2:$H$1000,4,FALSE())&gt;=4,"Yes",""),""))</f>
        <v/>
      </c>
      <c r="AE7" s="110" t="str">
        <f aca="false">IF(OR($N7="", $O7=""),"",IF($N7&gt;=Lists!$AG$2,IF($O7&gt;=Lists!$AG$4,"High Value / High Risk","High Value / Low Risk"),IF($O7&gt;=Lists!$AG$4,"Low Value / High Risk","Low Value / Low Risk")))</f>
        <v>High Value / Low Risk</v>
      </c>
      <c r="AF7" s="123"/>
      <c r="AG7" s="124"/>
      <c r="AH7" s="95" t="n">
        <f aca="false">IF($B7="","",COUNTIFS('Debt Backlog'!$AF$2:$AF$1000,$A7,'Debt Backlog'!$B$2:$B$1000,"&lt;&gt;",'Debt Backlog'!$N$2:$N$1000,"&lt;&gt;Done",'Debt Backlog'!$N$2:$N$1000,"&lt;&gt;Won't Fix",'Debt Backlog'!$N$2:$N$1000,"&lt;&gt;Duplicate"))</f>
        <v>1</v>
      </c>
      <c r="AI7" s="92" t="n">
        <f aca="false">IF($B7="","",ROUND(SUMIFS('Debt Backlog'!$L$2:$L$1000,'Debt Backlog'!$AF$2:$AF$1000,$A7,'Debt Backlog'!$B$2:$B$1000,"&lt;&gt;",'Debt Backlog'!$N$2:$N$1000,"&lt;&gt;Done",'Debt Backlog'!$N$2:$N$1000,"&lt;&gt;Won't Fix",'Debt Backlog'!$N$2:$N$1000,"&lt;&gt;Duplicate"),2))</f>
        <v>3.6</v>
      </c>
    </row>
    <row r="8" customFormat="false" ht="28.5" hidden="false" customHeight="true" outlineLevel="0" collapsed="false">
      <c r="A8" s="119" t="s">
        <v>345</v>
      </c>
      <c r="B8" s="120" t="s">
        <v>428</v>
      </c>
      <c r="C8" s="120" t="s">
        <v>429</v>
      </c>
      <c r="D8" s="120" t="s">
        <v>430</v>
      </c>
      <c r="E8" s="120" t="s">
        <v>431</v>
      </c>
      <c r="F8" s="120" t="s">
        <v>343</v>
      </c>
      <c r="G8" s="120" t="s">
        <v>432</v>
      </c>
      <c r="H8" s="120" t="s">
        <v>404</v>
      </c>
      <c r="I8" s="121" t="n">
        <v>4</v>
      </c>
      <c r="J8" s="121" t="n">
        <v>3</v>
      </c>
      <c r="K8" s="121" t="n">
        <v>3</v>
      </c>
      <c r="L8" s="121" t="n">
        <v>4</v>
      </c>
      <c r="M8" s="121" t="n">
        <v>3</v>
      </c>
      <c r="N8" s="92" t="n">
        <f aca="false">IF(OR($B8="", $I8="", $J8="", $K8="", $L8="", $M8=""),"",ROUND(($I8*Lists!$AD$2)+($J8*Lists!$AD$3)+($K8*Lists!$AD$4)+($L8*Lists!$AD$5)+($M8*Lists!$AD$6),2))</f>
        <v>3.4</v>
      </c>
      <c r="O8" s="92" t="n">
        <f aca="false">IF($A8="","",IFERROR(VLOOKUP($A8,'Risk Register'!$B$2:$I$1000,8,FALSE()),""))</f>
        <v>3</v>
      </c>
      <c r="P8" s="121" t="n">
        <v>3</v>
      </c>
      <c r="Q8" s="121" t="n">
        <v>3</v>
      </c>
      <c r="R8" s="121" t="n">
        <v>3</v>
      </c>
      <c r="S8" s="121" t="n">
        <v>3</v>
      </c>
      <c r="T8" s="92" t="n">
        <f aca="false">IF(OR($B8="", $P8="", $Q8="", $R8="", $S8=""),"",ROUND(($P8*Lists!$AD$7)+($Q8*Lists!$AD$8)+($R8*Lists!$AD$9)+($S8*Lists!$AD$10),2))</f>
        <v>3</v>
      </c>
      <c r="U8" s="121" t="n">
        <v>4</v>
      </c>
      <c r="V8" s="121" t="n">
        <v>4</v>
      </c>
      <c r="W8" s="121" t="n">
        <v>3</v>
      </c>
      <c r="X8" s="121" t="n">
        <v>4</v>
      </c>
      <c r="Y8" s="121" t="n">
        <v>4</v>
      </c>
      <c r="Z8" s="92" t="n">
        <f aca="false">IF(OR($B8="", $U8="", $V8="", $W8="", $X8="", $Y8=""),"",ROUND(($U8*Lists!$AD$11)+($V8*Lists!$AD$12)+($W8*Lists!$AD$13)+($X8*Lists!$AD$14)+($Y8*Lists!$AD$15),2))</f>
        <v>3.8</v>
      </c>
      <c r="AA8" s="92" t="n">
        <f aca="false">IF(OR($B8="", $N8="", $O8="", $T8="", $Z8=""),"",ROUND(($N8*Lists!$AD$16)-($O8*Lists!$AD$17)-($T8*Lists!$AD$18)+($Z8*Lists!$AD$19),2))</f>
        <v>0.3</v>
      </c>
      <c r="AB8" s="110" t="str">
        <f aca="false">IF(OR($B8="", $N8="", $Z8=""),"",IF($N8&gt;=Lists!$AG$2,IF($Z8&gt;=Lists!$AG$3,"Invest","Migrate"),IF($Z8&gt;=Lists!$AG$3,"Tolerate","Eliminate")))</f>
        <v>Invest</v>
      </c>
      <c r="AC8" s="110" t="str">
        <f aca="false">IF($B8="","",IF($J8&gt;=4,"Yes",""))</f>
        <v/>
      </c>
      <c r="AD8" s="110" t="str">
        <f aca="false">IF($A8="","",IFERROR(IF(VLOOKUP($A8,'Risk Register'!$B$2:$H$1000,4,FALSE())&gt;=4,"Yes",""),""))</f>
        <v>Yes</v>
      </c>
      <c r="AE8" s="110" t="str">
        <f aca="false">IF(OR($N8="", $O8=""),"",IF($N8&gt;=Lists!$AG$2,IF($O8&gt;=Lists!$AG$4,"High Value / High Risk","High Value / Low Risk"),IF($O8&gt;=Lists!$AG$4,"Low Value / High Risk","Low Value / Low Risk")))</f>
        <v>High Value / Low Risk</v>
      </c>
      <c r="AF8" s="120"/>
      <c r="AG8" s="122"/>
      <c r="AH8" s="95" t="n">
        <f aca="false">IF($B8="","",COUNTIFS('Debt Backlog'!$AF$2:$AF$1000,$A8,'Debt Backlog'!$B$2:$B$1000,"&lt;&gt;",'Debt Backlog'!$N$2:$N$1000,"&lt;&gt;Done",'Debt Backlog'!$N$2:$N$1000,"&lt;&gt;Won't Fix",'Debt Backlog'!$N$2:$N$1000,"&lt;&gt;Duplicate"))</f>
        <v>1</v>
      </c>
      <c r="AI8" s="92" t="n">
        <f aca="false">IF($B8="","",ROUND(SUMIFS('Debt Backlog'!$L$2:$L$1000,'Debt Backlog'!$AF$2:$AF$1000,$A8,'Debt Backlog'!$B$2:$B$1000,"&lt;&gt;",'Debt Backlog'!$N$2:$N$1000,"&lt;&gt;Done",'Debt Backlog'!$N$2:$N$1000,"&lt;&gt;Won't Fix",'Debt Backlog'!$N$2:$N$1000,"&lt;&gt;Duplicate"),2))</f>
        <v>2</v>
      </c>
    </row>
    <row r="9" customFormat="false" ht="28.5" hidden="false" customHeight="true" outlineLevel="0" collapsed="false">
      <c r="A9" s="119"/>
      <c r="B9" s="123"/>
      <c r="C9" s="123"/>
      <c r="D9" s="123"/>
      <c r="E9" s="123"/>
      <c r="F9" s="123"/>
      <c r="G9" s="123"/>
      <c r="H9" s="123"/>
      <c r="I9" s="121"/>
      <c r="J9" s="121"/>
      <c r="K9" s="121"/>
      <c r="L9" s="121"/>
      <c r="M9" s="121"/>
      <c r="N9" s="92" t="str">
        <f aca="false">IF(OR($B9="", $I9="", $J9="", $K9="", $L9="", $M9=""),"",ROUND(($I9*Lists!$AD$2)+($J9*Lists!$AD$3)+($K9*Lists!$AD$4)+($L9*Lists!$AD$5)+($M9*Lists!$AD$6),2))</f>
        <v/>
      </c>
      <c r="O9" s="92"/>
      <c r="P9" s="121"/>
      <c r="Q9" s="121"/>
      <c r="R9" s="121"/>
      <c r="S9" s="121"/>
      <c r="T9" s="92" t="str">
        <f aca="false">IF(OR($B9="", $P9="", $Q9="", $R9="", $S9=""),"",ROUND(($P9*Lists!$AD$7)+($Q9*Lists!$AD$8)+($R9*Lists!$AD$9)+($S9*Lists!$AD$10),2))</f>
        <v/>
      </c>
      <c r="U9" s="121"/>
      <c r="V9" s="121"/>
      <c r="W9" s="121"/>
      <c r="X9" s="121"/>
      <c r="Y9" s="121"/>
      <c r="Z9" s="92" t="str">
        <f aca="false">IF(OR($B9="", $U9="", $V9="", $W9="", $X9="", $Y9=""),"",ROUND(($U9*Lists!$AD$11)+($V9*Lists!$AD$12)+($W9*Lists!$AD$13)+($X9*Lists!$AD$14)+($Y9*Lists!$AD$15),2))</f>
        <v/>
      </c>
      <c r="AA9" s="92" t="str">
        <f aca="false">IF(OR($B9="", $N9="", $O9="", $T9="", $Z9=""),"",ROUND(($N9*Lists!$AD$16)-($O9*Lists!$AD$17)-($T9*Lists!$AD$18)+($Z9*Lists!$AD$19),2))</f>
        <v/>
      </c>
      <c r="AB9" s="110" t="str">
        <f aca="false">IF(OR($B9="", $N9="", $Z9=""),"",IF($N9&gt;=Lists!$AG$2,IF($Z9&gt;=Lists!$AG$3,"Invest","Migrate"),IF($Z9&gt;=Lists!$AG$3,"Tolerate","Eliminate")))</f>
        <v/>
      </c>
      <c r="AC9" s="110"/>
      <c r="AD9" s="110"/>
      <c r="AE9" s="110" t="str">
        <f aca="false">IF(OR($N9="", $O9=""),"",IF($N9&gt;=Lists!$AG$2,IF($O9&gt;=Lists!$AG$4,"High Value / High Risk","High Value / Low Risk"),IF($O9&gt;=Lists!$AG$4,"Low Value / High Risk","Low Value / Low Risk")))</f>
        <v/>
      </c>
      <c r="AF9" s="123"/>
      <c r="AG9" s="124"/>
      <c r="AH9" s="95" t="str">
        <f aca="false">IF($B9="","",COUNTIFS('Debt Backlog'!$AF$2:$AF$1000,$A9,'Debt Backlog'!$B$2:$B$1000,"&lt;&gt;",'Debt Backlog'!$N$2:$N$1000,"&lt;&gt;Done",'Debt Backlog'!$N$2:$N$1000,"&lt;&gt;Won't Fix",'Debt Backlog'!$N$2:$N$1000,"&lt;&gt;Duplicate"))</f>
        <v/>
      </c>
      <c r="AI9" s="92" t="str">
        <f aca="false">IF($B9="","",ROUND(SUMIFS('Debt Backlog'!$L$2:$L$1000,'Debt Backlog'!$AF$2:$AF$1000,$A9,'Debt Backlog'!$B$2:$B$1000,"&lt;&gt;",'Debt Backlog'!$N$2:$N$1000,"&lt;&gt;Done",'Debt Backlog'!$N$2:$N$1000,"&lt;&gt;Won't Fix",'Debt Backlog'!$N$2:$N$1000,"&lt;&gt;Duplicate"),2))</f>
        <v/>
      </c>
    </row>
    <row r="10" customFormat="false" ht="28.5" hidden="false" customHeight="true" outlineLevel="0" collapsed="false">
      <c r="A10" s="119"/>
      <c r="B10" s="120"/>
      <c r="C10" s="120"/>
      <c r="D10" s="120"/>
      <c r="E10" s="120"/>
      <c r="F10" s="120"/>
      <c r="G10" s="120"/>
      <c r="H10" s="120"/>
      <c r="I10" s="121"/>
      <c r="J10" s="121"/>
      <c r="K10" s="121"/>
      <c r="L10" s="121"/>
      <c r="M10" s="121"/>
      <c r="N10" s="92" t="str">
        <f aca="false">IF(OR($B10="", $I10="", $J10="", $K10="", $L10="", $M10=""),"",ROUND(($I10*Lists!$AD$2)+($J10*Lists!$AD$3)+($K10*Lists!$AD$4)+($L10*Lists!$AD$5)+($M10*Lists!$AD$6),2))</f>
        <v/>
      </c>
      <c r="O10" s="92"/>
      <c r="P10" s="121"/>
      <c r="Q10" s="121"/>
      <c r="R10" s="121"/>
      <c r="S10" s="121"/>
      <c r="T10" s="92" t="str">
        <f aca="false">IF(OR($B10="", $P10="", $Q10="", $R10="", $S10=""),"",ROUND(($P10*Lists!$AD$7)+($Q10*Lists!$AD$8)+($R10*Lists!$AD$9)+($S10*Lists!$AD$10),2))</f>
        <v/>
      </c>
      <c r="U10" s="121"/>
      <c r="V10" s="121"/>
      <c r="W10" s="121"/>
      <c r="X10" s="121"/>
      <c r="Y10" s="121"/>
      <c r="Z10" s="92" t="str">
        <f aca="false">IF(OR($B10="", $U10="", $V10="", $W10="", $X10="", $Y10=""),"",ROUND(($U10*Lists!$AD$11)+($V10*Lists!$AD$12)+($W10*Lists!$AD$13)+($X10*Lists!$AD$14)+($Y10*Lists!$AD$15),2))</f>
        <v/>
      </c>
      <c r="AA10" s="92" t="str">
        <f aca="false">IF(OR($B10="", $N10="", $O10="", $T10="", $Z10=""),"",ROUND(($N10*Lists!$AD$16)-($O10*Lists!$AD$17)-($T10*Lists!$AD$18)+($Z10*Lists!$AD$19),2))</f>
        <v/>
      </c>
      <c r="AB10" s="110" t="str">
        <f aca="false">IF(OR($B10="", $N10="", $Z10=""),"",IF($N10&gt;=Lists!$AG$2,IF($Z10&gt;=Lists!$AG$3,"Invest","Migrate"),IF($Z10&gt;=Lists!$AG$3,"Tolerate","Eliminate")))</f>
        <v/>
      </c>
      <c r="AC10" s="110"/>
      <c r="AD10" s="110"/>
      <c r="AE10" s="110" t="str">
        <f aca="false">IF(OR($N10="", $O10=""),"",IF($N10&gt;=Lists!$AG$2,IF($O10&gt;=Lists!$AG$4,"High Value / High Risk","High Value / Low Risk"),IF($O10&gt;=Lists!$AG$4,"Low Value / High Risk","Low Value / Low Risk")))</f>
        <v/>
      </c>
      <c r="AF10" s="120"/>
      <c r="AG10" s="122"/>
      <c r="AH10" s="95" t="str">
        <f aca="false">IF($B10="","",COUNTIFS('Debt Backlog'!$AF$2:$AF$1000,$A10,'Debt Backlog'!$B$2:$B$1000,"&lt;&gt;",'Debt Backlog'!$N$2:$N$1000,"&lt;&gt;Done",'Debt Backlog'!$N$2:$N$1000,"&lt;&gt;Won't Fix",'Debt Backlog'!$N$2:$N$1000,"&lt;&gt;Duplicate"))</f>
        <v/>
      </c>
      <c r="AI10" s="92" t="str">
        <f aca="false">IF($B10="","",ROUND(SUMIFS('Debt Backlog'!$L$2:$L$1000,'Debt Backlog'!$AF$2:$AF$1000,$A10,'Debt Backlog'!$B$2:$B$1000,"&lt;&gt;",'Debt Backlog'!$N$2:$N$1000,"&lt;&gt;Done",'Debt Backlog'!$N$2:$N$1000,"&lt;&gt;Won't Fix",'Debt Backlog'!$N$2:$N$1000,"&lt;&gt;Duplicate"),2))</f>
        <v/>
      </c>
    </row>
    <row r="11" customFormat="false" ht="15" hidden="false" customHeight="true" outlineLevel="0" collapsed="false">
      <c r="A11" s="119"/>
      <c r="B11" s="123"/>
      <c r="C11" s="123"/>
      <c r="D11" s="123"/>
      <c r="E11" s="123"/>
      <c r="F11" s="123"/>
      <c r="G11" s="123"/>
      <c r="H11" s="123"/>
      <c r="I11" s="121"/>
      <c r="J11" s="121"/>
      <c r="K11" s="121"/>
      <c r="L11" s="121"/>
      <c r="M11" s="121"/>
      <c r="N11" s="92" t="str">
        <f aca="false">IF(OR($B11="", $I11="", $J11="", $K11="", $L11="", $M11=""),"",ROUND(($I11*Lists!$AD$2)+($J11*Lists!$AD$3)+($K11*Lists!$AD$4)+($L11*Lists!$AD$5)+($M11*Lists!$AD$6),2))</f>
        <v/>
      </c>
      <c r="O11" s="92"/>
      <c r="P11" s="121"/>
      <c r="Q11" s="121"/>
      <c r="R11" s="121"/>
      <c r="S11" s="121"/>
      <c r="T11" s="92" t="str">
        <f aca="false">IF(OR($B11="", $P11="", $Q11="", $R11="", $S11=""),"",ROUND(($P11*Lists!$AD$7)+($Q11*Lists!$AD$8)+($R11*Lists!$AD$9)+($S11*Lists!$AD$10),2))</f>
        <v/>
      </c>
      <c r="U11" s="121"/>
      <c r="V11" s="121"/>
      <c r="W11" s="121"/>
      <c r="X11" s="121"/>
      <c r="Y11" s="121"/>
      <c r="Z11" s="92" t="str">
        <f aca="false">IF(OR($B11="", $U11="", $V11="", $W11="", $X11="", $Y11=""),"",ROUND(($U11*Lists!$AD$11)+($V11*Lists!$AD$12)+($W11*Lists!$AD$13)+($X11*Lists!$AD$14)+($Y11*Lists!$AD$15),2))</f>
        <v/>
      </c>
      <c r="AA11" s="92" t="str">
        <f aca="false">IF(OR($B11="", $N11="", $O11="", $T11="", $Z11=""),"",ROUND(($N11*Lists!$AD$16)-($O11*Lists!$AD$17)-($T11*Lists!$AD$18)+($Z11*Lists!$AD$19),2))</f>
        <v/>
      </c>
      <c r="AB11" s="110" t="str">
        <f aca="false">IF(OR($B11="", $N11="", $Z11=""),"",IF($N11&gt;=Lists!$AG$2,IF($Z11&gt;=Lists!$AG$3,"Invest","Migrate"),IF($Z11&gt;=Lists!$AG$3,"Tolerate","Eliminate")))</f>
        <v/>
      </c>
      <c r="AC11" s="110"/>
      <c r="AD11" s="110"/>
      <c r="AE11" s="110" t="str">
        <f aca="false">IF(OR($N11="", $O11=""),"",IF($N11&gt;=Lists!$AG$2,IF($O11&gt;=Lists!$AG$4,"High Value / High Risk","High Value / Low Risk"),IF($O11&gt;=Lists!$AG$4,"Low Value / High Risk","Low Value / Low Risk")))</f>
        <v/>
      </c>
      <c r="AF11" s="123"/>
      <c r="AG11" s="124"/>
      <c r="AH11" s="95" t="str">
        <f aca="false">IF($B11="","",COUNTIFS('Debt Backlog'!$AF$2:$AF$1000,$A11,'Debt Backlog'!$B$2:$B$1000,"&lt;&gt;",'Debt Backlog'!$N$2:$N$1000,"&lt;&gt;Done",'Debt Backlog'!$N$2:$N$1000,"&lt;&gt;Won't Fix",'Debt Backlog'!$N$2:$N$1000,"&lt;&gt;Duplicate"))</f>
        <v/>
      </c>
      <c r="AI11" s="92" t="str">
        <f aca="false">IF($B11="","",ROUND(SUMIFS('Debt Backlog'!$L$2:$L$1000,'Debt Backlog'!$AF$2:$AF$1000,$A11,'Debt Backlog'!$B$2:$B$1000,"&lt;&gt;",'Debt Backlog'!$N$2:$N$1000,"&lt;&gt;Done",'Debt Backlog'!$N$2:$N$1000,"&lt;&gt;Won't Fix",'Debt Backlog'!$N$2:$N$1000,"&lt;&gt;Duplicate"),2))</f>
        <v/>
      </c>
    </row>
    <row r="12" customFormat="false" ht="15" hidden="false" customHeight="true" outlineLevel="0" collapsed="false">
      <c r="A12" s="119"/>
      <c r="B12" s="120"/>
      <c r="C12" s="120"/>
      <c r="D12" s="120"/>
      <c r="E12" s="120"/>
      <c r="F12" s="120"/>
      <c r="G12" s="120"/>
      <c r="H12" s="120"/>
      <c r="I12" s="121"/>
      <c r="J12" s="121"/>
      <c r="K12" s="121"/>
      <c r="L12" s="121"/>
      <c r="M12" s="121"/>
      <c r="N12" s="92" t="str">
        <f aca="false">IF(OR($B12="", $I12="", $J12="", $K12="", $L12="", $M12=""),"",ROUND(($I12*Lists!$AD$2)+($J12*Lists!$AD$3)+($K12*Lists!$AD$4)+($L12*Lists!$AD$5)+($M12*Lists!$AD$6),2))</f>
        <v/>
      </c>
      <c r="O12" s="92"/>
      <c r="P12" s="121"/>
      <c r="Q12" s="121"/>
      <c r="R12" s="121"/>
      <c r="S12" s="121"/>
      <c r="T12" s="92" t="str">
        <f aca="false">IF(OR($B12="", $P12="", $Q12="", $R12="", $S12=""),"",ROUND(($P12*Lists!$AD$7)+($Q12*Lists!$AD$8)+($R12*Lists!$AD$9)+($S12*Lists!$AD$10),2))</f>
        <v/>
      </c>
      <c r="U12" s="121"/>
      <c r="V12" s="121"/>
      <c r="W12" s="121"/>
      <c r="X12" s="121"/>
      <c r="Y12" s="121"/>
      <c r="Z12" s="92" t="str">
        <f aca="false">IF(OR($B12="", $U12="", $V12="", $W12="", $X12="", $Y12=""),"",ROUND(($U12*Lists!$AD$11)+($V12*Lists!$AD$12)+($W12*Lists!$AD$13)+($X12*Lists!$AD$14)+($Y12*Lists!$AD$15),2))</f>
        <v/>
      </c>
      <c r="AA12" s="92" t="str">
        <f aca="false">IF(OR($B12="", $N12="", $O12="", $T12="", $Z12=""),"",ROUND(($N12*Lists!$AD$16)-($O12*Lists!$AD$17)-($T12*Lists!$AD$18)+($Z12*Lists!$AD$19),2))</f>
        <v/>
      </c>
      <c r="AB12" s="110" t="str">
        <f aca="false">IF(OR($B12="", $N12="", $Z12=""),"",IF($N12&gt;=Lists!$AG$2,IF($Z12&gt;=Lists!$AG$3,"Invest","Migrate"),IF($Z12&gt;=Lists!$AG$3,"Tolerate","Eliminate")))</f>
        <v/>
      </c>
      <c r="AC12" s="110"/>
      <c r="AD12" s="110"/>
      <c r="AE12" s="110" t="str">
        <f aca="false">IF(OR($N12="", $O12=""),"",IF($N12&gt;=Lists!$AG$2,IF($O12&gt;=Lists!$AG$4,"High Value / High Risk","High Value / Low Risk"),IF($O12&gt;=Lists!$AG$4,"Low Value / High Risk","Low Value / Low Risk")))</f>
        <v/>
      </c>
      <c r="AF12" s="120"/>
      <c r="AG12" s="122"/>
      <c r="AH12" s="95" t="str">
        <f aca="false">IF($B12="","",COUNTIFS('Debt Backlog'!$AF$2:$AF$1000,$A12,'Debt Backlog'!$B$2:$B$1000,"&lt;&gt;",'Debt Backlog'!$N$2:$N$1000,"&lt;&gt;Done",'Debt Backlog'!$N$2:$N$1000,"&lt;&gt;Won't Fix",'Debt Backlog'!$N$2:$N$1000,"&lt;&gt;Duplicate"))</f>
        <v/>
      </c>
      <c r="AI12" s="92" t="str">
        <f aca="false">IF($B12="","",ROUND(SUMIFS('Debt Backlog'!$L$2:$L$1000,'Debt Backlog'!$AF$2:$AF$1000,$A12,'Debt Backlog'!$B$2:$B$1000,"&lt;&gt;",'Debt Backlog'!$N$2:$N$1000,"&lt;&gt;Done",'Debt Backlog'!$N$2:$N$1000,"&lt;&gt;Won't Fix",'Debt Backlog'!$N$2:$N$1000,"&lt;&gt;Duplicate"),2))</f>
        <v/>
      </c>
    </row>
    <row r="13" customFormat="false" ht="15" hidden="false" customHeight="true" outlineLevel="0" collapsed="false">
      <c r="A13" s="119"/>
      <c r="B13" s="123"/>
      <c r="C13" s="123"/>
      <c r="D13" s="123"/>
      <c r="E13" s="123"/>
      <c r="F13" s="123"/>
      <c r="G13" s="123"/>
      <c r="H13" s="123"/>
      <c r="I13" s="121"/>
      <c r="J13" s="121"/>
      <c r="K13" s="121"/>
      <c r="L13" s="121"/>
      <c r="M13" s="121"/>
      <c r="N13" s="92" t="str">
        <f aca="false">IF(OR($B13="", $I13="", $J13="", $K13="", $L13="", $M13=""),"",ROUND(($I13*Lists!$AD$2)+($J13*Lists!$AD$3)+($K13*Lists!$AD$4)+($L13*Lists!$AD$5)+($M13*Lists!$AD$6),2))</f>
        <v/>
      </c>
      <c r="O13" s="92"/>
      <c r="P13" s="121"/>
      <c r="Q13" s="121"/>
      <c r="R13" s="121"/>
      <c r="S13" s="121"/>
      <c r="T13" s="92" t="str">
        <f aca="false">IF(OR($B13="", $P13="", $Q13="", $R13="", $S13=""),"",ROUND(($P13*Lists!$AD$7)+($Q13*Lists!$AD$8)+($R13*Lists!$AD$9)+($S13*Lists!$AD$10),2))</f>
        <v/>
      </c>
      <c r="U13" s="121"/>
      <c r="V13" s="121"/>
      <c r="W13" s="121"/>
      <c r="X13" s="121"/>
      <c r="Y13" s="121"/>
      <c r="Z13" s="92" t="str">
        <f aca="false">IF(OR($B13="", $U13="", $V13="", $W13="", $X13="", $Y13=""),"",ROUND(($U13*Lists!$AD$11)+($V13*Lists!$AD$12)+($W13*Lists!$AD$13)+($X13*Lists!$AD$14)+($Y13*Lists!$AD$15),2))</f>
        <v/>
      </c>
      <c r="AA13" s="92" t="str">
        <f aca="false">IF(OR($B13="", $N13="", $O13="", $T13="", $Z13=""),"",ROUND(($N13*Lists!$AD$16)-($O13*Lists!$AD$17)-($T13*Lists!$AD$18)+($Z13*Lists!$AD$19),2))</f>
        <v/>
      </c>
      <c r="AB13" s="110" t="str">
        <f aca="false">IF(OR($B13="", $N13="", $Z13=""),"",IF($N13&gt;=Lists!$AG$2,IF($Z13&gt;=Lists!$AG$3,"Invest","Migrate"),IF($Z13&gt;=Lists!$AG$3,"Tolerate","Eliminate")))</f>
        <v/>
      </c>
      <c r="AC13" s="110"/>
      <c r="AD13" s="110"/>
      <c r="AE13" s="110" t="str">
        <f aca="false">IF(OR($N13="", $O13=""),"",IF($N13&gt;=Lists!$AG$2,IF($O13&gt;=Lists!$AG$4,"High Value / High Risk","High Value / Low Risk"),IF($O13&gt;=Lists!$AG$4,"Low Value / High Risk","Low Value / Low Risk")))</f>
        <v/>
      </c>
      <c r="AF13" s="123"/>
      <c r="AG13" s="124"/>
      <c r="AH13" s="95" t="str">
        <f aca="false">IF($B13="","",COUNTIFS('Debt Backlog'!$AF$2:$AF$1000,$A13,'Debt Backlog'!$B$2:$B$1000,"&lt;&gt;",'Debt Backlog'!$N$2:$N$1000,"&lt;&gt;Done",'Debt Backlog'!$N$2:$N$1000,"&lt;&gt;Won't Fix",'Debt Backlog'!$N$2:$N$1000,"&lt;&gt;Duplicate"))</f>
        <v/>
      </c>
      <c r="AI13" s="92" t="str">
        <f aca="false">IF($B13="","",ROUND(SUMIFS('Debt Backlog'!$L$2:$L$1000,'Debt Backlog'!$AF$2:$AF$1000,$A13,'Debt Backlog'!$B$2:$B$1000,"&lt;&gt;",'Debt Backlog'!$N$2:$N$1000,"&lt;&gt;Done",'Debt Backlog'!$N$2:$N$1000,"&lt;&gt;Won't Fix",'Debt Backlog'!$N$2:$N$1000,"&lt;&gt;Duplicate"),2))</f>
        <v/>
      </c>
    </row>
    <row r="14" customFormat="false" ht="15" hidden="false" customHeight="true" outlineLevel="0" collapsed="false">
      <c r="A14" s="119"/>
      <c r="B14" s="120"/>
      <c r="C14" s="120"/>
      <c r="D14" s="120"/>
      <c r="E14" s="120"/>
      <c r="F14" s="120"/>
      <c r="G14" s="120"/>
      <c r="H14" s="120"/>
      <c r="I14" s="121"/>
      <c r="J14" s="121"/>
      <c r="K14" s="121"/>
      <c r="L14" s="121"/>
      <c r="M14" s="121"/>
      <c r="N14" s="92" t="str">
        <f aca="false">IF(OR($B14="", $I14="", $J14="", $K14="", $L14="", $M14=""),"",ROUND(($I14*Lists!$AD$2)+($J14*Lists!$AD$3)+($K14*Lists!$AD$4)+($L14*Lists!$AD$5)+($M14*Lists!$AD$6),2))</f>
        <v/>
      </c>
      <c r="O14" s="92"/>
      <c r="P14" s="121"/>
      <c r="Q14" s="121"/>
      <c r="R14" s="121"/>
      <c r="S14" s="121"/>
      <c r="T14" s="92" t="str">
        <f aca="false">IF(OR($B14="", $P14="", $Q14="", $R14="", $S14=""),"",ROUND(($P14*Lists!$AD$7)+($Q14*Lists!$AD$8)+($R14*Lists!$AD$9)+($S14*Lists!$AD$10),2))</f>
        <v/>
      </c>
      <c r="U14" s="121"/>
      <c r="V14" s="121"/>
      <c r="W14" s="121"/>
      <c r="X14" s="121"/>
      <c r="Y14" s="121"/>
      <c r="Z14" s="92" t="str">
        <f aca="false">IF(OR($B14="", $U14="", $V14="", $W14="", $X14="", $Y14=""),"",ROUND(($U14*Lists!$AD$11)+($V14*Lists!$AD$12)+($W14*Lists!$AD$13)+($X14*Lists!$AD$14)+($Y14*Lists!$AD$15),2))</f>
        <v/>
      </c>
      <c r="AA14" s="92" t="str">
        <f aca="false">IF(OR($B14="", $N14="", $O14="", $T14="", $Z14=""),"",ROUND(($N14*Lists!$AD$16)-($O14*Lists!$AD$17)-($T14*Lists!$AD$18)+($Z14*Lists!$AD$19),2))</f>
        <v/>
      </c>
      <c r="AB14" s="110" t="str">
        <f aca="false">IF(OR($B14="", $N14="", $Z14=""),"",IF($N14&gt;=Lists!$AG$2,IF($Z14&gt;=Lists!$AG$3,"Invest","Migrate"),IF($Z14&gt;=Lists!$AG$3,"Tolerate","Eliminate")))</f>
        <v/>
      </c>
      <c r="AC14" s="110"/>
      <c r="AD14" s="110"/>
      <c r="AE14" s="110" t="str">
        <f aca="false">IF(OR($N14="", $O14=""),"",IF($N14&gt;=Lists!$AG$2,IF($O14&gt;=Lists!$AG$4,"High Value / High Risk","High Value / Low Risk"),IF($O14&gt;=Lists!$AG$4,"Low Value / High Risk","Low Value / Low Risk")))</f>
        <v/>
      </c>
      <c r="AF14" s="120"/>
      <c r="AG14" s="122"/>
      <c r="AH14" s="95" t="str">
        <f aca="false">IF($B14="","",COUNTIFS('Debt Backlog'!$AF$2:$AF$1000,$A14,'Debt Backlog'!$B$2:$B$1000,"&lt;&gt;",'Debt Backlog'!$N$2:$N$1000,"&lt;&gt;Done",'Debt Backlog'!$N$2:$N$1000,"&lt;&gt;Won't Fix",'Debt Backlog'!$N$2:$N$1000,"&lt;&gt;Duplicate"))</f>
        <v/>
      </c>
      <c r="AI14" s="92" t="str">
        <f aca="false">IF($B14="","",ROUND(SUMIFS('Debt Backlog'!$L$2:$L$1000,'Debt Backlog'!$AF$2:$AF$1000,$A14,'Debt Backlog'!$B$2:$B$1000,"&lt;&gt;",'Debt Backlog'!$N$2:$N$1000,"&lt;&gt;Done",'Debt Backlog'!$N$2:$N$1000,"&lt;&gt;Won't Fix",'Debt Backlog'!$N$2:$N$1000,"&lt;&gt;Duplicate"),2))</f>
        <v/>
      </c>
    </row>
    <row r="15" customFormat="false" ht="28.5" hidden="false" customHeight="true" outlineLevel="0" collapsed="false">
      <c r="A15" s="119"/>
      <c r="B15" s="123"/>
      <c r="C15" s="123"/>
      <c r="D15" s="123"/>
      <c r="E15" s="123"/>
      <c r="F15" s="123"/>
      <c r="G15" s="123"/>
      <c r="H15" s="123"/>
      <c r="I15" s="121"/>
      <c r="J15" s="121"/>
      <c r="K15" s="121"/>
      <c r="L15" s="121"/>
      <c r="M15" s="121"/>
      <c r="N15" s="92" t="str">
        <f aca="false">IF(OR($B15="", $I15="", $J15="", $K15="", $L15="", $M15=""),"",ROUND(($I15*Lists!$AD$2)+($J15*Lists!$AD$3)+($K15*Lists!$AD$4)+($L15*Lists!$AD$5)+($M15*Lists!$AD$6),2))</f>
        <v/>
      </c>
      <c r="O15" s="92"/>
      <c r="P15" s="121"/>
      <c r="Q15" s="121"/>
      <c r="R15" s="121"/>
      <c r="S15" s="121"/>
      <c r="T15" s="92" t="str">
        <f aca="false">IF(OR($B15="", $P15="", $Q15="", $R15="", $S15=""),"",ROUND(($P15*Lists!$AD$7)+($Q15*Lists!$AD$8)+($R15*Lists!$AD$9)+($S15*Lists!$AD$10),2))</f>
        <v/>
      </c>
      <c r="U15" s="121"/>
      <c r="V15" s="121"/>
      <c r="W15" s="121"/>
      <c r="X15" s="121"/>
      <c r="Y15" s="121"/>
      <c r="Z15" s="92" t="str">
        <f aca="false">IF(OR($B15="", $U15="", $V15="", $W15="", $X15="", $Y15=""),"",ROUND(($U15*Lists!$AD$11)+($V15*Lists!$AD$12)+($W15*Lists!$AD$13)+($X15*Lists!$AD$14)+($Y15*Lists!$AD$15),2))</f>
        <v/>
      </c>
      <c r="AA15" s="92" t="str">
        <f aca="false">IF(OR($B15="", $N15="", $O15="", $T15="", $Z15=""),"",ROUND(($N15*Lists!$AD$16)-($O15*Lists!$AD$17)-($T15*Lists!$AD$18)+($Z15*Lists!$AD$19),2))</f>
        <v/>
      </c>
      <c r="AB15" s="110" t="str">
        <f aca="false">IF(OR($B15="", $N15="", $Z15=""),"",IF($N15&gt;=Lists!$AG$2,IF($Z15&gt;=Lists!$AG$3,"Invest","Migrate"),IF($Z15&gt;=Lists!$AG$3,"Tolerate","Eliminate")))</f>
        <v/>
      </c>
      <c r="AC15" s="110"/>
      <c r="AD15" s="110"/>
      <c r="AE15" s="110" t="str">
        <f aca="false">IF(OR($N15="", $O15=""),"",IF($N15&gt;=Lists!$AG$2,IF($O15&gt;=Lists!$AG$4,"High Value / High Risk","High Value / Low Risk"),IF($O15&gt;=Lists!$AG$4,"Low Value / High Risk","Low Value / Low Risk")))</f>
        <v/>
      </c>
      <c r="AF15" s="123"/>
      <c r="AG15" s="124"/>
      <c r="AH15" s="95" t="str">
        <f aca="false">IF($B15="","",COUNTIFS('Debt Backlog'!$AF$2:$AF$1000,$A15,'Debt Backlog'!$B$2:$B$1000,"&lt;&gt;",'Debt Backlog'!$N$2:$N$1000,"&lt;&gt;Done",'Debt Backlog'!$N$2:$N$1000,"&lt;&gt;Won't Fix",'Debt Backlog'!$N$2:$N$1000,"&lt;&gt;Duplicate"))</f>
        <v/>
      </c>
      <c r="AI15" s="92" t="str">
        <f aca="false">IF($B15="","",ROUND(SUMIFS('Debt Backlog'!$L$2:$L$1000,'Debt Backlog'!$AF$2:$AF$1000,$A15,'Debt Backlog'!$B$2:$B$1000,"&lt;&gt;",'Debt Backlog'!$N$2:$N$1000,"&lt;&gt;Done",'Debt Backlog'!$N$2:$N$1000,"&lt;&gt;Won't Fix",'Debt Backlog'!$N$2:$N$1000,"&lt;&gt;Duplicate"),2))</f>
        <v/>
      </c>
    </row>
    <row r="16" customFormat="false" ht="15" hidden="false" customHeight="true" outlineLevel="0" collapsed="false">
      <c r="A16" s="119"/>
      <c r="B16" s="120"/>
      <c r="C16" s="120"/>
      <c r="D16" s="120"/>
      <c r="E16" s="120"/>
      <c r="F16" s="120"/>
      <c r="G16" s="120"/>
      <c r="H16" s="120"/>
      <c r="I16" s="121"/>
      <c r="J16" s="121"/>
      <c r="K16" s="121"/>
      <c r="L16" s="121"/>
      <c r="M16" s="121"/>
      <c r="N16" s="92" t="str">
        <f aca="false">IF(OR($B16="", $I16="", $J16="", $K16="", $L16="", $M16=""),"",ROUND(($I16*Lists!$AD$2)+($J16*Lists!$AD$3)+($K16*Lists!$AD$4)+($L16*Lists!$AD$5)+($M16*Lists!$AD$6),2))</f>
        <v/>
      </c>
      <c r="O16" s="92"/>
      <c r="P16" s="121"/>
      <c r="Q16" s="121"/>
      <c r="R16" s="121"/>
      <c r="S16" s="121"/>
      <c r="T16" s="92" t="str">
        <f aca="false">IF(OR($B16="", $P16="", $Q16="", $R16="", $S16=""),"",ROUND(($P16*Lists!$AD$7)+($Q16*Lists!$AD$8)+($R16*Lists!$AD$9)+($S16*Lists!$AD$10),2))</f>
        <v/>
      </c>
      <c r="U16" s="121"/>
      <c r="V16" s="121"/>
      <c r="W16" s="121"/>
      <c r="X16" s="121"/>
      <c r="Y16" s="121"/>
      <c r="Z16" s="92" t="str">
        <f aca="false">IF(OR($B16="", $U16="", $V16="", $W16="", $X16="", $Y16=""),"",ROUND(($U16*Lists!$AD$11)+($V16*Lists!$AD$12)+($W16*Lists!$AD$13)+($X16*Lists!$AD$14)+($Y16*Lists!$AD$15),2))</f>
        <v/>
      </c>
      <c r="AA16" s="92" t="str">
        <f aca="false">IF(OR($B16="", $N16="", $O16="", $T16="", $Z16=""),"",ROUND(($N16*Lists!$AD$16)-($O16*Lists!$AD$17)-($T16*Lists!$AD$18)+($Z16*Lists!$AD$19),2))</f>
        <v/>
      </c>
      <c r="AB16" s="110" t="str">
        <f aca="false">IF(OR($B16="", $N16="", $Z16=""),"",IF($N16&gt;=Lists!$AG$2,IF($Z16&gt;=Lists!$AG$3,"Invest","Migrate"),IF($Z16&gt;=Lists!$AG$3,"Tolerate","Eliminate")))</f>
        <v/>
      </c>
      <c r="AC16" s="110"/>
      <c r="AD16" s="110"/>
      <c r="AE16" s="110" t="str">
        <f aca="false">IF(OR($N16="", $O16=""),"",IF($N16&gt;=Lists!$AG$2,IF($O16&gt;=Lists!$AG$4,"High Value / High Risk","High Value / Low Risk"),IF($O16&gt;=Lists!$AG$4,"Low Value / High Risk","Low Value / Low Risk")))</f>
        <v/>
      </c>
      <c r="AF16" s="120"/>
      <c r="AG16" s="122"/>
      <c r="AH16" s="95" t="str">
        <f aca="false">IF($B16="","",COUNTIFS('Debt Backlog'!$AF$2:$AF$1000,$A16,'Debt Backlog'!$B$2:$B$1000,"&lt;&gt;",'Debt Backlog'!$N$2:$N$1000,"&lt;&gt;Done",'Debt Backlog'!$N$2:$N$1000,"&lt;&gt;Won't Fix",'Debt Backlog'!$N$2:$N$1000,"&lt;&gt;Duplicate"))</f>
        <v/>
      </c>
      <c r="AI16" s="92" t="str">
        <f aca="false">IF($B16="","",ROUND(SUMIFS('Debt Backlog'!$L$2:$L$1000,'Debt Backlog'!$AF$2:$AF$1000,$A16,'Debt Backlog'!$B$2:$B$1000,"&lt;&gt;",'Debt Backlog'!$N$2:$N$1000,"&lt;&gt;Done",'Debt Backlog'!$N$2:$N$1000,"&lt;&gt;Won't Fix",'Debt Backlog'!$N$2:$N$1000,"&lt;&gt;Duplicate"),2))</f>
        <v/>
      </c>
    </row>
    <row r="17" customFormat="false" ht="15" hidden="false" customHeight="true" outlineLevel="0" collapsed="false">
      <c r="A17" s="119"/>
      <c r="B17" s="123"/>
      <c r="C17" s="123"/>
      <c r="D17" s="123"/>
      <c r="E17" s="123"/>
      <c r="F17" s="123"/>
      <c r="G17" s="123"/>
      <c r="H17" s="123"/>
      <c r="I17" s="121"/>
      <c r="J17" s="121"/>
      <c r="K17" s="121"/>
      <c r="L17" s="121"/>
      <c r="M17" s="121"/>
      <c r="N17" s="92" t="str">
        <f aca="false">IF(OR($B17="", $I17="", $J17="", $K17="", $L17="", $M17=""),"",ROUND(($I17*Lists!$AD$2)+($J17*Lists!$AD$3)+($K17*Lists!$AD$4)+($L17*Lists!$AD$5)+($M17*Lists!$AD$6),2))</f>
        <v/>
      </c>
      <c r="O17" s="92"/>
      <c r="P17" s="121"/>
      <c r="Q17" s="121"/>
      <c r="R17" s="121"/>
      <c r="S17" s="121"/>
      <c r="T17" s="92" t="str">
        <f aca="false">IF(OR($B17="", $P17="", $Q17="", $R17="", $S17=""),"",ROUND(($P17*Lists!$AD$7)+($Q17*Lists!$AD$8)+($R17*Lists!$AD$9)+($S17*Lists!$AD$10),2))</f>
        <v/>
      </c>
      <c r="U17" s="121"/>
      <c r="V17" s="121"/>
      <c r="W17" s="121"/>
      <c r="X17" s="121"/>
      <c r="Y17" s="121"/>
      <c r="Z17" s="92" t="str">
        <f aca="false">IF(OR($B17="", $U17="", $V17="", $W17="", $X17="", $Y17=""),"",ROUND(($U17*Lists!$AD$11)+($V17*Lists!$AD$12)+($W17*Lists!$AD$13)+($X17*Lists!$AD$14)+($Y17*Lists!$AD$15),2))</f>
        <v/>
      </c>
      <c r="AA17" s="92" t="str">
        <f aca="false">IF(OR($B17="", $N17="", $O17="", $T17="", $Z17=""),"",ROUND(($N17*Lists!$AD$16)-($O17*Lists!$AD$17)-($T17*Lists!$AD$18)+($Z17*Lists!$AD$19),2))</f>
        <v/>
      </c>
      <c r="AB17" s="110" t="str">
        <f aca="false">IF(OR($B17="", $N17="", $Z17=""),"",IF($N17&gt;=Lists!$AG$2,IF($Z17&gt;=Lists!$AG$3,"Invest","Migrate"),IF($Z17&gt;=Lists!$AG$3,"Tolerate","Eliminate")))</f>
        <v/>
      </c>
      <c r="AC17" s="110"/>
      <c r="AD17" s="110"/>
      <c r="AE17" s="110" t="str">
        <f aca="false">IF(OR($N17="", $O17=""),"",IF($N17&gt;=Lists!$AG$2,IF($O17&gt;=Lists!$AG$4,"High Value / High Risk","High Value / Low Risk"),IF($O17&gt;=Lists!$AG$4,"Low Value / High Risk","Low Value / Low Risk")))</f>
        <v/>
      </c>
      <c r="AF17" s="123"/>
      <c r="AG17" s="124"/>
      <c r="AH17" s="95" t="str">
        <f aca="false">IF($B17="","",COUNTIFS('Debt Backlog'!$AF$2:$AF$1000,$A17,'Debt Backlog'!$B$2:$B$1000,"&lt;&gt;",'Debt Backlog'!$N$2:$N$1000,"&lt;&gt;Done",'Debt Backlog'!$N$2:$N$1000,"&lt;&gt;Won't Fix",'Debt Backlog'!$N$2:$N$1000,"&lt;&gt;Duplicate"))</f>
        <v/>
      </c>
      <c r="AI17" s="92" t="str">
        <f aca="false">IF($B17="","",ROUND(SUMIFS('Debt Backlog'!$L$2:$L$1000,'Debt Backlog'!$AF$2:$AF$1000,$A17,'Debt Backlog'!$B$2:$B$1000,"&lt;&gt;",'Debt Backlog'!$N$2:$N$1000,"&lt;&gt;Done",'Debt Backlog'!$N$2:$N$1000,"&lt;&gt;Won't Fix",'Debt Backlog'!$N$2:$N$1000,"&lt;&gt;Duplicate"),2))</f>
        <v/>
      </c>
    </row>
    <row r="18" customFormat="false" ht="28.5" hidden="false" customHeight="true" outlineLevel="0" collapsed="false">
      <c r="A18" s="119"/>
      <c r="B18" s="120"/>
      <c r="C18" s="120"/>
      <c r="D18" s="120"/>
      <c r="E18" s="120"/>
      <c r="F18" s="120"/>
      <c r="G18" s="120"/>
      <c r="H18" s="120"/>
      <c r="I18" s="121"/>
      <c r="J18" s="121"/>
      <c r="K18" s="121"/>
      <c r="L18" s="121"/>
      <c r="M18" s="121"/>
      <c r="N18" s="92" t="str">
        <f aca="false">IF(OR($B18="", $I18="", $J18="", $K18="", $L18="", $M18=""),"",ROUND(($I18*Lists!$AD$2)+($J18*Lists!$AD$3)+($K18*Lists!$AD$4)+($L18*Lists!$AD$5)+($M18*Lists!$AD$6),2))</f>
        <v/>
      </c>
      <c r="O18" s="92"/>
      <c r="P18" s="121"/>
      <c r="Q18" s="121"/>
      <c r="R18" s="121"/>
      <c r="S18" s="121"/>
      <c r="T18" s="92" t="str">
        <f aca="false">IF(OR($B18="", $P18="", $Q18="", $R18="", $S18=""),"",ROUND(($P18*Lists!$AD$7)+($Q18*Lists!$AD$8)+($R18*Lists!$AD$9)+($S18*Lists!$AD$10),2))</f>
        <v/>
      </c>
      <c r="U18" s="121"/>
      <c r="V18" s="121"/>
      <c r="W18" s="121"/>
      <c r="X18" s="121"/>
      <c r="Y18" s="121"/>
      <c r="Z18" s="92" t="str">
        <f aca="false">IF(OR($B18="", $U18="", $V18="", $W18="", $X18="", $Y18=""),"",ROUND(($U18*Lists!$AD$11)+($V18*Lists!$AD$12)+($W18*Lists!$AD$13)+($X18*Lists!$AD$14)+($Y18*Lists!$AD$15),2))</f>
        <v/>
      </c>
      <c r="AA18" s="92" t="str">
        <f aca="false">IF(OR($B18="", $N18="", $O18="", $T18="", $Z18=""),"",ROUND(($N18*Lists!$AD$16)-($O18*Lists!$AD$17)-($T18*Lists!$AD$18)+($Z18*Lists!$AD$19),2))</f>
        <v/>
      </c>
      <c r="AB18" s="110" t="str">
        <f aca="false">IF(OR($B18="", $N18="", $Z18=""),"",IF($N18&gt;=Lists!$AG$2,IF($Z18&gt;=Lists!$AG$3,"Invest","Migrate"),IF($Z18&gt;=Lists!$AG$3,"Tolerate","Eliminate")))</f>
        <v/>
      </c>
      <c r="AC18" s="110"/>
      <c r="AD18" s="110"/>
      <c r="AE18" s="110" t="str">
        <f aca="false">IF(OR($N18="", $O18=""),"",IF($N18&gt;=Lists!$AG$2,IF($O18&gt;=Lists!$AG$4,"High Value / High Risk","High Value / Low Risk"),IF($O18&gt;=Lists!$AG$4,"Low Value / High Risk","Low Value / Low Risk")))</f>
        <v/>
      </c>
      <c r="AF18" s="120"/>
      <c r="AG18" s="122"/>
      <c r="AH18" s="95" t="str">
        <f aca="false">IF($B18="","",COUNTIFS('Debt Backlog'!$AF$2:$AF$1000,$A18,'Debt Backlog'!$B$2:$B$1000,"&lt;&gt;",'Debt Backlog'!$N$2:$N$1000,"&lt;&gt;Done",'Debt Backlog'!$N$2:$N$1000,"&lt;&gt;Won't Fix",'Debt Backlog'!$N$2:$N$1000,"&lt;&gt;Duplicate"))</f>
        <v/>
      </c>
      <c r="AI18" s="92" t="str">
        <f aca="false">IF($B18="","",ROUND(SUMIFS('Debt Backlog'!$L$2:$L$1000,'Debt Backlog'!$AF$2:$AF$1000,$A18,'Debt Backlog'!$B$2:$B$1000,"&lt;&gt;",'Debt Backlog'!$N$2:$N$1000,"&lt;&gt;Done",'Debt Backlog'!$N$2:$N$1000,"&lt;&gt;Won't Fix",'Debt Backlog'!$N$2:$N$1000,"&lt;&gt;Duplicate"),2))</f>
        <v/>
      </c>
    </row>
    <row r="19" customFormat="false" ht="28.5" hidden="false" customHeight="true" outlineLevel="0" collapsed="false">
      <c r="A19" s="119"/>
      <c r="B19" s="123"/>
      <c r="C19" s="123"/>
      <c r="D19" s="123"/>
      <c r="E19" s="123"/>
      <c r="F19" s="123"/>
      <c r="G19" s="123"/>
      <c r="H19" s="123"/>
      <c r="I19" s="121"/>
      <c r="J19" s="121"/>
      <c r="K19" s="121"/>
      <c r="L19" s="121"/>
      <c r="M19" s="121"/>
      <c r="N19" s="92" t="str">
        <f aca="false">IF(OR($B19="", $I19="", $J19="", $K19="", $L19="", $M19=""),"",ROUND(($I19*Lists!$AD$2)+($J19*Lists!$AD$3)+($K19*Lists!$AD$4)+($L19*Lists!$AD$5)+($M19*Lists!$AD$6),2))</f>
        <v/>
      </c>
      <c r="O19" s="92"/>
      <c r="P19" s="121"/>
      <c r="Q19" s="121"/>
      <c r="R19" s="121"/>
      <c r="S19" s="121"/>
      <c r="T19" s="92" t="str">
        <f aca="false">IF(OR($B19="", $P19="", $Q19="", $R19="", $S19=""),"",ROUND(($P19*Lists!$AD$7)+($Q19*Lists!$AD$8)+($R19*Lists!$AD$9)+($S19*Lists!$AD$10),2))</f>
        <v/>
      </c>
      <c r="U19" s="121"/>
      <c r="V19" s="121"/>
      <c r="W19" s="121"/>
      <c r="X19" s="121"/>
      <c r="Y19" s="121"/>
      <c r="Z19" s="92" t="str">
        <f aca="false">IF(OR($B19="", $U19="", $V19="", $W19="", $X19="", $Y19=""),"",ROUND(($U19*Lists!$AD$11)+($V19*Lists!$AD$12)+($W19*Lists!$AD$13)+($X19*Lists!$AD$14)+($Y19*Lists!$AD$15),2))</f>
        <v/>
      </c>
      <c r="AA19" s="92" t="str">
        <f aca="false">IF(OR($B19="", $N19="", $O19="", $T19="", $Z19=""),"",ROUND(($N19*Lists!$AD$16)-($O19*Lists!$AD$17)-($T19*Lists!$AD$18)+($Z19*Lists!$AD$19),2))</f>
        <v/>
      </c>
      <c r="AB19" s="110" t="str">
        <f aca="false">IF(OR($B19="", $N19="", $Z19=""),"",IF($N19&gt;=Lists!$AG$2,IF($Z19&gt;=Lists!$AG$3,"Invest","Migrate"),IF($Z19&gt;=Lists!$AG$3,"Tolerate","Eliminate")))</f>
        <v/>
      </c>
      <c r="AC19" s="110"/>
      <c r="AD19" s="110"/>
      <c r="AE19" s="110" t="str">
        <f aca="false">IF(OR($N19="", $O19=""),"",IF($N19&gt;=Lists!$AG$2,IF($O19&gt;=Lists!$AG$4,"High Value / High Risk","High Value / Low Risk"),IF($O19&gt;=Lists!$AG$4,"Low Value / High Risk","Low Value / Low Risk")))</f>
        <v/>
      </c>
      <c r="AF19" s="123"/>
      <c r="AG19" s="124"/>
      <c r="AH19" s="95" t="str">
        <f aca="false">IF($B19="","",COUNTIFS('Debt Backlog'!$AF$2:$AF$1000,$A19,'Debt Backlog'!$B$2:$B$1000,"&lt;&gt;",'Debt Backlog'!$N$2:$N$1000,"&lt;&gt;Done",'Debt Backlog'!$N$2:$N$1000,"&lt;&gt;Won't Fix",'Debt Backlog'!$N$2:$N$1000,"&lt;&gt;Duplicate"))</f>
        <v/>
      </c>
      <c r="AI19" s="92" t="str">
        <f aca="false">IF($B19="","",ROUND(SUMIFS('Debt Backlog'!$L$2:$L$1000,'Debt Backlog'!$AF$2:$AF$1000,$A19,'Debt Backlog'!$B$2:$B$1000,"&lt;&gt;",'Debt Backlog'!$N$2:$N$1000,"&lt;&gt;Done",'Debt Backlog'!$N$2:$N$1000,"&lt;&gt;Won't Fix",'Debt Backlog'!$N$2:$N$1000,"&lt;&gt;Duplicate"),2))</f>
        <v/>
      </c>
    </row>
    <row r="20" customFormat="false" ht="15" hidden="false" customHeight="true" outlineLevel="0" collapsed="false">
      <c r="A20" s="119"/>
      <c r="B20" s="120"/>
      <c r="C20" s="120"/>
      <c r="D20" s="120"/>
      <c r="E20" s="120"/>
      <c r="F20" s="120"/>
      <c r="G20" s="120"/>
      <c r="H20" s="120"/>
      <c r="I20" s="121"/>
      <c r="J20" s="121"/>
      <c r="K20" s="121"/>
      <c r="L20" s="121"/>
      <c r="M20" s="121"/>
      <c r="N20" s="92" t="str">
        <f aca="false">IF(OR($B20="", $I20="", $J20="", $K20="", $L20="", $M20=""),"",ROUND(($I20*Lists!$AD$2)+($J20*Lists!$AD$3)+($K20*Lists!$AD$4)+($L20*Lists!$AD$5)+($M20*Lists!$AD$6),2))</f>
        <v/>
      </c>
      <c r="O20" s="92"/>
      <c r="P20" s="121"/>
      <c r="Q20" s="121"/>
      <c r="R20" s="121"/>
      <c r="S20" s="121"/>
      <c r="T20" s="92" t="str">
        <f aca="false">IF(OR($B20="", $P20="", $Q20="", $R20="", $S20=""),"",ROUND(($P20*Lists!$AD$7)+($Q20*Lists!$AD$8)+($R20*Lists!$AD$9)+($S20*Lists!$AD$10),2))</f>
        <v/>
      </c>
      <c r="U20" s="121"/>
      <c r="V20" s="121"/>
      <c r="W20" s="121"/>
      <c r="X20" s="121"/>
      <c r="Y20" s="121"/>
      <c r="Z20" s="92" t="str">
        <f aca="false">IF(OR($B20="", $U20="", $V20="", $W20="", $X20="", $Y20=""),"",ROUND(($U20*Lists!$AD$11)+($V20*Lists!$AD$12)+($W20*Lists!$AD$13)+($X20*Lists!$AD$14)+($Y20*Lists!$AD$15),2))</f>
        <v/>
      </c>
      <c r="AA20" s="92" t="str">
        <f aca="false">IF(OR($B20="", $N20="", $O20="", $T20="", $Z20=""),"",ROUND(($N20*Lists!$AD$16)-($O20*Lists!$AD$17)-($T20*Lists!$AD$18)+($Z20*Lists!$AD$19),2))</f>
        <v/>
      </c>
      <c r="AB20" s="110" t="str">
        <f aca="false">IF(OR($B20="", $N20="", $Z20=""),"",IF($N20&gt;=Lists!$AG$2,IF($Z20&gt;=Lists!$AG$3,"Invest","Migrate"),IF($Z20&gt;=Lists!$AG$3,"Tolerate","Eliminate")))</f>
        <v/>
      </c>
      <c r="AC20" s="110"/>
      <c r="AD20" s="110"/>
      <c r="AE20" s="110" t="str">
        <f aca="false">IF(OR($N20="", $O20=""),"",IF($N20&gt;=Lists!$AG$2,IF($O20&gt;=Lists!$AG$4,"High Value / High Risk","High Value / Low Risk"),IF($O20&gt;=Lists!$AG$4,"Low Value / High Risk","Low Value / Low Risk")))</f>
        <v/>
      </c>
      <c r="AF20" s="120"/>
      <c r="AG20" s="122"/>
      <c r="AH20" s="95" t="str">
        <f aca="false">IF($B20="","",COUNTIFS('Debt Backlog'!$AF$2:$AF$1000,$A20,'Debt Backlog'!$B$2:$B$1000,"&lt;&gt;",'Debt Backlog'!$N$2:$N$1000,"&lt;&gt;Done",'Debt Backlog'!$N$2:$N$1000,"&lt;&gt;Won't Fix",'Debt Backlog'!$N$2:$N$1000,"&lt;&gt;Duplicate"))</f>
        <v/>
      </c>
      <c r="AI20" s="92" t="str">
        <f aca="false">IF($B20="","",ROUND(SUMIFS('Debt Backlog'!$L$2:$L$1000,'Debt Backlog'!$AF$2:$AF$1000,$A20,'Debt Backlog'!$B$2:$B$1000,"&lt;&gt;",'Debt Backlog'!$N$2:$N$1000,"&lt;&gt;Done",'Debt Backlog'!$N$2:$N$1000,"&lt;&gt;Won't Fix",'Debt Backlog'!$N$2:$N$1000,"&lt;&gt;Duplicate"),2))</f>
        <v/>
      </c>
    </row>
    <row r="21" customFormat="false" ht="15" hidden="false" customHeight="true" outlineLevel="0" collapsed="false">
      <c r="A21" s="119"/>
      <c r="B21" s="123"/>
      <c r="C21" s="123"/>
      <c r="D21" s="123"/>
      <c r="E21" s="123"/>
      <c r="F21" s="123"/>
      <c r="G21" s="123"/>
      <c r="H21" s="123"/>
      <c r="I21" s="121"/>
      <c r="J21" s="121"/>
      <c r="K21" s="121"/>
      <c r="L21" s="121"/>
      <c r="M21" s="121"/>
      <c r="N21" s="92" t="str">
        <f aca="false">IF(OR($B21="", $I21="", $J21="", $K21="", $L21="", $M21=""),"",ROUND(($I21*Lists!$AD$2)+($J21*Lists!$AD$3)+($K21*Lists!$AD$4)+($L21*Lists!$AD$5)+($M21*Lists!$AD$6),2))</f>
        <v/>
      </c>
      <c r="O21" s="92"/>
      <c r="P21" s="121"/>
      <c r="Q21" s="121"/>
      <c r="R21" s="121"/>
      <c r="S21" s="121"/>
      <c r="T21" s="92" t="str">
        <f aca="false">IF(OR($B21="", $P21="", $Q21="", $R21="", $S21=""),"",ROUND(($P21*Lists!$AD$7)+($Q21*Lists!$AD$8)+($R21*Lists!$AD$9)+($S21*Lists!$AD$10),2))</f>
        <v/>
      </c>
      <c r="U21" s="121"/>
      <c r="V21" s="121"/>
      <c r="W21" s="121"/>
      <c r="X21" s="121"/>
      <c r="Y21" s="121"/>
      <c r="Z21" s="92" t="str">
        <f aca="false">IF(OR($B21="", $U21="", $V21="", $W21="", $X21="", $Y21=""),"",ROUND(($U21*Lists!$AD$11)+($V21*Lists!$AD$12)+($W21*Lists!$AD$13)+($X21*Lists!$AD$14)+($Y21*Lists!$AD$15),2))</f>
        <v/>
      </c>
      <c r="AA21" s="92" t="str">
        <f aca="false">IF(OR($B21="", $N21="", $O21="", $T21="", $Z21=""),"",ROUND(($N21*Lists!$AD$16)-($O21*Lists!$AD$17)-($T21*Lists!$AD$18)+($Z21*Lists!$AD$19),2))</f>
        <v/>
      </c>
      <c r="AB21" s="110" t="str">
        <f aca="false">IF(OR($B21="", $N21="", $Z21=""),"",IF($N21&gt;=Lists!$AG$2,IF($Z21&gt;=Lists!$AG$3,"Invest","Migrate"),IF($Z21&gt;=Lists!$AG$3,"Tolerate","Eliminate")))</f>
        <v/>
      </c>
      <c r="AC21" s="110"/>
      <c r="AD21" s="110"/>
      <c r="AE21" s="110" t="str">
        <f aca="false">IF(OR($N21="", $O21=""),"",IF($N21&gt;=Lists!$AG$2,IF($O21&gt;=Lists!$AG$4,"High Value / High Risk","High Value / Low Risk"),IF($O21&gt;=Lists!$AG$4,"Low Value / High Risk","Low Value / Low Risk")))</f>
        <v/>
      </c>
      <c r="AF21" s="123"/>
      <c r="AG21" s="124"/>
      <c r="AH21" s="95" t="str">
        <f aca="false">IF($B21="","",COUNTIFS('Debt Backlog'!$AF$2:$AF$1000,$A21,'Debt Backlog'!$B$2:$B$1000,"&lt;&gt;",'Debt Backlog'!$N$2:$N$1000,"&lt;&gt;Done",'Debt Backlog'!$N$2:$N$1000,"&lt;&gt;Won't Fix",'Debt Backlog'!$N$2:$N$1000,"&lt;&gt;Duplicate"))</f>
        <v/>
      </c>
      <c r="AI21" s="92" t="str">
        <f aca="false">IF($B21="","",ROUND(SUMIFS('Debt Backlog'!$L$2:$L$1000,'Debt Backlog'!$AF$2:$AF$1000,$A21,'Debt Backlog'!$B$2:$B$1000,"&lt;&gt;",'Debt Backlog'!$N$2:$N$1000,"&lt;&gt;Done",'Debt Backlog'!$N$2:$N$1000,"&lt;&gt;Won't Fix",'Debt Backlog'!$N$2:$N$1000,"&lt;&gt;Duplicate"),2))</f>
        <v/>
      </c>
    </row>
    <row r="22" customFormat="false" ht="57" hidden="false" customHeight="true" outlineLevel="0" collapsed="false">
      <c r="A22" s="119"/>
      <c r="B22" s="120"/>
      <c r="C22" s="120"/>
      <c r="D22" s="120"/>
      <c r="E22" s="120"/>
      <c r="F22" s="120"/>
      <c r="G22" s="120"/>
      <c r="H22" s="120"/>
      <c r="I22" s="121"/>
      <c r="J22" s="121"/>
      <c r="K22" s="121"/>
      <c r="L22" s="121"/>
      <c r="M22" s="121"/>
      <c r="N22" s="92" t="str">
        <f aca="false">IF(OR($B22="", $I22="", $J22="", $K22="", $L22="", $M22=""),"",ROUND(($I22*Lists!$AD$2)+($J22*Lists!$AD$3)+($K22*Lists!$AD$4)+($L22*Lists!$AD$5)+($M22*Lists!$AD$6),2))</f>
        <v/>
      </c>
      <c r="O22" s="92"/>
      <c r="P22" s="121"/>
      <c r="Q22" s="121"/>
      <c r="R22" s="121"/>
      <c r="S22" s="121"/>
      <c r="T22" s="92" t="str">
        <f aca="false">IF(OR($B22="", $P22="", $Q22="", $R22="", $S22=""),"",ROUND(($P22*Lists!$AD$7)+($Q22*Lists!$AD$8)+($R22*Lists!$AD$9)+($S22*Lists!$AD$10),2))</f>
        <v/>
      </c>
      <c r="U22" s="121"/>
      <c r="V22" s="121"/>
      <c r="W22" s="121"/>
      <c r="X22" s="121"/>
      <c r="Y22" s="121"/>
      <c r="Z22" s="92" t="str">
        <f aca="false">IF(OR($B22="", $U22="", $V22="", $W22="", $X22="", $Y22=""),"",ROUND(($U22*Lists!$AD$11)+($V22*Lists!$AD$12)+($W22*Lists!$AD$13)+($X22*Lists!$AD$14)+($Y22*Lists!$AD$15),2))</f>
        <v/>
      </c>
      <c r="AA22" s="92" t="str">
        <f aca="false">IF(OR($B22="", $N22="", $O22="", $T22="", $Z22=""),"",ROUND(($N22*Lists!$AD$16)-($O22*Lists!$AD$17)-($T22*Lists!$AD$18)+($Z22*Lists!$AD$19),2))</f>
        <v/>
      </c>
      <c r="AB22" s="110" t="str">
        <f aca="false">IF(OR($B22="", $N22="", $Z22=""),"",IF($N22&gt;=Lists!$AG$2,IF($Z22&gt;=Lists!$AG$3,"Invest","Migrate"),IF($Z22&gt;=Lists!$AG$3,"Tolerate","Eliminate")))</f>
        <v/>
      </c>
      <c r="AC22" s="110"/>
      <c r="AD22" s="110"/>
      <c r="AE22" s="110" t="str">
        <f aca="false">IF(OR($N22="", $O22=""),"",IF($N22&gt;=Lists!$AG$2,IF($O22&gt;=Lists!$AG$4,"High Value / High Risk","High Value / Low Risk"),IF($O22&gt;=Lists!$AG$4,"Low Value / High Risk","Low Value / Low Risk")))</f>
        <v/>
      </c>
      <c r="AF22" s="120"/>
      <c r="AG22" s="122"/>
      <c r="AH22" s="95" t="str">
        <f aca="false">IF($B22="","",COUNTIFS('Debt Backlog'!$AF$2:$AF$1000,$A22,'Debt Backlog'!$B$2:$B$1000,"&lt;&gt;",'Debt Backlog'!$N$2:$N$1000,"&lt;&gt;Done",'Debt Backlog'!$N$2:$N$1000,"&lt;&gt;Won't Fix",'Debt Backlog'!$N$2:$N$1000,"&lt;&gt;Duplicate"))</f>
        <v/>
      </c>
      <c r="AI22" s="92" t="str">
        <f aca="false">IF($B22="","",ROUND(SUMIFS('Debt Backlog'!$L$2:$L$1000,'Debt Backlog'!$AF$2:$AF$1000,$A22,'Debt Backlog'!$B$2:$B$1000,"&lt;&gt;",'Debt Backlog'!$N$2:$N$1000,"&lt;&gt;Done",'Debt Backlog'!$N$2:$N$1000,"&lt;&gt;Won't Fix",'Debt Backlog'!$N$2:$N$1000,"&lt;&gt;Duplicate"),2))</f>
        <v/>
      </c>
    </row>
    <row r="23" customFormat="false" ht="42.75" hidden="false" customHeight="true" outlineLevel="0" collapsed="false">
      <c r="A23" s="119"/>
      <c r="B23" s="123"/>
      <c r="C23" s="123"/>
      <c r="D23" s="123"/>
      <c r="E23" s="123"/>
      <c r="F23" s="123"/>
      <c r="G23" s="123"/>
      <c r="H23" s="123"/>
      <c r="I23" s="121"/>
      <c r="J23" s="121"/>
      <c r="K23" s="121"/>
      <c r="L23" s="121"/>
      <c r="M23" s="121"/>
      <c r="N23" s="92" t="str">
        <f aca="false">IF(OR($B23="", $I23="", $J23="", $K23="", $L23="", $M23=""),"",ROUND(($I23*Lists!$AD$2)+($J23*Lists!$AD$3)+($K23*Lists!$AD$4)+($L23*Lists!$AD$5)+($M23*Lists!$AD$6),2))</f>
        <v/>
      </c>
      <c r="O23" s="92"/>
      <c r="P23" s="121"/>
      <c r="Q23" s="121"/>
      <c r="R23" s="121"/>
      <c r="S23" s="121"/>
      <c r="T23" s="92" t="str">
        <f aca="false">IF(OR($B23="", $P23="", $Q23="", $R23="", $S23=""),"",ROUND(($P23*Lists!$AD$7)+($Q23*Lists!$AD$8)+($R23*Lists!$AD$9)+($S23*Lists!$AD$10),2))</f>
        <v/>
      </c>
      <c r="U23" s="121"/>
      <c r="V23" s="121"/>
      <c r="W23" s="121"/>
      <c r="X23" s="121"/>
      <c r="Y23" s="121"/>
      <c r="Z23" s="92" t="str">
        <f aca="false">IF(OR($B23="", $U23="", $V23="", $W23="", $X23="", $Y23=""),"",ROUND(($U23*Lists!$AD$11)+($V23*Lists!$AD$12)+($W23*Lists!$AD$13)+($X23*Lists!$AD$14)+($Y23*Lists!$AD$15),2))</f>
        <v/>
      </c>
      <c r="AA23" s="92" t="str">
        <f aca="false">IF(OR($B23="", $N23="", $O23="", $T23="", $Z23=""),"",ROUND(($N23*Lists!$AD$16)-($O23*Lists!$AD$17)-($T23*Lists!$AD$18)+($Z23*Lists!$AD$19),2))</f>
        <v/>
      </c>
      <c r="AB23" s="110" t="str">
        <f aca="false">IF(OR($B23="", $N23="", $Z23=""),"",IF($N23&gt;=Lists!$AG$2,IF($Z23&gt;=Lists!$AG$3,"Invest","Migrate"),IF($Z23&gt;=Lists!$AG$3,"Tolerate","Eliminate")))</f>
        <v/>
      </c>
      <c r="AC23" s="110"/>
      <c r="AD23" s="110"/>
      <c r="AE23" s="110" t="str">
        <f aca="false">IF(OR($N23="", $O23=""),"",IF($N23&gt;=Lists!$AG$2,IF($O23&gt;=Lists!$AG$4,"High Value / High Risk","High Value / Low Risk"),IF($O23&gt;=Lists!$AG$4,"Low Value / High Risk","Low Value / Low Risk")))</f>
        <v/>
      </c>
      <c r="AF23" s="123"/>
      <c r="AG23" s="124"/>
      <c r="AH23" s="95" t="str">
        <f aca="false">IF($B23="","",COUNTIFS('Debt Backlog'!$AF$2:$AF$1000,$A23,'Debt Backlog'!$B$2:$B$1000,"&lt;&gt;",'Debt Backlog'!$N$2:$N$1000,"&lt;&gt;Done",'Debt Backlog'!$N$2:$N$1000,"&lt;&gt;Won't Fix",'Debt Backlog'!$N$2:$N$1000,"&lt;&gt;Duplicate"))</f>
        <v/>
      </c>
      <c r="AI23" s="92" t="str">
        <f aca="false">IF($B23="","",ROUND(SUMIFS('Debt Backlog'!$L$2:$L$1000,'Debt Backlog'!$AF$2:$AF$1000,$A23,'Debt Backlog'!$B$2:$B$1000,"&lt;&gt;",'Debt Backlog'!$N$2:$N$1000,"&lt;&gt;Done",'Debt Backlog'!$N$2:$N$1000,"&lt;&gt;Won't Fix",'Debt Backlog'!$N$2:$N$1000,"&lt;&gt;Duplicate"),2))</f>
        <v/>
      </c>
    </row>
    <row r="24" customFormat="false" ht="28.5" hidden="false" customHeight="true" outlineLevel="0" collapsed="false">
      <c r="A24" s="119"/>
      <c r="B24" s="120"/>
      <c r="C24" s="120"/>
      <c r="D24" s="120"/>
      <c r="E24" s="120"/>
      <c r="F24" s="120"/>
      <c r="G24" s="120"/>
      <c r="H24" s="120"/>
      <c r="I24" s="121"/>
      <c r="J24" s="121"/>
      <c r="K24" s="121"/>
      <c r="L24" s="121"/>
      <c r="M24" s="121"/>
      <c r="N24" s="92" t="str">
        <f aca="false">IF(OR($B24="", $I24="", $J24="", $K24="", $L24="", $M24=""),"",ROUND(($I24*Lists!$AD$2)+($J24*Lists!$AD$3)+($K24*Lists!$AD$4)+($L24*Lists!$AD$5)+($M24*Lists!$AD$6),2))</f>
        <v/>
      </c>
      <c r="O24" s="92"/>
      <c r="P24" s="121"/>
      <c r="Q24" s="121"/>
      <c r="R24" s="121"/>
      <c r="S24" s="121"/>
      <c r="T24" s="92" t="str">
        <f aca="false">IF(OR($B24="", $P24="", $Q24="", $R24="", $S24=""),"",ROUND(($P24*Lists!$AD$7)+($Q24*Lists!$AD$8)+($R24*Lists!$AD$9)+($S24*Lists!$AD$10),2))</f>
        <v/>
      </c>
      <c r="U24" s="121"/>
      <c r="V24" s="121"/>
      <c r="W24" s="121"/>
      <c r="X24" s="121"/>
      <c r="Y24" s="121"/>
      <c r="Z24" s="92" t="str">
        <f aca="false">IF(OR($B24="", $U24="", $V24="", $W24="", $X24="", $Y24=""),"",ROUND(($U24*Lists!$AD$11)+($V24*Lists!$AD$12)+($W24*Lists!$AD$13)+($X24*Lists!$AD$14)+($Y24*Lists!$AD$15),2))</f>
        <v/>
      </c>
      <c r="AA24" s="92" t="str">
        <f aca="false">IF(OR($B24="", $N24="", $O24="", $T24="", $Z24=""),"",ROUND(($N24*Lists!$AD$16)-($O24*Lists!$AD$17)-($T24*Lists!$AD$18)+($Z24*Lists!$AD$19),2))</f>
        <v/>
      </c>
      <c r="AB24" s="110" t="str">
        <f aca="false">IF(OR($B24="", $N24="", $Z24=""),"",IF($N24&gt;=Lists!$AG$2,IF($Z24&gt;=Lists!$AG$3,"Invest","Migrate"),IF($Z24&gt;=Lists!$AG$3,"Tolerate","Eliminate")))</f>
        <v/>
      </c>
      <c r="AC24" s="110"/>
      <c r="AD24" s="110"/>
      <c r="AE24" s="110" t="str">
        <f aca="false">IF(OR($N24="", $O24=""),"",IF($N24&gt;=Lists!$AG$2,IF($O24&gt;=Lists!$AG$4,"High Value / High Risk","High Value / Low Risk"),IF($O24&gt;=Lists!$AG$4,"Low Value / High Risk","Low Value / Low Risk")))</f>
        <v/>
      </c>
      <c r="AF24" s="120"/>
      <c r="AG24" s="122"/>
      <c r="AH24" s="95" t="str">
        <f aca="false">IF($B24="","",COUNTIFS('Debt Backlog'!$AF$2:$AF$1000,$A24,'Debt Backlog'!$B$2:$B$1000,"&lt;&gt;",'Debt Backlog'!$N$2:$N$1000,"&lt;&gt;Done",'Debt Backlog'!$N$2:$N$1000,"&lt;&gt;Won't Fix",'Debt Backlog'!$N$2:$N$1000,"&lt;&gt;Duplicate"))</f>
        <v/>
      </c>
      <c r="AI24" s="92" t="str">
        <f aca="false">IF($B24="","",ROUND(SUMIFS('Debt Backlog'!$L$2:$L$1000,'Debt Backlog'!$AF$2:$AF$1000,$A24,'Debt Backlog'!$B$2:$B$1000,"&lt;&gt;",'Debt Backlog'!$N$2:$N$1000,"&lt;&gt;Done",'Debt Backlog'!$N$2:$N$1000,"&lt;&gt;Won't Fix",'Debt Backlog'!$N$2:$N$1000,"&lt;&gt;Duplicate"),2))</f>
        <v/>
      </c>
    </row>
    <row r="25" customFormat="false" ht="28.5" hidden="false" customHeight="true" outlineLevel="0" collapsed="false">
      <c r="A25" s="119"/>
      <c r="B25" s="123"/>
      <c r="C25" s="123"/>
      <c r="D25" s="123"/>
      <c r="E25" s="123"/>
      <c r="F25" s="123"/>
      <c r="G25" s="123"/>
      <c r="H25" s="123"/>
      <c r="I25" s="121"/>
      <c r="J25" s="121"/>
      <c r="K25" s="121"/>
      <c r="L25" s="121"/>
      <c r="M25" s="121"/>
      <c r="N25" s="92" t="str">
        <f aca="false">IF(OR($B25="", $I25="", $J25="", $K25="", $L25="", $M25=""),"",ROUND(($I25*Lists!$AD$2)+($J25*Lists!$AD$3)+($K25*Lists!$AD$4)+($L25*Lists!$AD$5)+($M25*Lists!$AD$6),2))</f>
        <v/>
      </c>
      <c r="O25" s="92"/>
      <c r="P25" s="121"/>
      <c r="Q25" s="121"/>
      <c r="R25" s="121"/>
      <c r="S25" s="121"/>
      <c r="T25" s="92" t="str">
        <f aca="false">IF(OR($B25="", $P25="", $Q25="", $R25="", $S25=""),"",ROUND(($P25*Lists!$AD$7)+($Q25*Lists!$AD$8)+($R25*Lists!$AD$9)+($S25*Lists!$AD$10),2))</f>
        <v/>
      </c>
      <c r="U25" s="121"/>
      <c r="V25" s="121"/>
      <c r="W25" s="121"/>
      <c r="X25" s="121"/>
      <c r="Y25" s="121"/>
      <c r="Z25" s="92" t="str">
        <f aca="false">IF(OR($B25="", $U25="", $V25="", $W25="", $X25="", $Y25=""),"",ROUND(($U25*Lists!$AD$11)+($V25*Lists!$AD$12)+($W25*Lists!$AD$13)+($X25*Lists!$AD$14)+($Y25*Lists!$AD$15),2))</f>
        <v/>
      </c>
      <c r="AA25" s="92" t="str">
        <f aca="false">IF(OR($B25="", $N25="", $O25="", $T25="", $Z25=""),"",ROUND(($N25*Lists!$AD$16)-($O25*Lists!$AD$17)-($T25*Lists!$AD$18)+($Z25*Lists!$AD$19),2))</f>
        <v/>
      </c>
      <c r="AB25" s="110" t="str">
        <f aca="false">IF(OR($B25="", $N25="", $Z25=""),"",IF($N25&gt;=Lists!$AG$2,IF($Z25&gt;=Lists!$AG$3,"Invest","Migrate"),IF($Z25&gt;=Lists!$AG$3,"Tolerate","Eliminate")))</f>
        <v/>
      </c>
      <c r="AC25" s="110"/>
      <c r="AD25" s="110"/>
      <c r="AE25" s="110" t="str">
        <f aca="false">IF(OR($N25="", $O25=""),"",IF($N25&gt;=Lists!$AG$2,IF($O25&gt;=Lists!$AG$4,"High Value / High Risk","High Value / Low Risk"),IF($O25&gt;=Lists!$AG$4,"Low Value / High Risk","Low Value / Low Risk")))</f>
        <v/>
      </c>
      <c r="AF25" s="123"/>
      <c r="AG25" s="124"/>
      <c r="AH25" s="95" t="str">
        <f aca="false">IF($B25="","",COUNTIFS('Debt Backlog'!$AF$2:$AF$1000,$A25,'Debt Backlog'!$B$2:$B$1000,"&lt;&gt;",'Debt Backlog'!$N$2:$N$1000,"&lt;&gt;Done",'Debt Backlog'!$N$2:$N$1000,"&lt;&gt;Won't Fix",'Debt Backlog'!$N$2:$N$1000,"&lt;&gt;Duplicate"))</f>
        <v/>
      </c>
      <c r="AI25" s="92" t="str">
        <f aca="false">IF($B25="","",ROUND(SUMIFS('Debt Backlog'!$L$2:$L$1000,'Debt Backlog'!$AF$2:$AF$1000,$A25,'Debt Backlog'!$B$2:$B$1000,"&lt;&gt;",'Debt Backlog'!$N$2:$N$1000,"&lt;&gt;Done",'Debt Backlog'!$N$2:$N$1000,"&lt;&gt;Won't Fix",'Debt Backlog'!$N$2:$N$1000,"&lt;&gt;Duplicate"),2))</f>
        <v/>
      </c>
    </row>
    <row r="26" customFormat="false" ht="28.5" hidden="false" customHeight="true" outlineLevel="0" collapsed="false">
      <c r="A26" s="119"/>
      <c r="B26" s="120"/>
      <c r="C26" s="120"/>
      <c r="D26" s="120"/>
      <c r="E26" s="120"/>
      <c r="F26" s="120"/>
      <c r="G26" s="120"/>
      <c r="H26" s="120"/>
      <c r="I26" s="121"/>
      <c r="J26" s="121"/>
      <c r="K26" s="121"/>
      <c r="L26" s="121"/>
      <c r="M26" s="121"/>
      <c r="N26" s="92" t="str">
        <f aca="false">IF(OR($B26="", $I26="", $J26="", $K26="", $L26="", $M26=""),"",ROUND(($I26*Lists!$AD$2)+($J26*Lists!$AD$3)+($K26*Lists!$AD$4)+($L26*Lists!$AD$5)+($M26*Lists!$AD$6),2))</f>
        <v/>
      </c>
      <c r="O26" s="92"/>
      <c r="P26" s="121"/>
      <c r="Q26" s="121"/>
      <c r="R26" s="121"/>
      <c r="S26" s="121"/>
      <c r="T26" s="92" t="str">
        <f aca="false">IF(OR($B26="", $P26="", $Q26="", $R26="", $S26=""),"",ROUND(($P26*Lists!$AD$7)+($Q26*Lists!$AD$8)+($R26*Lists!$AD$9)+($S26*Lists!$AD$10),2))</f>
        <v/>
      </c>
      <c r="U26" s="121"/>
      <c r="V26" s="121"/>
      <c r="W26" s="121"/>
      <c r="X26" s="121"/>
      <c r="Y26" s="121"/>
      <c r="Z26" s="92" t="str">
        <f aca="false">IF(OR($B26="", $U26="", $V26="", $W26="", $X26="", $Y26=""),"",ROUND(($U26*Lists!$AD$11)+($V26*Lists!$AD$12)+($W26*Lists!$AD$13)+($X26*Lists!$AD$14)+($Y26*Lists!$AD$15),2))</f>
        <v/>
      </c>
      <c r="AA26" s="92" t="str">
        <f aca="false">IF(OR($B26="", $N26="", $O26="", $T26="", $Z26=""),"",ROUND(($N26*Lists!$AD$16)-($O26*Lists!$AD$17)-($T26*Lists!$AD$18)+($Z26*Lists!$AD$19),2))</f>
        <v/>
      </c>
      <c r="AB26" s="110" t="str">
        <f aca="false">IF(OR($B26="", $N26="", $Z26=""),"",IF($N26&gt;=Lists!$AG$2,IF($Z26&gt;=Lists!$AG$3,"Invest","Migrate"),IF($Z26&gt;=Lists!$AG$3,"Tolerate","Eliminate")))</f>
        <v/>
      </c>
      <c r="AC26" s="110"/>
      <c r="AD26" s="110"/>
      <c r="AE26" s="110" t="str">
        <f aca="false">IF(OR($N26="", $O26=""),"",IF($N26&gt;=Lists!$AG$2,IF($O26&gt;=Lists!$AG$4,"High Value / High Risk","High Value / Low Risk"),IF($O26&gt;=Lists!$AG$4,"Low Value / High Risk","Low Value / Low Risk")))</f>
        <v/>
      </c>
      <c r="AF26" s="120"/>
      <c r="AG26" s="122"/>
      <c r="AH26" s="95" t="str">
        <f aca="false">IF($B26="","",COUNTIFS('Debt Backlog'!$AF$2:$AF$1000,$A26,'Debt Backlog'!$B$2:$B$1000,"&lt;&gt;",'Debt Backlog'!$N$2:$N$1000,"&lt;&gt;Done",'Debt Backlog'!$N$2:$N$1000,"&lt;&gt;Won't Fix",'Debt Backlog'!$N$2:$N$1000,"&lt;&gt;Duplicate"))</f>
        <v/>
      </c>
      <c r="AI26" s="92" t="str">
        <f aca="false">IF($B26="","",ROUND(SUMIFS('Debt Backlog'!$L$2:$L$1000,'Debt Backlog'!$AF$2:$AF$1000,$A26,'Debt Backlog'!$B$2:$B$1000,"&lt;&gt;",'Debt Backlog'!$N$2:$N$1000,"&lt;&gt;Done",'Debt Backlog'!$N$2:$N$1000,"&lt;&gt;Won't Fix",'Debt Backlog'!$N$2:$N$1000,"&lt;&gt;Duplicate"),2))</f>
        <v/>
      </c>
    </row>
    <row r="27" customFormat="false" ht="15" hidden="false" customHeight="true" outlineLevel="0" collapsed="false">
      <c r="A27" s="119"/>
      <c r="B27" s="123"/>
      <c r="C27" s="123"/>
      <c r="D27" s="123"/>
      <c r="E27" s="123"/>
      <c r="F27" s="123"/>
      <c r="G27" s="123"/>
      <c r="H27" s="123"/>
      <c r="I27" s="121"/>
      <c r="J27" s="121"/>
      <c r="K27" s="121"/>
      <c r="L27" s="121"/>
      <c r="M27" s="121"/>
      <c r="N27" s="92" t="str">
        <f aca="false">IF(OR($B27="", $I27="", $J27="", $K27="", $L27="", $M27=""),"",ROUND(($I27*Lists!$AD$2)+($J27*Lists!$AD$3)+($K27*Lists!$AD$4)+($L27*Lists!$AD$5)+($M27*Lists!$AD$6),2))</f>
        <v/>
      </c>
      <c r="O27" s="92"/>
      <c r="P27" s="121"/>
      <c r="Q27" s="121"/>
      <c r="R27" s="121"/>
      <c r="S27" s="121"/>
      <c r="T27" s="92" t="str">
        <f aca="false">IF(OR($B27="", $P27="", $Q27="", $R27="", $S27=""),"",ROUND(($P27*Lists!$AD$7)+($Q27*Lists!$AD$8)+($R27*Lists!$AD$9)+($S27*Lists!$AD$10),2))</f>
        <v/>
      </c>
      <c r="U27" s="121"/>
      <c r="V27" s="121"/>
      <c r="W27" s="121"/>
      <c r="X27" s="121"/>
      <c r="Y27" s="121"/>
      <c r="Z27" s="92" t="str">
        <f aca="false">IF(OR($B27="", $U27="", $V27="", $W27="", $X27="", $Y27=""),"",ROUND(($U27*Lists!$AD$11)+($V27*Lists!$AD$12)+($W27*Lists!$AD$13)+($X27*Lists!$AD$14)+($Y27*Lists!$AD$15),2))</f>
        <v/>
      </c>
      <c r="AA27" s="92" t="str">
        <f aca="false">IF(OR($B27="", $N27="", $O27="", $T27="", $Z27=""),"",ROUND(($N27*Lists!$AD$16)-($O27*Lists!$AD$17)-($T27*Lists!$AD$18)+($Z27*Lists!$AD$19),2))</f>
        <v/>
      </c>
      <c r="AB27" s="110" t="str">
        <f aca="false">IF(OR($B27="", $N27="", $Z27=""),"",IF($N27&gt;=Lists!$AG$2,IF($Z27&gt;=Lists!$AG$3,"Invest","Migrate"),IF($Z27&gt;=Lists!$AG$3,"Tolerate","Eliminate")))</f>
        <v/>
      </c>
      <c r="AC27" s="110"/>
      <c r="AD27" s="110"/>
      <c r="AE27" s="110" t="str">
        <f aca="false">IF(OR($N27="", $O27=""),"",IF($N27&gt;=Lists!$AG$2,IF($O27&gt;=Lists!$AG$4,"High Value / High Risk","High Value / Low Risk"),IF($O27&gt;=Lists!$AG$4,"Low Value / High Risk","Low Value / Low Risk")))</f>
        <v/>
      </c>
      <c r="AF27" s="123"/>
      <c r="AG27" s="124"/>
      <c r="AH27" s="95" t="str">
        <f aca="false">IF($B27="","",COUNTIFS('Debt Backlog'!$AF$2:$AF$1000,$A27,'Debt Backlog'!$B$2:$B$1000,"&lt;&gt;",'Debt Backlog'!$N$2:$N$1000,"&lt;&gt;Done",'Debt Backlog'!$N$2:$N$1000,"&lt;&gt;Won't Fix",'Debt Backlog'!$N$2:$N$1000,"&lt;&gt;Duplicate"))</f>
        <v/>
      </c>
      <c r="AI27" s="92" t="str">
        <f aca="false">IF($B27="","",ROUND(SUMIFS('Debt Backlog'!$L$2:$L$1000,'Debt Backlog'!$AF$2:$AF$1000,$A27,'Debt Backlog'!$B$2:$B$1000,"&lt;&gt;",'Debt Backlog'!$N$2:$N$1000,"&lt;&gt;Done",'Debt Backlog'!$N$2:$N$1000,"&lt;&gt;Won't Fix",'Debt Backlog'!$N$2:$N$1000,"&lt;&gt;Duplicate"),2))</f>
        <v/>
      </c>
    </row>
    <row r="28" customFormat="false" ht="15" hidden="false" customHeight="true" outlineLevel="0" collapsed="false">
      <c r="A28" s="119"/>
      <c r="B28" s="120"/>
      <c r="C28" s="120"/>
      <c r="D28" s="120"/>
      <c r="E28" s="120"/>
      <c r="F28" s="120"/>
      <c r="G28" s="120"/>
      <c r="H28" s="120"/>
      <c r="I28" s="121"/>
      <c r="J28" s="121"/>
      <c r="K28" s="121"/>
      <c r="L28" s="121"/>
      <c r="M28" s="121"/>
      <c r="N28" s="92" t="str">
        <f aca="false">IF(OR($B28="", $I28="", $J28="", $K28="", $L28="", $M28=""),"",ROUND(($I28*Lists!$AD$2)+($J28*Lists!$AD$3)+($K28*Lists!$AD$4)+($L28*Lists!$AD$5)+($M28*Lists!$AD$6),2))</f>
        <v/>
      </c>
      <c r="O28" s="92"/>
      <c r="P28" s="121"/>
      <c r="Q28" s="121"/>
      <c r="R28" s="121"/>
      <c r="S28" s="121"/>
      <c r="T28" s="92" t="str">
        <f aca="false">IF(OR($B28="", $P28="", $Q28="", $R28="", $S28=""),"",ROUND(($P28*Lists!$AD$7)+($Q28*Lists!$AD$8)+($R28*Lists!$AD$9)+($S28*Lists!$AD$10),2))</f>
        <v/>
      </c>
      <c r="U28" s="121"/>
      <c r="V28" s="121"/>
      <c r="W28" s="121"/>
      <c r="X28" s="121"/>
      <c r="Y28" s="121"/>
      <c r="Z28" s="92" t="str">
        <f aca="false">IF(OR($B28="", $U28="", $V28="", $W28="", $X28="", $Y28=""),"",ROUND(($U28*Lists!$AD$11)+($V28*Lists!$AD$12)+($W28*Lists!$AD$13)+($X28*Lists!$AD$14)+($Y28*Lists!$AD$15),2))</f>
        <v/>
      </c>
      <c r="AA28" s="92" t="str">
        <f aca="false">IF(OR($B28="", $N28="", $O28="", $T28="", $Z28=""),"",ROUND(($N28*Lists!$AD$16)-($O28*Lists!$AD$17)-($T28*Lists!$AD$18)+($Z28*Lists!$AD$19),2))</f>
        <v/>
      </c>
      <c r="AB28" s="110" t="str">
        <f aca="false">IF(OR($B28="", $N28="", $Z28=""),"",IF($N28&gt;=Lists!$AG$2,IF($Z28&gt;=Lists!$AG$3,"Invest","Migrate"),IF($Z28&gt;=Lists!$AG$3,"Tolerate","Eliminate")))</f>
        <v/>
      </c>
      <c r="AC28" s="110"/>
      <c r="AD28" s="110"/>
      <c r="AE28" s="110" t="str">
        <f aca="false">IF(OR($N28="", $O28=""),"",IF($N28&gt;=Lists!$AG$2,IF($O28&gt;=Lists!$AG$4,"High Value / High Risk","High Value / Low Risk"),IF($O28&gt;=Lists!$AG$4,"Low Value / High Risk","Low Value / Low Risk")))</f>
        <v/>
      </c>
      <c r="AF28" s="120"/>
      <c r="AG28" s="122"/>
      <c r="AH28" s="95" t="str">
        <f aca="false">IF($B28="","",COUNTIFS('Debt Backlog'!$AF$2:$AF$1000,$A28,'Debt Backlog'!$B$2:$B$1000,"&lt;&gt;",'Debt Backlog'!$N$2:$N$1000,"&lt;&gt;Done",'Debt Backlog'!$N$2:$N$1000,"&lt;&gt;Won't Fix",'Debt Backlog'!$N$2:$N$1000,"&lt;&gt;Duplicate"))</f>
        <v/>
      </c>
      <c r="AI28" s="92" t="str">
        <f aca="false">IF($B28="","",ROUND(SUMIFS('Debt Backlog'!$L$2:$L$1000,'Debt Backlog'!$AF$2:$AF$1000,$A28,'Debt Backlog'!$B$2:$B$1000,"&lt;&gt;",'Debt Backlog'!$N$2:$N$1000,"&lt;&gt;Done",'Debt Backlog'!$N$2:$N$1000,"&lt;&gt;Won't Fix",'Debt Backlog'!$N$2:$N$1000,"&lt;&gt;Duplicate"),2))</f>
        <v/>
      </c>
    </row>
    <row r="29" customFormat="false" ht="28.5" hidden="false" customHeight="true" outlineLevel="0" collapsed="false">
      <c r="A29" s="119"/>
      <c r="B29" s="123"/>
      <c r="C29" s="123"/>
      <c r="D29" s="123"/>
      <c r="E29" s="123"/>
      <c r="F29" s="123"/>
      <c r="G29" s="123"/>
      <c r="H29" s="123"/>
      <c r="I29" s="121"/>
      <c r="J29" s="121"/>
      <c r="K29" s="121"/>
      <c r="L29" s="121"/>
      <c r="M29" s="121"/>
      <c r="N29" s="92" t="str">
        <f aca="false">IF(OR($B29="", $I29="", $J29="", $K29="", $L29="", $M29=""),"",ROUND(($I29*Lists!$AD$2)+($J29*Lists!$AD$3)+($K29*Lists!$AD$4)+($L29*Lists!$AD$5)+($M29*Lists!$AD$6),2))</f>
        <v/>
      </c>
      <c r="O29" s="92"/>
      <c r="P29" s="121"/>
      <c r="Q29" s="121"/>
      <c r="R29" s="121"/>
      <c r="S29" s="121"/>
      <c r="T29" s="92" t="str">
        <f aca="false">IF(OR($B29="", $P29="", $Q29="", $R29="", $S29=""),"",ROUND(($P29*Lists!$AD$7)+($Q29*Lists!$AD$8)+($R29*Lists!$AD$9)+($S29*Lists!$AD$10),2))</f>
        <v/>
      </c>
      <c r="U29" s="121"/>
      <c r="V29" s="121"/>
      <c r="W29" s="121"/>
      <c r="X29" s="121"/>
      <c r="Y29" s="121"/>
      <c r="Z29" s="92" t="str">
        <f aca="false">IF(OR($B29="", $U29="", $V29="", $W29="", $X29="", $Y29=""),"",ROUND(($U29*Lists!$AD$11)+($V29*Lists!$AD$12)+($W29*Lists!$AD$13)+($X29*Lists!$AD$14)+($Y29*Lists!$AD$15),2))</f>
        <v/>
      </c>
      <c r="AA29" s="92" t="str">
        <f aca="false">IF(OR($B29="", $N29="", $O29="", $T29="", $Z29=""),"",ROUND(($N29*Lists!$AD$16)-($O29*Lists!$AD$17)-($T29*Lists!$AD$18)+($Z29*Lists!$AD$19),2))</f>
        <v/>
      </c>
      <c r="AB29" s="110" t="str">
        <f aca="false">IF(OR($B29="", $N29="", $Z29=""),"",IF($N29&gt;=Lists!$AG$2,IF($Z29&gt;=Lists!$AG$3,"Invest","Migrate"),IF($Z29&gt;=Lists!$AG$3,"Tolerate","Eliminate")))</f>
        <v/>
      </c>
      <c r="AC29" s="110"/>
      <c r="AD29" s="110"/>
      <c r="AE29" s="110" t="str">
        <f aca="false">IF(OR($N29="", $O29=""),"",IF($N29&gt;=Lists!$AG$2,IF($O29&gt;=Lists!$AG$4,"High Value / High Risk","High Value / Low Risk"),IF($O29&gt;=Lists!$AG$4,"Low Value / High Risk","Low Value / Low Risk")))</f>
        <v/>
      </c>
      <c r="AF29" s="123"/>
      <c r="AG29" s="124"/>
      <c r="AH29" s="95" t="str">
        <f aca="false">IF($B29="","",COUNTIFS('Debt Backlog'!$AF$2:$AF$1000,$A29,'Debt Backlog'!$B$2:$B$1000,"&lt;&gt;",'Debt Backlog'!$N$2:$N$1000,"&lt;&gt;Done",'Debt Backlog'!$N$2:$N$1000,"&lt;&gt;Won't Fix",'Debt Backlog'!$N$2:$N$1000,"&lt;&gt;Duplicate"))</f>
        <v/>
      </c>
      <c r="AI29" s="92" t="str">
        <f aca="false">IF($B29="","",ROUND(SUMIFS('Debt Backlog'!$L$2:$L$1000,'Debt Backlog'!$AF$2:$AF$1000,$A29,'Debt Backlog'!$B$2:$B$1000,"&lt;&gt;",'Debt Backlog'!$N$2:$N$1000,"&lt;&gt;Done",'Debt Backlog'!$N$2:$N$1000,"&lt;&gt;Won't Fix",'Debt Backlog'!$N$2:$N$1000,"&lt;&gt;Duplicate"),2))</f>
        <v/>
      </c>
    </row>
    <row r="30" customFormat="false" ht="28.5" hidden="false" customHeight="true" outlineLevel="0" collapsed="false">
      <c r="A30" s="119"/>
      <c r="B30" s="120"/>
      <c r="C30" s="120"/>
      <c r="D30" s="120"/>
      <c r="E30" s="120"/>
      <c r="F30" s="120"/>
      <c r="G30" s="120"/>
      <c r="H30" s="120"/>
      <c r="I30" s="121"/>
      <c r="J30" s="121"/>
      <c r="K30" s="121"/>
      <c r="L30" s="121"/>
      <c r="M30" s="121"/>
      <c r="N30" s="92" t="str">
        <f aca="false">IF(OR($B30="", $I30="", $J30="", $K30="", $L30="", $M30=""),"",ROUND(($I30*Lists!$AD$2)+($J30*Lists!$AD$3)+($K30*Lists!$AD$4)+($L30*Lists!$AD$5)+($M30*Lists!$AD$6),2))</f>
        <v/>
      </c>
      <c r="O30" s="92"/>
      <c r="P30" s="121"/>
      <c r="Q30" s="121"/>
      <c r="R30" s="121"/>
      <c r="S30" s="121"/>
      <c r="T30" s="92" t="str">
        <f aca="false">IF(OR($B30="", $P30="", $Q30="", $R30="", $S30=""),"",ROUND(($P30*Lists!$AD$7)+($Q30*Lists!$AD$8)+($R30*Lists!$AD$9)+($S30*Lists!$AD$10),2))</f>
        <v/>
      </c>
      <c r="U30" s="121"/>
      <c r="V30" s="121"/>
      <c r="W30" s="121"/>
      <c r="X30" s="121"/>
      <c r="Y30" s="121"/>
      <c r="Z30" s="92" t="str">
        <f aca="false">IF(OR($B30="", $U30="", $V30="", $W30="", $X30="", $Y30=""),"",ROUND(($U30*Lists!$AD$11)+($V30*Lists!$AD$12)+($W30*Lists!$AD$13)+($X30*Lists!$AD$14)+($Y30*Lists!$AD$15),2))</f>
        <v/>
      </c>
      <c r="AA30" s="92" t="str">
        <f aca="false">IF(OR($B30="", $N30="", $O30="", $T30="", $Z30=""),"",ROUND(($N30*Lists!$AD$16)-($O30*Lists!$AD$17)-($T30*Lists!$AD$18)+($Z30*Lists!$AD$19),2))</f>
        <v/>
      </c>
      <c r="AB30" s="110" t="str">
        <f aca="false">IF(OR($B30="", $N30="", $Z30=""),"",IF($N30&gt;=Lists!$AG$2,IF($Z30&gt;=Lists!$AG$3,"Invest","Migrate"),IF($Z30&gt;=Lists!$AG$3,"Tolerate","Eliminate")))</f>
        <v/>
      </c>
      <c r="AC30" s="110"/>
      <c r="AD30" s="110"/>
      <c r="AE30" s="110" t="str">
        <f aca="false">IF(OR($N30="", $O30=""),"",IF($N30&gt;=Lists!$AG$2,IF($O30&gt;=Lists!$AG$4,"High Value / High Risk","High Value / Low Risk"),IF($O30&gt;=Lists!$AG$4,"Low Value / High Risk","Low Value / Low Risk")))</f>
        <v/>
      </c>
      <c r="AF30" s="120"/>
      <c r="AG30" s="122"/>
      <c r="AH30" s="95" t="str">
        <f aca="false">IF($B30="","",COUNTIFS('Debt Backlog'!$AF$2:$AF$1000,$A30,'Debt Backlog'!$B$2:$B$1000,"&lt;&gt;",'Debt Backlog'!$N$2:$N$1000,"&lt;&gt;Done",'Debt Backlog'!$N$2:$N$1000,"&lt;&gt;Won't Fix",'Debt Backlog'!$N$2:$N$1000,"&lt;&gt;Duplicate"))</f>
        <v/>
      </c>
      <c r="AI30" s="92" t="str">
        <f aca="false">IF($B30="","",ROUND(SUMIFS('Debt Backlog'!$L$2:$L$1000,'Debt Backlog'!$AF$2:$AF$1000,$A30,'Debt Backlog'!$B$2:$B$1000,"&lt;&gt;",'Debt Backlog'!$N$2:$N$1000,"&lt;&gt;Done",'Debt Backlog'!$N$2:$N$1000,"&lt;&gt;Won't Fix",'Debt Backlog'!$N$2:$N$1000,"&lt;&gt;Duplicate"),2))</f>
        <v/>
      </c>
    </row>
    <row r="31" customFormat="false" ht="15" hidden="false" customHeight="true" outlineLevel="0" collapsed="false">
      <c r="A31" s="119"/>
      <c r="B31" s="123"/>
      <c r="C31" s="123"/>
      <c r="D31" s="123"/>
      <c r="E31" s="123"/>
      <c r="F31" s="123"/>
      <c r="G31" s="123"/>
      <c r="H31" s="123"/>
      <c r="I31" s="121"/>
      <c r="J31" s="121"/>
      <c r="K31" s="121"/>
      <c r="L31" s="121"/>
      <c r="M31" s="121"/>
      <c r="N31" s="92" t="str">
        <f aca="false">IF(OR($B31="", $I31="", $J31="", $K31="", $L31="", $M31=""),"",ROUND(($I31*Lists!$AD$2)+($J31*Lists!$AD$3)+($K31*Lists!$AD$4)+($L31*Lists!$AD$5)+($M31*Lists!$AD$6),2))</f>
        <v/>
      </c>
      <c r="O31" s="92"/>
      <c r="P31" s="121"/>
      <c r="Q31" s="121"/>
      <c r="R31" s="121"/>
      <c r="S31" s="121"/>
      <c r="T31" s="92" t="str">
        <f aca="false">IF(OR($B31="", $P31="", $Q31="", $R31="", $S31=""),"",ROUND(($P31*Lists!$AD$7)+($Q31*Lists!$AD$8)+($R31*Lists!$AD$9)+($S31*Lists!$AD$10),2))</f>
        <v/>
      </c>
      <c r="U31" s="121"/>
      <c r="V31" s="121"/>
      <c r="W31" s="121"/>
      <c r="X31" s="121"/>
      <c r="Y31" s="121"/>
      <c r="Z31" s="92" t="str">
        <f aca="false">IF(OR($B31="", $U31="", $V31="", $W31="", $X31="", $Y31=""),"",ROUND(($U31*Lists!$AD$11)+($V31*Lists!$AD$12)+($W31*Lists!$AD$13)+($X31*Lists!$AD$14)+($Y31*Lists!$AD$15),2))</f>
        <v/>
      </c>
      <c r="AA31" s="92" t="str">
        <f aca="false">IF(OR($B31="", $N31="", $O31="", $T31="", $Z31=""),"",ROUND(($N31*Lists!$AD$16)-($O31*Lists!$AD$17)-($T31*Lists!$AD$18)+($Z31*Lists!$AD$19),2))</f>
        <v/>
      </c>
      <c r="AB31" s="110" t="str">
        <f aca="false">IF(OR($B31="", $N31="", $Z31=""),"",IF($N31&gt;=Lists!$AG$2,IF($Z31&gt;=Lists!$AG$3,"Invest","Migrate"),IF($Z31&gt;=Lists!$AG$3,"Tolerate","Eliminate")))</f>
        <v/>
      </c>
      <c r="AC31" s="110"/>
      <c r="AD31" s="110"/>
      <c r="AE31" s="110" t="str">
        <f aca="false">IF(OR($N31="", $O31=""),"",IF($N31&gt;=Lists!$AG$2,IF($O31&gt;=Lists!$AG$4,"High Value / High Risk","High Value / Low Risk"),IF($O31&gt;=Lists!$AG$4,"Low Value / High Risk","Low Value / Low Risk")))</f>
        <v/>
      </c>
      <c r="AF31" s="123"/>
      <c r="AG31" s="124"/>
      <c r="AH31" s="95" t="str">
        <f aca="false">IF($B31="","",COUNTIFS('Debt Backlog'!$AF$2:$AF$1000,$A31,'Debt Backlog'!$B$2:$B$1000,"&lt;&gt;",'Debt Backlog'!$N$2:$N$1000,"&lt;&gt;Done",'Debt Backlog'!$N$2:$N$1000,"&lt;&gt;Won't Fix",'Debt Backlog'!$N$2:$N$1000,"&lt;&gt;Duplicate"))</f>
        <v/>
      </c>
      <c r="AI31" s="92" t="str">
        <f aca="false">IF($B31="","",ROUND(SUMIFS('Debt Backlog'!$L$2:$L$1000,'Debt Backlog'!$AF$2:$AF$1000,$A31,'Debt Backlog'!$B$2:$B$1000,"&lt;&gt;",'Debt Backlog'!$N$2:$N$1000,"&lt;&gt;Done",'Debt Backlog'!$N$2:$N$1000,"&lt;&gt;Won't Fix",'Debt Backlog'!$N$2:$N$1000,"&lt;&gt;Duplicate"),2))</f>
        <v/>
      </c>
    </row>
    <row r="32" customFormat="false" ht="15" hidden="false" customHeight="true" outlineLevel="0" collapsed="false">
      <c r="A32" s="119"/>
      <c r="B32" s="120"/>
      <c r="C32" s="120"/>
      <c r="D32" s="120"/>
      <c r="E32" s="120"/>
      <c r="F32" s="120"/>
      <c r="G32" s="120"/>
      <c r="H32" s="120"/>
      <c r="I32" s="121"/>
      <c r="J32" s="121"/>
      <c r="K32" s="121"/>
      <c r="L32" s="121"/>
      <c r="M32" s="121"/>
      <c r="N32" s="92" t="str">
        <f aca="false">IF(OR($B32="", $I32="", $J32="", $K32="", $L32="", $M32=""),"",ROUND(($I32*Lists!$AD$2)+($J32*Lists!$AD$3)+($K32*Lists!$AD$4)+($L32*Lists!$AD$5)+($M32*Lists!$AD$6),2))</f>
        <v/>
      </c>
      <c r="O32" s="92"/>
      <c r="P32" s="121"/>
      <c r="Q32" s="121"/>
      <c r="R32" s="121"/>
      <c r="S32" s="121"/>
      <c r="T32" s="92" t="str">
        <f aca="false">IF(OR($B32="", $P32="", $Q32="", $R32="", $S32=""),"",ROUND(($P32*Lists!$AD$7)+($Q32*Lists!$AD$8)+($R32*Lists!$AD$9)+($S32*Lists!$AD$10),2))</f>
        <v/>
      </c>
      <c r="U32" s="121"/>
      <c r="V32" s="121"/>
      <c r="W32" s="121"/>
      <c r="X32" s="121"/>
      <c r="Y32" s="121"/>
      <c r="Z32" s="92" t="str">
        <f aca="false">IF(OR($B32="", $U32="", $V32="", $W32="", $X32="", $Y32=""),"",ROUND(($U32*Lists!$AD$11)+($V32*Lists!$AD$12)+($W32*Lists!$AD$13)+($X32*Lists!$AD$14)+($Y32*Lists!$AD$15),2))</f>
        <v/>
      </c>
      <c r="AA32" s="92" t="str">
        <f aca="false">IF(OR($B32="", $N32="", $O32="", $T32="", $Z32=""),"",ROUND(($N32*Lists!$AD$16)-($O32*Lists!$AD$17)-($T32*Lists!$AD$18)+($Z32*Lists!$AD$19),2))</f>
        <v/>
      </c>
      <c r="AB32" s="110" t="str">
        <f aca="false">IF(OR($B32="", $N32="", $Z32=""),"",IF($N32&gt;=Lists!$AG$2,IF($Z32&gt;=Lists!$AG$3,"Invest","Migrate"),IF($Z32&gt;=Lists!$AG$3,"Tolerate","Eliminate")))</f>
        <v/>
      </c>
      <c r="AC32" s="110"/>
      <c r="AD32" s="110"/>
      <c r="AE32" s="110" t="str">
        <f aca="false">IF(OR($N32="", $O32=""),"",IF($N32&gt;=Lists!$AG$2,IF($O32&gt;=Lists!$AG$4,"High Value / High Risk","High Value / Low Risk"),IF($O32&gt;=Lists!$AG$4,"Low Value / High Risk","Low Value / Low Risk")))</f>
        <v/>
      </c>
      <c r="AF32" s="120"/>
      <c r="AG32" s="122"/>
      <c r="AH32" s="95" t="str">
        <f aca="false">IF($B32="","",COUNTIFS('Debt Backlog'!$AF$2:$AF$1000,$A32,'Debt Backlog'!$B$2:$B$1000,"&lt;&gt;",'Debt Backlog'!$N$2:$N$1000,"&lt;&gt;Done",'Debt Backlog'!$N$2:$N$1000,"&lt;&gt;Won't Fix",'Debt Backlog'!$N$2:$N$1000,"&lt;&gt;Duplicate"))</f>
        <v/>
      </c>
      <c r="AI32" s="92" t="str">
        <f aca="false">IF($B32="","",ROUND(SUMIFS('Debt Backlog'!$L$2:$L$1000,'Debt Backlog'!$AF$2:$AF$1000,$A32,'Debt Backlog'!$B$2:$B$1000,"&lt;&gt;",'Debt Backlog'!$N$2:$N$1000,"&lt;&gt;Done",'Debt Backlog'!$N$2:$N$1000,"&lt;&gt;Won't Fix",'Debt Backlog'!$N$2:$N$1000,"&lt;&gt;Duplicate"),2))</f>
        <v/>
      </c>
    </row>
    <row r="33" customFormat="false" ht="15" hidden="false" customHeight="true" outlineLevel="0" collapsed="false">
      <c r="A33" s="119"/>
      <c r="B33" s="123"/>
      <c r="C33" s="123"/>
      <c r="D33" s="123"/>
      <c r="E33" s="123"/>
      <c r="F33" s="123"/>
      <c r="G33" s="123"/>
      <c r="H33" s="123"/>
      <c r="I33" s="121"/>
      <c r="J33" s="121"/>
      <c r="K33" s="121"/>
      <c r="L33" s="121"/>
      <c r="M33" s="121"/>
      <c r="N33" s="92" t="str">
        <f aca="false">IF(OR($B33="", $I33="", $J33="", $K33="", $L33="", $M33=""),"",ROUND(($I33*Lists!$AD$2)+($J33*Lists!$AD$3)+($K33*Lists!$AD$4)+($L33*Lists!$AD$5)+($M33*Lists!$AD$6),2))</f>
        <v/>
      </c>
      <c r="O33" s="92"/>
      <c r="P33" s="121"/>
      <c r="Q33" s="121"/>
      <c r="R33" s="121"/>
      <c r="S33" s="121"/>
      <c r="T33" s="92" t="str">
        <f aca="false">IF(OR($B33="", $P33="", $Q33="", $R33="", $S33=""),"",ROUND(($P33*Lists!$AD$7)+($Q33*Lists!$AD$8)+($R33*Lists!$AD$9)+($S33*Lists!$AD$10),2))</f>
        <v/>
      </c>
      <c r="U33" s="121"/>
      <c r="V33" s="121"/>
      <c r="W33" s="121"/>
      <c r="X33" s="121"/>
      <c r="Y33" s="121"/>
      <c r="Z33" s="92" t="str">
        <f aca="false">IF(OR($B33="", $U33="", $V33="", $W33="", $X33="", $Y33=""),"",ROUND(($U33*Lists!$AD$11)+($V33*Lists!$AD$12)+($W33*Lists!$AD$13)+($X33*Lists!$AD$14)+($Y33*Lists!$AD$15),2))</f>
        <v/>
      </c>
      <c r="AA33" s="92" t="str">
        <f aca="false">IF(OR($B33="", $N33="", $O33="", $T33="", $Z33=""),"",ROUND(($N33*Lists!$AD$16)-($O33*Lists!$AD$17)-($T33*Lists!$AD$18)+($Z33*Lists!$AD$19),2))</f>
        <v/>
      </c>
      <c r="AB33" s="110" t="str">
        <f aca="false">IF(OR($B33="", $N33="", $Z33=""),"",IF($N33&gt;=Lists!$AG$2,IF($Z33&gt;=Lists!$AG$3,"Invest","Migrate"),IF($Z33&gt;=Lists!$AG$3,"Tolerate","Eliminate")))</f>
        <v/>
      </c>
      <c r="AC33" s="110"/>
      <c r="AD33" s="110"/>
      <c r="AE33" s="110" t="str">
        <f aca="false">IF(OR($N33="", $O33=""),"",IF($N33&gt;=Lists!$AG$2,IF($O33&gt;=Lists!$AG$4,"High Value / High Risk","High Value / Low Risk"),IF($O33&gt;=Lists!$AG$4,"Low Value / High Risk","Low Value / Low Risk")))</f>
        <v/>
      </c>
      <c r="AF33" s="123"/>
      <c r="AG33" s="124"/>
      <c r="AH33" s="95" t="str">
        <f aca="false">IF($B33="","",COUNTIFS('Debt Backlog'!$AF$2:$AF$1000,$A33,'Debt Backlog'!$B$2:$B$1000,"&lt;&gt;",'Debt Backlog'!$N$2:$N$1000,"&lt;&gt;Done",'Debt Backlog'!$N$2:$N$1000,"&lt;&gt;Won't Fix",'Debt Backlog'!$N$2:$N$1000,"&lt;&gt;Duplicate"))</f>
        <v/>
      </c>
      <c r="AI33" s="92" t="str">
        <f aca="false">IF($B33="","",ROUND(SUMIFS('Debt Backlog'!$L$2:$L$1000,'Debt Backlog'!$AF$2:$AF$1000,$A33,'Debt Backlog'!$B$2:$B$1000,"&lt;&gt;",'Debt Backlog'!$N$2:$N$1000,"&lt;&gt;Done",'Debt Backlog'!$N$2:$N$1000,"&lt;&gt;Won't Fix",'Debt Backlog'!$N$2:$N$1000,"&lt;&gt;Duplicate"),2))</f>
        <v/>
      </c>
    </row>
    <row r="34" customFormat="false" ht="15" hidden="false" customHeight="true" outlineLevel="0" collapsed="false">
      <c r="A34" s="119"/>
      <c r="B34" s="120"/>
      <c r="C34" s="120"/>
      <c r="D34" s="120"/>
      <c r="E34" s="120"/>
      <c r="F34" s="120"/>
      <c r="G34" s="120"/>
      <c r="H34" s="120"/>
      <c r="I34" s="121"/>
      <c r="J34" s="121"/>
      <c r="K34" s="121"/>
      <c r="L34" s="121"/>
      <c r="M34" s="121"/>
      <c r="N34" s="92" t="str">
        <f aca="false">IF(OR($B34="", $I34="", $J34="", $K34="", $L34="", $M34=""),"",ROUND(($I34*Lists!$AD$2)+($J34*Lists!$AD$3)+($K34*Lists!$AD$4)+($L34*Lists!$AD$5)+($M34*Lists!$AD$6),2))</f>
        <v/>
      </c>
      <c r="O34" s="92"/>
      <c r="P34" s="121"/>
      <c r="Q34" s="121"/>
      <c r="R34" s="121"/>
      <c r="S34" s="121"/>
      <c r="T34" s="92" t="str">
        <f aca="false">IF(OR($B34="", $P34="", $Q34="", $R34="", $S34=""),"",ROUND(($P34*Lists!$AD$7)+($Q34*Lists!$AD$8)+($R34*Lists!$AD$9)+($S34*Lists!$AD$10),2))</f>
        <v/>
      </c>
      <c r="U34" s="121"/>
      <c r="V34" s="121"/>
      <c r="W34" s="121"/>
      <c r="X34" s="121"/>
      <c r="Y34" s="121"/>
      <c r="Z34" s="92" t="str">
        <f aca="false">IF(OR($B34="", $U34="", $V34="", $W34="", $X34="", $Y34=""),"",ROUND(($U34*Lists!$AD$11)+($V34*Lists!$AD$12)+($W34*Lists!$AD$13)+($X34*Lists!$AD$14)+($Y34*Lists!$AD$15),2))</f>
        <v/>
      </c>
      <c r="AA34" s="92" t="str">
        <f aca="false">IF(OR($B34="", $N34="", $O34="", $T34="", $Z34=""),"",ROUND(($N34*Lists!$AD$16)-($O34*Lists!$AD$17)-($T34*Lists!$AD$18)+($Z34*Lists!$AD$19),2))</f>
        <v/>
      </c>
      <c r="AB34" s="110" t="str">
        <f aca="false">IF(OR($B34="", $N34="", $Z34=""),"",IF($N34&gt;=Lists!$AG$2,IF($Z34&gt;=Lists!$AG$3,"Invest","Migrate"),IF($Z34&gt;=Lists!$AG$3,"Tolerate","Eliminate")))</f>
        <v/>
      </c>
      <c r="AC34" s="110"/>
      <c r="AD34" s="110"/>
      <c r="AE34" s="110" t="str">
        <f aca="false">IF(OR($N34="", $O34=""),"",IF($N34&gt;=Lists!$AG$2,IF($O34&gt;=Lists!$AG$4,"High Value / High Risk","High Value / Low Risk"),IF($O34&gt;=Lists!$AG$4,"Low Value / High Risk","Low Value / Low Risk")))</f>
        <v/>
      </c>
      <c r="AF34" s="120"/>
      <c r="AG34" s="122"/>
      <c r="AH34" s="95" t="str">
        <f aca="false">IF($B34="","",COUNTIFS('Debt Backlog'!$AF$2:$AF$1000,$A34,'Debt Backlog'!$B$2:$B$1000,"&lt;&gt;",'Debt Backlog'!$N$2:$N$1000,"&lt;&gt;Done",'Debt Backlog'!$N$2:$N$1000,"&lt;&gt;Won't Fix",'Debt Backlog'!$N$2:$N$1000,"&lt;&gt;Duplicate"))</f>
        <v/>
      </c>
      <c r="AI34" s="92" t="str">
        <f aca="false">IF($B34="","",ROUND(SUMIFS('Debt Backlog'!$L$2:$L$1000,'Debt Backlog'!$AF$2:$AF$1000,$A34,'Debt Backlog'!$B$2:$B$1000,"&lt;&gt;",'Debt Backlog'!$N$2:$N$1000,"&lt;&gt;Done",'Debt Backlog'!$N$2:$N$1000,"&lt;&gt;Won't Fix",'Debt Backlog'!$N$2:$N$1000,"&lt;&gt;Duplicate"),2))</f>
        <v/>
      </c>
    </row>
    <row r="35" customFormat="false" ht="15" hidden="false" customHeight="true" outlineLevel="0" collapsed="false">
      <c r="A35" s="119"/>
      <c r="B35" s="123"/>
      <c r="C35" s="123"/>
      <c r="D35" s="123"/>
      <c r="E35" s="123"/>
      <c r="F35" s="123"/>
      <c r="G35" s="123"/>
      <c r="H35" s="123"/>
      <c r="I35" s="121"/>
      <c r="J35" s="121"/>
      <c r="K35" s="121"/>
      <c r="L35" s="121"/>
      <c r="M35" s="121"/>
      <c r="N35" s="92" t="str">
        <f aca="false">IF(OR($B35="", $I35="", $J35="", $K35="", $L35="", $M35=""),"",ROUND(($I35*Lists!$AD$2)+($J35*Lists!$AD$3)+($K35*Lists!$AD$4)+($L35*Lists!$AD$5)+($M35*Lists!$AD$6),2))</f>
        <v/>
      </c>
      <c r="O35" s="92"/>
      <c r="P35" s="121"/>
      <c r="Q35" s="121"/>
      <c r="R35" s="121"/>
      <c r="S35" s="121"/>
      <c r="T35" s="92" t="str">
        <f aca="false">IF(OR($B35="", $P35="", $Q35="", $R35="", $S35=""),"",ROUND(($P35*Lists!$AD$7)+($Q35*Lists!$AD$8)+($R35*Lists!$AD$9)+($S35*Lists!$AD$10),2))</f>
        <v/>
      </c>
      <c r="U35" s="121"/>
      <c r="V35" s="121"/>
      <c r="W35" s="121"/>
      <c r="X35" s="121"/>
      <c r="Y35" s="121"/>
      <c r="Z35" s="92" t="str">
        <f aca="false">IF(OR($B35="", $U35="", $V35="", $W35="", $X35="", $Y35=""),"",ROUND(($U35*Lists!$AD$11)+($V35*Lists!$AD$12)+($W35*Lists!$AD$13)+($X35*Lists!$AD$14)+($Y35*Lists!$AD$15),2))</f>
        <v/>
      </c>
      <c r="AA35" s="92" t="str">
        <f aca="false">IF(OR($B35="", $N35="", $O35="", $T35="", $Z35=""),"",ROUND(($N35*Lists!$AD$16)-($O35*Lists!$AD$17)-($T35*Lists!$AD$18)+($Z35*Lists!$AD$19),2))</f>
        <v/>
      </c>
      <c r="AB35" s="110" t="str">
        <f aca="false">IF(OR($B35="", $N35="", $Z35=""),"",IF($N35&gt;=Lists!$AG$2,IF($Z35&gt;=Lists!$AG$3,"Invest","Migrate"),IF($Z35&gt;=Lists!$AG$3,"Tolerate","Eliminate")))</f>
        <v/>
      </c>
      <c r="AC35" s="110"/>
      <c r="AD35" s="110"/>
      <c r="AE35" s="110" t="str">
        <f aca="false">IF(OR($N35="", $O35=""),"",IF($N35&gt;=Lists!$AG$2,IF($O35&gt;=Lists!$AG$4,"High Value / High Risk","High Value / Low Risk"),IF($O35&gt;=Lists!$AG$4,"Low Value / High Risk","Low Value / Low Risk")))</f>
        <v/>
      </c>
      <c r="AF35" s="123"/>
      <c r="AG35" s="124"/>
      <c r="AH35" s="95" t="str">
        <f aca="false">IF($B35="","",COUNTIFS('Debt Backlog'!$AF$2:$AF$1000,$A35,'Debt Backlog'!$B$2:$B$1000,"&lt;&gt;",'Debt Backlog'!$N$2:$N$1000,"&lt;&gt;Done",'Debt Backlog'!$N$2:$N$1000,"&lt;&gt;Won't Fix",'Debt Backlog'!$N$2:$N$1000,"&lt;&gt;Duplicate"))</f>
        <v/>
      </c>
      <c r="AI35" s="92" t="str">
        <f aca="false">IF($B35="","",ROUND(SUMIFS('Debt Backlog'!$L$2:$L$1000,'Debt Backlog'!$AF$2:$AF$1000,$A35,'Debt Backlog'!$B$2:$B$1000,"&lt;&gt;",'Debt Backlog'!$N$2:$N$1000,"&lt;&gt;Done",'Debt Backlog'!$N$2:$N$1000,"&lt;&gt;Won't Fix",'Debt Backlog'!$N$2:$N$1000,"&lt;&gt;Duplicate"),2))</f>
        <v/>
      </c>
    </row>
    <row r="36" customFormat="false" ht="15" hidden="false" customHeight="true" outlineLevel="0" collapsed="false">
      <c r="A36" s="119"/>
      <c r="B36" s="120"/>
      <c r="C36" s="120"/>
      <c r="D36" s="120"/>
      <c r="E36" s="120"/>
      <c r="F36" s="120"/>
      <c r="G36" s="120"/>
      <c r="H36" s="120"/>
      <c r="I36" s="121"/>
      <c r="J36" s="121"/>
      <c r="K36" s="121"/>
      <c r="L36" s="121"/>
      <c r="M36" s="121"/>
      <c r="N36" s="92" t="str">
        <f aca="false">IF(OR($B36="", $I36="", $J36="", $K36="", $L36="", $M36=""),"",ROUND(($I36*Lists!$AD$2)+($J36*Lists!$AD$3)+($K36*Lists!$AD$4)+($L36*Lists!$AD$5)+($M36*Lists!$AD$6),2))</f>
        <v/>
      </c>
      <c r="O36" s="92"/>
      <c r="P36" s="121"/>
      <c r="Q36" s="121"/>
      <c r="R36" s="121"/>
      <c r="S36" s="121"/>
      <c r="T36" s="92" t="str">
        <f aca="false">IF(OR($B36="", $P36="", $Q36="", $R36="", $S36=""),"",ROUND(($P36*Lists!$AD$7)+($Q36*Lists!$AD$8)+($R36*Lists!$AD$9)+($S36*Lists!$AD$10),2))</f>
        <v/>
      </c>
      <c r="U36" s="121"/>
      <c r="V36" s="121"/>
      <c r="W36" s="121"/>
      <c r="X36" s="121"/>
      <c r="Y36" s="121"/>
      <c r="Z36" s="92" t="str">
        <f aca="false">IF(OR($B36="", $U36="", $V36="", $W36="", $X36="", $Y36=""),"",ROUND(($U36*Lists!$AD$11)+($V36*Lists!$AD$12)+($W36*Lists!$AD$13)+($X36*Lists!$AD$14)+($Y36*Lists!$AD$15),2))</f>
        <v/>
      </c>
      <c r="AA36" s="92" t="str">
        <f aca="false">IF(OR($B36="", $N36="", $O36="", $T36="", $Z36=""),"",ROUND(($N36*Lists!$AD$16)-($O36*Lists!$AD$17)-($T36*Lists!$AD$18)+($Z36*Lists!$AD$19),2))</f>
        <v/>
      </c>
      <c r="AB36" s="110" t="str">
        <f aca="false">IF(OR($B36="", $N36="", $Z36=""),"",IF($N36&gt;=Lists!$AG$2,IF($Z36&gt;=Lists!$AG$3,"Invest","Migrate"),IF($Z36&gt;=Lists!$AG$3,"Tolerate","Eliminate")))</f>
        <v/>
      </c>
      <c r="AC36" s="110"/>
      <c r="AD36" s="110"/>
      <c r="AE36" s="110" t="str">
        <f aca="false">IF(OR($N36="", $O36=""),"",IF($N36&gt;=Lists!$AG$2,IF($O36&gt;=Lists!$AG$4,"High Value / High Risk","High Value / Low Risk"),IF($O36&gt;=Lists!$AG$4,"Low Value / High Risk","Low Value / Low Risk")))</f>
        <v/>
      </c>
      <c r="AF36" s="120"/>
      <c r="AG36" s="122"/>
      <c r="AH36" s="95" t="str">
        <f aca="false">IF($B36="","",COUNTIFS('Debt Backlog'!$AF$2:$AF$1000,$A36,'Debt Backlog'!$B$2:$B$1000,"&lt;&gt;",'Debt Backlog'!$N$2:$N$1000,"&lt;&gt;Done",'Debt Backlog'!$N$2:$N$1000,"&lt;&gt;Won't Fix",'Debt Backlog'!$N$2:$N$1000,"&lt;&gt;Duplicate"))</f>
        <v/>
      </c>
      <c r="AI36" s="92" t="str">
        <f aca="false">IF($B36="","",ROUND(SUMIFS('Debt Backlog'!$L$2:$L$1000,'Debt Backlog'!$AF$2:$AF$1000,$A36,'Debt Backlog'!$B$2:$B$1000,"&lt;&gt;",'Debt Backlog'!$N$2:$N$1000,"&lt;&gt;Done",'Debt Backlog'!$N$2:$N$1000,"&lt;&gt;Won't Fix",'Debt Backlog'!$N$2:$N$1000,"&lt;&gt;Duplicate"),2))</f>
        <v/>
      </c>
    </row>
    <row r="37" customFormat="false" ht="15" hidden="false" customHeight="true" outlineLevel="0" collapsed="false">
      <c r="A37" s="119"/>
      <c r="B37" s="123"/>
      <c r="C37" s="123"/>
      <c r="D37" s="123"/>
      <c r="E37" s="123"/>
      <c r="F37" s="123"/>
      <c r="G37" s="123"/>
      <c r="H37" s="123"/>
      <c r="I37" s="121"/>
      <c r="J37" s="121"/>
      <c r="K37" s="121"/>
      <c r="L37" s="121"/>
      <c r="M37" s="121"/>
      <c r="N37" s="92" t="str">
        <f aca="false">IF(OR($B37="", $I37="", $J37="", $K37="", $L37="", $M37=""),"",ROUND(($I37*Lists!$AD$2)+($J37*Lists!$AD$3)+($K37*Lists!$AD$4)+($L37*Lists!$AD$5)+($M37*Lists!$AD$6),2))</f>
        <v/>
      </c>
      <c r="O37" s="92"/>
      <c r="P37" s="121"/>
      <c r="Q37" s="121"/>
      <c r="R37" s="121"/>
      <c r="S37" s="121"/>
      <c r="T37" s="92" t="str">
        <f aca="false">IF(OR($B37="", $P37="", $Q37="", $R37="", $S37=""),"",ROUND(($P37*Lists!$AD$7)+($Q37*Lists!$AD$8)+($R37*Lists!$AD$9)+($S37*Lists!$AD$10),2))</f>
        <v/>
      </c>
      <c r="U37" s="121"/>
      <c r="V37" s="121"/>
      <c r="W37" s="121"/>
      <c r="X37" s="121"/>
      <c r="Y37" s="121"/>
      <c r="Z37" s="92" t="str">
        <f aca="false">IF(OR($B37="", $U37="", $V37="", $W37="", $X37="", $Y37=""),"",ROUND(($U37*Lists!$AD$11)+($V37*Lists!$AD$12)+($W37*Lists!$AD$13)+($X37*Lists!$AD$14)+($Y37*Lists!$AD$15),2))</f>
        <v/>
      </c>
      <c r="AA37" s="92" t="str">
        <f aca="false">IF(OR($B37="", $N37="", $O37="", $T37="", $Z37=""),"",ROUND(($N37*Lists!$AD$16)-($O37*Lists!$AD$17)-($T37*Lists!$AD$18)+($Z37*Lists!$AD$19),2))</f>
        <v/>
      </c>
      <c r="AB37" s="110" t="str">
        <f aca="false">IF(OR($B37="", $N37="", $Z37=""),"",IF($N37&gt;=Lists!$AG$2,IF($Z37&gt;=Lists!$AG$3,"Invest","Migrate"),IF($Z37&gt;=Lists!$AG$3,"Tolerate","Eliminate")))</f>
        <v/>
      </c>
      <c r="AC37" s="110"/>
      <c r="AD37" s="110"/>
      <c r="AE37" s="110" t="str">
        <f aca="false">IF(OR($N37="", $O37=""),"",IF($N37&gt;=Lists!$AG$2,IF($O37&gt;=Lists!$AG$4,"High Value / High Risk","High Value / Low Risk"),IF($O37&gt;=Lists!$AG$4,"Low Value / High Risk","Low Value / Low Risk")))</f>
        <v/>
      </c>
      <c r="AF37" s="123"/>
      <c r="AG37" s="124"/>
      <c r="AH37" s="95" t="str">
        <f aca="false">IF($B37="","",COUNTIFS('Debt Backlog'!$AF$2:$AF$1000,$A37,'Debt Backlog'!$B$2:$B$1000,"&lt;&gt;",'Debt Backlog'!$N$2:$N$1000,"&lt;&gt;Done",'Debt Backlog'!$N$2:$N$1000,"&lt;&gt;Won't Fix",'Debt Backlog'!$N$2:$N$1000,"&lt;&gt;Duplicate"))</f>
        <v/>
      </c>
      <c r="AI37" s="92" t="str">
        <f aca="false">IF($B37="","",ROUND(SUMIFS('Debt Backlog'!$L$2:$L$1000,'Debt Backlog'!$AF$2:$AF$1000,$A37,'Debt Backlog'!$B$2:$B$1000,"&lt;&gt;",'Debt Backlog'!$N$2:$N$1000,"&lt;&gt;Done",'Debt Backlog'!$N$2:$N$1000,"&lt;&gt;Won't Fix",'Debt Backlog'!$N$2:$N$1000,"&lt;&gt;Duplicate"),2))</f>
        <v/>
      </c>
    </row>
    <row r="38" customFormat="false" ht="15" hidden="false" customHeight="true" outlineLevel="0" collapsed="false">
      <c r="A38" s="119"/>
      <c r="B38" s="120"/>
      <c r="C38" s="120"/>
      <c r="D38" s="120"/>
      <c r="E38" s="120"/>
      <c r="F38" s="120"/>
      <c r="G38" s="120"/>
      <c r="H38" s="120"/>
      <c r="I38" s="121"/>
      <c r="J38" s="121"/>
      <c r="K38" s="121"/>
      <c r="L38" s="121"/>
      <c r="M38" s="121"/>
      <c r="N38" s="92" t="str">
        <f aca="false">IF(OR($B38="", $I38="", $J38="", $K38="", $L38="", $M38=""),"",ROUND(($I38*Lists!$AD$2)+($J38*Lists!$AD$3)+($K38*Lists!$AD$4)+($L38*Lists!$AD$5)+($M38*Lists!$AD$6),2))</f>
        <v/>
      </c>
      <c r="O38" s="92"/>
      <c r="P38" s="121"/>
      <c r="Q38" s="121"/>
      <c r="R38" s="121"/>
      <c r="S38" s="121"/>
      <c r="T38" s="92" t="str">
        <f aca="false">IF(OR($B38="", $P38="", $Q38="", $R38="", $S38=""),"",ROUND(($P38*Lists!$AD$7)+($Q38*Lists!$AD$8)+($R38*Lists!$AD$9)+($S38*Lists!$AD$10),2))</f>
        <v/>
      </c>
      <c r="U38" s="121"/>
      <c r="V38" s="121"/>
      <c r="W38" s="121"/>
      <c r="X38" s="121"/>
      <c r="Y38" s="121"/>
      <c r="Z38" s="92" t="str">
        <f aca="false">IF(OR($B38="", $U38="", $V38="", $W38="", $X38="", $Y38=""),"",ROUND(($U38*Lists!$AD$11)+($V38*Lists!$AD$12)+($W38*Lists!$AD$13)+($X38*Lists!$AD$14)+($Y38*Lists!$AD$15),2))</f>
        <v/>
      </c>
      <c r="AA38" s="92" t="str">
        <f aca="false">IF(OR($B38="", $N38="", $O38="", $T38="", $Z38=""),"",ROUND(($N38*Lists!$AD$16)-($O38*Lists!$AD$17)-($T38*Lists!$AD$18)+($Z38*Lists!$AD$19),2))</f>
        <v/>
      </c>
      <c r="AB38" s="110" t="str">
        <f aca="false">IF(OR($B38="", $N38="", $Z38=""),"",IF($N38&gt;=Lists!$AG$2,IF($Z38&gt;=Lists!$AG$3,"Invest","Migrate"),IF($Z38&gt;=Lists!$AG$3,"Tolerate","Eliminate")))</f>
        <v/>
      </c>
      <c r="AC38" s="110"/>
      <c r="AD38" s="110"/>
      <c r="AE38" s="110" t="str">
        <f aca="false">IF(OR($N38="", $O38=""),"",IF($N38&gt;=Lists!$AG$2,IF($O38&gt;=Lists!$AG$4,"High Value / High Risk","High Value / Low Risk"),IF($O38&gt;=Lists!$AG$4,"Low Value / High Risk","Low Value / Low Risk")))</f>
        <v/>
      </c>
      <c r="AF38" s="120"/>
      <c r="AG38" s="122"/>
      <c r="AH38" s="95" t="str">
        <f aca="false">IF($B38="","",COUNTIFS('Debt Backlog'!$AF$2:$AF$1000,$A38,'Debt Backlog'!$B$2:$B$1000,"&lt;&gt;",'Debt Backlog'!$N$2:$N$1000,"&lt;&gt;Done",'Debt Backlog'!$N$2:$N$1000,"&lt;&gt;Won't Fix",'Debt Backlog'!$N$2:$N$1000,"&lt;&gt;Duplicate"))</f>
        <v/>
      </c>
      <c r="AI38" s="92" t="str">
        <f aca="false">IF($B38="","",ROUND(SUMIFS('Debt Backlog'!$L$2:$L$1000,'Debt Backlog'!$AF$2:$AF$1000,$A38,'Debt Backlog'!$B$2:$B$1000,"&lt;&gt;",'Debt Backlog'!$N$2:$N$1000,"&lt;&gt;Done",'Debt Backlog'!$N$2:$N$1000,"&lt;&gt;Won't Fix",'Debt Backlog'!$N$2:$N$1000,"&lt;&gt;Duplicate"),2))</f>
        <v/>
      </c>
    </row>
    <row r="39" customFormat="false" ht="15" hidden="false" customHeight="true" outlineLevel="0" collapsed="false">
      <c r="A39" s="119"/>
      <c r="B39" s="123"/>
      <c r="C39" s="123"/>
      <c r="D39" s="123"/>
      <c r="E39" s="123"/>
      <c r="F39" s="123"/>
      <c r="G39" s="123"/>
      <c r="H39" s="123"/>
      <c r="I39" s="121"/>
      <c r="J39" s="121"/>
      <c r="K39" s="121"/>
      <c r="L39" s="121"/>
      <c r="M39" s="121"/>
      <c r="N39" s="92" t="str">
        <f aca="false">IF(OR($B39="", $I39="", $J39="", $K39="", $L39="", $M39=""),"",ROUND(($I39*Lists!$AD$2)+($J39*Lists!$AD$3)+($K39*Lists!$AD$4)+($L39*Lists!$AD$5)+($M39*Lists!$AD$6),2))</f>
        <v/>
      </c>
      <c r="O39" s="92"/>
      <c r="P39" s="121"/>
      <c r="Q39" s="121"/>
      <c r="R39" s="121"/>
      <c r="S39" s="121"/>
      <c r="T39" s="92" t="str">
        <f aca="false">IF(OR($B39="", $P39="", $Q39="", $R39="", $S39=""),"",ROUND(($P39*Lists!$AD$7)+($Q39*Lists!$AD$8)+($R39*Lists!$AD$9)+($S39*Lists!$AD$10),2))</f>
        <v/>
      </c>
      <c r="U39" s="121"/>
      <c r="V39" s="121"/>
      <c r="W39" s="121"/>
      <c r="X39" s="121"/>
      <c r="Y39" s="121"/>
      <c r="Z39" s="92" t="str">
        <f aca="false">IF(OR($B39="", $U39="", $V39="", $W39="", $X39="", $Y39=""),"",ROUND(($U39*Lists!$AD$11)+($V39*Lists!$AD$12)+($W39*Lists!$AD$13)+($X39*Lists!$AD$14)+($Y39*Lists!$AD$15),2))</f>
        <v/>
      </c>
      <c r="AA39" s="92" t="str">
        <f aca="false">IF(OR($B39="", $N39="", $O39="", $T39="", $Z39=""),"",ROUND(($N39*Lists!$AD$16)-($O39*Lists!$AD$17)-($T39*Lists!$AD$18)+($Z39*Lists!$AD$19),2))</f>
        <v/>
      </c>
      <c r="AB39" s="110" t="str">
        <f aca="false">IF(OR($B39="", $N39="", $Z39=""),"",IF($N39&gt;=Lists!$AG$2,IF($Z39&gt;=Lists!$AG$3,"Invest","Migrate"),IF($Z39&gt;=Lists!$AG$3,"Tolerate","Eliminate")))</f>
        <v/>
      </c>
      <c r="AC39" s="110"/>
      <c r="AD39" s="110"/>
      <c r="AE39" s="110" t="str">
        <f aca="false">IF(OR($N39="", $O39=""),"",IF($N39&gt;=Lists!$AG$2,IF($O39&gt;=Lists!$AG$4,"High Value / High Risk","High Value / Low Risk"),IF($O39&gt;=Lists!$AG$4,"Low Value / High Risk","Low Value / Low Risk")))</f>
        <v/>
      </c>
      <c r="AF39" s="123"/>
      <c r="AG39" s="124"/>
      <c r="AH39" s="95" t="str">
        <f aca="false">IF($B39="","",COUNTIFS('Debt Backlog'!$AF$2:$AF$1000,$A39,'Debt Backlog'!$B$2:$B$1000,"&lt;&gt;",'Debt Backlog'!$N$2:$N$1000,"&lt;&gt;Done",'Debt Backlog'!$N$2:$N$1000,"&lt;&gt;Won't Fix",'Debt Backlog'!$N$2:$N$1000,"&lt;&gt;Duplicate"))</f>
        <v/>
      </c>
      <c r="AI39" s="92" t="str">
        <f aca="false">IF($B39="","",ROUND(SUMIFS('Debt Backlog'!$L$2:$L$1000,'Debt Backlog'!$AF$2:$AF$1000,$A39,'Debt Backlog'!$B$2:$B$1000,"&lt;&gt;",'Debt Backlog'!$N$2:$N$1000,"&lt;&gt;Done",'Debt Backlog'!$N$2:$N$1000,"&lt;&gt;Won't Fix",'Debt Backlog'!$N$2:$N$1000,"&lt;&gt;Duplicate"),2))</f>
        <v/>
      </c>
    </row>
    <row r="40" customFormat="false" ht="15" hidden="false" customHeight="true" outlineLevel="0" collapsed="false">
      <c r="A40" s="119"/>
      <c r="B40" s="120"/>
      <c r="C40" s="120"/>
      <c r="D40" s="120"/>
      <c r="E40" s="120"/>
      <c r="F40" s="120"/>
      <c r="G40" s="120"/>
      <c r="H40" s="120"/>
      <c r="I40" s="121"/>
      <c r="J40" s="121"/>
      <c r="K40" s="121"/>
      <c r="L40" s="121"/>
      <c r="M40" s="121"/>
      <c r="N40" s="92" t="str">
        <f aca="false">IF(OR($B40="", $I40="", $J40="", $K40="", $L40="", $M40=""),"",ROUND(($I40*Lists!$AD$2)+($J40*Lists!$AD$3)+($K40*Lists!$AD$4)+($L40*Lists!$AD$5)+($M40*Lists!$AD$6),2))</f>
        <v/>
      </c>
      <c r="O40" s="92"/>
      <c r="P40" s="121"/>
      <c r="Q40" s="121"/>
      <c r="R40" s="121"/>
      <c r="S40" s="121"/>
      <c r="T40" s="92" t="str">
        <f aca="false">IF(OR($B40="", $P40="", $Q40="", $R40="", $S40=""),"",ROUND(($P40*Lists!$AD$7)+($Q40*Lists!$AD$8)+($R40*Lists!$AD$9)+($S40*Lists!$AD$10),2))</f>
        <v/>
      </c>
      <c r="U40" s="121"/>
      <c r="V40" s="121"/>
      <c r="W40" s="121"/>
      <c r="X40" s="121"/>
      <c r="Y40" s="121"/>
      <c r="Z40" s="92" t="str">
        <f aca="false">IF(OR($B40="", $U40="", $V40="", $W40="", $X40="", $Y40=""),"",ROUND(($U40*Lists!$AD$11)+($V40*Lists!$AD$12)+($W40*Lists!$AD$13)+($X40*Lists!$AD$14)+($Y40*Lists!$AD$15),2))</f>
        <v/>
      </c>
      <c r="AA40" s="92" t="str">
        <f aca="false">IF(OR($B40="", $N40="", $O40="", $T40="", $Z40=""),"",ROUND(($N40*Lists!$AD$16)-($O40*Lists!$AD$17)-($T40*Lists!$AD$18)+($Z40*Lists!$AD$19),2))</f>
        <v/>
      </c>
      <c r="AB40" s="110" t="str">
        <f aca="false">IF(OR($B40="", $N40="", $Z40=""),"",IF($N40&gt;=Lists!$AG$2,IF($Z40&gt;=Lists!$AG$3,"Invest","Migrate"),IF($Z40&gt;=Lists!$AG$3,"Tolerate","Eliminate")))</f>
        <v/>
      </c>
      <c r="AC40" s="110"/>
      <c r="AD40" s="110"/>
      <c r="AE40" s="110" t="str">
        <f aca="false">IF(OR($N40="", $O40=""),"",IF($N40&gt;=Lists!$AG$2,IF($O40&gt;=Lists!$AG$4,"High Value / High Risk","High Value / Low Risk"),IF($O40&gt;=Lists!$AG$4,"Low Value / High Risk","Low Value / Low Risk")))</f>
        <v/>
      </c>
      <c r="AF40" s="120"/>
      <c r="AG40" s="122"/>
      <c r="AH40" s="95" t="str">
        <f aca="false">IF($B40="","",COUNTIFS('Debt Backlog'!$AF$2:$AF$1000,$A40,'Debt Backlog'!$B$2:$B$1000,"&lt;&gt;",'Debt Backlog'!$N$2:$N$1000,"&lt;&gt;Done",'Debt Backlog'!$N$2:$N$1000,"&lt;&gt;Won't Fix",'Debt Backlog'!$N$2:$N$1000,"&lt;&gt;Duplicate"))</f>
        <v/>
      </c>
      <c r="AI40" s="92" t="str">
        <f aca="false">IF($B40="","",ROUND(SUMIFS('Debt Backlog'!$L$2:$L$1000,'Debt Backlog'!$AF$2:$AF$1000,$A40,'Debt Backlog'!$B$2:$B$1000,"&lt;&gt;",'Debt Backlog'!$N$2:$N$1000,"&lt;&gt;Done",'Debt Backlog'!$N$2:$N$1000,"&lt;&gt;Won't Fix",'Debt Backlog'!$N$2:$N$1000,"&lt;&gt;Duplicate"),2))</f>
        <v/>
      </c>
    </row>
    <row r="41" customFormat="false" ht="15" hidden="false" customHeight="true" outlineLevel="0" collapsed="false">
      <c r="A41" s="119"/>
      <c r="B41" s="123"/>
      <c r="C41" s="123"/>
      <c r="D41" s="123"/>
      <c r="E41" s="123"/>
      <c r="F41" s="123"/>
      <c r="G41" s="123"/>
      <c r="H41" s="123"/>
      <c r="I41" s="121"/>
      <c r="J41" s="121"/>
      <c r="K41" s="121"/>
      <c r="L41" s="121"/>
      <c r="M41" s="121"/>
      <c r="N41" s="92" t="str">
        <f aca="false">IF(OR($B41="", $I41="", $J41="", $K41="", $L41="", $M41=""),"",ROUND(($I41*Lists!$AD$2)+($J41*Lists!$AD$3)+($K41*Lists!$AD$4)+($L41*Lists!$AD$5)+($M41*Lists!$AD$6),2))</f>
        <v/>
      </c>
      <c r="O41" s="92"/>
      <c r="P41" s="121"/>
      <c r="Q41" s="121"/>
      <c r="R41" s="121"/>
      <c r="S41" s="121"/>
      <c r="T41" s="92" t="str">
        <f aca="false">IF(OR($B41="", $P41="", $Q41="", $R41="", $S41=""),"",ROUND(($P41*Lists!$AD$7)+($Q41*Lists!$AD$8)+($R41*Lists!$AD$9)+($S41*Lists!$AD$10),2))</f>
        <v/>
      </c>
      <c r="U41" s="121"/>
      <c r="V41" s="121"/>
      <c r="W41" s="121"/>
      <c r="X41" s="121"/>
      <c r="Y41" s="121"/>
      <c r="Z41" s="92" t="str">
        <f aca="false">IF(OR($B41="", $U41="", $V41="", $W41="", $X41="", $Y41=""),"",ROUND(($U41*Lists!$AD$11)+($V41*Lists!$AD$12)+($W41*Lists!$AD$13)+($X41*Lists!$AD$14)+($Y41*Lists!$AD$15),2))</f>
        <v/>
      </c>
      <c r="AA41" s="92" t="str">
        <f aca="false">IF(OR($B41="", $N41="", $O41="", $T41="", $Z41=""),"",ROUND(($N41*Lists!$AD$16)-($O41*Lists!$AD$17)-($T41*Lists!$AD$18)+($Z41*Lists!$AD$19),2))</f>
        <v/>
      </c>
      <c r="AB41" s="110" t="str">
        <f aca="false">IF(OR($B41="", $N41="", $Z41=""),"",IF($N41&gt;=Lists!$AG$2,IF($Z41&gt;=Lists!$AG$3,"Invest","Migrate"),IF($Z41&gt;=Lists!$AG$3,"Tolerate","Eliminate")))</f>
        <v/>
      </c>
      <c r="AC41" s="110"/>
      <c r="AD41" s="110"/>
      <c r="AE41" s="110" t="str">
        <f aca="false">IF(OR($N41="", $O41=""),"",IF($N41&gt;=Lists!$AG$2,IF($O41&gt;=Lists!$AG$4,"High Value / High Risk","High Value / Low Risk"),IF($O41&gt;=Lists!$AG$4,"Low Value / High Risk","Low Value / Low Risk")))</f>
        <v/>
      </c>
      <c r="AF41" s="123"/>
      <c r="AG41" s="124"/>
      <c r="AH41" s="95" t="str">
        <f aca="false">IF($B41="","",COUNTIFS('Debt Backlog'!$AF$2:$AF$1000,$A41,'Debt Backlog'!$B$2:$B$1000,"&lt;&gt;",'Debt Backlog'!$N$2:$N$1000,"&lt;&gt;Done",'Debt Backlog'!$N$2:$N$1000,"&lt;&gt;Won't Fix",'Debt Backlog'!$N$2:$N$1000,"&lt;&gt;Duplicate"))</f>
        <v/>
      </c>
      <c r="AI41" s="92" t="str">
        <f aca="false">IF($B41="","",ROUND(SUMIFS('Debt Backlog'!$L$2:$L$1000,'Debt Backlog'!$AF$2:$AF$1000,$A41,'Debt Backlog'!$B$2:$B$1000,"&lt;&gt;",'Debt Backlog'!$N$2:$N$1000,"&lt;&gt;Done",'Debt Backlog'!$N$2:$N$1000,"&lt;&gt;Won't Fix",'Debt Backlog'!$N$2:$N$1000,"&lt;&gt;Duplicate"),2))</f>
        <v/>
      </c>
    </row>
    <row r="42" customFormat="false" ht="15" hidden="false" customHeight="true" outlineLevel="0" collapsed="false">
      <c r="A42" s="119"/>
      <c r="B42" s="120"/>
      <c r="C42" s="120"/>
      <c r="D42" s="120"/>
      <c r="E42" s="120"/>
      <c r="F42" s="120"/>
      <c r="G42" s="120"/>
      <c r="H42" s="120"/>
      <c r="I42" s="121"/>
      <c r="J42" s="121"/>
      <c r="K42" s="121"/>
      <c r="L42" s="121"/>
      <c r="M42" s="121"/>
      <c r="N42" s="92" t="str">
        <f aca="false">IF(OR($B42="", $I42="", $J42="", $K42="", $L42="", $M42=""),"",ROUND(($I42*Lists!$AD$2)+($J42*Lists!$AD$3)+($K42*Lists!$AD$4)+($L42*Lists!$AD$5)+($M42*Lists!$AD$6),2))</f>
        <v/>
      </c>
      <c r="O42" s="92"/>
      <c r="P42" s="121"/>
      <c r="Q42" s="121"/>
      <c r="R42" s="121"/>
      <c r="S42" s="121"/>
      <c r="T42" s="92" t="str">
        <f aca="false">IF(OR($B42="", $P42="", $Q42="", $R42="", $S42=""),"",ROUND(($P42*Lists!$AD$7)+($Q42*Lists!$AD$8)+($R42*Lists!$AD$9)+($S42*Lists!$AD$10),2))</f>
        <v/>
      </c>
      <c r="U42" s="121"/>
      <c r="V42" s="121"/>
      <c r="W42" s="121"/>
      <c r="X42" s="121"/>
      <c r="Y42" s="121"/>
      <c r="Z42" s="92" t="str">
        <f aca="false">IF(OR($B42="", $U42="", $V42="", $W42="", $X42="", $Y42=""),"",ROUND(($U42*Lists!$AD$11)+($V42*Lists!$AD$12)+($W42*Lists!$AD$13)+($X42*Lists!$AD$14)+($Y42*Lists!$AD$15),2))</f>
        <v/>
      </c>
      <c r="AA42" s="92" t="str">
        <f aca="false">IF(OR($B42="", $N42="", $O42="", $T42="", $Z42=""),"",ROUND(($N42*Lists!$AD$16)-($O42*Lists!$AD$17)-($T42*Lists!$AD$18)+($Z42*Lists!$AD$19),2))</f>
        <v/>
      </c>
      <c r="AB42" s="110" t="str">
        <f aca="false">IF(OR($B42="", $N42="", $Z42=""),"",IF($N42&gt;=Lists!$AG$2,IF($Z42&gt;=Lists!$AG$3,"Invest","Migrate"),IF($Z42&gt;=Lists!$AG$3,"Tolerate","Eliminate")))</f>
        <v/>
      </c>
      <c r="AC42" s="110"/>
      <c r="AD42" s="110"/>
      <c r="AE42" s="110" t="str">
        <f aca="false">IF(OR($N42="", $O42=""),"",IF($N42&gt;=Lists!$AG$2,IF($O42&gt;=Lists!$AG$4,"High Value / High Risk","High Value / Low Risk"),IF($O42&gt;=Lists!$AG$4,"Low Value / High Risk","Low Value / Low Risk")))</f>
        <v/>
      </c>
      <c r="AF42" s="120"/>
      <c r="AG42" s="122"/>
      <c r="AH42" s="95" t="str">
        <f aca="false">IF($B42="","",COUNTIFS('Debt Backlog'!$AF$2:$AF$1000,$A42,'Debt Backlog'!$B$2:$B$1000,"&lt;&gt;",'Debt Backlog'!$N$2:$N$1000,"&lt;&gt;Done",'Debt Backlog'!$N$2:$N$1000,"&lt;&gt;Won't Fix",'Debt Backlog'!$N$2:$N$1000,"&lt;&gt;Duplicate"))</f>
        <v/>
      </c>
      <c r="AI42" s="92" t="str">
        <f aca="false">IF($B42="","",ROUND(SUMIFS('Debt Backlog'!$L$2:$L$1000,'Debt Backlog'!$AF$2:$AF$1000,$A42,'Debt Backlog'!$B$2:$B$1000,"&lt;&gt;",'Debt Backlog'!$N$2:$N$1000,"&lt;&gt;Done",'Debt Backlog'!$N$2:$N$1000,"&lt;&gt;Won't Fix",'Debt Backlog'!$N$2:$N$1000,"&lt;&gt;Duplicate"),2))</f>
        <v/>
      </c>
    </row>
    <row r="43" customFormat="false" ht="15" hidden="false" customHeight="true" outlineLevel="0" collapsed="false">
      <c r="A43" s="119"/>
      <c r="B43" s="123"/>
      <c r="C43" s="123"/>
      <c r="D43" s="123"/>
      <c r="E43" s="123"/>
      <c r="F43" s="123"/>
      <c r="G43" s="123"/>
      <c r="H43" s="123"/>
      <c r="I43" s="121"/>
      <c r="J43" s="121"/>
      <c r="K43" s="121"/>
      <c r="L43" s="121"/>
      <c r="M43" s="121"/>
      <c r="N43" s="92" t="str">
        <f aca="false">IF(OR($B43="", $I43="", $J43="", $K43="", $L43="", $M43=""),"",ROUND(($I43*Lists!$AD$2)+($J43*Lists!$AD$3)+($K43*Lists!$AD$4)+($L43*Lists!$AD$5)+($M43*Lists!$AD$6),2))</f>
        <v/>
      </c>
      <c r="O43" s="92"/>
      <c r="P43" s="121"/>
      <c r="Q43" s="121"/>
      <c r="R43" s="121"/>
      <c r="S43" s="121"/>
      <c r="T43" s="92" t="str">
        <f aca="false">IF(OR($B43="", $P43="", $Q43="", $R43="", $S43=""),"",ROUND(($P43*Lists!$AD$7)+($Q43*Lists!$AD$8)+($R43*Lists!$AD$9)+($S43*Lists!$AD$10),2))</f>
        <v/>
      </c>
      <c r="U43" s="121"/>
      <c r="V43" s="121"/>
      <c r="W43" s="121"/>
      <c r="X43" s="121"/>
      <c r="Y43" s="121"/>
      <c r="Z43" s="92" t="str">
        <f aca="false">IF(OR($B43="", $U43="", $V43="", $W43="", $X43="", $Y43=""),"",ROUND(($U43*Lists!$AD$11)+($V43*Lists!$AD$12)+($W43*Lists!$AD$13)+($X43*Lists!$AD$14)+($Y43*Lists!$AD$15),2))</f>
        <v/>
      </c>
      <c r="AA43" s="92" t="str">
        <f aca="false">IF(OR($B43="", $N43="", $O43="", $T43="", $Z43=""),"",ROUND(($N43*Lists!$AD$16)-($O43*Lists!$AD$17)-($T43*Lists!$AD$18)+($Z43*Lists!$AD$19),2))</f>
        <v/>
      </c>
      <c r="AB43" s="110" t="str">
        <f aca="false">IF(OR($B43="", $N43="", $Z43=""),"",IF($N43&gt;=Lists!$AG$2,IF($Z43&gt;=Lists!$AG$3,"Invest","Migrate"),IF($Z43&gt;=Lists!$AG$3,"Tolerate","Eliminate")))</f>
        <v/>
      </c>
      <c r="AC43" s="110"/>
      <c r="AD43" s="110"/>
      <c r="AE43" s="110" t="str">
        <f aca="false">IF(OR($N43="", $O43=""),"",IF($N43&gt;=Lists!$AG$2,IF($O43&gt;=Lists!$AG$4,"High Value / High Risk","High Value / Low Risk"),IF($O43&gt;=Lists!$AG$4,"Low Value / High Risk","Low Value / Low Risk")))</f>
        <v/>
      </c>
      <c r="AF43" s="123"/>
      <c r="AG43" s="124"/>
      <c r="AH43" s="95" t="str">
        <f aca="false">IF($B43="","",COUNTIFS('Debt Backlog'!$AF$2:$AF$1000,$A43,'Debt Backlog'!$B$2:$B$1000,"&lt;&gt;",'Debt Backlog'!$N$2:$N$1000,"&lt;&gt;Done",'Debt Backlog'!$N$2:$N$1000,"&lt;&gt;Won't Fix",'Debt Backlog'!$N$2:$N$1000,"&lt;&gt;Duplicate"))</f>
        <v/>
      </c>
      <c r="AI43" s="92" t="str">
        <f aca="false">IF($B43="","",ROUND(SUMIFS('Debt Backlog'!$L$2:$L$1000,'Debt Backlog'!$AF$2:$AF$1000,$A43,'Debt Backlog'!$B$2:$B$1000,"&lt;&gt;",'Debt Backlog'!$N$2:$N$1000,"&lt;&gt;Done",'Debt Backlog'!$N$2:$N$1000,"&lt;&gt;Won't Fix",'Debt Backlog'!$N$2:$N$1000,"&lt;&gt;Duplicate"),2))</f>
        <v/>
      </c>
    </row>
    <row r="44" customFormat="false" ht="15" hidden="false" customHeight="true" outlineLevel="0" collapsed="false">
      <c r="A44" s="119"/>
      <c r="B44" s="120"/>
      <c r="C44" s="120"/>
      <c r="D44" s="120"/>
      <c r="E44" s="120"/>
      <c r="F44" s="120"/>
      <c r="G44" s="120"/>
      <c r="H44" s="120"/>
      <c r="I44" s="121"/>
      <c r="J44" s="121"/>
      <c r="K44" s="121"/>
      <c r="L44" s="121"/>
      <c r="M44" s="121"/>
      <c r="N44" s="92" t="str">
        <f aca="false">IF(OR($B44="", $I44="", $J44="", $K44="", $L44="", $M44=""),"",ROUND(($I44*Lists!$AD$2)+($J44*Lists!$AD$3)+($K44*Lists!$AD$4)+($L44*Lists!$AD$5)+($M44*Lists!$AD$6),2))</f>
        <v/>
      </c>
      <c r="O44" s="92"/>
      <c r="P44" s="121"/>
      <c r="Q44" s="121"/>
      <c r="R44" s="121"/>
      <c r="S44" s="121"/>
      <c r="T44" s="92" t="str">
        <f aca="false">IF(OR($B44="", $P44="", $Q44="", $R44="", $S44=""),"",ROUND(($P44*Lists!$AD$7)+($Q44*Lists!$AD$8)+($R44*Lists!$AD$9)+($S44*Lists!$AD$10),2))</f>
        <v/>
      </c>
      <c r="U44" s="121"/>
      <c r="V44" s="121"/>
      <c r="W44" s="121"/>
      <c r="X44" s="121"/>
      <c r="Y44" s="121"/>
      <c r="Z44" s="92" t="str">
        <f aca="false">IF(OR($B44="", $U44="", $V44="", $W44="", $X44="", $Y44=""),"",ROUND(($U44*Lists!$AD$11)+($V44*Lists!$AD$12)+($W44*Lists!$AD$13)+($X44*Lists!$AD$14)+($Y44*Lists!$AD$15),2))</f>
        <v/>
      </c>
      <c r="AA44" s="92" t="str">
        <f aca="false">IF(OR($B44="", $N44="", $O44="", $T44="", $Z44=""),"",ROUND(($N44*Lists!$AD$16)-($O44*Lists!$AD$17)-($T44*Lists!$AD$18)+($Z44*Lists!$AD$19),2))</f>
        <v/>
      </c>
      <c r="AB44" s="110" t="str">
        <f aca="false">IF(OR($B44="", $N44="", $Z44=""),"",IF($N44&gt;=Lists!$AG$2,IF($Z44&gt;=Lists!$AG$3,"Invest","Migrate"),IF($Z44&gt;=Lists!$AG$3,"Tolerate","Eliminate")))</f>
        <v/>
      </c>
      <c r="AC44" s="110"/>
      <c r="AD44" s="110"/>
      <c r="AE44" s="110" t="str">
        <f aca="false">IF(OR($N44="", $O44=""),"",IF($N44&gt;=Lists!$AG$2,IF($O44&gt;=Lists!$AG$4,"High Value / High Risk","High Value / Low Risk"),IF($O44&gt;=Lists!$AG$4,"Low Value / High Risk","Low Value / Low Risk")))</f>
        <v/>
      </c>
      <c r="AF44" s="120"/>
      <c r="AG44" s="122"/>
      <c r="AH44" s="95" t="str">
        <f aca="false">IF($B44="","",COUNTIFS('Debt Backlog'!$AF$2:$AF$1000,$A44,'Debt Backlog'!$B$2:$B$1000,"&lt;&gt;",'Debt Backlog'!$N$2:$N$1000,"&lt;&gt;Done",'Debt Backlog'!$N$2:$N$1000,"&lt;&gt;Won't Fix",'Debt Backlog'!$N$2:$N$1000,"&lt;&gt;Duplicate"))</f>
        <v/>
      </c>
      <c r="AI44" s="92" t="str">
        <f aca="false">IF($B44="","",ROUND(SUMIFS('Debt Backlog'!$L$2:$L$1000,'Debt Backlog'!$AF$2:$AF$1000,$A44,'Debt Backlog'!$B$2:$B$1000,"&lt;&gt;",'Debt Backlog'!$N$2:$N$1000,"&lt;&gt;Done",'Debt Backlog'!$N$2:$N$1000,"&lt;&gt;Won't Fix",'Debt Backlog'!$N$2:$N$1000,"&lt;&gt;Duplicate"),2))</f>
        <v/>
      </c>
    </row>
    <row r="45" customFormat="false" ht="15" hidden="false" customHeight="true" outlineLevel="0" collapsed="false">
      <c r="A45" s="119"/>
      <c r="B45" s="123"/>
      <c r="C45" s="123"/>
      <c r="D45" s="123"/>
      <c r="E45" s="123"/>
      <c r="F45" s="123"/>
      <c r="G45" s="123"/>
      <c r="H45" s="123"/>
      <c r="I45" s="121"/>
      <c r="J45" s="121"/>
      <c r="K45" s="121"/>
      <c r="L45" s="121"/>
      <c r="M45" s="121"/>
      <c r="N45" s="92" t="str">
        <f aca="false">IF(OR($B45="", $I45="", $J45="", $K45="", $L45="", $M45=""),"",ROUND(($I45*Lists!$AD$2)+($J45*Lists!$AD$3)+($K45*Lists!$AD$4)+($L45*Lists!$AD$5)+($M45*Lists!$AD$6),2))</f>
        <v/>
      </c>
      <c r="O45" s="92"/>
      <c r="P45" s="121"/>
      <c r="Q45" s="121"/>
      <c r="R45" s="121"/>
      <c r="S45" s="121"/>
      <c r="T45" s="92" t="str">
        <f aca="false">IF(OR($B45="", $P45="", $Q45="", $R45="", $S45=""),"",ROUND(($P45*Lists!$AD$7)+($Q45*Lists!$AD$8)+($R45*Lists!$AD$9)+($S45*Lists!$AD$10),2))</f>
        <v/>
      </c>
      <c r="U45" s="121"/>
      <c r="V45" s="121"/>
      <c r="W45" s="121"/>
      <c r="X45" s="121"/>
      <c r="Y45" s="121"/>
      <c r="Z45" s="92" t="str">
        <f aca="false">IF(OR($B45="", $U45="", $V45="", $W45="", $X45="", $Y45=""),"",ROUND(($U45*Lists!$AD$11)+($V45*Lists!$AD$12)+($W45*Lists!$AD$13)+($X45*Lists!$AD$14)+($Y45*Lists!$AD$15),2))</f>
        <v/>
      </c>
      <c r="AA45" s="92" t="str">
        <f aca="false">IF(OR($B45="", $N45="", $O45="", $T45="", $Z45=""),"",ROUND(($N45*Lists!$AD$16)-($O45*Lists!$AD$17)-($T45*Lists!$AD$18)+($Z45*Lists!$AD$19),2))</f>
        <v/>
      </c>
      <c r="AB45" s="110" t="str">
        <f aca="false">IF(OR($B45="", $N45="", $Z45=""),"",IF($N45&gt;=Lists!$AG$2,IF($Z45&gt;=Lists!$AG$3,"Invest","Migrate"),IF($Z45&gt;=Lists!$AG$3,"Tolerate","Eliminate")))</f>
        <v/>
      </c>
      <c r="AC45" s="110"/>
      <c r="AD45" s="110"/>
      <c r="AE45" s="110" t="str">
        <f aca="false">IF(OR($N45="", $O45=""),"",IF($N45&gt;=Lists!$AG$2,IF($O45&gt;=Lists!$AG$4,"High Value / High Risk","High Value / Low Risk"),IF($O45&gt;=Lists!$AG$4,"Low Value / High Risk","Low Value / Low Risk")))</f>
        <v/>
      </c>
      <c r="AF45" s="123"/>
      <c r="AG45" s="124"/>
      <c r="AH45" s="95" t="str">
        <f aca="false">IF($B45="","",COUNTIFS('Debt Backlog'!$AF$2:$AF$1000,$A45,'Debt Backlog'!$B$2:$B$1000,"&lt;&gt;",'Debt Backlog'!$N$2:$N$1000,"&lt;&gt;Done",'Debt Backlog'!$N$2:$N$1000,"&lt;&gt;Won't Fix",'Debt Backlog'!$N$2:$N$1000,"&lt;&gt;Duplicate"))</f>
        <v/>
      </c>
      <c r="AI45" s="92" t="str">
        <f aca="false">IF($B45="","",ROUND(SUMIFS('Debt Backlog'!$L$2:$L$1000,'Debt Backlog'!$AF$2:$AF$1000,$A45,'Debt Backlog'!$B$2:$B$1000,"&lt;&gt;",'Debt Backlog'!$N$2:$N$1000,"&lt;&gt;Done",'Debt Backlog'!$N$2:$N$1000,"&lt;&gt;Won't Fix",'Debt Backlog'!$N$2:$N$1000,"&lt;&gt;Duplicate"),2))</f>
        <v/>
      </c>
    </row>
    <row r="46" customFormat="false" ht="15" hidden="false" customHeight="true" outlineLevel="0" collapsed="false">
      <c r="A46" s="119"/>
      <c r="B46" s="120"/>
      <c r="C46" s="120"/>
      <c r="D46" s="120"/>
      <c r="E46" s="120"/>
      <c r="F46" s="120"/>
      <c r="G46" s="120"/>
      <c r="H46" s="120"/>
      <c r="I46" s="121"/>
      <c r="J46" s="121"/>
      <c r="K46" s="121"/>
      <c r="L46" s="121"/>
      <c r="M46" s="121"/>
      <c r="N46" s="92" t="str">
        <f aca="false">IF(OR($B46="", $I46="", $J46="", $K46="", $L46="", $M46=""),"",ROUND(($I46*Lists!$AD$2)+($J46*Lists!$AD$3)+($K46*Lists!$AD$4)+($L46*Lists!$AD$5)+($M46*Lists!$AD$6),2))</f>
        <v/>
      </c>
      <c r="O46" s="92"/>
      <c r="P46" s="121"/>
      <c r="Q46" s="121"/>
      <c r="R46" s="121"/>
      <c r="S46" s="121"/>
      <c r="T46" s="92" t="str">
        <f aca="false">IF(OR($B46="", $P46="", $Q46="", $R46="", $S46=""),"",ROUND(($P46*Lists!$AD$7)+($Q46*Lists!$AD$8)+($R46*Lists!$AD$9)+($S46*Lists!$AD$10),2))</f>
        <v/>
      </c>
      <c r="U46" s="121"/>
      <c r="V46" s="121"/>
      <c r="W46" s="121"/>
      <c r="X46" s="121"/>
      <c r="Y46" s="121"/>
      <c r="Z46" s="92" t="str">
        <f aca="false">IF(OR($B46="", $U46="", $V46="", $W46="", $X46="", $Y46=""),"",ROUND(($U46*Lists!$AD$11)+($V46*Lists!$AD$12)+($W46*Lists!$AD$13)+($X46*Lists!$AD$14)+($Y46*Lists!$AD$15),2))</f>
        <v/>
      </c>
      <c r="AA46" s="92" t="str">
        <f aca="false">IF(OR($B46="", $N46="", $O46="", $T46="", $Z46=""),"",ROUND(($N46*Lists!$AD$16)-($O46*Lists!$AD$17)-($T46*Lists!$AD$18)+($Z46*Lists!$AD$19),2))</f>
        <v/>
      </c>
      <c r="AB46" s="110" t="str">
        <f aca="false">IF(OR($B46="", $N46="", $Z46=""),"",IF($N46&gt;=Lists!$AG$2,IF($Z46&gt;=Lists!$AG$3,"Invest","Migrate"),IF($Z46&gt;=Lists!$AG$3,"Tolerate","Eliminate")))</f>
        <v/>
      </c>
      <c r="AC46" s="110"/>
      <c r="AD46" s="110"/>
      <c r="AE46" s="110" t="str">
        <f aca="false">IF(OR($N46="", $O46=""),"",IF($N46&gt;=Lists!$AG$2,IF($O46&gt;=Lists!$AG$4,"High Value / High Risk","High Value / Low Risk"),IF($O46&gt;=Lists!$AG$4,"Low Value / High Risk","Low Value / Low Risk")))</f>
        <v/>
      </c>
      <c r="AF46" s="120"/>
      <c r="AG46" s="122"/>
      <c r="AH46" s="95" t="str">
        <f aca="false">IF($B46="","",COUNTIFS('Debt Backlog'!$AF$2:$AF$1000,$A46,'Debt Backlog'!$B$2:$B$1000,"&lt;&gt;",'Debt Backlog'!$N$2:$N$1000,"&lt;&gt;Done",'Debt Backlog'!$N$2:$N$1000,"&lt;&gt;Won't Fix",'Debt Backlog'!$N$2:$N$1000,"&lt;&gt;Duplicate"))</f>
        <v/>
      </c>
      <c r="AI46" s="92" t="str">
        <f aca="false">IF($B46="","",ROUND(SUMIFS('Debt Backlog'!$L$2:$L$1000,'Debt Backlog'!$AF$2:$AF$1000,$A46,'Debt Backlog'!$B$2:$B$1000,"&lt;&gt;",'Debt Backlog'!$N$2:$N$1000,"&lt;&gt;Done",'Debt Backlog'!$N$2:$N$1000,"&lt;&gt;Won't Fix",'Debt Backlog'!$N$2:$N$1000,"&lt;&gt;Duplicate"),2))</f>
        <v/>
      </c>
    </row>
    <row r="47" customFormat="false" ht="15" hidden="false" customHeight="true" outlineLevel="0" collapsed="false">
      <c r="A47" s="119"/>
      <c r="B47" s="123"/>
      <c r="C47" s="123"/>
      <c r="D47" s="123"/>
      <c r="E47" s="123"/>
      <c r="F47" s="123"/>
      <c r="G47" s="123"/>
      <c r="H47" s="123"/>
      <c r="I47" s="121"/>
      <c r="J47" s="121"/>
      <c r="K47" s="121"/>
      <c r="L47" s="121"/>
      <c r="M47" s="121"/>
      <c r="N47" s="92" t="str">
        <f aca="false">IF(OR($B47="", $I47="", $J47="", $K47="", $L47="", $M47=""),"",ROUND(($I47*Lists!$AD$2)+($J47*Lists!$AD$3)+($K47*Lists!$AD$4)+($L47*Lists!$AD$5)+($M47*Lists!$AD$6),2))</f>
        <v/>
      </c>
      <c r="O47" s="92"/>
      <c r="P47" s="121"/>
      <c r="Q47" s="121"/>
      <c r="R47" s="121"/>
      <c r="S47" s="121"/>
      <c r="T47" s="92" t="str">
        <f aca="false">IF(OR($B47="", $P47="", $Q47="", $R47="", $S47=""),"",ROUND(($P47*Lists!$AD$7)+($Q47*Lists!$AD$8)+($R47*Lists!$AD$9)+($S47*Lists!$AD$10),2))</f>
        <v/>
      </c>
      <c r="U47" s="121"/>
      <c r="V47" s="121"/>
      <c r="W47" s="121"/>
      <c r="X47" s="121"/>
      <c r="Y47" s="121"/>
      <c r="Z47" s="92" t="str">
        <f aca="false">IF(OR($B47="", $U47="", $V47="", $W47="", $X47="", $Y47=""),"",ROUND(($U47*Lists!$AD$11)+($V47*Lists!$AD$12)+($W47*Lists!$AD$13)+($X47*Lists!$AD$14)+($Y47*Lists!$AD$15),2))</f>
        <v/>
      </c>
      <c r="AA47" s="92" t="str">
        <f aca="false">IF(OR($B47="", $N47="", $O47="", $T47="", $Z47=""),"",ROUND(($N47*Lists!$AD$16)-($O47*Lists!$AD$17)-($T47*Lists!$AD$18)+($Z47*Lists!$AD$19),2))</f>
        <v/>
      </c>
      <c r="AB47" s="110" t="str">
        <f aca="false">IF(OR($B47="", $N47="", $Z47=""),"",IF($N47&gt;=Lists!$AG$2,IF($Z47&gt;=Lists!$AG$3,"Invest","Migrate"),IF($Z47&gt;=Lists!$AG$3,"Tolerate","Eliminate")))</f>
        <v/>
      </c>
      <c r="AC47" s="110"/>
      <c r="AD47" s="110"/>
      <c r="AE47" s="110" t="str">
        <f aca="false">IF(OR($N47="", $O47=""),"",IF($N47&gt;=Lists!$AG$2,IF($O47&gt;=Lists!$AG$4,"High Value / High Risk","High Value / Low Risk"),IF($O47&gt;=Lists!$AG$4,"Low Value / High Risk","Low Value / Low Risk")))</f>
        <v/>
      </c>
      <c r="AF47" s="123"/>
      <c r="AG47" s="124"/>
      <c r="AH47" s="95" t="str">
        <f aca="false">IF($B47="","",COUNTIFS('Debt Backlog'!$AF$2:$AF$1000,$A47,'Debt Backlog'!$B$2:$B$1000,"&lt;&gt;",'Debt Backlog'!$N$2:$N$1000,"&lt;&gt;Done",'Debt Backlog'!$N$2:$N$1000,"&lt;&gt;Won't Fix",'Debt Backlog'!$N$2:$N$1000,"&lt;&gt;Duplicate"))</f>
        <v/>
      </c>
      <c r="AI47" s="92" t="str">
        <f aca="false">IF($B47="","",ROUND(SUMIFS('Debt Backlog'!$L$2:$L$1000,'Debt Backlog'!$AF$2:$AF$1000,$A47,'Debt Backlog'!$B$2:$B$1000,"&lt;&gt;",'Debt Backlog'!$N$2:$N$1000,"&lt;&gt;Done",'Debt Backlog'!$N$2:$N$1000,"&lt;&gt;Won't Fix",'Debt Backlog'!$N$2:$N$1000,"&lt;&gt;Duplicate"),2))</f>
        <v/>
      </c>
    </row>
    <row r="48" customFormat="false" ht="15" hidden="false" customHeight="true" outlineLevel="0" collapsed="false">
      <c r="A48" s="119"/>
      <c r="B48" s="120"/>
      <c r="C48" s="120"/>
      <c r="D48" s="120"/>
      <c r="E48" s="120"/>
      <c r="F48" s="120"/>
      <c r="G48" s="120"/>
      <c r="H48" s="120"/>
      <c r="I48" s="121"/>
      <c r="J48" s="121"/>
      <c r="K48" s="121"/>
      <c r="L48" s="121"/>
      <c r="M48" s="121"/>
      <c r="N48" s="92" t="str">
        <f aca="false">IF(OR($B48="", $I48="", $J48="", $K48="", $L48="", $M48=""),"",ROUND(($I48*Lists!$AD$2)+($J48*Lists!$AD$3)+($K48*Lists!$AD$4)+($L48*Lists!$AD$5)+($M48*Lists!$AD$6),2))</f>
        <v/>
      </c>
      <c r="O48" s="92"/>
      <c r="P48" s="121"/>
      <c r="Q48" s="121"/>
      <c r="R48" s="121"/>
      <c r="S48" s="121"/>
      <c r="T48" s="92" t="str">
        <f aca="false">IF(OR($B48="", $P48="", $Q48="", $R48="", $S48=""),"",ROUND(($P48*Lists!$AD$7)+($Q48*Lists!$AD$8)+($R48*Lists!$AD$9)+($S48*Lists!$AD$10),2))</f>
        <v/>
      </c>
      <c r="U48" s="121"/>
      <c r="V48" s="121"/>
      <c r="W48" s="121"/>
      <c r="X48" s="121"/>
      <c r="Y48" s="121"/>
      <c r="Z48" s="92" t="str">
        <f aca="false">IF(OR($B48="", $U48="", $V48="", $W48="", $X48="", $Y48=""),"",ROUND(($U48*Lists!$AD$11)+($V48*Lists!$AD$12)+($W48*Lists!$AD$13)+($X48*Lists!$AD$14)+($Y48*Lists!$AD$15),2))</f>
        <v/>
      </c>
      <c r="AA48" s="92" t="str">
        <f aca="false">IF(OR($B48="", $N48="", $O48="", $T48="", $Z48=""),"",ROUND(($N48*Lists!$AD$16)-($O48*Lists!$AD$17)-($T48*Lists!$AD$18)+($Z48*Lists!$AD$19),2))</f>
        <v/>
      </c>
      <c r="AB48" s="110" t="str">
        <f aca="false">IF(OR($B48="", $N48="", $Z48=""),"",IF($N48&gt;=Lists!$AG$2,IF($Z48&gt;=Lists!$AG$3,"Invest","Migrate"),IF($Z48&gt;=Lists!$AG$3,"Tolerate","Eliminate")))</f>
        <v/>
      </c>
      <c r="AC48" s="110"/>
      <c r="AD48" s="110"/>
      <c r="AE48" s="110" t="str">
        <f aca="false">IF(OR($N48="", $O48=""),"",IF($N48&gt;=Lists!$AG$2,IF($O48&gt;=Lists!$AG$4,"High Value / High Risk","High Value / Low Risk"),IF($O48&gt;=Lists!$AG$4,"Low Value / High Risk","Low Value / Low Risk")))</f>
        <v/>
      </c>
      <c r="AF48" s="120"/>
      <c r="AG48" s="122"/>
      <c r="AH48" s="95" t="str">
        <f aca="false">IF($B48="","",COUNTIFS('Debt Backlog'!$AF$2:$AF$1000,$A48,'Debt Backlog'!$B$2:$B$1000,"&lt;&gt;",'Debt Backlog'!$N$2:$N$1000,"&lt;&gt;Done",'Debt Backlog'!$N$2:$N$1000,"&lt;&gt;Won't Fix",'Debt Backlog'!$N$2:$N$1000,"&lt;&gt;Duplicate"))</f>
        <v/>
      </c>
      <c r="AI48" s="92" t="str">
        <f aca="false">IF($B48="","",ROUND(SUMIFS('Debt Backlog'!$L$2:$L$1000,'Debt Backlog'!$AF$2:$AF$1000,$A48,'Debt Backlog'!$B$2:$B$1000,"&lt;&gt;",'Debt Backlog'!$N$2:$N$1000,"&lt;&gt;Done",'Debt Backlog'!$N$2:$N$1000,"&lt;&gt;Won't Fix",'Debt Backlog'!$N$2:$N$1000,"&lt;&gt;Duplicate"),2))</f>
        <v/>
      </c>
    </row>
    <row r="49" customFormat="false" ht="15" hidden="false" customHeight="true" outlineLevel="0" collapsed="false">
      <c r="A49" s="119"/>
      <c r="B49" s="123"/>
      <c r="C49" s="123"/>
      <c r="D49" s="123"/>
      <c r="E49" s="123"/>
      <c r="F49" s="123"/>
      <c r="G49" s="123"/>
      <c r="H49" s="123"/>
      <c r="I49" s="121"/>
      <c r="J49" s="121"/>
      <c r="K49" s="121"/>
      <c r="L49" s="121"/>
      <c r="M49" s="121"/>
      <c r="N49" s="92" t="str">
        <f aca="false">IF(OR($B49="", $I49="", $J49="", $K49="", $L49="", $M49=""),"",ROUND(($I49*Lists!$AD$2)+($J49*Lists!$AD$3)+($K49*Lists!$AD$4)+($L49*Lists!$AD$5)+($M49*Lists!$AD$6),2))</f>
        <v/>
      </c>
      <c r="O49" s="92"/>
      <c r="P49" s="121"/>
      <c r="Q49" s="121"/>
      <c r="R49" s="121"/>
      <c r="S49" s="121"/>
      <c r="T49" s="92" t="str">
        <f aca="false">IF(OR($B49="", $P49="", $Q49="", $R49="", $S49=""),"",ROUND(($P49*Lists!$AD$7)+($Q49*Lists!$AD$8)+($R49*Lists!$AD$9)+($S49*Lists!$AD$10),2))</f>
        <v/>
      </c>
      <c r="U49" s="121"/>
      <c r="V49" s="121"/>
      <c r="W49" s="121"/>
      <c r="X49" s="121"/>
      <c r="Y49" s="121"/>
      <c r="Z49" s="92" t="str">
        <f aca="false">IF(OR($B49="", $U49="", $V49="", $W49="", $X49="", $Y49=""),"",ROUND(($U49*Lists!$AD$11)+($V49*Lists!$AD$12)+($W49*Lists!$AD$13)+($X49*Lists!$AD$14)+($Y49*Lists!$AD$15),2))</f>
        <v/>
      </c>
      <c r="AA49" s="92" t="str">
        <f aca="false">IF(OR($B49="", $N49="", $O49="", $T49="", $Z49=""),"",ROUND(($N49*Lists!$AD$16)-($O49*Lists!$AD$17)-($T49*Lists!$AD$18)+($Z49*Lists!$AD$19),2))</f>
        <v/>
      </c>
      <c r="AB49" s="110" t="str">
        <f aca="false">IF(OR($B49="", $N49="", $Z49=""),"",IF($N49&gt;=Lists!$AG$2,IF($Z49&gt;=Lists!$AG$3,"Invest","Migrate"),IF($Z49&gt;=Lists!$AG$3,"Tolerate","Eliminate")))</f>
        <v/>
      </c>
      <c r="AC49" s="110"/>
      <c r="AD49" s="110"/>
      <c r="AE49" s="110" t="str">
        <f aca="false">IF(OR($N49="", $O49=""),"",IF($N49&gt;=Lists!$AG$2,IF($O49&gt;=Lists!$AG$4,"High Value / High Risk","High Value / Low Risk"),IF($O49&gt;=Lists!$AG$4,"Low Value / High Risk","Low Value / Low Risk")))</f>
        <v/>
      </c>
      <c r="AF49" s="123"/>
      <c r="AG49" s="124"/>
      <c r="AH49" s="95" t="str">
        <f aca="false">IF($B49="","",COUNTIFS('Debt Backlog'!$AF$2:$AF$1000,$A49,'Debt Backlog'!$B$2:$B$1000,"&lt;&gt;",'Debt Backlog'!$N$2:$N$1000,"&lt;&gt;Done",'Debt Backlog'!$N$2:$N$1000,"&lt;&gt;Won't Fix",'Debt Backlog'!$N$2:$N$1000,"&lt;&gt;Duplicate"))</f>
        <v/>
      </c>
      <c r="AI49" s="92" t="str">
        <f aca="false">IF($B49="","",ROUND(SUMIFS('Debt Backlog'!$L$2:$L$1000,'Debt Backlog'!$AF$2:$AF$1000,$A49,'Debt Backlog'!$B$2:$B$1000,"&lt;&gt;",'Debt Backlog'!$N$2:$N$1000,"&lt;&gt;Done",'Debt Backlog'!$N$2:$N$1000,"&lt;&gt;Won't Fix",'Debt Backlog'!$N$2:$N$1000,"&lt;&gt;Duplicate"),2))</f>
        <v/>
      </c>
    </row>
    <row r="50" customFormat="false" ht="15" hidden="false" customHeight="true" outlineLevel="0" collapsed="false">
      <c r="A50" s="119"/>
      <c r="B50" s="120"/>
      <c r="C50" s="120"/>
      <c r="D50" s="120"/>
      <c r="E50" s="120"/>
      <c r="F50" s="120"/>
      <c r="G50" s="120"/>
      <c r="H50" s="120"/>
      <c r="I50" s="121"/>
      <c r="J50" s="121"/>
      <c r="K50" s="121"/>
      <c r="L50" s="121"/>
      <c r="M50" s="121"/>
      <c r="N50" s="92" t="str">
        <f aca="false">IF(OR($B50="", $I50="", $J50="", $K50="", $L50="", $M50=""),"",ROUND(($I50*Lists!$AD$2)+($J50*Lists!$AD$3)+($K50*Lists!$AD$4)+($L50*Lists!$AD$5)+($M50*Lists!$AD$6),2))</f>
        <v/>
      </c>
      <c r="O50" s="92"/>
      <c r="P50" s="121"/>
      <c r="Q50" s="121"/>
      <c r="R50" s="121"/>
      <c r="S50" s="121"/>
      <c r="T50" s="92" t="str">
        <f aca="false">IF(OR($B50="", $P50="", $Q50="", $R50="", $S50=""),"",ROUND(($P50*Lists!$AD$7)+($Q50*Lists!$AD$8)+($R50*Lists!$AD$9)+($S50*Lists!$AD$10),2))</f>
        <v/>
      </c>
      <c r="U50" s="121"/>
      <c r="V50" s="121"/>
      <c r="W50" s="121"/>
      <c r="X50" s="121"/>
      <c r="Y50" s="121"/>
      <c r="Z50" s="92" t="str">
        <f aca="false">IF(OR($B50="", $U50="", $V50="", $W50="", $X50="", $Y50=""),"",ROUND(($U50*Lists!$AD$11)+($V50*Lists!$AD$12)+($W50*Lists!$AD$13)+($X50*Lists!$AD$14)+($Y50*Lists!$AD$15),2))</f>
        <v/>
      </c>
      <c r="AA50" s="92" t="str">
        <f aca="false">IF(OR($B50="", $N50="", $O50="", $T50="", $Z50=""),"",ROUND(($N50*Lists!$AD$16)-($O50*Lists!$AD$17)-($T50*Lists!$AD$18)+($Z50*Lists!$AD$19),2))</f>
        <v/>
      </c>
      <c r="AB50" s="110" t="str">
        <f aca="false">IF(OR($B50="", $N50="", $Z50=""),"",IF($N50&gt;=Lists!$AG$2,IF($Z50&gt;=Lists!$AG$3,"Invest","Migrate"),IF($Z50&gt;=Lists!$AG$3,"Tolerate","Eliminate")))</f>
        <v/>
      </c>
      <c r="AC50" s="110"/>
      <c r="AD50" s="110"/>
      <c r="AE50" s="110" t="str">
        <f aca="false">IF(OR($N50="", $O50=""),"",IF($N50&gt;=Lists!$AG$2,IF($O50&gt;=Lists!$AG$4,"High Value / High Risk","High Value / Low Risk"),IF($O50&gt;=Lists!$AG$4,"Low Value / High Risk","Low Value / Low Risk")))</f>
        <v/>
      </c>
      <c r="AF50" s="120"/>
      <c r="AG50" s="122"/>
      <c r="AH50" s="95" t="str">
        <f aca="false">IF($B50="","",COUNTIFS('Debt Backlog'!$AF$2:$AF$1000,$A50,'Debt Backlog'!$B$2:$B$1000,"&lt;&gt;",'Debt Backlog'!$N$2:$N$1000,"&lt;&gt;Done",'Debt Backlog'!$N$2:$N$1000,"&lt;&gt;Won't Fix",'Debt Backlog'!$N$2:$N$1000,"&lt;&gt;Duplicate"))</f>
        <v/>
      </c>
      <c r="AI50" s="92" t="str">
        <f aca="false">IF($B50="","",ROUND(SUMIFS('Debt Backlog'!$L$2:$L$1000,'Debt Backlog'!$AF$2:$AF$1000,$A50,'Debt Backlog'!$B$2:$B$1000,"&lt;&gt;",'Debt Backlog'!$N$2:$N$1000,"&lt;&gt;Done",'Debt Backlog'!$N$2:$N$1000,"&lt;&gt;Won't Fix",'Debt Backlog'!$N$2:$N$1000,"&lt;&gt;Duplicate"),2))</f>
        <v/>
      </c>
    </row>
    <row r="51" customFormat="false" ht="15" hidden="false" customHeight="true" outlineLevel="0" collapsed="false">
      <c r="A51" s="119"/>
      <c r="B51" s="123"/>
      <c r="C51" s="123"/>
      <c r="D51" s="123"/>
      <c r="E51" s="123"/>
      <c r="F51" s="123"/>
      <c r="G51" s="123"/>
      <c r="H51" s="123"/>
      <c r="I51" s="121"/>
      <c r="J51" s="121"/>
      <c r="K51" s="121"/>
      <c r="L51" s="121"/>
      <c r="M51" s="121"/>
      <c r="N51" s="92" t="str">
        <f aca="false">IF(OR($B51="", $I51="", $J51="", $K51="", $L51="", $M51=""),"",ROUND(($I51*Lists!$AD$2)+($J51*Lists!$AD$3)+($K51*Lists!$AD$4)+($L51*Lists!$AD$5)+($M51*Lists!$AD$6),2))</f>
        <v/>
      </c>
      <c r="O51" s="92"/>
      <c r="P51" s="121"/>
      <c r="Q51" s="121"/>
      <c r="R51" s="121"/>
      <c r="S51" s="121"/>
      <c r="T51" s="92" t="str">
        <f aca="false">IF(OR($B51="", $P51="", $Q51="", $R51="", $S51=""),"",ROUND(($P51*Lists!$AD$7)+($Q51*Lists!$AD$8)+($R51*Lists!$AD$9)+($S51*Lists!$AD$10),2))</f>
        <v/>
      </c>
      <c r="U51" s="121"/>
      <c r="V51" s="121"/>
      <c r="W51" s="121"/>
      <c r="X51" s="121"/>
      <c r="Y51" s="121"/>
      <c r="Z51" s="92" t="str">
        <f aca="false">IF(OR($B51="", $U51="", $V51="", $W51="", $X51="", $Y51=""),"",ROUND(($U51*Lists!$AD$11)+($V51*Lists!$AD$12)+($W51*Lists!$AD$13)+($X51*Lists!$AD$14)+($Y51*Lists!$AD$15),2))</f>
        <v/>
      </c>
      <c r="AA51" s="92" t="str">
        <f aca="false">IF(OR($B51="", $N51="", $O51="", $T51="", $Z51=""),"",ROUND(($N51*Lists!$AD$16)-($O51*Lists!$AD$17)-($T51*Lists!$AD$18)+($Z51*Lists!$AD$19),2))</f>
        <v/>
      </c>
      <c r="AB51" s="110" t="str">
        <f aca="false">IF(OR($B51="", $N51="", $Z51=""),"",IF($N51&gt;=Lists!$AG$2,IF($Z51&gt;=Lists!$AG$3,"Invest","Migrate"),IF($Z51&gt;=Lists!$AG$3,"Tolerate","Eliminate")))</f>
        <v/>
      </c>
      <c r="AC51" s="110"/>
      <c r="AD51" s="110"/>
      <c r="AE51" s="110" t="str">
        <f aca="false">IF(OR($N51="", $O51=""),"",IF($N51&gt;=Lists!$AG$2,IF($O51&gt;=Lists!$AG$4,"High Value / High Risk","High Value / Low Risk"),IF($O51&gt;=Lists!$AG$4,"Low Value / High Risk","Low Value / Low Risk")))</f>
        <v/>
      </c>
      <c r="AF51" s="123"/>
      <c r="AG51" s="124"/>
      <c r="AH51" s="95" t="str">
        <f aca="false">IF($B51="","",COUNTIFS('Debt Backlog'!$AF$2:$AF$1000,$A51,'Debt Backlog'!$B$2:$B$1000,"&lt;&gt;",'Debt Backlog'!$N$2:$N$1000,"&lt;&gt;Done",'Debt Backlog'!$N$2:$N$1000,"&lt;&gt;Won't Fix",'Debt Backlog'!$N$2:$N$1000,"&lt;&gt;Duplicate"))</f>
        <v/>
      </c>
      <c r="AI51" s="92" t="str">
        <f aca="false">IF($B51="","",ROUND(SUMIFS('Debt Backlog'!$L$2:$L$1000,'Debt Backlog'!$AF$2:$AF$1000,$A51,'Debt Backlog'!$B$2:$B$1000,"&lt;&gt;",'Debt Backlog'!$N$2:$N$1000,"&lt;&gt;Done",'Debt Backlog'!$N$2:$N$1000,"&lt;&gt;Won't Fix",'Debt Backlog'!$N$2:$N$1000,"&lt;&gt;Duplicate"),2))</f>
        <v/>
      </c>
    </row>
    <row r="52" customFormat="false" ht="15" hidden="false" customHeight="true" outlineLevel="0" collapsed="false">
      <c r="A52" s="119"/>
      <c r="B52" s="120"/>
      <c r="C52" s="120"/>
      <c r="D52" s="120"/>
      <c r="E52" s="120"/>
      <c r="F52" s="120"/>
      <c r="G52" s="120"/>
      <c r="H52" s="120"/>
      <c r="I52" s="121"/>
      <c r="J52" s="121"/>
      <c r="K52" s="121"/>
      <c r="L52" s="121"/>
      <c r="M52" s="121"/>
      <c r="N52" s="92" t="str">
        <f aca="false">IF(OR($B52="", $I52="", $J52="", $K52="", $L52="", $M52=""),"",ROUND(($I52*Lists!$AD$2)+($J52*Lists!$AD$3)+($K52*Lists!$AD$4)+($L52*Lists!$AD$5)+($M52*Lists!$AD$6),2))</f>
        <v/>
      </c>
      <c r="O52" s="92"/>
      <c r="P52" s="121"/>
      <c r="Q52" s="121"/>
      <c r="R52" s="121"/>
      <c r="S52" s="121"/>
      <c r="T52" s="92" t="str">
        <f aca="false">IF(OR($B52="", $P52="", $Q52="", $R52="", $S52=""),"",ROUND(($P52*Lists!$AD$7)+($Q52*Lists!$AD$8)+($R52*Lists!$AD$9)+($S52*Lists!$AD$10),2))</f>
        <v/>
      </c>
      <c r="U52" s="121"/>
      <c r="V52" s="121"/>
      <c r="W52" s="121"/>
      <c r="X52" s="121"/>
      <c r="Y52" s="121"/>
      <c r="Z52" s="92" t="str">
        <f aca="false">IF(OR($B52="", $U52="", $V52="", $W52="", $X52="", $Y52=""),"",ROUND(($U52*Lists!$AD$11)+($V52*Lists!$AD$12)+($W52*Lists!$AD$13)+($X52*Lists!$AD$14)+($Y52*Lists!$AD$15),2))</f>
        <v/>
      </c>
      <c r="AA52" s="92" t="str">
        <f aca="false">IF(OR($B52="", $N52="", $O52="", $T52="", $Z52=""),"",ROUND(($N52*Lists!$AD$16)-($O52*Lists!$AD$17)-($T52*Lists!$AD$18)+($Z52*Lists!$AD$19),2))</f>
        <v/>
      </c>
      <c r="AB52" s="110" t="str">
        <f aca="false">IF(OR($B52="", $N52="", $Z52=""),"",IF($N52&gt;=Lists!$AG$2,IF($Z52&gt;=Lists!$AG$3,"Invest","Migrate"),IF($Z52&gt;=Lists!$AG$3,"Tolerate","Eliminate")))</f>
        <v/>
      </c>
      <c r="AC52" s="110"/>
      <c r="AD52" s="110"/>
      <c r="AE52" s="110" t="str">
        <f aca="false">IF(OR($N52="", $O52=""),"",IF($N52&gt;=Lists!$AG$2,IF($O52&gt;=Lists!$AG$4,"High Value / High Risk","High Value / Low Risk"),IF($O52&gt;=Lists!$AG$4,"Low Value / High Risk","Low Value / Low Risk")))</f>
        <v/>
      </c>
      <c r="AF52" s="120"/>
      <c r="AG52" s="122"/>
      <c r="AH52" s="95" t="str">
        <f aca="false">IF($B52="","",COUNTIFS('Debt Backlog'!$AF$2:$AF$1000,$A52,'Debt Backlog'!$B$2:$B$1000,"&lt;&gt;",'Debt Backlog'!$N$2:$N$1000,"&lt;&gt;Done",'Debt Backlog'!$N$2:$N$1000,"&lt;&gt;Won't Fix",'Debt Backlog'!$N$2:$N$1000,"&lt;&gt;Duplicate"))</f>
        <v/>
      </c>
      <c r="AI52" s="92" t="str">
        <f aca="false">IF($B52="","",ROUND(SUMIFS('Debt Backlog'!$L$2:$L$1000,'Debt Backlog'!$AF$2:$AF$1000,$A52,'Debt Backlog'!$B$2:$B$1000,"&lt;&gt;",'Debt Backlog'!$N$2:$N$1000,"&lt;&gt;Done",'Debt Backlog'!$N$2:$N$1000,"&lt;&gt;Won't Fix",'Debt Backlog'!$N$2:$N$1000,"&lt;&gt;Duplicate"),2))</f>
        <v/>
      </c>
    </row>
    <row r="53" customFormat="false" ht="15" hidden="false" customHeight="true" outlineLevel="0" collapsed="false">
      <c r="A53" s="119"/>
      <c r="B53" s="123"/>
      <c r="C53" s="123"/>
      <c r="D53" s="123"/>
      <c r="E53" s="123"/>
      <c r="F53" s="123"/>
      <c r="G53" s="123"/>
      <c r="H53" s="123"/>
      <c r="I53" s="121"/>
      <c r="J53" s="121"/>
      <c r="K53" s="121"/>
      <c r="L53" s="121"/>
      <c r="M53" s="121"/>
      <c r="N53" s="92" t="str">
        <f aca="false">IF(OR($B53="", $I53="", $J53="", $K53="", $L53="", $M53=""),"",ROUND(($I53*Lists!$AD$2)+($J53*Lists!$AD$3)+($K53*Lists!$AD$4)+($L53*Lists!$AD$5)+($M53*Lists!$AD$6),2))</f>
        <v/>
      </c>
      <c r="O53" s="92"/>
      <c r="P53" s="121"/>
      <c r="Q53" s="121"/>
      <c r="R53" s="121"/>
      <c r="S53" s="121"/>
      <c r="T53" s="92" t="str">
        <f aca="false">IF(OR($B53="", $P53="", $Q53="", $R53="", $S53=""),"",ROUND(($P53*Lists!$AD$7)+($Q53*Lists!$AD$8)+($R53*Lists!$AD$9)+($S53*Lists!$AD$10),2))</f>
        <v/>
      </c>
      <c r="U53" s="121"/>
      <c r="V53" s="121"/>
      <c r="W53" s="121"/>
      <c r="X53" s="121"/>
      <c r="Y53" s="121"/>
      <c r="Z53" s="92" t="str">
        <f aca="false">IF(OR($B53="", $U53="", $V53="", $W53="", $X53="", $Y53=""),"",ROUND(($U53*Lists!$AD$11)+($V53*Lists!$AD$12)+($W53*Lists!$AD$13)+($X53*Lists!$AD$14)+($Y53*Lists!$AD$15),2))</f>
        <v/>
      </c>
      <c r="AA53" s="92" t="str">
        <f aca="false">IF(OR($B53="", $N53="", $O53="", $T53="", $Z53=""),"",ROUND(($N53*Lists!$AD$16)-($O53*Lists!$AD$17)-($T53*Lists!$AD$18)+($Z53*Lists!$AD$19),2))</f>
        <v/>
      </c>
      <c r="AB53" s="110" t="str">
        <f aca="false">IF(OR($B53="", $N53="", $Z53=""),"",IF($N53&gt;=Lists!$AG$2,IF($Z53&gt;=Lists!$AG$3,"Invest","Migrate"),IF($Z53&gt;=Lists!$AG$3,"Tolerate","Eliminate")))</f>
        <v/>
      </c>
      <c r="AC53" s="110"/>
      <c r="AD53" s="110"/>
      <c r="AE53" s="110" t="str">
        <f aca="false">IF(OR($N53="", $O53=""),"",IF($N53&gt;=Lists!$AG$2,IF($O53&gt;=Lists!$AG$4,"High Value / High Risk","High Value / Low Risk"),IF($O53&gt;=Lists!$AG$4,"Low Value / High Risk","Low Value / Low Risk")))</f>
        <v/>
      </c>
      <c r="AF53" s="123"/>
      <c r="AG53" s="124"/>
      <c r="AH53" s="95" t="str">
        <f aca="false">IF($B53="","",COUNTIFS('Debt Backlog'!$AF$2:$AF$1000,$A53,'Debt Backlog'!$B$2:$B$1000,"&lt;&gt;",'Debt Backlog'!$N$2:$N$1000,"&lt;&gt;Done",'Debt Backlog'!$N$2:$N$1000,"&lt;&gt;Won't Fix",'Debt Backlog'!$N$2:$N$1000,"&lt;&gt;Duplicate"))</f>
        <v/>
      </c>
      <c r="AI53" s="92" t="str">
        <f aca="false">IF($B53="","",ROUND(SUMIFS('Debt Backlog'!$L$2:$L$1000,'Debt Backlog'!$AF$2:$AF$1000,$A53,'Debt Backlog'!$B$2:$B$1000,"&lt;&gt;",'Debt Backlog'!$N$2:$N$1000,"&lt;&gt;Done",'Debt Backlog'!$N$2:$N$1000,"&lt;&gt;Won't Fix",'Debt Backlog'!$N$2:$N$1000,"&lt;&gt;Duplicate"),2))</f>
        <v/>
      </c>
    </row>
    <row r="54" customFormat="false" ht="15" hidden="false" customHeight="true" outlineLevel="0" collapsed="false">
      <c r="A54" s="119"/>
      <c r="B54" s="120"/>
      <c r="C54" s="120"/>
      <c r="D54" s="120"/>
      <c r="E54" s="120"/>
      <c r="F54" s="120"/>
      <c r="G54" s="120"/>
      <c r="H54" s="120"/>
      <c r="I54" s="121"/>
      <c r="J54" s="121"/>
      <c r="K54" s="121"/>
      <c r="L54" s="121"/>
      <c r="M54" s="121"/>
      <c r="N54" s="92" t="str">
        <f aca="false">IF(OR($B54="", $I54="", $J54="", $K54="", $L54="", $M54=""),"",ROUND(($I54*Lists!$AD$2)+($J54*Lists!$AD$3)+($K54*Lists!$AD$4)+($L54*Lists!$AD$5)+($M54*Lists!$AD$6),2))</f>
        <v/>
      </c>
      <c r="O54" s="92"/>
      <c r="P54" s="121"/>
      <c r="Q54" s="121"/>
      <c r="R54" s="121"/>
      <c r="S54" s="121"/>
      <c r="T54" s="92" t="str">
        <f aca="false">IF(OR($B54="", $P54="", $Q54="", $R54="", $S54=""),"",ROUND(($P54*Lists!$AD$7)+($Q54*Lists!$AD$8)+($R54*Lists!$AD$9)+($S54*Lists!$AD$10),2))</f>
        <v/>
      </c>
      <c r="U54" s="121"/>
      <c r="V54" s="121"/>
      <c r="W54" s="121"/>
      <c r="X54" s="121"/>
      <c r="Y54" s="121"/>
      <c r="Z54" s="92" t="str">
        <f aca="false">IF(OR($B54="", $U54="", $V54="", $W54="", $X54="", $Y54=""),"",ROUND(($U54*Lists!$AD$11)+($V54*Lists!$AD$12)+($W54*Lists!$AD$13)+($X54*Lists!$AD$14)+($Y54*Lists!$AD$15),2))</f>
        <v/>
      </c>
      <c r="AA54" s="92" t="str">
        <f aca="false">IF(OR($B54="", $N54="", $O54="", $T54="", $Z54=""),"",ROUND(($N54*Lists!$AD$16)-($O54*Lists!$AD$17)-($T54*Lists!$AD$18)+($Z54*Lists!$AD$19),2))</f>
        <v/>
      </c>
      <c r="AB54" s="110" t="str">
        <f aca="false">IF(OR($B54="", $N54="", $Z54=""),"",IF($N54&gt;=Lists!$AG$2,IF($Z54&gt;=Lists!$AG$3,"Invest","Migrate"),IF($Z54&gt;=Lists!$AG$3,"Tolerate","Eliminate")))</f>
        <v/>
      </c>
      <c r="AC54" s="110"/>
      <c r="AD54" s="110"/>
      <c r="AE54" s="110" t="str">
        <f aca="false">IF(OR($N54="", $O54=""),"",IF($N54&gt;=Lists!$AG$2,IF($O54&gt;=Lists!$AG$4,"High Value / High Risk","High Value / Low Risk"),IF($O54&gt;=Lists!$AG$4,"Low Value / High Risk","Low Value / Low Risk")))</f>
        <v/>
      </c>
      <c r="AF54" s="120"/>
      <c r="AG54" s="122"/>
      <c r="AH54" s="95" t="str">
        <f aca="false">IF($B54="","",COUNTIFS('Debt Backlog'!$AF$2:$AF$1000,$A54,'Debt Backlog'!$B$2:$B$1000,"&lt;&gt;",'Debt Backlog'!$N$2:$N$1000,"&lt;&gt;Done",'Debt Backlog'!$N$2:$N$1000,"&lt;&gt;Won't Fix",'Debt Backlog'!$N$2:$N$1000,"&lt;&gt;Duplicate"))</f>
        <v/>
      </c>
      <c r="AI54" s="92" t="str">
        <f aca="false">IF($B54="","",ROUND(SUMIFS('Debt Backlog'!$L$2:$L$1000,'Debt Backlog'!$AF$2:$AF$1000,$A54,'Debt Backlog'!$B$2:$B$1000,"&lt;&gt;",'Debt Backlog'!$N$2:$N$1000,"&lt;&gt;Done",'Debt Backlog'!$N$2:$N$1000,"&lt;&gt;Won't Fix",'Debt Backlog'!$N$2:$N$1000,"&lt;&gt;Duplicate"),2))</f>
        <v/>
      </c>
    </row>
    <row r="55" customFormat="false" ht="15" hidden="false" customHeight="true" outlineLevel="0" collapsed="false">
      <c r="A55" s="119"/>
      <c r="B55" s="123"/>
      <c r="C55" s="123"/>
      <c r="D55" s="123"/>
      <c r="E55" s="123"/>
      <c r="F55" s="123"/>
      <c r="G55" s="123"/>
      <c r="H55" s="123"/>
      <c r="I55" s="121"/>
      <c r="J55" s="121"/>
      <c r="K55" s="121"/>
      <c r="L55" s="121"/>
      <c r="M55" s="121"/>
      <c r="N55" s="92" t="str">
        <f aca="false">IF(OR($B55="", $I55="", $J55="", $K55="", $L55="", $M55=""),"",ROUND(($I55*Lists!$AD$2)+($J55*Lists!$AD$3)+($K55*Lists!$AD$4)+($L55*Lists!$AD$5)+($M55*Lists!$AD$6),2))</f>
        <v/>
      </c>
      <c r="O55" s="92"/>
      <c r="P55" s="121"/>
      <c r="Q55" s="121"/>
      <c r="R55" s="121"/>
      <c r="S55" s="121"/>
      <c r="T55" s="92" t="str">
        <f aca="false">IF(OR($B55="", $P55="", $Q55="", $R55="", $S55=""),"",ROUND(($P55*Lists!$AD$7)+($Q55*Lists!$AD$8)+($R55*Lists!$AD$9)+($S55*Lists!$AD$10),2))</f>
        <v/>
      </c>
      <c r="U55" s="121"/>
      <c r="V55" s="121"/>
      <c r="W55" s="121"/>
      <c r="X55" s="121"/>
      <c r="Y55" s="121"/>
      <c r="Z55" s="92" t="str">
        <f aca="false">IF(OR($B55="", $U55="", $V55="", $W55="", $X55="", $Y55=""),"",ROUND(($U55*Lists!$AD$11)+($V55*Lists!$AD$12)+($W55*Lists!$AD$13)+($X55*Lists!$AD$14)+($Y55*Lists!$AD$15),2))</f>
        <v/>
      </c>
      <c r="AA55" s="92" t="str">
        <f aca="false">IF(OR($B55="", $N55="", $O55="", $T55="", $Z55=""),"",ROUND(($N55*Lists!$AD$16)-($O55*Lists!$AD$17)-($T55*Lists!$AD$18)+($Z55*Lists!$AD$19),2))</f>
        <v/>
      </c>
      <c r="AB55" s="110" t="str">
        <f aca="false">IF(OR($B55="", $N55="", $Z55=""),"",IF($N55&gt;=Lists!$AG$2,IF($Z55&gt;=Lists!$AG$3,"Invest","Migrate"),IF($Z55&gt;=Lists!$AG$3,"Tolerate","Eliminate")))</f>
        <v/>
      </c>
      <c r="AC55" s="110"/>
      <c r="AD55" s="110"/>
      <c r="AE55" s="110" t="str">
        <f aca="false">IF(OR($N55="", $O55=""),"",IF($N55&gt;=Lists!$AG$2,IF($O55&gt;=Lists!$AG$4,"High Value / High Risk","High Value / Low Risk"),IF($O55&gt;=Lists!$AG$4,"Low Value / High Risk","Low Value / Low Risk")))</f>
        <v/>
      </c>
      <c r="AF55" s="123"/>
      <c r="AG55" s="124"/>
      <c r="AH55" s="95" t="str">
        <f aca="false">IF($B55="","",COUNTIFS('Debt Backlog'!$AF$2:$AF$1000,$A55,'Debt Backlog'!$B$2:$B$1000,"&lt;&gt;",'Debt Backlog'!$N$2:$N$1000,"&lt;&gt;Done",'Debt Backlog'!$N$2:$N$1000,"&lt;&gt;Won't Fix",'Debt Backlog'!$N$2:$N$1000,"&lt;&gt;Duplicate"))</f>
        <v/>
      </c>
      <c r="AI55" s="92" t="str">
        <f aca="false">IF($B55="","",ROUND(SUMIFS('Debt Backlog'!$L$2:$L$1000,'Debt Backlog'!$AF$2:$AF$1000,$A55,'Debt Backlog'!$B$2:$B$1000,"&lt;&gt;",'Debt Backlog'!$N$2:$N$1000,"&lt;&gt;Done",'Debt Backlog'!$N$2:$N$1000,"&lt;&gt;Won't Fix",'Debt Backlog'!$N$2:$N$1000,"&lt;&gt;Duplicate"),2))</f>
        <v/>
      </c>
    </row>
    <row r="56" customFormat="false" ht="15" hidden="false" customHeight="true" outlineLevel="0" collapsed="false">
      <c r="A56" s="119"/>
      <c r="B56" s="120"/>
      <c r="C56" s="120"/>
      <c r="D56" s="120"/>
      <c r="E56" s="120"/>
      <c r="F56" s="120"/>
      <c r="G56" s="120"/>
      <c r="H56" s="120"/>
      <c r="I56" s="121"/>
      <c r="J56" s="121"/>
      <c r="K56" s="121"/>
      <c r="L56" s="121"/>
      <c r="M56" s="121"/>
      <c r="N56" s="92" t="str">
        <f aca="false">IF(OR($B56="", $I56="", $J56="", $K56="", $L56="", $M56=""),"",ROUND(($I56*Lists!$AD$2)+($J56*Lists!$AD$3)+($K56*Lists!$AD$4)+($L56*Lists!$AD$5)+($M56*Lists!$AD$6),2))</f>
        <v/>
      </c>
      <c r="O56" s="92"/>
      <c r="P56" s="121"/>
      <c r="Q56" s="121"/>
      <c r="R56" s="121"/>
      <c r="S56" s="121"/>
      <c r="T56" s="92" t="str">
        <f aca="false">IF(OR($B56="", $P56="", $Q56="", $R56="", $S56=""),"",ROUND(($P56*Lists!$AD$7)+($Q56*Lists!$AD$8)+($R56*Lists!$AD$9)+($S56*Lists!$AD$10),2))</f>
        <v/>
      </c>
      <c r="U56" s="121"/>
      <c r="V56" s="121"/>
      <c r="W56" s="121"/>
      <c r="X56" s="121"/>
      <c r="Y56" s="121"/>
      <c r="Z56" s="92" t="str">
        <f aca="false">IF(OR($B56="", $U56="", $V56="", $W56="", $X56="", $Y56=""),"",ROUND(($U56*Lists!$AD$11)+($V56*Lists!$AD$12)+($W56*Lists!$AD$13)+($X56*Lists!$AD$14)+($Y56*Lists!$AD$15),2))</f>
        <v/>
      </c>
      <c r="AA56" s="92" t="str">
        <f aca="false">IF(OR($B56="", $N56="", $O56="", $T56="", $Z56=""),"",ROUND(($N56*Lists!$AD$16)-($O56*Lists!$AD$17)-($T56*Lists!$AD$18)+($Z56*Lists!$AD$19),2))</f>
        <v/>
      </c>
      <c r="AB56" s="110" t="str">
        <f aca="false">IF(OR($B56="", $N56="", $Z56=""),"",IF($N56&gt;=Lists!$AG$2,IF($Z56&gt;=Lists!$AG$3,"Invest","Migrate"),IF($Z56&gt;=Lists!$AG$3,"Tolerate","Eliminate")))</f>
        <v/>
      </c>
      <c r="AC56" s="110"/>
      <c r="AD56" s="110"/>
      <c r="AE56" s="110" t="str">
        <f aca="false">IF(OR($N56="", $O56=""),"",IF($N56&gt;=Lists!$AG$2,IF($O56&gt;=Lists!$AG$4,"High Value / High Risk","High Value / Low Risk"),IF($O56&gt;=Lists!$AG$4,"Low Value / High Risk","Low Value / Low Risk")))</f>
        <v/>
      </c>
      <c r="AF56" s="120"/>
      <c r="AG56" s="122"/>
      <c r="AH56" s="95" t="str">
        <f aca="false">IF($B56="","",COUNTIFS('Debt Backlog'!$AF$2:$AF$1000,$A56,'Debt Backlog'!$B$2:$B$1000,"&lt;&gt;",'Debt Backlog'!$N$2:$N$1000,"&lt;&gt;Done",'Debt Backlog'!$N$2:$N$1000,"&lt;&gt;Won't Fix",'Debt Backlog'!$N$2:$N$1000,"&lt;&gt;Duplicate"))</f>
        <v/>
      </c>
      <c r="AI56" s="92" t="str">
        <f aca="false">IF($B56="","",ROUND(SUMIFS('Debt Backlog'!$L$2:$L$1000,'Debt Backlog'!$AF$2:$AF$1000,$A56,'Debt Backlog'!$B$2:$B$1000,"&lt;&gt;",'Debt Backlog'!$N$2:$N$1000,"&lt;&gt;Done",'Debt Backlog'!$N$2:$N$1000,"&lt;&gt;Won't Fix",'Debt Backlog'!$N$2:$N$1000,"&lt;&gt;Duplicate"),2))</f>
        <v/>
      </c>
    </row>
    <row r="57" customFormat="false" ht="15" hidden="false" customHeight="true" outlineLevel="0" collapsed="false">
      <c r="A57" s="119"/>
      <c r="B57" s="123"/>
      <c r="C57" s="123"/>
      <c r="D57" s="123"/>
      <c r="E57" s="123"/>
      <c r="F57" s="123"/>
      <c r="G57" s="123"/>
      <c r="H57" s="123"/>
      <c r="I57" s="121"/>
      <c r="J57" s="121"/>
      <c r="K57" s="121"/>
      <c r="L57" s="121"/>
      <c r="M57" s="121"/>
      <c r="N57" s="92" t="str">
        <f aca="false">IF(OR($B57="", $I57="", $J57="", $K57="", $L57="", $M57=""),"",ROUND(($I57*Lists!$AD$2)+($J57*Lists!$AD$3)+($K57*Lists!$AD$4)+($L57*Lists!$AD$5)+($M57*Lists!$AD$6),2))</f>
        <v/>
      </c>
      <c r="O57" s="92"/>
      <c r="P57" s="121"/>
      <c r="Q57" s="121"/>
      <c r="R57" s="121"/>
      <c r="S57" s="121"/>
      <c r="T57" s="92" t="str">
        <f aca="false">IF(OR($B57="", $P57="", $Q57="", $R57="", $S57=""),"",ROUND(($P57*Lists!$AD$7)+($Q57*Lists!$AD$8)+($R57*Lists!$AD$9)+($S57*Lists!$AD$10),2))</f>
        <v/>
      </c>
      <c r="U57" s="121"/>
      <c r="V57" s="121"/>
      <c r="W57" s="121"/>
      <c r="X57" s="121"/>
      <c r="Y57" s="121"/>
      <c r="Z57" s="92" t="str">
        <f aca="false">IF(OR($B57="", $U57="", $V57="", $W57="", $X57="", $Y57=""),"",ROUND(($U57*Lists!$AD$11)+($V57*Lists!$AD$12)+($W57*Lists!$AD$13)+($X57*Lists!$AD$14)+($Y57*Lists!$AD$15),2))</f>
        <v/>
      </c>
      <c r="AA57" s="92" t="str">
        <f aca="false">IF(OR($B57="", $N57="", $O57="", $T57="", $Z57=""),"",ROUND(($N57*Lists!$AD$16)-($O57*Lists!$AD$17)-($T57*Lists!$AD$18)+($Z57*Lists!$AD$19),2))</f>
        <v/>
      </c>
      <c r="AB57" s="110" t="str">
        <f aca="false">IF(OR($B57="", $N57="", $Z57=""),"",IF($N57&gt;=Lists!$AG$2,IF($Z57&gt;=Lists!$AG$3,"Invest","Migrate"),IF($Z57&gt;=Lists!$AG$3,"Tolerate","Eliminate")))</f>
        <v/>
      </c>
      <c r="AC57" s="110"/>
      <c r="AD57" s="110"/>
      <c r="AE57" s="110" t="str">
        <f aca="false">IF(OR($N57="", $O57=""),"",IF($N57&gt;=Lists!$AG$2,IF($O57&gt;=Lists!$AG$4,"High Value / High Risk","High Value / Low Risk"),IF($O57&gt;=Lists!$AG$4,"Low Value / High Risk","Low Value / Low Risk")))</f>
        <v/>
      </c>
      <c r="AF57" s="123"/>
      <c r="AG57" s="124"/>
      <c r="AH57" s="95" t="str">
        <f aca="false">IF($B57="","",COUNTIFS('Debt Backlog'!$AF$2:$AF$1000,$A57,'Debt Backlog'!$B$2:$B$1000,"&lt;&gt;",'Debt Backlog'!$N$2:$N$1000,"&lt;&gt;Done",'Debt Backlog'!$N$2:$N$1000,"&lt;&gt;Won't Fix",'Debt Backlog'!$N$2:$N$1000,"&lt;&gt;Duplicate"))</f>
        <v/>
      </c>
      <c r="AI57" s="92" t="str">
        <f aca="false">IF($B57="","",ROUND(SUMIFS('Debt Backlog'!$L$2:$L$1000,'Debt Backlog'!$AF$2:$AF$1000,$A57,'Debt Backlog'!$B$2:$B$1000,"&lt;&gt;",'Debt Backlog'!$N$2:$N$1000,"&lt;&gt;Done",'Debt Backlog'!$N$2:$N$1000,"&lt;&gt;Won't Fix",'Debt Backlog'!$N$2:$N$1000,"&lt;&gt;Duplicate"),2))</f>
        <v/>
      </c>
    </row>
    <row r="58" customFormat="false" ht="15" hidden="false" customHeight="true" outlineLevel="0" collapsed="false">
      <c r="A58" s="119"/>
      <c r="B58" s="120"/>
      <c r="C58" s="120"/>
      <c r="D58" s="120"/>
      <c r="E58" s="120"/>
      <c r="F58" s="120"/>
      <c r="G58" s="120"/>
      <c r="H58" s="120"/>
      <c r="I58" s="121"/>
      <c r="J58" s="121"/>
      <c r="K58" s="121"/>
      <c r="L58" s="121"/>
      <c r="M58" s="121"/>
      <c r="N58" s="92" t="str">
        <f aca="false">IF(OR($B58="", $I58="", $J58="", $K58="", $L58="", $M58=""),"",ROUND(($I58*Lists!$AD$2)+($J58*Lists!$AD$3)+($K58*Lists!$AD$4)+($L58*Lists!$AD$5)+($M58*Lists!$AD$6),2))</f>
        <v/>
      </c>
      <c r="O58" s="92"/>
      <c r="P58" s="121"/>
      <c r="Q58" s="121"/>
      <c r="R58" s="121"/>
      <c r="S58" s="121"/>
      <c r="T58" s="92" t="str">
        <f aca="false">IF(OR($B58="", $P58="", $Q58="", $R58="", $S58=""),"",ROUND(($P58*Lists!$AD$7)+($Q58*Lists!$AD$8)+($R58*Lists!$AD$9)+($S58*Lists!$AD$10),2))</f>
        <v/>
      </c>
      <c r="U58" s="121"/>
      <c r="V58" s="121"/>
      <c r="W58" s="121"/>
      <c r="X58" s="121"/>
      <c r="Y58" s="121"/>
      <c r="Z58" s="92" t="str">
        <f aca="false">IF(OR($B58="", $U58="", $V58="", $W58="", $X58="", $Y58=""),"",ROUND(($U58*Lists!$AD$11)+($V58*Lists!$AD$12)+($W58*Lists!$AD$13)+($X58*Lists!$AD$14)+($Y58*Lists!$AD$15),2))</f>
        <v/>
      </c>
      <c r="AA58" s="92" t="str">
        <f aca="false">IF(OR($B58="", $N58="", $O58="", $T58="", $Z58=""),"",ROUND(($N58*Lists!$AD$16)-($O58*Lists!$AD$17)-($T58*Lists!$AD$18)+($Z58*Lists!$AD$19),2))</f>
        <v/>
      </c>
      <c r="AB58" s="110" t="str">
        <f aca="false">IF(OR($B58="", $N58="", $Z58=""),"",IF($N58&gt;=Lists!$AG$2,IF($Z58&gt;=Lists!$AG$3,"Invest","Migrate"),IF($Z58&gt;=Lists!$AG$3,"Tolerate","Eliminate")))</f>
        <v/>
      </c>
      <c r="AC58" s="110"/>
      <c r="AD58" s="110"/>
      <c r="AE58" s="110" t="str">
        <f aca="false">IF(OR($N58="", $O58=""),"",IF($N58&gt;=Lists!$AG$2,IF($O58&gt;=Lists!$AG$4,"High Value / High Risk","High Value / Low Risk"),IF($O58&gt;=Lists!$AG$4,"Low Value / High Risk","Low Value / Low Risk")))</f>
        <v/>
      </c>
      <c r="AF58" s="120"/>
      <c r="AG58" s="122"/>
      <c r="AH58" s="95" t="str">
        <f aca="false">IF($B58="","",COUNTIFS('Debt Backlog'!$AF$2:$AF$1000,$A58,'Debt Backlog'!$B$2:$B$1000,"&lt;&gt;",'Debt Backlog'!$N$2:$N$1000,"&lt;&gt;Done",'Debt Backlog'!$N$2:$N$1000,"&lt;&gt;Won't Fix",'Debt Backlog'!$N$2:$N$1000,"&lt;&gt;Duplicate"))</f>
        <v/>
      </c>
      <c r="AI58" s="92" t="str">
        <f aca="false">IF($B58="","",ROUND(SUMIFS('Debt Backlog'!$L$2:$L$1000,'Debt Backlog'!$AF$2:$AF$1000,$A58,'Debt Backlog'!$B$2:$B$1000,"&lt;&gt;",'Debt Backlog'!$N$2:$N$1000,"&lt;&gt;Done",'Debt Backlog'!$N$2:$N$1000,"&lt;&gt;Won't Fix",'Debt Backlog'!$N$2:$N$1000,"&lt;&gt;Duplicate"),2))</f>
        <v/>
      </c>
    </row>
    <row r="59" customFormat="false" ht="15" hidden="false" customHeight="true" outlineLevel="0" collapsed="false">
      <c r="A59" s="119"/>
      <c r="B59" s="123"/>
      <c r="C59" s="123"/>
      <c r="D59" s="123"/>
      <c r="E59" s="123"/>
      <c r="F59" s="123"/>
      <c r="G59" s="123"/>
      <c r="H59" s="123"/>
      <c r="I59" s="121"/>
      <c r="J59" s="121"/>
      <c r="K59" s="121"/>
      <c r="L59" s="121"/>
      <c r="M59" s="121"/>
      <c r="N59" s="92" t="str">
        <f aca="false">IF(OR($B59="", $I59="", $J59="", $K59="", $L59="", $M59=""),"",ROUND(($I59*Lists!$AD$2)+($J59*Lists!$AD$3)+($K59*Lists!$AD$4)+($L59*Lists!$AD$5)+($M59*Lists!$AD$6),2))</f>
        <v/>
      </c>
      <c r="O59" s="92"/>
      <c r="P59" s="121"/>
      <c r="Q59" s="121"/>
      <c r="R59" s="121"/>
      <c r="S59" s="121"/>
      <c r="T59" s="92" t="str">
        <f aca="false">IF(OR($B59="", $P59="", $Q59="", $R59="", $S59=""),"",ROUND(($P59*Lists!$AD$7)+($Q59*Lists!$AD$8)+($R59*Lists!$AD$9)+($S59*Lists!$AD$10),2))</f>
        <v/>
      </c>
      <c r="U59" s="121"/>
      <c r="V59" s="121"/>
      <c r="W59" s="121"/>
      <c r="X59" s="121"/>
      <c r="Y59" s="121"/>
      <c r="Z59" s="92" t="str">
        <f aca="false">IF(OR($B59="", $U59="", $V59="", $W59="", $X59="", $Y59=""),"",ROUND(($U59*Lists!$AD$11)+($V59*Lists!$AD$12)+($W59*Lists!$AD$13)+($X59*Lists!$AD$14)+($Y59*Lists!$AD$15),2))</f>
        <v/>
      </c>
      <c r="AA59" s="92" t="str">
        <f aca="false">IF(OR($B59="", $N59="", $O59="", $T59="", $Z59=""),"",ROUND(($N59*Lists!$AD$16)-($O59*Lists!$AD$17)-($T59*Lists!$AD$18)+($Z59*Lists!$AD$19),2))</f>
        <v/>
      </c>
      <c r="AB59" s="110" t="str">
        <f aca="false">IF(OR($B59="", $N59="", $Z59=""),"",IF($N59&gt;=Lists!$AG$2,IF($Z59&gt;=Lists!$AG$3,"Invest","Migrate"),IF($Z59&gt;=Lists!$AG$3,"Tolerate","Eliminate")))</f>
        <v/>
      </c>
      <c r="AC59" s="110"/>
      <c r="AD59" s="110"/>
      <c r="AE59" s="110" t="str">
        <f aca="false">IF(OR($N59="", $O59=""),"",IF($N59&gt;=Lists!$AG$2,IF($O59&gt;=Lists!$AG$4,"High Value / High Risk","High Value / Low Risk"),IF($O59&gt;=Lists!$AG$4,"Low Value / High Risk","Low Value / Low Risk")))</f>
        <v/>
      </c>
      <c r="AF59" s="123"/>
      <c r="AG59" s="124"/>
      <c r="AH59" s="95" t="str">
        <f aca="false">IF($B59="","",COUNTIFS('Debt Backlog'!$AF$2:$AF$1000,$A59,'Debt Backlog'!$B$2:$B$1000,"&lt;&gt;",'Debt Backlog'!$N$2:$N$1000,"&lt;&gt;Done",'Debt Backlog'!$N$2:$N$1000,"&lt;&gt;Won't Fix",'Debt Backlog'!$N$2:$N$1000,"&lt;&gt;Duplicate"))</f>
        <v/>
      </c>
      <c r="AI59" s="92" t="str">
        <f aca="false">IF($B59="","",ROUND(SUMIFS('Debt Backlog'!$L$2:$L$1000,'Debt Backlog'!$AF$2:$AF$1000,$A59,'Debt Backlog'!$B$2:$B$1000,"&lt;&gt;",'Debt Backlog'!$N$2:$N$1000,"&lt;&gt;Done",'Debt Backlog'!$N$2:$N$1000,"&lt;&gt;Won't Fix",'Debt Backlog'!$N$2:$N$1000,"&lt;&gt;Duplicate"),2))</f>
        <v/>
      </c>
    </row>
    <row r="60" customFormat="false" ht="15.75" hidden="false" customHeight="true" outlineLevel="0" collapsed="false">
      <c r="A60" s="125"/>
      <c r="B60" s="101"/>
      <c r="C60" s="101"/>
      <c r="D60" s="101"/>
      <c r="E60" s="101"/>
      <c r="F60" s="101"/>
      <c r="G60" s="101"/>
      <c r="H60" s="101"/>
      <c r="I60" s="106"/>
      <c r="J60" s="106"/>
      <c r="K60" s="106"/>
      <c r="L60" s="106"/>
      <c r="M60" s="106"/>
      <c r="N60" s="103" t="str">
        <f aca="false">IF(OR($B60="", $I60="", $J60="", $K60="", $L60="", $M60=""),"",ROUND(($I60*Lists!$AD$2)+($J60*Lists!$AD$3)+($K60*Lists!$AD$4)+($L60*Lists!$AD$5)+($M60*Lists!$AD$6),2))</f>
        <v/>
      </c>
      <c r="O60" s="103"/>
      <c r="P60" s="106"/>
      <c r="Q60" s="106"/>
      <c r="R60" s="106"/>
      <c r="S60" s="106"/>
      <c r="T60" s="103" t="str">
        <f aca="false">IF(OR($B60="", $P60="", $Q60="", $R60="", $S60=""),"",ROUND(($P60*Lists!$AD$7)+($Q60*Lists!$AD$8)+($R60*Lists!$AD$9)+($S60*Lists!$AD$10),2))</f>
        <v/>
      </c>
      <c r="U60" s="106"/>
      <c r="V60" s="106"/>
      <c r="W60" s="106"/>
      <c r="X60" s="106"/>
      <c r="Y60" s="106"/>
      <c r="Z60" s="103" t="str">
        <f aca="false">IF(OR($B60="", $U60="", $V60="", $W60="", $X60="", $Y60=""),"",ROUND(($U60*Lists!$AD$11)+($V60*Lists!$AD$12)+($W60*Lists!$AD$13)+($X60*Lists!$AD$14)+($Y60*Lists!$AD$15),2))</f>
        <v/>
      </c>
      <c r="AA60" s="103" t="str">
        <f aca="false">IF(OR($B60="", $N60="", $O60="", $T60="", $Z60=""),"",ROUND(($N60*Lists!$AD$16)-($O60*Lists!$AD$17)-($T60*Lists!$AD$18)+($Z60*Lists!$AD$19),2))</f>
        <v/>
      </c>
      <c r="AB60" s="102" t="str">
        <f aca="false">IF(OR($B60="", $N60="", $Z60=""),"",IF($N60&gt;=Lists!$AG$2,IF($Z60&gt;=Lists!$AG$3,"Invest","Migrate"),IF($Z60&gt;=Lists!$AG$3,"Tolerate","Eliminate")))</f>
        <v/>
      </c>
      <c r="AC60" s="102"/>
      <c r="AD60" s="102"/>
      <c r="AE60" s="102" t="str">
        <f aca="false">IF(OR($N60="", $O60=""),"",IF($N60&gt;=Lists!$AG$2,IF($O60&gt;=Lists!$AG$4,"High Value / High Risk","High Value / Low Risk"),IF($O60&gt;=Lists!$AG$4,"Low Value / High Risk","Low Value / Low Risk")))</f>
        <v/>
      </c>
      <c r="AF60" s="101"/>
      <c r="AG60" s="126"/>
      <c r="AH60" s="106" t="str">
        <f aca="false">IF($B60="","",COUNTIFS('Debt Backlog'!$AF$2:$AF$1000,$A60,'Debt Backlog'!$B$2:$B$1000,"&lt;&gt;",'Debt Backlog'!$N$2:$N$1000,"&lt;&gt;Done",'Debt Backlog'!$N$2:$N$1000,"&lt;&gt;Won't Fix",'Debt Backlog'!$N$2:$N$1000,"&lt;&gt;Duplicate"))</f>
        <v/>
      </c>
      <c r="AI60" s="103" t="str">
        <f aca="false">IF($B60="","",ROUND(SUMIFS('Debt Backlog'!$L$2:$L$1000,'Debt Backlog'!$AF$2:$AF$1000,$A60,'Debt Backlog'!$B$2:$B$1000,"&lt;&gt;",'Debt Backlog'!$N$2:$N$1000,"&lt;&gt;Done",'Debt Backlog'!$N$2:$N$1000,"&lt;&gt;Won't Fix",'Debt Backlog'!$N$2:$N$1000,"&lt;&gt;Duplicate"),2))</f>
        <v/>
      </c>
    </row>
    <row r="61" customFormat="false" ht="15.75" hidden="false" customHeight="true" outlineLevel="0" collapsed="false">
      <c r="A61" s="125"/>
      <c r="B61" s="101"/>
      <c r="C61" s="101"/>
      <c r="D61" s="101"/>
      <c r="E61" s="101"/>
      <c r="F61" s="101"/>
      <c r="G61" s="101"/>
      <c r="H61" s="101"/>
      <c r="I61" s="106"/>
      <c r="J61" s="106"/>
      <c r="K61" s="106"/>
      <c r="L61" s="106"/>
      <c r="M61" s="106"/>
      <c r="N61" s="103" t="str">
        <f aca="false">IF(OR($B61="", $I61="", $J61="", $K61="", $L61="", $M61=""),"",ROUND(($I61*Lists!$AD$2)+($J61*Lists!$AD$3)+($K61*Lists!$AD$4)+($L61*Lists!$AD$5)+($M61*Lists!$AD$6),2))</f>
        <v/>
      </c>
      <c r="O61" s="103"/>
      <c r="P61" s="106"/>
      <c r="Q61" s="106"/>
      <c r="R61" s="106"/>
      <c r="S61" s="106"/>
      <c r="T61" s="103" t="str">
        <f aca="false">IF(OR($B61="", $P61="", $Q61="", $R61="", $S61=""),"",ROUND(($P61*Lists!$AD$7)+($Q61*Lists!$AD$8)+($R61*Lists!$AD$9)+($S61*Lists!$AD$10),2))</f>
        <v/>
      </c>
      <c r="U61" s="106"/>
      <c r="V61" s="106"/>
      <c r="W61" s="106"/>
      <c r="X61" s="106"/>
      <c r="Y61" s="106"/>
      <c r="Z61" s="103" t="str">
        <f aca="false">IF(OR($B61="", $U61="", $V61="", $W61="", $X61="", $Y61=""),"",ROUND(($U61*Lists!$AD$11)+($V61*Lists!$AD$12)+($W61*Lists!$AD$13)+($X61*Lists!$AD$14)+($Y61*Lists!$AD$15),2))</f>
        <v/>
      </c>
      <c r="AA61" s="103" t="str">
        <f aca="false">IF(OR($B61="", $N61="", $O61="", $T61="", $Z61=""),"",ROUND(($N61*Lists!$AD$16)-($O61*Lists!$AD$17)-($T61*Lists!$AD$18)+($Z61*Lists!$AD$19),2))</f>
        <v/>
      </c>
      <c r="AB61" s="102" t="str">
        <f aca="false">IF(OR($B61="", $N61="", $Z61=""),"",IF($N61&gt;=Lists!$AG$2,IF($Z61&gt;=Lists!$AG$3,"Invest","Migrate"),IF($Z61&gt;=Lists!$AG$3,"Tolerate","Eliminate")))</f>
        <v/>
      </c>
      <c r="AC61" s="102"/>
      <c r="AD61" s="102"/>
      <c r="AE61" s="102" t="str">
        <f aca="false">IF(OR($N61="", $O61=""),"",IF($N61&gt;=Lists!$AG$2,IF($O61&gt;=Lists!$AG$4,"High Value / High Risk","High Value / Low Risk"),IF($O61&gt;=Lists!$AG$4,"Low Value / High Risk","Low Value / Low Risk")))</f>
        <v/>
      </c>
      <c r="AF61" s="101"/>
      <c r="AG61" s="126"/>
      <c r="AH61" s="106" t="str">
        <f aca="false">IF($B61="","",COUNTIFS('Debt Backlog'!$AF$2:$AF$1000,$A61,'Debt Backlog'!$B$2:$B$1000,"&lt;&gt;",'Debt Backlog'!$N$2:$N$1000,"&lt;&gt;Done",'Debt Backlog'!$N$2:$N$1000,"&lt;&gt;Won't Fix",'Debt Backlog'!$N$2:$N$1000,"&lt;&gt;Duplicate"))</f>
        <v/>
      </c>
      <c r="AI61" s="103" t="str">
        <f aca="false">IF($B61="","",ROUND(SUMIFS('Debt Backlog'!$L$2:$L$1000,'Debt Backlog'!$AF$2:$AF$1000,$A61,'Debt Backlog'!$B$2:$B$1000,"&lt;&gt;",'Debt Backlog'!$N$2:$N$1000,"&lt;&gt;Done",'Debt Backlog'!$N$2:$N$1000,"&lt;&gt;Won't Fix",'Debt Backlog'!$N$2:$N$1000,"&lt;&gt;Duplicate"),2))</f>
        <v/>
      </c>
    </row>
    <row r="62" customFormat="false" ht="15.75" hidden="false" customHeight="true" outlineLevel="0" collapsed="false">
      <c r="A62" s="125"/>
      <c r="B62" s="101"/>
      <c r="C62" s="101"/>
      <c r="D62" s="101"/>
      <c r="E62" s="101"/>
      <c r="F62" s="101"/>
      <c r="G62" s="101"/>
      <c r="H62" s="101"/>
      <c r="I62" s="106"/>
      <c r="J62" s="106"/>
      <c r="K62" s="106"/>
      <c r="L62" s="106"/>
      <c r="M62" s="106"/>
      <c r="N62" s="103" t="str">
        <f aca="false">IF(OR($B62="", $I62="", $J62="", $K62="", $L62="", $M62=""),"",ROUND(($I62*Lists!$AD$2)+($J62*Lists!$AD$3)+($K62*Lists!$AD$4)+($L62*Lists!$AD$5)+($M62*Lists!$AD$6),2))</f>
        <v/>
      </c>
      <c r="O62" s="103"/>
      <c r="P62" s="106"/>
      <c r="Q62" s="106"/>
      <c r="R62" s="106"/>
      <c r="S62" s="106"/>
      <c r="T62" s="103" t="str">
        <f aca="false">IF(OR($B62="", $P62="", $Q62="", $R62="", $S62=""),"",ROUND(($P62*Lists!$AD$7)+($Q62*Lists!$AD$8)+($R62*Lists!$AD$9)+($S62*Lists!$AD$10),2))</f>
        <v/>
      </c>
      <c r="U62" s="106"/>
      <c r="V62" s="106"/>
      <c r="W62" s="106"/>
      <c r="X62" s="106"/>
      <c r="Y62" s="106"/>
      <c r="Z62" s="103" t="str">
        <f aca="false">IF(OR($B62="", $U62="", $V62="", $W62="", $X62="", $Y62=""),"",ROUND(($U62*Lists!$AD$11)+($V62*Lists!$AD$12)+($W62*Lists!$AD$13)+($X62*Lists!$AD$14)+($Y62*Lists!$AD$15),2))</f>
        <v/>
      </c>
      <c r="AA62" s="103" t="str">
        <f aca="false">IF(OR($B62="", $N62="", $O62="", $T62="", $Z62=""),"",ROUND(($N62*Lists!$AD$16)-($O62*Lists!$AD$17)-($T62*Lists!$AD$18)+($Z62*Lists!$AD$19),2))</f>
        <v/>
      </c>
      <c r="AB62" s="102" t="str">
        <f aca="false">IF(OR($B62="", $N62="", $Z62=""),"",IF($N62&gt;=Lists!$AG$2,IF($Z62&gt;=Lists!$AG$3,"Invest","Migrate"),IF($Z62&gt;=Lists!$AG$3,"Tolerate","Eliminate")))</f>
        <v/>
      </c>
      <c r="AC62" s="102"/>
      <c r="AD62" s="102"/>
      <c r="AE62" s="102" t="str">
        <f aca="false">IF(OR($N62="", $O62=""),"",IF($N62&gt;=Lists!$AG$2,IF($O62&gt;=Lists!$AG$4,"High Value / High Risk","High Value / Low Risk"),IF($O62&gt;=Lists!$AG$4,"Low Value / High Risk","Low Value / Low Risk")))</f>
        <v/>
      </c>
      <c r="AF62" s="101"/>
      <c r="AG62" s="126"/>
      <c r="AH62" s="106" t="str">
        <f aca="false">IF($B62="","",COUNTIFS('Debt Backlog'!$AF$2:$AF$1000,$A62,'Debt Backlog'!$B$2:$B$1000,"&lt;&gt;",'Debt Backlog'!$N$2:$N$1000,"&lt;&gt;Done",'Debt Backlog'!$N$2:$N$1000,"&lt;&gt;Won't Fix",'Debt Backlog'!$N$2:$N$1000,"&lt;&gt;Duplicate"))</f>
        <v/>
      </c>
      <c r="AI62" s="103" t="str">
        <f aca="false">IF($B62="","",ROUND(SUMIFS('Debt Backlog'!$L$2:$L$1000,'Debt Backlog'!$AF$2:$AF$1000,$A62,'Debt Backlog'!$B$2:$B$1000,"&lt;&gt;",'Debt Backlog'!$N$2:$N$1000,"&lt;&gt;Done",'Debt Backlog'!$N$2:$N$1000,"&lt;&gt;Won't Fix",'Debt Backlog'!$N$2:$N$1000,"&lt;&gt;Duplicate"),2))</f>
        <v/>
      </c>
    </row>
    <row r="63" customFormat="false" ht="15.75" hidden="false" customHeight="true" outlineLevel="0" collapsed="false">
      <c r="A63" s="125"/>
      <c r="B63" s="101"/>
      <c r="C63" s="101"/>
      <c r="D63" s="101"/>
      <c r="E63" s="101"/>
      <c r="F63" s="101"/>
      <c r="G63" s="101"/>
      <c r="H63" s="101"/>
      <c r="I63" s="106"/>
      <c r="J63" s="106"/>
      <c r="K63" s="106"/>
      <c r="L63" s="106"/>
      <c r="M63" s="106"/>
      <c r="N63" s="103" t="str">
        <f aca="false">IF(OR($B63="", $I63="", $J63="", $K63="", $L63="", $M63=""),"",ROUND(($I63*Lists!$AD$2)+($J63*Lists!$AD$3)+($K63*Lists!$AD$4)+($L63*Lists!$AD$5)+($M63*Lists!$AD$6),2))</f>
        <v/>
      </c>
      <c r="O63" s="103"/>
      <c r="P63" s="106"/>
      <c r="Q63" s="106"/>
      <c r="R63" s="106"/>
      <c r="S63" s="106"/>
      <c r="T63" s="103" t="str">
        <f aca="false">IF(OR($B63="", $P63="", $Q63="", $R63="", $S63=""),"",ROUND(($P63*Lists!$AD$7)+($Q63*Lists!$AD$8)+($R63*Lists!$AD$9)+($S63*Lists!$AD$10),2))</f>
        <v/>
      </c>
      <c r="U63" s="106"/>
      <c r="V63" s="106"/>
      <c r="W63" s="106"/>
      <c r="X63" s="106"/>
      <c r="Y63" s="106"/>
      <c r="Z63" s="103" t="str">
        <f aca="false">IF(OR($B63="", $U63="", $V63="", $W63="", $X63="", $Y63=""),"",ROUND(($U63*Lists!$AD$11)+($V63*Lists!$AD$12)+($W63*Lists!$AD$13)+($X63*Lists!$AD$14)+($Y63*Lists!$AD$15),2))</f>
        <v/>
      </c>
      <c r="AA63" s="103" t="str">
        <f aca="false">IF(OR($B63="", $N63="", $O63="", $T63="", $Z63=""),"",ROUND(($N63*Lists!$AD$16)-($O63*Lists!$AD$17)-($T63*Lists!$AD$18)+($Z63*Lists!$AD$19),2))</f>
        <v/>
      </c>
      <c r="AB63" s="102" t="str">
        <f aca="false">IF(OR($B63="", $N63="", $Z63=""),"",IF($N63&gt;=Lists!$AG$2,IF($Z63&gt;=Lists!$AG$3,"Invest","Migrate"),IF($Z63&gt;=Lists!$AG$3,"Tolerate","Eliminate")))</f>
        <v/>
      </c>
      <c r="AC63" s="102"/>
      <c r="AD63" s="102"/>
      <c r="AE63" s="102" t="str">
        <f aca="false">IF(OR($N63="", $O63=""),"",IF($N63&gt;=Lists!$AG$2,IF($O63&gt;=Lists!$AG$4,"High Value / High Risk","High Value / Low Risk"),IF($O63&gt;=Lists!$AG$4,"Low Value / High Risk","Low Value / Low Risk")))</f>
        <v/>
      </c>
      <c r="AF63" s="101"/>
      <c r="AG63" s="126"/>
      <c r="AH63" s="106" t="str">
        <f aca="false">IF($B63="","",COUNTIFS('Debt Backlog'!$AF$2:$AF$1000,$A63,'Debt Backlog'!$B$2:$B$1000,"&lt;&gt;",'Debt Backlog'!$N$2:$N$1000,"&lt;&gt;Done",'Debt Backlog'!$N$2:$N$1000,"&lt;&gt;Won't Fix",'Debt Backlog'!$N$2:$N$1000,"&lt;&gt;Duplicate"))</f>
        <v/>
      </c>
      <c r="AI63" s="103" t="str">
        <f aca="false">IF($B63="","",ROUND(SUMIFS('Debt Backlog'!$L$2:$L$1000,'Debt Backlog'!$AF$2:$AF$1000,$A63,'Debt Backlog'!$B$2:$B$1000,"&lt;&gt;",'Debt Backlog'!$N$2:$N$1000,"&lt;&gt;Done",'Debt Backlog'!$N$2:$N$1000,"&lt;&gt;Won't Fix",'Debt Backlog'!$N$2:$N$1000,"&lt;&gt;Duplicate"),2))</f>
        <v/>
      </c>
    </row>
    <row r="64" customFormat="false" ht="15.75" hidden="false" customHeight="true" outlineLevel="0" collapsed="false">
      <c r="A64" s="125"/>
      <c r="B64" s="101"/>
      <c r="C64" s="101"/>
      <c r="D64" s="101"/>
      <c r="E64" s="101"/>
      <c r="F64" s="101"/>
      <c r="G64" s="101"/>
      <c r="H64" s="101"/>
      <c r="I64" s="106"/>
      <c r="J64" s="106"/>
      <c r="K64" s="106"/>
      <c r="L64" s="106"/>
      <c r="M64" s="106"/>
      <c r="N64" s="103" t="str">
        <f aca="false">IF(OR($B64="", $I64="", $J64="", $K64="", $L64="", $M64=""),"",ROUND(($I64*Lists!$AD$2)+($J64*Lists!$AD$3)+($K64*Lists!$AD$4)+($L64*Lists!$AD$5)+($M64*Lists!$AD$6),2))</f>
        <v/>
      </c>
      <c r="O64" s="103"/>
      <c r="P64" s="106"/>
      <c r="Q64" s="106"/>
      <c r="R64" s="106"/>
      <c r="S64" s="106"/>
      <c r="T64" s="103" t="str">
        <f aca="false">IF(OR($B64="", $P64="", $Q64="", $R64="", $S64=""),"",ROUND(($P64*Lists!$AD$7)+($Q64*Lists!$AD$8)+($R64*Lists!$AD$9)+($S64*Lists!$AD$10),2))</f>
        <v/>
      </c>
      <c r="U64" s="106"/>
      <c r="V64" s="106"/>
      <c r="W64" s="106"/>
      <c r="X64" s="106"/>
      <c r="Y64" s="106"/>
      <c r="Z64" s="103" t="str">
        <f aca="false">IF(OR($B64="", $U64="", $V64="", $W64="", $X64="", $Y64=""),"",ROUND(($U64*Lists!$AD$11)+($V64*Lists!$AD$12)+($W64*Lists!$AD$13)+($X64*Lists!$AD$14)+($Y64*Lists!$AD$15),2))</f>
        <v/>
      </c>
      <c r="AA64" s="103" t="str">
        <f aca="false">IF(OR($B64="", $N64="", $O64="", $T64="", $Z64=""),"",ROUND(($N64*Lists!$AD$16)-($O64*Lists!$AD$17)-($T64*Lists!$AD$18)+($Z64*Lists!$AD$19),2))</f>
        <v/>
      </c>
      <c r="AB64" s="102" t="str">
        <f aca="false">IF(OR($B64="", $N64="", $Z64=""),"",IF($N64&gt;=Lists!$AG$2,IF($Z64&gt;=Lists!$AG$3,"Invest","Migrate"),IF($Z64&gt;=Lists!$AG$3,"Tolerate","Eliminate")))</f>
        <v/>
      </c>
      <c r="AC64" s="102"/>
      <c r="AD64" s="102"/>
      <c r="AE64" s="102" t="str">
        <f aca="false">IF(OR($N64="", $O64=""),"",IF($N64&gt;=Lists!$AG$2,IF($O64&gt;=Lists!$AG$4,"High Value / High Risk","High Value / Low Risk"),IF($O64&gt;=Lists!$AG$4,"Low Value / High Risk","Low Value / Low Risk")))</f>
        <v/>
      </c>
      <c r="AF64" s="101"/>
      <c r="AG64" s="126"/>
      <c r="AH64" s="106" t="str">
        <f aca="false">IF($B64="","",COUNTIFS('Debt Backlog'!$AF$2:$AF$1000,$A64,'Debt Backlog'!$B$2:$B$1000,"&lt;&gt;",'Debt Backlog'!$N$2:$N$1000,"&lt;&gt;Done",'Debt Backlog'!$N$2:$N$1000,"&lt;&gt;Won't Fix",'Debt Backlog'!$N$2:$N$1000,"&lt;&gt;Duplicate"))</f>
        <v/>
      </c>
      <c r="AI64" s="103" t="str">
        <f aca="false">IF($B64="","",ROUND(SUMIFS('Debt Backlog'!$L$2:$L$1000,'Debt Backlog'!$AF$2:$AF$1000,$A64,'Debt Backlog'!$B$2:$B$1000,"&lt;&gt;",'Debt Backlog'!$N$2:$N$1000,"&lt;&gt;Done",'Debt Backlog'!$N$2:$N$1000,"&lt;&gt;Won't Fix",'Debt Backlog'!$N$2:$N$1000,"&lt;&gt;Duplicate"),2))</f>
        <v/>
      </c>
    </row>
    <row r="65" customFormat="false" ht="15.75" hidden="false" customHeight="true" outlineLevel="0" collapsed="false">
      <c r="A65" s="125"/>
      <c r="B65" s="101"/>
      <c r="C65" s="101"/>
      <c r="D65" s="101"/>
      <c r="E65" s="101"/>
      <c r="F65" s="101"/>
      <c r="G65" s="101"/>
      <c r="H65" s="101"/>
      <c r="I65" s="106"/>
      <c r="J65" s="106"/>
      <c r="K65" s="106"/>
      <c r="L65" s="106"/>
      <c r="M65" s="106"/>
      <c r="N65" s="103" t="str">
        <f aca="false">IF(OR($B65="", $I65="", $J65="", $K65="", $L65="", $M65=""),"",ROUND(($I65*Lists!$AD$2)+($J65*Lists!$AD$3)+($K65*Lists!$AD$4)+($L65*Lists!$AD$5)+($M65*Lists!$AD$6),2))</f>
        <v/>
      </c>
      <c r="O65" s="103"/>
      <c r="P65" s="106"/>
      <c r="Q65" s="106"/>
      <c r="R65" s="106"/>
      <c r="S65" s="106"/>
      <c r="T65" s="103" t="str">
        <f aca="false">IF(OR($B65="", $P65="", $Q65="", $R65="", $S65=""),"",ROUND(($P65*Lists!$AD$7)+($Q65*Lists!$AD$8)+($R65*Lists!$AD$9)+($S65*Lists!$AD$10),2))</f>
        <v/>
      </c>
      <c r="U65" s="106"/>
      <c r="V65" s="106"/>
      <c r="W65" s="106"/>
      <c r="X65" s="106"/>
      <c r="Y65" s="106"/>
      <c r="Z65" s="103" t="str">
        <f aca="false">IF(OR($B65="", $U65="", $V65="", $W65="", $X65="", $Y65=""),"",ROUND(($U65*Lists!$AD$11)+($V65*Lists!$AD$12)+($W65*Lists!$AD$13)+($X65*Lists!$AD$14)+($Y65*Lists!$AD$15),2))</f>
        <v/>
      </c>
      <c r="AA65" s="103" t="str">
        <f aca="false">IF(OR($B65="", $N65="", $O65="", $T65="", $Z65=""),"",ROUND(($N65*Lists!$AD$16)-($O65*Lists!$AD$17)-($T65*Lists!$AD$18)+($Z65*Lists!$AD$19),2))</f>
        <v/>
      </c>
      <c r="AB65" s="102" t="str">
        <f aca="false">IF(OR($B65="", $N65="", $Z65=""),"",IF($N65&gt;=Lists!$AG$2,IF($Z65&gt;=Lists!$AG$3,"Invest","Migrate"),IF($Z65&gt;=Lists!$AG$3,"Tolerate","Eliminate")))</f>
        <v/>
      </c>
      <c r="AC65" s="102"/>
      <c r="AD65" s="102"/>
      <c r="AE65" s="102" t="str">
        <f aca="false">IF(OR($N65="", $O65=""),"",IF($N65&gt;=Lists!$AG$2,IF($O65&gt;=Lists!$AG$4,"High Value / High Risk","High Value / Low Risk"),IF($O65&gt;=Lists!$AG$4,"Low Value / High Risk","Low Value / Low Risk")))</f>
        <v/>
      </c>
      <c r="AF65" s="101"/>
      <c r="AG65" s="126"/>
      <c r="AH65" s="106" t="str">
        <f aca="false">IF($B65="","",COUNTIFS('Debt Backlog'!$AF$2:$AF$1000,$A65,'Debt Backlog'!$B$2:$B$1000,"&lt;&gt;",'Debt Backlog'!$N$2:$N$1000,"&lt;&gt;Done",'Debt Backlog'!$N$2:$N$1000,"&lt;&gt;Won't Fix",'Debt Backlog'!$N$2:$N$1000,"&lt;&gt;Duplicate"))</f>
        <v/>
      </c>
      <c r="AI65" s="103" t="str">
        <f aca="false">IF($B65="","",ROUND(SUMIFS('Debt Backlog'!$L$2:$L$1000,'Debt Backlog'!$AF$2:$AF$1000,$A65,'Debt Backlog'!$B$2:$B$1000,"&lt;&gt;",'Debt Backlog'!$N$2:$N$1000,"&lt;&gt;Done",'Debt Backlog'!$N$2:$N$1000,"&lt;&gt;Won't Fix",'Debt Backlog'!$N$2:$N$1000,"&lt;&gt;Duplicate"),2))</f>
        <v/>
      </c>
    </row>
    <row r="66" customFormat="false" ht="15.75" hidden="false" customHeight="true" outlineLevel="0" collapsed="false">
      <c r="A66" s="125"/>
      <c r="B66" s="101"/>
      <c r="C66" s="101"/>
      <c r="D66" s="101"/>
      <c r="E66" s="101"/>
      <c r="F66" s="101"/>
      <c r="G66" s="101"/>
      <c r="H66" s="101"/>
      <c r="I66" s="106"/>
      <c r="J66" s="106"/>
      <c r="K66" s="106"/>
      <c r="L66" s="106"/>
      <c r="M66" s="106"/>
      <c r="N66" s="103" t="str">
        <f aca="false">IF(OR($B66="", $I66="", $J66="", $K66="", $L66="", $M66=""),"",ROUND(($I66*Lists!$AD$2)+($J66*Lists!$AD$3)+($K66*Lists!$AD$4)+($L66*Lists!$AD$5)+($M66*Lists!$AD$6),2))</f>
        <v/>
      </c>
      <c r="O66" s="103"/>
      <c r="P66" s="106"/>
      <c r="Q66" s="106"/>
      <c r="R66" s="106"/>
      <c r="S66" s="106"/>
      <c r="T66" s="103" t="str">
        <f aca="false">IF(OR($B66="", $P66="", $Q66="", $R66="", $S66=""),"",ROUND(($P66*Lists!$AD$7)+($Q66*Lists!$AD$8)+($R66*Lists!$AD$9)+($S66*Lists!$AD$10),2))</f>
        <v/>
      </c>
      <c r="U66" s="106"/>
      <c r="V66" s="106"/>
      <c r="W66" s="106"/>
      <c r="X66" s="106"/>
      <c r="Y66" s="106"/>
      <c r="Z66" s="103" t="str">
        <f aca="false">IF(OR($B66="", $U66="", $V66="", $W66="", $X66="", $Y66=""),"",ROUND(($U66*Lists!$AD$11)+($V66*Lists!$AD$12)+($W66*Lists!$AD$13)+($X66*Lists!$AD$14)+($Y66*Lists!$AD$15),2))</f>
        <v/>
      </c>
      <c r="AA66" s="103" t="str">
        <f aca="false">IF(OR($B66="", $N66="", $O66="", $T66="", $Z66=""),"",ROUND(($N66*Lists!$AD$16)-($O66*Lists!$AD$17)-($T66*Lists!$AD$18)+($Z66*Lists!$AD$19),2))</f>
        <v/>
      </c>
      <c r="AB66" s="102" t="str">
        <f aca="false">IF(OR($B66="", $N66="", $Z66=""),"",IF($N66&gt;=Lists!$AG$2,IF($Z66&gt;=Lists!$AG$3,"Invest","Migrate"),IF($Z66&gt;=Lists!$AG$3,"Tolerate","Eliminate")))</f>
        <v/>
      </c>
      <c r="AC66" s="102"/>
      <c r="AD66" s="102"/>
      <c r="AE66" s="102" t="str">
        <f aca="false">IF(OR($N66="", $O66=""),"",IF($N66&gt;=Lists!$AG$2,IF($O66&gt;=Lists!$AG$4,"High Value / High Risk","High Value / Low Risk"),IF($O66&gt;=Lists!$AG$4,"Low Value / High Risk","Low Value / Low Risk")))</f>
        <v/>
      </c>
      <c r="AF66" s="101"/>
      <c r="AG66" s="126"/>
      <c r="AH66" s="106" t="str">
        <f aca="false">IF($B66="","",COUNTIFS('Debt Backlog'!$AF$2:$AF$1000,$A66,'Debt Backlog'!$B$2:$B$1000,"&lt;&gt;",'Debt Backlog'!$N$2:$N$1000,"&lt;&gt;Done",'Debt Backlog'!$N$2:$N$1000,"&lt;&gt;Won't Fix",'Debt Backlog'!$N$2:$N$1000,"&lt;&gt;Duplicate"))</f>
        <v/>
      </c>
      <c r="AI66" s="103" t="str">
        <f aca="false">IF($B66="","",ROUND(SUMIFS('Debt Backlog'!$L$2:$L$1000,'Debt Backlog'!$AF$2:$AF$1000,$A66,'Debt Backlog'!$B$2:$B$1000,"&lt;&gt;",'Debt Backlog'!$N$2:$N$1000,"&lt;&gt;Done",'Debt Backlog'!$N$2:$N$1000,"&lt;&gt;Won't Fix",'Debt Backlog'!$N$2:$N$1000,"&lt;&gt;Duplicate"),2))</f>
        <v/>
      </c>
    </row>
    <row r="67" customFormat="false" ht="15.75" hidden="false" customHeight="true" outlineLevel="0" collapsed="false">
      <c r="A67" s="125"/>
      <c r="B67" s="101"/>
      <c r="C67" s="101"/>
      <c r="D67" s="101"/>
      <c r="E67" s="101"/>
      <c r="F67" s="101"/>
      <c r="G67" s="101"/>
      <c r="H67" s="101"/>
      <c r="I67" s="106"/>
      <c r="J67" s="106"/>
      <c r="K67" s="106"/>
      <c r="L67" s="106"/>
      <c r="M67" s="106"/>
      <c r="N67" s="103" t="str">
        <f aca="false">IF(OR($B67="", $I67="", $J67="", $K67="", $L67="", $M67=""),"",ROUND(($I67*Lists!$AD$2)+($J67*Lists!$AD$3)+($K67*Lists!$AD$4)+($L67*Lists!$AD$5)+($M67*Lists!$AD$6),2))</f>
        <v/>
      </c>
      <c r="O67" s="103"/>
      <c r="P67" s="106"/>
      <c r="Q67" s="106"/>
      <c r="R67" s="106"/>
      <c r="S67" s="106"/>
      <c r="T67" s="103" t="str">
        <f aca="false">IF(OR($B67="", $P67="", $Q67="", $R67="", $S67=""),"",ROUND(($P67*Lists!$AD$7)+($Q67*Lists!$AD$8)+($R67*Lists!$AD$9)+($S67*Lists!$AD$10),2))</f>
        <v/>
      </c>
      <c r="U67" s="106"/>
      <c r="V67" s="106"/>
      <c r="W67" s="106"/>
      <c r="X67" s="106"/>
      <c r="Y67" s="106"/>
      <c r="Z67" s="103" t="str">
        <f aca="false">IF(OR($B67="", $U67="", $V67="", $W67="", $X67="", $Y67=""),"",ROUND(($U67*Lists!$AD$11)+($V67*Lists!$AD$12)+($W67*Lists!$AD$13)+($X67*Lists!$AD$14)+($Y67*Lists!$AD$15),2))</f>
        <v/>
      </c>
      <c r="AA67" s="103" t="str">
        <f aca="false">IF(OR($B67="", $N67="", $O67="", $T67="", $Z67=""),"",ROUND(($N67*Lists!$AD$16)-($O67*Lists!$AD$17)-($T67*Lists!$AD$18)+($Z67*Lists!$AD$19),2))</f>
        <v/>
      </c>
      <c r="AB67" s="102" t="str">
        <f aca="false">IF(OR($B67="", $N67="", $Z67=""),"",IF($N67&gt;=Lists!$AG$2,IF($Z67&gt;=Lists!$AG$3,"Invest","Migrate"),IF($Z67&gt;=Lists!$AG$3,"Tolerate","Eliminate")))</f>
        <v/>
      </c>
      <c r="AC67" s="102"/>
      <c r="AD67" s="102"/>
      <c r="AE67" s="102" t="str">
        <f aca="false">IF(OR($N67="", $O67=""),"",IF($N67&gt;=Lists!$AG$2,IF($O67&gt;=Lists!$AG$4,"High Value / High Risk","High Value / Low Risk"),IF($O67&gt;=Lists!$AG$4,"Low Value / High Risk","Low Value / Low Risk")))</f>
        <v/>
      </c>
      <c r="AF67" s="101"/>
      <c r="AG67" s="126"/>
      <c r="AH67" s="106" t="str">
        <f aca="false">IF($B67="","",COUNTIFS('Debt Backlog'!$AF$2:$AF$1000,$A67,'Debt Backlog'!$B$2:$B$1000,"&lt;&gt;",'Debt Backlog'!$N$2:$N$1000,"&lt;&gt;Done",'Debt Backlog'!$N$2:$N$1000,"&lt;&gt;Won't Fix",'Debt Backlog'!$N$2:$N$1000,"&lt;&gt;Duplicate"))</f>
        <v/>
      </c>
      <c r="AI67" s="103" t="str">
        <f aca="false">IF($B67="","",ROUND(SUMIFS('Debt Backlog'!$L$2:$L$1000,'Debt Backlog'!$AF$2:$AF$1000,$A67,'Debt Backlog'!$B$2:$B$1000,"&lt;&gt;",'Debt Backlog'!$N$2:$N$1000,"&lt;&gt;Done",'Debt Backlog'!$N$2:$N$1000,"&lt;&gt;Won't Fix",'Debt Backlog'!$N$2:$N$1000,"&lt;&gt;Duplicate"),2))</f>
        <v/>
      </c>
    </row>
    <row r="68" customFormat="false" ht="15.75" hidden="false" customHeight="true" outlineLevel="0" collapsed="false">
      <c r="A68" s="125"/>
      <c r="B68" s="101"/>
      <c r="C68" s="101"/>
      <c r="D68" s="101"/>
      <c r="E68" s="101"/>
      <c r="F68" s="101"/>
      <c r="G68" s="101"/>
      <c r="H68" s="101"/>
      <c r="I68" s="106"/>
      <c r="J68" s="106"/>
      <c r="K68" s="106"/>
      <c r="L68" s="106"/>
      <c r="M68" s="106"/>
      <c r="N68" s="103" t="str">
        <f aca="false">IF(OR($B68="", $I68="", $J68="", $K68="", $L68="", $M68=""),"",ROUND(($I68*Lists!$AD$2)+($J68*Lists!$AD$3)+($K68*Lists!$AD$4)+($L68*Lists!$AD$5)+($M68*Lists!$AD$6),2))</f>
        <v/>
      </c>
      <c r="O68" s="103"/>
      <c r="P68" s="106"/>
      <c r="Q68" s="106"/>
      <c r="R68" s="106"/>
      <c r="S68" s="106"/>
      <c r="T68" s="103" t="str">
        <f aca="false">IF(OR($B68="", $P68="", $Q68="", $R68="", $S68=""),"",ROUND(($P68*Lists!$AD$7)+($Q68*Lists!$AD$8)+($R68*Lists!$AD$9)+($S68*Lists!$AD$10),2))</f>
        <v/>
      </c>
      <c r="U68" s="106"/>
      <c r="V68" s="106"/>
      <c r="W68" s="106"/>
      <c r="X68" s="106"/>
      <c r="Y68" s="106"/>
      <c r="Z68" s="103" t="str">
        <f aca="false">IF(OR($B68="", $U68="", $V68="", $W68="", $X68="", $Y68=""),"",ROUND(($U68*Lists!$AD$11)+($V68*Lists!$AD$12)+($W68*Lists!$AD$13)+($X68*Lists!$AD$14)+($Y68*Lists!$AD$15),2))</f>
        <v/>
      </c>
      <c r="AA68" s="103" t="str">
        <f aca="false">IF(OR($B68="", $N68="", $O68="", $T68="", $Z68=""),"",ROUND(($N68*Lists!$AD$16)-($O68*Lists!$AD$17)-($T68*Lists!$AD$18)+($Z68*Lists!$AD$19),2))</f>
        <v/>
      </c>
      <c r="AB68" s="102" t="str">
        <f aca="false">IF(OR($B68="", $N68="", $Z68=""),"",IF($N68&gt;=Lists!$AG$2,IF($Z68&gt;=Lists!$AG$3,"Invest","Migrate"),IF($Z68&gt;=Lists!$AG$3,"Tolerate","Eliminate")))</f>
        <v/>
      </c>
      <c r="AC68" s="102"/>
      <c r="AD68" s="102"/>
      <c r="AE68" s="102" t="str">
        <f aca="false">IF(OR($N68="", $O68=""),"",IF($N68&gt;=Lists!$AG$2,IF($O68&gt;=Lists!$AG$4,"High Value / High Risk","High Value / Low Risk"),IF($O68&gt;=Lists!$AG$4,"Low Value / High Risk","Low Value / Low Risk")))</f>
        <v/>
      </c>
      <c r="AF68" s="101"/>
      <c r="AG68" s="126"/>
      <c r="AH68" s="106" t="str">
        <f aca="false">IF($B68="","",COUNTIFS('Debt Backlog'!$AF$2:$AF$1000,$A68,'Debt Backlog'!$B$2:$B$1000,"&lt;&gt;",'Debt Backlog'!$N$2:$N$1000,"&lt;&gt;Done",'Debt Backlog'!$N$2:$N$1000,"&lt;&gt;Won't Fix",'Debt Backlog'!$N$2:$N$1000,"&lt;&gt;Duplicate"))</f>
        <v/>
      </c>
      <c r="AI68" s="103" t="str">
        <f aca="false">IF($B68="","",ROUND(SUMIFS('Debt Backlog'!$L$2:$L$1000,'Debt Backlog'!$AF$2:$AF$1000,$A68,'Debt Backlog'!$B$2:$B$1000,"&lt;&gt;",'Debt Backlog'!$N$2:$N$1000,"&lt;&gt;Done",'Debt Backlog'!$N$2:$N$1000,"&lt;&gt;Won't Fix",'Debt Backlog'!$N$2:$N$1000,"&lt;&gt;Duplicate"),2))</f>
        <v/>
      </c>
    </row>
    <row r="69" customFormat="false" ht="15.75" hidden="false" customHeight="true" outlineLevel="0" collapsed="false">
      <c r="A69" s="125"/>
      <c r="B69" s="101"/>
      <c r="C69" s="101"/>
      <c r="D69" s="101"/>
      <c r="E69" s="101"/>
      <c r="F69" s="101"/>
      <c r="G69" s="101"/>
      <c r="H69" s="101"/>
      <c r="I69" s="106"/>
      <c r="J69" s="106"/>
      <c r="K69" s="106"/>
      <c r="L69" s="106"/>
      <c r="M69" s="106"/>
      <c r="N69" s="103" t="str">
        <f aca="false">IF(OR($B69="", $I69="", $J69="", $K69="", $L69="", $M69=""),"",ROUND(($I69*Lists!$AD$2)+($J69*Lists!$AD$3)+($K69*Lists!$AD$4)+($L69*Lists!$AD$5)+($M69*Lists!$AD$6),2))</f>
        <v/>
      </c>
      <c r="O69" s="103"/>
      <c r="P69" s="106"/>
      <c r="Q69" s="106"/>
      <c r="R69" s="106"/>
      <c r="S69" s="106"/>
      <c r="T69" s="103" t="str">
        <f aca="false">IF(OR($B69="", $P69="", $Q69="", $R69="", $S69=""),"",ROUND(($P69*Lists!$AD$7)+($Q69*Lists!$AD$8)+($R69*Lists!$AD$9)+($S69*Lists!$AD$10),2))</f>
        <v/>
      </c>
      <c r="U69" s="106"/>
      <c r="V69" s="106"/>
      <c r="W69" s="106"/>
      <c r="X69" s="106"/>
      <c r="Y69" s="106"/>
      <c r="Z69" s="103" t="str">
        <f aca="false">IF(OR($B69="", $U69="", $V69="", $W69="", $X69="", $Y69=""),"",ROUND(($U69*Lists!$AD$11)+($V69*Lists!$AD$12)+($W69*Lists!$AD$13)+($X69*Lists!$AD$14)+($Y69*Lists!$AD$15),2))</f>
        <v/>
      </c>
      <c r="AA69" s="103" t="str">
        <f aca="false">IF(OR($B69="", $N69="", $O69="", $T69="", $Z69=""),"",ROUND(($N69*Lists!$AD$16)-($O69*Lists!$AD$17)-($T69*Lists!$AD$18)+($Z69*Lists!$AD$19),2))</f>
        <v/>
      </c>
      <c r="AB69" s="102" t="str">
        <f aca="false">IF(OR($B69="", $N69="", $Z69=""),"",IF($N69&gt;=Lists!$AG$2,IF($Z69&gt;=Lists!$AG$3,"Invest","Migrate"),IF($Z69&gt;=Lists!$AG$3,"Tolerate","Eliminate")))</f>
        <v/>
      </c>
      <c r="AC69" s="102"/>
      <c r="AD69" s="102"/>
      <c r="AE69" s="102" t="str">
        <f aca="false">IF(OR($N69="", $O69=""),"",IF($N69&gt;=Lists!$AG$2,IF($O69&gt;=Lists!$AG$4,"High Value / High Risk","High Value / Low Risk"),IF($O69&gt;=Lists!$AG$4,"Low Value / High Risk","Low Value / Low Risk")))</f>
        <v/>
      </c>
      <c r="AF69" s="101"/>
      <c r="AG69" s="126"/>
      <c r="AH69" s="106" t="str">
        <f aca="false">IF($B69="","",COUNTIFS('Debt Backlog'!$AF$2:$AF$1000,$A69,'Debt Backlog'!$B$2:$B$1000,"&lt;&gt;",'Debt Backlog'!$N$2:$N$1000,"&lt;&gt;Done",'Debt Backlog'!$N$2:$N$1000,"&lt;&gt;Won't Fix",'Debt Backlog'!$N$2:$N$1000,"&lt;&gt;Duplicate"))</f>
        <v/>
      </c>
      <c r="AI69" s="103" t="str">
        <f aca="false">IF($B69="","",ROUND(SUMIFS('Debt Backlog'!$L$2:$L$1000,'Debt Backlog'!$AF$2:$AF$1000,$A69,'Debt Backlog'!$B$2:$B$1000,"&lt;&gt;",'Debt Backlog'!$N$2:$N$1000,"&lt;&gt;Done",'Debt Backlog'!$N$2:$N$1000,"&lt;&gt;Won't Fix",'Debt Backlog'!$N$2:$N$1000,"&lt;&gt;Duplicate"),2))</f>
        <v/>
      </c>
    </row>
    <row r="70" customFormat="false" ht="15.75" hidden="false" customHeight="true" outlineLevel="0" collapsed="false">
      <c r="A70" s="125"/>
      <c r="B70" s="101"/>
      <c r="C70" s="101"/>
      <c r="D70" s="101"/>
      <c r="E70" s="101"/>
      <c r="F70" s="101"/>
      <c r="G70" s="101"/>
      <c r="H70" s="101"/>
      <c r="I70" s="106"/>
      <c r="J70" s="106"/>
      <c r="K70" s="106"/>
      <c r="L70" s="106"/>
      <c r="M70" s="106"/>
      <c r="N70" s="103" t="str">
        <f aca="false">IF(OR($B70="", $I70="", $J70="", $K70="", $L70="", $M70=""),"",ROUND(($I70*Lists!$AD$2)+($J70*Lists!$AD$3)+($K70*Lists!$AD$4)+($L70*Lists!$AD$5)+($M70*Lists!$AD$6),2))</f>
        <v/>
      </c>
      <c r="O70" s="103"/>
      <c r="P70" s="106"/>
      <c r="Q70" s="106"/>
      <c r="R70" s="106"/>
      <c r="S70" s="106"/>
      <c r="T70" s="103" t="str">
        <f aca="false">IF(OR($B70="", $P70="", $Q70="", $R70="", $S70=""),"",ROUND(($P70*Lists!$AD$7)+($Q70*Lists!$AD$8)+($R70*Lists!$AD$9)+($S70*Lists!$AD$10),2))</f>
        <v/>
      </c>
      <c r="U70" s="106"/>
      <c r="V70" s="106"/>
      <c r="W70" s="106"/>
      <c r="X70" s="106"/>
      <c r="Y70" s="106"/>
      <c r="Z70" s="103" t="str">
        <f aca="false">IF(OR($B70="", $U70="", $V70="", $W70="", $X70="", $Y70=""),"",ROUND(($U70*Lists!$AD$11)+($V70*Lists!$AD$12)+($W70*Lists!$AD$13)+($X70*Lists!$AD$14)+($Y70*Lists!$AD$15),2))</f>
        <v/>
      </c>
      <c r="AA70" s="103" t="str">
        <f aca="false">IF(OR($B70="", $N70="", $O70="", $T70="", $Z70=""),"",ROUND(($N70*Lists!$AD$16)-($O70*Lists!$AD$17)-($T70*Lists!$AD$18)+($Z70*Lists!$AD$19),2))</f>
        <v/>
      </c>
      <c r="AB70" s="102" t="str">
        <f aca="false">IF(OR($B70="", $N70="", $Z70=""),"",IF($N70&gt;=Lists!$AG$2,IF($Z70&gt;=Lists!$AG$3,"Invest","Migrate"),IF($Z70&gt;=Lists!$AG$3,"Tolerate","Eliminate")))</f>
        <v/>
      </c>
      <c r="AC70" s="102"/>
      <c r="AD70" s="102"/>
      <c r="AE70" s="102" t="str">
        <f aca="false">IF(OR($N70="", $O70=""),"",IF($N70&gt;=Lists!$AG$2,IF($O70&gt;=Lists!$AG$4,"High Value / High Risk","High Value / Low Risk"),IF($O70&gt;=Lists!$AG$4,"Low Value / High Risk","Low Value / Low Risk")))</f>
        <v/>
      </c>
      <c r="AF70" s="101"/>
      <c r="AG70" s="126"/>
      <c r="AH70" s="106" t="str">
        <f aca="false">IF($B70="","",COUNTIFS('Debt Backlog'!$AF$2:$AF$1000,$A70,'Debt Backlog'!$B$2:$B$1000,"&lt;&gt;",'Debt Backlog'!$N$2:$N$1000,"&lt;&gt;Done",'Debt Backlog'!$N$2:$N$1000,"&lt;&gt;Won't Fix",'Debt Backlog'!$N$2:$N$1000,"&lt;&gt;Duplicate"))</f>
        <v/>
      </c>
      <c r="AI70" s="103" t="str">
        <f aca="false">IF($B70="","",ROUND(SUMIFS('Debt Backlog'!$L$2:$L$1000,'Debt Backlog'!$AF$2:$AF$1000,$A70,'Debt Backlog'!$B$2:$B$1000,"&lt;&gt;",'Debt Backlog'!$N$2:$N$1000,"&lt;&gt;Done",'Debt Backlog'!$N$2:$N$1000,"&lt;&gt;Won't Fix",'Debt Backlog'!$N$2:$N$1000,"&lt;&gt;Duplicate"),2))</f>
        <v/>
      </c>
    </row>
    <row r="71" customFormat="false" ht="15.75" hidden="false" customHeight="true" outlineLevel="0" collapsed="false">
      <c r="A71" s="125"/>
      <c r="B71" s="101"/>
      <c r="C71" s="101"/>
      <c r="D71" s="101"/>
      <c r="E71" s="101"/>
      <c r="F71" s="101"/>
      <c r="G71" s="101"/>
      <c r="H71" s="101"/>
      <c r="I71" s="106"/>
      <c r="J71" s="106"/>
      <c r="K71" s="106"/>
      <c r="L71" s="106"/>
      <c r="M71" s="106"/>
      <c r="N71" s="103" t="str">
        <f aca="false">IF(OR($B71="", $I71="", $J71="", $K71="", $L71="", $M71=""),"",ROUND(($I71*Lists!$AD$2)+($J71*Lists!$AD$3)+($K71*Lists!$AD$4)+($L71*Lists!$AD$5)+($M71*Lists!$AD$6),2))</f>
        <v/>
      </c>
      <c r="O71" s="103"/>
      <c r="P71" s="106"/>
      <c r="Q71" s="106"/>
      <c r="R71" s="106"/>
      <c r="S71" s="106"/>
      <c r="T71" s="103" t="str">
        <f aca="false">IF(OR($B71="", $P71="", $Q71="", $R71="", $S71=""),"",ROUND(($P71*Lists!$AD$7)+($Q71*Lists!$AD$8)+($R71*Lists!$AD$9)+($S71*Lists!$AD$10),2))</f>
        <v/>
      </c>
      <c r="U71" s="106"/>
      <c r="V71" s="106"/>
      <c r="W71" s="106"/>
      <c r="X71" s="106"/>
      <c r="Y71" s="106"/>
      <c r="Z71" s="103" t="str">
        <f aca="false">IF(OR($B71="", $U71="", $V71="", $W71="", $X71="", $Y71=""),"",ROUND(($U71*Lists!$AD$11)+($V71*Lists!$AD$12)+($W71*Lists!$AD$13)+($X71*Lists!$AD$14)+($Y71*Lists!$AD$15),2))</f>
        <v/>
      </c>
      <c r="AA71" s="103" t="str">
        <f aca="false">IF(OR($B71="", $N71="", $O71="", $T71="", $Z71=""),"",ROUND(($N71*Lists!$AD$16)-($O71*Lists!$AD$17)-($T71*Lists!$AD$18)+($Z71*Lists!$AD$19),2))</f>
        <v/>
      </c>
      <c r="AB71" s="102" t="str">
        <f aca="false">IF(OR($B71="", $N71="", $Z71=""),"",IF($N71&gt;=Lists!$AG$2,IF($Z71&gt;=Lists!$AG$3,"Invest","Migrate"),IF($Z71&gt;=Lists!$AG$3,"Tolerate","Eliminate")))</f>
        <v/>
      </c>
      <c r="AC71" s="102"/>
      <c r="AD71" s="102"/>
      <c r="AE71" s="102" t="str">
        <f aca="false">IF(OR($N71="", $O71=""),"",IF($N71&gt;=Lists!$AG$2,IF($O71&gt;=Lists!$AG$4,"High Value / High Risk","High Value / Low Risk"),IF($O71&gt;=Lists!$AG$4,"Low Value / High Risk","Low Value / Low Risk")))</f>
        <v/>
      </c>
      <c r="AF71" s="101"/>
      <c r="AG71" s="126"/>
      <c r="AH71" s="106" t="str">
        <f aca="false">IF($B71="","",COUNTIFS('Debt Backlog'!$AF$2:$AF$1000,$A71,'Debt Backlog'!$B$2:$B$1000,"&lt;&gt;",'Debt Backlog'!$N$2:$N$1000,"&lt;&gt;Done",'Debt Backlog'!$N$2:$N$1000,"&lt;&gt;Won't Fix",'Debt Backlog'!$N$2:$N$1000,"&lt;&gt;Duplicate"))</f>
        <v/>
      </c>
      <c r="AI71" s="103" t="str">
        <f aca="false">IF($B71="","",ROUND(SUMIFS('Debt Backlog'!$L$2:$L$1000,'Debt Backlog'!$AF$2:$AF$1000,$A71,'Debt Backlog'!$B$2:$B$1000,"&lt;&gt;",'Debt Backlog'!$N$2:$N$1000,"&lt;&gt;Done",'Debt Backlog'!$N$2:$N$1000,"&lt;&gt;Won't Fix",'Debt Backlog'!$N$2:$N$1000,"&lt;&gt;Duplicate"),2))</f>
        <v/>
      </c>
    </row>
    <row r="72" customFormat="false" ht="15.75" hidden="false" customHeight="true" outlineLevel="0" collapsed="false">
      <c r="A72" s="125"/>
      <c r="B72" s="101"/>
      <c r="C72" s="101"/>
      <c r="D72" s="101"/>
      <c r="E72" s="101"/>
      <c r="F72" s="101"/>
      <c r="G72" s="101"/>
      <c r="H72" s="101"/>
      <c r="I72" s="106"/>
      <c r="J72" s="106"/>
      <c r="K72" s="106"/>
      <c r="L72" s="106"/>
      <c r="M72" s="106"/>
      <c r="N72" s="103" t="str">
        <f aca="false">IF(OR($B72="", $I72="", $J72="", $K72="", $L72="", $M72=""),"",ROUND(($I72*Lists!$AD$2)+($J72*Lists!$AD$3)+($K72*Lists!$AD$4)+($L72*Lists!$AD$5)+($M72*Lists!$AD$6),2))</f>
        <v/>
      </c>
      <c r="O72" s="103"/>
      <c r="P72" s="106"/>
      <c r="Q72" s="106"/>
      <c r="R72" s="106"/>
      <c r="S72" s="106"/>
      <c r="T72" s="103" t="str">
        <f aca="false">IF(OR($B72="", $P72="", $Q72="", $R72="", $S72=""),"",ROUND(($P72*Lists!$AD$7)+($Q72*Lists!$AD$8)+($R72*Lists!$AD$9)+($S72*Lists!$AD$10),2))</f>
        <v/>
      </c>
      <c r="U72" s="106"/>
      <c r="V72" s="106"/>
      <c r="W72" s="106"/>
      <c r="X72" s="106"/>
      <c r="Y72" s="106"/>
      <c r="Z72" s="103" t="str">
        <f aca="false">IF(OR($B72="", $U72="", $V72="", $W72="", $X72="", $Y72=""),"",ROUND(($U72*Lists!$AD$11)+($V72*Lists!$AD$12)+($W72*Lists!$AD$13)+($X72*Lists!$AD$14)+($Y72*Lists!$AD$15),2))</f>
        <v/>
      </c>
      <c r="AA72" s="103" t="str">
        <f aca="false">IF(OR($B72="", $N72="", $O72="", $T72="", $Z72=""),"",ROUND(($N72*Lists!$AD$16)-($O72*Lists!$AD$17)-($T72*Lists!$AD$18)+($Z72*Lists!$AD$19),2))</f>
        <v/>
      </c>
      <c r="AB72" s="102" t="str">
        <f aca="false">IF(OR($B72="", $N72="", $Z72=""),"",IF($N72&gt;=Lists!$AG$2,IF($Z72&gt;=Lists!$AG$3,"Invest","Migrate"),IF($Z72&gt;=Lists!$AG$3,"Tolerate","Eliminate")))</f>
        <v/>
      </c>
      <c r="AC72" s="102"/>
      <c r="AD72" s="102"/>
      <c r="AE72" s="102" t="str">
        <f aca="false">IF(OR($N72="", $O72=""),"",IF($N72&gt;=Lists!$AG$2,IF($O72&gt;=Lists!$AG$4,"High Value / High Risk","High Value / Low Risk"),IF($O72&gt;=Lists!$AG$4,"Low Value / High Risk","Low Value / Low Risk")))</f>
        <v/>
      </c>
      <c r="AF72" s="101"/>
      <c r="AG72" s="126"/>
      <c r="AH72" s="106" t="str">
        <f aca="false">IF($B72="","",COUNTIFS('Debt Backlog'!$AF$2:$AF$1000,$A72,'Debt Backlog'!$B$2:$B$1000,"&lt;&gt;",'Debt Backlog'!$N$2:$N$1000,"&lt;&gt;Done",'Debt Backlog'!$N$2:$N$1000,"&lt;&gt;Won't Fix",'Debt Backlog'!$N$2:$N$1000,"&lt;&gt;Duplicate"))</f>
        <v/>
      </c>
      <c r="AI72" s="103" t="str">
        <f aca="false">IF($B72="","",ROUND(SUMIFS('Debt Backlog'!$L$2:$L$1000,'Debt Backlog'!$AF$2:$AF$1000,$A72,'Debt Backlog'!$B$2:$B$1000,"&lt;&gt;",'Debt Backlog'!$N$2:$N$1000,"&lt;&gt;Done",'Debt Backlog'!$N$2:$N$1000,"&lt;&gt;Won't Fix",'Debt Backlog'!$N$2:$N$1000,"&lt;&gt;Duplicate"),2))</f>
        <v/>
      </c>
    </row>
    <row r="73" customFormat="false" ht="15.75" hidden="false" customHeight="true" outlineLevel="0" collapsed="false">
      <c r="A73" s="125"/>
      <c r="B73" s="101"/>
      <c r="C73" s="101"/>
      <c r="D73" s="101"/>
      <c r="E73" s="101"/>
      <c r="F73" s="101"/>
      <c r="G73" s="101"/>
      <c r="H73" s="101"/>
      <c r="I73" s="106"/>
      <c r="J73" s="106"/>
      <c r="K73" s="106"/>
      <c r="L73" s="106"/>
      <c r="M73" s="106"/>
      <c r="N73" s="103" t="str">
        <f aca="false">IF(OR($B73="", $I73="", $J73="", $K73="", $L73="", $M73=""),"",ROUND(($I73*Lists!$AD$2)+($J73*Lists!$AD$3)+($K73*Lists!$AD$4)+($L73*Lists!$AD$5)+($M73*Lists!$AD$6),2))</f>
        <v/>
      </c>
      <c r="O73" s="103"/>
      <c r="P73" s="106"/>
      <c r="Q73" s="106"/>
      <c r="R73" s="106"/>
      <c r="S73" s="106"/>
      <c r="T73" s="103" t="str">
        <f aca="false">IF(OR($B73="", $P73="", $Q73="", $R73="", $S73=""),"",ROUND(($P73*Lists!$AD$7)+($Q73*Lists!$AD$8)+($R73*Lists!$AD$9)+($S73*Lists!$AD$10),2))</f>
        <v/>
      </c>
      <c r="U73" s="106"/>
      <c r="V73" s="106"/>
      <c r="W73" s="106"/>
      <c r="X73" s="106"/>
      <c r="Y73" s="106"/>
      <c r="Z73" s="103" t="str">
        <f aca="false">IF(OR($B73="", $U73="", $V73="", $W73="", $X73="", $Y73=""),"",ROUND(($U73*Lists!$AD$11)+($V73*Lists!$AD$12)+($W73*Lists!$AD$13)+($X73*Lists!$AD$14)+($Y73*Lists!$AD$15),2))</f>
        <v/>
      </c>
      <c r="AA73" s="103" t="str">
        <f aca="false">IF(OR($B73="", $N73="", $O73="", $T73="", $Z73=""),"",ROUND(($N73*Lists!$AD$16)-($O73*Lists!$AD$17)-($T73*Lists!$AD$18)+($Z73*Lists!$AD$19),2))</f>
        <v/>
      </c>
      <c r="AB73" s="102" t="str">
        <f aca="false">IF(OR($B73="", $N73="", $Z73=""),"",IF($N73&gt;=Lists!$AG$2,IF($Z73&gt;=Lists!$AG$3,"Invest","Migrate"),IF($Z73&gt;=Lists!$AG$3,"Tolerate","Eliminate")))</f>
        <v/>
      </c>
      <c r="AC73" s="102"/>
      <c r="AD73" s="102"/>
      <c r="AE73" s="102" t="str">
        <f aca="false">IF(OR($N73="", $O73=""),"",IF($N73&gt;=Lists!$AG$2,IF($O73&gt;=Lists!$AG$4,"High Value / High Risk","High Value / Low Risk"),IF($O73&gt;=Lists!$AG$4,"Low Value / High Risk","Low Value / Low Risk")))</f>
        <v/>
      </c>
      <c r="AF73" s="101"/>
      <c r="AG73" s="126"/>
      <c r="AH73" s="106" t="str">
        <f aca="false">IF($B73="","",COUNTIFS('Debt Backlog'!$AF$2:$AF$1000,$A73,'Debt Backlog'!$B$2:$B$1000,"&lt;&gt;",'Debt Backlog'!$N$2:$N$1000,"&lt;&gt;Done",'Debt Backlog'!$N$2:$N$1000,"&lt;&gt;Won't Fix",'Debt Backlog'!$N$2:$N$1000,"&lt;&gt;Duplicate"))</f>
        <v/>
      </c>
      <c r="AI73" s="103" t="str">
        <f aca="false">IF($B73="","",ROUND(SUMIFS('Debt Backlog'!$L$2:$L$1000,'Debt Backlog'!$AF$2:$AF$1000,$A73,'Debt Backlog'!$B$2:$B$1000,"&lt;&gt;",'Debt Backlog'!$N$2:$N$1000,"&lt;&gt;Done",'Debt Backlog'!$N$2:$N$1000,"&lt;&gt;Won't Fix",'Debt Backlog'!$N$2:$N$1000,"&lt;&gt;Duplicate"),2))</f>
        <v/>
      </c>
    </row>
    <row r="74" customFormat="false" ht="15.75" hidden="false" customHeight="true" outlineLevel="0" collapsed="false">
      <c r="A74" s="125"/>
      <c r="B74" s="101"/>
      <c r="C74" s="101"/>
      <c r="D74" s="101"/>
      <c r="E74" s="101"/>
      <c r="F74" s="101"/>
      <c r="G74" s="101"/>
      <c r="H74" s="101"/>
      <c r="I74" s="106"/>
      <c r="J74" s="106"/>
      <c r="K74" s="106"/>
      <c r="L74" s="106"/>
      <c r="M74" s="106"/>
      <c r="N74" s="103" t="str">
        <f aca="false">IF(OR($B74="", $I74="", $J74="", $K74="", $L74="", $M74=""),"",ROUND(($I74*Lists!$AD$2)+($J74*Lists!$AD$3)+($K74*Lists!$AD$4)+($L74*Lists!$AD$5)+($M74*Lists!$AD$6),2))</f>
        <v/>
      </c>
      <c r="O74" s="103"/>
      <c r="P74" s="106"/>
      <c r="Q74" s="106"/>
      <c r="R74" s="106"/>
      <c r="S74" s="106"/>
      <c r="T74" s="103" t="str">
        <f aca="false">IF(OR($B74="", $P74="", $Q74="", $R74="", $S74=""),"",ROUND(($P74*Lists!$AD$7)+($Q74*Lists!$AD$8)+($R74*Lists!$AD$9)+($S74*Lists!$AD$10),2))</f>
        <v/>
      </c>
      <c r="U74" s="106"/>
      <c r="V74" s="106"/>
      <c r="W74" s="106"/>
      <c r="X74" s="106"/>
      <c r="Y74" s="106"/>
      <c r="Z74" s="103" t="str">
        <f aca="false">IF(OR($B74="", $U74="", $V74="", $W74="", $X74="", $Y74=""),"",ROUND(($U74*Lists!$AD$11)+($V74*Lists!$AD$12)+($W74*Lists!$AD$13)+($X74*Lists!$AD$14)+($Y74*Lists!$AD$15),2))</f>
        <v/>
      </c>
      <c r="AA74" s="103" t="str">
        <f aca="false">IF(OR($B74="", $N74="", $O74="", $T74="", $Z74=""),"",ROUND(($N74*Lists!$AD$16)-($O74*Lists!$AD$17)-($T74*Lists!$AD$18)+($Z74*Lists!$AD$19),2))</f>
        <v/>
      </c>
      <c r="AB74" s="102" t="str">
        <f aca="false">IF(OR($B74="", $N74="", $Z74=""),"",IF($N74&gt;=Lists!$AG$2,IF($Z74&gt;=Lists!$AG$3,"Invest","Migrate"),IF($Z74&gt;=Lists!$AG$3,"Tolerate","Eliminate")))</f>
        <v/>
      </c>
      <c r="AC74" s="102"/>
      <c r="AD74" s="102"/>
      <c r="AE74" s="102" t="str">
        <f aca="false">IF(OR($N74="", $O74=""),"",IF($N74&gt;=Lists!$AG$2,IF($O74&gt;=Lists!$AG$4,"High Value / High Risk","High Value / Low Risk"),IF($O74&gt;=Lists!$AG$4,"Low Value / High Risk","Low Value / Low Risk")))</f>
        <v/>
      </c>
      <c r="AF74" s="101"/>
      <c r="AG74" s="126"/>
      <c r="AH74" s="106" t="str">
        <f aca="false">IF($B74="","",COUNTIFS('Debt Backlog'!$AF$2:$AF$1000,$A74,'Debt Backlog'!$B$2:$B$1000,"&lt;&gt;",'Debt Backlog'!$N$2:$N$1000,"&lt;&gt;Done",'Debt Backlog'!$N$2:$N$1000,"&lt;&gt;Won't Fix",'Debt Backlog'!$N$2:$N$1000,"&lt;&gt;Duplicate"))</f>
        <v/>
      </c>
      <c r="AI74" s="103" t="str">
        <f aca="false">IF($B74="","",ROUND(SUMIFS('Debt Backlog'!$L$2:$L$1000,'Debt Backlog'!$AF$2:$AF$1000,$A74,'Debt Backlog'!$B$2:$B$1000,"&lt;&gt;",'Debt Backlog'!$N$2:$N$1000,"&lt;&gt;Done",'Debt Backlog'!$N$2:$N$1000,"&lt;&gt;Won't Fix",'Debt Backlog'!$N$2:$N$1000,"&lt;&gt;Duplicate"),2))</f>
        <v/>
      </c>
    </row>
    <row r="75" customFormat="false" ht="15.75" hidden="false" customHeight="true" outlineLevel="0" collapsed="false">
      <c r="A75" s="125"/>
      <c r="B75" s="101"/>
      <c r="C75" s="101"/>
      <c r="D75" s="101"/>
      <c r="E75" s="101"/>
      <c r="F75" s="101"/>
      <c r="G75" s="101"/>
      <c r="H75" s="101"/>
      <c r="I75" s="106"/>
      <c r="J75" s="106"/>
      <c r="K75" s="106"/>
      <c r="L75" s="106"/>
      <c r="M75" s="106"/>
      <c r="N75" s="103" t="str">
        <f aca="false">IF(OR($B75="", $I75="", $J75="", $K75="", $L75="", $M75=""),"",ROUND(($I75*Lists!$AD$2)+($J75*Lists!$AD$3)+($K75*Lists!$AD$4)+($L75*Lists!$AD$5)+($M75*Lists!$AD$6),2))</f>
        <v/>
      </c>
      <c r="O75" s="103"/>
      <c r="P75" s="106"/>
      <c r="Q75" s="106"/>
      <c r="R75" s="106"/>
      <c r="S75" s="106"/>
      <c r="T75" s="103" t="str">
        <f aca="false">IF(OR($B75="", $P75="", $Q75="", $R75="", $S75=""),"",ROUND(($P75*Lists!$AD$7)+($Q75*Lists!$AD$8)+($R75*Lists!$AD$9)+($S75*Lists!$AD$10),2))</f>
        <v/>
      </c>
      <c r="U75" s="106"/>
      <c r="V75" s="106"/>
      <c r="W75" s="106"/>
      <c r="X75" s="106"/>
      <c r="Y75" s="106"/>
      <c r="Z75" s="103" t="str">
        <f aca="false">IF(OR($B75="", $U75="", $V75="", $W75="", $X75="", $Y75=""),"",ROUND(($U75*Lists!$AD$11)+($V75*Lists!$AD$12)+($W75*Lists!$AD$13)+($X75*Lists!$AD$14)+($Y75*Lists!$AD$15),2))</f>
        <v/>
      </c>
      <c r="AA75" s="103" t="str">
        <f aca="false">IF(OR($B75="", $N75="", $O75="", $T75="", $Z75=""),"",ROUND(($N75*Lists!$AD$16)-($O75*Lists!$AD$17)-($T75*Lists!$AD$18)+($Z75*Lists!$AD$19),2))</f>
        <v/>
      </c>
      <c r="AB75" s="102" t="str">
        <f aca="false">IF(OR($B75="", $N75="", $Z75=""),"",IF($N75&gt;=Lists!$AG$2,IF($Z75&gt;=Lists!$AG$3,"Invest","Migrate"),IF($Z75&gt;=Lists!$AG$3,"Tolerate","Eliminate")))</f>
        <v/>
      </c>
      <c r="AC75" s="102"/>
      <c r="AD75" s="102"/>
      <c r="AE75" s="102" t="str">
        <f aca="false">IF(OR($N75="", $O75=""),"",IF($N75&gt;=Lists!$AG$2,IF($O75&gt;=Lists!$AG$4,"High Value / High Risk","High Value / Low Risk"),IF($O75&gt;=Lists!$AG$4,"Low Value / High Risk","Low Value / Low Risk")))</f>
        <v/>
      </c>
      <c r="AF75" s="101"/>
      <c r="AG75" s="126"/>
      <c r="AH75" s="106" t="str">
        <f aca="false">IF($B75="","",COUNTIFS('Debt Backlog'!$AF$2:$AF$1000,$A75,'Debt Backlog'!$B$2:$B$1000,"&lt;&gt;",'Debt Backlog'!$N$2:$N$1000,"&lt;&gt;Done",'Debt Backlog'!$N$2:$N$1000,"&lt;&gt;Won't Fix",'Debt Backlog'!$N$2:$N$1000,"&lt;&gt;Duplicate"))</f>
        <v/>
      </c>
      <c r="AI75" s="103" t="str">
        <f aca="false">IF($B75="","",ROUND(SUMIFS('Debt Backlog'!$L$2:$L$1000,'Debt Backlog'!$AF$2:$AF$1000,$A75,'Debt Backlog'!$B$2:$B$1000,"&lt;&gt;",'Debt Backlog'!$N$2:$N$1000,"&lt;&gt;Done",'Debt Backlog'!$N$2:$N$1000,"&lt;&gt;Won't Fix",'Debt Backlog'!$N$2:$N$1000,"&lt;&gt;Duplicate"),2))</f>
        <v/>
      </c>
    </row>
    <row r="76" customFormat="false" ht="15.75" hidden="false" customHeight="true" outlineLevel="0" collapsed="false">
      <c r="A76" s="125"/>
      <c r="B76" s="101"/>
      <c r="C76" s="101"/>
      <c r="D76" s="101"/>
      <c r="E76" s="101"/>
      <c r="F76" s="101"/>
      <c r="G76" s="101"/>
      <c r="H76" s="101"/>
      <c r="I76" s="106"/>
      <c r="J76" s="106"/>
      <c r="K76" s="106"/>
      <c r="L76" s="106"/>
      <c r="M76" s="106"/>
      <c r="N76" s="103" t="str">
        <f aca="false">IF(OR($B76="", $I76="", $J76="", $K76="", $L76="", $M76=""),"",ROUND(($I76*Lists!$AD$2)+($J76*Lists!$AD$3)+($K76*Lists!$AD$4)+($L76*Lists!$AD$5)+($M76*Lists!$AD$6),2))</f>
        <v/>
      </c>
      <c r="O76" s="103"/>
      <c r="P76" s="106"/>
      <c r="Q76" s="106"/>
      <c r="R76" s="106"/>
      <c r="S76" s="106"/>
      <c r="T76" s="103" t="str">
        <f aca="false">IF(OR($B76="", $P76="", $Q76="", $R76="", $S76=""),"",ROUND(($P76*Lists!$AD$7)+($Q76*Lists!$AD$8)+($R76*Lists!$AD$9)+($S76*Lists!$AD$10),2))</f>
        <v/>
      </c>
      <c r="U76" s="106"/>
      <c r="V76" s="106"/>
      <c r="W76" s="106"/>
      <c r="X76" s="106"/>
      <c r="Y76" s="106"/>
      <c r="Z76" s="103" t="str">
        <f aca="false">IF(OR($B76="", $U76="", $V76="", $W76="", $X76="", $Y76=""),"",ROUND(($U76*Lists!$AD$11)+($V76*Lists!$AD$12)+($W76*Lists!$AD$13)+($X76*Lists!$AD$14)+($Y76*Lists!$AD$15),2))</f>
        <v/>
      </c>
      <c r="AA76" s="103" t="str">
        <f aca="false">IF(OR($B76="", $N76="", $O76="", $T76="", $Z76=""),"",ROUND(($N76*Lists!$AD$16)-($O76*Lists!$AD$17)-($T76*Lists!$AD$18)+($Z76*Lists!$AD$19),2))</f>
        <v/>
      </c>
      <c r="AB76" s="102" t="str">
        <f aca="false">IF(OR($B76="", $N76="", $Z76=""),"",IF($N76&gt;=Lists!$AG$2,IF($Z76&gt;=Lists!$AG$3,"Invest","Migrate"),IF($Z76&gt;=Lists!$AG$3,"Tolerate","Eliminate")))</f>
        <v/>
      </c>
      <c r="AC76" s="102"/>
      <c r="AD76" s="102"/>
      <c r="AE76" s="102" t="str">
        <f aca="false">IF(OR($N76="", $O76=""),"",IF($N76&gt;=Lists!$AG$2,IF($O76&gt;=Lists!$AG$4,"High Value / High Risk","High Value / Low Risk"),IF($O76&gt;=Lists!$AG$4,"Low Value / High Risk","Low Value / Low Risk")))</f>
        <v/>
      </c>
      <c r="AF76" s="101"/>
      <c r="AG76" s="126"/>
      <c r="AH76" s="106" t="str">
        <f aca="false">IF($B76="","",COUNTIFS('Debt Backlog'!$AF$2:$AF$1000,$A76,'Debt Backlog'!$B$2:$B$1000,"&lt;&gt;",'Debt Backlog'!$N$2:$N$1000,"&lt;&gt;Done",'Debt Backlog'!$N$2:$N$1000,"&lt;&gt;Won't Fix",'Debt Backlog'!$N$2:$N$1000,"&lt;&gt;Duplicate"))</f>
        <v/>
      </c>
      <c r="AI76" s="103" t="str">
        <f aca="false">IF($B76="","",ROUND(SUMIFS('Debt Backlog'!$L$2:$L$1000,'Debt Backlog'!$AF$2:$AF$1000,$A76,'Debt Backlog'!$B$2:$B$1000,"&lt;&gt;",'Debt Backlog'!$N$2:$N$1000,"&lt;&gt;Done",'Debt Backlog'!$N$2:$N$1000,"&lt;&gt;Won't Fix",'Debt Backlog'!$N$2:$N$1000,"&lt;&gt;Duplicate"),2))</f>
        <v/>
      </c>
    </row>
    <row r="77" customFormat="false" ht="15.75" hidden="false" customHeight="true" outlineLevel="0" collapsed="false">
      <c r="A77" s="125"/>
      <c r="B77" s="101"/>
      <c r="C77" s="101"/>
      <c r="D77" s="101"/>
      <c r="E77" s="101"/>
      <c r="F77" s="101"/>
      <c r="G77" s="101"/>
      <c r="H77" s="101"/>
      <c r="I77" s="106"/>
      <c r="J77" s="106"/>
      <c r="K77" s="106"/>
      <c r="L77" s="106"/>
      <c r="M77" s="106"/>
      <c r="N77" s="103" t="str">
        <f aca="false">IF(OR($B77="", $I77="", $J77="", $K77="", $L77="", $M77=""),"",ROUND(($I77*Lists!$AD$2)+($J77*Lists!$AD$3)+($K77*Lists!$AD$4)+($L77*Lists!$AD$5)+($M77*Lists!$AD$6),2))</f>
        <v/>
      </c>
      <c r="O77" s="103"/>
      <c r="P77" s="106"/>
      <c r="Q77" s="106"/>
      <c r="R77" s="106"/>
      <c r="S77" s="106"/>
      <c r="T77" s="103" t="str">
        <f aca="false">IF(OR($B77="", $P77="", $Q77="", $R77="", $S77=""),"",ROUND(($P77*Lists!$AD$7)+($Q77*Lists!$AD$8)+($R77*Lists!$AD$9)+($S77*Lists!$AD$10),2))</f>
        <v/>
      </c>
      <c r="U77" s="106"/>
      <c r="V77" s="106"/>
      <c r="W77" s="106"/>
      <c r="X77" s="106"/>
      <c r="Y77" s="106"/>
      <c r="Z77" s="103" t="str">
        <f aca="false">IF(OR($B77="", $U77="", $V77="", $W77="", $X77="", $Y77=""),"",ROUND(($U77*Lists!$AD$11)+($V77*Lists!$AD$12)+($W77*Lists!$AD$13)+($X77*Lists!$AD$14)+($Y77*Lists!$AD$15),2))</f>
        <v/>
      </c>
      <c r="AA77" s="103" t="str">
        <f aca="false">IF(OR($B77="", $N77="", $O77="", $T77="", $Z77=""),"",ROUND(($N77*Lists!$AD$16)-($O77*Lists!$AD$17)-($T77*Lists!$AD$18)+($Z77*Lists!$AD$19),2))</f>
        <v/>
      </c>
      <c r="AB77" s="102" t="str">
        <f aca="false">IF(OR($B77="", $N77="", $Z77=""),"",IF($N77&gt;=Lists!$AG$2,IF($Z77&gt;=Lists!$AG$3,"Invest","Migrate"),IF($Z77&gt;=Lists!$AG$3,"Tolerate","Eliminate")))</f>
        <v/>
      </c>
      <c r="AC77" s="102"/>
      <c r="AD77" s="102"/>
      <c r="AE77" s="102" t="str">
        <f aca="false">IF(OR($N77="", $O77=""),"",IF($N77&gt;=Lists!$AG$2,IF($O77&gt;=Lists!$AG$4,"High Value / High Risk","High Value / Low Risk"),IF($O77&gt;=Lists!$AG$4,"Low Value / High Risk","Low Value / Low Risk")))</f>
        <v/>
      </c>
      <c r="AF77" s="101"/>
      <c r="AG77" s="126"/>
      <c r="AH77" s="106" t="str">
        <f aca="false">IF($B77="","",COUNTIFS('Debt Backlog'!$AF$2:$AF$1000,$A77,'Debt Backlog'!$B$2:$B$1000,"&lt;&gt;",'Debt Backlog'!$N$2:$N$1000,"&lt;&gt;Done",'Debt Backlog'!$N$2:$N$1000,"&lt;&gt;Won't Fix",'Debt Backlog'!$N$2:$N$1000,"&lt;&gt;Duplicate"))</f>
        <v/>
      </c>
      <c r="AI77" s="103" t="str">
        <f aca="false">IF($B77="","",ROUND(SUMIFS('Debt Backlog'!$L$2:$L$1000,'Debt Backlog'!$AF$2:$AF$1000,$A77,'Debt Backlog'!$B$2:$B$1000,"&lt;&gt;",'Debt Backlog'!$N$2:$N$1000,"&lt;&gt;Done",'Debt Backlog'!$N$2:$N$1000,"&lt;&gt;Won't Fix",'Debt Backlog'!$N$2:$N$1000,"&lt;&gt;Duplicate"),2))</f>
        <v/>
      </c>
    </row>
    <row r="78" customFormat="false" ht="15.75" hidden="false" customHeight="true" outlineLevel="0" collapsed="false">
      <c r="A78" s="125"/>
      <c r="B78" s="101"/>
      <c r="C78" s="101"/>
      <c r="D78" s="101"/>
      <c r="E78" s="101"/>
      <c r="F78" s="101"/>
      <c r="G78" s="101"/>
      <c r="H78" s="101"/>
      <c r="I78" s="106"/>
      <c r="J78" s="106"/>
      <c r="K78" s="106"/>
      <c r="L78" s="106"/>
      <c r="M78" s="106"/>
      <c r="N78" s="103" t="str">
        <f aca="false">IF(OR($B78="", $I78="", $J78="", $K78="", $L78="", $M78=""),"",ROUND(($I78*Lists!$AD$2)+($J78*Lists!$AD$3)+($K78*Lists!$AD$4)+($L78*Lists!$AD$5)+($M78*Lists!$AD$6),2))</f>
        <v/>
      </c>
      <c r="O78" s="103"/>
      <c r="P78" s="106"/>
      <c r="Q78" s="106"/>
      <c r="R78" s="106"/>
      <c r="S78" s="106"/>
      <c r="T78" s="103" t="str">
        <f aca="false">IF(OR($B78="", $P78="", $Q78="", $R78="", $S78=""),"",ROUND(($P78*Lists!$AD$7)+($Q78*Lists!$AD$8)+($R78*Lists!$AD$9)+($S78*Lists!$AD$10),2))</f>
        <v/>
      </c>
      <c r="U78" s="106"/>
      <c r="V78" s="106"/>
      <c r="W78" s="106"/>
      <c r="X78" s="106"/>
      <c r="Y78" s="106"/>
      <c r="Z78" s="103" t="str">
        <f aca="false">IF(OR($B78="", $U78="", $V78="", $W78="", $X78="", $Y78=""),"",ROUND(($U78*Lists!$AD$11)+($V78*Lists!$AD$12)+($W78*Lists!$AD$13)+($X78*Lists!$AD$14)+($Y78*Lists!$AD$15),2))</f>
        <v/>
      </c>
      <c r="AA78" s="103" t="str">
        <f aca="false">IF(OR($B78="", $N78="", $O78="", $T78="", $Z78=""),"",ROUND(($N78*Lists!$AD$16)-($O78*Lists!$AD$17)-($T78*Lists!$AD$18)+($Z78*Lists!$AD$19),2))</f>
        <v/>
      </c>
      <c r="AB78" s="102" t="str">
        <f aca="false">IF(OR($B78="", $N78="", $Z78=""),"",IF($N78&gt;=Lists!$AG$2,IF($Z78&gt;=Lists!$AG$3,"Invest","Migrate"),IF($Z78&gt;=Lists!$AG$3,"Tolerate","Eliminate")))</f>
        <v/>
      </c>
      <c r="AC78" s="102"/>
      <c r="AD78" s="102"/>
      <c r="AE78" s="102" t="str">
        <f aca="false">IF(OR($N78="", $O78=""),"",IF($N78&gt;=Lists!$AG$2,IF($O78&gt;=Lists!$AG$4,"High Value / High Risk","High Value / Low Risk"),IF($O78&gt;=Lists!$AG$4,"Low Value / High Risk","Low Value / Low Risk")))</f>
        <v/>
      </c>
      <c r="AF78" s="101"/>
      <c r="AG78" s="126"/>
      <c r="AH78" s="106" t="str">
        <f aca="false">IF($B78="","",COUNTIFS('Debt Backlog'!$AF$2:$AF$1000,$A78,'Debt Backlog'!$B$2:$B$1000,"&lt;&gt;",'Debt Backlog'!$N$2:$N$1000,"&lt;&gt;Done",'Debt Backlog'!$N$2:$N$1000,"&lt;&gt;Won't Fix",'Debt Backlog'!$N$2:$N$1000,"&lt;&gt;Duplicate"))</f>
        <v/>
      </c>
      <c r="AI78" s="103" t="str">
        <f aca="false">IF($B78="","",ROUND(SUMIFS('Debt Backlog'!$L$2:$L$1000,'Debt Backlog'!$AF$2:$AF$1000,$A78,'Debt Backlog'!$B$2:$B$1000,"&lt;&gt;",'Debt Backlog'!$N$2:$N$1000,"&lt;&gt;Done",'Debt Backlog'!$N$2:$N$1000,"&lt;&gt;Won't Fix",'Debt Backlog'!$N$2:$N$1000,"&lt;&gt;Duplicate"),2))</f>
        <v/>
      </c>
    </row>
    <row r="79" customFormat="false" ht="15.75" hidden="false" customHeight="true" outlineLevel="0" collapsed="false">
      <c r="A79" s="125"/>
      <c r="B79" s="101"/>
      <c r="C79" s="101"/>
      <c r="D79" s="101"/>
      <c r="E79" s="101"/>
      <c r="F79" s="101"/>
      <c r="G79" s="101"/>
      <c r="H79" s="101"/>
      <c r="I79" s="106"/>
      <c r="J79" s="106"/>
      <c r="K79" s="106"/>
      <c r="L79" s="106"/>
      <c r="M79" s="106"/>
      <c r="N79" s="103" t="str">
        <f aca="false">IF(OR($B79="", $I79="", $J79="", $K79="", $L79="", $M79=""),"",ROUND(($I79*Lists!$AD$2)+($J79*Lists!$AD$3)+($K79*Lists!$AD$4)+($L79*Lists!$AD$5)+($M79*Lists!$AD$6),2))</f>
        <v/>
      </c>
      <c r="O79" s="103"/>
      <c r="P79" s="106"/>
      <c r="Q79" s="106"/>
      <c r="R79" s="106"/>
      <c r="S79" s="106"/>
      <c r="T79" s="103" t="str">
        <f aca="false">IF(OR($B79="", $P79="", $Q79="", $R79="", $S79=""),"",ROUND(($P79*Lists!$AD$7)+($Q79*Lists!$AD$8)+($R79*Lists!$AD$9)+($S79*Lists!$AD$10),2))</f>
        <v/>
      </c>
      <c r="U79" s="106"/>
      <c r="V79" s="106"/>
      <c r="W79" s="106"/>
      <c r="X79" s="106"/>
      <c r="Y79" s="106"/>
      <c r="Z79" s="103" t="str">
        <f aca="false">IF(OR($B79="", $U79="", $V79="", $W79="", $X79="", $Y79=""),"",ROUND(($U79*Lists!$AD$11)+($V79*Lists!$AD$12)+($W79*Lists!$AD$13)+($X79*Lists!$AD$14)+($Y79*Lists!$AD$15),2))</f>
        <v/>
      </c>
      <c r="AA79" s="103" t="str">
        <f aca="false">IF(OR($B79="", $N79="", $O79="", $T79="", $Z79=""),"",ROUND(($N79*Lists!$AD$16)-($O79*Lists!$AD$17)-($T79*Lists!$AD$18)+($Z79*Lists!$AD$19),2))</f>
        <v/>
      </c>
      <c r="AB79" s="102" t="str">
        <f aca="false">IF(OR($B79="", $N79="", $Z79=""),"",IF($N79&gt;=Lists!$AG$2,IF($Z79&gt;=Lists!$AG$3,"Invest","Migrate"),IF($Z79&gt;=Lists!$AG$3,"Tolerate","Eliminate")))</f>
        <v/>
      </c>
      <c r="AC79" s="102"/>
      <c r="AD79" s="102"/>
      <c r="AE79" s="102" t="str">
        <f aca="false">IF(OR($N79="", $O79=""),"",IF($N79&gt;=Lists!$AG$2,IF($O79&gt;=Lists!$AG$4,"High Value / High Risk","High Value / Low Risk"),IF($O79&gt;=Lists!$AG$4,"Low Value / High Risk","Low Value / Low Risk")))</f>
        <v/>
      </c>
      <c r="AF79" s="101"/>
      <c r="AG79" s="126"/>
      <c r="AH79" s="106" t="str">
        <f aca="false">IF($B79="","",COUNTIFS('Debt Backlog'!$AF$2:$AF$1000,$A79,'Debt Backlog'!$B$2:$B$1000,"&lt;&gt;",'Debt Backlog'!$N$2:$N$1000,"&lt;&gt;Done",'Debt Backlog'!$N$2:$N$1000,"&lt;&gt;Won't Fix",'Debt Backlog'!$N$2:$N$1000,"&lt;&gt;Duplicate"))</f>
        <v/>
      </c>
      <c r="AI79" s="103" t="str">
        <f aca="false">IF($B79="","",ROUND(SUMIFS('Debt Backlog'!$L$2:$L$1000,'Debt Backlog'!$AF$2:$AF$1000,$A79,'Debt Backlog'!$B$2:$B$1000,"&lt;&gt;",'Debt Backlog'!$N$2:$N$1000,"&lt;&gt;Done",'Debt Backlog'!$N$2:$N$1000,"&lt;&gt;Won't Fix",'Debt Backlog'!$N$2:$N$1000,"&lt;&gt;Duplicate"),2))</f>
        <v/>
      </c>
    </row>
    <row r="80" customFormat="false" ht="15.75" hidden="false" customHeight="true" outlineLevel="0" collapsed="false">
      <c r="A80" s="125"/>
      <c r="B80" s="101"/>
      <c r="C80" s="101"/>
      <c r="D80" s="101"/>
      <c r="E80" s="101"/>
      <c r="F80" s="101"/>
      <c r="G80" s="101"/>
      <c r="H80" s="101"/>
      <c r="I80" s="106"/>
      <c r="J80" s="106"/>
      <c r="K80" s="106"/>
      <c r="L80" s="106"/>
      <c r="M80" s="106"/>
      <c r="N80" s="103" t="str">
        <f aca="false">IF(OR($B80="", $I80="", $J80="", $K80="", $L80="", $M80=""),"",ROUND(($I80*Lists!$AD$2)+($J80*Lists!$AD$3)+($K80*Lists!$AD$4)+($L80*Lists!$AD$5)+($M80*Lists!$AD$6),2))</f>
        <v/>
      </c>
      <c r="O80" s="103"/>
      <c r="P80" s="106"/>
      <c r="Q80" s="106"/>
      <c r="R80" s="106"/>
      <c r="S80" s="106"/>
      <c r="T80" s="103" t="str">
        <f aca="false">IF(OR($B80="", $P80="", $Q80="", $R80="", $S80=""),"",ROUND(($P80*Lists!$AD$7)+($Q80*Lists!$AD$8)+($R80*Lists!$AD$9)+($S80*Lists!$AD$10),2))</f>
        <v/>
      </c>
      <c r="U80" s="106"/>
      <c r="V80" s="106"/>
      <c r="W80" s="106"/>
      <c r="X80" s="106"/>
      <c r="Y80" s="106"/>
      <c r="Z80" s="103" t="str">
        <f aca="false">IF(OR($B80="", $U80="", $V80="", $W80="", $X80="", $Y80=""),"",ROUND(($U80*Lists!$AD$11)+($V80*Lists!$AD$12)+($W80*Lists!$AD$13)+($X80*Lists!$AD$14)+($Y80*Lists!$AD$15),2))</f>
        <v/>
      </c>
      <c r="AA80" s="103" t="str">
        <f aca="false">IF(OR($B80="", $N80="", $O80="", $T80="", $Z80=""),"",ROUND(($N80*Lists!$AD$16)-($O80*Lists!$AD$17)-($T80*Lists!$AD$18)+($Z80*Lists!$AD$19),2))</f>
        <v/>
      </c>
      <c r="AB80" s="102" t="str">
        <f aca="false">IF(OR($B80="", $N80="", $Z80=""),"",IF($N80&gt;=Lists!$AG$2,IF($Z80&gt;=Lists!$AG$3,"Invest","Migrate"),IF($Z80&gt;=Lists!$AG$3,"Tolerate","Eliminate")))</f>
        <v/>
      </c>
      <c r="AC80" s="102"/>
      <c r="AD80" s="102"/>
      <c r="AE80" s="102" t="str">
        <f aca="false">IF(OR($N80="", $O80=""),"",IF($N80&gt;=Lists!$AG$2,IF($O80&gt;=Lists!$AG$4,"High Value / High Risk","High Value / Low Risk"),IF($O80&gt;=Lists!$AG$4,"Low Value / High Risk","Low Value / Low Risk")))</f>
        <v/>
      </c>
      <c r="AF80" s="101"/>
      <c r="AG80" s="126"/>
      <c r="AH80" s="106" t="str">
        <f aca="false">IF($B80="","",COUNTIFS('Debt Backlog'!$AF$2:$AF$1000,$A80,'Debt Backlog'!$B$2:$B$1000,"&lt;&gt;",'Debt Backlog'!$N$2:$N$1000,"&lt;&gt;Done",'Debt Backlog'!$N$2:$N$1000,"&lt;&gt;Won't Fix",'Debt Backlog'!$N$2:$N$1000,"&lt;&gt;Duplicate"))</f>
        <v/>
      </c>
      <c r="AI80" s="103" t="str">
        <f aca="false">IF($B80="","",ROUND(SUMIFS('Debt Backlog'!$L$2:$L$1000,'Debt Backlog'!$AF$2:$AF$1000,$A80,'Debt Backlog'!$B$2:$B$1000,"&lt;&gt;",'Debt Backlog'!$N$2:$N$1000,"&lt;&gt;Done",'Debt Backlog'!$N$2:$N$1000,"&lt;&gt;Won't Fix",'Debt Backlog'!$N$2:$N$1000,"&lt;&gt;Duplicate"),2))</f>
        <v/>
      </c>
    </row>
    <row r="81" customFormat="false" ht="15.75" hidden="false" customHeight="true" outlineLevel="0" collapsed="false">
      <c r="A81" s="125"/>
      <c r="B81" s="101"/>
      <c r="C81" s="101"/>
      <c r="D81" s="101"/>
      <c r="E81" s="101"/>
      <c r="F81" s="101"/>
      <c r="G81" s="101"/>
      <c r="H81" s="101"/>
      <c r="I81" s="106"/>
      <c r="J81" s="106"/>
      <c r="K81" s="106"/>
      <c r="L81" s="106"/>
      <c r="M81" s="106"/>
      <c r="N81" s="103" t="str">
        <f aca="false">IF(OR($B81="", $I81="", $J81="", $K81="", $L81="", $M81=""),"",ROUND(($I81*Lists!$AD$2)+($J81*Lists!$AD$3)+($K81*Lists!$AD$4)+($L81*Lists!$AD$5)+($M81*Lists!$AD$6),2))</f>
        <v/>
      </c>
      <c r="O81" s="103"/>
      <c r="P81" s="106"/>
      <c r="Q81" s="106"/>
      <c r="R81" s="106"/>
      <c r="S81" s="106"/>
      <c r="T81" s="103" t="str">
        <f aca="false">IF(OR($B81="", $P81="", $Q81="", $R81="", $S81=""),"",ROUND(($P81*Lists!$AD$7)+($Q81*Lists!$AD$8)+($R81*Lists!$AD$9)+($S81*Lists!$AD$10),2))</f>
        <v/>
      </c>
      <c r="U81" s="106"/>
      <c r="V81" s="106"/>
      <c r="W81" s="106"/>
      <c r="X81" s="106"/>
      <c r="Y81" s="106"/>
      <c r="Z81" s="103" t="str">
        <f aca="false">IF(OR($B81="", $U81="", $V81="", $W81="", $X81="", $Y81=""),"",ROUND(($U81*Lists!$AD$11)+($V81*Lists!$AD$12)+($W81*Lists!$AD$13)+($X81*Lists!$AD$14)+($Y81*Lists!$AD$15),2))</f>
        <v/>
      </c>
      <c r="AA81" s="103" t="str">
        <f aca="false">IF(OR($B81="", $N81="", $O81="", $T81="", $Z81=""),"",ROUND(($N81*Lists!$AD$16)-($O81*Lists!$AD$17)-($T81*Lists!$AD$18)+($Z81*Lists!$AD$19),2))</f>
        <v/>
      </c>
      <c r="AB81" s="102" t="str">
        <f aca="false">IF(OR($B81="", $N81="", $Z81=""),"",IF($N81&gt;=Lists!$AG$2,IF($Z81&gt;=Lists!$AG$3,"Invest","Migrate"),IF($Z81&gt;=Lists!$AG$3,"Tolerate","Eliminate")))</f>
        <v/>
      </c>
      <c r="AC81" s="102"/>
      <c r="AD81" s="102"/>
      <c r="AE81" s="102" t="str">
        <f aca="false">IF(OR($N81="", $O81=""),"",IF($N81&gt;=Lists!$AG$2,IF($O81&gt;=Lists!$AG$4,"High Value / High Risk","High Value / Low Risk"),IF($O81&gt;=Lists!$AG$4,"Low Value / High Risk","Low Value / Low Risk")))</f>
        <v/>
      </c>
      <c r="AF81" s="101"/>
      <c r="AG81" s="126"/>
      <c r="AH81" s="106" t="str">
        <f aca="false">IF($B81="","",COUNTIFS('Debt Backlog'!$AF$2:$AF$1000,$A81,'Debt Backlog'!$B$2:$B$1000,"&lt;&gt;",'Debt Backlog'!$N$2:$N$1000,"&lt;&gt;Done",'Debt Backlog'!$N$2:$N$1000,"&lt;&gt;Won't Fix",'Debt Backlog'!$N$2:$N$1000,"&lt;&gt;Duplicate"))</f>
        <v/>
      </c>
      <c r="AI81" s="103" t="str">
        <f aca="false">IF($B81="","",ROUND(SUMIFS('Debt Backlog'!$L$2:$L$1000,'Debt Backlog'!$AF$2:$AF$1000,$A81,'Debt Backlog'!$B$2:$B$1000,"&lt;&gt;",'Debt Backlog'!$N$2:$N$1000,"&lt;&gt;Done",'Debt Backlog'!$N$2:$N$1000,"&lt;&gt;Won't Fix",'Debt Backlog'!$N$2:$N$1000,"&lt;&gt;Duplicate"),2))</f>
        <v/>
      </c>
    </row>
    <row r="82" customFormat="false" ht="15.75" hidden="false" customHeight="true" outlineLevel="0" collapsed="false">
      <c r="A82" s="125"/>
      <c r="B82" s="101"/>
      <c r="C82" s="101"/>
      <c r="D82" s="101"/>
      <c r="E82" s="101"/>
      <c r="F82" s="101"/>
      <c r="G82" s="101"/>
      <c r="H82" s="101"/>
      <c r="I82" s="106"/>
      <c r="J82" s="106"/>
      <c r="K82" s="106"/>
      <c r="L82" s="106"/>
      <c r="M82" s="106"/>
      <c r="N82" s="103" t="str">
        <f aca="false">IF(OR($B82="", $I82="", $J82="", $K82="", $L82="", $M82=""),"",ROUND(($I82*Lists!$AD$2)+($J82*Lists!$AD$3)+($K82*Lists!$AD$4)+($L82*Lists!$AD$5)+($M82*Lists!$AD$6),2))</f>
        <v/>
      </c>
      <c r="O82" s="103"/>
      <c r="P82" s="106"/>
      <c r="Q82" s="106"/>
      <c r="R82" s="106"/>
      <c r="S82" s="106"/>
      <c r="T82" s="103" t="str">
        <f aca="false">IF(OR($B82="", $P82="", $Q82="", $R82="", $S82=""),"",ROUND(($P82*Lists!$AD$7)+($Q82*Lists!$AD$8)+($R82*Lists!$AD$9)+($S82*Lists!$AD$10),2))</f>
        <v/>
      </c>
      <c r="U82" s="106"/>
      <c r="V82" s="106"/>
      <c r="W82" s="106"/>
      <c r="X82" s="106"/>
      <c r="Y82" s="106"/>
      <c r="Z82" s="103" t="str">
        <f aca="false">IF(OR($B82="", $U82="", $V82="", $W82="", $X82="", $Y82=""),"",ROUND(($U82*Lists!$AD$11)+($V82*Lists!$AD$12)+($W82*Lists!$AD$13)+($X82*Lists!$AD$14)+($Y82*Lists!$AD$15),2))</f>
        <v/>
      </c>
      <c r="AA82" s="103" t="str">
        <f aca="false">IF(OR($B82="", $N82="", $O82="", $T82="", $Z82=""),"",ROUND(($N82*Lists!$AD$16)-($O82*Lists!$AD$17)-($T82*Lists!$AD$18)+($Z82*Lists!$AD$19),2))</f>
        <v/>
      </c>
      <c r="AB82" s="102" t="str">
        <f aca="false">IF(OR($B82="", $N82="", $Z82=""),"",IF($N82&gt;=Lists!$AG$2,IF($Z82&gt;=Lists!$AG$3,"Invest","Migrate"),IF($Z82&gt;=Lists!$AG$3,"Tolerate","Eliminate")))</f>
        <v/>
      </c>
      <c r="AC82" s="102"/>
      <c r="AD82" s="102"/>
      <c r="AE82" s="102" t="str">
        <f aca="false">IF(OR($N82="", $O82=""),"",IF($N82&gt;=Lists!$AG$2,IF($O82&gt;=Lists!$AG$4,"High Value / High Risk","High Value / Low Risk"),IF($O82&gt;=Lists!$AG$4,"Low Value / High Risk","Low Value / Low Risk")))</f>
        <v/>
      </c>
      <c r="AF82" s="101"/>
      <c r="AG82" s="126"/>
      <c r="AH82" s="106" t="str">
        <f aca="false">IF($B82="","",COUNTIFS('Debt Backlog'!$AF$2:$AF$1000,$A82,'Debt Backlog'!$B$2:$B$1000,"&lt;&gt;",'Debt Backlog'!$N$2:$N$1000,"&lt;&gt;Done",'Debt Backlog'!$N$2:$N$1000,"&lt;&gt;Won't Fix",'Debt Backlog'!$N$2:$N$1000,"&lt;&gt;Duplicate"))</f>
        <v/>
      </c>
      <c r="AI82" s="103" t="str">
        <f aca="false">IF($B82="","",ROUND(SUMIFS('Debt Backlog'!$L$2:$L$1000,'Debt Backlog'!$AF$2:$AF$1000,$A82,'Debt Backlog'!$B$2:$B$1000,"&lt;&gt;",'Debt Backlog'!$N$2:$N$1000,"&lt;&gt;Done",'Debt Backlog'!$N$2:$N$1000,"&lt;&gt;Won't Fix",'Debt Backlog'!$N$2:$N$1000,"&lt;&gt;Duplicate"),2))</f>
        <v/>
      </c>
    </row>
    <row r="83" customFormat="false" ht="15.75" hidden="false" customHeight="true" outlineLevel="0" collapsed="false">
      <c r="A83" s="125"/>
      <c r="B83" s="101"/>
      <c r="C83" s="101"/>
      <c r="D83" s="101"/>
      <c r="E83" s="101"/>
      <c r="F83" s="101"/>
      <c r="G83" s="101"/>
      <c r="H83" s="101"/>
      <c r="I83" s="106"/>
      <c r="J83" s="106"/>
      <c r="K83" s="106"/>
      <c r="L83" s="106"/>
      <c r="M83" s="106"/>
      <c r="N83" s="103" t="str">
        <f aca="false">IF(OR($B83="", $I83="", $J83="", $K83="", $L83="", $M83=""),"",ROUND(($I83*Lists!$AD$2)+($J83*Lists!$AD$3)+($K83*Lists!$AD$4)+($L83*Lists!$AD$5)+($M83*Lists!$AD$6),2))</f>
        <v/>
      </c>
      <c r="O83" s="103"/>
      <c r="P83" s="106"/>
      <c r="Q83" s="106"/>
      <c r="R83" s="106"/>
      <c r="S83" s="106"/>
      <c r="T83" s="103" t="str">
        <f aca="false">IF(OR($B83="", $P83="", $Q83="", $R83="", $S83=""),"",ROUND(($P83*Lists!$AD$7)+($Q83*Lists!$AD$8)+($R83*Lists!$AD$9)+($S83*Lists!$AD$10),2))</f>
        <v/>
      </c>
      <c r="U83" s="106"/>
      <c r="V83" s="106"/>
      <c r="W83" s="106"/>
      <c r="X83" s="106"/>
      <c r="Y83" s="106"/>
      <c r="Z83" s="103" t="str">
        <f aca="false">IF(OR($B83="", $U83="", $V83="", $W83="", $X83="", $Y83=""),"",ROUND(($U83*Lists!$AD$11)+($V83*Lists!$AD$12)+($W83*Lists!$AD$13)+($X83*Lists!$AD$14)+($Y83*Lists!$AD$15),2))</f>
        <v/>
      </c>
      <c r="AA83" s="103" t="str">
        <f aca="false">IF(OR($B83="", $N83="", $O83="", $T83="", $Z83=""),"",ROUND(($N83*Lists!$AD$16)-($O83*Lists!$AD$17)-($T83*Lists!$AD$18)+($Z83*Lists!$AD$19),2))</f>
        <v/>
      </c>
      <c r="AB83" s="102" t="str">
        <f aca="false">IF(OR($B83="", $N83="", $Z83=""),"",IF($N83&gt;=Lists!$AG$2,IF($Z83&gt;=Lists!$AG$3,"Invest","Migrate"),IF($Z83&gt;=Lists!$AG$3,"Tolerate","Eliminate")))</f>
        <v/>
      </c>
      <c r="AC83" s="102"/>
      <c r="AD83" s="102"/>
      <c r="AE83" s="102" t="str">
        <f aca="false">IF(OR($N83="", $O83=""),"",IF($N83&gt;=Lists!$AG$2,IF($O83&gt;=Lists!$AG$4,"High Value / High Risk","High Value / Low Risk"),IF($O83&gt;=Lists!$AG$4,"Low Value / High Risk","Low Value / Low Risk")))</f>
        <v/>
      </c>
      <c r="AF83" s="101"/>
      <c r="AG83" s="126"/>
      <c r="AH83" s="106" t="str">
        <f aca="false">IF($B83="","",COUNTIFS('Debt Backlog'!$AF$2:$AF$1000,$A83,'Debt Backlog'!$B$2:$B$1000,"&lt;&gt;",'Debt Backlog'!$N$2:$N$1000,"&lt;&gt;Done",'Debt Backlog'!$N$2:$N$1000,"&lt;&gt;Won't Fix",'Debt Backlog'!$N$2:$N$1000,"&lt;&gt;Duplicate"))</f>
        <v/>
      </c>
      <c r="AI83" s="103" t="str">
        <f aca="false">IF($B83="","",ROUND(SUMIFS('Debt Backlog'!$L$2:$L$1000,'Debt Backlog'!$AF$2:$AF$1000,$A83,'Debt Backlog'!$B$2:$B$1000,"&lt;&gt;",'Debt Backlog'!$N$2:$N$1000,"&lt;&gt;Done",'Debt Backlog'!$N$2:$N$1000,"&lt;&gt;Won't Fix",'Debt Backlog'!$N$2:$N$1000,"&lt;&gt;Duplicate"),2))</f>
        <v/>
      </c>
    </row>
    <row r="84" customFormat="false" ht="15.75" hidden="false" customHeight="true" outlineLevel="0" collapsed="false">
      <c r="A84" s="125"/>
      <c r="B84" s="101"/>
      <c r="C84" s="101"/>
      <c r="D84" s="101"/>
      <c r="E84" s="101"/>
      <c r="F84" s="101"/>
      <c r="G84" s="101"/>
      <c r="H84" s="101"/>
      <c r="I84" s="106"/>
      <c r="J84" s="106"/>
      <c r="K84" s="106"/>
      <c r="L84" s="106"/>
      <c r="M84" s="106"/>
      <c r="N84" s="103" t="str">
        <f aca="false">IF(OR($B84="", $I84="", $J84="", $K84="", $L84="", $M84=""),"",ROUND(($I84*Lists!$AD$2)+($J84*Lists!$AD$3)+($K84*Lists!$AD$4)+($L84*Lists!$AD$5)+($M84*Lists!$AD$6),2))</f>
        <v/>
      </c>
      <c r="O84" s="103"/>
      <c r="P84" s="106"/>
      <c r="Q84" s="106"/>
      <c r="R84" s="106"/>
      <c r="S84" s="106"/>
      <c r="T84" s="103" t="str">
        <f aca="false">IF(OR($B84="", $P84="", $Q84="", $R84="", $S84=""),"",ROUND(($P84*Lists!$AD$7)+($Q84*Lists!$AD$8)+($R84*Lists!$AD$9)+($S84*Lists!$AD$10),2))</f>
        <v/>
      </c>
      <c r="U84" s="106"/>
      <c r="V84" s="106"/>
      <c r="W84" s="106"/>
      <c r="X84" s="106"/>
      <c r="Y84" s="106"/>
      <c r="Z84" s="103" t="str">
        <f aca="false">IF(OR($B84="", $U84="", $V84="", $W84="", $X84="", $Y84=""),"",ROUND(($U84*Lists!$AD$11)+($V84*Lists!$AD$12)+($W84*Lists!$AD$13)+($X84*Lists!$AD$14)+($Y84*Lists!$AD$15),2))</f>
        <v/>
      </c>
      <c r="AA84" s="103" t="str">
        <f aca="false">IF(OR($B84="", $N84="", $O84="", $T84="", $Z84=""),"",ROUND(($N84*Lists!$AD$16)-($O84*Lists!$AD$17)-($T84*Lists!$AD$18)+($Z84*Lists!$AD$19),2))</f>
        <v/>
      </c>
      <c r="AB84" s="102" t="str">
        <f aca="false">IF(OR($B84="", $N84="", $Z84=""),"",IF($N84&gt;=Lists!$AG$2,IF($Z84&gt;=Lists!$AG$3,"Invest","Migrate"),IF($Z84&gt;=Lists!$AG$3,"Tolerate","Eliminate")))</f>
        <v/>
      </c>
      <c r="AC84" s="102"/>
      <c r="AD84" s="102"/>
      <c r="AE84" s="102" t="str">
        <f aca="false">IF(OR($N84="", $O84=""),"",IF($N84&gt;=Lists!$AG$2,IF($O84&gt;=Lists!$AG$4,"High Value / High Risk","High Value / Low Risk"),IF($O84&gt;=Lists!$AG$4,"Low Value / High Risk","Low Value / Low Risk")))</f>
        <v/>
      </c>
      <c r="AF84" s="101"/>
      <c r="AG84" s="126"/>
      <c r="AH84" s="106" t="str">
        <f aca="false">IF($B84="","",COUNTIFS('Debt Backlog'!$AF$2:$AF$1000,$A84,'Debt Backlog'!$B$2:$B$1000,"&lt;&gt;",'Debt Backlog'!$N$2:$N$1000,"&lt;&gt;Done",'Debt Backlog'!$N$2:$N$1000,"&lt;&gt;Won't Fix",'Debt Backlog'!$N$2:$N$1000,"&lt;&gt;Duplicate"))</f>
        <v/>
      </c>
      <c r="AI84" s="103" t="str">
        <f aca="false">IF($B84="","",ROUND(SUMIFS('Debt Backlog'!$L$2:$L$1000,'Debt Backlog'!$AF$2:$AF$1000,$A84,'Debt Backlog'!$B$2:$B$1000,"&lt;&gt;",'Debt Backlog'!$N$2:$N$1000,"&lt;&gt;Done",'Debt Backlog'!$N$2:$N$1000,"&lt;&gt;Won't Fix",'Debt Backlog'!$N$2:$N$1000,"&lt;&gt;Duplicate"),2))</f>
        <v/>
      </c>
    </row>
    <row r="85" customFormat="false" ht="15.75" hidden="false" customHeight="true" outlineLevel="0" collapsed="false">
      <c r="A85" s="125"/>
      <c r="B85" s="101"/>
      <c r="C85" s="101"/>
      <c r="D85" s="101"/>
      <c r="E85" s="101"/>
      <c r="F85" s="101"/>
      <c r="G85" s="101"/>
      <c r="H85" s="101"/>
      <c r="I85" s="106"/>
      <c r="J85" s="106"/>
      <c r="K85" s="106"/>
      <c r="L85" s="106"/>
      <c r="M85" s="106"/>
      <c r="N85" s="103" t="str">
        <f aca="false">IF(OR($B85="", $I85="", $J85="", $K85="", $L85="", $M85=""),"",ROUND(($I85*Lists!$AD$2)+($J85*Lists!$AD$3)+($K85*Lists!$AD$4)+($L85*Lists!$AD$5)+($M85*Lists!$AD$6),2))</f>
        <v/>
      </c>
      <c r="O85" s="103"/>
      <c r="P85" s="106"/>
      <c r="Q85" s="106"/>
      <c r="R85" s="106"/>
      <c r="S85" s="106"/>
      <c r="T85" s="103" t="str">
        <f aca="false">IF(OR($B85="", $P85="", $Q85="", $R85="", $S85=""),"",ROUND(($P85*Lists!$AD$7)+($Q85*Lists!$AD$8)+($R85*Lists!$AD$9)+($S85*Lists!$AD$10),2))</f>
        <v/>
      </c>
      <c r="U85" s="106"/>
      <c r="V85" s="106"/>
      <c r="W85" s="106"/>
      <c r="X85" s="106"/>
      <c r="Y85" s="106"/>
      <c r="Z85" s="103" t="str">
        <f aca="false">IF(OR($B85="", $U85="", $V85="", $W85="", $X85="", $Y85=""),"",ROUND(($U85*Lists!$AD$11)+($V85*Lists!$AD$12)+($W85*Lists!$AD$13)+($X85*Lists!$AD$14)+($Y85*Lists!$AD$15),2))</f>
        <v/>
      </c>
      <c r="AA85" s="103" t="str">
        <f aca="false">IF(OR($B85="", $N85="", $O85="", $T85="", $Z85=""),"",ROUND(($N85*Lists!$AD$16)-($O85*Lists!$AD$17)-($T85*Lists!$AD$18)+($Z85*Lists!$AD$19),2))</f>
        <v/>
      </c>
      <c r="AB85" s="102" t="str">
        <f aca="false">IF(OR($B85="", $N85="", $Z85=""),"",IF($N85&gt;=Lists!$AG$2,IF($Z85&gt;=Lists!$AG$3,"Invest","Migrate"),IF($Z85&gt;=Lists!$AG$3,"Tolerate","Eliminate")))</f>
        <v/>
      </c>
      <c r="AC85" s="102"/>
      <c r="AD85" s="102"/>
      <c r="AE85" s="102" t="str">
        <f aca="false">IF(OR($N85="", $O85=""),"",IF($N85&gt;=Lists!$AG$2,IF($O85&gt;=Lists!$AG$4,"High Value / High Risk","High Value / Low Risk"),IF($O85&gt;=Lists!$AG$4,"Low Value / High Risk","Low Value / Low Risk")))</f>
        <v/>
      </c>
      <c r="AF85" s="101"/>
      <c r="AG85" s="126"/>
      <c r="AH85" s="106" t="str">
        <f aca="false">IF($B85="","",COUNTIFS('Debt Backlog'!$AF$2:$AF$1000,$A85,'Debt Backlog'!$B$2:$B$1000,"&lt;&gt;",'Debt Backlog'!$N$2:$N$1000,"&lt;&gt;Done",'Debt Backlog'!$N$2:$N$1000,"&lt;&gt;Won't Fix",'Debt Backlog'!$N$2:$N$1000,"&lt;&gt;Duplicate"))</f>
        <v/>
      </c>
      <c r="AI85" s="103" t="str">
        <f aca="false">IF($B85="","",ROUND(SUMIFS('Debt Backlog'!$L$2:$L$1000,'Debt Backlog'!$AF$2:$AF$1000,$A85,'Debt Backlog'!$B$2:$B$1000,"&lt;&gt;",'Debt Backlog'!$N$2:$N$1000,"&lt;&gt;Done",'Debt Backlog'!$N$2:$N$1000,"&lt;&gt;Won't Fix",'Debt Backlog'!$N$2:$N$1000,"&lt;&gt;Duplicate"),2))</f>
        <v/>
      </c>
    </row>
    <row r="86" customFormat="false" ht="15.75" hidden="false" customHeight="true" outlineLevel="0" collapsed="false">
      <c r="A86" s="125"/>
      <c r="B86" s="101"/>
      <c r="C86" s="101"/>
      <c r="D86" s="101"/>
      <c r="E86" s="101"/>
      <c r="F86" s="101"/>
      <c r="G86" s="101"/>
      <c r="H86" s="101"/>
      <c r="I86" s="106"/>
      <c r="J86" s="106"/>
      <c r="K86" s="106"/>
      <c r="L86" s="106"/>
      <c r="M86" s="106"/>
      <c r="N86" s="103" t="str">
        <f aca="false">IF(OR($B86="", $I86="", $J86="", $K86="", $L86="", $M86=""),"",ROUND(($I86*Lists!$AD$2)+($J86*Lists!$AD$3)+($K86*Lists!$AD$4)+($L86*Lists!$AD$5)+($M86*Lists!$AD$6),2))</f>
        <v/>
      </c>
      <c r="O86" s="103"/>
      <c r="P86" s="106"/>
      <c r="Q86" s="106"/>
      <c r="R86" s="106"/>
      <c r="S86" s="106"/>
      <c r="T86" s="103" t="str">
        <f aca="false">IF(OR($B86="", $P86="", $Q86="", $R86="", $S86=""),"",ROUND(($P86*Lists!$AD$7)+($Q86*Lists!$AD$8)+($R86*Lists!$AD$9)+($S86*Lists!$AD$10),2))</f>
        <v/>
      </c>
      <c r="U86" s="106"/>
      <c r="V86" s="106"/>
      <c r="W86" s="106"/>
      <c r="X86" s="106"/>
      <c r="Y86" s="106"/>
      <c r="Z86" s="103" t="str">
        <f aca="false">IF(OR($B86="", $U86="", $V86="", $W86="", $X86="", $Y86=""),"",ROUND(($U86*Lists!$AD$11)+($V86*Lists!$AD$12)+($W86*Lists!$AD$13)+($X86*Lists!$AD$14)+($Y86*Lists!$AD$15),2))</f>
        <v/>
      </c>
      <c r="AA86" s="103" t="str">
        <f aca="false">IF(OR($B86="", $N86="", $O86="", $T86="", $Z86=""),"",ROUND(($N86*Lists!$AD$16)-($O86*Lists!$AD$17)-($T86*Lists!$AD$18)+($Z86*Lists!$AD$19),2))</f>
        <v/>
      </c>
      <c r="AB86" s="102" t="str">
        <f aca="false">IF(OR($B86="", $N86="", $Z86=""),"",IF($N86&gt;=Lists!$AG$2,IF($Z86&gt;=Lists!$AG$3,"Invest","Migrate"),IF($Z86&gt;=Lists!$AG$3,"Tolerate","Eliminate")))</f>
        <v/>
      </c>
      <c r="AC86" s="102"/>
      <c r="AD86" s="102"/>
      <c r="AE86" s="102" t="str">
        <f aca="false">IF(OR($N86="", $O86=""),"",IF($N86&gt;=Lists!$AG$2,IF($O86&gt;=Lists!$AG$4,"High Value / High Risk","High Value / Low Risk"),IF($O86&gt;=Lists!$AG$4,"Low Value / High Risk","Low Value / Low Risk")))</f>
        <v/>
      </c>
      <c r="AF86" s="101"/>
      <c r="AG86" s="126"/>
      <c r="AH86" s="106" t="str">
        <f aca="false">IF($B86="","",COUNTIFS('Debt Backlog'!$AF$2:$AF$1000,$A86,'Debt Backlog'!$B$2:$B$1000,"&lt;&gt;",'Debt Backlog'!$N$2:$N$1000,"&lt;&gt;Done",'Debt Backlog'!$N$2:$N$1000,"&lt;&gt;Won't Fix",'Debt Backlog'!$N$2:$N$1000,"&lt;&gt;Duplicate"))</f>
        <v/>
      </c>
      <c r="AI86" s="103" t="str">
        <f aca="false">IF($B86="","",ROUND(SUMIFS('Debt Backlog'!$L$2:$L$1000,'Debt Backlog'!$AF$2:$AF$1000,$A86,'Debt Backlog'!$B$2:$B$1000,"&lt;&gt;",'Debt Backlog'!$N$2:$N$1000,"&lt;&gt;Done",'Debt Backlog'!$N$2:$N$1000,"&lt;&gt;Won't Fix",'Debt Backlog'!$N$2:$N$1000,"&lt;&gt;Duplicate"),2))</f>
        <v/>
      </c>
    </row>
    <row r="87" customFormat="false" ht="15.75" hidden="false" customHeight="true" outlineLevel="0" collapsed="false">
      <c r="A87" s="125"/>
      <c r="B87" s="101"/>
      <c r="C87" s="101"/>
      <c r="D87" s="101"/>
      <c r="E87" s="101"/>
      <c r="F87" s="101"/>
      <c r="G87" s="101"/>
      <c r="H87" s="101"/>
      <c r="I87" s="106"/>
      <c r="J87" s="106"/>
      <c r="K87" s="106"/>
      <c r="L87" s="106"/>
      <c r="M87" s="106"/>
      <c r="N87" s="103" t="str">
        <f aca="false">IF(OR($B87="", $I87="", $J87="", $K87="", $L87="", $M87=""),"",ROUND(($I87*Lists!$AD$2)+($J87*Lists!$AD$3)+($K87*Lists!$AD$4)+($L87*Lists!$AD$5)+($M87*Lists!$AD$6),2))</f>
        <v/>
      </c>
      <c r="O87" s="103" t="str">
        <f aca="false">IF($A87="","",IFERROR(VLOOKUP($A87,'Risk Register'!$B$2:$I$1000,8,FALSE()),""))</f>
        <v/>
      </c>
      <c r="P87" s="106"/>
      <c r="Q87" s="106"/>
      <c r="R87" s="106"/>
      <c r="S87" s="106"/>
      <c r="T87" s="103" t="str">
        <f aca="false">IF(OR($B87="", $P87="", $Q87="", $R87="", $S87=""),"",ROUND(($P87*Lists!$AD$7)+($Q87*Lists!$AD$8)+($R87*Lists!$AD$9)+($S87*Lists!$AD$10),2))</f>
        <v/>
      </c>
      <c r="U87" s="106"/>
      <c r="V87" s="106"/>
      <c r="W87" s="106"/>
      <c r="X87" s="106"/>
      <c r="Y87" s="106"/>
      <c r="Z87" s="103" t="str">
        <f aca="false">IF(OR($B87="", $U87="", $V87="", $W87="", $X87="", $Y87=""),"",ROUND(($U87*Lists!$AD$11)+($V87*Lists!$AD$12)+($W87*Lists!$AD$13)+($X87*Lists!$AD$14)+($Y87*Lists!$AD$15),2))</f>
        <v/>
      </c>
      <c r="AA87" s="103" t="str">
        <f aca="false">IF(OR($B87="", $N87="", $O87="", $T87="", $Z87=""),"",ROUND(($N87*Lists!$AD$16)-($O87*Lists!$AD$17)-($T87*Lists!$AD$18)+($Z87*Lists!$AD$19),2))</f>
        <v/>
      </c>
      <c r="AB87" s="102" t="str">
        <f aca="false">IF(OR($B87="", $N87="", $Z87=""),"",IF($N87&gt;=Lists!$AG$2,IF($Z87&gt;=Lists!$AG$3,"Invest","Migrate"),IF($Z87&gt;=Lists!$AG$3,"Tolerate","Eliminate")))</f>
        <v/>
      </c>
      <c r="AC87" s="102" t="str">
        <f aca="false">IF($B87="","",IF($J87&gt;=4,"Yes",""))</f>
        <v/>
      </c>
      <c r="AD87" s="102" t="str">
        <f aca="false">IF($A87="","",IFERROR(IF(VLOOKUP($A87,'Risk Register'!$B$2:$H$1000,4,FALSE())&gt;=4,"Yes",""),""))</f>
        <v/>
      </c>
      <c r="AE87" s="102" t="str">
        <f aca="false">IF(OR($N87="", $O87=""),"",IF($N87&gt;=Lists!$AG$2,IF($O87&gt;=Lists!$AG$4,"High Value / High Risk","High Value / Low Risk"),IF($O87&gt;=Lists!$AG$4,"Low Value / High Risk","Low Value / Low Risk")))</f>
        <v/>
      </c>
      <c r="AF87" s="101"/>
      <c r="AG87" s="126"/>
      <c r="AH87" s="106" t="str">
        <f aca="false">IF($B87="","",COUNTIFS('Debt Backlog'!$AF$2:$AF$1000,$A87,'Debt Backlog'!$B$2:$B$1000,"&lt;&gt;",'Debt Backlog'!$N$2:$N$1000,"&lt;&gt;Done",'Debt Backlog'!$N$2:$N$1000,"&lt;&gt;Won't Fix",'Debt Backlog'!$N$2:$N$1000,"&lt;&gt;Duplicate"))</f>
        <v/>
      </c>
      <c r="AI87" s="103" t="str">
        <f aca="false">IF($B87="","",ROUND(SUMIFS('Debt Backlog'!$L$2:$L$1000,'Debt Backlog'!$AF$2:$AF$1000,$A87,'Debt Backlog'!$B$2:$B$1000,"&lt;&gt;",'Debt Backlog'!$N$2:$N$1000,"&lt;&gt;Done",'Debt Backlog'!$N$2:$N$1000,"&lt;&gt;Won't Fix",'Debt Backlog'!$N$2:$N$1000,"&lt;&gt;Duplicate"),2))</f>
        <v/>
      </c>
    </row>
    <row r="88" customFormat="false" ht="15.75" hidden="false" customHeight="true" outlineLevel="0" collapsed="false">
      <c r="A88" s="125"/>
      <c r="B88" s="101"/>
      <c r="C88" s="101"/>
      <c r="D88" s="101"/>
      <c r="E88" s="101"/>
      <c r="F88" s="101"/>
      <c r="G88" s="101"/>
      <c r="H88" s="101"/>
      <c r="I88" s="106"/>
      <c r="J88" s="106"/>
      <c r="K88" s="106"/>
      <c r="L88" s="106"/>
      <c r="M88" s="106"/>
      <c r="N88" s="103" t="str">
        <f aca="false">IF(OR($B88="", $I88="", $J88="", $K88="", $L88="", $M88=""),"",ROUND(($I88*Lists!$AD$2)+($J88*Lists!$AD$3)+($K88*Lists!$AD$4)+($L88*Lists!$AD$5)+($M88*Lists!$AD$6),2))</f>
        <v/>
      </c>
      <c r="O88" s="103" t="str">
        <f aca="false">IF($A88="","",IFERROR(VLOOKUP($A88,'Risk Register'!$B$2:$I$1000,8,FALSE()),""))</f>
        <v/>
      </c>
      <c r="P88" s="106"/>
      <c r="Q88" s="106"/>
      <c r="R88" s="106"/>
      <c r="S88" s="106"/>
      <c r="T88" s="103" t="str">
        <f aca="false">IF(OR($B88="", $P88="", $Q88="", $R88="", $S88=""),"",ROUND(($P88*Lists!$AD$7)+($Q88*Lists!$AD$8)+($R88*Lists!$AD$9)+($S88*Lists!$AD$10),2))</f>
        <v/>
      </c>
      <c r="U88" s="106"/>
      <c r="V88" s="106"/>
      <c r="W88" s="106"/>
      <c r="X88" s="106"/>
      <c r="Y88" s="106"/>
      <c r="Z88" s="103" t="str">
        <f aca="false">IF(OR($B88="", $U88="", $V88="", $W88="", $X88="", $Y88=""),"",ROUND(($U88*Lists!$AD$11)+($V88*Lists!$AD$12)+($W88*Lists!$AD$13)+($X88*Lists!$AD$14)+($Y88*Lists!$AD$15),2))</f>
        <v/>
      </c>
      <c r="AA88" s="103" t="str">
        <f aca="false">IF(OR($B88="", $N88="", $O88="", $T88="", $Z88=""),"",ROUND(($N88*Lists!$AD$16)-($O88*Lists!$AD$17)-($T88*Lists!$AD$18)+($Z88*Lists!$AD$19),2))</f>
        <v/>
      </c>
      <c r="AB88" s="102" t="str">
        <f aca="false">IF(OR($B88="", $N88="", $Z88=""),"",IF($N88&gt;=Lists!$AG$2,IF($Z88&gt;=Lists!$AG$3,"Invest","Migrate"),IF($Z88&gt;=Lists!$AG$3,"Tolerate","Eliminate")))</f>
        <v/>
      </c>
      <c r="AC88" s="102" t="str">
        <f aca="false">IF($B88="","",IF($J88&gt;=4,"Yes",""))</f>
        <v/>
      </c>
      <c r="AD88" s="102" t="str">
        <f aca="false">IF($A88="","",IFERROR(IF(VLOOKUP($A88,'Risk Register'!$B$2:$H$1000,4,FALSE())&gt;=4,"Yes",""),""))</f>
        <v/>
      </c>
      <c r="AE88" s="102" t="str">
        <f aca="false">IF(OR($N88="", $O88=""),"",IF($N88&gt;=Lists!$AG$2,IF($O88&gt;=Lists!$AG$4,"High Value / High Risk","High Value / Low Risk"),IF($O88&gt;=Lists!$AG$4,"Low Value / High Risk","Low Value / Low Risk")))</f>
        <v/>
      </c>
      <c r="AF88" s="101"/>
      <c r="AG88" s="126"/>
      <c r="AH88" s="106" t="str">
        <f aca="false">IF($B88="","",COUNTIFS('Debt Backlog'!$AF$2:$AF$1000,$A88,'Debt Backlog'!$B$2:$B$1000,"&lt;&gt;",'Debt Backlog'!$N$2:$N$1000,"&lt;&gt;Done",'Debt Backlog'!$N$2:$N$1000,"&lt;&gt;Won't Fix",'Debt Backlog'!$N$2:$N$1000,"&lt;&gt;Duplicate"))</f>
        <v/>
      </c>
      <c r="AI88" s="103" t="str">
        <f aca="false">IF($B88="","",ROUND(SUMIFS('Debt Backlog'!$L$2:$L$1000,'Debt Backlog'!$AF$2:$AF$1000,$A88,'Debt Backlog'!$B$2:$B$1000,"&lt;&gt;",'Debt Backlog'!$N$2:$N$1000,"&lt;&gt;Done",'Debt Backlog'!$N$2:$N$1000,"&lt;&gt;Won't Fix",'Debt Backlog'!$N$2:$N$1000,"&lt;&gt;Duplicate"),2))</f>
        <v/>
      </c>
    </row>
    <row r="89" customFormat="false" ht="15.75" hidden="false" customHeight="true" outlineLevel="0" collapsed="false">
      <c r="A89" s="125"/>
      <c r="B89" s="101"/>
      <c r="C89" s="101"/>
      <c r="D89" s="101"/>
      <c r="E89" s="101"/>
      <c r="F89" s="101"/>
      <c r="G89" s="101"/>
      <c r="H89" s="101"/>
      <c r="I89" s="106"/>
      <c r="J89" s="106"/>
      <c r="K89" s="106"/>
      <c r="L89" s="106"/>
      <c r="M89" s="106"/>
      <c r="N89" s="103" t="str">
        <f aca="false">IF(OR($B89="", $I89="", $J89="", $K89="", $L89="", $M89=""),"",ROUND(($I89*Lists!$AD$2)+($J89*Lists!$AD$3)+($K89*Lists!$AD$4)+($L89*Lists!$AD$5)+($M89*Lists!$AD$6),2))</f>
        <v/>
      </c>
      <c r="O89" s="103" t="str">
        <f aca="false">IF($A89="","",IFERROR(VLOOKUP($A89,'Risk Register'!$B$2:$I$1000,8,FALSE()),""))</f>
        <v/>
      </c>
      <c r="P89" s="106"/>
      <c r="Q89" s="106"/>
      <c r="R89" s="106"/>
      <c r="S89" s="106"/>
      <c r="T89" s="103" t="str">
        <f aca="false">IF(OR($B89="", $P89="", $Q89="", $R89="", $S89=""),"",ROUND(($P89*Lists!$AD$7)+($Q89*Lists!$AD$8)+($R89*Lists!$AD$9)+($S89*Lists!$AD$10),2))</f>
        <v/>
      </c>
      <c r="U89" s="106"/>
      <c r="V89" s="106"/>
      <c r="W89" s="106"/>
      <c r="X89" s="106"/>
      <c r="Y89" s="106"/>
      <c r="Z89" s="103" t="str">
        <f aca="false">IF(OR($B89="", $U89="", $V89="", $W89="", $X89="", $Y89=""),"",ROUND(($U89*Lists!$AD$11)+($V89*Lists!$AD$12)+($W89*Lists!$AD$13)+($X89*Lists!$AD$14)+($Y89*Lists!$AD$15),2))</f>
        <v/>
      </c>
      <c r="AA89" s="103" t="str">
        <f aca="false">IF(OR($B89="", $N89="", $O89="", $T89="", $Z89=""),"",ROUND(($N89*Lists!$AD$16)-($O89*Lists!$AD$17)-($T89*Lists!$AD$18)+($Z89*Lists!$AD$19),2))</f>
        <v/>
      </c>
      <c r="AB89" s="102" t="str">
        <f aca="false">IF(OR($B89="", $N89="", $Z89=""),"",IF($N89&gt;=Lists!$AG$2,IF($Z89&gt;=Lists!$AG$3,"Invest","Migrate"),IF($Z89&gt;=Lists!$AG$3,"Tolerate","Eliminate")))</f>
        <v/>
      </c>
      <c r="AC89" s="102" t="str">
        <f aca="false">IF($B89="","",IF($J89&gt;=4,"Yes",""))</f>
        <v/>
      </c>
      <c r="AD89" s="102" t="str">
        <f aca="false">IF($A89="","",IFERROR(IF(VLOOKUP($A89,'Risk Register'!$B$2:$H$1000,4,FALSE())&gt;=4,"Yes",""),""))</f>
        <v/>
      </c>
      <c r="AE89" s="102" t="str">
        <f aca="false">IF(OR($N89="", $O89=""),"",IF($N89&gt;=Lists!$AG$2,IF($O89&gt;=Lists!$AG$4,"High Value / High Risk","High Value / Low Risk"),IF($O89&gt;=Lists!$AG$4,"Low Value / High Risk","Low Value / Low Risk")))</f>
        <v/>
      </c>
      <c r="AF89" s="101"/>
      <c r="AG89" s="126"/>
      <c r="AH89" s="106" t="str">
        <f aca="false">IF($B89="","",COUNTIFS('Debt Backlog'!$AF$2:$AF$1000,$A89,'Debt Backlog'!$B$2:$B$1000,"&lt;&gt;",'Debt Backlog'!$N$2:$N$1000,"&lt;&gt;Done",'Debt Backlog'!$N$2:$N$1000,"&lt;&gt;Won't Fix",'Debt Backlog'!$N$2:$N$1000,"&lt;&gt;Duplicate"))</f>
        <v/>
      </c>
      <c r="AI89" s="103" t="str">
        <f aca="false">IF($B89="","",ROUND(SUMIFS('Debt Backlog'!$L$2:$L$1000,'Debt Backlog'!$AF$2:$AF$1000,$A89,'Debt Backlog'!$B$2:$B$1000,"&lt;&gt;",'Debt Backlog'!$N$2:$N$1000,"&lt;&gt;Done",'Debt Backlog'!$N$2:$N$1000,"&lt;&gt;Won't Fix",'Debt Backlog'!$N$2:$N$1000,"&lt;&gt;Duplicate"),2))</f>
        <v/>
      </c>
    </row>
    <row r="90" customFormat="false" ht="15.75" hidden="false" customHeight="true" outlineLevel="0" collapsed="false">
      <c r="A90" s="125"/>
      <c r="B90" s="101"/>
      <c r="C90" s="101"/>
      <c r="D90" s="101"/>
      <c r="E90" s="101"/>
      <c r="F90" s="101"/>
      <c r="G90" s="101"/>
      <c r="H90" s="101"/>
      <c r="I90" s="106"/>
      <c r="J90" s="106"/>
      <c r="K90" s="106"/>
      <c r="L90" s="106"/>
      <c r="M90" s="106"/>
      <c r="N90" s="103" t="str">
        <f aca="false">IF(OR($B90="", $I90="", $J90="", $K90="", $L90="", $M90=""),"",ROUND(($I90*Lists!$AD$2)+($J90*Lists!$AD$3)+($K90*Lists!$AD$4)+($L90*Lists!$AD$5)+($M90*Lists!$AD$6),2))</f>
        <v/>
      </c>
      <c r="O90" s="103" t="str">
        <f aca="false">IF($A90="","",IFERROR(VLOOKUP($A90,'Risk Register'!$B$2:$I$1000,8,FALSE()),""))</f>
        <v/>
      </c>
      <c r="P90" s="106"/>
      <c r="Q90" s="106"/>
      <c r="R90" s="106"/>
      <c r="S90" s="106"/>
      <c r="T90" s="103" t="str">
        <f aca="false">IF(OR($B90="", $P90="", $Q90="", $R90="", $S90=""),"",ROUND(($P90*Lists!$AD$7)+($Q90*Lists!$AD$8)+($R90*Lists!$AD$9)+($S90*Lists!$AD$10),2))</f>
        <v/>
      </c>
      <c r="U90" s="106"/>
      <c r="V90" s="106"/>
      <c r="W90" s="106"/>
      <c r="X90" s="106"/>
      <c r="Y90" s="106"/>
      <c r="Z90" s="103" t="str">
        <f aca="false">IF(OR($B90="", $U90="", $V90="", $W90="", $X90="", $Y90=""),"",ROUND(($U90*Lists!$AD$11)+($V90*Lists!$AD$12)+($W90*Lists!$AD$13)+($X90*Lists!$AD$14)+($Y90*Lists!$AD$15),2))</f>
        <v/>
      </c>
      <c r="AA90" s="103" t="str">
        <f aca="false">IF(OR($B90="", $N90="", $O90="", $T90="", $Z90=""),"",ROUND(($N90*Lists!$AD$16)-($O90*Lists!$AD$17)-($T90*Lists!$AD$18)+($Z90*Lists!$AD$19),2))</f>
        <v/>
      </c>
      <c r="AB90" s="102" t="str">
        <f aca="false">IF(OR($B90="", $N90="", $Z90=""),"",IF($N90&gt;=Lists!$AG$2,IF($Z90&gt;=Lists!$AG$3,"Invest","Migrate"),IF($Z90&gt;=Lists!$AG$3,"Tolerate","Eliminate")))</f>
        <v/>
      </c>
      <c r="AC90" s="102" t="str">
        <f aca="false">IF($B90="","",IF($J90&gt;=4,"Yes",""))</f>
        <v/>
      </c>
      <c r="AD90" s="102" t="str">
        <f aca="false">IF($A90="","",IFERROR(IF(VLOOKUP($A90,'Risk Register'!$B$2:$H$1000,4,FALSE())&gt;=4,"Yes",""),""))</f>
        <v/>
      </c>
      <c r="AE90" s="102" t="str">
        <f aca="false">IF(OR($N90="", $O90=""),"",IF($N90&gt;=Lists!$AG$2,IF($O90&gt;=Lists!$AG$4,"High Value / High Risk","High Value / Low Risk"),IF($O90&gt;=Lists!$AG$4,"Low Value / High Risk","Low Value / Low Risk")))</f>
        <v/>
      </c>
      <c r="AF90" s="101"/>
      <c r="AG90" s="126"/>
      <c r="AH90" s="106" t="str">
        <f aca="false">IF($B90="","",COUNTIFS('Debt Backlog'!$AF$2:$AF$1000,$A90,'Debt Backlog'!$B$2:$B$1000,"&lt;&gt;",'Debt Backlog'!$N$2:$N$1000,"&lt;&gt;Done",'Debt Backlog'!$N$2:$N$1000,"&lt;&gt;Won't Fix",'Debt Backlog'!$N$2:$N$1000,"&lt;&gt;Duplicate"))</f>
        <v/>
      </c>
      <c r="AI90" s="103" t="str">
        <f aca="false">IF($B90="","",ROUND(SUMIFS('Debt Backlog'!$L$2:$L$1000,'Debt Backlog'!$AF$2:$AF$1000,$A90,'Debt Backlog'!$B$2:$B$1000,"&lt;&gt;",'Debt Backlog'!$N$2:$N$1000,"&lt;&gt;Done",'Debt Backlog'!$N$2:$N$1000,"&lt;&gt;Won't Fix",'Debt Backlog'!$N$2:$N$1000,"&lt;&gt;Duplicate"),2))</f>
        <v/>
      </c>
    </row>
    <row r="91" customFormat="false" ht="15.75" hidden="false" customHeight="true" outlineLevel="0" collapsed="false">
      <c r="A91" s="125"/>
      <c r="B91" s="101"/>
      <c r="C91" s="101"/>
      <c r="D91" s="101"/>
      <c r="E91" s="101"/>
      <c r="F91" s="101"/>
      <c r="G91" s="101"/>
      <c r="H91" s="101"/>
      <c r="I91" s="106"/>
      <c r="J91" s="106"/>
      <c r="K91" s="106"/>
      <c r="L91" s="106"/>
      <c r="M91" s="106"/>
      <c r="N91" s="103" t="str">
        <f aca="false">IF(OR($B91="", $I91="", $J91="", $K91="", $L91="", $M91=""),"",ROUND(($I91*Lists!$AD$2)+($J91*Lists!$AD$3)+($K91*Lists!$AD$4)+($L91*Lists!$AD$5)+($M91*Lists!$AD$6),2))</f>
        <v/>
      </c>
      <c r="O91" s="103" t="str">
        <f aca="false">IF($A91="","",IFERROR(VLOOKUP($A91,'Risk Register'!$B$2:$I$1000,8,FALSE()),""))</f>
        <v/>
      </c>
      <c r="P91" s="106"/>
      <c r="Q91" s="106"/>
      <c r="R91" s="106"/>
      <c r="S91" s="106"/>
      <c r="T91" s="103" t="str">
        <f aca="false">IF(OR($B91="", $P91="", $Q91="", $R91="", $S91=""),"",ROUND(($P91*Lists!$AD$7)+($Q91*Lists!$AD$8)+($R91*Lists!$AD$9)+($S91*Lists!$AD$10),2))</f>
        <v/>
      </c>
      <c r="U91" s="106"/>
      <c r="V91" s="106"/>
      <c r="W91" s="106"/>
      <c r="X91" s="106"/>
      <c r="Y91" s="106"/>
      <c r="Z91" s="103" t="str">
        <f aca="false">IF(OR($B91="", $U91="", $V91="", $W91="", $X91="", $Y91=""),"",ROUND(($U91*Lists!$AD$11)+($V91*Lists!$AD$12)+($W91*Lists!$AD$13)+($X91*Lists!$AD$14)+($Y91*Lists!$AD$15),2))</f>
        <v/>
      </c>
      <c r="AA91" s="103" t="str">
        <f aca="false">IF(OR($B91="", $N91="", $O91="", $T91="", $Z91=""),"",ROUND(($N91*Lists!$AD$16)-($O91*Lists!$AD$17)-($T91*Lists!$AD$18)+($Z91*Lists!$AD$19),2))</f>
        <v/>
      </c>
      <c r="AB91" s="102" t="str">
        <f aca="false">IF(OR($B91="", $N91="", $Z91=""),"",IF($N91&gt;=Lists!$AG$2,IF($Z91&gt;=Lists!$AG$3,"Invest","Migrate"),IF($Z91&gt;=Lists!$AG$3,"Tolerate","Eliminate")))</f>
        <v/>
      </c>
      <c r="AC91" s="102" t="str">
        <f aca="false">IF($B91="","",IF($J91&gt;=4,"Yes",""))</f>
        <v/>
      </c>
      <c r="AD91" s="102" t="str">
        <f aca="false">IF($A91="","",IFERROR(IF(VLOOKUP($A91,'Risk Register'!$B$2:$H$1000,4,FALSE())&gt;=4,"Yes",""),""))</f>
        <v/>
      </c>
      <c r="AE91" s="102" t="str">
        <f aca="false">IF(OR($N91="", $O91=""),"",IF($N91&gt;=Lists!$AG$2,IF($O91&gt;=Lists!$AG$4,"High Value / High Risk","High Value / Low Risk"),IF($O91&gt;=Lists!$AG$4,"Low Value / High Risk","Low Value / Low Risk")))</f>
        <v/>
      </c>
      <c r="AF91" s="101"/>
      <c r="AG91" s="126"/>
      <c r="AH91" s="106" t="str">
        <f aca="false">IF($B91="","",COUNTIFS('Debt Backlog'!$AF$2:$AF$1000,$A91,'Debt Backlog'!$B$2:$B$1000,"&lt;&gt;",'Debt Backlog'!$N$2:$N$1000,"&lt;&gt;Done",'Debt Backlog'!$N$2:$N$1000,"&lt;&gt;Won't Fix",'Debt Backlog'!$N$2:$N$1000,"&lt;&gt;Duplicate"))</f>
        <v/>
      </c>
      <c r="AI91" s="103" t="str">
        <f aca="false">IF($B91="","",ROUND(SUMIFS('Debt Backlog'!$L$2:$L$1000,'Debt Backlog'!$AF$2:$AF$1000,$A91,'Debt Backlog'!$B$2:$B$1000,"&lt;&gt;",'Debt Backlog'!$N$2:$N$1000,"&lt;&gt;Done",'Debt Backlog'!$N$2:$N$1000,"&lt;&gt;Won't Fix",'Debt Backlog'!$N$2:$N$1000,"&lt;&gt;Duplicate"),2))</f>
        <v/>
      </c>
    </row>
    <row r="92" customFormat="false" ht="15.75" hidden="false" customHeight="true" outlineLevel="0" collapsed="false">
      <c r="A92" s="125"/>
      <c r="B92" s="101"/>
      <c r="C92" s="101"/>
      <c r="D92" s="101"/>
      <c r="E92" s="101"/>
      <c r="F92" s="101"/>
      <c r="G92" s="101"/>
      <c r="H92" s="101"/>
      <c r="I92" s="106"/>
      <c r="J92" s="106"/>
      <c r="K92" s="106"/>
      <c r="L92" s="106"/>
      <c r="M92" s="106"/>
      <c r="N92" s="103" t="str">
        <f aca="false">IF(OR($B92="", $I92="", $J92="", $K92="", $L92="", $M92=""),"",ROUND(($I92*Lists!$AD$2)+($J92*Lists!$AD$3)+($K92*Lists!$AD$4)+($L92*Lists!$AD$5)+($M92*Lists!$AD$6),2))</f>
        <v/>
      </c>
      <c r="O92" s="103" t="str">
        <f aca="false">IF($A92="","",IFERROR(VLOOKUP($A92,'Risk Register'!$B$2:$I$1000,8,FALSE()),""))</f>
        <v/>
      </c>
      <c r="P92" s="106"/>
      <c r="Q92" s="106"/>
      <c r="R92" s="106"/>
      <c r="S92" s="106"/>
      <c r="T92" s="103" t="str">
        <f aca="false">IF(OR($B92="", $P92="", $Q92="", $R92="", $S92=""),"",ROUND(($P92*Lists!$AD$7)+($Q92*Lists!$AD$8)+($R92*Lists!$AD$9)+($S92*Lists!$AD$10),2))</f>
        <v/>
      </c>
      <c r="U92" s="106"/>
      <c r="V92" s="106"/>
      <c r="W92" s="106"/>
      <c r="X92" s="106"/>
      <c r="Y92" s="106"/>
      <c r="Z92" s="103" t="str">
        <f aca="false">IF(OR($B92="", $U92="", $V92="", $W92="", $X92="", $Y92=""),"",ROUND(($U92*Lists!$AD$11)+($V92*Lists!$AD$12)+($W92*Lists!$AD$13)+($X92*Lists!$AD$14)+($Y92*Lists!$AD$15),2))</f>
        <v/>
      </c>
      <c r="AA92" s="103" t="str">
        <f aca="false">IF(OR($B92="", $N92="", $O92="", $T92="", $Z92=""),"",ROUND(($N92*Lists!$AD$16)-($O92*Lists!$AD$17)-($T92*Lists!$AD$18)+($Z92*Lists!$AD$19),2))</f>
        <v/>
      </c>
      <c r="AB92" s="102" t="str">
        <f aca="false">IF(OR($B92="", $N92="", $Z92=""),"",IF($N92&gt;=Lists!$AG$2,IF($Z92&gt;=Lists!$AG$3,"Invest","Migrate"),IF($Z92&gt;=Lists!$AG$3,"Tolerate","Eliminate")))</f>
        <v/>
      </c>
      <c r="AC92" s="102" t="str">
        <f aca="false">IF($B92="","",IF($J92&gt;=4,"Yes",""))</f>
        <v/>
      </c>
      <c r="AD92" s="102" t="str">
        <f aca="false">IF($A92="","",IFERROR(IF(VLOOKUP($A92,'Risk Register'!$B$2:$H$1000,4,FALSE())&gt;=4,"Yes",""),""))</f>
        <v/>
      </c>
      <c r="AE92" s="102" t="str">
        <f aca="false">IF(OR($N92="", $O92=""),"",IF($N92&gt;=Lists!$AG$2,IF($O92&gt;=Lists!$AG$4,"High Value / High Risk","High Value / Low Risk"),IF($O92&gt;=Lists!$AG$4,"Low Value / High Risk","Low Value / Low Risk")))</f>
        <v/>
      </c>
      <c r="AF92" s="101"/>
      <c r="AG92" s="126"/>
      <c r="AH92" s="106" t="str">
        <f aca="false">IF($B92="","",COUNTIFS('Debt Backlog'!$AF$2:$AF$1000,$A92,'Debt Backlog'!$B$2:$B$1000,"&lt;&gt;",'Debt Backlog'!$N$2:$N$1000,"&lt;&gt;Done",'Debt Backlog'!$N$2:$N$1000,"&lt;&gt;Won't Fix",'Debt Backlog'!$N$2:$N$1000,"&lt;&gt;Duplicate"))</f>
        <v/>
      </c>
      <c r="AI92" s="103" t="str">
        <f aca="false">IF($B92="","",ROUND(SUMIFS('Debt Backlog'!$L$2:$L$1000,'Debt Backlog'!$AF$2:$AF$1000,$A92,'Debt Backlog'!$B$2:$B$1000,"&lt;&gt;",'Debt Backlog'!$N$2:$N$1000,"&lt;&gt;Done",'Debt Backlog'!$N$2:$N$1000,"&lt;&gt;Won't Fix",'Debt Backlog'!$N$2:$N$1000,"&lt;&gt;Duplicate"),2))</f>
        <v/>
      </c>
    </row>
    <row r="93" customFormat="false" ht="15.75" hidden="false" customHeight="true" outlineLevel="0" collapsed="false">
      <c r="A93" s="125"/>
      <c r="B93" s="101"/>
      <c r="C93" s="101"/>
      <c r="D93" s="101"/>
      <c r="E93" s="101"/>
      <c r="F93" s="101"/>
      <c r="G93" s="101"/>
      <c r="H93" s="101"/>
      <c r="I93" s="106"/>
      <c r="J93" s="106"/>
      <c r="K93" s="106"/>
      <c r="L93" s="106"/>
      <c r="M93" s="106"/>
      <c r="N93" s="103" t="str">
        <f aca="false">IF(OR($B93="", $I93="", $J93="", $K93="", $L93="", $M93=""),"",ROUND(($I93*Lists!$AD$2)+($J93*Lists!$AD$3)+($K93*Lists!$AD$4)+($L93*Lists!$AD$5)+($M93*Lists!$AD$6),2))</f>
        <v/>
      </c>
      <c r="O93" s="103" t="str">
        <f aca="false">IF($A93="","",IFERROR(VLOOKUP($A93,'Risk Register'!$B$2:$I$1000,8,FALSE()),""))</f>
        <v/>
      </c>
      <c r="P93" s="106"/>
      <c r="Q93" s="106"/>
      <c r="R93" s="106"/>
      <c r="S93" s="106"/>
      <c r="T93" s="103" t="str">
        <f aca="false">IF(OR($B93="", $P93="", $Q93="", $R93="", $S93=""),"",ROUND(($P93*Lists!$AD$7)+($Q93*Lists!$AD$8)+($R93*Lists!$AD$9)+($S93*Lists!$AD$10),2))</f>
        <v/>
      </c>
      <c r="U93" s="106"/>
      <c r="V93" s="106"/>
      <c r="W93" s="106"/>
      <c r="X93" s="106"/>
      <c r="Y93" s="106"/>
      <c r="Z93" s="103" t="str">
        <f aca="false">IF(OR($B93="", $U93="", $V93="", $W93="", $X93="", $Y93=""),"",ROUND(($U93*Lists!$AD$11)+($V93*Lists!$AD$12)+($W93*Lists!$AD$13)+($X93*Lists!$AD$14)+($Y93*Lists!$AD$15),2))</f>
        <v/>
      </c>
      <c r="AA93" s="103" t="str">
        <f aca="false">IF(OR($B93="", $N93="", $O93="", $T93="", $Z93=""),"",ROUND(($N93*Lists!$AD$16)-($O93*Lists!$AD$17)-($T93*Lists!$AD$18)+($Z93*Lists!$AD$19),2))</f>
        <v/>
      </c>
      <c r="AB93" s="102" t="str">
        <f aca="false">IF(OR($B93="", $N93="", $Z93=""),"",IF($N93&gt;=Lists!$AG$2,IF($Z93&gt;=Lists!$AG$3,"Invest","Migrate"),IF($Z93&gt;=Lists!$AG$3,"Tolerate","Eliminate")))</f>
        <v/>
      </c>
      <c r="AC93" s="102" t="str">
        <f aca="false">IF($B93="","",IF($J93&gt;=4,"Yes",""))</f>
        <v/>
      </c>
      <c r="AD93" s="102" t="str">
        <f aca="false">IF($A93="","",IFERROR(IF(VLOOKUP($A93,'Risk Register'!$B$2:$H$1000,4,FALSE())&gt;=4,"Yes",""),""))</f>
        <v/>
      </c>
      <c r="AE93" s="102" t="str">
        <f aca="false">IF(OR($N93="", $O93=""),"",IF($N93&gt;=Lists!$AG$2,IF($O93&gt;=Lists!$AG$4,"High Value / High Risk","High Value / Low Risk"),IF($O93&gt;=Lists!$AG$4,"Low Value / High Risk","Low Value / Low Risk")))</f>
        <v/>
      </c>
      <c r="AF93" s="101"/>
      <c r="AG93" s="126"/>
      <c r="AH93" s="106" t="str">
        <f aca="false">IF($B93="","",COUNTIFS('Debt Backlog'!$AF$2:$AF$1000,$A93,'Debt Backlog'!$B$2:$B$1000,"&lt;&gt;",'Debt Backlog'!$N$2:$N$1000,"&lt;&gt;Done",'Debt Backlog'!$N$2:$N$1000,"&lt;&gt;Won't Fix",'Debt Backlog'!$N$2:$N$1000,"&lt;&gt;Duplicate"))</f>
        <v/>
      </c>
      <c r="AI93" s="103" t="str">
        <f aca="false">IF($B93="","",ROUND(SUMIFS('Debt Backlog'!$L$2:$L$1000,'Debt Backlog'!$AF$2:$AF$1000,$A93,'Debt Backlog'!$B$2:$B$1000,"&lt;&gt;",'Debt Backlog'!$N$2:$N$1000,"&lt;&gt;Done",'Debt Backlog'!$N$2:$N$1000,"&lt;&gt;Won't Fix",'Debt Backlog'!$N$2:$N$1000,"&lt;&gt;Duplicate"),2))</f>
        <v/>
      </c>
    </row>
    <row r="94" customFormat="false" ht="15.75" hidden="false" customHeight="true" outlineLevel="0" collapsed="false">
      <c r="A94" s="125"/>
      <c r="B94" s="101"/>
      <c r="C94" s="101"/>
      <c r="D94" s="101"/>
      <c r="E94" s="101"/>
      <c r="F94" s="101"/>
      <c r="G94" s="101"/>
      <c r="H94" s="101"/>
      <c r="I94" s="106"/>
      <c r="J94" s="106"/>
      <c r="K94" s="106"/>
      <c r="L94" s="106"/>
      <c r="M94" s="106"/>
      <c r="N94" s="103" t="str">
        <f aca="false">IF(OR($B94="", $I94="", $J94="", $K94="", $L94="", $M94=""),"",ROUND(($I94*Lists!$AD$2)+($J94*Lists!$AD$3)+($K94*Lists!$AD$4)+($L94*Lists!$AD$5)+($M94*Lists!$AD$6),2))</f>
        <v/>
      </c>
      <c r="O94" s="103" t="str">
        <f aca="false">IF($A94="","",IFERROR(VLOOKUP($A94,'Risk Register'!$B$2:$I$1000,8,FALSE()),""))</f>
        <v/>
      </c>
      <c r="P94" s="106"/>
      <c r="Q94" s="106"/>
      <c r="R94" s="106"/>
      <c r="S94" s="106"/>
      <c r="T94" s="103" t="str">
        <f aca="false">IF(OR($B94="", $P94="", $Q94="", $R94="", $S94=""),"",ROUND(($P94*Lists!$AD$7)+($Q94*Lists!$AD$8)+($R94*Lists!$AD$9)+($S94*Lists!$AD$10),2))</f>
        <v/>
      </c>
      <c r="U94" s="106"/>
      <c r="V94" s="106"/>
      <c r="W94" s="106"/>
      <c r="X94" s="106"/>
      <c r="Y94" s="106"/>
      <c r="Z94" s="103" t="str">
        <f aca="false">IF(OR($B94="", $U94="", $V94="", $W94="", $X94="", $Y94=""),"",ROUND(($U94*Lists!$AD$11)+($V94*Lists!$AD$12)+($W94*Lists!$AD$13)+($X94*Lists!$AD$14)+($Y94*Lists!$AD$15),2))</f>
        <v/>
      </c>
      <c r="AA94" s="103" t="str">
        <f aca="false">IF(OR($B94="", $N94="", $O94="", $T94="", $Z94=""),"",ROUND(($N94*Lists!$AD$16)-($O94*Lists!$AD$17)-($T94*Lists!$AD$18)+($Z94*Lists!$AD$19),2))</f>
        <v/>
      </c>
      <c r="AB94" s="102" t="str">
        <f aca="false">IF(OR($B94="", $N94="", $Z94=""),"",IF($N94&gt;=Lists!$AG$2,IF($Z94&gt;=Lists!$AG$3,"Invest","Migrate"),IF($Z94&gt;=Lists!$AG$3,"Tolerate","Eliminate")))</f>
        <v/>
      </c>
      <c r="AC94" s="102" t="str">
        <f aca="false">IF($B94="","",IF($J94&gt;=4,"Yes",""))</f>
        <v/>
      </c>
      <c r="AD94" s="102" t="str">
        <f aca="false">IF($A94="","",IFERROR(IF(VLOOKUP($A94,'Risk Register'!$B$2:$H$1000,4,FALSE())&gt;=4,"Yes",""),""))</f>
        <v/>
      </c>
      <c r="AE94" s="102" t="str">
        <f aca="false">IF(OR($N94="", $O94=""),"",IF($N94&gt;=Lists!$AG$2,IF($O94&gt;=Lists!$AG$4,"High Value / High Risk","High Value / Low Risk"),IF($O94&gt;=Lists!$AG$4,"Low Value / High Risk","Low Value / Low Risk")))</f>
        <v/>
      </c>
      <c r="AF94" s="101"/>
      <c r="AG94" s="126"/>
      <c r="AH94" s="106" t="str">
        <f aca="false">IF($B94="","",COUNTIFS('Debt Backlog'!$AF$2:$AF$1000,$A94,'Debt Backlog'!$B$2:$B$1000,"&lt;&gt;",'Debt Backlog'!$N$2:$N$1000,"&lt;&gt;Done",'Debt Backlog'!$N$2:$N$1000,"&lt;&gt;Won't Fix",'Debt Backlog'!$N$2:$N$1000,"&lt;&gt;Duplicate"))</f>
        <v/>
      </c>
      <c r="AI94" s="103" t="str">
        <f aca="false">IF($B94="","",ROUND(SUMIFS('Debt Backlog'!$L$2:$L$1000,'Debt Backlog'!$AF$2:$AF$1000,$A94,'Debt Backlog'!$B$2:$B$1000,"&lt;&gt;",'Debt Backlog'!$N$2:$N$1000,"&lt;&gt;Done",'Debt Backlog'!$N$2:$N$1000,"&lt;&gt;Won't Fix",'Debt Backlog'!$N$2:$N$1000,"&lt;&gt;Duplicate"),2))</f>
        <v/>
      </c>
    </row>
    <row r="95" customFormat="false" ht="15.75" hidden="false" customHeight="true" outlineLevel="0" collapsed="false">
      <c r="A95" s="125"/>
      <c r="B95" s="101"/>
      <c r="C95" s="101"/>
      <c r="D95" s="101"/>
      <c r="E95" s="101"/>
      <c r="F95" s="101"/>
      <c r="G95" s="101"/>
      <c r="H95" s="101"/>
      <c r="I95" s="106"/>
      <c r="J95" s="106"/>
      <c r="K95" s="106"/>
      <c r="L95" s="106"/>
      <c r="M95" s="106"/>
      <c r="N95" s="103" t="str">
        <f aca="false">IF(OR($B95="", $I95="", $J95="", $K95="", $L95="", $M95=""),"",ROUND(($I95*Lists!$AD$2)+($J95*Lists!$AD$3)+($K95*Lists!$AD$4)+($L95*Lists!$AD$5)+($M95*Lists!$AD$6),2))</f>
        <v/>
      </c>
      <c r="O95" s="103" t="str">
        <f aca="false">IF($A95="","",IFERROR(VLOOKUP($A95,'Risk Register'!$B$2:$I$1000,8,FALSE()),""))</f>
        <v/>
      </c>
      <c r="P95" s="106"/>
      <c r="Q95" s="106"/>
      <c r="R95" s="106"/>
      <c r="S95" s="106"/>
      <c r="T95" s="103" t="str">
        <f aca="false">IF(OR($B95="", $P95="", $Q95="", $R95="", $S95=""),"",ROUND(($P95*Lists!$AD$7)+($Q95*Lists!$AD$8)+($R95*Lists!$AD$9)+($S95*Lists!$AD$10),2))</f>
        <v/>
      </c>
      <c r="U95" s="106"/>
      <c r="V95" s="106"/>
      <c r="W95" s="106"/>
      <c r="X95" s="106"/>
      <c r="Y95" s="106"/>
      <c r="Z95" s="103" t="str">
        <f aca="false">IF(OR($B95="", $U95="", $V95="", $W95="", $X95="", $Y95=""),"",ROUND(($U95*Lists!$AD$11)+($V95*Lists!$AD$12)+($W95*Lists!$AD$13)+($X95*Lists!$AD$14)+($Y95*Lists!$AD$15),2))</f>
        <v/>
      </c>
      <c r="AA95" s="103" t="str">
        <f aca="false">IF(OR($B95="", $N95="", $O95="", $T95="", $Z95=""),"",ROUND(($N95*Lists!$AD$16)-($O95*Lists!$AD$17)-($T95*Lists!$AD$18)+($Z95*Lists!$AD$19),2))</f>
        <v/>
      </c>
      <c r="AB95" s="102" t="str">
        <f aca="false">IF(OR($B95="", $N95="", $Z95=""),"",IF($N95&gt;=Lists!$AG$2,IF($Z95&gt;=Lists!$AG$3,"Invest","Migrate"),IF($Z95&gt;=Lists!$AG$3,"Tolerate","Eliminate")))</f>
        <v/>
      </c>
      <c r="AC95" s="102" t="str">
        <f aca="false">IF($B95="","",IF($J95&gt;=4,"Yes",""))</f>
        <v/>
      </c>
      <c r="AD95" s="102" t="str">
        <f aca="false">IF($A95="","",IFERROR(IF(VLOOKUP($A95,'Risk Register'!$B$2:$H$1000,4,FALSE())&gt;=4,"Yes",""),""))</f>
        <v/>
      </c>
      <c r="AE95" s="102" t="str">
        <f aca="false">IF(OR($N95="", $O95=""),"",IF($N95&gt;=Lists!$AG$2,IF($O95&gt;=Lists!$AG$4,"High Value / High Risk","High Value / Low Risk"),IF($O95&gt;=Lists!$AG$4,"Low Value / High Risk","Low Value / Low Risk")))</f>
        <v/>
      </c>
      <c r="AF95" s="101"/>
      <c r="AG95" s="126"/>
      <c r="AH95" s="106" t="str">
        <f aca="false">IF($B95="","",COUNTIFS('Debt Backlog'!$AF$2:$AF$1000,$A95,'Debt Backlog'!$B$2:$B$1000,"&lt;&gt;",'Debt Backlog'!$N$2:$N$1000,"&lt;&gt;Done",'Debt Backlog'!$N$2:$N$1000,"&lt;&gt;Won't Fix",'Debt Backlog'!$N$2:$N$1000,"&lt;&gt;Duplicate"))</f>
        <v/>
      </c>
      <c r="AI95" s="103" t="str">
        <f aca="false">IF($B95="","",ROUND(SUMIFS('Debt Backlog'!$L$2:$L$1000,'Debt Backlog'!$AF$2:$AF$1000,$A95,'Debt Backlog'!$B$2:$B$1000,"&lt;&gt;",'Debt Backlog'!$N$2:$N$1000,"&lt;&gt;Done",'Debt Backlog'!$N$2:$N$1000,"&lt;&gt;Won't Fix",'Debt Backlog'!$N$2:$N$1000,"&lt;&gt;Duplicate"),2))</f>
        <v/>
      </c>
    </row>
    <row r="96" customFormat="false" ht="15.75" hidden="false" customHeight="true" outlineLevel="0" collapsed="false">
      <c r="A96" s="125"/>
      <c r="B96" s="101"/>
      <c r="C96" s="101"/>
      <c r="D96" s="101"/>
      <c r="E96" s="101"/>
      <c r="F96" s="101"/>
      <c r="G96" s="101"/>
      <c r="H96" s="101"/>
      <c r="I96" s="106"/>
      <c r="J96" s="106"/>
      <c r="K96" s="106"/>
      <c r="L96" s="106"/>
      <c r="M96" s="106"/>
      <c r="N96" s="103" t="str">
        <f aca="false">IF(OR($B96="", $I96="", $J96="", $K96="", $L96="", $M96=""),"",ROUND(($I96*Lists!$AD$2)+($J96*Lists!$AD$3)+($K96*Lists!$AD$4)+($L96*Lists!$AD$5)+($M96*Lists!$AD$6),2))</f>
        <v/>
      </c>
      <c r="O96" s="103" t="str">
        <f aca="false">IF($A96="","",IFERROR(VLOOKUP($A96,'Risk Register'!$B$2:$I$1000,8,FALSE()),""))</f>
        <v/>
      </c>
      <c r="P96" s="106"/>
      <c r="Q96" s="106"/>
      <c r="R96" s="106"/>
      <c r="S96" s="106"/>
      <c r="T96" s="103" t="str">
        <f aca="false">IF(OR($B96="", $P96="", $Q96="", $R96="", $S96=""),"",ROUND(($P96*Lists!$AD$7)+($Q96*Lists!$AD$8)+($R96*Lists!$AD$9)+($S96*Lists!$AD$10),2))</f>
        <v/>
      </c>
      <c r="U96" s="106"/>
      <c r="V96" s="106"/>
      <c r="W96" s="106"/>
      <c r="X96" s="106"/>
      <c r="Y96" s="106"/>
      <c r="Z96" s="103" t="str">
        <f aca="false">IF(OR($B96="", $U96="", $V96="", $W96="", $X96="", $Y96=""),"",ROUND(($U96*Lists!$AD$11)+($V96*Lists!$AD$12)+($W96*Lists!$AD$13)+($X96*Lists!$AD$14)+($Y96*Lists!$AD$15),2))</f>
        <v/>
      </c>
      <c r="AA96" s="103" t="str">
        <f aca="false">IF(OR($B96="", $N96="", $O96="", $T96="", $Z96=""),"",ROUND(($N96*Lists!$AD$16)-($O96*Lists!$AD$17)-($T96*Lists!$AD$18)+($Z96*Lists!$AD$19),2))</f>
        <v/>
      </c>
      <c r="AB96" s="102" t="str">
        <f aca="false">IF(OR($B96="", $N96="", $Z96=""),"",IF($N96&gt;=Lists!$AG$2,IF($Z96&gt;=Lists!$AG$3,"Invest","Migrate"),IF($Z96&gt;=Lists!$AG$3,"Tolerate","Eliminate")))</f>
        <v/>
      </c>
      <c r="AC96" s="102" t="str">
        <f aca="false">IF($B96="","",IF($J96&gt;=4,"Yes",""))</f>
        <v/>
      </c>
      <c r="AD96" s="102" t="str">
        <f aca="false">IF($A96="","",IFERROR(IF(VLOOKUP($A96,'Risk Register'!$B$2:$H$1000,4,FALSE())&gt;=4,"Yes",""),""))</f>
        <v/>
      </c>
      <c r="AE96" s="102" t="str">
        <f aca="false">IF(OR($N96="", $O96=""),"",IF($N96&gt;=Lists!$AG$2,IF($O96&gt;=Lists!$AG$4,"High Value / High Risk","High Value / Low Risk"),IF($O96&gt;=Lists!$AG$4,"Low Value / High Risk","Low Value / Low Risk")))</f>
        <v/>
      </c>
      <c r="AF96" s="101"/>
      <c r="AG96" s="126"/>
      <c r="AH96" s="106" t="str">
        <f aca="false">IF($B96="","",COUNTIFS('Debt Backlog'!$AF$2:$AF$1000,$A96,'Debt Backlog'!$B$2:$B$1000,"&lt;&gt;",'Debt Backlog'!$N$2:$N$1000,"&lt;&gt;Done",'Debt Backlog'!$N$2:$N$1000,"&lt;&gt;Won't Fix",'Debt Backlog'!$N$2:$N$1000,"&lt;&gt;Duplicate"))</f>
        <v/>
      </c>
      <c r="AI96" s="103" t="str">
        <f aca="false">IF($B96="","",ROUND(SUMIFS('Debt Backlog'!$L$2:$L$1000,'Debt Backlog'!$AF$2:$AF$1000,$A96,'Debt Backlog'!$B$2:$B$1000,"&lt;&gt;",'Debt Backlog'!$N$2:$N$1000,"&lt;&gt;Done",'Debt Backlog'!$N$2:$N$1000,"&lt;&gt;Won't Fix",'Debt Backlog'!$N$2:$N$1000,"&lt;&gt;Duplicate"),2))</f>
        <v/>
      </c>
    </row>
    <row r="97" customFormat="false" ht="15.75" hidden="false" customHeight="true" outlineLevel="0" collapsed="false">
      <c r="A97" s="125"/>
      <c r="B97" s="101"/>
      <c r="C97" s="101"/>
      <c r="D97" s="101"/>
      <c r="E97" s="101"/>
      <c r="F97" s="101"/>
      <c r="G97" s="101"/>
      <c r="H97" s="101"/>
      <c r="I97" s="106"/>
      <c r="J97" s="106"/>
      <c r="K97" s="106"/>
      <c r="L97" s="106"/>
      <c r="M97" s="106"/>
      <c r="N97" s="103" t="str">
        <f aca="false">IF(OR($B97="", $I97="", $J97="", $K97="", $L97="", $M97=""),"",ROUND(($I97*Lists!$AD$2)+($J97*Lists!$AD$3)+($K97*Lists!$AD$4)+($L97*Lists!$AD$5)+($M97*Lists!$AD$6),2))</f>
        <v/>
      </c>
      <c r="O97" s="103" t="str">
        <f aca="false">IF($A97="","",IFERROR(VLOOKUP($A97,'Risk Register'!$B$2:$I$1000,8,FALSE()),""))</f>
        <v/>
      </c>
      <c r="P97" s="106"/>
      <c r="Q97" s="106"/>
      <c r="R97" s="106"/>
      <c r="S97" s="106"/>
      <c r="T97" s="103" t="str">
        <f aca="false">IF(OR($B97="", $P97="", $Q97="", $R97="", $S97=""),"",ROUND(($P97*Lists!$AD$7)+($Q97*Lists!$AD$8)+($R97*Lists!$AD$9)+($S97*Lists!$AD$10),2))</f>
        <v/>
      </c>
      <c r="U97" s="106"/>
      <c r="V97" s="106"/>
      <c r="W97" s="106"/>
      <c r="X97" s="106"/>
      <c r="Y97" s="106"/>
      <c r="Z97" s="103" t="str">
        <f aca="false">IF(OR($B97="", $U97="", $V97="", $W97="", $X97="", $Y97=""),"",ROUND(($U97*Lists!$AD$11)+($V97*Lists!$AD$12)+($W97*Lists!$AD$13)+($X97*Lists!$AD$14)+($Y97*Lists!$AD$15),2))</f>
        <v/>
      </c>
      <c r="AA97" s="103" t="str">
        <f aca="false">IF(OR($B97="", $N97="", $O97="", $T97="", $Z97=""),"",ROUND(($N97*Lists!$AD$16)-($O97*Lists!$AD$17)-($T97*Lists!$AD$18)+($Z97*Lists!$AD$19),2))</f>
        <v/>
      </c>
      <c r="AB97" s="102" t="str">
        <f aca="false">IF(OR($B97="", $N97="", $Z97=""),"",IF($N97&gt;=Lists!$AG$2,IF($Z97&gt;=Lists!$AG$3,"Invest","Migrate"),IF($Z97&gt;=Lists!$AG$3,"Tolerate","Eliminate")))</f>
        <v/>
      </c>
      <c r="AC97" s="102" t="str">
        <f aca="false">IF($B97="","",IF($J97&gt;=4,"Yes",""))</f>
        <v/>
      </c>
      <c r="AD97" s="102" t="str">
        <f aca="false">IF($A97="","",IFERROR(IF(VLOOKUP($A97,'Risk Register'!$B$2:$H$1000,4,FALSE())&gt;=4,"Yes",""),""))</f>
        <v/>
      </c>
      <c r="AE97" s="102" t="str">
        <f aca="false">IF(OR($N97="", $O97=""),"",IF($N97&gt;=Lists!$AG$2,IF($O97&gt;=Lists!$AG$4,"High Value / High Risk","High Value / Low Risk"),IF($O97&gt;=Lists!$AG$4,"Low Value / High Risk","Low Value / Low Risk")))</f>
        <v/>
      </c>
      <c r="AF97" s="101"/>
      <c r="AG97" s="126"/>
      <c r="AH97" s="106" t="str">
        <f aca="false">IF($B97="","",COUNTIFS('Debt Backlog'!$AF$2:$AF$1000,$A97,'Debt Backlog'!$B$2:$B$1000,"&lt;&gt;",'Debt Backlog'!$N$2:$N$1000,"&lt;&gt;Done",'Debt Backlog'!$N$2:$N$1000,"&lt;&gt;Won't Fix",'Debt Backlog'!$N$2:$N$1000,"&lt;&gt;Duplicate"))</f>
        <v/>
      </c>
      <c r="AI97" s="103" t="str">
        <f aca="false">IF($B97="","",ROUND(SUMIFS('Debt Backlog'!$L$2:$L$1000,'Debt Backlog'!$AF$2:$AF$1000,$A97,'Debt Backlog'!$B$2:$B$1000,"&lt;&gt;",'Debt Backlog'!$N$2:$N$1000,"&lt;&gt;Done",'Debt Backlog'!$N$2:$N$1000,"&lt;&gt;Won't Fix",'Debt Backlog'!$N$2:$N$1000,"&lt;&gt;Duplicate"),2))</f>
        <v/>
      </c>
    </row>
    <row r="98" customFormat="false" ht="15.75" hidden="false" customHeight="true" outlineLevel="0" collapsed="false">
      <c r="A98" s="125"/>
      <c r="B98" s="101"/>
      <c r="C98" s="101"/>
      <c r="D98" s="101"/>
      <c r="E98" s="101"/>
      <c r="F98" s="101"/>
      <c r="G98" s="101"/>
      <c r="H98" s="101"/>
      <c r="I98" s="106"/>
      <c r="J98" s="106"/>
      <c r="K98" s="106"/>
      <c r="L98" s="106"/>
      <c r="M98" s="106"/>
      <c r="N98" s="103" t="str">
        <f aca="false">IF(OR($B98="", $I98="", $J98="", $K98="", $L98="", $M98=""),"",ROUND(($I98*Lists!$AD$2)+($J98*Lists!$AD$3)+($K98*Lists!$AD$4)+($L98*Lists!$AD$5)+($M98*Lists!$AD$6),2))</f>
        <v/>
      </c>
      <c r="O98" s="103" t="str">
        <f aca="false">IF($A98="","",IFERROR(VLOOKUP($A98,'Risk Register'!$B$2:$I$1000,8,FALSE()),""))</f>
        <v/>
      </c>
      <c r="P98" s="106"/>
      <c r="Q98" s="106"/>
      <c r="R98" s="106"/>
      <c r="S98" s="106"/>
      <c r="T98" s="103" t="str">
        <f aca="false">IF(OR($B98="", $P98="", $Q98="", $R98="", $S98=""),"",ROUND(($P98*Lists!$AD$7)+($Q98*Lists!$AD$8)+($R98*Lists!$AD$9)+($S98*Lists!$AD$10),2))</f>
        <v/>
      </c>
      <c r="U98" s="106"/>
      <c r="V98" s="106"/>
      <c r="W98" s="106"/>
      <c r="X98" s="106"/>
      <c r="Y98" s="106"/>
      <c r="Z98" s="103" t="str">
        <f aca="false">IF(OR($B98="", $U98="", $V98="", $W98="", $X98="", $Y98=""),"",ROUND(($U98*Lists!$AD$11)+($V98*Lists!$AD$12)+($W98*Lists!$AD$13)+($X98*Lists!$AD$14)+($Y98*Lists!$AD$15),2))</f>
        <v/>
      </c>
      <c r="AA98" s="103" t="str">
        <f aca="false">IF(OR($B98="", $N98="", $O98="", $T98="", $Z98=""),"",ROUND(($N98*Lists!$AD$16)-($O98*Lists!$AD$17)-($T98*Lists!$AD$18)+($Z98*Lists!$AD$19),2))</f>
        <v/>
      </c>
      <c r="AB98" s="102" t="str">
        <f aca="false">IF(OR($B98="", $N98="", $Z98=""),"",IF($N98&gt;=Lists!$AG$2,IF($Z98&gt;=Lists!$AG$3,"Invest","Migrate"),IF($Z98&gt;=Lists!$AG$3,"Tolerate","Eliminate")))</f>
        <v/>
      </c>
      <c r="AC98" s="102" t="str">
        <f aca="false">IF($B98="","",IF($J98&gt;=4,"Yes",""))</f>
        <v/>
      </c>
      <c r="AD98" s="102" t="str">
        <f aca="false">IF($A98="","",IFERROR(IF(VLOOKUP($A98,'Risk Register'!$B$2:$H$1000,4,FALSE())&gt;=4,"Yes",""),""))</f>
        <v/>
      </c>
      <c r="AE98" s="102" t="str">
        <f aca="false">IF(OR($N98="", $O98=""),"",IF($N98&gt;=Lists!$AG$2,IF($O98&gt;=Lists!$AG$4,"High Value / High Risk","High Value / Low Risk"),IF($O98&gt;=Lists!$AG$4,"Low Value / High Risk","Low Value / Low Risk")))</f>
        <v/>
      </c>
      <c r="AF98" s="101"/>
      <c r="AG98" s="126"/>
      <c r="AH98" s="106" t="str">
        <f aca="false">IF($B98="","",COUNTIFS('Debt Backlog'!$AF$2:$AF$1000,$A98,'Debt Backlog'!$B$2:$B$1000,"&lt;&gt;",'Debt Backlog'!$N$2:$N$1000,"&lt;&gt;Done",'Debt Backlog'!$N$2:$N$1000,"&lt;&gt;Won't Fix",'Debt Backlog'!$N$2:$N$1000,"&lt;&gt;Duplicate"))</f>
        <v/>
      </c>
      <c r="AI98" s="103" t="str">
        <f aca="false">IF($B98="","",ROUND(SUMIFS('Debt Backlog'!$L$2:$L$1000,'Debt Backlog'!$AF$2:$AF$1000,$A98,'Debt Backlog'!$B$2:$B$1000,"&lt;&gt;",'Debt Backlog'!$N$2:$N$1000,"&lt;&gt;Done",'Debt Backlog'!$N$2:$N$1000,"&lt;&gt;Won't Fix",'Debt Backlog'!$N$2:$N$1000,"&lt;&gt;Duplicate"),2))</f>
        <v/>
      </c>
    </row>
    <row r="99" customFormat="false" ht="15.75" hidden="false" customHeight="true" outlineLevel="0" collapsed="false">
      <c r="A99" s="125"/>
      <c r="B99" s="101"/>
      <c r="C99" s="101"/>
      <c r="D99" s="101"/>
      <c r="E99" s="101"/>
      <c r="F99" s="101"/>
      <c r="G99" s="101"/>
      <c r="H99" s="101"/>
      <c r="I99" s="106"/>
      <c r="J99" s="106"/>
      <c r="K99" s="106"/>
      <c r="L99" s="106"/>
      <c r="M99" s="106"/>
      <c r="N99" s="103" t="str">
        <f aca="false">IF(OR($B99="", $I99="", $J99="", $K99="", $L99="", $M99=""),"",ROUND(($I99*Lists!$AD$2)+($J99*Lists!$AD$3)+($K99*Lists!$AD$4)+($L99*Lists!$AD$5)+($M99*Lists!$AD$6),2))</f>
        <v/>
      </c>
      <c r="O99" s="103" t="str">
        <f aca="false">IF($A99="","",IFERROR(VLOOKUP($A99,'Risk Register'!$B$2:$I$1000,8,FALSE()),""))</f>
        <v/>
      </c>
      <c r="P99" s="106"/>
      <c r="Q99" s="106"/>
      <c r="R99" s="106"/>
      <c r="S99" s="106"/>
      <c r="T99" s="103" t="str">
        <f aca="false">IF(OR($B99="", $P99="", $Q99="", $R99="", $S99=""),"",ROUND(($P99*Lists!$AD$7)+($Q99*Lists!$AD$8)+($R99*Lists!$AD$9)+($S99*Lists!$AD$10),2))</f>
        <v/>
      </c>
      <c r="U99" s="106"/>
      <c r="V99" s="106"/>
      <c r="W99" s="106"/>
      <c r="X99" s="106"/>
      <c r="Y99" s="106"/>
      <c r="Z99" s="103" t="str">
        <f aca="false">IF(OR($B99="", $U99="", $V99="", $W99="", $X99="", $Y99=""),"",ROUND(($U99*Lists!$AD$11)+($V99*Lists!$AD$12)+($W99*Lists!$AD$13)+($X99*Lists!$AD$14)+($Y99*Lists!$AD$15),2))</f>
        <v/>
      </c>
      <c r="AA99" s="103" t="str">
        <f aca="false">IF(OR($B99="", $N99="", $O99="", $T99="", $Z99=""),"",ROUND(($N99*Lists!$AD$16)-($O99*Lists!$AD$17)-($T99*Lists!$AD$18)+($Z99*Lists!$AD$19),2))</f>
        <v/>
      </c>
      <c r="AB99" s="102" t="str">
        <f aca="false">IF(OR($B99="", $N99="", $Z99=""),"",IF($N99&gt;=Lists!$AG$2,IF($Z99&gt;=Lists!$AG$3,"Invest","Migrate"),IF($Z99&gt;=Lists!$AG$3,"Tolerate","Eliminate")))</f>
        <v/>
      </c>
      <c r="AC99" s="102" t="str">
        <f aca="false">IF($B99="","",IF($J99&gt;=4,"Yes",""))</f>
        <v/>
      </c>
      <c r="AD99" s="102" t="str">
        <f aca="false">IF($A99="","",IFERROR(IF(VLOOKUP($A99,'Risk Register'!$B$2:$H$1000,4,FALSE())&gt;=4,"Yes",""),""))</f>
        <v/>
      </c>
      <c r="AE99" s="102" t="str">
        <f aca="false">IF(OR($N99="", $O99=""),"",IF($N99&gt;=Lists!$AG$2,IF($O99&gt;=Lists!$AG$4,"High Value / High Risk","High Value / Low Risk"),IF($O99&gt;=Lists!$AG$4,"Low Value / High Risk","Low Value / Low Risk")))</f>
        <v/>
      </c>
      <c r="AF99" s="101"/>
      <c r="AG99" s="126"/>
      <c r="AH99" s="106" t="str">
        <f aca="false">IF($B99="","",COUNTIFS('Debt Backlog'!$AF$2:$AF$1000,$A99,'Debt Backlog'!$B$2:$B$1000,"&lt;&gt;",'Debt Backlog'!$N$2:$N$1000,"&lt;&gt;Done",'Debt Backlog'!$N$2:$N$1000,"&lt;&gt;Won't Fix",'Debt Backlog'!$N$2:$N$1000,"&lt;&gt;Duplicate"))</f>
        <v/>
      </c>
      <c r="AI99" s="103" t="str">
        <f aca="false">IF($B99="","",ROUND(SUMIFS('Debt Backlog'!$L$2:$L$1000,'Debt Backlog'!$AF$2:$AF$1000,$A99,'Debt Backlog'!$B$2:$B$1000,"&lt;&gt;",'Debt Backlog'!$N$2:$N$1000,"&lt;&gt;Done",'Debt Backlog'!$N$2:$N$1000,"&lt;&gt;Won't Fix",'Debt Backlog'!$N$2:$N$1000,"&lt;&gt;Duplicate"),2))</f>
        <v/>
      </c>
    </row>
    <row r="100" customFormat="false" ht="15.75" hidden="false" customHeight="true" outlineLevel="0" collapsed="false">
      <c r="A100" s="125"/>
      <c r="B100" s="101"/>
      <c r="C100" s="101"/>
      <c r="D100" s="101"/>
      <c r="E100" s="101"/>
      <c r="F100" s="101"/>
      <c r="G100" s="101"/>
      <c r="H100" s="101"/>
      <c r="I100" s="106"/>
      <c r="J100" s="106"/>
      <c r="K100" s="106"/>
      <c r="L100" s="106"/>
      <c r="M100" s="106"/>
      <c r="N100" s="103" t="str">
        <f aca="false">IF(OR($B100="", $I100="", $J100="", $K100="", $L100="", $M100=""),"",ROUND(($I100*Lists!$AD$2)+($J100*Lists!$AD$3)+($K100*Lists!$AD$4)+($L100*Lists!$AD$5)+($M100*Lists!$AD$6),2))</f>
        <v/>
      </c>
      <c r="O100" s="103" t="str">
        <f aca="false">IF($A100="","",IFERROR(VLOOKUP($A100,'Risk Register'!$B$2:$I$1000,8,FALSE()),""))</f>
        <v/>
      </c>
      <c r="P100" s="106"/>
      <c r="Q100" s="106"/>
      <c r="R100" s="106"/>
      <c r="S100" s="106"/>
      <c r="T100" s="103" t="str">
        <f aca="false">IF(OR($B100="", $P100="", $Q100="", $R100="", $S100=""),"",ROUND(($P100*Lists!$AD$7)+($Q100*Lists!$AD$8)+($R100*Lists!$AD$9)+($S100*Lists!$AD$10),2))</f>
        <v/>
      </c>
      <c r="U100" s="106"/>
      <c r="V100" s="106"/>
      <c r="W100" s="106"/>
      <c r="X100" s="106"/>
      <c r="Y100" s="106"/>
      <c r="Z100" s="103" t="str">
        <f aca="false">IF(OR($B100="", $U100="", $V100="", $W100="", $X100="", $Y100=""),"",ROUND(($U100*Lists!$AD$11)+($V100*Lists!$AD$12)+($W100*Lists!$AD$13)+($X100*Lists!$AD$14)+($Y100*Lists!$AD$15),2))</f>
        <v/>
      </c>
      <c r="AA100" s="103" t="str">
        <f aca="false">IF(OR($B100="", $N100="", $O100="", $T100="", $Z100=""),"",ROUND(($N100*Lists!$AD$16)-($O100*Lists!$AD$17)-($T100*Lists!$AD$18)+($Z100*Lists!$AD$19),2))</f>
        <v/>
      </c>
      <c r="AB100" s="102" t="str">
        <f aca="false">IF(OR($B100="", $N100="", $Z100=""),"",IF($N100&gt;=Lists!$AG$2,IF($Z100&gt;=Lists!$AG$3,"Invest","Migrate"),IF($Z100&gt;=Lists!$AG$3,"Tolerate","Eliminate")))</f>
        <v/>
      </c>
      <c r="AC100" s="102" t="str">
        <f aca="false">IF($B100="","",IF($J100&gt;=4,"Yes",""))</f>
        <v/>
      </c>
      <c r="AD100" s="102" t="str">
        <f aca="false">IF($A100="","",IFERROR(IF(VLOOKUP($A100,'Risk Register'!$B$2:$H$1000,4,FALSE())&gt;=4,"Yes",""),""))</f>
        <v/>
      </c>
      <c r="AE100" s="102" t="str">
        <f aca="false">IF(OR($N100="", $O100=""),"",IF($N100&gt;=Lists!$AG$2,IF($O100&gt;=Lists!$AG$4,"High Value / High Risk","High Value / Low Risk"),IF($O100&gt;=Lists!$AG$4,"Low Value / High Risk","Low Value / Low Risk")))</f>
        <v/>
      </c>
      <c r="AF100" s="101"/>
      <c r="AG100" s="126"/>
      <c r="AH100" s="106" t="str">
        <f aca="false">IF($B100="","",COUNTIFS('Debt Backlog'!$AF$2:$AF$1000,$A100,'Debt Backlog'!$B$2:$B$1000,"&lt;&gt;",'Debt Backlog'!$N$2:$N$1000,"&lt;&gt;Done",'Debt Backlog'!$N$2:$N$1000,"&lt;&gt;Won't Fix",'Debt Backlog'!$N$2:$N$1000,"&lt;&gt;Duplicate"))</f>
        <v/>
      </c>
      <c r="AI100" s="103" t="str">
        <f aca="false">IF($B100="","",ROUND(SUMIFS('Debt Backlog'!$L$2:$L$1000,'Debt Backlog'!$AF$2:$AF$1000,$A100,'Debt Backlog'!$B$2:$B$1000,"&lt;&gt;",'Debt Backlog'!$N$2:$N$1000,"&lt;&gt;Done",'Debt Backlog'!$N$2:$N$1000,"&lt;&gt;Won't Fix",'Debt Backlog'!$N$2:$N$1000,"&lt;&gt;Duplicate"),2))</f>
        <v/>
      </c>
    </row>
    <row r="101" customFormat="false" ht="15.75" hidden="false" customHeight="true" outlineLevel="0" collapsed="false">
      <c r="A101" s="125"/>
      <c r="B101" s="101"/>
      <c r="C101" s="101"/>
      <c r="D101" s="101"/>
      <c r="E101" s="101"/>
      <c r="F101" s="101"/>
      <c r="G101" s="101"/>
      <c r="H101" s="101"/>
      <c r="I101" s="106"/>
      <c r="J101" s="106"/>
      <c r="K101" s="106"/>
      <c r="L101" s="106"/>
      <c r="M101" s="106"/>
      <c r="N101" s="103" t="str">
        <f aca="false">IF(OR($B101="", $I101="", $J101="", $K101="", $L101="", $M101=""),"",ROUND(($I101*Lists!$AD$2)+($J101*Lists!$AD$3)+($K101*Lists!$AD$4)+($L101*Lists!$AD$5)+($M101*Lists!$AD$6),2))</f>
        <v/>
      </c>
      <c r="O101" s="103" t="str">
        <f aca="false">IF($A101="","",IFERROR(VLOOKUP($A101,'Risk Register'!$B$2:$I$1000,8,FALSE()),""))</f>
        <v/>
      </c>
      <c r="P101" s="106"/>
      <c r="Q101" s="106"/>
      <c r="R101" s="106"/>
      <c r="S101" s="106"/>
      <c r="T101" s="103" t="str">
        <f aca="false">IF(OR($B101="", $P101="", $Q101="", $R101="", $S101=""),"",ROUND(($P101*Lists!$AD$7)+($Q101*Lists!$AD$8)+($R101*Lists!$AD$9)+($S101*Lists!$AD$10),2))</f>
        <v/>
      </c>
      <c r="U101" s="106"/>
      <c r="V101" s="106"/>
      <c r="W101" s="106"/>
      <c r="X101" s="106"/>
      <c r="Y101" s="106"/>
      <c r="Z101" s="103" t="str">
        <f aca="false">IF(OR($B101="", $U101="", $V101="", $W101="", $X101="", $Y101=""),"",ROUND(($U101*Lists!$AD$11)+($V101*Lists!$AD$12)+($W101*Lists!$AD$13)+($X101*Lists!$AD$14)+($Y101*Lists!$AD$15),2))</f>
        <v/>
      </c>
      <c r="AA101" s="103" t="str">
        <f aca="false">IF(OR($B101="", $N101="", $O101="", $T101="", $Z101=""),"",ROUND(($N101*Lists!$AD$16)-($O101*Lists!$AD$17)-($T101*Lists!$AD$18)+($Z101*Lists!$AD$19),2))</f>
        <v/>
      </c>
      <c r="AB101" s="102" t="str">
        <f aca="false">IF(OR($B101="", $N101="", $Z101=""),"",IF($N101&gt;=Lists!$AG$2,IF($Z101&gt;=Lists!$AG$3,"Invest","Migrate"),IF($Z101&gt;=Lists!$AG$3,"Tolerate","Eliminate")))</f>
        <v/>
      </c>
      <c r="AC101" s="102" t="str">
        <f aca="false">IF($B101="","",IF($J101&gt;=4,"Yes",""))</f>
        <v/>
      </c>
      <c r="AD101" s="102" t="str">
        <f aca="false">IF($A101="","",IFERROR(IF(VLOOKUP($A101,'Risk Register'!$B$2:$H$1000,4,FALSE())&gt;=4,"Yes",""),""))</f>
        <v/>
      </c>
      <c r="AE101" s="102" t="str">
        <f aca="false">IF(OR($N101="", $O101=""),"",IF($N101&gt;=Lists!$AG$2,IF($O101&gt;=Lists!$AG$4,"High Value / High Risk","High Value / Low Risk"),IF($O101&gt;=Lists!$AG$4,"Low Value / High Risk","Low Value / Low Risk")))</f>
        <v/>
      </c>
      <c r="AF101" s="101"/>
      <c r="AG101" s="126"/>
      <c r="AH101" s="106" t="str">
        <f aca="false">IF($B101="","",COUNTIFS('Debt Backlog'!$AF$2:$AF$1000,$A101,'Debt Backlog'!$B$2:$B$1000,"&lt;&gt;",'Debt Backlog'!$N$2:$N$1000,"&lt;&gt;Done",'Debt Backlog'!$N$2:$N$1000,"&lt;&gt;Won't Fix",'Debt Backlog'!$N$2:$N$1000,"&lt;&gt;Duplicate"))</f>
        <v/>
      </c>
      <c r="AI101" s="103" t="str">
        <f aca="false">IF($B101="","",ROUND(SUMIFS('Debt Backlog'!$L$2:$L$1000,'Debt Backlog'!$AF$2:$AF$1000,$A101,'Debt Backlog'!$B$2:$B$1000,"&lt;&gt;",'Debt Backlog'!$N$2:$N$1000,"&lt;&gt;Done",'Debt Backlog'!$N$2:$N$1000,"&lt;&gt;Won't Fix",'Debt Backlog'!$N$2:$N$1000,"&lt;&gt;Duplicate"),2))</f>
        <v/>
      </c>
    </row>
    <row r="102" customFormat="false" ht="15.75" hidden="false" customHeight="true" outlineLevel="0" collapsed="false">
      <c r="A102" s="125"/>
      <c r="B102" s="101"/>
      <c r="C102" s="101"/>
      <c r="D102" s="101"/>
      <c r="E102" s="101"/>
      <c r="F102" s="101"/>
      <c r="G102" s="101"/>
      <c r="H102" s="101"/>
      <c r="I102" s="106"/>
      <c r="J102" s="106"/>
      <c r="K102" s="106"/>
      <c r="L102" s="106"/>
      <c r="M102" s="106"/>
      <c r="N102" s="103" t="str">
        <f aca="false">IF(OR($B102="", $I102="", $J102="", $K102="", $L102="", $M102=""),"",ROUND(($I102*Lists!$AD$2)+($J102*Lists!$AD$3)+($K102*Lists!$AD$4)+($L102*Lists!$AD$5)+($M102*Lists!$AD$6),2))</f>
        <v/>
      </c>
      <c r="O102" s="103" t="str">
        <f aca="false">IF($A102="","",IFERROR(VLOOKUP($A102,'Risk Register'!$B$2:$I$1000,8,FALSE()),""))</f>
        <v/>
      </c>
      <c r="P102" s="106"/>
      <c r="Q102" s="106"/>
      <c r="R102" s="106"/>
      <c r="S102" s="106"/>
      <c r="T102" s="103" t="str">
        <f aca="false">IF(OR($B102="", $P102="", $Q102="", $R102="", $S102=""),"",ROUND(($P102*Lists!$AD$7)+($Q102*Lists!$AD$8)+($R102*Lists!$AD$9)+($S102*Lists!$AD$10),2))</f>
        <v/>
      </c>
      <c r="U102" s="106"/>
      <c r="V102" s="106"/>
      <c r="W102" s="106"/>
      <c r="X102" s="106"/>
      <c r="Y102" s="106"/>
      <c r="Z102" s="103" t="str">
        <f aca="false">IF(OR($B102="", $U102="", $V102="", $W102="", $X102="", $Y102=""),"",ROUND(($U102*Lists!$AD$11)+($V102*Lists!$AD$12)+($W102*Lists!$AD$13)+($X102*Lists!$AD$14)+($Y102*Lists!$AD$15),2))</f>
        <v/>
      </c>
      <c r="AA102" s="103" t="str">
        <f aca="false">IF(OR($B102="", $N102="", $O102="", $T102="", $Z102=""),"",ROUND(($N102*Lists!$AD$16)-($O102*Lists!$AD$17)-($T102*Lists!$AD$18)+($Z102*Lists!$AD$19),2))</f>
        <v/>
      </c>
      <c r="AB102" s="102" t="str">
        <f aca="false">IF(OR($B102="", $N102="", $Z102=""),"",IF($N102&gt;=Lists!$AG$2,IF($Z102&gt;=Lists!$AG$3,"Invest","Migrate"),IF($Z102&gt;=Lists!$AG$3,"Tolerate","Eliminate")))</f>
        <v/>
      </c>
      <c r="AC102" s="102" t="str">
        <f aca="false">IF($B102="","",IF($J102&gt;=4,"Yes",""))</f>
        <v/>
      </c>
      <c r="AD102" s="102" t="str">
        <f aca="false">IF($A102="","",IFERROR(IF(VLOOKUP($A102,'Risk Register'!$B$2:$H$1000,4,FALSE())&gt;=4,"Yes",""),""))</f>
        <v/>
      </c>
      <c r="AE102" s="102" t="str">
        <f aca="false">IF(OR($N102="", $O102=""),"",IF($N102&gt;=Lists!$AG$2,IF($O102&gt;=Lists!$AG$4,"High Value / High Risk","High Value / Low Risk"),IF($O102&gt;=Lists!$AG$4,"Low Value / High Risk","Low Value / Low Risk")))</f>
        <v/>
      </c>
      <c r="AF102" s="101"/>
      <c r="AG102" s="126"/>
      <c r="AH102" s="106" t="str">
        <f aca="false">IF($B102="","",COUNTIFS('Debt Backlog'!$AF$2:$AF$1000,$A102,'Debt Backlog'!$B$2:$B$1000,"&lt;&gt;",'Debt Backlog'!$N$2:$N$1000,"&lt;&gt;Done",'Debt Backlog'!$N$2:$N$1000,"&lt;&gt;Won't Fix",'Debt Backlog'!$N$2:$N$1000,"&lt;&gt;Duplicate"))</f>
        <v/>
      </c>
      <c r="AI102" s="103" t="str">
        <f aca="false">IF($B102="","",ROUND(SUMIFS('Debt Backlog'!$L$2:$L$1000,'Debt Backlog'!$AF$2:$AF$1000,$A102,'Debt Backlog'!$B$2:$B$1000,"&lt;&gt;",'Debt Backlog'!$N$2:$N$1000,"&lt;&gt;Done",'Debt Backlog'!$N$2:$N$1000,"&lt;&gt;Won't Fix",'Debt Backlog'!$N$2:$N$1000,"&lt;&gt;Duplicate"),2))</f>
        <v/>
      </c>
    </row>
    <row r="103" customFormat="false" ht="15.75" hidden="false" customHeight="true" outlineLevel="0" collapsed="false">
      <c r="A103" s="125"/>
      <c r="B103" s="101"/>
      <c r="C103" s="101"/>
      <c r="D103" s="101"/>
      <c r="E103" s="101"/>
      <c r="F103" s="101"/>
      <c r="G103" s="101"/>
      <c r="H103" s="101"/>
      <c r="I103" s="106"/>
      <c r="J103" s="106"/>
      <c r="K103" s="106"/>
      <c r="L103" s="106"/>
      <c r="M103" s="106"/>
      <c r="N103" s="103" t="str">
        <f aca="false">IF(OR($B103="", $I103="", $J103="", $K103="", $L103="", $M103=""),"",ROUND(($I103*Lists!$AD$2)+($J103*Lists!$AD$3)+($K103*Lists!$AD$4)+($L103*Lists!$AD$5)+($M103*Lists!$AD$6),2))</f>
        <v/>
      </c>
      <c r="O103" s="103" t="str">
        <f aca="false">IF($A103="","",IFERROR(VLOOKUP($A103,'Risk Register'!$B$2:$I$1000,8,FALSE()),""))</f>
        <v/>
      </c>
      <c r="P103" s="106"/>
      <c r="Q103" s="106"/>
      <c r="R103" s="106"/>
      <c r="S103" s="106"/>
      <c r="T103" s="103" t="str">
        <f aca="false">IF(OR($B103="", $P103="", $Q103="", $R103="", $S103=""),"",ROUND(($P103*Lists!$AD$7)+($Q103*Lists!$AD$8)+($R103*Lists!$AD$9)+($S103*Lists!$AD$10),2))</f>
        <v/>
      </c>
      <c r="U103" s="106"/>
      <c r="V103" s="106"/>
      <c r="W103" s="106"/>
      <c r="X103" s="106"/>
      <c r="Y103" s="106"/>
      <c r="Z103" s="103" t="str">
        <f aca="false">IF(OR($B103="", $U103="", $V103="", $W103="", $X103="", $Y103=""),"",ROUND(($U103*Lists!$AD$11)+($V103*Lists!$AD$12)+($W103*Lists!$AD$13)+($X103*Lists!$AD$14)+($Y103*Lists!$AD$15),2))</f>
        <v/>
      </c>
      <c r="AA103" s="103" t="str">
        <f aca="false">IF(OR($B103="", $N103="", $O103="", $T103="", $Z103=""),"",ROUND(($N103*Lists!$AD$16)-($O103*Lists!$AD$17)-($T103*Lists!$AD$18)+($Z103*Lists!$AD$19),2))</f>
        <v/>
      </c>
      <c r="AB103" s="102" t="str">
        <f aca="false">IF(OR($B103="", $N103="", $Z103=""),"",IF($N103&gt;=Lists!$AG$2,IF($Z103&gt;=Lists!$AG$3,"Invest","Migrate"),IF($Z103&gt;=Lists!$AG$3,"Tolerate","Eliminate")))</f>
        <v/>
      </c>
      <c r="AC103" s="102" t="str">
        <f aca="false">IF($B103="","",IF($J103&gt;=4,"Yes",""))</f>
        <v/>
      </c>
      <c r="AD103" s="102" t="str">
        <f aca="false">IF($A103="","",IFERROR(IF(VLOOKUP($A103,'Risk Register'!$B$2:$H$1000,4,FALSE())&gt;=4,"Yes",""),""))</f>
        <v/>
      </c>
      <c r="AE103" s="102" t="str">
        <f aca="false">IF(OR($N103="", $O103=""),"",IF($N103&gt;=Lists!$AG$2,IF($O103&gt;=Lists!$AG$4,"High Value / High Risk","High Value / Low Risk"),IF($O103&gt;=Lists!$AG$4,"Low Value / High Risk","Low Value / Low Risk")))</f>
        <v/>
      </c>
      <c r="AF103" s="101"/>
      <c r="AG103" s="126"/>
      <c r="AH103" s="106" t="str">
        <f aca="false">IF($B103="","",COUNTIFS('Debt Backlog'!$AF$2:$AF$1000,$A103,'Debt Backlog'!$B$2:$B$1000,"&lt;&gt;",'Debt Backlog'!$N$2:$N$1000,"&lt;&gt;Done",'Debt Backlog'!$N$2:$N$1000,"&lt;&gt;Won't Fix",'Debt Backlog'!$N$2:$N$1000,"&lt;&gt;Duplicate"))</f>
        <v/>
      </c>
      <c r="AI103" s="103" t="str">
        <f aca="false">IF($B103="","",ROUND(SUMIFS('Debt Backlog'!$L$2:$L$1000,'Debt Backlog'!$AF$2:$AF$1000,$A103,'Debt Backlog'!$B$2:$B$1000,"&lt;&gt;",'Debt Backlog'!$N$2:$N$1000,"&lt;&gt;Done",'Debt Backlog'!$N$2:$N$1000,"&lt;&gt;Won't Fix",'Debt Backlog'!$N$2:$N$1000,"&lt;&gt;Duplicate"),2))</f>
        <v/>
      </c>
    </row>
    <row r="104" customFormat="false" ht="15.75" hidden="false" customHeight="true" outlineLevel="0" collapsed="false">
      <c r="A104" s="125"/>
      <c r="B104" s="101"/>
      <c r="C104" s="101"/>
      <c r="D104" s="101"/>
      <c r="E104" s="101"/>
      <c r="F104" s="101"/>
      <c r="G104" s="101"/>
      <c r="H104" s="101"/>
      <c r="I104" s="106"/>
      <c r="J104" s="106"/>
      <c r="K104" s="106"/>
      <c r="L104" s="106"/>
      <c r="M104" s="106"/>
      <c r="N104" s="103" t="str">
        <f aca="false">IF(OR($B104="", $I104="", $J104="", $K104="", $L104="", $M104=""),"",ROUND(($I104*Lists!$AD$2)+($J104*Lists!$AD$3)+($K104*Lists!$AD$4)+($L104*Lists!$AD$5)+($M104*Lists!$AD$6),2))</f>
        <v/>
      </c>
      <c r="O104" s="103" t="str">
        <f aca="false">IF($A104="","",IFERROR(VLOOKUP($A104,'Risk Register'!$B$2:$I$1000,8,FALSE()),""))</f>
        <v/>
      </c>
      <c r="P104" s="106"/>
      <c r="Q104" s="106"/>
      <c r="R104" s="106"/>
      <c r="S104" s="106"/>
      <c r="T104" s="103" t="str">
        <f aca="false">IF(OR($B104="", $P104="", $Q104="", $R104="", $S104=""),"",ROUND(($P104*Lists!$AD$7)+($Q104*Lists!$AD$8)+($R104*Lists!$AD$9)+($S104*Lists!$AD$10),2))</f>
        <v/>
      </c>
      <c r="U104" s="106"/>
      <c r="V104" s="106"/>
      <c r="W104" s="106"/>
      <c r="X104" s="106"/>
      <c r="Y104" s="106"/>
      <c r="Z104" s="103" t="str">
        <f aca="false">IF(OR($B104="", $U104="", $V104="", $W104="", $X104="", $Y104=""),"",ROUND(($U104*Lists!$AD$11)+($V104*Lists!$AD$12)+($W104*Lists!$AD$13)+($X104*Lists!$AD$14)+($Y104*Lists!$AD$15),2))</f>
        <v/>
      </c>
      <c r="AA104" s="103" t="str">
        <f aca="false">IF(OR($B104="", $N104="", $O104="", $T104="", $Z104=""),"",ROUND(($N104*Lists!$AD$16)-($O104*Lists!$AD$17)-($T104*Lists!$AD$18)+($Z104*Lists!$AD$19),2))</f>
        <v/>
      </c>
      <c r="AB104" s="102" t="str">
        <f aca="false">IF(OR($B104="", $N104="", $Z104=""),"",IF($N104&gt;=Lists!$AG$2,IF($Z104&gt;=Lists!$AG$3,"Invest","Migrate"),IF($Z104&gt;=Lists!$AG$3,"Tolerate","Eliminate")))</f>
        <v/>
      </c>
      <c r="AC104" s="102" t="str">
        <f aca="false">IF($B104="","",IF($J104&gt;=4,"Yes",""))</f>
        <v/>
      </c>
      <c r="AD104" s="102" t="str">
        <f aca="false">IF($A104="","",IFERROR(IF(VLOOKUP($A104,'Risk Register'!$B$2:$H$1000,4,FALSE())&gt;=4,"Yes",""),""))</f>
        <v/>
      </c>
      <c r="AE104" s="102" t="str">
        <f aca="false">IF(OR($N104="", $O104=""),"",IF($N104&gt;=Lists!$AG$2,IF($O104&gt;=Lists!$AG$4,"High Value / High Risk","High Value / Low Risk"),IF($O104&gt;=Lists!$AG$4,"Low Value / High Risk","Low Value / Low Risk")))</f>
        <v/>
      </c>
      <c r="AF104" s="101"/>
      <c r="AG104" s="126"/>
      <c r="AH104" s="106" t="str">
        <f aca="false">IF($B104="","",COUNTIFS('Debt Backlog'!$AF$2:$AF$1000,$A104,'Debt Backlog'!$B$2:$B$1000,"&lt;&gt;",'Debt Backlog'!$N$2:$N$1000,"&lt;&gt;Done",'Debt Backlog'!$N$2:$N$1000,"&lt;&gt;Won't Fix",'Debt Backlog'!$N$2:$N$1000,"&lt;&gt;Duplicate"))</f>
        <v/>
      </c>
      <c r="AI104" s="103" t="str">
        <f aca="false">IF($B104="","",ROUND(SUMIFS('Debt Backlog'!$L$2:$L$1000,'Debt Backlog'!$AF$2:$AF$1000,$A104,'Debt Backlog'!$B$2:$B$1000,"&lt;&gt;",'Debt Backlog'!$N$2:$N$1000,"&lt;&gt;Done",'Debt Backlog'!$N$2:$N$1000,"&lt;&gt;Won't Fix",'Debt Backlog'!$N$2:$N$1000,"&lt;&gt;Duplicate"),2))</f>
        <v/>
      </c>
    </row>
    <row r="105" customFormat="false" ht="15.75" hidden="false" customHeight="true" outlineLevel="0" collapsed="false">
      <c r="A105" s="125"/>
      <c r="B105" s="101"/>
      <c r="C105" s="101"/>
      <c r="D105" s="101"/>
      <c r="E105" s="101"/>
      <c r="F105" s="101"/>
      <c r="G105" s="101"/>
      <c r="H105" s="101"/>
      <c r="I105" s="106"/>
      <c r="J105" s="106"/>
      <c r="K105" s="106"/>
      <c r="L105" s="106"/>
      <c r="M105" s="106"/>
      <c r="N105" s="103" t="str">
        <f aca="false">IF(OR($B105="", $I105="", $J105="", $K105="", $L105="", $M105=""),"",ROUND(($I105*Lists!$AD$2)+($J105*Lists!$AD$3)+($K105*Lists!$AD$4)+($L105*Lists!$AD$5)+($M105*Lists!$AD$6),2))</f>
        <v/>
      </c>
      <c r="O105" s="103" t="str">
        <f aca="false">IF($A105="","",IFERROR(VLOOKUP($A105,'Risk Register'!$B$2:$I$1000,8,FALSE()),""))</f>
        <v/>
      </c>
      <c r="P105" s="106"/>
      <c r="Q105" s="106"/>
      <c r="R105" s="106"/>
      <c r="S105" s="106"/>
      <c r="T105" s="103" t="str">
        <f aca="false">IF(OR($B105="", $P105="", $Q105="", $R105="", $S105=""),"",ROUND(($P105*Lists!$AD$7)+($Q105*Lists!$AD$8)+($R105*Lists!$AD$9)+($S105*Lists!$AD$10),2))</f>
        <v/>
      </c>
      <c r="U105" s="106"/>
      <c r="V105" s="106"/>
      <c r="W105" s="106"/>
      <c r="X105" s="106"/>
      <c r="Y105" s="106"/>
      <c r="Z105" s="103" t="str">
        <f aca="false">IF(OR($B105="", $U105="", $V105="", $W105="", $X105="", $Y105=""),"",ROUND(($U105*Lists!$AD$11)+($V105*Lists!$AD$12)+($W105*Lists!$AD$13)+($X105*Lists!$AD$14)+($Y105*Lists!$AD$15),2))</f>
        <v/>
      </c>
      <c r="AA105" s="103" t="str">
        <f aca="false">IF(OR($B105="", $N105="", $O105="", $T105="", $Z105=""),"",ROUND(($N105*Lists!$AD$16)-($O105*Lists!$AD$17)-($T105*Lists!$AD$18)+($Z105*Lists!$AD$19),2))</f>
        <v/>
      </c>
      <c r="AB105" s="102" t="str">
        <f aca="false">IF(OR($B105="", $N105="", $Z105=""),"",IF($N105&gt;=Lists!$AG$2,IF($Z105&gt;=Lists!$AG$3,"Invest","Migrate"),IF($Z105&gt;=Lists!$AG$3,"Tolerate","Eliminate")))</f>
        <v/>
      </c>
      <c r="AC105" s="102" t="str">
        <f aca="false">IF($B105="","",IF($J105&gt;=4,"Yes",""))</f>
        <v/>
      </c>
      <c r="AD105" s="102" t="str">
        <f aca="false">IF($A105="","",IFERROR(IF(VLOOKUP($A105,'Risk Register'!$B$2:$H$1000,4,FALSE())&gt;=4,"Yes",""),""))</f>
        <v/>
      </c>
      <c r="AE105" s="102" t="str">
        <f aca="false">IF(OR($N105="", $O105=""),"",IF($N105&gt;=Lists!$AG$2,IF($O105&gt;=Lists!$AG$4,"High Value / High Risk","High Value / Low Risk"),IF($O105&gt;=Lists!$AG$4,"Low Value / High Risk","Low Value / Low Risk")))</f>
        <v/>
      </c>
      <c r="AF105" s="101"/>
      <c r="AG105" s="126"/>
      <c r="AH105" s="106" t="str">
        <f aca="false">IF($B105="","",COUNTIFS('Debt Backlog'!$AF$2:$AF$1000,$A105,'Debt Backlog'!$B$2:$B$1000,"&lt;&gt;",'Debt Backlog'!$N$2:$N$1000,"&lt;&gt;Done",'Debt Backlog'!$N$2:$N$1000,"&lt;&gt;Won't Fix",'Debt Backlog'!$N$2:$N$1000,"&lt;&gt;Duplicate"))</f>
        <v/>
      </c>
      <c r="AI105" s="103" t="str">
        <f aca="false">IF($B105="","",ROUND(SUMIFS('Debt Backlog'!$L$2:$L$1000,'Debt Backlog'!$AF$2:$AF$1000,$A105,'Debt Backlog'!$B$2:$B$1000,"&lt;&gt;",'Debt Backlog'!$N$2:$N$1000,"&lt;&gt;Done",'Debt Backlog'!$N$2:$N$1000,"&lt;&gt;Won't Fix",'Debt Backlog'!$N$2:$N$1000,"&lt;&gt;Duplicate"),2))</f>
        <v/>
      </c>
    </row>
    <row r="106" customFormat="false" ht="15.75" hidden="false" customHeight="true" outlineLevel="0" collapsed="false">
      <c r="A106" s="125"/>
      <c r="B106" s="101"/>
      <c r="C106" s="101"/>
      <c r="D106" s="101"/>
      <c r="E106" s="101"/>
      <c r="F106" s="101"/>
      <c r="G106" s="101"/>
      <c r="H106" s="101"/>
      <c r="I106" s="106"/>
      <c r="J106" s="106"/>
      <c r="K106" s="106"/>
      <c r="L106" s="106"/>
      <c r="M106" s="106"/>
      <c r="N106" s="103" t="str">
        <f aca="false">IF(OR($B106="", $I106="", $J106="", $K106="", $L106="", $M106=""),"",ROUND(($I106*Lists!$AD$2)+($J106*Lists!$AD$3)+($K106*Lists!$AD$4)+($L106*Lists!$AD$5)+($M106*Lists!$AD$6),2))</f>
        <v/>
      </c>
      <c r="O106" s="103" t="str">
        <f aca="false">IF($A106="","",IFERROR(VLOOKUP($A106,'Risk Register'!$B$2:$I$1000,8,FALSE()),""))</f>
        <v/>
      </c>
      <c r="P106" s="106"/>
      <c r="Q106" s="106"/>
      <c r="R106" s="106"/>
      <c r="S106" s="106"/>
      <c r="T106" s="103" t="str">
        <f aca="false">IF(OR($B106="", $P106="", $Q106="", $R106="", $S106=""),"",ROUND(($P106*Lists!$AD$7)+($Q106*Lists!$AD$8)+($R106*Lists!$AD$9)+($S106*Lists!$AD$10),2))</f>
        <v/>
      </c>
      <c r="U106" s="106"/>
      <c r="V106" s="106"/>
      <c r="W106" s="106"/>
      <c r="X106" s="106"/>
      <c r="Y106" s="106"/>
      <c r="Z106" s="103" t="str">
        <f aca="false">IF(OR($B106="", $U106="", $V106="", $W106="", $X106="", $Y106=""),"",ROUND(($U106*Lists!$AD$11)+($V106*Lists!$AD$12)+($W106*Lists!$AD$13)+($X106*Lists!$AD$14)+($Y106*Lists!$AD$15),2))</f>
        <v/>
      </c>
      <c r="AA106" s="103" t="str">
        <f aca="false">IF(OR($B106="", $N106="", $O106="", $T106="", $Z106=""),"",ROUND(($N106*Lists!$AD$16)-($O106*Lists!$AD$17)-($T106*Lists!$AD$18)+($Z106*Lists!$AD$19),2))</f>
        <v/>
      </c>
      <c r="AB106" s="102" t="str">
        <f aca="false">IF(OR($B106="", $N106="", $Z106=""),"",IF($N106&gt;=Lists!$AG$2,IF($Z106&gt;=Lists!$AG$3,"Invest","Migrate"),IF($Z106&gt;=Lists!$AG$3,"Tolerate","Eliminate")))</f>
        <v/>
      </c>
      <c r="AC106" s="102" t="str">
        <f aca="false">IF($B106="","",IF($J106&gt;=4,"Yes",""))</f>
        <v/>
      </c>
      <c r="AD106" s="102" t="str">
        <f aca="false">IF($A106="","",IFERROR(IF(VLOOKUP($A106,'Risk Register'!$B$2:$H$1000,4,FALSE())&gt;=4,"Yes",""),""))</f>
        <v/>
      </c>
      <c r="AE106" s="102" t="str">
        <f aca="false">IF(OR($N106="", $O106=""),"",IF($N106&gt;=Lists!$AG$2,IF($O106&gt;=Lists!$AG$4,"High Value / High Risk","High Value / Low Risk"),IF($O106&gt;=Lists!$AG$4,"Low Value / High Risk","Low Value / Low Risk")))</f>
        <v/>
      </c>
      <c r="AF106" s="101"/>
      <c r="AG106" s="126"/>
      <c r="AH106" s="106" t="str">
        <f aca="false">IF($B106="","",COUNTIFS('Debt Backlog'!$AF$2:$AF$1000,$A106,'Debt Backlog'!$B$2:$B$1000,"&lt;&gt;",'Debt Backlog'!$N$2:$N$1000,"&lt;&gt;Done",'Debt Backlog'!$N$2:$N$1000,"&lt;&gt;Won't Fix",'Debt Backlog'!$N$2:$N$1000,"&lt;&gt;Duplicate"))</f>
        <v/>
      </c>
      <c r="AI106" s="103" t="str">
        <f aca="false">IF($B106="","",ROUND(SUMIFS('Debt Backlog'!$L$2:$L$1000,'Debt Backlog'!$AF$2:$AF$1000,$A106,'Debt Backlog'!$B$2:$B$1000,"&lt;&gt;",'Debt Backlog'!$N$2:$N$1000,"&lt;&gt;Done",'Debt Backlog'!$N$2:$N$1000,"&lt;&gt;Won't Fix",'Debt Backlog'!$N$2:$N$1000,"&lt;&gt;Duplicate"),2))</f>
        <v/>
      </c>
    </row>
    <row r="107" customFormat="false" ht="15.75" hidden="false" customHeight="true" outlineLevel="0" collapsed="false">
      <c r="A107" s="125"/>
      <c r="B107" s="101"/>
      <c r="C107" s="101"/>
      <c r="D107" s="101"/>
      <c r="E107" s="101"/>
      <c r="F107" s="101"/>
      <c r="G107" s="101"/>
      <c r="H107" s="101"/>
      <c r="I107" s="106"/>
      <c r="J107" s="106"/>
      <c r="K107" s="106"/>
      <c r="L107" s="106"/>
      <c r="M107" s="106"/>
      <c r="N107" s="103" t="str">
        <f aca="false">IF(OR($B107="", $I107="", $J107="", $K107="", $L107="", $M107=""),"",ROUND(($I107*Lists!$AD$2)+($J107*Lists!$AD$3)+($K107*Lists!$AD$4)+($L107*Lists!$AD$5)+($M107*Lists!$AD$6),2))</f>
        <v/>
      </c>
      <c r="O107" s="103" t="str">
        <f aca="false">IF($A107="","",IFERROR(VLOOKUP($A107,'Risk Register'!$B$2:$I$1000,8,FALSE()),""))</f>
        <v/>
      </c>
      <c r="P107" s="106"/>
      <c r="Q107" s="106"/>
      <c r="R107" s="106"/>
      <c r="S107" s="106"/>
      <c r="T107" s="103" t="str">
        <f aca="false">IF(OR($B107="", $P107="", $Q107="", $R107="", $S107=""),"",ROUND(($P107*Lists!$AD$7)+($Q107*Lists!$AD$8)+($R107*Lists!$AD$9)+($S107*Lists!$AD$10),2))</f>
        <v/>
      </c>
      <c r="U107" s="106"/>
      <c r="V107" s="106"/>
      <c r="W107" s="106"/>
      <c r="X107" s="106"/>
      <c r="Y107" s="106"/>
      <c r="Z107" s="103" t="str">
        <f aca="false">IF(OR($B107="", $U107="", $V107="", $W107="", $X107="", $Y107=""),"",ROUND(($U107*Lists!$AD$11)+($V107*Lists!$AD$12)+($W107*Lists!$AD$13)+($X107*Lists!$AD$14)+($Y107*Lists!$AD$15),2))</f>
        <v/>
      </c>
      <c r="AA107" s="103" t="str">
        <f aca="false">IF(OR($B107="", $N107="", $O107="", $T107="", $Z107=""),"",ROUND(($N107*Lists!$AD$16)-($O107*Lists!$AD$17)-($T107*Lists!$AD$18)+($Z107*Lists!$AD$19),2))</f>
        <v/>
      </c>
      <c r="AB107" s="102" t="str">
        <f aca="false">IF(OR($B107="", $N107="", $Z107=""),"",IF($N107&gt;=Lists!$AG$2,IF($Z107&gt;=Lists!$AG$3,"Invest","Migrate"),IF($Z107&gt;=Lists!$AG$3,"Tolerate","Eliminate")))</f>
        <v/>
      </c>
      <c r="AC107" s="102" t="str">
        <f aca="false">IF($B107="","",IF($J107&gt;=4,"Yes",""))</f>
        <v/>
      </c>
      <c r="AD107" s="102" t="str">
        <f aca="false">IF($A107="","",IFERROR(IF(VLOOKUP($A107,'Risk Register'!$B$2:$H$1000,4,FALSE())&gt;=4,"Yes",""),""))</f>
        <v/>
      </c>
      <c r="AE107" s="102" t="str">
        <f aca="false">IF(OR($N107="", $O107=""),"",IF($N107&gt;=Lists!$AG$2,IF($O107&gt;=Lists!$AG$4,"High Value / High Risk","High Value / Low Risk"),IF($O107&gt;=Lists!$AG$4,"Low Value / High Risk","Low Value / Low Risk")))</f>
        <v/>
      </c>
      <c r="AF107" s="101"/>
      <c r="AG107" s="126"/>
      <c r="AH107" s="106" t="str">
        <f aca="false">IF($B107="","",COUNTIFS('Debt Backlog'!$AF$2:$AF$1000,$A107,'Debt Backlog'!$B$2:$B$1000,"&lt;&gt;",'Debt Backlog'!$N$2:$N$1000,"&lt;&gt;Done",'Debt Backlog'!$N$2:$N$1000,"&lt;&gt;Won't Fix",'Debt Backlog'!$N$2:$N$1000,"&lt;&gt;Duplicate"))</f>
        <v/>
      </c>
      <c r="AI107" s="103" t="str">
        <f aca="false">IF($B107="","",ROUND(SUMIFS('Debt Backlog'!$L$2:$L$1000,'Debt Backlog'!$AF$2:$AF$1000,$A107,'Debt Backlog'!$B$2:$B$1000,"&lt;&gt;",'Debt Backlog'!$N$2:$N$1000,"&lt;&gt;Done",'Debt Backlog'!$N$2:$N$1000,"&lt;&gt;Won't Fix",'Debt Backlog'!$N$2:$N$1000,"&lt;&gt;Duplicate"),2))</f>
        <v/>
      </c>
    </row>
    <row r="108" customFormat="false" ht="15.75" hidden="false" customHeight="true" outlineLevel="0" collapsed="false">
      <c r="A108" s="125"/>
      <c r="B108" s="101"/>
      <c r="C108" s="101"/>
      <c r="D108" s="101"/>
      <c r="E108" s="101"/>
      <c r="F108" s="101"/>
      <c r="G108" s="101"/>
      <c r="H108" s="101"/>
      <c r="I108" s="106"/>
      <c r="J108" s="106"/>
      <c r="K108" s="106"/>
      <c r="L108" s="106"/>
      <c r="M108" s="106"/>
      <c r="N108" s="103" t="str">
        <f aca="false">IF(OR($B108="", $I108="", $J108="", $K108="", $L108="", $M108=""),"",ROUND(($I108*Lists!$AD$2)+($J108*Lists!$AD$3)+($K108*Lists!$AD$4)+($L108*Lists!$AD$5)+($M108*Lists!$AD$6),2))</f>
        <v/>
      </c>
      <c r="O108" s="103" t="str">
        <f aca="false">IF($A108="","",IFERROR(VLOOKUP($A108,'Risk Register'!$B$2:$I$1000,8,FALSE()),""))</f>
        <v/>
      </c>
      <c r="P108" s="106"/>
      <c r="Q108" s="106"/>
      <c r="R108" s="106"/>
      <c r="S108" s="106"/>
      <c r="T108" s="103" t="str">
        <f aca="false">IF(OR($B108="", $P108="", $Q108="", $R108="", $S108=""),"",ROUND(($P108*Lists!$AD$7)+($Q108*Lists!$AD$8)+($R108*Lists!$AD$9)+($S108*Lists!$AD$10),2))</f>
        <v/>
      </c>
      <c r="U108" s="106"/>
      <c r="V108" s="106"/>
      <c r="W108" s="106"/>
      <c r="X108" s="106"/>
      <c r="Y108" s="106"/>
      <c r="Z108" s="103" t="str">
        <f aca="false">IF(OR($B108="", $U108="", $V108="", $W108="", $X108="", $Y108=""),"",ROUND(($U108*Lists!$AD$11)+($V108*Lists!$AD$12)+($W108*Lists!$AD$13)+($X108*Lists!$AD$14)+($Y108*Lists!$AD$15),2))</f>
        <v/>
      </c>
      <c r="AA108" s="103" t="str">
        <f aca="false">IF(OR($B108="", $N108="", $O108="", $T108="", $Z108=""),"",ROUND(($N108*Lists!$AD$16)-($O108*Lists!$AD$17)-($T108*Lists!$AD$18)+($Z108*Lists!$AD$19),2))</f>
        <v/>
      </c>
      <c r="AB108" s="102" t="str">
        <f aca="false">IF(OR($B108="", $N108="", $Z108=""),"",IF($N108&gt;=Lists!$AG$2,IF($Z108&gt;=Lists!$AG$3,"Invest","Migrate"),IF($Z108&gt;=Lists!$AG$3,"Tolerate","Eliminate")))</f>
        <v/>
      </c>
      <c r="AC108" s="102" t="str">
        <f aca="false">IF($B108="","",IF($J108&gt;=4,"Yes",""))</f>
        <v/>
      </c>
      <c r="AD108" s="102" t="str">
        <f aca="false">IF($A108="","",IFERROR(IF(VLOOKUP($A108,'Risk Register'!$B$2:$H$1000,4,FALSE())&gt;=4,"Yes",""),""))</f>
        <v/>
      </c>
      <c r="AE108" s="102" t="str">
        <f aca="false">IF(OR($N108="", $O108=""),"",IF($N108&gt;=Lists!$AG$2,IF($O108&gt;=Lists!$AG$4,"High Value / High Risk","High Value / Low Risk"),IF($O108&gt;=Lists!$AG$4,"Low Value / High Risk","Low Value / Low Risk")))</f>
        <v/>
      </c>
      <c r="AF108" s="101"/>
      <c r="AG108" s="126"/>
      <c r="AH108" s="106" t="str">
        <f aca="false">IF($B108="","",COUNTIFS('Debt Backlog'!$AF$2:$AF$1000,$A108,'Debt Backlog'!$B$2:$B$1000,"&lt;&gt;",'Debt Backlog'!$N$2:$N$1000,"&lt;&gt;Done",'Debt Backlog'!$N$2:$N$1000,"&lt;&gt;Won't Fix",'Debt Backlog'!$N$2:$N$1000,"&lt;&gt;Duplicate"))</f>
        <v/>
      </c>
      <c r="AI108" s="103" t="str">
        <f aca="false">IF($B108="","",ROUND(SUMIFS('Debt Backlog'!$L$2:$L$1000,'Debt Backlog'!$AF$2:$AF$1000,$A108,'Debt Backlog'!$B$2:$B$1000,"&lt;&gt;",'Debt Backlog'!$N$2:$N$1000,"&lt;&gt;Done",'Debt Backlog'!$N$2:$N$1000,"&lt;&gt;Won't Fix",'Debt Backlog'!$N$2:$N$1000,"&lt;&gt;Duplicate"),2))</f>
        <v/>
      </c>
    </row>
    <row r="109" customFormat="false" ht="15.75" hidden="false" customHeight="true" outlineLevel="0" collapsed="false">
      <c r="A109" s="125"/>
      <c r="B109" s="101"/>
      <c r="C109" s="101"/>
      <c r="D109" s="101"/>
      <c r="E109" s="101"/>
      <c r="F109" s="101"/>
      <c r="G109" s="101"/>
      <c r="H109" s="101"/>
      <c r="I109" s="106"/>
      <c r="J109" s="106"/>
      <c r="K109" s="106"/>
      <c r="L109" s="106"/>
      <c r="M109" s="106"/>
      <c r="N109" s="103" t="str">
        <f aca="false">IF(OR($B109="", $I109="", $J109="", $K109="", $L109="", $M109=""),"",ROUND(($I109*Lists!$AD$2)+($J109*Lists!$AD$3)+($K109*Lists!$AD$4)+($L109*Lists!$AD$5)+($M109*Lists!$AD$6),2))</f>
        <v/>
      </c>
      <c r="O109" s="103" t="str">
        <f aca="false">IF($A109="","",IFERROR(VLOOKUP($A109,'Risk Register'!$B$2:$I$1000,8,FALSE()),""))</f>
        <v/>
      </c>
      <c r="P109" s="106"/>
      <c r="Q109" s="106"/>
      <c r="R109" s="106"/>
      <c r="S109" s="106"/>
      <c r="T109" s="103" t="str">
        <f aca="false">IF(OR($B109="", $P109="", $Q109="", $R109="", $S109=""),"",ROUND(($P109*Lists!$AD$7)+($Q109*Lists!$AD$8)+($R109*Lists!$AD$9)+($S109*Lists!$AD$10),2))</f>
        <v/>
      </c>
      <c r="U109" s="106"/>
      <c r="V109" s="106"/>
      <c r="W109" s="106"/>
      <c r="X109" s="106"/>
      <c r="Y109" s="106"/>
      <c r="Z109" s="103" t="str">
        <f aca="false">IF(OR($B109="", $U109="", $V109="", $W109="", $X109="", $Y109=""),"",ROUND(($U109*Lists!$AD$11)+($V109*Lists!$AD$12)+($W109*Lists!$AD$13)+($X109*Lists!$AD$14)+($Y109*Lists!$AD$15),2))</f>
        <v/>
      </c>
      <c r="AA109" s="103" t="str">
        <f aca="false">IF(OR($B109="", $N109="", $O109="", $T109="", $Z109=""),"",ROUND(($N109*Lists!$AD$16)-($O109*Lists!$AD$17)-($T109*Lists!$AD$18)+($Z109*Lists!$AD$19),2))</f>
        <v/>
      </c>
      <c r="AB109" s="102" t="str">
        <f aca="false">IF(OR($B109="", $N109="", $Z109=""),"",IF($N109&gt;=Lists!$AG$2,IF($Z109&gt;=Lists!$AG$3,"Invest","Migrate"),IF($Z109&gt;=Lists!$AG$3,"Tolerate","Eliminate")))</f>
        <v/>
      </c>
      <c r="AC109" s="102" t="str">
        <f aca="false">IF($B109="","",IF($J109&gt;=4,"Yes",""))</f>
        <v/>
      </c>
      <c r="AD109" s="102" t="str">
        <f aca="false">IF($A109="","",IFERROR(IF(VLOOKUP($A109,'Risk Register'!$B$2:$H$1000,4,FALSE())&gt;=4,"Yes",""),""))</f>
        <v/>
      </c>
      <c r="AE109" s="102" t="str">
        <f aca="false">IF(OR($N109="", $O109=""),"",IF($N109&gt;=Lists!$AG$2,IF($O109&gt;=Lists!$AG$4,"High Value / High Risk","High Value / Low Risk"),IF($O109&gt;=Lists!$AG$4,"Low Value / High Risk","Low Value / Low Risk")))</f>
        <v/>
      </c>
      <c r="AF109" s="101"/>
      <c r="AG109" s="126"/>
      <c r="AH109" s="106" t="str">
        <f aca="false">IF($B109="","",COUNTIFS('Debt Backlog'!$AF$2:$AF$1000,$A109,'Debt Backlog'!$B$2:$B$1000,"&lt;&gt;",'Debt Backlog'!$N$2:$N$1000,"&lt;&gt;Done",'Debt Backlog'!$N$2:$N$1000,"&lt;&gt;Won't Fix",'Debt Backlog'!$N$2:$N$1000,"&lt;&gt;Duplicate"))</f>
        <v/>
      </c>
      <c r="AI109" s="103" t="str">
        <f aca="false">IF($B109="","",ROUND(SUMIFS('Debt Backlog'!$L$2:$L$1000,'Debt Backlog'!$AF$2:$AF$1000,$A109,'Debt Backlog'!$B$2:$B$1000,"&lt;&gt;",'Debt Backlog'!$N$2:$N$1000,"&lt;&gt;Done",'Debt Backlog'!$N$2:$N$1000,"&lt;&gt;Won't Fix",'Debt Backlog'!$N$2:$N$1000,"&lt;&gt;Duplicate"),2))</f>
        <v/>
      </c>
    </row>
    <row r="110" customFormat="false" ht="15.75" hidden="false" customHeight="true" outlineLevel="0" collapsed="false">
      <c r="A110" s="125"/>
      <c r="B110" s="101"/>
      <c r="C110" s="101"/>
      <c r="D110" s="101"/>
      <c r="E110" s="101"/>
      <c r="F110" s="101"/>
      <c r="G110" s="101"/>
      <c r="H110" s="101"/>
      <c r="I110" s="106"/>
      <c r="J110" s="106"/>
      <c r="K110" s="106"/>
      <c r="L110" s="106"/>
      <c r="M110" s="106"/>
      <c r="N110" s="103" t="str">
        <f aca="false">IF(OR($B110="", $I110="", $J110="", $K110="", $L110="", $M110=""),"",ROUND(($I110*Lists!$AD$2)+($J110*Lists!$AD$3)+($K110*Lists!$AD$4)+($L110*Lists!$AD$5)+($M110*Lists!$AD$6),2))</f>
        <v/>
      </c>
      <c r="O110" s="103" t="str">
        <f aca="false">IF($A110="","",IFERROR(VLOOKUP($A110,'Risk Register'!$B$2:$I$1000,8,FALSE()),""))</f>
        <v/>
      </c>
      <c r="P110" s="106"/>
      <c r="Q110" s="106"/>
      <c r="R110" s="106"/>
      <c r="S110" s="106"/>
      <c r="T110" s="103" t="str">
        <f aca="false">IF(OR($B110="", $P110="", $Q110="", $R110="", $S110=""),"",ROUND(($P110*Lists!$AD$7)+($Q110*Lists!$AD$8)+($R110*Lists!$AD$9)+($S110*Lists!$AD$10),2))</f>
        <v/>
      </c>
      <c r="U110" s="106"/>
      <c r="V110" s="106"/>
      <c r="W110" s="106"/>
      <c r="X110" s="106"/>
      <c r="Y110" s="106"/>
      <c r="Z110" s="103" t="str">
        <f aca="false">IF(OR($B110="", $U110="", $V110="", $W110="", $X110="", $Y110=""),"",ROUND(($U110*Lists!$AD$11)+($V110*Lists!$AD$12)+($W110*Lists!$AD$13)+($X110*Lists!$AD$14)+($Y110*Lists!$AD$15),2))</f>
        <v/>
      </c>
      <c r="AA110" s="103" t="str">
        <f aca="false">IF(OR($B110="", $N110="", $O110="", $T110="", $Z110=""),"",ROUND(($N110*Lists!$AD$16)-($O110*Lists!$AD$17)-($T110*Lists!$AD$18)+($Z110*Lists!$AD$19),2))</f>
        <v/>
      </c>
      <c r="AB110" s="102" t="str">
        <f aca="false">IF(OR($B110="", $N110="", $Z110=""),"",IF($N110&gt;=Lists!$AG$2,IF($Z110&gt;=Lists!$AG$3,"Invest","Migrate"),IF($Z110&gt;=Lists!$AG$3,"Tolerate","Eliminate")))</f>
        <v/>
      </c>
      <c r="AC110" s="102" t="str">
        <f aca="false">IF($B110="","",IF($J110&gt;=4,"Yes",""))</f>
        <v/>
      </c>
      <c r="AD110" s="102" t="str">
        <f aca="false">IF($A110="","",IFERROR(IF(VLOOKUP($A110,'Risk Register'!$B$2:$H$1000,4,FALSE())&gt;=4,"Yes",""),""))</f>
        <v/>
      </c>
      <c r="AE110" s="102" t="str">
        <f aca="false">IF(OR($N110="", $O110=""),"",IF($N110&gt;=Lists!$AG$2,IF($O110&gt;=Lists!$AG$4,"High Value / High Risk","High Value / Low Risk"),IF($O110&gt;=Lists!$AG$4,"Low Value / High Risk","Low Value / Low Risk")))</f>
        <v/>
      </c>
      <c r="AF110" s="101"/>
      <c r="AG110" s="126"/>
      <c r="AH110" s="106" t="str">
        <f aca="false">IF($B110="","",COUNTIFS('Debt Backlog'!$AF$2:$AF$1000,$A110,'Debt Backlog'!$B$2:$B$1000,"&lt;&gt;",'Debt Backlog'!$N$2:$N$1000,"&lt;&gt;Done",'Debt Backlog'!$N$2:$N$1000,"&lt;&gt;Won't Fix",'Debt Backlog'!$N$2:$N$1000,"&lt;&gt;Duplicate"))</f>
        <v/>
      </c>
      <c r="AI110" s="103" t="str">
        <f aca="false">IF($B110="","",ROUND(SUMIFS('Debt Backlog'!$L$2:$L$1000,'Debt Backlog'!$AF$2:$AF$1000,$A110,'Debt Backlog'!$B$2:$B$1000,"&lt;&gt;",'Debt Backlog'!$N$2:$N$1000,"&lt;&gt;Done",'Debt Backlog'!$N$2:$N$1000,"&lt;&gt;Won't Fix",'Debt Backlog'!$N$2:$N$1000,"&lt;&gt;Duplicate"),2))</f>
        <v/>
      </c>
    </row>
    <row r="111" customFormat="false" ht="15.75" hidden="false" customHeight="true" outlineLevel="0" collapsed="false">
      <c r="A111" s="125"/>
      <c r="B111" s="101"/>
      <c r="C111" s="101"/>
      <c r="D111" s="101"/>
      <c r="E111" s="101"/>
      <c r="F111" s="101"/>
      <c r="G111" s="101"/>
      <c r="H111" s="101"/>
      <c r="I111" s="106"/>
      <c r="J111" s="106"/>
      <c r="K111" s="106"/>
      <c r="L111" s="106"/>
      <c r="M111" s="106"/>
      <c r="N111" s="103" t="str">
        <f aca="false">IF(OR($B111="", $I111="", $J111="", $K111="", $L111="", $M111=""),"",ROUND(($I111*Lists!$AD$2)+($J111*Lists!$AD$3)+($K111*Lists!$AD$4)+($L111*Lists!$AD$5)+($M111*Lists!$AD$6),2))</f>
        <v/>
      </c>
      <c r="O111" s="103" t="str">
        <f aca="false">IF($A111="","",IFERROR(VLOOKUP($A111,'Risk Register'!$B$2:$I$1000,8,FALSE()),""))</f>
        <v/>
      </c>
      <c r="P111" s="106"/>
      <c r="Q111" s="106"/>
      <c r="R111" s="106"/>
      <c r="S111" s="106"/>
      <c r="T111" s="103" t="str">
        <f aca="false">IF(OR($B111="", $P111="", $Q111="", $R111="", $S111=""),"",ROUND(($P111*Lists!$AD$7)+($Q111*Lists!$AD$8)+($R111*Lists!$AD$9)+($S111*Lists!$AD$10),2))</f>
        <v/>
      </c>
      <c r="U111" s="106"/>
      <c r="V111" s="106"/>
      <c r="W111" s="106"/>
      <c r="X111" s="106"/>
      <c r="Y111" s="106"/>
      <c r="Z111" s="103" t="str">
        <f aca="false">IF(OR($B111="", $U111="", $V111="", $W111="", $X111="", $Y111=""),"",ROUND(($U111*Lists!$AD$11)+($V111*Lists!$AD$12)+($W111*Lists!$AD$13)+($X111*Lists!$AD$14)+($Y111*Lists!$AD$15),2))</f>
        <v/>
      </c>
      <c r="AA111" s="103" t="str">
        <f aca="false">IF(OR($B111="", $N111="", $O111="", $T111="", $Z111=""),"",ROUND(($N111*Lists!$AD$16)-($O111*Lists!$AD$17)-($T111*Lists!$AD$18)+($Z111*Lists!$AD$19),2))</f>
        <v/>
      </c>
      <c r="AB111" s="102" t="str">
        <f aca="false">IF(OR($B111="", $N111="", $Z111=""),"",IF($N111&gt;=Lists!$AG$2,IF($Z111&gt;=Lists!$AG$3,"Invest","Migrate"),IF($Z111&gt;=Lists!$AG$3,"Tolerate","Eliminate")))</f>
        <v/>
      </c>
      <c r="AC111" s="102" t="str">
        <f aca="false">IF($B111="","",IF($J111&gt;=4,"Yes",""))</f>
        <v/>
      </c>
      <c r="AD111" s="102" t="str">
        <f aca="false">IF($A111="","",IFERROR(IF(VLOOKUP($A111,'Risk Register'!$B$2:$H$1000,4,FALSE())&gt;=4,"Yes",""),""))</f>
        <v/>
      </c>
      <c r="AE111" s="102" t="str">
        <f aca="false">IF(OR($N111="", $O111=""),"",IF($N111&gt;=Lists!$AG$2,IF($O111&gt;=Lists!$AG$4,"High Value / High Risk","High Value / Low Risk"),IF($O111&gt;=Lists!$AG$4,"Low Value / High Risk","Low Value / Low Risk")))</f>
        <v/>
      </c>
      <c r="AF111" s="101"/>
      <c r="AG111" s="126"/>
      <c r="AH111" s="106" t="str">
        <f aca="false">IF($B111="","",COUNTIFS('Debt Backlog'!$AF$2:$AF$1000,$A111,'Debt Backlog'!$B$2:$B$1000,"&lt;&gt;",'Debt Backlog'!$N$2:$N$1000,"&lt;&gt;Done",'Debt Backlog'!$N$2:$N$1000,"&lt;&gt;Won't Fix",'Debt Backlog'!$N$2:$N$1000,"&lt;&gt;Duplicate"))</f>
        <v/>
      </c>
      <c r="AI111" s="103" t="str">
        <f aca="false">IF($B111="","",ROUND(SUMIFS('Debt Backlog'!$L$2:$L$1000,'Debt Backlog'!$AF$2:$AF$1000,$A111,'Debt Backlog'!$B$2:$B$1000,"&lt;&gt;",'Debt Backlog'!$N$2:$N$1000,"&lt;&gt;Done",'Debt Backlog'!$N$2:$N$1000,"&lt;&gt;Won't Fix",'Debt Backlog'!$N$2:$N$1000,"&lt;&gt;Duplicate"),2))</f>
        <v/>
      </c>
    </row>
    <row r="112" customFormat="false" ht="15.75" hidden="false" customHeight="true" outlineLevel="0" collapsed="false">
      <c r="A112" s="125"/>
      <c r="B112" s="101"/>
      <c r="C112" s="101"/>
      <c r="D112" s="101"/>
      <c r="E112" s="101"/>
      <c r="F112" s="101"/>
      <c r="G112" s="101"/>
      <c r="H112" s="101"/>
      <c r="I112" s="106"/>
      <c r="J112" s="106"/>
      <c r="K112" s="106"/>
      <c r="L112" s="106"/>
      <c r="M112" s="106"/>
      <c r="N112" s="103" t="str">
        <f aca="false">IF(OR($B112="", $I112="", $J112="", $K112="", $L112="", $M112=""),"",ROUND(($I112*Lists!$AD$2)+($J112*Lists!$AD$3)+($K112*Lists!$AD$4)+($L112*Lists!$AD$5)+($M112*Lists!$AD$6),2))</f>
        <v/>
      </c>
      <c r="O112" s="103" t="str">
        <f aca="false">IF($A112="","",IFERROR(VLOOKUP($A112,'Risk Register'!$B$2:$I$1000,8,FALSE()),""))</f>
        <v/>
      </c>
      <c r="P112" s="106"/>
      <c r="Q112" s="106"/>
      <c r="R112" s="106"/>
      <c r="S112" s="106"/>
      <c r="T112" s="103" t="str">
        <f aca="false">IF(OR($B112="", $P112="", $Q112="", $R112="", $S112=""),"",ROUND(($P112*Lists!$AD$7)+($Q112*Lists!$AD$8)+($R112*Lists!$AD$9)+($S112*Lists!$AD$10),2))</f>
        <v/>
      </c>
      <c r="U112" s="106"/>
      <c r="V112" s="106"/>
      <c r="W112" s="106"/>
      <c r="X112" s="106"/>
      <c r="Y112" s="106"/>
      <c r="Z112" s="103" t="str">
        <f aca="false">IF(OR($B112="", $U112="", $V112="", $W112="", $X112="", $Y112=""),"",ROUND(($U112*Lists!$AD$11)+($V112*Lists!$AD$12)+($W112*Lists!$AD$13)+($X112*Lists!$AD$14)+($Y112*Lists!$AD$15),2))</f>
        <v/>
      </c>
      <c r="AA112" s="103" t="str">
        <f aca="false">IF(OR($B112="", $N112="", $O112="", $T112="", $Z112=""),"",ROUND(($N112*Lists!$AD$16)-($O112*Lists!$AD$17)-($T112*Lists!$AD$18)+($Z112*Lists!$AD$19),2))</f>
        <v/>
      </c>
      <c r="AB112" s="102" t="str">
        <f aca="false">IF(OR($B112="", $N112="", $Z112=""),"",IF($N112&gt;=Lists!$AG$2,IF($Z112&gt;=Lists!$AG$3,"Invest","Migrate"),IF($Z112&gt;=Lists!$AG$3,"Tolerate","Eliminate")))</f>
        <v/>
      </c>
      <c r="AC112" s="102" t="str">
        <f aca="false">IF($B112="","",IF($J112&gt;=4,"Yes",""))</f>
        <v/>
      </c>
      <c r="AD112" s="102" t="str">
        <f aca="false">IF($A112="","",IFERROR(IF(VLOOKUP($A112,'Risk Register'!$B$2:$H$1000,4,FALSE())&gt;=4,"Yes",""),""))</f>
        <v/>
      </c>
      <c r="AE112" s="102" t="str">
        <f aca="false">IF(OR($N112="", $O112=""),"",IF($N112&gt;=Lists!$AG$2,IF($O112&gt;=Lists!$AG$4,"High Value / High Risk","High Value / Low Risk"),IF($O112&gt;=Lists!$AG$4,"Low Value / High Risk","Low Value / Low Risk")))</f>
        <v/>
      </c>
      <c r="AF112" s="101"/>
      <c r="AG112" s="126"/>
      <c r="AH112" s="106" t="str">
        <f aca="false">IF($B112="","",COUNTIFS('Debt Backlog'!$AF$2:$AF$1000,$A112,'Debt Backlog'!$B$2:$B$1000,"&lt;&gt;",'Debt Backlog'!$N$2:$N$1000,"&lt;&gt;Done",'Debt Backlog'!$N$2:$N$1000,"&lt;&gt;Won't Fix",'Debt Backlog'!$N$2:$N$1000,"&lt;&gt;Duplicate"))</f>
        <v/>
      </c>
      <c r="AI112" s="103" t="str">
        <f aca="false">IF($B112="","",ROUND(SUMIFS('Debt Backlog'!$L$2:$L$1000,'Debt Backlog'!$AF$2:$AF$1000,$A112,'Debt Backlog'!$B$2:$B$1000,"&lt;&gt;",'Debt Backlog'!$N$2:$N$1000,"&lt;&gt;Done",'Debt Backlog'!$N$2:$N$1000,"&lt;&gt;Won't Fix",'Debt Backlog'!$N$2:$N$1000,"&lt;&gt;Duplicate"),2))</f>
        <v/>
      </c>
    </row>
    <row r="113" customFormat="false" ht="15.75" hidden="false" customHeight="true" outlineLevel="0" collapsed="false">
      <c r="A113" s="125"/>
      <c r="B113" s="101"/>
      <c r="C113" s="101"/>
      <c r="D113" s="101"/>
      <c r="E113" s="101"/>
      <c r="F113" s="101"/>
      <c r="G113" s="101"/>
      <c r="H113" s="101"/>
      <c r="I113" s="106"/>
      <c r="J113" s="106"/>
      <c r="K113" s="106"/>
      <c r="L113" s="106"/>
      <c r="M113" s="106"/>
      <c r="N113" s="103" t="str">
        <f aca="false">IF(OR($B113="", $I113="", $J113="", $K113="", $L113="", $M113=""),"",ROUND(($I113*Lists!$AD$2)+($J113*Lists!$AD$3)+($K113*Lists!$AD$4)+($L113*Lists!$AD$5)+($M113*Lists!$AD$6),2))</f>
        <v/>
      </c>
      <c r="O113" s="103" t="str">
        <f aca="false">IF($A113="","",IFERROR(VLOOKUP($A113,'Risk Register'!$B$2:$I$1000,8,FALSE()),""))</f>
        <v/>
      </c>
      <c r="P113" s="106"/>
      <c r="Q113" s="106"/>
      <c r="R113" s="106"/>
      <c r="S113" s="106"/>
      <c r="T113" s="103" t="str">
        <f aca="false">IF(OR($B113="", $P113="", $Q113="", $R113="", $S113=""),"",ROUND(($P113*Lists!$AD$7)+($Q113*Lists!$AD$8)+($R113*Lists!$AD$9)+($S113*Lists!$AD$10),2))</f>
        <v/>
      </c>
      <c r="U113" s="106"/>
      <c r="V113" s="106"/>
      <c r="W113" s="106"/>
      <c r="X113" s="106"/>
      <c r="Y113" s="106"/>
      <c r="Z113" s="103" t="str">
        <f aca="false">IF(OR($B113="", $U113="", $V113="", $W113="", $X113="", $Y113=""),"",ROUND(($U113*Lists!$AD$11)+($V113*Lists!$AD$12)+($W113*Lists!$AD$13)+($X113*Lists!$AD$14)+($Y113*Lists!$AD$15),2))</f>
        <v/>
      </c>
      <c r="AA113" s="103" t="str">
        <f aca="false">IF(OR($B113="", $N113="", $O113="", $T113="", $Z113=""),"",ROUND(($N113*Lists!$AD$16)-($O113*Lists!$AD$17)-($T113*Lists!$AD$18)+($Z113*Lists!$AD$19),2))</f>
        <v/>
      </c>
      <c r="AB113" s="102" t="str">
        <f aca="false">IF(OR($B113="", $N113="", $Z113=""),"",IF($N113&gt;=Lists!$AG$2,IF($Z113&gt;=Lists!$AG$3,"Invest","Migrate"),IF($Z113&gt;=Lists!$AG$3,"Tolerate","Eliminate")))</f>
        <v/>
      </c>
      <c r="AC113" s="102" t="str">
        <f aca="false">IF($B113="","",IF($J113&gt;=4,"Yes",""))</f>
        <v/>
      </c>
      <c r="AD113" s="102" t="str">
        <f aca="false">IF($A113="","",IFERROR(IF(VLOOKUP($A113,'Risk Register'!$B$2:$H$1000,4,FALSE())&gt;=4,"Yes",""),""))</f>
        <v/>
      </c>
      <c r="AE113" s="102" t="str">
        <f aca="false">IF(OR($N113="", $O113=""),"",IF($N113&gt;=Lists!$AG$2,IF($O113&gt;=Lists!$AG$4,"High Value / High Risk","High Value / Low Risk"),IF($O113&gt;=Lists!$AG$4,"Low Value / High Risk","Low Value / Low Risk")))</f>
        <v/>
      </c>
      <c r="AF113" s="101"/>
      <c r="AG113" s="126"/>
      <c r="AH113" s="106" t="str">
        <f aca="false">IF($B113="","",COUNTIFS('Debt Backlog'!$AF$2:$AF$1000,$A113,'Debt Backlog'!$B$2:$B$1000,"&lt;&gt;",'Debt Backlog'!$N$2:$N$1000,"&lt;&gt;Done",'Debt Backlog'!$N$2:$N$1000,"&lt;&gt;Won't Fix",'Debt Backlog'!$N$2:$N$1000,"&lt;&gt;Duplicate"))</f>
        <v/>
      </c>
      <c r="AI113" s="103" t="str">
        <f aca="false">IF($B113="","",ROUND(SUMIFS('Debt Backlog'!$L$2:$L$1000,'Debt Backlog'!$AF$2:$AF$1000,$A113,'Debt Backlog'!$B$2:$B$1000,"&lt;&gt;",'Debt Backlog'!$N$2:$N$1000,"&lt;&gt;Done",'Debt Backlog'!$N$2:$N$1000,"&lt;&gt;Won't Fix",'Debt Backlog'!$N$2:$N$1000,"&lt;&gt;Duplicate"),2))</f>
        <v/>
      </c>
    </row>
    <row r="114" customFormat="false" ht="15.75" hidden="false" customHeight="true" outlineLevel="0" collapsed="false">
      <c r="A114" s="125"/>
      <c r="B114" s="101"/>
      <c r="C114" s="101"/>
      <c r="D114" s="101"/>
      <c r="E114" s="101"/>
      <c r="F114" s="101"/>
      <c r="G114" s="101"/>
      <c r="H114" s="101"/>
      <c r="I114" s="106"/>
      <c r="J114" s="106"/>
      <c r="K114" s="106"/>
      <c r="L114" s="106"/>
      <c r="M114" s="106"/>
      <c r="N114" s="103" t="str">
        <f aca="false">IF(OR($B114="", $I114="", $J114="", $K114="", $L114="", $M114=""),"",ROUND(($I114*Lists!$AD$2)+($J114*Lists!$AD$3)+($K114*Lists!$AD$4)+($L114*Lists!$AD$5)+($M114*Lists!$AD$6),2))</f>
        <v/>
      </c>
      <c r="O114" s="103" t="str">
        <f aca="false">IF($A114="","",IFERROR(VLOOKUP($A114,'Risk Register'!$B$2:$I$1000,8,FALSE()),""))</f>
        <v/>
      </c>
      <c r="P114" s="106"/>
      <c r="Q114" s="106"/>
      <c r="R114" s="106"/>
      <c r="S114" s="106"/>
      <c r="T114" s="103" t="str">
        <f aca="false">IF(OR($B114="", $P114="", $Q114="", $R114="", $S114=""),"",ROUND(($P114*Lists!$AD$7)+($Q114*Lists!$AD$8)+($R114*Lists!$AD$9)+($S114*Lists!$AD$10),2))</f>
        <v/>
      </c>
      <c r="U114" s="106"/>
      <c r="V114" s="106"/>
      <c r="W114" s="106"/>
      <c r="X114" s="106"/>
      <c r="Y114" s="106"/>
      <c r="Z114" s="103" t="str">
        <f aca="false">IF(OR($B114="", $U114="", $V114="", $W114="", $X114="", $Y114=""),"",ROUND(($U114*Lists!$AD$11)+($V114*Lists!$AD$12)+($W114*Lists!$AD$13)+($X114*Lists!$AD$14)+($Y114*Lists!$AD$15),2))</f>
        <v/>
      </c>
      <c r="AA114" s="103" t="str">
        <f aca="false">IF(OR($B114="", $N114="", $O114="", $T114="", $Z114=""),"",ROUND(($N114*Lists!$AD$16)-($O114*Lists!$AD$17)-($T114*Lists!$AD$18)+($Z114*Lists!$AD$19),2))</f>
        <v/>
      </c>
      <c r="AB114" s="102" t="str">
        <f aca="false">IF(OR($B114="", $N114="", $Z114=""),"",IF($N114&gt;=Lists!$AG$2,IF($Z114&gt;=Lists!$AG$3,"Invest","Migrate"),IF($Z114&gt;=Lists!$AG$3,"Tolerate","Eliminate")))</f>
        <v/>
      </c>
      <c r="AC114" s="102" t="str">
        <f aca="false">IF($B114="","",IF($J114&gt;=4,"Yes",""))</f>
        <v/>
      </c>
      <c r="AD114" s="102" t="str">
        <f aca="false">IF($A114="","",IFERROR(IF(VLOOKUP($A114,'Risk Register'!$B$2:$H$1000,4,FALSE())&gt;=4,"Yes",""),""))</f>
        <v/>
      </c>
      <c r="AE114" s="102" t="str">
        <f aca="false">IF(OR($N114="", $O114=""),"",IF($N114&gt;=Lists!$AG$2,IF($O114&gt;=Lists!$AG$4,"High Value / High Risk","High Value / Low Risk"),IF($O114&gt;=Lists!$AG$4,"Low Value / High Risk","Low Value / Low Risk")))</f>
        <v/>
      </c>
      <c r="AF114" s="101"/>
      <c r="AG114" s="126"/>
      <c r="AH114" s="106" t="str">
        <f aca="false">IF($B114="","",COUNTIFS('Debt Backlog'!$AF$2:$AF$1000,$A114,'Debt Backlog'!$B$2:$B$1000,"&lt;&gt;",'Debt Backlog'!$N$2:$N$1000,"&lt;&gt;Done",'Debt Backlog'!$N$2:$N$1000,"&lt;&gt;Won't Fix",'Debt Backlog'!$N$2:$N$1000,"&lt;&gt;Duplicate"))</f>
        <v/>
      </c>
      <c r="AI114" s="103" t="str">
        <f aca="false">IF($B114="","",ROUND(SUMIFS('Debt Backlog'!$L$2:$L$1000,'Debt Backlog'!$AF$2:$AF$1000,$A114,'Debt Backlog'!$B$2:$B$1000,"&lt;&gt;",'Debt Backlog'!$N$2:$N$1000,"&lt;&gt;Done",'Debt Backlog'!$N$2:$N$1000,"&lt;&gt;Won't Fix",'Debt Backlog'!$N$2:$N$1000,"&lt;&gt;Duplicate"),2))</f>
        <v/>
      </c>
    </row>
    <row r="115" customFormat="false" ht="15.75" hidden="false" customHeight="true" outlineLevel="0" collapsed="false">
      <c r="A115" s="125"/>
      <c r="B115" s="101"/>
      <c r="C115" s="101"/>
      <c r="D115" s="101"/>
      <c r="E115" s="101"/>
      <c r="F115" s="101"/>
      <c r="G115" s="101"/>
      <c r="H115" s="101"/>
      <c r="I115" s="106"/>
      <c r="J115" s="106"/>
      <c r="K115" s="106"/>
      <c r="L115" s="106"/>
      <c r="M115" s="106"/>
      <c r="N115" s="103" t="str">
        <f aca="false">IF(OR($B115="", $I115="", $J115="", $K115="", $L115="", $M115=""),"",ROUND(($I115*Lists!$AD$2)+($J115*Lists!$AD$3)+($K115*Lists!$AD$4)+($L115*Lists!$AD$5)+($M115*Lists!$AD$6),2))</f>
        <v/>
      </c>
      <c r="O115" s="103" t="str">
        <f aca="false">IF($A115="","",IFERROR(VLOOKUP($A115,'Risk Register'!$B$2:$I$1000,8,FALSE()),""))</f>
        <v/>
      </c>
      <c r="P115" s="106"/>
      <c r="Q115" s="106"/>
      <c r="R115" s="106"/>
      <c r="S115" s="106"/>
      <c r="T115" s="103" t="str">
        <f aca="false">IF(OR($B115="", $P115="", $Q115="", $R115="", $S115=""),"",ROUND(($P115*Lists!$AD$7)+($Q115*Lists!$AD$8)+($R115*Lists!$AD$9)+($S115*Lists!$AD$10),2))</f>
        <v/>
      </c>
      <c r="U115" s="106"/>
      <c r="V115" s="106"/>
      <c r="W115" s="106"/>
      <c r="X115" s="106"/>
      <c r="Y115" s="106"/>
      <c r="Z115" s="103" t="str">
        <f aca="false">IF(OR($B115="", $U115="", $V115="", $W115="", $X115="", $Y115=""),"",ROUND(($U115*Lists!$AD$11)+($V115*Lists!$AD$12)+($W115*Lists!$AD$13)+($X115*Lists!$AD$14)+($Y115*Lists!$AD$15),2))</f>
        <v/>
      </c>
      <c r="AA115" s="103" t="str">
        <f aca="false">IF(OR($B115="", $N115="", $O115="", $T115="", $Z115=""),"",ROUND(($N115*Lists!$AD$16)-($O115*Lists!$AD$17)-($T115*Lists!$AD$18)+($Z115*Lists!$AD$19),2))</f>
        <v/>
      </c>
      <c r="AB115" s="102" t="str">
        <f aca="false">IF(OR($B115="", $N115="", $Z115=""),"",IF($N115&gt;=Lists!$AG$2,IF($Z115&gt;=Lists!$AG$3,"Invest","Migrate"),IF($Z115&gt;=Lists!$AG$3,"Tolerate","Eliminate")))</f>
        <v/>
      </c>
      <c r="AC115" s="102" t="str">
        <f aca="false">IF($B115="","",IF($J115&gt;=4,"Yes",""))</f>
        <v/>
      </c>
      <c r="AD115" s="102" t="str">
        <f aca="false">IF($A115="","",IFERROR(IF(VLOOKUP($A115,'Risk Register'!$B$2:$H$1000,4,FALSE())&gt;=4,"Yes",""),""))</f>
        <v/>
      </c>
      <c r="AE115" s="102" t="str">
        <f aca="false">IF(OR($N115="", $O115=""),"",IF($N115&gt;=Lists!$AG$2,IF($O115&gt;=Lists!$AG$4,"High Value / High Risk","High Value / Low Risk"),IF($O115&gt;=Lists!$AG$4,"Low Value / High Risk","Low Value / Low Risk")))</f>
        <v/>
      </c>
      <c r="AF115" s="101"/>
      <c r="AG115" s="126"/>
      <c r="AH115" s="106" t="str">
        <f aca="false">IF($B115="","",COUNTIFS('Debt Backlog'!$AF$2:$AF$1000,$A115,'Debt Backlog'!$B$2:$B$1000,"&lt;&gt;",'Debt Backlog'!$N$2:$N$1000,"&lt;&gt;Done",'Debt Backlog'!$N$2:$N$1000,"&lt;&gt;Won't Fix",'Debt Backlog'!$N$2:$N$1000,"&lt;&gt;Duplicate"))</f>
        <v/>
      </c>
      <c r="AI115" s="103" t="str">
        <f aca="false">IF($B115="","",ROUND(SUMIFS('Debt Backlog'!$L$2:$L$1000,'Debt Backlog'!$AF$2:$AF$1000,$A115,'Debt Backlog'!$B$2:$B$1000,"&lt;&gt;",'Debt Backlog'!$N$2:$N$1000,"&lt;&gt;Done",'Debt Backlog'!$N$2:$N$1000,"&lt;&gt;Won't Fix",'Debt Backlog'!$N$2:$N$1000,"&lt;&gt;Duplicate"),2))</f>
        <v/>
      </c>
    </row>
    <row r="116" customFormat="false" ht="15.75" hidden="false" customHeight="true" outlineLevel="0" collapsed="false">
      <c r="A116" s="125"/>
      <c r="B116" s="101"/>
      <c r="C116" s="101"/>
      <c r="D116" s="101"/>
      <c r="E116" s="101"/>
      <c r="F116" s="101"/>
      <c r="G116" s="101"/>
      <c r="H116" s="101"/>
      <c r="I116" s="106"/>
      <c r="J116" s="106"/>
      <c r="K116" s="106"/>
      <c r="L116" s="106"/>
      <c r="M116" s="106"/>
      <c r="N116" s="103" t="str">
        <f aca="false">IF(OR($B116="", $I116="", $J116="", $K116="", $L116="", $M116=""),"",ROUND(($I116*Lists!$AD$2)+($J116*Lists!$AD$3)+($K116*Lists!$AD$4)+($L116*Lists!$AD$5)+($M116*Lists!$AD$6),2))</f>
        <v/>
      </c>
      <c r="O116" s="103" t="str">
        <f aca="false">IF($A116="","",IFERROR(VLOOKUP($A116,'Risk Register'!$B$2:$I$1000,8,FALSE()),""))</f>
        <v/>
      </c>
      <c r="P116" s="106"/>
      <c r="Q116" s="106"/>
      <c r="R116" s="106"/>
      <c r="S116" s="106"/>
      <c r="T116" s="103" t="str">
        <f aca="false">IF(OR($B116="", $P116="", $Q116="", $R116="", $S116=""),"",ROUND(($P116*Lists!$AD$7)+($Q116*Lists!$AD$8)+($R116*Lists!$AD$9)+($S116*Lists!$AD$10),2))</f>
        <v/>
      </c>
      <c r="U116" s="106"/>
      <c r="V116" s="106"/>
      <c r="W116" s="106"/>
      <c r="X116" s="106"/>
      <c r="Y116" s="106"/>
      <c r="Z116" s="103" t="str">
        <f aca="false">IF(OR($B116="", $U116="", $V116="", $W116="", $X116="", $Y116=""),"",ROUND(($U116*Lists!$AD$11)+($V116*Lists!$AD$12)+($W116*Lists!$AD$13)+($X116*Lists!$AD$14)+($Y116*Lists!$AD$15),2))</f>
        <v/>
      </c>
      <c r="AA116" s="103" t="str">
        <f aca="false">IF(OR($B116="", $N116="", $O116="", $T116="", $Z116=""),"",ROUND(($N116*Lists!$AD$16)-($O116*Lists!$AD$17)-($T116*Lists!$AD$18)+($Z116*Lists!$AD$19),2))</f>
        <v/>
      </c>
      <c r="AB116" s="102" t="str">
        <f aca="false">IF(OR($B116="", $N116="", $Z116=""),"",IF($N116&gt;=Lists!$AG$2,IF($Z116&gt;=Lists!$AG$3,"Invest","Migrate"),IF($Z116&gt;=Lists!$AG$3,"Tolerate","Eliminate")))</f>
        <v/>
      </c>
      <c r="AC116" s="102" t="str">
        <f aca="false">IF($B116="","",IF($J116&gt;=4,"Yes",""))</f>
        <v/>
      </c>
      <c r="AD116" s="102" t="str">
        <f aca="false">IF($A116="","",IFERROR(IF(VLOOKUP($A116,'Risk Register'!$B$2:$H$1000,4,FALSE())&gt;=4,"Yes",""),""))</f>
        <v/>
      </c>
      <c r="AE116" s="102" t="str">
        <f aca="false">IF(OR($N116="", $O116=""),"",IF($N116&gt;=Lists!$AG$2,IF($O116&gt;=Lists!$AG$4,"High Value / High Risk","High Value / Low Risk"),IF($O116&gt;=Lists!$AG$4,"Low Value / High Risk","Low Value / Low Risk")))</f>
        <v/>
      </c>
      <c r="AF116" s="101"/>
      <c r="AG116" s="126"/>
      <c r="AH116" s="106" t="str">
        <f aca="false">IF($B116="","",COUNTIFS('Debt Backlog'!$AF$2:$AF$1000,$A116,'Debt Backlog'!$B$2:$B$1000,"&lt;&gt;",'Debt Backlog'!$N$2:$N$1000,"&lt;&gt;Done",'Debt Backlog'!$N$2:$N$1000,"&lt;&gt;Won't Fix",'Debt Backlog'!$N$2:$N$1000,"&lt;&gt;Duplicate"))</f>
        <v/>
      </c>
      <c r="AI116" s="103" t="str">
        <f aca="false">IF($B116="","",ROUND(SUMIFS('Debt Backlog'!$L$2:$L$1000,'Debt Backlog'!$AF$2:$AF$1000,$A116,'Debt Backlog'!$B$2:$B$1000,"&lt;&gt;",'Debt Backlog'!$N$2:$N$1000,"&lt;&gt;Done",'Debt Backlog'!$N$2:$N$1000,"&lt;&gt;Won't Fix",'Debt Backlog'!$N$2:$N$1000,"&lt;&gt;Duplicate"),2))</f>
        <v/>
      </c>
    </row>
    <row r="117" customFormat="false" ht="15.75" hidden="false" customHeight="true" outlineLevel="0" collapsed="false">
      <c r="A117" s="125"/>
      <c r="B117" s="101"/>
      <c r="C117" s="101"/>
      <c r="D117" s="101"/>
      <c r="E117" s="101"/>
      <c r="F117" s="101"/>
      <c r="G117" s="101"/>
      <c r="H117" s="101"/>
      <c r="I117" s="106"/>
      <c r="J117" s="106"/>
      <c r="K117" s="106"/>
      <c r="L117" s="106"/>
      <c r="M117" s="106"/>
      <c r="N117" s="103" t="str">
        <f aca="false">IF(OR($B117="", $I117="", $J117="", $K117="", $L117="", $M117=""),"",ROUND(($I117*Lists!$AD$2)+($J117*Lists!$AD$3)+($K117*Lists!$AD$4)+($L117*Lists!$AD$5)+($M117*Lists!$AD$6),2))</f>
        <v/>
      </c>
      <c r="O117" s="103" t="str">
        <f aca="false">IF($A117="","",IFERROR(VLOOKUP($A117,'Risk Register'!$B$2:$I$1000,8,FALSE()),""))</f>
        <v/>
      </c>
      <c r="P117" s="106"/>
      <c r="Q117" s="106"/>
      <c r="R117" s="106"/>
      <c r="S117" s="106"/>
      <c r="T117" s="103" t="str">
        <f aca="false">IF(OR($B117="", $P117="", $Q117="", $R117="", $S117=""),"",ROUND(($P117*Lists!$AD$7)+($Q117*Lists!$AD$8)+($R117*Lists!$AD$9)+($S117*Lists!$AD$10),2))</f>
        <v/>
      </c>
      <c r="U117" s="106"/>
      <c r="V117" s="106"/>
      <c r="W117" s="106"/>
      <c r="X117" s="106"/>
      <c r="Y117" s="106"/>
      <c r="Z117" s="103" t="str">
        <f aca="false">IF(OR($B117="", $U117="", $V117="", $W117="", $X117="", $Y117=""),"",ROUND(($U117*Lists!$AD$11)+($V117*Lists!$AD$12)+($W117*Lists!$AD$13)+($X117*Lists!$AD$14)+($Y117*Lists!$AD$15),2))</f>
        <v/>
      </c>
      <c r="AA117" s="103" t="str">
        <f aca="false">IF(OR($B117="", $N117="", $O117="", $T117="", $Z117=""),"",ROUND(($N117*Lists!$AD$16)-($O117*Lists!$AD$17)-($T117*Lists!$AD$18)+($Z117*Lists!$AD$19),2))</f>
        <v/>
      </c>
      <c r="AB117" s="102" t="str">
        <f aca="false">IF(OR($B117="", $N117="", $Z117=""),"",IF($N117&gt;=Lists!$AG$2,IF($Z117&gt;=Lists!$AG$3,"Invest","Migrate"),IF($Z117&gt;=Lists!$AG$3,"Tolerate","Eliminate")))</f>
        <v/>
      </c>
      <c r="AC117" s="102" t="str">
        <f aca="false">IF($B117="","",IF($J117&gt;=4,"Yes",""))</f>
        <v/>
      </c>
      <c r="AD117" s="102" t="str">
        <f aca="false">IF($A117="","",IFERROR(IF(VLOOKUP($A117,'Risk Register'!$B$2:$H$1000,4,FALSE())&gt;=4,"Yes",""),""))</f>
        <v/>
      </c>
      <c r="AE117" s="102" t="str">
        <f aca="false">IF(OR($N117="", $O117=""),"",IF($N117&gt;=Lists!$AG$2,IF($O117&gt;=Lists!$AG$4,"High Value / High Risk","High Value / Low Risk"),IF($O117&gt;=Lists!$AG$4,"Low Value / High Risk","Low Value / Low Risk")))</f>
        <v/>
      </c>
      <c r="AF117" s="101"/>
      <c r="AG117" s="126"/>
      <c r="AH117" s="106" t="str">
        <f aca="false">IF($B117="","",COUNTIFS('Debt Backlog'!$AF$2:$AF$1000,$A117,'Debt Backlog'!$B$2:$B$1000,"&lt;&gt;",'Debt Backlog'!$N$2:$N$1000,"&lt;&gt;Done",'Debt Backlog'!$N$2:$N$1000,"&lt;&gt;Won't Fix",'Debt Backlog'!$N$2:$N$1000,"&lt;&gt;Duplicate"))</f>
        <v/>
      </c>
      <c r="AI117" s="103" t="str">
        <f aca="false">IF($B117="","",ROUND(SUMIFS('Debt Backlog'!$L$2:$L$1000,'Debt Backlog'!$AF$2:$AF$1000,$A117,'Debt Backlog'!$B$2:$B$1000,"&lt;&gt;",'Debt Backlog'!$N$2:$N$1000,"&lt;&gt;Done",'Debt Backlog'!$N$2:$N$1000,"&lt;&gt;Won't Fix",'Debt Backlog'!$N$2:$N$1000,"&lt;&gt;Duplicate"),2))</f>
        <v/>
      </c>
    </row>
    <row r="118" customFormat="false" ht="15.75" hidden="false" customHeight="true" outlineLevel="0" collapsed="false">
      <c r="A118" s="125"/>
      <c r="B118" s="101"/>
      <c r="C118" s="101"/>
      <c r="D118" s="101"/>
      <c r="E118" s="101"/>
      <c r="F118" s="101"/>
      <c r="G118" s="101"/>
      <c r="H118" s="101"/>
      <c r="I118" s="106"/>
      <c r="J118" s="106"/>
      <c r="K118" s="106"/>
      <c r="L118" s="106"/>
      <c r="M118" s="106"/>
      <c r="N118" s="103" t="str">
        <f aca="false">IF(OR($B118="", $I118="", $J118="", $K118="", $L118="", $M118=""),"",ROUND(($I118*Lists!$AD$2)+($J118*Lists!$AD$3)+($K118*Lists!$AD$4)+($L118*Lists!$AD$5)+($M118*Lists!$AD$6),2))</f>
        <v/>
      </c>
      <c r="O118" s="103" t="str">
        <f aca="false">IF($A118="","",IFERROR(VLOOKUP($A118,'Risk Register'!$B$2:$I$1000,8,FALSE()),""))</f>
        <v/>
      </c>
      <c r="P118" s="106"/>
      <c r="Q118" s="106"/>
      <c r="R118" s="106"/>
      <c r="S118" s="106"/>
      <c r="T118" s="103" t="str">
        <f aca="false">IF(OR($B118="", $P118="", $Q118="", $R118="", $S118=""),"",ROUND(($P118*Lists!$AD$7)+($Q118*Lists!$AD$8)+($R118*Lists!$AD$9)+($S118*Lists!$AD$10),2))</f>
        <v/>
      </c>
      <c r="U118" s="106"/>
      <c r="V118" s="106"/>
      <c r="W118" s="106"/>
      <c r="X118" s="106"/>
      <c r="Y118" s="106"/>
      <c r="Z118" s="103" t="str">
        <f aca="false">IF(OR($B118="", $U118="", $V118="", $W118="", $X118="", $Y118=""),"",ROUND(($U118*Lists!$AD$11)+($V118*Lists!$AD$12)+($W118*Lists!$AD$13)+($X118*Lists!$AD$14)+($Y118*Lists!$AD$15),2))</f>
        <v/>
      </c>
      <c r="AA118" s="103" t="str">
        <f aca="false">IF(OR($B118="", $N118="", $O118="", $T118="", $Z118=""),"",ROUND(($N118*Lists!$AD$16)-($O118*Lists!$AD$17)-($T118*Lists!$AD$18)+($Z118*Lists!$AD$19),2))</f>
        <v/>
      </c>
      <c r="AB118" s="102" t="str">
        <f aca="false">IF(OR($B118="", $N118="", $Z118=""),"",IF($N118&gt;=Lists!$AG$2,IF($Z118&gt;=Lists!$AG$3,"Invest","Migrate"),IF($Z118&gt;=Lists!$AG$3,"Tolerate","Eliminate")))</f>
        <v/>
      </c>
      <c r="AC118" s="102" t="str">
        <f aca="false">IF($B118="","",IF($J118&gt;=4,"Yes",""))</f>
        <v/>
      </c>
      <c r="AD118" s="102" t="str">
        <f aca="false">IF($A118="","",IFERROR(IF(VLOOKUP($A118,'Risk Register'!$B$2:$H$1000,4,FALSE())&gt;=4,"Yes",""),""))</f>
        <v/>
      </c>
      <c r="AE118" s="102" t="str">
        <f aca="false">IF(OR($N118="", $O118=""),"",IF($N118&gt;=Lists!$AG$2,IF($O118&gt;=Lists!$AG$4,"High Value / High Risk","High Value / Low Risk"),IF($O118&gt;=Lists!$AG$4,"Low Value / High Risk","Low Value / Low Risk")))</f>
        <v/>
      </c>
      <c r="AF118" s="101"/>
      <c r="AG118" s="126"/>
      <c r="AH118" s="106" t="str">
        <f aca="false">IF($B118="","",COUNTIFS('Debt Backlog'!$AF$2:$AF$1000,$A118,'Debt Backlog'!$B$2:$B$1000,"&lt;&gt;",'Debt Backlog'!$N$2:$N$1000,"&lt;&gt;Done",'Debt Backlog'!$N$2:$N$1000,"&lt;&gt;Won't Fix",'Debt Backlog'!$N$2:$N$1000,"&lt;&gt;Duplicate"))</f>
        <v/>
      </c>
      <c r="AI118" s="103" t="str">
        <f aca="false">IF($B118="","",ROUND(SUMIFS('Debt Backlog'!$L$2:$L$1000,'Debt Backlog'!$AF$2:$AF$1000,$A118,'Debt Backlog'!$B$2:$B$1000,"&lt;&gt;",'Debt Backlog'!$N$2:$N$1000,"&lt;&gt;Done",'Debt Backlog'!$N$2:$N$1000,"&lt;&gt;Won't Fix",'Debt Backlog'!$N$2:$N$1000,"&lt;&gt;Duplicate"),2))</f>
        <v/>
      </c>
    </row>
    <row r="119" customFormat="false" ht="15.75" hidden="false" customHeight="true" outlineLevel="0" collapsed="false">
      <c r="A119" s="125"/>
      <c r="B119" s="101"/>
      <c r="C119" s="101"/>
      <c r="D119" s="101"/>
      <c r="E119" s="101"/>
      <c r="F119" s="101"/>
      <c r="G119" s="101"/>
      <c r="H119" s="101"/>
      <c r="I119" s="106"/>
      <c r="J119" s="106"/>
      <c r="K119" s="106"/>
      <c r="L119" s="106"/>
      <c r="M119" s="106"/>
      <c r="N119" s="103" t="str">
        <f aca="false">IF(OR($B119="", $I119="", $J119="", $K119="", $L119="", $M119=""),"",ROUND(($I119*Lists!$AD$2)+($J119*Lists!$AD$3)+($K119*Lists!$AD$4)+($L119*Lists!$AD$5)+($M119*Lists!$AD$6),2))</f>
        <v/>
      </c>
      <c r="O119" s="103" t="str">
        <f aca="false">IF($A119="","",IFERROR(VLOOKUP($A119,'Risk Register'!$B$2:$I$1000,8,FALSE()),""))</f>
        <v/>
      </c>
      <c r="P119" s="106"/>
      <c r="Q119" s="106"/>
      <c r="R119" s="106"/>
      <c r="S119" s="106"/>
      <c r="T119" s="103" t="str">
        <f aca="false">IF(OR($B119="", $P119="", $Q119="", $R119="", $S119=""),"",ROUND(($P119*Lists!$AD$7)+($Q119*Lists!$AD$8)+($R119*Lists!$AD$9)+($S119*Lists!$AD$10),2))</f>
        <v/>
      </c>
      <c r="U119" s="106"/>
      <c r="V119" s="106"/>
      <c r="W119" s="106"/>
      <c r="X119" s="106"/>
      <c r="Y119" s="106"/>
      <c r="Z119" s="103" t="str">
        <f aca="false">IF(OR($B119="", $U119="", $V119="", $W119="", $X119="", $Y119=""),"",ROUND(($U119*Lists!$AD$11)+($V119*Lists!$AD$12)+($W119*Lists!$AD$13)+($X119*Lists!$AD$14)+($Y119*Lists!$AD$15),2))</f>
        <v/>
      </c>
      <c r="AA119" s="103" t="str">
        <f aca="false">IF(OR($B119="", $N119="", $O119="", $T119="", $Z119=""),"",ROUND(($N119*Lists!$AD$16)-($O119*Lists!$AD$17)-($T119*Lists!$AD$18)+($Z119*Lists!$AD$19),2))</f>
        <v/>
      </c>
      <c r="AB119" s="102" t="str">
        <f aca="false">IF(OR($B119="", $N119="", $Z119=""),"",IF($N119&gt;=Lists!$AG$2,IF($Z119&gt;=Lists!$AG$3,"Invest","Migrate"),IF($Z119&gt;=Lists!$AG$3,"Tolerate","Eliminate")))</f>
        <v/>
      </c>
      <c r="AC119" s="102" t="str">
        <f aca="false">IF($B119="","",IF($J119&gt;=4,"Yes",""))</f>
        <v/>
      </c>
      <c r="AD119" s="102" t="str">
        <f aca="false">IF($A119="","",IFERROR(IF(VLOOKUP($A119,'Risk Register'!$B$2:$H$1000,4,FALSE())&gt;=4,"Yes",""),""))</f>
        <v/>
      </c>
      <c r="AE119" s="102" t="str">
        <f aca="false">IF(OR($N119="", $O119=""),"",IF($N119&gt;=Lists!$AG$2,IF($O119&gt;=Lists!$AG$4,"High Value / High Risk","High Value / Low Risk"),IF($O119&gt;=Lists!$AG$4,"Low Value / High Risk","Low Value / Low Risk")))</f>
        <v/>
      </c>
      <c r="AF119" s="101"/>
      <c r="AG119" s="126"/>
      <c r="AH119" s="106" t="str">
        <f aca="false">IF($B119="","",COUNTIFS('Debt Backlog'!$AF$2:$AF$1000,$A119,'Debt Backlog'!$B$2:$B$1000,"&lt;&gt;",'Debt Backlog'!$N$2:$N$1000,"&lt;&gt;Done",'Debt Backlog'!$N$2:$N$1000,"&lt;&gt;Won't Fix",'Debt Backlog'!$N$2:$N$1000,"&lt;&gt;Duplicate"))</f>
        <v/>
      </c>
      <c r="AI119" s="103" t="str">
        <f aca="false">IF($B119="","",ROUND(SUMIFS('Debt Backlog'!$L$2:$L$1000,'Debt Backlog'!$AF$2:$AF$1000,$A119,'Debt Backlog'!$B$2:$B$1000,"&lt;&gt;",'Debt Backlog'!$N$2:$N$1000,"&lt;&gt;Done",'Debt Backlog'!$N$2:$N$1000,"&lt;&gt;Won't Fix",'Debt Backlog'!$N$2:$N$1000,"&lt;&gt;Duplicate"),2))</f>
        <v/>
      </c>
    </row>
    <row r="120" customFormat="false" ht="15.75" hidden="false" customHeight="true" outlineLevel="0" collapsed="false">
      <c r="A120" s="125"/>
      <c r="B120" s="101"/>
      <c r="C120" s="101"/>
      <c r="D120" s="101"/>
      <c r="E120" s="101"/>
      <c r="F120" s="101"/>
      <c r="G120" s="101"/>
      <c r="H120" s="101"/>
      <c r="I120" s="106"/>
      <c r="J120" s="106"/>
      <c r="K120" s="106"/>
      <c r="L120" s="106"/>
      <c r="M120" s="106"/>
      <c r="N120" s="103" t="str">
        <f aca="false">IF(OR($B120="", $I120="", $J120="", $K120="", $L120="", $M120=""),"",ROUND(($I120*Lists!$AD$2)+($J120*Lists!$AD$3)+($K120*Lists!$AD$4)+($L120*Lists!$AD$5)+($M120*Lists!$AD$6),2))</f>
        <v/>
      </c>
      <c r="O120" s="103" t="str">
        <f aca="false">IF($A120="","",IFERROR(VLOOKUP($A120,'Risk Register'!$B$2:$I$1000,8,FALSE()),""))</f>
        <v/>
      </c>
      <c r="P120" s="106"/>
      <c r="Q120" s="106"/>
      <c r="R120" s="106"/>
      <c r="S120" s="106"/>
      <c r="T120" s="103" t="str">
        <f aca="false">IF(OR($B120="", $P120="", $Q120="", $R120="", $S120=""),"",ROUND(($P120*Lists!$AD$7)+($Q120*Lists!$AD$8)+($R120*Lists!$AD$9)+($S120*Lists!$AD$10),2))</f>
        <v/>
      </c>
      <c r="U120" s="106"/>
      <c r="V120" s="106"/>
      <c r="W120" s="106"/>
      <c r="X120" s="106"/>
      <c r="Y120" s="106"/>
      <c r="Z120" s="103" t="str">
        <f aca="false">IF(OR($B120="", $U120="", $V120="", $W120="", $X120="", $Y120=""),"",ROUND(($U120*Lists!$AD$11)+($V120*Lists!$AD$12)+($W120*Lists!$AD$13)+($X120*Lists!$AD$14)+($Y120*Lists!$AD$15),2))</f>
        <v/>
      </c>
      <c r="AA120" s="103" t="str">
        <f aca="false">IF(OR($B120="", $N120="", $O120="", $T120="", $Z120=""),"",ROUND(($N120*Lists!$AD$16)-($O120*Lists!$AD$17)-($T120*Lists!$AD$18)+($Z120*Lists!$AD$19),2))</f>
        <v/>
      </c>
      <c r="AB120" s="102" t="str">
        <f aca="false">IF(OR($B120="", $N120="", $Z120=""),"",IF($N120&gt;=Lists!$AG$2,IF($Z120&gt;=Lists!$AG$3,"Invest","Migrate"),IF($Z120&gt;=Lists!$AG$3,"Tolerate","Eliminate")))</f>
        <v/>
      </c>
      <c r="AC120" s="102" t="str">
        <f aca="false">IF($B120="","",IF($J120&gt;=4,"Yes",""))</f>
        <v/>
      </c>
      <c r="AD120" s="102" t="str">
        <f aca="false">IF($A120="","",IFERROR(IF(VLOOKUP($A120,'Risk Register'!$B$2:$H$1000,4,FALSE())&gt;=4,"Yes",""),""))</f>
        <v/>
      </c>
      <c r="AE120" s="102" t="str">
        <f aca="false">IF(OR($N120="", $O120=""),"",IF($N120&gt;=Lists!$AG$2,IF($O120&gt;=Lists!$AG$4,"High Value / High Risk","High Value / Low Risk"),IF($O120&gt;=Lists!$AG$4,"Low Value / High Risk","Low Value / Low Risk")))</f>
        <v/>
      </c>
      <c r="AF120" s="101"/>
      <c r="AG120" s="126"/>
      <c r="AH120" s="106" t="str">
        <f aca="false">IF($B120="","",COUNTIFS('Debt Backlog'!$AF$2:$AF$1000,$A120,'Debt Backlog'!$B$2:$B$1000,"&lt;&gt;",'Debt Backlog'!$N$2:$N$1000,"&lt;&gt;Done",'Debt Backlog'!$N$2:$N$1000,"&lt;&gt;Won't Fix",'Debt Backlog'!$N$2:$N$1000,"&lt;&gt;Duplicate"))</f>
        <v/>
      </c>
      <c r="AI120" s="103" t="str">
        <f aca="false">IF($B120="","",ROUND(SUMIFS('Debt Backlog'!$L$2:$L$1000,'Debt Backlog'!$AF$2:$AF$1000,$A120,'Debt Backlog'!$B$2:$B$1000,"&lt;&gt;",'Debt Backlog'!$N$2:$N$1000,"&lt;&gt;Done",'Debt Backlog'!$N$2:$N$1000,"&lt;&gt;Won't Fix",'Debt Backlog'!$N$2:$N$1000,"&lt;&gt;Duplicate"),2))</f>
        <v/>
      </c>
    </row>
    <row r="121" customFormat="false" ht="15.75" hidden="false" customHeight="true" outlineLevel="0" collapsed="false">
      <c r="A121" s="125"/>
      <c r="B121" s="101"/>
      <c r="C121" s="101"/>
      <c r="D121" s="101"/>
      <c r="E121" s="101"/>
      <c r="F121" s="101"/>
      <c r="G121" s="101"/>
      <c r="H121" s="101"/>
      <c r="I121" s="106"/>
      <c r="J121" s="106"/>
      <c r="K121" s="106"/>
      <c r="L121" s="106"/>
      <c r="M121" s="106"/>
      <c r="N121" s="103" t="str">
        <f aca="false">IF(OR($B121="", $I121="", $J121="", $K121="", $L121="", $M121=""),"",ROUND(($I121*Lists!$AD$2)+($J121*Lists!$AD$3)+($K121*Lists!$AD$4)+($L121*Lists!$AD$5)+($M121*Lists!$AD$6),2))</f>
        <v/>
      </c>
      <c r="O121" s="103" t="str">
        <f aca="false">IF($A121="","",IFERROR(VLOOKUP($A121,'Risk Register'!$B$2:$I$1000,8,FALSE()),""))</f>
        <v/>
      </c>
      <c r="P121" s="106"/>
      <c r="Q121" s="106"/>
      <c r="R121" s="106"/>
      <c r="S121" s="106"/>
      <c r="T121" s="103" t="str">
        <f aca="false">IF(OR($B121="", $P121="", $Q121="", $R121="", $S121=""),"",ROUND(($P121*Lists!$AD$7)+($Q121*Lists!$AD$8)+($R121*Lists!$AD$9)+($S121*Lists!$AD$10),2))</f>
        <v/>
      </c>
      <c r="U121" s="106"/>
      <c r="V121" s="106"/>
      <c r="W121" s="106"/>
      <c r="X121" s="106"/>
      <c r="Y121" s="106"/>
      <c r="Z121" s="103" t="str">
        <f aca="false">IF(OR($B121="", $U121="", $V121="", $W121="", $X121="", $Y121=""),"",ROUND(($U121*Lists!$AD$11)+($V121*Lists!$AD$12)+($W121*Lists!$AD$13)+($X121*Lists!$AD$14)+($Y121*Lists!$AD$15),2))</f>
        <v/>
      </c>
      <c r="AA121" s="103" t="str">
        <f aca="false">IF(OR($B121="", $N121="", $O121="", $T121="", $Z121=""),"",ROUND(($N121*Lists!$AD$16)-($O121*Lists!$AD$17)-($T121*Lists!$AD$18)+($Z121*Lists!$AD$19),2))</f>
        <v/>
      </c>
      <c r="AB121" s="102" t="str">
        <f aca="false">IF(OR($B121="", $N121="", $Z121=""),"",IF($N121&gt;=Lists!$AG$2,IF($Z121&gt;=Lists!$AG$3,"Invest","Migrate"),IF($Z121&gt;=Lists!$AG$3,"Tolerate","Eliminate")))</f>
        <v/>
      </c>
      <c r="AC121" s="102" t="str">
        <f aca="false">IF($B121="","",IF($J121&gt;=4,"Yes",""))</f>
        <v/>
      </c>
      <c r="AD121" s="102" t="str">
        <f aca="false">IF($A121="","",IFERROR(IF(VLOOKUP($A121,'Risk Register'!$B$2:$H$1000,4,FALSE())&gt;=4,"Yes",""),""))</f>
        <v/>
      </c>
      <c r="AE121" s="102" t="str">
        <f aca="false">IF(OR($N121="", $O121=""),"",IF($N121&gt;=Lists!$AG$2,IF($O121&gt;=Lists!$AG$4,"High Value / High Risk","High Value / Low Risk"),IF($O121&gt;=Lists!$AG$4,"Low Value / High Risk","Low Value / Low Risk")))</f>
        <v/>
      </c>
      <c r="AF121" s="101"/>
      <c r="AG121" s="126"/>
      <c r="AH121" s="106" t="str">
        <f aca="false">IF($B121="","",COUNTIFS('Debt Backlog'!$AF$2:$AF$1000,$A121,'Debt Backlog'!$B$2:$B$1000,"&lt;&gt;",'Debt Backlog'!$N$2:$N$1000,"&lt;&gt;Done",'Debt Backlog'!$N$2:$N$1000,"&lt;&gt;Won't Fix",'Debt Backlog'!$N$2:$N$1000,"&lt;&gt;Duplicate"))</f>
        <v/>
      </c>
      <c r="AI121" s="103" t="str">
        <f aca="false">IF($B121="","",ROUND(SUMIFS('Debt Backlog'!$L$2:$L$1000,'Debt Backlog'!$AF$2:$AF$1000,$A121,'Debt Backlog'!$B$2:$B$1000,"&lt;&gt;",'Debt Backlog'!$N$2:$N$1000,"&lt;&gt;Done",'Debt Backlog'!$N$2:$N$1000,"&lt;&gt;Won't Fix",'Debt Backlog'!$N$2:$N$1000,"&lt;&gt;Duplicate"),2))</f>
        <v/>
      </c>
    </row>
    <row r="122" customFormat="false" ht="15.75" hidden="false" customHeight="true" outlineLevel="0" collapsed="false">
      <c r="A122" s="125"/>
      <c r="B122" s="101"/>
      <c r="C122" s="101"/>
      <c r="D122" s="101"/>
      <c r="E122" s="101"/>
      <c r="F122" s="101"/>
      <c r="G122" s="101"/>
      <c r="H122" s="101"/>
      <c r="I122" s="106"/>
      <c r="J122" s="106"/>
      <c r="K122" s="106"/>
      <c r="L122" s="106"/>
      <c r="M122" s="106"/>
      <c r="N122" s="103" t="str">
        <f aca="false">IF(OR($B122="", $I122="", $J122="", $K122="", $L122="", $M122=""),"",ROUND(($I122*Lists!$AD$2)+($J122*Lists!$AD$3)+($K122*Lists!$AD$4)+($L122*Lists!$AD$5)+($M122*Lists!$AD$6),2))</f>
        <v/>
      </c>
      <c r="O122" s="103" t="str">
        <f aca="false">IF($A122="","",IFERROR(VLOOKUP($A122,'Risk Register'!$B$2:$I$1000,8,FALSE()),""))</f>
        <v/>
      </c>
      <c r="P122" s="106"/>
      <c r="Q122" s="106"/>
      <c r="R122" s="106"/>
      <c r="S122" s="106"/>
      <c r="T122" s="103" t="str">
        <f aca="false">IF(OR($B122="", $P122="", $Q122="", $R122="", $S122=""),"",ROUND(($P122*Lists!$AD$7)+($Q122*Lists!$AD$8)+($R122*Lists!$AD$9)+($S122*Lists!$AD$10),2))</f>
        <v/>
      </c>
      <c r="U122" s="106"/>
      <c r="V122" s="106"/>
      <c r="W122" s="106"/>
      <c r="X122" s="106"/>
      <c r="Y122" s="106"/>
      <c r="Z122" s="103" t="str">
        <f aca="false">IF(OR($B122="", $U122="", $V122="", $W122="", $X122="", $Y122=""),"",ROUND(($U122*Lists!$AD$11)+($V122*Lists!$AD$12)+($W122*Lists!$AD$13)+($X122*Lists!$AD$14)+($Y122*Lists!$AD$15),2))</f>
        <v/>
      </c>
      <c r="AA122" s="103" t="str">
        <f aca="false">IF(OR($B122="", $N122="", $O122="", $T122="", $Z122=""),"",ROUND(($N122*Lists!$AD$16)-($O122*Lists!$AD$17)-($T122*Lists!$AD$18)+($Z122*Lists!$AD$19),2))</f>
        <v/>
      </c>
      <c r="AB122" s="102" t="str">
        <f aca="false">IF(OR($B122="", $N122="", $Z122=""),"",IF($N122&gt;=Lists!$AG$2,IF($Z122&gt;=Lists!$AG$3,"Invest","Migrate"),IF($Z122&gt;=Lists!$AG$3,"Tolerate","Eliminate")))</f>
        <v/>
      </c>
      <c r="AC122" s="102" t="str">
        <f aca="false">IF($B122="","",IF($J122&gt;=4,"Yes",""))</f>
        <v/>
      </c>
      <c r="AD122" s="102" t="str">
        <f aca="false">IF($A122="","",IFERROR(IF(VLOOKUP($A122,'Risk Register'!$B$2:$H$1000,4,FALSE())&gt;=4,"Yes",""),""))</f>
        <v/>
      </c>
      <c r="AE122" s="102" t="str">
        <f aca="false">IF(OR($N122="", $O122=""),"",IF($N122&gt;=Lists!$AG$2,IF($O122&gt;=Lists!$AG$4,"High Value / High Risk","High Value / Low Risk"),IF($O122&gt;=Lists!$AG$4,"Low Value / High Risk","Low Value / Low Risk")))</f>
        <v/>
      </c>
      <c r="AF122" s="101"/>
      <c r="AG122" s="126"/>
      <c r="AH122" s="106" t="str">
        <f aca="false">IF($B122="","",COUNTIFS('Debt Backlog'!$AF$2:$AF$1000,$A122,'Debt Backlog'!$B$2:$B$1000,"&lt;&gt;",'Debt Backlog'!$N$2:$N$1000,"&lt;&gt;Done",'Debt Backlog'!$N$2:$N$1000,"&lt;&gt;Won't Fix",'Debt Backlog'!$N$2:$N$1000,"&lt;&gt;Duplicate"))</f>
        <v/>
      </c>
      <c r="AI122" s="103" t="str">
        <f aca="false">IF($B122="","",ROUND(SUMIFS('Debt Backlog'!$L$2:$L$1000,'Debt Backlog'!$AF$2:$AF$1000,$A122,'Debt Backlog'!$B$2:$B$1000,"&lt;&gt;",'Debt Backlog'!$N$2:$N$1000,"&lt;&gt;Done",'Debt Backlog'!$N$2:$N$1000,"&lt;&gt;Won't Fix",'Debt Backlog'!$N$2:$N$1000,"&lt;&gt;Duplicate"),2))</f>
        <v/>
      </c>
    </row>
    <row r="123" customFormat="false" ht="15.75" hidden="false" customHeight="true" outlineLevel="0" collapsed="false">
      <c r="A123" s="125"/>
      <c r="B123" s="101"/>
      <c r="C123" s="101"/>
      <c r="D123" s="101"/>
      <c r="E123" s="101"/>
      <c r="F123" s="101"/>
      <c r="G123" s="101"/>
      <c r="H123" s="101"/>
      <c r="I123" s="106"/>
      <c r="J123" s="106"/>
      <c r="K123" s="106"/>
      <c r="L123" s="106"/>
      <c r="M123" s="106"/>
      <c r="N123" s="103" t="str">
        <f aca="false">IF(OR($B123="", $I123="", $J123="", $K123="", $L123="", $M123=""),"",ROUND(($I123*Lists!$AD$2)+($J123*Lists!$AD$3)+($K123*Lists!$AD$4)+($L123*Lists!$AD$5)+($M123*Lists!$AD$6),2))</f>
        <v/>
      </c>
      <c r="O123" s="103" t="str">
        <f aca="false">IF($A123="","",IFERROR(VLOOKUP($A123,'Risk Register'!$B$2:$I$1000,8,FALSE()),""))</f>
        <v/>
      </c>
      <c r="P123" s="106"/>
      <c r="Q123" s="106"/>
      <c r="R123" s="106"/>
      <c r="S123" s="106"/>
      <c r="T123" s="103" t="str">
        <f aca="false">IF(OR($B123="", $P123="", $Q123="", $R123="", $S123=""),"",ROUND(($P123*Lists!$AD$7)+($Q123*Lists!$AD$8)+($R123*Lists!$AD$9)+($S123*Lists!$AD$10),2))</f>
        <v/>
      </c>
      <c r="U123" s="106"/>
      <c r="V123" s="106"/>
      <c r="W123" s="106"/>
      <c r="X123" s="106"/>
      <c r="Y123" s="106"/>
      <c r="Z123" s="103" t="str">
        <f aca="false">IF(OR($B123="", $U123="", $V123="", $W123="", $X123="", $Y123=""),"",ROUND(($U123*Lists!$AD$11)+($V123*Lists!$AD$12)+($W123*Lists!$AD$13)+($X123*Lists!$AD$14)+($Y123*Lists!$AD$15),2))</f>
        <v/>
      </c>
      <c r="AA123" s="103" t="str">
        <f aca="false">IF(OR($B123="", $N123="", $O123="", $T123="", $Z123=""),"",ROUND(($N123*Lists!$AD$16)-($O123*Lists!$AD$17)-($T123*Lists!$AD$18)+($Z123*Lists!$AD$19),2))</f>
        <v/>
      </c>
      <c r="AB123" s="102" t="str">
        <f aca="false">IF(OR($B123="", $N123="", $Z123=""),"",IF($N123&gt;=Lists!$AG$2,IF($Z123&gt;=Lists!$AG$3,"Invest","Migrate"),IF($Z123&gt;=Lists!$AG$3,"Tolerate","Eliminate")))</f>
        <v/>
      </c>
      <c r="AC123" s="102" t="str">
        <f aca="false">IF($B123="","",IF($J123&gt;=4,"Yes",""))</f>
        <v/>
      </c>
      <c r="AD123" s="102" t="str">
        <f aca="false">IF($A123="","",IFERROR(IF(VLOOKUP($A123,'Risk Register'!$B$2:$H$1000,4,FALSE())&gt;=4,"Yes",""),""))</f>
        <v/>
      </c>
      <c r="AE123" s="102" t="str">
        <f aca="false">IF(OR($N123="", $O123=""),"",IF($N123&gt;=Lists!$AG$2,IF($O123&gt;=Lists!$AG$4,"High Value / High Risk","High Value / Low Risk"),IF($O123&gt;=Lists!$AG$4,"Low Value / High Risk","Low Value / Low Risk")))</f>
        <v/>
      </c>
      <c r="AF123" s="101"/>
      <c r="AG123" s="126"/>
      <c r="AH123" s="106" t="str">
        <f aca="false">IF($B123="","",COUNTIFS('Debt Backlog'!$AF$2:$AF$1000,$A123,'Debt Backlog'!$B$2:$B$1000,"&lt;&gt;",'Debt Backlog'!$N$2:$N$1000,"&lt;&gt;Done",'Debt Backlog'!$N$2:$N$1000,"&lt;&gt;Won't Fix",'Debt Backlog'!$N$2:$N$1000,"&lt;&gt;Duplicate"))</f>
        <v/>
      </c>
      <c r="AI123" s="103" t="str">
        <f aca="false">IF($B123="","",ROUND(SUMIFS('Debt Backlog'!$L$2:$L$1000,'Debt Backlog'!$AF$2:$AF$1000,$A123,'Debt Backlog'!$B$2:$B$1000,"&lt;&gt;",'Debt Backlog'!$N$2:$N$1000,"&lt;&gt;Done",'Debt Backlog'!$N$2:$N$1000,"&lt;&gt;Won't Fix",'Debt Backlog'!$N$2:$N$1000,"&lt;&gt;Duplicate"),2))</f>
        <v/>
      </c>
    </row>
    <row r="124" customFormat="false" ht="15.75" hidden="false" customHeight="true" outlineLevel="0" collapsed="false">
      <c r="A124" s="125"/>
      <c r="B124" s="101"/>
      <c r="C124" s="101"/>
      <c r="D124" s="101"/>
      <c r="E124" s="101"/>
      <c r="F124" s="101"/>
      <c r="G124" s="101"/>
      <c r="H124" s="101"/>
      <c r="I124" s="106"/>
      <c r="J124" s="106"/>
      <c r="K124" s="106"/>
      <c r="L124" s="106"/>
      <c r="M124" s="106"/>
      <c r="N124" s="103" t="str">
        <f aca="false">IF(OR($B124="", $I124="", $J124="", $K124="", $L124="", $M124=""),"",ROUND(($I124*Lists!$AD$2)+($J124*Lists!$AD$3)+($K124*Lists!$AD$4)+($L124*Lists!$AD$5)+($M124*Lists!$AD$6),2))</f>
        <v/>
      </c>
      <c r="O124" s="103" t="str">
        <f aca="false">IF($A124="","",IFERROR(VLOOKUP($A124,'Risk Register'!$B$2:$I$1000,8,FALSE()),""))</f>
        <v/>
      </c>
      <c r="P124" s="106"/>
      <c r="Q124" s="106"/>
      <c r="R124" s="106"/>
      <c r="S124" s="106"/>
      <c r="T124" s="103" t="str">
        <f aca="false">IF(OR($B124="", $P124="", $Q124="", $R124="", $S124=""),"",ROUND(($P124*Lists!$AD$7)+($Q124*Lists!$AD$8)+($R124*Lists!$AD$9)+($S124*Lists!$AD$10),2))</f>
        <v/>
      </c>
      <c r="U124" s="106"/>
      <c r="V124" s="106"/>
      <c r="W124" s="106"/>
      <c r="X124" s="106"/>
      <c r="Y124" s="106"/>
      <c r="Z124" s="103" t="str">
        <f aca="false">IF(OR($B124="", $U124="", $V124="", $W124="", $X124="", $Y124=""),"",ROUND(($U124*Lists!$AD$11)+($V124*Lists!$AD$12)+($W124*Lists!$AD$13)+($X124*Lists!$AD$14)+($Y124*Lists!$AD$15),2))</f>
        <v/>
      </c>
      <c r="AA124" s="103" t="str">
        <f aca="false">IF(OR($B124="", $N124="", $O124="", $T124="", $Z124=""),"",ROUND(($N124*Lists!$AD$16)-($O124*Lists!$AD$17)-($T124*Lists!$AD$18)+($Z124*Lists!$AD$19),2))</f>
        <v/>
      </c>
      <c r="AB124" s="102" t="str">
        <f aca="false">IF(OR($B124="", $N124="", $Z124=""),"",IF($N124&gt;=Lists!$AG$2,IF($Z124&gt;=Lists!$AG$3,"Invest","Migrate"),IF($Z124&gt;=Lists!$AG$3,"Tolerate","Eliminate")))</f>
        <v/>
      </c>
      <c r="AC124" s="102" t="str">
        <f aca="false">IF($B124="","",IF($J124&gt;=4,"Yes",""))</f>
        <v/>
      </c>
      <c r="AD124" s="102" t="str">
        <f aca="false">IF($A124="","",IFERROR(IF(VLOOKUP($A124,'Risk Register'!$B$2:$H$1000,4,FALSE())&gt;=4,"Yes",""),""))</f>
        <v/>
      </c>
      <c r="AE124" s="102" t="str">
        <f aca="false">IF(OR($N124="", $O124=""),"",IF($N124&gt;=Lists!$AG$2,IF($O124&gt;=Lists!$AG$4,"High Value / High Risk","High Value / Low Risk"),IF($O124&gt;=Lists!$AG$4,"Low Value / High Risk","Low Value / Low Risk")))</f>
        <v/>
      </c>
      <c r="AF124" s="101"/>
      <c r="AG124" s="126"/>
      <c r="AH124" s="106" t="str">
        <f aca="false">IF($B124="","",COUNTIFS('Debt Backlog'!$AF$2:$AF$1000,$A124,'Debt Backlog'!$B$2:$B$1000,"&lt;&gt;",'Debt Backlog'!$N$2:$N$1000,"&lt;&gt;Done",'Debt Backlog'!$N$2:$N$1000,"&lt;&gt;Won't Fix",'Debt Backlog'!$N$2:$N$1000,"&lt;&gt;Duplicate"))</f>
        <v/>
      </c>
      <c r="AI124" s="103" t="str">
        <f aca="false">IF($B124="","",ROUND(SUMIFS('Debt Backlog'!$L$2:$L$1000,'Debt Backlog'!$AF$2:$AF$1000,$A124,'Debt Backlog'!$B$2:$B$1000,"&lt;&gt;",'Debt Backlog'!$N$2:$N$1000,"&lt;&gt;Done",'Debt Backlog'!$N$2:$N$1000,"&lt;&gt;Won't Fix",'Debt Backlog'!$N$2:$N$1000,"&lt;&gt;Duplicate"),2))</f>
        <v/>
      </c>
    </row>
    <row r="125" customFormat="false" ht="15.75" hidden="false" customHeight="true" outlineLevel="0" collapsed="false">
      <c r="A125" s="125"/>
      <c r="B125" s="101"/>
      <c r="C125" s="101"/>
      <c r="D125" s="101"/>
      <c r="E125" s="101"/>
      <c r="F125" s="101"/>
      <c r="G125" s="101"/>
      <c r="H125" s="101"/>
      <c r="I125" s="106"/>
      <c r="J125" s="106"/>
      <c r="K125" s="106"/>
      <c r="L125" s="106"/>
      <c r="M125" s="106"/>
      <c r="N125" s="103" t="str">
        <f aca="false">IF(OR($B125="", $I125="", $J125="", $K125="", $L125="", $M125=""),"",ROUND(($I125*Lists!$AD$2)+($J125*Lists!$AD$3)+($K125*Lists!$AD$4)+($L125*Lists!$AD$5)+($M125*Lists!$AD$6),2))</f>
        <v/>
      </c>
      <c r="O125" s="103" t="str">
        <f aca="false">IF($A125="","",IFERROR(VLOOKUP($A125,'Risk Register'!$B$2:$I$1000,8,FALSE()),""))</f>
        <v/>
      </c>
      <c r="P125" s="106"/>
      <c r="Q125" s="106"/>
      <c r="R125" s="106"/>
      <c r="S125" s="106"/>
      <c r="T125" s="103" t="str">
        <f aca="false">IF(OR($B125="", $P125="", $Q125="", $R125="", $S125=""),"",ROUND(($P125*Lists!$AD$7)+($Q125*Lists!$AD$8)+($R125*Lists!$AD$9)+($S125*Lists!$AD$10),2))</f>
        <v/>
      </c>
      <c r="U125" s="106"/>
      <c r="V125" s="106"/>
      <c r="W125" s="106"/>
      <c r="X125" s="106"/>
      <c r="Y125" s="106"/>
      <c r="Z125" s="103" t="str">
        <f aca="false">IF(OR($B125="", $U125="", $V125="", $W125="", $X125="", $Y125=""),"",ROUND(($U125*Lists!$AD$11)+($V125*Lists!$AD$12)+($W125*Lists!$AD$13)+($X125*Lists!$AD$14)+($Y125*Lists!$AD$15),2))</f>
        <v/>
      </c>
      <c r="AA125" s="103" t="str">
        <f aca="false">IF(OR($B125="", $N125="", $O125="", $T125="", $Z125=""),"",ROUND(($N125*Lists!$AD$16)-($O125*Lists!$AD$17)-($T125*Lists!$AD$18)+($Z125*Lists!$AD$19),2))</f>
        <v/>
      </c>
      <c r="AB125" s="102" t="str">
        <f aca="false">IF(OR($B125="", $N125="", $Z125=""),"",IF($N125&gt;=Lists!$AG$2,IF($Z125&gt;=Lists!$AG$3,"Invest","Migrate"),IF($Z125&gt;=Lists!$AG$3,"Tolerate","Eliminate")))</f>
        <v/>
      </c>
      <c r="AC125" s="102" t="str">
        <f aca="false">IF($B125="","",IF($J125&gt;=4,"Yes",""))</f>
        <v/>
      </c>
      <c r="AD125" s="102" t="str">
        <f aca="false">IF($A125="","",IFERROR(IF(VLOOKUP($A125,'Risk Register'!$B$2:$H$1000,4,FALSE())&gt;=4,"Yes",""),""))</f>
        <v/>
      </c>
      <c r="AE125" s="102" t="str">
        <f aca="false">IF(OR($N125="", $O125=""),"",IF($N125&gt;=Lists!$AG$2,IF($O125&gt;=Lists!$AG$4,"High Value / High Risk","High Value / Low Risk"),IF($O125&gt;=Lists!$AG$4,"Low Value / High Risk","Low Value / Low Risk")))</f>
        <v/>
      </c>
      <c r="AF125" s="101"/>
      <c r="AG125" s="126"/>
      <c r="AH125" s="106" t="str">
        <f aca="false">IF($B125="","",COUNTIFS('Debt Backlog'!$AF$2:$AF$1000,$A125,'Debt Backlog'!$B$2:$B$1000,"&lt;&gt;",'Debt Backlog'!$N$2:$N$1000,"&lt;&gt;Done",'Debt Backlog'!$N$2:$N$1000,"&lt;&gt;Won't Fix",'Debt Backlog'!$N$2:$N$1000,"&lt;&gt;Duplicate"))</f>
        <v/>
      </c>
      <c r="AI125" s="103" t="str">
        <f aca="false">IF($B125="","",ROUND(SUMIFS('Debt Backlog'!$L$2:$L$1000,'Debt Backlog'!$AF$2:$AF$1000,$A125,'Debt Backlog'!$B$2:$B$1000,"&lt;&gt;",'Debt Backlog'!$N$2:$N$1000,"&lt;&gt;Done",'Debt Backlog'!$N$2:$N$1000,"&lt;&gt;Won't Fix",'Debt Backlog'!$N$2:$N$1000,"&lt;&gt;Duplicate"),2))</f>
        <v/>
      </c>
    </row>
    <row r="126" customFormat="false" ht="15.75" hidden="false" customHeight="true" outlineLevel="0" collapsed="false">
      <c r="A126" s="125"/>
      <c r="B126" s="101"/>
      <c r="C126" s="101"/>
      <c r="D126" s="101"/>
      <c r="E126" s="101"/>
      <c r="F126" s="101"/>
      <c r="G126" s="101"/>
      <c r="H126" s="101"/>
      <c r="I126" s="106"/>
      <c r="J126" s="106"/>
      <c r="K126" s="106"/>
      <c r="L126" s="106"/>
      <c r="M126" s="106"/>
      <c r="N126" s="103" t="str">
        <f aca="false">IF(OR($B126="", $I126="", $J126="", $K126="", $L126="", $M126=""),"",ROUND(($I126*Lists!$AD$2)+($J126*Lists!$AD$3)+($K126*Lists!$AD$4)+($L126*Lists!$AD$5)+($M126*Lists!$AD$6),2))</f>
        <v/>
      </c>
      <c r="O126" s="103" t="str">
        <f aca="false">IF($A126="","",IFERROR(VLOOKUP($A126,'Risk Register'!$B$2:$I$1000,8,FALSE()),""))</f>
        <v/>
      </c>
      <c r="P126" s="106"/>
      <c r="Q126" s="106"/>
      <c r="R126" s="106"/>
      <c r="S126" s="106"/>
      <c r="T126" s="103" t="str">
        <f aca="false">IF(OR($B126="", $P126="", $Q126="", $R126="", $S126=""),"",ROUND(($P126*Lists!$AD$7)+($Q126*Lists!$AD$8)+($R126*Lists!$AD$9)+($S126*Lists!$AD$10),2))</f>
        <v/>
      </c>
      <c r="U126" s="106"/>
      <c r="V126" s="106"/>
      <c r="W126" s="106"/>
      <c r="X126" s="106"/>
      <c r="Y126" s="106"/>
      <c r="Z126" s="103" t="str">
        <f aca="false">IF(OR($B126="", $U126="", $V126="", $W126="", $X126="", $Y126=""),"",ROUND(($U126*Lists!$AD$11)+($V126*Lists!$AD$12)+($W126*Lists!$AD$13)+($X126*Lists!$AD$14)+($Y126*Lists!$AD$15),2))</f>
        <v/>
      </c>
      <c r="AA126" s="103" t="str">
        <f aca="false">IF(OR($B126="", $N126="", $O126="", $T126="", $Z126=""),"",ROUND(($N126*Lists!$AD$16)-($O126*Lists!$AD$17)-($T126*Lists!$AD$18)+($Z126*Lists!$AD$19),2))</f>
        <v/>
      </c>
      <c r="AB126" s="102" t="str">
        <f aca="false">IF(OR($B126="", $N126="", $Z126=""),"",IF($N126&gt;=Lists!$AG$2,IF($Z126&gt;=Lists!$AG$3,"Invest","Migrate"),IF($Z126&gt;=Lists!$AG$3,"Tolerate","Eliminate")))</f>
        <v/>
      </c>
      <c r="AC126" s="102" t="str">
        <f aca="false">IF($B126="","",IF($J126&gt;=4,"Yes",""))</f>
        <v/>
      </c>
      <c r="AD126" s="102" t="str">
        <f aca="false">IF($A126="","",IFERROR(IF(VLOOKUP($A126,'Risk Register'!$B$2:$H$1000,4,FALSE())&gt;=4,"Yes",""),""))</f>
        <v/>
      </c>
      <c r="AE126" s="102" t="str">
        <f aca="false">IF(OR($N126="", $O126=""),"",IF($N126&gt;=Lists!$AG$2,IF($O126&gt;=Lists!$AG$4,"High Value / High Risk","High Value / Low Risk"),IF($O126&gt;=Lists!$AG$4,"Low Value / High Risk","Low Value / Low Risk")))</f>
        <v/>
      </c>
      <c r="AF126" s="101"/>
      <c r="AG126" s="126"/>
      <c r="AH126" s="106" t="str">
        <f aca="false">IF($B126="","",COUNTIFS('Debt Backlog'!$AF$2:$AF$1000,$A126,'Debt Backlog'!$B$2:$B$1000,"&lt;&gt;",'Debt Backlog'!$N$2:$N$1000,"&lt;&gt;Done",'Debt Backlog'!$N$2:$N$1000,"&lt;&gt;Won't Fix",'Debt Backlog'!$N$2:$N$1000,"&lt;&gt;Duplicate"))</f>
        <v/>
      </c>
      <c r="AI126" s="103" t="str">
        <f aca="false">IF($B126="","",ROUND(SUMIFS('Debt Backlog'!$L$2:$L$1000,'Debt Backlog'!$AF$2:$AF$1000,$A126,'Debt Backlog'!$B$2:$B$1000,"&lt;&gt;",'Debt Backlog'!$N$2:$N$1000,"&lt;&gt;Done",'Debt Backlog'!$N$2:$N$1000,"&lt;&gt;Won't Fix",'Debt Backlog'!$N$2:$N$1000,"&lt;&gt;Duplicate"),2))</f>
        <v/>
      </c>
    </row>
    <row r="127" customFormat="false" ht="15.75" hidden="false" customHeight="true" outlineLevel="0" collapsed="false">
      <c r="A127" s="125"/>
      <c r="B127" s="101"/>
      <c r="C127" s="101"/>
      <c r="D127" s="101"/>
      <c r="E127" s="101"/>
      <c r="F127" s="101"/>
      <c r="G127" s="101"/>
      <c r="H127" s="101"/>
      <c r="I127" s="106"/>
      <c r="J127" s="106"/>
      <c r="K127" s="106"/>
      <c r="L127" s="106"/>
      <c r="M127" s="106"/>
      <c r="N127" s="103" t="str">
        <f aca="false">IF(OR($B127="", $I127="", $J127="", $K127="", $L127="", $M127=""),"",ROUND(($I127*Lists!$AD$2)+($J127*Lists!$AD$3)+($K127*Lists!$AD$4)+($L127*Lists!$AD$5)+($M127*Lists!$AD$6),2))</f>
        <v/>
      </c>
      <c r="O127" s="103" t="str">
        <f aca="false">IF($A127="","",IFERROR(VLOOKUP($A127,'Risk Register'!$B$2:$I$1000,8,FALSE()),""))</f>
        <v/>
      </c>
      <c r="P127" s="106"/>
      <c r="Q127" s="106"/>
      <c r="R127" s="106"/>
      <c r="S127" s="106"/>
      <c r="T127" s="103" t="str">
        <f aca="false">IF(OR($B127="", $P127="", $Q127="", $R127="", $S127=""),"",ROUND(($P127*Lists!$AD$7)+($Q127*Lists!$AD$8)+($R127*Lists!$AD$9)+($S127*Lists!$AD$10),2))</f>
        <v/>
      </c>
      <c r="U127" s="106"/>
      <c r="V127" s="106"/>
      <c r="W127" s="106"/>
      <c r="X127" s="106"/>
      <c r="Y127" s="106"/>
      <c r="Z127" s="103" t="str">
        <f aca="false">IF(OR($B127="", $U127="", $V127="", $W127="", $X127="", $Y127=""),"",ROUND(($U127*Lists!$AD$11)+($V127*Lists!$AD$12)+($W127*Lists!$AD$13)+($X127*Lists!$AD$14)+($Y127*Lists!$AD$15),2))</f>
        <v/>
      </c>
      <c r="AA127" s="103" t="str">
        <f aca="false">IF(OR($B127="", $N127="", $O127="", $T127="", $Z127=""),"",ROUND(($N127*Lists!$AD$16)-($O127*Lists!$AD$17)-($T127*Lists!$AD$18)+($Z127*Lists!$AD$19),2))</f>
        <v/>
      </c>
      <c r="AB127" s="102" t="str">
        <f aca="false">IF(OR($B127="", $N127="", $Z127=""),"",IF($N127&gt;=Lists!$AG$2,IF($Z127&gt;=Lists!$AG$3,"Invest","Migrate"),IF($Z127&gt;=Lists!$AG$3,"Tolerate","Eliminate")))</f>
        <v/>
      </c>
      <c r="AC127" s="102" t="str">
        <f aca="false">IF($B127="","",IF($J127&gt;=4,"Yes",""))</f>
        <v/>
      </c>
      <c r="AD127" s="102" t="str">
        <f aca="false">IF($A127="","",IFERROR(IF(VLOOKUP($A127,'Risk Register'!$B$2:$H$1000,4,FALSE())&gt;=4,"Yes",""),""))</f>
        <v/>
      </c>
      <c r="AE127" s="102" t="str">
        <f aca="false">IF(OR($N127="", $O127=""),"",IF($N127&gt;=Lists!$AG$2,IF($O127&gt;=Lists!$AG$4,"High Value / High Risk","High Value / Low Risk"),IF($O127&gt;=Lists!$AG$4,"Low Value / High Risk","Low Value / Low Risk")))</f>
        <v/>
      </c>
      <c r="AF127" s="101"/>
      <c r="AG127" s="126"/>
      <c r="AH127" s="106" t="str">
        <f aca="false">IF($B127="","",COUNTIFS('Debt Backlog'!$AF$2:$AF$1000,$A127,'Debt Backlog'!$B$2:$B$1000,"&lt;&gt;",'Debt Backlog'!$N$2:$N$1000,"&lt;&gt;Done",'Debt Backlog'!$N$2:$N$1000,"&lt;&gt;Won't Fix",'Debt Backlog'!$N$2:$N$1000,"&lt;&gt;Duplicate"))</f>
        <v/>
      </c>
      <c r="AI127" s="103" t="str">
        <f aca="false">IF($B127="","",ROUND(SUMIFS('Debt Backlog'!$L$2:$L$1000,'Debt Backlog'!$AF$2:$AF$1000,$A127,'Debt Backlog'!$B$2:$B$1000,"&lt;&gt;",'Debt Backlog'!$N$2:$N$1000,"&lt;&gt;Done",'Debt Backlog'!$N$2:$N$1000,"&lt;&gt;Won't Fix",'Debt Backlog'!$N$2:$N$1000,"&lt;&gt;Duplicate"),2))</f>
        <v/>
      </c>
    </row>
    <row r="128" customFormat="false" ht="15.75" hidden="false" customHeight="true" outlineLevel="0" collapsed="false">
      <c r="A128" s="125"/>
      <c r="B128" s="101"/>
      <c r="C128" s="101"/>
      <c r="D128" s="101"/>
      <c r="E128" s="101"/>
      <c r="F128" s="101"/>
      <c r="G128" s="101"/>
      <c r="H128" s="101"/>
      <c r="I128" s="106"/>
      <c r="J128" s="106"/>
      <c r="K128" s="106"/>
      <c r="L128" s="106"/>
      <c r="M128" s="106"/>
      <c r="N128" s="103" t="str">
        <f aca="false">IF(OR($B128="", $I128="", $J128="", $K128="", $L128="", $M128=""),"",ROUND(($I128*Lists!$AD$2)+($J128*Lists!$AD$3)+($K128*Lists!$AD$4)+($L128*Lists!$AD$5)+($M128*Lists!$AD$6),2))</f>
        <v/>
      </c>
      <c r="O128" s="103" t="str">
        <f aca="false">IF($A128="","",IFERROR(VLOOKUP($A128,'Risk Register'!$B$2:$I$1000,8,FALSE()),""))</f>
        <v/>
      </c>
      <c r="P128" s="106"/>
      <c r="Q128" s="106"/>
      <c r="R128" s="106"/>
      <c r="S128" s="106"/>
      <c r="T128" s="103" t="str">
        <f aca="false">IF(OR($B128="", $P128="", $Q128="", $R128="", $S128=""),"",ROUND(($P128*Lists!$AD$7)+($Q128*Lists!$AD$8)+($R128*Lists!$AD$9)+($S128*Lists!$AD$10),2))</f>
        <v/>
      </c>
      <c r="U128" s="106"/>
      <c r="V128" s="106"/>
      <c r="W128" s="106"/>
      <c r="X128" s="106"/>
      <c r="Y128" s="106"/>
      <c r="Z128" s="103" t="str">
        <f aca="false">IF(OR($B128="", $U128="", $V128="", $W128="", $X128="", $Y128=""),"",ROUND(($U128*Lists!$AD$11)+($V128*Lists!$AD$12)+($W128*Lists!$AD$13)+($X128*Lists!$AD$14)+($Y128*Lists!$AD$15),2))</f>
        <v/>
      </c>
      <c r="AA128" s="103" t="str">
        <f aca="false">IF(OR($B128="", $N128="", $O128="", $T128="", $Z128=""),"",ROUND(($N128*Lists!$AD$16)-($O128*Lists!$AD$17)-($T128*Lists!$AD$18)+($Z128*Lists!$AD$19),2))</f>
        <v/>
      </c>
      <c r="AB128" s="102" t="str">
        <f aca="false">IF(OR($B128="", $N128="", $Z128=""),"",IF($N128&gt;=Lists!$AG$2,IF($Z128&gt;=Lists!$AG$3,"Invest","Migrate"),IF($Z128&gt;=Lists!$AG$3,"Tolerate","Eliminate")))</f>
        <v/>
      </c>
      <c r="AC128" s="102" t="str">
        <f aca="false">IF($B128="","",IF($J128&gt;=4,"Yes",""))</f>
        <v/>
      </c>
      <c r="AD128" s="102" t="str">
        <f aca="false">IF($A128="","",IFERROR(IF(VLOOKUP($A128,'Risk Register'!$B$2:$H$1000,4,FALSE())&gt;=4,"Yes",""),""))</f>
        <v/>
      </c>
      <c r="AE128" s="102" t="str">
        <f aca="false">IF(OR($N128="", $O128=""),"",IF($N128&gt;=Lists!$AG$2,IF($O128&gt;=Lists!$AG$4,"High Value / High Risk","High Value / Low Risk"),IF($O128&gt;=Lists!$AG$4,"Low Value / High Risk","Low Value / Low Risk")))</f>
        <v/>
      </c>
      <c r="AF128" s="101"/>
      <c r="AG128" s="126"/>
      <c r="AH128" s="106" t="str">
        <f aca="false">IF($B128="","",COUNTIFS('Debt Backlog'!$AF$2:$AF$1000,$A128,'Debt Backlog'!$B$2:$B$1000,"&lt;&gt;",'Debt Backlog'!$N$2:$N$1000,"&lt;&gt;Done",'Debt Backlog'!$N$2:$N$1000,"&lt;&gt;Won't Fix",'Debt Backlog'!$N$2:$N$1000,"&lt;&gt;Duplicate"))</f>
        <v/>
      </c>
      <c r="AI128" s="103" t="str">
        <f aca="false">IF($B128="","",ROUND(SUMIFS('Debt Backlog'!$L$2:$L$1000,'Debt Backlog'!$AF$2:$AF$1000,$A128,'Debt Backlog'!$B$2:$B$1000,"&lt;&gt;",'Debt Backlog'!$N$2:$N$1000,"&lt;&gt;Done",'Debt Backlog'!$N$2:$N$1000,"&lt;&gt;Won't Fix",'Debt Backlog'!$N$2:$N$1000,"&lt;&gt;Duplicate"),2))</f>
        <v/>
      </c>
    </row>
    <row r="129" customFormat="false" ht="15.75" hidden="false" customHeight="true" outlineLevel="0" collapsed="false">
      <c r="A129" s="125"/>
      <c r="B129" s="101"/>
      <c r="C129" s="101"/>
      <c r="D129" s="101"/>
      <c r="E129" s="101"/>
      <c r="F129" s="101"/>
      <c r="G129" s="101"/>
      <c r="H129" s="101"/>
      <c r="I129" s="106"/>
      <c r="J129" s="106"/>
      <c r="K129" s="106"/>
      <c r="L129" s="106"/>
      <c r="M129" s="106"/>
      <c r="N129" s="103" t="str">
        <f aca="false">IF(OR($B129="", $I129="", $J129="", $K129="", $L129="", $M129=""),"",ROUND(($I129*Lists!$AD$2)+($J129*Lists!$AD$3)+($K129*Lists!$AD$4)+($L129*Lists!$AD$5)+($M129*Lists!$AD$6),2))</f>
        <v/>
      </c>
      <c r="O129" s="103" t="str">
        <f aca="false">IF($A129="","",IFERROR(VLOOKUP($A129,'Risk Register'!$B$2:$I$1000,8,FALSE()),""))</f>
        <v/>
      </c>
      <c r="P129" s="106"/>
      <c r="Q129" s="106"/>
      <c r="R129" s="106"/>
      <c r="S129" s="106"/>
      <c r="T129" s="103" t="str">
        <f aca="false">IF(OR($B129="", $P129="", $Q129="", $R129="", $S129=""),"",ROUND(($P129*Lists!$AD$7)+($Q129*Lists!$AD$8)+($R129*Lists!$AD$9)+($S129*Lists!$AD$10),2))</f>
        <v/>
      </c>
      <c r="U129" s="106"/>
      <c r="V129" s="106"/>
      <c r="W129" s="106"/>
      <c r="X129" s="106"/>
      <c r="Y129" s="106"/>
      <c r="Z129" s="103" t="str">
        <f aca="false">IF(OR($B129="", $U129="", $V129="", $W129="", $X129="", $Y129=""),"",ROUND(($U129*Lists!$AD$11)+($V129*Lists!$AD$12)+($W129*Lists!$AD$13)+($X129*Lists!$AD$14)+($Y129*Lists!$AD$15),2))</f>
        <v/>
      </c>
      <c r="AA129" s="103" t="str">
        <f aca="false">IF(OR($B129="", $N129="", $O129="", $T129="", $Z129=""),"",ROUND(($N129*Lists!$AD$16)-($O129*Lists!$AD$17)-($T129*Lists!$AD$18)+($Z129*Lists!$AD$19),2))</f>
        <v/>
      </c>
      <c r="AB129" s="102" t="str">
        <f aca="false">IF(OR($B129="", $N129="", $Z129=""),"",IF($N129&gt;=Lists!$AG$2,IF($Z129&gt;=Lists!$AG$3,"Invest","Migrate"),IF($Z129&gt;=Lists!$AG$3,"Tolerate","Eliminate")))</f>
        <v/>
      </c>
      <c r="AC129" s="102" t="str">
        <f aca="false">IF($B129="","",IF($J129&gt;=4,"Yes",""))</f>
        <v/>
      </c>
      <c r="AD129" s="102" t="str">
        <f aca="false">IF($A129="","",IFERROR(IF(VLOOKUP($A129,'Risk Register'!$B$2:$H$1000,4,FALSE())&gt;=4,"Yes",""),""))</f>
        <v/>
      </c>
      <c r="AE129" s="102" t="str">
        <f aca="false">IF(OR($N129="", $O129=""),"",IF($N129&gt;=Lists!$AG$2,IF($O129&gt;=Lists!$AG$4,"High Value / High Risk","High Value / Low Risk"),IF($O129&gt;=Lists!$AG$4,"Low Value / High Risk","Low Value / Low Risk")))</f>
        <v/>
      </c>
      <c r="AF129" s="101"/>
      <c r="AG129" s="126"/>
      <c r="AH129" s="106" t="str">
        <f aca="false">IF($B129="","",COUNTIFS('Debt Backlog'!$AF$2:$AF$1000,$A129,'Debt Backlog'!$B$2:$B$1000,"&lt;&gt;",'Debt Backlog'!$N$2:$N$1000,"&lt;&gt;Done",'Debt Backlog'!$N$2:$N$1000,"&lt;&gt;Won't Fix",'Debt Backlog'!$N$2:$N$1000,"&lt;&gt;Duplicate"))</f>
        <v/>
      </c>
      <c r="AI129" s="103" t="str">
        <f aca="false">IF($B129="","",ROUND(SUMIFS('Debt Backlog'!$L$2:$L$1000,'Debt Backlog'!$AF$2:$AF$1000,$A129,'Debt Backlog'!$B$2:$B$1000,"&lt;&gt;",'Debt Backlog'!$N$2:$N$1000,"&lt;&gt;Done",'Debt Backlog'!$N$2:$N$1000,"&lt;&gt;Won't Fix",'Debt Backlog'!$N$2:$N$1000,"&lt;&gt;Duplicate"),2))</f>
        <v/>
      </c>
    </row>
    <row r="130" customFormat="false" ht="15.75" hidden="false" customHeight="true" outlineLevel="0" collapsed="false">
      <c r="A130" s="125"/>
      <c r="B130" s="101"/>
      <c r="C130" s="101"/>
      <c r="D130" s="101"/>
      <c r="E130" s="101"/>
      <c r="F130" s="101"/>
      <c r="G130" s="101"/>
      <c r="H130" s="101"/>
      <c r="I130" s="106"/>
      <c r="J130" s="106"/>
      <c r="K130" s="106"/>
      <c r="L130" s="106"/>
      <c r="M130" s="106"/>
      <c r="N130" s="103" t="str">
        <f aca="false">IF(OR($B130="", $I130="", $J130="", $K130="", $L130="", $M130=""),"",ROUND(($I130*Lists!$AD$2)+($J130*Lists!$AD$3)+($K130*Lists!$AD$4)+($L130*Lists!$AD$5)+($M130*Lists!$AD$6),2))</f>
        <v/>
      </c>
      <c r="O130" s="103" t="str">
        <f aca="false">IF($A130="","",IFERROR(VLOOKUP($A130,'Risk Register'!$B$2:$I$1000,8,FALSE()),""))</f>
        <v/>
      </c>
      <c r="P130" s="106"/>
      <c r="Q130" s="106"/>
      <c r="R130" s="106"/>
      <c r="S130" s="106"/>
      <c r="T130" s="103" t="str">
        <f aca="false">IF(OR($B130="", $P130="", $Q130="", $R130="", $S130=""),"",ROUND(($P130*Lists!$AD$7)+($Q130*Lists!$AD$8)+($R130*Lists!$AD$9)+($S130*Lists!$AD$10),2))</f>
        <v/>
      </c>
      <c r="U130" s="106"/>
      <c r="V130" s="106"/>
      <c r="W130" s="106"/>
      <c r="X130" s="106"/>
      <c r="Y130" s="106"/>
      <c r="Z130" s="103" t="str">
        <f aca="false">IF(OR($B130="", $U130="", $V130="", $W130="", $X130="", $Y130=""),"",ROUND(($U130*Lists!$AD$11)+($V130*Lists!$AD$12)+($W130*Lists!$AD$13)+($X130*Lists!$AD$14)+($Y130*Lists!$AD$15),2))</f>
        <v/>
      </c>
      <c r="AA130" s="103" t="str">
        <f aca="false">IF(OR($B130="", $N130="", $O130="", $T130="", $Z130=""),"",ROUND(($N130*Lists!$AD$16)-($O130*Lists!$AD$17)-($T130*Lists!$AD$18)+($Z130*Lists!$AD$19),2))</f>
        <v/>
      </c>
      <c r="AB130" s="102" t="str">
        <f aca="false">IF(OR($B130="", $N130="", $Z130=""),"",IF($N130&gt;=Lists!$AG$2,IF($Z130&gt;=Lists!$AG$3,"Invest","Migrate"),IF($Z130&gt;=Lists!$AG$3,"Tolerate","Eliminate")))</f>
        <v/>
      </c>
      <c r="AC130" s="102" t="str">
        <f aca="false">IF($B130="","",IF($J130&gt;=4,"Yes",""))</f>
        <v/>
      </c>
      <c r="AD130" s="102" t="str">
        <f aca="false">IF($A130="","",IFERROR(IF(VLOOKUP($A130,'Risk Register'!$B$2:$H$1000,4,FALSE())&gt;=4,"Yes",""),""))</f>
        <v/>
      </c>
      <c r="AE130" s="102" t="str">
        <f aca="false">IF(OR($N130="", $O130=""),"",IF($N130&gt;=Lists!$AG$2,IF($O130&gt;=Lists!$AG$4,"High Value / High Risk","High Value / Low Risk"),IF($O130&gt;=Lists!$AG$4,"Low Value / High Risk","Low Value / Low Risk")))</f>
        <v/>
      </c>
      <c r="AF130" s="101"/>
      <c r="AG130" s="126"/>
      <c r="AH130" s="106" t="str">
        <f aca="false">IF($B130="","",COUNTIFS('Debt Backlog'!$AF$2:$AF$1000,$A130,'Debt Backlog'!$B$2:$B$1000,"&lt;&gt;",'Debt Backlog'!$N$2:$N$1000,"&lt;&gt;Done",'Debt Backlog'!$N$2:$N$1000,"&lt;&gt;Won't Fix",'Debt Backlog'!$N$2:$N$1000,"&lt;&gt;Duplicate"))</f>
        <v/>
      </c>
      <c r="AI130" s="103" t="str">
        <f aca="false">IF($B130="","",ROUND(SUMIFS('Debt Backlog'!$L$2:$L$1000,'Debt Backlog'!$AF$2:$AF$1000,$A130,'Debt Backlog'!$B$2:$B$1000,"&lt;&gt;",'Debt Backlog'!$N$2:$N$1000,"&lt;&gt;Done",'Debt Backlog'!$N$2:$N$1000,"&lt;&gt;Won't Fix",'Debt Backlog'!$N$2:$N$1000,"&lt;&gt;Duplicate"),2))</f>
        <v/>
      </c>
    </row>
    <row r="131" customFormat="false" ht="15.75" hidden="false" customHeight="true" outlineLevel="0" collapsed="false">
      <c r="A131" s="125"/>
      <c r="B131" s="101"/>
      <c r="C131" s="101"/>
      <c r="D131" s="101"/>
      <c r="E131" s="101"/>
      <c r="F131" s="101"/>
      <c r="G131" s="101"/>
      <c r="H131" s="101"/>
      <c r="I131" s="106"/>
      <c r="J131" s="106"/>
      <c r="K131" s="106"/>
      <c r="L131" s="106"/>
      <c r="M131" s="106"/>
      <c r="N131" s="103" t="str">
        <f aca="false">IF(OR($B131="", $I131="", $J131="", $K131="", $L131="", $M131=""),"",ROUND(($I131*Lists!$AD$2)+($J131*Lists!$AD$3)+($K131*Lists!$AD$4)+($L131*Lists!$AD$5)+($M131*Lists!$AD$6),2))</f>
        <v/>
      </c>
      <c r="O131" s="103" t="str">
        <f aca="false">IF($A131="","",IFERROR(VLOOKUP($A131,'Risk Register'!$B$2:$I$1000,8,FALSE()),""))</f>
        <v/>
      </c>
      <c r="P131" s="106"/>
      <c r="Q131" s="106"/>
      <c r="R131" s="106"/>
      <c r="S131" s="106"/>
      <c r="T131" s="103" t="str">
        <f aca="false">IF(OR($B131="", $P131="", $Q131="", $R131="", $S131=""),"",ROUND(($P131*Lists!$AD$7)+($Q131*Lists!$AD$8)+($R131*Lists!$AD$9)+($S131*Lists!$AD$10),2))</f>
        <v/>
      </c>
      <c r="U131" s="106"/>
      <c r="V131" s="106"/>
      <c r="W131" s="106"/>
      <c r="X131" s="106"/>
      <c r="Y131" s="106"/>
      <c r="Z131" s="103" t="str">
        <f aca="false">IF(OR($B131="", $U131="", $V131="", $W131="", $X131="", $Y131=""),"",ROUND(($U131*Lists!$AD$11)+($V131*Lists!$AD$12)+($W131*Lists!$AD$13)+($X131*Lists!$AD$14)+($Y131*Lists!$AD$15),2))</f>
        <v/>
      </c>
      <c r="AA131" s="103" t="str">
        <f aca="false">IF(OR($B131="", $N131="", $O131="", $T131="", $Z131=""),"",ROUND(($N131*Lists!$AD$16)-($O131*Lists!$AD$17)-($T131*Lists!$AD$18)+($Z131*Lists!$AD$19),2))</f>
        <v/>
      </c>
      <c r="AB131" s="102" t="str">
        <f aca="false">IF(OR($B131="", $N131="", $Z131=""),"",IF($N131&gt;=Lists!$AG$2,IF($Z131&gt;=Lists!$AG$3,"Invest","Migrate"),IF($Z131&gt;=Lists!$AG$3,"Tolerate","Eliminate")))</f>
        <v/>
      </c>
      <c r="AC131" s="102" t="str">
        <f aca="false">IF($B131="","",IF($J131&gt;=4,"Yes",""))</f>
        <v/>
      </c>
      <c r="AD131" s="102" t="str">
        <f aca="false">IF($A131="","",IFERROR(IF(VLOOKUP($A131,'Risk Register'!$B$2:$H$1000,4,FALSE())&gt;=4,"Yes",""),""))</f>
        <v/>
      </c>
      <c r="AE131" s="102" t="str">
        <f aca="false">IF(OR($N131="", $O131=""),"",IF($N131&gt;=Lists!$AG$2,IF($O131&gt;=Lists!$AG$4,"High Value / High Risk","High Value / Low Risk"),IF($O131&gt;=Lists!$AG$4,"Low Value / High Risk","Low Value / Low Risk")))</f>
        <v/>
      </c>
      <c r="AF131" s="101"/>
      <c r="AG131" s="126"/>
      <c r="AH131" s="106" t="str">
        <f aca="false">IF($B131="","",COUNTIFS('Debt Backlog'!$AF$2:$AF$1000,$A131,'Debt Backlog'!$B$2:$B$1000,"&lt;&gt;",'Debt Backlog'!$N$2:$N$1000,"&lt;&gt;Done",'Debt Backlog'!$N$2:$N$1000,"&lt;&gt;Won't Fix",'Debt Backlog'!$N$2:$N$1000,"&lt;&gt;Duplicate"))</f>
        <v/>
      </c>
      <c r="AI131" s="103" t="str">
        <f aca="false">IF($B131="","",ROUND(SUMIFS('Debt Backlog'!$L$2:$L$1000,'Debt Backlog'!$AF$2:$AF$1000,$A131,'Debt Backlog'!$B$2:$B$1000,"&lt;&gt;",'Debt Backlog'!$N$2:$N$1000,"&lt;&gt;Done",'Debt Backlog'!$N$2:$N$1000,"&lt;&gt;Won't Fix",'Debt Backlog'!$N$2:$N$1000,"&lt;&gt;Duplicate"),2))</f>
        <v/>
      </c>
    </row>
    <row r="132" customFormat="false" ht="15.75" hidden="false" customHeight="true" outlineLevel="0" collapsed="false">
      <c r="A132" s="125"/>
      <c r="B132" s="101"/>
      <c r="C132" s="101"/>
      <c r="D132" s="101"/>
      <c r="E132" s="101"/>
      <c r="F132" s="101"/>
      <c r="G132" s="101"/>
      <c r="H132" s="101"/>
      <c r="I132" s="106"/>
      <c r="J132" s="106"/>
      <c r="K132" s="106"/>
      <c r="L132" s="106"/>
      <c r="M132" s="106"/>
      <c r="N132" s="103" t="str">
        <f aca="false">IF(OR($B132="", $I132="", $J132="", $K132="", $L132="", $M132=""),"",ROUND(($I132*Lists!$AD$2)+($J132*Lists!$AD$3)+($K132*Lists!$AD$4)+($L132*Lists!$AD$5)+($M132*Lists!$AD$6),2))</f>
        <v/>
      </c>
      <c r="O132" s="103" t="str">
        <f aca="false">IF($A132="","",IFERROR(VLOOKUP($A132,'Risk Register'!$B$2:$I$1000,8,FALSE()),""))</f>
        <v/>
      </c>
      <c r="P132" s="106"/>
      <c r="Q132" s="106"/>
      <c r="R132" s="106"/>
      <c r="S132" s="106"/>
      <c r="T132" s="103" t="str">
        <f aca="false">IF(OR($B132="", $P132="", $Q132="", $R132="", $S132=""),"",ROUND(($P132*Lists!$AD$7)+($Q132*Lists!$AD$8)+($R132*Lists!$AD$9)+($S132*Lists!$AD$10),2))</f>
        <v/>
      </c>
      <c r="U132" s="106"/>
      <c r="V132" s="106"/>
      <c r="W132" s="106"/>
      <c r="X132" s="106"/>
      <c r="Y132" s="106"/>
      <c r="Z132" s="103" t="str">
        <f aca="false">IF(OR($B132="", $U132="", $V132="", $W132="", $X132="", $Y132=""),"",ROUND(($U132*Lists!$AD$11)+($V132*Lists!$AD$12)+($W132*Lists!$AD$13)+($X132*Lists!$AD$14)+($Y132*Lists!$AD$15),2))</f>
        <v/>
      </c>
      <c r="AA132" s="103" t="str">
        <f aca="false">IF(OR($B132="", $N132="", $O132="", $T132="", $Z132=""),"",ROUND(($N132*Lists!$AD$16)-($O132*Lists!$AD$17)-($T132*Lists!$AD$18)+($Z132*Lists!$AD$19),2))</f>
        <v/>
      </c>
      <c r="AB132" s="102" t="str">
        <f aca="false">IF(OR($B132="", $N132="", $Z132=""),"",IF($N132&gt;=Lists!$AG$2,IF($Z132&gt;=Lists!$AG$3,"Invest","Migrate"),IF($Z132&gt;=Lists!$AG$3,"Tolerate","Eliminate")))</f>
        <v/>
      </c>
      <c r="AC132" s="102" t="str">
        <f aca="false">IF($B132="","",IF($J132&gt;=4,"Yes",""))</f>
        <v/>
      </c>
      <c r="AD132" s="102" t="str">
        <f aca="false">IF($A132="","",IFERROR(IF(VLOOKUP($A132,'Risk Register'!$B$2:$H$1000,4,FALSE())&gt;=4,"Yes",""),""))</f>
        <v/>
      </c>
      <c r="AE132" s="102" t="str">
        <f aca="false">IF(OR($N132="", $O132=""),"",IF($N132&gt;=Lists!$AG$2,IF($O132&gt;=Lists!$AG$4,"High Value / High Risk","High Value / Low Risk"),IF($O132&gt;=Lists!$AG$4,"Low Value / High Risk","Low Value / Low Risk")))</f>
        <v/>
      </c>
      <c r="AF132" s="101"/>
      <c r="AG132" s="126"/>
      <c r="AH132" s="106" t="str">
        <f aca="false">IF($B132="","",COUNTIFS('Debt Backlog'!$AF$2:$AF$1000,$A132,'Debt Backlog'!$B$2:$B$1000,"&lt;&gt;",'Debt Backlog'!$N$2:$N$1000,"&lt;&gt;Done",'Debt Backlog'!$N$2:$N$1000,"&lt;&gt;Won't Fix",'Debt Backlog'!$N$2:$N$1000,"&lt;&gt;Duplicate"))</f>
        <v/>
      </c>
      <c r="AI132" s="103" t="str">
        <f aca="false">IF($B132="","",ROUND(SUMIFS('Debt Backlog'!$L$2:$L$1000,'Debt Backlog'!$AF$2:$AF$1000,$A132,'Debt Backlog'!$B$2:$B$1000,"&lt;&gt;",'Debt Backlog'!$N$2:$N$1000,"&lt;&gt;Done",'Debt Backlog'!$N$2:$N$1000,"&lt;&gt;Won't Fix",'Debt Backlog'!$N$2:$N$1000,"&lt;&gt;Duplicate"),2))</f>
        <v/>
      </c>
    </row>
    <row r="133" customFormat="false" ht="15.75" hidden="false" customHeight="true" outlineLevel="0" collapsed="false">
      <c r="A133" s="125"/>
      <c r="B133" s="101"/>
      <c r="C133" s="101"/>
      <c r="D133" s="101"/>
      <c r="E133" s="101"/>
      <c r="F133" s="101"/>
      <c r="G133" s="101"/>
      <c r="H133" s="101"/>
      <c r="I133" s="106"/>
      <c r="J133" s="106"/>
      <c r="K133" s="106"/>
      <c r="L133" s="106"/>
      <c r="M133" s="106"/>
      <c r="N133" s="103" t="str">
        <f aca="false">IF(OR($B133="", $I133="", $J133="", $K133="", $L133="", $M133=""),"",ROUND(($I133*Lists!$AD$2)+($J133*Lists!$AD$3)+($K133*Lists!$AD$4)+($L133*Lists!$AD$5)+($M133*Lists!$AD$6),2))</f>
        <v/>
      </c>
      <c r="O133" s="103" t="str">
        <f aca="false">IF($A133="","",IFERROR(VLOOKUP($A133,'Risk Register'!$B$2:$I$1000,8,FALSE()),""))</f>
        <v/>
      </c>
      <c r="P133" s="106"/>
      <c r="Q133" s="106"/>
      <c r="R133" s="106"/>
      <c r="S133" s="106"/>
      <c r="T133" s="103" t="str">
        <f aca="false">IF(OR($B133="", $P133="", $Q133="", $R133="", $S133=""),"",ROUND(($P133*Lists!$AD$7)+($Q133*Lists!$AD$8)+($R133*Lists!$AD$9)+($S133*Lists!$AD$10),2))</f>
        <v/>
      </c>
      <c r="U133" s="106"/>
      <c r="V133" s="106"/>
      <c r="W133" s="106"/>
      <c r="X133" s="106"/>
      <c r="Y133" s="106"/>
      <c r="Z133" s="103" t="str">
        <f aca="false">IF(OR($B133="", $U133="", $V133="", $W133="", $X133="", $Y133=""),"",ROUND(($U133*Lists!$AD$11)+($V133*Lists!$AD$12)+($W133*Lists!$AD$13)+($X133*Lists!$AD$14)+($Y133*Lists!$AD$15),2))</f>
        <v/>
      </c>
      <c r="AA133" s="103" t="str">
        <f aca="false">IF(OR($B133="", $N133="", $O133="", $T133="", $Z133=""),"",ROUND(($N133*Lists!$AD$16)-($O133*Lists!$AD$17)-($T133*Lists!$AD$18)+($Z133*Lists!$AD$19),2))</f>
        <v/>
      </c>
      <c r="AB133" s="102" t="str">
        <f aca="false">IF(OR($B133="", $N133="", $Z133=""),"",IF($N133&gt;=Lists!$AG$2,IF($Z133&gt;=Lists!$AG$3,"Invest","Migrate"),IF($Z133&gt;=Lists!$AG$3,"Tolerate","Eliminate")))</f>
        <v/>
      </c>
      <c r="AC133" s="102" t="str">
        <f aca="false">IF($B133="","",IF($J133&gt;=4,"Yes",""))</f>
        <v/>
      </c>
      <c r="AD133" s="102" t="str">
        <f aca="false">IF($A133="","",IFERROR(IF(VLOOKUP($A133,'Risk Register'!$B$2:$H$1000,4,FALSE())&gt;=4,"Yes",""),""))</f>
        <v/>
      </c>
      <c r="AE133" s="102" t="str">
        <f aca="false">IF(OR($N133="", $O133=""),"",IF($N133&gt;=Lists!$AG$2,IF($O133&gt;=Lists!$AG$4,"High Value / High Risk","High Value / Low Risk"),IF($O133&gt;=Lists!$AG$4,"Low Value / High Risk","Low Value / Low Risk")))</f>
        <v/>
      </c>
      <c r="AF133" s="101"/>
      <c r="AG133" s="126"/>
      <c r="AH133" s="106" t="str">
        <f aca="false">IF($B133="","",COUNTIFS('Debt Backlog'!$AF$2:$AF$1000,$A133,'Debt Backlog'!$B$2:$B$1000,"&lt;&gt;",'Debt Backlog'!$N$2:$N$1000,"&lt;&gt;Done",'Debt Backlog'!$N$2:$N$1000,"&lt;&gt;Won't Fix",'Debt Backlog'!$N$2:$N$1000,"&lt;&gt;Duplicate"))</f>
        <v/>
      </c>
      <c r="AI133" s="103" t="str">
        <f aca="false">IF($B133="","",ROUND(SUMIFS('Debt Backlog'!$L$2:$L$1000,'Debt Backlog'!$AF$2:$AF$1000,$A133,'Debt Backlog'!$B$2:$B$1000,"&lt;&gt;",'Debt Backlog'!$N$2:$N$1000,"&lt;&gt;Done",'Debt Backlog'!$N$2:$N$1000,"&lt;&gt;Won't Fix",'Debt Backlog'!$N$2:$N$1000,"&lt;&gt;Duplicate"),2))</f>
        <v/>
      </c>
    </row>
    <row r="134" customFormat="false" ht="15.75" hidden="false" customHeight="true" outlineLevel="0" collapsed="false">
      <c r="A134" s="125"/>
      <c r="B134" s="101"/>
      <c r="C134" s="101"/>
      <c r="D134" s="101"/>
      <c r="E134" s="101"/>
      <c r="F134" s="101"/>
      <c r="G134" s="101"/>
      <c r="H134" s="101"/>
      <c r="I134" s="106"/>
      <c r="J134" s="106"/>
      <c r="K134" s="106"/>
      <c r="L134" s="106"/>
      <c r="M134" s="106"/>
      <c r="N134" s="103" t="str">
        <f aca="false">IF(OR($B134="", $I134="", $J134="", $K134="", $L134="", $M134=""),"",ROUND(($I134*Lists!$AD$2)+($J134*Lists!$AD$3)+($K134*Lists!$AD$4)+($L134*Lists!$AD$5)+($M134*Lists!$AD$6),2))</f>
        <v/>
      </c>
      <c r="O134" s="103" t="str">
        <f aca="false">IF($A134="","",IFERROR(VLOOKUP($A134,'Risk Register'!$B$2:$I$1000,8,FALSE()),""))</f>
        <v/>
      </c>
      <c r="P134" s="106"/>
      <c r="Q134" s="106"/>
      <c r="R134" s="106"/>
      <c r="S134" s="106"/>
      <c r="T134" s="103" t="str">
        <f aca="false">IF(OR($B134="", $P134="", $Q134="", $R134="", $S134=""),"",ROUND(($P134*Lists!$AD$7)+($Q134*Lists!$AD$8)+($R134*Lists!$AD$9)+($S134*Lists!$AD$10),2))</f>
        <v/>
      </c>
      <c r="U134" s="106"/>
      <c r="V134" s="106"/>
      <c r="W134" s="106"/>
      <c r="X134" s="106"/>
      <c r="Y134" s="106"/>
      <c r="Z134" s="103" t="str">
        <f aca="false">IF(OR($B134="", $U134="", $V134="", $W134="", $X134="", $Y134=""),"",ROUND(($U134*Lists!$AD$11)+($V134*Lists!$AD$12)+($W134*Lists!$AD$13)+($X134*Lists!$AD$14)+($Y134*Lists!$AD$15),2))</f>
        <v/>
      </c>
      <c r="AA134" s="103" t="str">
        <f aca="false">IF(OR($B134="", $N134="", $O134="", $T134="", $Z134=""),"",ROUND(($N134*Lists!$AD$16)-($O134*Lists!$AD$17)-($T134*Lists!$AD$18)+($Z134*Lists!$AD$19),2))</f>
        <v/>
      </c>
      <c r="AB134" s="102" t="str">
        <f aca="false">IF(OR($B134="", $N134="", $Z134=""),"",IF($N134&gt;=Lists!$AG$2,IF($Z134&gt;=Lists!$AG$3,"Invest","Migrate"),IF($Z134&gt;=Lists!$AG$3,"Tolerate","Eliminate")))</f>
        <v/>
      </c>
      <c r="AC134" s="102" t="str">
        <f aca="false">IF($B134="","",IF($J134&gt;=4,"Yes",""))</f>
        <v/>
      </c>
      <c r="AD134" s="102" t="str">
        <f aca="false">IF($A134="","",IFERROR(IF(VLOOKUP($A134,'Risk Register'!$B$2:$H$1000,4,FALSE())&gt;=4,"Yes",""),""))</f>
        <v/>
      </c>
      <c r="AE134" s="102" t="str">
        <f aca="false">IF(OR($N134="", $O134=""),"",IF($N134&gt;=Lists!$AG$2,IF($O134&gt;=Lists!$AG$4,"High Value / High Risk","High Value / Low Risk"),IF($O134&gt;=Lists!$AG$4,"Low Value / High Risk","Low Value / Low Risk")))</f>
        <v/>
      </c>
      <c r="AF134" s="101"/>
      <c r="AG134" s="126"/>
      <c r="AH134" s="106" t="str">
        <f aca="false">IF($B134="","",COUNTIFS('Debt Backlog'!$AF$2:$AF$1000,$A134,'Debt Backlog'!$B$2:$B$1000,"&lt;&gt;",'Debt Backlog'!$N$2:$N$1000,"&lt;&gt;Done",'Debt Backlog'!$N$2:$N$1000,"&lt;&gt;Won't Fix",'Debt Backlog'!$N$2:$N$1000,"&lt;&gt;Duplicate"))</f>
        <v/>
      </c>
      <c r="AI134" s="103" t="str">
        <f aca="false">IF($B134="","",ROUND(SUMIFS('Debt Backlog'!$L$2:$L$1000,'Debt Backlog'!$AF$2:$AF$1000,$A134,'Debt Backlog'!$B$2:$B$1000,"&lt;&gt;",'Debt Backlog'!$N$2:$N$1000,"&lt;&gt;Done",'Debt Backlog'!$N$2:$N$1000,"&lt;&gt;Won't Fix",'Debt Backlog'!$N$2:$N$1000,"&lt;&gt;Duplicate"),2))</f>
        <v/>
      </c>
    </row>
    <row r="135" customFormat="false" ht="15.75" hidden="false" customHeight="true" outlineLevel="0" collapsed="false">
      <c r="A135" s="125"/>
      <c r="B135" s="101"/>
      <c r="C135" s="101"/>
      <c r="D135" s="101"/>
      <c r="E135" s="101"/>
      <c r="F135" s="101"/>
      <c r="G135" s="101"/>
      <c r="H135" s="101"/>
      <c r="I135" s="106"/>
      <c r="J135" s="106"/>
      <c r="K135" s="106"/>
      <c r="L135" s="106"/>
      <c r="M135" s="106"/>
      <c r="N135" s="103" t="str">
        <f aca="false">IF(OR($B135="", $I135="", $J135="", $K135="", $L135="", $M135=""),"",ROUND(($I135*Lists!$AD$2)+($J135*Lists!$AD$3)+($K135*Lists!$AD$4)+($L135*Lists!$AD$5)+($M135*Lists!$AD$6),2))</f>
        <v/>
      </c>
      <c r="O135" s="103" t="str">
        <f aca="false">IF($A135="","",IFERROR(VLOOKUP($A135,'Risk Register'!$B$2:$I$1000,8,FALSE()),""))</f>
        <v/>
      </c>
      <c r="P135" s="106"/>
      <c r="Q135" s="106"/>
      <c r="R135" s="106"/>
      <c r="S135" s="106"/>
      <c r="T135" s="103" t="str">
        <f aca="false">IF(OR($B135="", $P135="", $Q135="", $R135="", $S135=""),"",ROUND(($P135*Lists!$AD$7)+($Q135*Lists!$AD$8)+($R135*Lists!$AD$9)+($S135*Lists!$AD$10),2))</f>
        <v/>
      </c>
      <c r="U135" s="106"/>
      <c r="V135" s="106"/>
      <c r="W135" s="106"/>
      <c r="X135" s="106"/>
      <c r="Y135" s="106"/>
      <c r="Z135" s="103" t="str">
        <f aca="false">IF(OR($B135="", $U135="", $V135="", $W135="", $X135="", $Y135=""),"",ROUND(($U135*Lists!$AD$11)+($V135*Lists!$AD$12)+($W135*Lists!$AD$13)+($X135*Lists!$AD$14)+($Y135*Lists!$AD$15),2))</f>
        <v/>
      </c>
      <c r="AA135" s="103" t="str">
        <f aca="false">IF(OR($B135="", $N135="", $O135="", $T135="", $Z135=""),"",ROUND(($N135*Lists!$AD$16)-($O135*Lists!$AD$17)-($T135*Lists!$AD$18)+($Z135*Lists!$AD$19),2))</f>
        <v/>
      </c>
      <c r="AB135" s="102" t="str">
        <f aca="false">IF(OR($B135="", $N135="", $Z135=""),"",IF($N135&gt;=Lists!$AG$2,IF($Z135&gt;=Lists!$AG$3,"Invest","Migrate"),IF($Z135&gt;=Lists!$AG$3,"Tolerate","Eliminate")))</f>
        <v/>
      </c>
      <c r="AC135" s="102" t="str">
        <f aca="false">IF($B135="","",IF($J135&gt;=4,"Yes",""))</f>
        <v/>
      </c>
      <c r="AD135" s="102" t="str">
        <f aca="false">IF($A135="","",IFERROR(IF(VLOOKUP($A135,'Risk Register'!$B$2:$H$1000,4,FALSE())&gt;=4,"Yes",""),""))</f>
        <v/>
      </c>
      <c r="AE135" s="102" t="str">
        <f aca="false">IF(OR($N135="", $O135=""),"",IF($N135&gt;=Lists!$AG$2,IF($O135&gt;=Lists!$AG$4,"High Value / High Risk","High Value / Low Risk"),IF($O135&gt;=Lists!$AG$4,"Low Value / High Risk","Low Value / Low Risk")))</f>
        <v/>
      </c>
      <c r="AF135" s="101"/>
      <c r="AG135" s="126"/>
      <c r="AH135" s="106" t="str">
        <f aca="false">IF($B135="","",COUNTIFS('Debt Backlog'!$AF$2:$AF$1000,$A135,'Debt Backlog'!$B$2:$B$1000,"&lt;&gt;",'Debt Backlog'!$N$2:$N$1000,"&lt;&gt;Done",'Debt Backlog'!$N$2:$N$1000,"&lt;&gt;Won't Fix",'Debt Backlog'!$N$2:$N$1000,"&lt;&gt;Duplicate"))</f>
        <v/>
      </c>
      <c r="AI135" s="103" t="str">
        <f aca="false">IF($B135="","",ROUND(SUMIFS('Debt Backlog'!$L$2:$L$1000,'Debt Backlog'!$AF$2:$AF$1000,$A135,'Debt Backlog'!$B$2:$B$1000,"&lt;&gt;",'Debt Backlog'!$N$2:$N$1000,"&lt;&gt;Done",'Debt Backlog'!$N$2:$N$1000,"&lt;&gt;Won't Fix",'Debt Backlog'!$N$2:$N$1000,"&lt;&gt;Duplicate"),2))</f>
        <v/>
      </c>
    </row>
    <row r="136" customFormat="false" ht="15.75" hidden="false" customHeight="true" outlineLevel="0" collapsed="false">
      <c r="A136" s="125"/>
      <c r="B136" s="101"/>
      <c r="C136" s="101"/>
      <c r="D136" s="101"/>
      <c r="E136" s="101"/>
      <c r="F136" s="101"/>
      <c r="G136" s="101"/>
      <c r="H136" s="101"/>
      <c r="I136" s="106"/>
      <c r="J136" s="106"/>
      <c r="K136" s="106"/>
      <c r="L136" s="106"/>
      <c r="M136" s="106"/>
      <c r="N136" s="103" t="str">
        <f aca="false">IF(OR($B136="", $I136="", $J136="", $K136="", $L136="", $M136=""),"",ROUND(($I136*Lists!$AD$2)+($J136*Lists!$AD$3)+($K136*Lists!$AD$4)+($L136*Lists!$AD$5)+($M136*Lists!$AD$6),2))</f>
        <v/>
      </c>
      <c r="O136" s="103" t="str">
        <f aca="false">IF($A136="","",IFERROR(VLOOKUP($A136,'Risk Register'!$B$2:$I$1000,8,FALSE()),""))</f>
        <v/>
      </c>
      <c r="P136" s="106"/>
      <c r="Q136" s="106"/>
      <c r="R136" s="106"/>
      <c r="S136" s="106"/>
      <c r="T136" s="103" t="str">
        <f aca="false">IF(OR($B136="", $P136="", $Q136="", $R136="", $S136=""),"",ROUND(($P136*Lists!$AD$7)+($Q136*Lists!$AD$8)+($R136*Lists!$AD$9)+($S136*Lists!$AD$10),2))</f>
        <v/>
      </c>
      <c r="U136" s="106"/>
      <c r="V136" s="106"/>
      <c r="W136" s="106"/>
      <c r="X136" s="106"/>
      <c r="Y136" s="106"/>
      <c r="Z136" s="103" t="str">
        <f aca="false">IF(OR($B136="", $U136="", $V136="", $W136="", $X136="", $Y136=""),"",ROUND(($U136*Lists!$AD$11)+($V136*Lists!$AD$12)+($W136*Lists!$AD$13)+($X136*Lists!$AD$14)+($Y136*Lists!$AD$15),2))</f>
        <v/>
      </c>
      <c r="AA136" s="103" t="str">
        <f aca="false">IF(OR($B136="", $N136="", $O136="", $T136="", $Z136=""),"",ROUND(($N136*Lists!$AD$16)-($O136*Lists!$AD$17)-($T136*Lists!$AD$18)+($Z136*Lists!$AD$19),2))</f>
        <v/>
      </c>
      <c r="AB136" s="102" t="str">
        <f aca="false">IF(OR($B136="", $N136="", $Z136=""),"",IF($N136&gt;=Lists!$AG$2,IF($Z136&gt;=Lists!$AG$3,"Invest","Migrate"),IF($Z136&gt;=Lists!$AG$3,"Tolerate","Eliminate")))</f>
        <v/>
      </c>
      <c r="AC136" s="102" t="str">
        <f aca="false">IF($B136="","",IF($J136&gt;=4,"Yes",""))</f>
        <v/>
      </c>
      <c r="AD136" s="102" t="str">
        <f aca="false">IF($A136="","",IFERROR(IF(VLOOKUP($A136,'Risk Register'!$B$2:$H$1000,4,FALSE())&gt;=4,"Yes",""),""))</f>
        <v/>
      </c>
      <c r="AE136" s="102" t="str">
        <f aca="false">IF(OR($N136="", $O136=""),"",IF($N136&gt;=Lists!$AG$2,IF($O136&gt;=Lists!$AG$4,"High Value / High Risk","High Value / Low Risk"),IF($O136&gt;=Lists!$AG$4,"Low Value / High Risk","Low Value / Low Risk")))</f>
        <v/>
      </c>
      <c r="AF136" s="101"/>
      <c r="AG136" s="126"/>
      <c r="AH136" s="106" t="str">
        <f aca="false">IF($B136="","",COUNTIFS('Debt Backlog'!$AF$2:$AF$1000,$A136,'Debt Backlog'!$B$2:$B$1000,"&lt;&gt;",'Debt Backlog'!$N$2:$N$1000,"&lt;&gt;Done",'Debt Backlog'!$N$2:$N$1000,"&lt;&gt;Won't Fix",'Debt Backlog'!$N$2:$N$1000,"&lt;&gt;Duplicate"))</f>
        <v/>
      </c>
      <c r="AI136" s="103" t="str">
        <f aca="false">IF($B136="","",ROUND(SUMIFS('Debt Backlog'!$L$2:$L$1000,'Debt Backlog'!$AF$2:$AF$1000,$A136,'Debt Backlog'!$B$2:$B$1000,"&lt;&gt;",'Debt Backlog'!$N$2:$N$1000,"&lt;&gt;Done",'Debt Backlog'!$N$2:$N$1000,"&lt;&gt;Won't Fix",'Debt Backlog'!$N$2:$N$1000,"&lt;&gt;Duplicate"),2))</f>
        <v/>
      </c>
    </row>
    <row r="137" customFormat="false" ht="15.75" hidden="false" customHeight="true" outlineLevel="0" collapsed="false">
      <c r="A137" s="125"/>
      <c r="B137" s="101"/>
      <c r="C137" s="101"/>
      <c r="D137" s="101"/>
      <c r="E137" s="101"/>
      <c r="F137" s="101"/>
      <c r="G137" s="101"/>
      <c r="H137" s="101"/>
      <c r="I137" s="106"/>
      <c r="J137" s="106"/>
      <c r="K137" s="106"/>
      <c r="L137" s="106"/>
      <c r="M137" s="106"/>
      <c r="N137" s="103" t="str">
        <f aca="false">IF(OR($B137="", $I137="", $J137="", $K137="", $L137="", $M137=""),"",ROUND(($I137*Lists!$AD$2)+($J137*Lists!$AD$3)+($K137*Lists!$AD$4)+($L137*Lists!$AD$5)+($M137*Lists!$AD$6),2))</f>
        <v/>
      </c>
      <c r="O137" s="103" t="str">
        <f aca="false">IF($A137="","",IFERROR(VLOOKUP($A137,'Risk Register'!$B$2:$I$1000,8,FALSE()),""))</f>
        <v/>
      </c>
      <c r="P137" s="106"/>
      <c r="Q137" s="106"/>
      <c r="R137" s="106"/>
      <c r="S137" s="106"/>
      <c r="T137" s="103" t="str">
        <f aca="false">IF(OR($B137="", $P137="", $Q137="", $R137="", $S137=""),"",ROUND(($P137*Lists!$AD$7)+($Q137*Lists!$AD$8)+($R137*Lists!$AD$9)+($S137*Lists!$AD$10),2))</f>
        <v/>
      </c>
      <c r="U137" s="106"/>
      <c r="V137" s="106"/>
      <c r="W137" s="106"/>
      <c r="X137" s="106"/>
      <c r="Y137" s="106"/>
      <c r="Z137" s="103" t="str">
        <f aca="false">IF(OR($B137="", $U137="", $V137="", $W137="", $X137="", $Y137=""),"",ROUND(($U137*Lists!$AD$11)+($V137*Lists!$AD$12)+($W137*Lists!$AD$13)+($X137*Lists!$AD$14)+($Y137*Lists!$AD$15),2))</f>
        <v/>
      </c>
      <c r="AA137" s="103" t="str">
        <f aca="false">IF(OR($B137="", $N137="", $O137="", $T137="", $Z137=""),"",ROUND(($N137*Lists!$AD$16)-($O137*Lists!$AD$17)-($T137*Lists!$AD$18)+($Z137*Lists!$AD$19),2))</f>
        <v/>
      </c>
      <c r="AB137" s="102" t="str">
        <f aca="false">IF(OR($B137="", $N137="", $Z137=""),"",IF($N137&gt;=Lists!$AG$2,IF($Z137&gt;=Lists!$AG$3,"Invest","Migrate"),IF($Z137&gt;=Lists!$AG$3,"Tolerate","Eliminate")))</f>
        <v/>
      </c>
      <c r="AC137" s="102" t="str">
        <f aca="false">IF($B137="","",IF($J137&gt;=4,"Yes",""))</f>
        <v/>
      </c>
      <c r="AD137" s="102" t="str">
        <f aca="false">IF($A137="","",IFERROR(IF(VLOOKUP($A137,'Risk Register'!$B$2:$H$1000,4,FALSE())&gt;=4,"Yes",""),""))</f>
        <v/>
      </c>
      <c r="AE137" s="102" t="str">
        <f aca="false">IF(OR($N137="", $O137=""),"",IF($N137&gt;=Lists!$AG$2,IF($O137&gt;=Lists!$AG$4,"High Value / High Risk","High Value / Low Risk"),IF($O137&gt;=Lists!$AG$4,"Low Value / High Risk","Low Value / Low Risk")))</f>
        <v/>
      </c>
      <c r="AF137" s="101"/>
      <c r="AG137" s="126"/>
      <c r="AH137" s="106" t="str">
        <f aca="false">IF($B137="","",COUNTIFS('Debt Backlog'!$AF$2:$AF$1000,$A137,'Debt Backlog'!$B$2:$B$1000,"&lt;&gt;",'Debt Backlog'!$N$2:$N$1000,"&lt;&gt;Done",'Debt Backlog'!$N$2:$N$1000,"&lt;&gt;Won't Fix",'Debt Backlog'!$N$2:$N$1000,"&lt;&gt;Duplicate"))</f>
        <v/>
      </c>
      <c r="AI137" s="103" t="str">
        <f aca="false">IF($B137="","",ROUND(SUMIFS('Debt Backlog'!$L$2:$L$1000,'Debt Backlog'!$AF$2:$AF$1000,$A137,'Debt Backlog'!$B$2:$B$1000,"&lt;&gt;",'Debt Backlog'!$N$2:$N$1000,"&lt;&gt;Done",'Debt Backlog'!$N$2:$N$1000,"&lt;&gt;Won't Fix",'Debt Backlog'!$N$2:$N$1000,"&lt;&gt;Duplicate"),2))</f>
        <v/>
      </c>
    </row>
    <row r="138" customFormat="false" ht="15.75" hidden="false" customHeight="true" outlineLevel="0" collapsed="false">
      <c r="A138" s="125"/>
      <c r="B138" s="101"/>
      <c r="C138" s="101"/>
      <c r="D138" s="101"/>
      <c r="E138" s="101"/>
      <c r="F138" s="101"/>
      <c r="G138" s="101"/>
      <c r="H138" s="101"/>
      <c r="I138" s="106"/>
      <c r="J138" s="106"/>
      <c r="K138" s="106"/>
      <c r="L138" s="106"/>
      <c r="M138" s="106"/>
      <c r="N138" s="103" t="str">
        <f aca="false">IF(OR($B138="", $I138="", $J138="", $K138="", $L138="", $M138=""),"",ROUND(($I138*Lists!$AD$2)+($J138*Lists!$AD$3)+($K138*Lists!$AD$4)+($L138*Lists!$AD$5)+($M138*Lists!$AD$6),2))</f>
        <v/>
      </c>
      <c r="O138" s="103" t="str">
        <f aca="false">IF($A138="","",IFERROR(VLOOKUP($A138,'Risk Register'!$B$2:$I$1000,8,FALSE()),""))</f>
        <v/>
      </c>
      <c r="P138" s="106"/>
      <c r="Q138" s="106"/>
      <c r="R138" s="106"/>
      <c r="S138" s="106"/>
      <c r="T138" s="103" t="str">
        <f aca="false">IF(OR($B138="", $P138="", $Q138="", $R138="", $S138=""),"",ROUND(($P138*Lists!$AD$7)+($Q138*Lists!$AD$8)+($R138*Lists!$AD$9)+($S138*Lists!$AD$10),2))</f>
        <v/>
      </c>
      <c r="U138" s="106"/>
      <c r="V138" s="106"/>
      <c r="W138" s="106"/>
      <c r="X138" s="106"/>
      <c r="Y138" s="106"/>
      <c r="Z138" s="103" t="str">
        <f aca="false">IF(OR($B138="", $U138="", $V138="", $W138="", $X138="", $Y138=""),"",ROUND(($U138*Lists!$AD$11)+($V138*Lists!$AD$12)+($W138*Lists!$AD$13)+($X138*Lists!$AD$14)+($Y138*Lists!$AD$15),2))</f>
        <v/>
      </c>
      <c r="AA138" s="103" t="str">
        <f aca="false">IF(OR($B138="", $N138="", $O138="", $T138="", $Z138=""),"",ROUND(($N138*Lists!$AD$16)-($O138*Lists!$AD$17)-($T138*Lists!$AD$18)+($Z138*Lists!$AD$19),2))</f>
        <v/>
      </c>
      <c r="AB138" s="102" t="str">
        <f aca="false">IF(OR($B138="", $N138="", $Z138=""),"",IF($N138&gt;=Lists!$AG$2,IF($Z138&gt;=Lists!$AG$3,"Invest","Migrate"),IF($Z138&gt;=Lists!$AG$3,"Tolerate","Eliminate")))</f>
        <v/>
      </c>
      <c r="AC138" s="102" t="str">
        <f aca="false">IF($B138="","",IF($J138&gt;=4,"Yes",""))</f>
        <v/>
      </c>
      <c r="AD138" s="102" t="str">
        <f aca="false">IF($A138="","",IFERROR(IF(VLOOKUP($A138,'Risk Register'!$B$2:$H$1000,4,FALSE())&gt;=4,"Yes",""),""))</f>
        <v/>
      </c>
      <c r="AE138" s="102" t="str">
        <f aca="false">IF(OR($N138="", $O138=""),"",IF($N138&gt;=Lists!$AG$2,IF($O138&gt;=Lists!$AG$4,"High Value / High Risk","High Value / Low Risk"),IF($O138&gt;=Lists!$AG$4,"Low Value / High Risk","Low Value / Low Risk")))</f>
        <v/>
      </c>
      <c r="AF138" s="101"/>
      <c r="AG138" s="126"/>
      <c r="AH138" s="106" t="str">
        <f aca="false">IF($B138="","",COUNTIFS('Debt Backlog'!$AF$2:$AF$1000,$A138,'Debt Backlog'!$B$2:$B$1000,"&lt;&gt;",'Debt Backlog'!$N$2:$N$1000,"&lt;&gt;Done",'Debt Backlog'!$N$2:$N$1000,"&lt;&gt;Won't Fix",'Debt Backlog'!$N$2:$N$1000,"&lt;&gt;Duplicate"))</f>
        <v/>
      </c>
      <c r="AI138" s="103" t="str">
        <f aca="false">IF($B138="","",ROUND(SUMIFS('Debt Backlog'!$L$2:$L$1000,'Debt Backlog'!$AF$2:$AF$1000,$A138,'Debt Backlog'!$B$2:$B$1000,"&lt;&gt;",'Debt Backlog'!$N$2:$N$1000,"&lt;&gt;Done",'Debt Backlog'!$N$2:$N$1000,"&lt;&gt;Won't Fix",'Debt Backlog'!$N$2:$N$1000,"&lt;&gt;Duplicate"),2))</f>
        <v/>
      </c>
    </row>
    <row r="139" customFormat="false" ht="15.75" hidden="false" customHeight="true" outlineLevel="0" collapsed="false">
      <c r="A139" s="125"/>
      <c r="B139" s="101"/>
      <c r="C139" s="101"/>
      <c r="D139" s="101"/>
      <c r="E139" s="101"/>
      <c r="F139" s="101"/>
      <c r="G139" s="101"/>
      <c r="H139" s="101"/>
      <c r="I139" s="106"/>
      <c r="J139" s="106"/>
      <c r="K139" s="106"/>
      <c r="L139" s="106"/>
      <c r="M139" s="106"/>
      <c r="N139" s="103" t="str">
        <f aca="false">IF(OR($B139="", $I139="", $J139="", $K139="", $L139="", $M139=""),"",ROUND(($I139*Lists!$AD$2)+($J139*Lists!$AD$3)+($K139*Lists!$AD$4)+($L139*Lists!$AD$5)+($M139*Lists!$AD$6),2))</f>
        <v/>
      </c>
      <c r="O139" s="103" t="str">
        <f aca="false">IF($A139="","",IFERROR(VLOOKUP($A139,'Risk Register'!$B$2:$I$1000,8,FALSE()),""))</f>
        <v/>
      </c>
      <c r="P139" s="106"/>
      <c r="Q139" s="106"/>
      <c r="R139" s="106"/>
      <c r="S139" s="106"/>
      <c r="T139" s="103" t="str">
        <f aca="false">IF(OR($B139="", $P139="", $Q139="", $R139="", $S139=""),"",ROUND(($P139*Lists!$AD$7)+($Q139*Lists!$AD$8)+($R139*Lists!$AD$9)+($S139*Lists!$AD$10),2))</f>
        <v/>
      </c>
      <c r="U139" s="106"/>
      <c r="V139" s="106"/>
      <c r="W139" s="106"/>
      <c r="X139" s="106"/>
      <c r="Y139" s="106"/>
      <c r="Z139" s="103" t="str">
        <f aca="false">IF(OR($B139="", $U139="", $V139="", $W139="", $X139="", $Y139=""),"",ROUND(($U139*Lists!$AD$11)+($V139*Lists!$AD$12)+($W139*Lists!$AD$13)+($X139*Lists!$AD$14)+($Y139*Lists!$AD$15),2))</f>
        <v/>
      </c>
      <c r="AA139" s="103" t="str">
        <f aca="false">IF(OR($B139="", $N139="", $O139="", $T139="", $Z139=""),"",ROUND(($N139*Lists!$AD$16)-($O139*Lists!$AD$17)-($T139*Lists!$AD$18)+($Z139*Lists!$AD$19),2))</f>
        <v/>
      </c>
      <c r="AB139" s="102" t="str">
        <f aca="false">IF(OR($B139="", $N139="", $Z139=""),"",IF($N139&gt;=Lists!$AG$2,IF($Z139&gt;=Lists!$AG$3,"Invest","Migrate"),IF($Z139&gt;=Lists!$AG$3,"Tolerate","Eliminate")))</f>
        <v/>
      </c>
      <c r="AC139" s="102" t="str">
        <f aca="false">IF($B139="","",IF($J139&gt;=4,"Yes",""))</f>
        <v/>
      </c>
      <c r="AD139" s="102" t="str">
        <f aca="false">IF($A139="","",IFERROR(IF(VLOOKUP($A139,'Risk Register'!$B$2:$H$1000,4,FALSE())&gt;=4,"Yes",""),""))</f>
        <v/>
      </c>
      <c r="AE139" s="102" t="str">
        <f aca="false">IF(OR($N139="", $O139=""),"",IF($N139&gt;=Lists!$AG$2,IF($O139&gt;=Lists!$AG$4,"High Value / High Risk","High Value / Low Risk"),IF($O139&gt;=Lists!$AG$4,"Low Value / High Risk","Low Value / Low Risk")))</f>
        <v/>
      </c>
      <c r="AF139" s="101"/>
      <c r="AG139" s="126"/>
      <c r="AH139" s="106" t="str">
        <f aca="false">IF($B139="","",COUNTIFS('Debt Backlog'!$AF$2:$AF$1000,$A139,'Debt Backlog'!$B$2:$B$1000,"&lt;&gt;",'Debt Backlog'!$N$2:$N$1000,"&lt;&gt;Done",'Debt Backlog'!$N$2:$N$1000,"&lt;&gt;Won't Fix",'Debt Backlog'!$N$2:$N$1000,"&lt;&gt;Duplicate"))</f>
        <v/>
      </c>
      <c r="AI139" s="103" t="str">
        <f aca="false">IF($B139="","",ROUND(SUMIFS('Debt Backlog'!$L$2:$L$1000,'Debt Backlog'!$AF$2:$AF$1000,$A139,'Debt Backlog'!$B$2:$B$1000,"&lt;&gt;",'Debt Backlog'!$N$2:$N$1000,"&lt;&gt;Done",'Debt Backlog'!$N$2:$N$1000,"&lt;&gt;Won't Fix",'Debt Backlog'!$N$2:$N$1000,"&lt;&gt;Duplicate"),2))</f>
        <v/>
      </c>
    </row>
    <row r="140" customFormat="false" ht="15.75" hidden="false" customHeight="true" outlineLevel="0" collapsed="false">
      <c r="A140" s="125"/>
      <c r="B140" s="101"/>
      <c r="C140" s="101"/>
      <c r="D140" s="101"/>
      <c r="E140" s="101"/>
      <c r="F140" s="101"/>
      <c r="G140" s="101"/>
      <c r="H140" s="101"/>
      <c r="I140" s="106"/>
      <c r="J140" s="106"/>
      <c r="K140" s="106"/>
      <c r="L140" s="106"/>
      <c r="M140" s="106"/>
      <c r="N140" s="103" t="str">
        <f aca="false">IF(OR($B140="", $I140="", $J140="", $K140="", $L140="", $M140=""),"",ROUND(($I140*Lists!$AD$2)+($J140*Lists!$AD$3)+($K140*Lists!$AD$4)+($L140*Lists!$AD$5)+($M140*Lists!$AD$6),2))</f>
        <v/>
      </c>
      <c r="O140" s="103" t="str">
        <f aca="false">IF($A140="","",IFERROR(VLOOKUP($A140,'Risk Register'!$B$2:$I$1000,8,FALSE()),""))</f>
        <v/>
      </c>
      <c r="P140" s="106"/>
      <c r="Q140" s="106"/>
      <c r="R140" s="106"/>
      <c r="S140" s="106"/>
      <c r="T140" s="103" t="str">
        <f aca="false">IF(OR($B140="", $P140="", $Q140="", $R140="", $S140=""),"",ROUND(($P140*Lists!$AD$7)+($Q140*Lists!$AD$8)+($R140*Lists!$AD$9)+($S140*Lists!$AD$10),2))</f>
        <v/>
      </c>
      <c r="U140" s="106"/>
      <c r="V140" s="106"/>
      <c r="W140" s="106"/>
      <c r="X140" s="106"/>
      <c r="Y140" s="106"/>
      <c r="Z140" s="103" t="str">
        <f aca="false">IF(OR($B140="", $U140="", $V140="", $W140="", $X140="", $Y140=""),"",ROUND(($U140*Lists!$AD$11)+($V140*Lists!$AD$12)+($W140*Lists!$AD$13)+($X140*Lists!$AD$14)+($Y140*Lists!$AD$15),2))</f>
        <v/>
      </c>
      <c r="AA140" s="103" t="str">
        <f aca="false">IF(OR($B140="", $N140="", $O140="", $T140="", $Z140=""),"",ROUND(($N140*Lists!$AD$16)-($O140*Lists!$AD$17)-($T140*Lists!$AD$18)+($Z140*Lists!$AD$19),2))</f>
        <v/>
      </c>
      <c r="AB140" s="102" t="str">
        <f aca="false">IF(OR($B140="", $N140="", $Z140=""),"",IF($N140&gt;=Lists!$AG$2,IF($Z140&gt;=Lists!$AG$3,"Invest","Migrate"),IF($Z140&gt;=Lists!$AG$3,"Tolerate","Eliminate")))</f>
        <v/>
      </c>
      <c r="AC140" s="102" t="str">
        <f aca="false">IF($B140="","",IF($J140&gt;=4,"Yes",""))</f>
        <v/>
      </c>
      <c r="AD140" s="102" t="str">
        <f aca="false">IF($A140="","",IFERROR(IF(VLOOKUP($A140,'Risk Register'!$B$2:$H$1000,4,FALSE())&gt;=4,"Yes",""),""))</f>
        <v/>
      </c>
      <c r="AE140" s="102" t="str">
        <f aca="false">IF(OR($N140="", $O140=""),"",IF($N140&gt;=Lists!$AG$2,IF($O140&gt;=Lists!$AG$4,"High Value / High Risk","High Value / Low Risk"),IF($O140&gt;=Lists!$AG$4,"Low Value / High Risk","Low Value / Low Risk")))</f>
        <v/>
      </c>
      <c r="AF140" s="101"/>
      <c r="AG140" s="126"/>
      <c r="AH140" s="106" t="str">
        <f aca="false">IF($B140="","",COUNTIFS('Debt Backlog'!$AF$2:$AF$1000,$A140,'Debt Backlog'!$B$2:$B$1000,"&lt;&gt;",'Debt Backlog'!$N$2:$N$1000,"&lt;&gt;Done",'Debt Backlog'!$N$2:$N$1000,"&lt;&gt;Won't Fix",'Debt Backlog'!$N$2:$N$1000,"&lt;&gt;Duplicate"))</f>
        <v/>
      </c>
      <c r="AI140" s="103" t="str">
        <f aca="false">IF($B140="","",ROUND(SUMIFS('Debt Backlog'!$L$2:$L$1000,'Debt Backlog'!$AF$2:$AF$1000,$A140,'Debt Backlog'!$B$2:$B$1000,"&lt;&gt;",'Debt Backlog'!$N$2:$N$1000,"&lt;&gt;Done",'Debt Backlog'!$N$2:$N$1000,"&lt;&gt;Won't Fix",'Debt Backlog'!$N$2:$N$1000,"&lt;&gt;Duplicate"),2))</f>
        <v/>
      </c>
    </row>
    <row r="141" customFormat="false" ht="15.75" hidden="false" customHeight="true" outlineLevel="0" collapsed="false">
      <c r="A141" s="125"/>
      <c r="B141" s="101"/>
      <c r="C141" s="101"/>
      <c r="D141" s="101"/>
      <c r="E141" s="101"/>
      <c r="F141" s="101"/>
      <c r="G141" s="101"/>
      <c r="H141" s="101"/>
      <c r="I141" s="106"/>
      <c r="J141" s="106"/>
      <c r="K141" s="106"/>
      <c r="L141" s="106"/>
      <c r="M141" s="106"/>
      <c r="N141" s="103" t="str">
        <f aca="false">IF(OR($B141="", $I141="", $J141="", $K141="", $L141="", $M141=""),"",ROUND(($I141*Lists!$AD$2)+($J141*Lists!$AD$3)+($K141*Lists!$AD$4)+($L141*Lists!$AD$5)+($M141*Lists!$AD$6),2))</f>
        <v/>
      </c>
      <c r="O141" s="103" t="str">
        <f aca="false">IF($A141="","",IFERROR(VLOOKUP($A141,'Risk Register'!$B$2:$I$1000,8,FALSE()),""))</f>
        <v/>
      </c>
      <c r="P141" s="106"/>
      <c r="Q141" s="106"/>
      <c r="R141" s="106"/>
      <c r="S141" s="106"/>
      <c r="T141" s="103" t="str">
        <f aca="false">IF(OR($B141="", $P141="", $Q141="", $R141="", $S141=""),"",ROUND(($P141*Lists!$AD$7)+($Q141*Lists!$AD$8)+($R141*Lists!$AD$9)+($S141*Lists!$AD$10),2))</f>
        <v/>
      </c>
      <c r="U141" s="106"/>
      <c r="V141" s="106"/>
      <c r="W141" s="106"/>
      <c r="X141" s="106"/>
      <c r="Y141" s="106"/>
      <c r="Z141" s="103" t="str">
        <f aca="false">IF(OR($B141="", $U141="", $V141="", $W141="", $X141="", $Y141=""),"",ROUND(($U141*Lists!$AD$11)+($V141*Lists!$AD$12)+($W141*Lists!$AD$13)+($X141*Lists!$AD$14)+($Y141*Lists!$AD$15),2))</f>
        <v/>
      </c>
      <c r="AA141" s="103" t="str">
        <f aca="false">IF(OR($B141="", $N141="", $O141="", $T141="", $Z141=""),"",ROUND(($N141*Lists!$AD$16)-($O141*Lists!$AD$17)-($T141*Lists!$AD$18)+($Z141*Lists!$AD$19),2))</f>
        <v/>
      </c>
      <c r="AB141" s="102" t="str">
        <f aca="false">IF(OR($B141="", $N141="", $Z141=""),"",IF($N141&gt;=Lists!$AG$2,IF($Z141&gt;=Lists!$AG$3,"Invest","Migrate"),IF($Z141&gt;=Lists!$AG$3,"Tolerate","Eliminate")))</f>
        <v/>
      </c>
      <c r="AC141" s="102" t="str">
        <f aca="false">IF($B141="","",IF($J141&gt;=4,"Yes",""))</f>
        <v/>
      </c>
      <c r="AD141" s="102" t="str">
        <f aca="false">IF($A141="","",IFERROR(IF(VLOOKUP($A141,'Risk Register'!$B$2:$H$1000,4,FALSE())&gt;=4,"Yes",""),""))</f>
        <v/>
      </c>
      <c r="AE141" s="102" t="str">
        <f aca="false">IF(OR($N141="", $O141=""),"",IF($N141&gt;=Lists!$AG$2,IF($O141&gt;=Lists!$AG$4,"High Value / High Risk","High Value / Low Risk"),IF($O141&gt;=Lists!$AG$4,"Low Value / High Risk","Low Value / Low Risk")))</f>
        <v/>
      </c>
      <c r="AF141" s="101"/>
      <c r="AG141" s="126"/>
      <c r="AH141" s="106" t="str">
        <f aca="false">IF($B141="","",COUNTIFS('Debt Backlog'!$AF$2:$AF$1000,$A141,'Debt Backlog'!$B$2:$B$1000,"&lt;&gt;",'Debt Backlog'!$N$2:$N$1000,"&lt;&gt;Done",'Debt Backlog'!$N$2:$N$1000,"&lt;&gt;Won't Fix",'Debt Backlog'!$N$2:$N$1000,"&lt;&gt;Duplicate"))</f>
        <v/>
      </c>
      <c r="AI141" s="103" t="str">
        <f aca="false">IF($B141="","",ROUND(SUMIFS('Debt Backlog'!$L$2:$L$1000,'Debt Backlog'!$AF$2:$AF$1000,$A141,'Debt Backlog'!$B$2:$B$1000,"&lt;&gt;",'Debt Backlog'!$N$2:$N$1000,"&lt;&gt;Done",'Debt Backlog'!$N$2:$N$1000,"&lt;&gt;Won't Fix",'Debt Backlog'!$N$2:$N$1000,"&lt;&gt;Duplicate"),2))</f>
        <v/>
      </c>
    </row>
    <row r="142" customFormat="false" ht="15.75" hidden="false" customHeight="true" outlineLevel="0" collapsed="false">
      <c r="A142" s="125"/>
      <c r="B142" s="101"/>
      <c r="C142" s="101"/>
      <c r="D142" s="101"/>
      <c r="E142" s="101"/>
      <c r="F142" s="101"/>
      <c r="G142" s="101"/>
      <c r="H142" s="101"/>
      <c r="I142" s="106"/>
      <c r="J142" s="106"/>
      <c r="K142" s="106"/>
      <c r="L142" s="106"/>
      <c r="M142" s="106"/>
      <c r="N142" s="103" t="str">
        <f aca="false">IF(OR($B142="", $I142="", $J142="", $K142="", $L142="", $M142=""),"",ROUND(($I142*Lists!$AD$2)+($J142*Lists!$AD$3)+($K142*Lists!$AD$4)+($L142*Lists!$AD$5)+($M142*Lists!$AD$6),2))</f>
        <v/>
      </c>
      <c r="O142" s="103" t="str">
        <f aca="false">IF($A142="","",IFERROR(VLOOKUP($A142,'Risk Register'!$B$2:$I$1000,8,FALSE()),""))</f>
        <v/>
      </c>
      <c r="P142" s="106"/>
      <c r="Q142" s="106"/>
      <c r="R142" s="106"/>
      <c r="S142" s="106"/>
      <c r="T142" s="103" t="str">
        <f aca="false">IF(OR($B142="", $P142="", $Q142="", $R142="", $S142=""),"",ROUND(($P142*Lists!$AD$7)+($Q142*Lists!$AD$8)+($R142*Lists!$AD$9)+($S142*Lists!$AD$10),2))</f>
        <v/>
      </c>
      <c r="U142" s="106"/>
      <c r="V142" s="106"/>
      <c r="W142" s="106"/>
      <c r="X142" s="106"/>
      <c r="Y142" s="106"/>
      <c r="Z142" s="103" t="str">
        <f aca="false">IF(OR($B142="", $U142="", $V142="", $W142="", $X142="", $Y142=""),"",ROUND(($U142*Lists!$AD$11)+($V142*Lists!$AD$12)+($W142*Lists!$AD$13)+($X142*Lists!$AD$14)+($Y142*Lists!$AD$15),2))</f>
        <v/>
      </c>
      <c r="AA142" s="103" t="str">
        <f aca="false">IF(OR($B142="", $N142="", $O142="", $T142="", $Z142=""),"",ROUND(($N142*Lists!$AD$16)-($O142*Lists!$AD$17)-($T142*Lists!$AD$18)+($Z142*Lists!$AD$19),2))</f>
        <v/>
      </c>
      <c r="AB142" s="102" t="str">
        <f aca="false">IF(OR($B142="", $N142="", $Z142=""),"",IF($N142&gt;=Lists!$AG$2,IF($Z142&gt;=Lists!$AG$3,"Invest","Migrate"),IF($Z142&gt;=Lists!$AG$3,"Tolerate","Eliminate")))</f>
        <v/>
      </c>
      <c r="AC142" s="102" t="str">
        <f aca="false">IF($B142="","",IF($J142&gt;=4,"Yes",""))</f>
        <v/>
      </c>
      <c r="AD142" s="102" t="str">
        <f aca="false">IF($A142="","",IFERROR(IF(VLOOKUP($A142,'Risk Register'!$B$2:$H$1000,4,FALSE())&gt;=4,"Yes",""),""))</f>
        <v/>
      </c>
      <c r="AE142" s="102" t="str">
        <f aca="false">IF(OR($N142="", $O142=""),"",IF($N142&gt;=Lists!$AG$2,IF($O142&gt;=Lists!$AG$4,"High Value / High Risk","High Value / Low Risk"),IF($O142&gt;=Lists!$AG$4,"Low Value / High Risk","Low Value / Low Risk")))</f>
        <v/>
      </c>
      <c r="AF142" s="101"/>
      <c r="AG142" s="126"/>
      <c r="AH142" s="106" t="str">
        <f aca="false">IF($B142="","",COUNTIFS('Debt Backlog'!$AF$2:$AF$1000,$A142,'Debt Backlog'!$B$2:$B$1000,"&lt;&gt;",'Debt Backlog'!$N$2:$N$1000,"&lt;&gt;Done",'Debt Backlog'!$N$2:$N$1000,"&lt;&gt;Won't Fix",'Debt Backlog'!$N$2:$N$1000,"&lt;&gt;Duplicate"))</f>
        <v/>
      </c>
      <c r="AI142" s="103" t="str">
        <f aca="false">IF($B142="","",ROUND(SUMIFS('Debt Backlog'!$L$2:$L$1000,'Debt Backlog'!$AF$2:$AF$1000,$A142,'Debt Backlog'!$B$2:$B$1000,"&lt;&gt;",'Debt Backlog'!$N$2:$N$1000,"&lt;&gt;Done",'Debt Backlog'!$N$2:$N$1000,"&lt;&gt;Won't Fix",'Debt Backlog'!$N$2:$N$1000,"&lt;&gt;Duplicate"),2))</f>
        <v/>
      </c>
    </row>
    <row r="143" customFormat="false" ht="15.75" hidden="false" customHeight="true" outlineLevel="0" collapsed="false">
      <c r="A143" s="125"/>
      <c r="B143" s="101"/>
      <c r="C143" s="101"/>
      <c r="D143" s="101"/>
      <c r="E143" s="101"/>
      <c r="F143" s="101"/>
      <c r="G143" s="101"/>
      <c r="H143" s="101"/>
      <c r="I143" s="106"/>
      <c r="J143" s="106"/>
      <c r="K143" s="106"/>
      <c r="L143" s="106"/>
      <c r="M143" s="106"/>
      <c r="N143" s="103" t="str">
        <f aca="false">IF(OR($B143="", $I143="", $J143="", $K143="", $L143="", $M143=""),"",ROUND(($I143*Lists!$AD$2)+($J143*Lists!$AD$3)+($K143*Lists!$AD$4)+($L143*Lists!$AD$5)+($M143*Lists!$AD$6),2))</f>
        <v/>
      </c>
      <c r="O143" s="103" t="str">
        <f aca="false">IF($A143="","",IFERROR(VLOOKUP($A143,'Risk Register'!$B$2:$I$1000,8,FALSE()),""))</f>
        <v/>
      </c>
      <c r="P143" s="106"/>
      <c r="Q143" s="106"/>
      <c r="R143" s="106"/>
      <c r="S143" s="106"/>
      <c r="T143" s="103" t="str">
        <f aca="false">IF(OR($B143="", $P143="", $Q143="", $R143="", $S143=""),"",ROUND(($P143*Lists!$AD$7)+($Q143*Lists!$AD$8)+($R143*Lists!$AD$9)+($S143*Lists!$AD$10),2))</f>
        <v/>
      </c>
      <c r="U143" s="106"/>
      <c r="V143" s="106"/>
      <c r="W143" s="106"/>
      <c r="X143" s="106"/>
      <c r="Y143" s="106"/>
      <c r="Z143" s="103" t="str">
        <f aca="false">IF(OR($B143="", $U143="", $V143="", $W143="", $X143="", $Y143=""),"",ROUND(($U143*Lists!$AD$11)+($V143*Lists!$AD$12)+($W143*Lists!$AD$13)+($X143*Lists!$AD$14)+($Y143*Lists!$AD$15),2))</f>
        <v/>
      </c>
      <c r="AA143" s="103" t="str">
        <f aca="false">IF(OR($B143="", $N143="", $O143="", $T143="", $Z143=""),"",ROUND(($N143*Lists!$AD$16)-($O143*Lists!$AD$17)-($T143*Lists!$AD$18)+($Z143*Lists!$AD$19),2))</f>
        <v/>
      </c>
      <c r="AB143" s="102" t="str">
        <f aca="false">IF(OR($B143="", $N143="", $Z143=""),"",IF($N143&gt;=Lists!$AG$2,IF($Z143&gt;=Lists!$AG$3,"Invest","Migrate"),IF($Z143&gt;=Lists!$AG$3,"Tolerate","Eliminate")))</f>
        <v/>
      </c>
      <c r="AC143" s="102" t="str">
        <f aca="false">IF($B143="","",IF($J143&gt;=4,"Yes",""))</f>
        <v/>
      </c>
      <c r="AD143" s="102" t="str">
        <f aca="false">IF($A143="","",IFERROR(IF(VLOOKUP($A143,'Risk Register'!$B$2:$H$1000,4,FALSE())&gt;=4,"Yes",""),""))</f>
        <v/>
      </c>
      <c r="AE143" s="102" t="str">
        <f aca="false">IF(OR($N143="", $O143=""),"",IF($N143&gt;=Lists!$AG$2,IF($O143&gt;=Lists!$AG$4,"High Value / High Risk","High Value / Low Risk"),IF($O143&gt;=Lists!$AG$4,"Low Value / High Risk","Low Value / Low Risk")))</f>
        <v/>
      </c>
      <c r="AF143" s="101"/>
      <c r="AG143" s="126"/>
      <c r="AH143" s="106" t="str">
        <f aca="false">IF($B143="","",COUNTIFS('Debt Backlog'!$AF$2:$AF$1000,$A143,'Debt Backlog'!$B$2:$B$1000,"&lt;&gt;",'Debt Backlog'!$N$2:$N$1000,"&lt;&gt;Done",'Debt Backlog'!$N$2:$N$1000,"&lt;&gt;Won't Fix",'Debt Backlog'!$N$2:$N$1000,"&lt;&gt;Duplicate"))</f>
        <v/>
      </c>
      <c r="AI143" s="103" t="str">
        <f aca="false">IF($B143="","",ROUND(SUMIFS('Debt Backlog'!$L$2:$L$1000,'Debt Backlog'!$AF$2:$AF$1000,$A143,'Debt Backlog'!$B$2:$B$1000,"&lt;&gt;",'Debt Backlog'!$N$2:$N$1000,"&lt;&gt;Done",'Debt Backlog'!$N$2:$N$1000,"&lt;&gt;Won't Fix",'Debt Backlog'!$N$2:$N$1000,"&lt;&gt;Duplicate"),2))</f>
        <v/>
      </c>
    </row>
    <row r="144" customFormat="false" ht="15.75" hidden="false" customHeight="true" outlineLevel="0" collapsed="false">
      <c r="A144" s="125"/>
      <c r="B144" s="101"/>
      <c r="C144" s="101"/>
      <c r="D144" s="101"/>
      <c r="E144" s="101"/>
      <c r="F144" s="101"/>
      <c r="G144" s="101"/>
      <c r="H144" s="101"/>
      <c r="I144" s="106"/>
      <c r="J144" s="106"/>
      <c r="K144" s="106"/>
      <c r="L144" s="106"/>
      <c r="M144" s="106"/>
      <c r="N144" s="103" t="str">
        <f aca="false">IF(OR($B144="", $I144="", $J144="", $K144="", $L144="", $M144=""),"",ROUND(($I144*Lists!$AD$2)+($J144*Lists!$AD$3)+($K144*Lists!$AD$4)+($L144*Lists!$AD$5)+($M144*Lists!$AD$6),2))</f>
        <v/>
      </c>
      <c r="O144" s="103" t="str">
        <f aca="false">IF($A144="","",IFERROR(VLOOKUP($A144,'Risk Register'!$B$2:$I$1000,8,FALSE()),""))</f>
        <v/>
      </c>
      <c r="P144" s="106"/>
      <c r="Q144" s="106"/>
      <c r="R144" s="106"/>
      <c r="S144" s="106"/>
      <c r="T144" s="103" t="str">
        <f aca="false">IF(OR($B144="", $P144="", $Q144="", $R144="", $S144=""),"",ROUND(($P144*Lists!$AD$7)+($Q144*Lists!$AD$8)+($R144*Lists!$AD$9)+($S144*Lists!$AD$10),2))</f>
        <v/>
      </c>
      <c r="U144" s="106"/>
      <c r="V144" s="106"/>
      <c r="W144" s="106"/>
      <c r="X144" s="106"/>
      <c r="Y144" s="106"/>
      <c r="Z144" s="103" t="str">
        <f aca="false">IF(OR($B144="", $U144="", $V144="", $W144="", $X144="", $Y144=""),"",ROUND(($U144*Lists!$AD$11)+($V144*Lists!$AD$12)+($W144*Lists!$AD$13)+($X144*Lists!$AD$14)+($Y144*Lists!$AD$15),2))</f>
        <v/>
      </c>
      <c r="AA144" s="103" t="str">
        <f aca="false">IF(OR($B144="", $N144="", $O144="", $T144="", $Z144=""),"",ROUND(($N144*Lists!$AD$16)-($O144*Lists!$AD$17)-($T144*Lists!$AD$18)+($Z144*Lists!$AD$19),2))</f>
        <v/>
      </c>
      <c r="AB144" s="102" t="str">
        <f aca="false">IF(OR($B144="", $N144="", $Z144=""),"",IF($N144&gt;=Lists!$AG$2,IF($Z144&gt;=Lists!$AG$3,"Invest","Migrate"),IF($Z144&gt;=Lists!$AG$3,"Tolerate","Eliminate")))</f>
        <v/>
      </c>
      <c r="AC144" s="102" t="str">
        <f aca="false">IF($B144="","",IF($J144&gt;=4,"Yes",""))</f>
        <v/>
      </c>
      <c r="AD144" s="102" t="str">
        <f aca="false">IF($A144="","",IFERROR(IF(VLOOKUP($A144,'Risk Register'!$B$2:$H$1000,4,FALSE())&gt;=4,"Yes",""),""))</f>
        <v/>
      </c>
      <c r="AE144" s="102" t="str">
        <f aca="false">IF(OR($N144="", $O144=""),"",IF($N144&gt;=Lists!$AG$2,IF($O144&gt;=Lists!$AG$4,"High Value / High Risk","High Value / Low Risk"),IF($O144&gt;=Lists!$AG$4,"Low Value / High Risk","Low Value / Low Risk")))</f>
        <v/>
      </c>
      <c r="AF144" s="101"/>
      <c r="AG144" s="126"/>
      <c r="AH144" s="106" t="str">
        <f aca="false">IF($B144="","",COUNTIFS('Debt Backlog'!$AF$2:$AF$1000,$A144,'Debt Backlog'!$B$2:$B$1000,"&lt;&gt;",'Debt Backlog'!$N$2:$N$1000,"&lt;&gt;Done",'Debt Backlog'!$N$2:$N$1000,"&lt;&gt;Won't Fix",'Debt Backlog'!$N$2:$N$1000,"&lt;&gt;Duplicate"))</f>
        <v/>
      </c>
      <c r="AI144" s="103" t="str">
        <f aca="false">IF($B144="","",ROUND(SUMIFS('Debt Backlog'!$L$2:$L$1000,'Debt Backlog'!$AF$2:$AF$1000,$A144,'Debt Backlog'!$B$2:$B$1000,"&lt;&gt;",'Debt Backlog'!$N$2:$N$1000,"&lt;&gt;Done",'Debt Backlog'!$N$2:$N$1000,"&lt;&gt;Won't Fix",'Debt Backlog'!$N$2:$N$1000,"&lt;&gt;Duplicate"),2))</f>
        <v/>
      </c>
    </row>
    <row r="145" customFormat="false" ht="15.75" hidden="false" customHeight="true" outlineLevel="0" collapsed="false">
      <c r="A145" s="125"/>
      <c r="B145" s="101"/>
      <c r="C145" s="101"/>
      <c r="D145" s="101"/>
      <c r="E145" s="101"/>
      <c r="F145" s="101"/>
      <c r="G145" s="101"/>
      <c r="H145" s="101"/>
      <c r="I145" s="106"/>
      <c r="J145" s="106"/>
      <c r="K145" s="106"/>
      <c r="L145" s="106"/>
      <c r="M145" s="106"/>
      <c r="N145" s="103" t="str">
        <f aca="false">IF(OR($B145="", $I145="", $J145="", $K145="", $L145="", $M145=""),"",ROUND(($I145*Lists!$AD$2)+($J145*Lists!$AD$3)+($K145*Lists!$AD$4)+($L145*Lists!$AD$5)+($M145*Lists!$AD$6),2))</f>
        <v/>
      </c>
      <c r="O145" s="103" t="str">
        <f aca="false">IF($A145="","",IFERROR(VLOOKUP($A145,'Risk Register'!$B$2:$I$1000,8,FALSE()),""))</f>
        <v/>
      </c>
      <c r="P145" s="106"/>
      <c r="Q145" s="106"/>
      <c r="R145" s="106"/>
      <c r="S145" s="106"/>
      <c r="T145" s="103" t="str">
        <f aca="false">IF(OR($B145="", $P145="", $Q145="", $R145="", $S145=""),"",ROUND(($P145*Lists!$AD$7)+($Q145*Lists!$AD$8)+($R145*Lists!$AD$9)+($S145*Lists!$AD$10),2))</f>
        <v/>
      </c>
      <c r="U145" s="106"/>
      <c r="V145" s="106"/>
      <c r="W145" s="106"/>
      <c r="X145" s="106"/>
      <c r="Y145" s="106"/>
      <c r="Z145" s="103" t="str">
        <f aca="false">IF(OR($B145="", $U145="", $V145="", $W145="", $X145="", $Y145=""),"",ROUND(($U145*Lists!$AD$11)+($V145*Lists!$AD$12)+($W145*Lists!$AD$13)+($X145*Lists!$AD$14)+($Y145*Lists!$AD$15),2))</f>
        <v/>
      </c>
      <c r="AA145" s="103" t="str">
        <f aca="false">IF(OR($B145="", $N145="", $O145="", $T145="", $Z145=""),"",ROUND(($N145*Lists!$AD$16)-($O145*Lists!$AD$17)-($T145*Lists!$AD$18)+($Z145*Lists!$AD$19),2))</f>
        <v/>
      </c>
      <c r="AB145" s="102" t="str">
        <f aca="false">IF(OR($B145="", $N145="", $Z145=""),"",IF($N145&gt;=Lists!$AG$2,IF($Z145&gt;=Lists!$AG$3,"Invest","Migrate"),IF($Z145&gt;=Lists!$AG$3,"Tolerate","Eliminate")))</f>
        <v/>
      </c>
      <c r="AC145" s="102" t="str">
        <f aca="false">IF($B145="","",IF($J145&gt;=4,"Yes",""))</f>
        <v/>
      </c>
      <c r="AD145" s="102" t="str">
        <f aca="false">IF($A145="","",IFERROR(IF(VLOOKUP($A145,'Risk Register'!$B$2:$H$1000,4,FALSE())&gt;=4,"Yes",""),""))</f>
        <v/>
      </c>
      <c r="AE145" s="102" t="str">
        <f aca="false">IF(OR($N145="", $O145=""),"",IF($N145&gt;=Lists!$AG$2,IF($O145&gt;=Lists!$AG$4,"High Value / High Risk","High Value / Low Risk"),IF($O145&gt;=Lists!$AG$4,"Low Value / High Risk","Low Value / Low Risk")))</f>
        <v/>
      </c>
      <c r="AF145" s="101"/>
      <c r="AG145" s="126"/>
      <c r="AH145" s="106" t="str">
        <f aca="false">IF($B145="","",COUNTIFS('Debt Backlog'!$AF$2:$AF$1000,$A145,'Debt Backlog'!$B$2:$B$1000,"&lt;&gt;",'Debt Backlog'!$N$2:$N$1000,"&lt;&gt;Done",'Debt Backlog'!$N$2:$N$1000,"&lt;&gt;Won't Fix",'Debt Backlog'!$N$2:$N$1000,"&lt;&gt;Duplicate"))</f>
        <v/>
      </c>
      <c r="AI145" s="103" t="str">
        <f aca="false">IF($B145="","",ROUND(SUMIFS('Debt Backlog'!$L$2:$L$1000,'Debt Backlog'!$AF$2:$AF$1000,$A145,'Debt Backlog'!$B$2:$B$1000,"&lt;&gt;",'Debt Backlog'!$N$2:$N$1000,"&lt;&gt;Done",'Debt Backlog'!$N$2:$N$1000,"&lt;&gt;Won't Fix",'Debt Backlog'!$N$2:$N$1000,"&lt;&gt;Duplicate"),2))</f>
        <v/>
      </c>
    </row>
    <row r="146" customFormat="false" ht="15.75" hidden="false" customHeight="true" outlineLevel="0" collapsed="false">
      <c r="A146" s="125"/>
      <c r="B146" s="101"/>
      <c r="C146" s="101"/>
      <c r="D146" s="101"/>
      <c r="E146" s="101"/>
      <c r="F146" s="101"/>
      <c r="G146" s="101"/>
      <c r="H146" s="101"/>
      <c r="I146" s="106"/>
      <c r="J146" s="106"/>
      <c r="K146" s="106"/>
      <c r="L146" s="106"/>
      <c r="M146" s="106"/>
      <c r="N146" s="103" t="str">
        <f aca="false">IF(OR($B146="", $I146="", $J146="", $K146="", $L146="", $M146=""),"",ROUND(($I146*Lists!$AD$2)+($J146*Lists!$AD$3)+($K146*Lists!$AD$4)+($L146*Lists!$AD$5)+($M146*Lists!$AD$6),2))</f>
        <v/>
      </c>
      <c r="O146" s="103" t="str">
        <f aca="false">IF($A146="","",IFERROR(VLOOKUP($A146,'Risk Register'!$B$2:$I$1000,8,FALSE()),""))</f>
        <v/>
      </c>
      <c r="P146" s="106"/>
      <c r="Q146" s="106"/>
      <c r="R146" s="106"/>
      <c r="S146" s="106"/>
      <c r="T146" s="103" t="str">
        <f aca="false">IF(OR($B146="", $P146="", $Q146="", $R146="", $S146=""),"",ROUND(($P146*Lists!$AD$7)+($Q146*Lists!$AD$8)+($R146*Lists!$AD$9)+($S146*Lists!$AD$10),2))</f>
        <v/>
      </c>
      <c r="U146" s="106"/>
      <c r="V146" s="106"/>
      <c r="W146" s="106"/>
      <c r="X146" s="106"/>
      <c r="Y146" s="106"/>
      <c r="Z146" s="103" t="str">
        <f aca="false">IF(OR($B146="", $U146="", $V146="", $W146="", $X146="", $Y146=""),"",ROUND(($U146*Lists!$AD$11)+($V146*Lists!$AD$12)+($W146*Lists!$AD$13)+($X146*Lists!$AD$14)+($Y146*Lists!$AD$15),2))</f>
        <v/>
      </c>
      <c r="AA146" s="103" t="str">
        <f aca="false">IF(OR($B146="", $N146="", $O146="", $T146="", $Z146=""),"",ROUND(($N146*Lists!$AD$16)-($O146*Lists!$AD$17)-($T146*Lists!$AD$18)+($Z146*Lists!$AD$19),2))</f>
        <v/>
      </c>
      <c r="AB146" s="102" t="str">
        <f aca="false">IF(OR($B146="", $N146="", $Z146=""),"",IF($N146&gt;=Lists!$AG$2,IF($Z146&gt;=Lists!$AG$3,"Invest","Migrate"),IF($Z146&gt;=Lists!$AG$3,"Tolerate","Eliminate")))</f>
        <v/>
      </c>
      <c r="AC146" s="102" t="str">
        <f aca="false">IF($B146="","",IF($J146&gt;=4,"Yes",""))</f>
        <v/>
      </c>
      <c r="AD146" s="102" t="str">
        <f aca="false">IF($A146="","",IFERROR(IF(VLOOKUP($A146,'Risk Register'!$B$2:$H$1000,4,FALSE())&gt;=4,"Yes",""),""))</f>
        <v/>
      </c>
      <c r="AE146" s="102" t="str">
        <f aca="false">IF(OR($N146="", $O146=""),"",IF($N146&gt;=Lists!$AG$2,IF($O146&gt;=Lists!$AG$4,"High Value / High Risk","High Value / Low Risk"),IF($O146&gt;=Lists!$AG$4,"Low Value / High Risk","Low Value / Low Risk")))</f>
        <v/>
      </c>
      <c r="AF146" s="101"/>
      <c r="AG146" s="126"/>
      <c r="AH146" s="106" t="str">
        <f aca="false">IF($B146="","",COUNTIFS('Debt Backlog'!$AF$2:$AF$1000,$A146,'Debt Backlog'!$B$2:$B$1000,"&lt;&gt;",'Debt Backlog'!$N$2:$N$1000,"&lt;&gt;Done",'Debt Backlog'!$N$2:$N$1000,"&lt;&gt;Won't Fix",'Debt Backlog'!$N$2:$N$1000,"&lt;&gt;Duplicate"))</f>
        <v/>
      </c>
      <c r="AI146" s="103" t="str">
        <f aca="false">IF($B146="","",ROUND(SUMIFS('Debt Backlog'!$L$2:$L$1000,'Debt Backlog'!$AF$2:$AF$1000,$A146,'Debt Backlog'!$B$2:$B$1000,"&lt;&gt;",'Debt Backlog'!$N$2:$N$1000,"&lt;&gt;Done",'Debt Backlog'!$N$2:$N$1000,"&lt;&gt;Won't Fix",'Debt Backlog'!$N$2:$N$1000,"&lt;&gt;Duplicate"),2))</f>
        <v/>
      </c>
    </row>
    <row r="147" customFormat="false" ht="15.75" hidden="false" customHeight="true" outlineLevel="0" collapsed="false">
      <c r="A147" s="125"/>
      <c r="B147" s="101"/>
      <c r="C147" s="101"/>
      <c r="D147" s="101"/>
      <c r="E147" s="101"/>
      <c r="F147" s="101"/>
      <c r="G147" s="101"/>
      <c r="H147" s="101"/>
      <c r="I147" s="106"/>
      <c r="J147" s="106"/>
      <c r="K147" s="106"/>
      <c r="L147" s="106"/>
      <c r="M147" s="106"/>
      <c r="N147" s="103" t="str">
        <f aca="false">IF(OR($B147="", $I147="", $J147="", $K147="", $L147="", $M147=""),"",ROUND(($I147*Lists!$AD$2)+($J147*Lists!$AD$3)+($K147*Lists!$AD$4)+($L147*Lists!$AD$5)+($M147*Lists!$AD$6),2))</f>
        <v/>
      </c>
      <c r="O147" s="103" t="str">
        <f aca="false">IF($A147="","",IFERROR(VLOOKUP($A147,'Risk Register'!$B$2:$I$1000,8,FALSE()),""))</f>
        <v/>
      </c>
      <c r="P147" s="106"/>
      <c r="Q147" s="106"/>
      <c r="R147" s="106"/>
      <c r="S147" s="106"/>
      <c r="T147" s="103" t="str">
        <f aca="false">IF(OR($B147="", $P147="", $Q147="", $R147="", $S147=""),"",ROUND(($P147*Lists!$AD$7)+($Q147*Lists!$AD$8)+($R147*Lists!$AD$9)+($S147*Lists!$AD$10),2))</f>
        <v/>
      </c>
      <c r="U147" s="106"/>
      <c r="V147" s="106"/>
      <c r="W147" s="106"/>
      <c r="X147" s="106"/>
      <c r="Y147" s="106"/>
      <c r="Z147" s="103" t="str">
        <f aca="false">IF(OR($B147="", $U147="", $V147="", $W147="", $X147="", $Y147=""),"",ROUND(($U147*Lists!$AD$11)+($V147*Lists!$AD$12)+($W147*Lists!$AD$13)+($X147*Lists!$AD$14)+($Y147*Lists!$AD$15),2))</f>
        <v/>
      </c>
      <c r="AA147" s="103" t="str">
        <f aca="false">IF(OR($B147="", $N147="", $O147="", $T147="", $Z147=""),"",ROUND(($N147*Lists!$AD$16)-($O147*Lists!$AD$17)-($T147*Lists!$AD$18)+($Z147*Lists!$AD$19),2))</f>
        <v/>
      </c>
      <c r="AB147" s="102" t="str">
        <f aca="false">IF(OR($B147="", $N147="", $Z147=""),"",IF($N147&gt;=Lists!$AG$2,IF($Z147&gt;=Lists!$AG$3,"Invest","Migrate"),IF($Z147&gt;=Lists!$AG$3,"Tolerate","Eliminate")))</f>
        <v/>
      </c>
      <c r="AC147" s="102" t="str">
        <f aca="false">IF($B147="","",IF($J147&gt;=4,"Yes",""))</f>
        <v/>
      </c>
      <c r="AD147" s="102" t="str">
        <f aca="false">IF($A147="","",IFERROR(IF(VLOOKUP($A147,'Risk Register'!$B$2:$H$1000,4,FALSE())&gt;=4,"Yes",""),""))</f>
        <v/>
      </c>
      <c r="AE147" s="102" t="str">
        <f aca="false">IF(OR($N147="", $O147=""),"",IF($N147&gt;=Lists!$AG$2,IF($O147&gt;=Lists!$AG$4,"High Value / High Risk","High Value / Low Risk"),IF($O147&gt;=Lists!$AG$4,"Low Value / High Risk","Low Value / Low Risk")))</f>
        <v/>
      </c>
      <c r="AF147" s="101"/>
      <c r="AG147" s="126"/>
      <c r="AH147" s="106" t="str">
        <f aca="false">IF($B147="","",COUNTIFS('Debt Backlog'!$AF$2:$AF$1000,$A147,'Debt Backlog'!$B$2:$B$1000,"&lt;&gt;",'Debt Backlog'!$N$2:$N$1000,"&lt;&gt;Done",'Debt Backlog'!$N$2:$N$1000,"&lt;&gt;Won't Fix",'Debt Backlog'!$N$2:$N$1000,"&lt;&gt;Duplicate"))</f>
        <v/>
      </c>
      <c r="AI147" s="103" t="str">
        <f aca="false">IF($B147="","",ROUND(SUMIFS('Debt Backlog'!$L$2:$L$1000,'Debt Backlog'!$AF$2:$AF$1000,$A147,'Debt Backlog'!$B$2:$B$1000,"&lt;&gt;",'Debt Backlog'!$N$2:$N$1000,"&lt;&gt;Done",'Debt Backlog'!$N$2:$N$1000,"&lt;&gt;Won't Fix",'Debt Backlog'!$N$2:$N$1000,"&lt;&gt;Duplicate"),2))</f>
        <v/>
      </c>
    </row>
    <row r="148" customFormat="false" ht="15.75" hidden="false" customHeight="true" outlineLevel="0" collapsed="false">
      <c r="A148" s="125"/>
      <c r="B148" s="101"/>
      <c r="C148" s="101"/>
      <c r="D148" s="101"/>
      <c r="E148" s="101"/>
      <c r="F148" s="101"/>
      <c r="G148" s="101"/>
      <c r="H148" s="101"/>
      <c r="I148" s="106"/>
      <c r="J148" s="106"/>
      <c r="K148" s="106"/>
      <c r="L148" s="106"/>
      <c r="M148" s="106"/>
      <c r="N148" s="103" t="str">
        <f aca="false">IF(OR($B148="", $I148="", $J148="", $K148="", $L148="", $M148=""),"",ROUND(($I148*Lists!$AD$2)+($J148*Lists!$AD$3)+($K148*Lists!$AD$4)+($L148*Lists!$AD$5)+($M148*Lists!$AD$6),2))</f>
        <v/>
      </c>
      <c r="O148" s="103" t="str">
        <f aca="false">IF($A148="","",IFERROR(VLOOKUP($A148,'Risk Register'!$B$2:$I$1000,8,FALSE()),""))</f>
        <v/>
      </c>
      <c r="P148" s="106"/>
      <c r="Q148" s="106"/>
      <c r="R148" s="106"/>
      <c r="S148" s="106"/>
      <c r="T148" s="103" t="str">
        <f aca="false">IF(OR($B148="", $P148="", $Q148="", $R148="", $S148=""),"",ROUND(($P148*Lists!$AD$7)+($Q148*Lists!$AD$8)+($R148*Lists!$AD$9)+($S148*Lists!$AD$10),2))</f>
        <v/>
      </c>
      <c r="U148" s="106"/>
      <c r="V148" s="106"/>
      <c r="W148" s="106"/>
      <c r="X148" s="106"/>
      <c r="Y148" s="106"/>
      <c r="Z148" s="103" t="str">
        <f aca="false">IF(OR($B148="", $U148="", $V148="", $W148="", $X148="", $Y148=""),"",ROUND(($U148*Lists!$AD$11)+($V148*Lists!$AD$12)+($W148*Lists!$AD$13)+($X148*Lists!$AD$14)+($Y148*Lists!$AD$15),2))</f>
        <v/>
      </c>
      <c r="AA148" s="103" t="str">
        <f aca="false">IF(OR($B148="", $N148="", $O148="", $T148="", $Z148=""),"",ROUND(($N148*Lists!$AD$16)-($O148*Lists!$AD$17)-($T148*Lists!$AD$18)+($Z148*Lists!$AD$19),2))</f>
        <v/>
      </c>
      <c r="AB148" s="102" t="str">
        <f aca="false">IF(OR($B148="", $N148="", $Z148=""),"",IF($N148&gt;=Lists!$AG$2,IF($Z148&gt;=Lists!$AG$3,"Invest","Migrate"),IF($Z148&gt;=Lists!$AG$3,"Tolerate","Eliminate")))</f>
        <v/>
      </c>
      <c r="AC148" s="102" t="str">
        <f aca="false">IF($B148="","",IF($J148&gt;=4,"Yes",""))</f>
        <v/>
      </c>
      <c r="AD148" s="102" t="str">
        <f aca="false">IF($A148="","",IFERROR(IF(VLOOKUP($A148,'Risk Register'!$B$2:$H$1000,4,FALSE())&gt;=4,"Yes",""),""))</f>
        <v/>
      </c>
      <c r="AE148" s="102" t="str">
        <f aca="false">IF(OR($N148="", $O148=""),"",IF($N148&gt;=Lists!$AG$2,IF($O148&gt;=Lists!$AG$4,"High Value / High Risk","High Value / Low Risk"),IF($O148&gt;=Lists!$AG$4,"Low Value / High Risk","Low Value / Low Risk")))</f>
        <v/>
      </c>
      <c r="AF148" s="101"/>
      <c r="AG148" s="126"/>
      <c r="AH148" s="106" t="str">
        <f aca="false">IF($B148="","",COUNTIFS('Debt Backlog'!$AF$2:$AF$1000,$A148,'Debt Backlog'!$B$2:$B$1000,"&lt;&gt;",'Debt Backlog'!$N$2:$N$1000,"&lt;&gt;Done",'Debt Backlog'!$N$2:$N$1000,"&lt;&gt;Won't Fix",'Debt Backlog'!$N$2:$N$1000,"&lt;&gt;Duplicate"))</f>
        <v/>
      </c>
      <c r="AI148" s="103" t="str">
        <f aca="false">IF($B148="","",ROUND(SUMIFS('Debt Backlog'!$L$2:$L$1000,'Debt Backlog'!$AF$2:$AF$1000,$A148,'Debt Backlog'!$B$2:$B$1000,"&lt;&gt;",'Debt Backlog'!$N$2:$N$1000,"&lt;&gt;Done",'Debt Backlog'!$N$2:$N$1000,"&lt;&gt;Won't Fix",'Debt Backlog'!$N$2:$N$1000,"&lt;&gt;Duplicate"),2))</f>
        <v/>
      </c>
    </row>
    <row r="149" customFormat="false" ht="15.75" hidden="false" customHeight="true" outlineLevel="0" collapsed="false">
      <c r="A149" s="125"/>
      <c r="B149" s="101"/>
      <c r="C149" s="101"/>
      <c r="D149" s="101"/>
      <c r="E149" s="101"/>
      <c r="F149" s="101"/>
      <c r="G149" s="101"/>
      <c r="H149" s="101"/>
      <c r="I149" s="106"/>
      <c r="J149" s="106"/>
      <c r="K149" s="106"/>
      <c r="L149" s="106"/>
      <c r="M149" s="106"/>
      <c r="N149" s="103" t="str">
        <f aca="false">IF(OR($B149="", $I149="", $J149="", $K149="", $L149="", $M149=""),"",ROUND(($I149*Lists!$AD$2)+($J149*Lists!$AD$3)+($K149*Lists!$AD$4)+($L149*Lists!$AD$5)+($M149*Lists!$AD$6),2))</f>
        <v/>
      </c>
      <c r="O149" s="103" t="str">
        <f aca="false">IF($A149="","",IFERROR(VLOOKUP($A149,'Risk Register'!$B$2:$I$1000,8,FALSE()),""))</f>
        <v/>
      </c>
      <c r="P149" s="106"/>
      <c r="Q149" s="106"/>
      <c r="R149" s="106"/>
      <c r="S149" s="106"/>
      <c r="T149" s="103" t="str">
        <f aca="false">IF(OR($B149="", $P149="", $Q149="", $R149="", $S149=""),"",ROUND(($P149*Lists!$AD$7)+($Q149*Lists!$AD$8)+($R149*Lists!$AD$9)+($S149*Lists!$AD$10),2))</f>
        <v/>
      </c>
      <c r="U149" s="106"/>
      <c r="V149" s="106"/>
      <c r="W149" s="106"/>
      <c r="X149" s="106"/>
      <c r="Y149" s="106"/>
      <c r="Z149" s="103" t="str">
        <f aca="false">IF(OR($B149="", $U149="", $V149="", $W149="", $X149="", $Y149=""),"",ROUND(($U149*Lists!$AD$11)+($V149*Lists!$AD$12)+($W149*Lists!$AD$13)+($X149*Lists!$AD$14)+($Y149*Lists!$AD$15),2))</f>
        <v/>
      </c>
      <c r="AA149" s="103" t="str">
        <f aca="false">IF(OR($B149="", $N149="", $O149="", $T149="", $Z149=""),"",ROUND(($N149*Lists!$AD$16)-($O149*Lists!$AD$17)-($T149*Lists!$AD$18)+($Z149*Lists!$AD$19),2))</f>
        <v/>
      </c>
      <c r="AB149" s="102" t="str">
        <f aca="false">IF(OR($B149="", $N149="", $Z149=""),"",IF($N149&gt;=Lists!$AG$2,IF($Z149&gt;=Lists!$AG$3,"Invest","Migrate"),IF($Z149&gt;=Lists!$AG$3,"Tolerate","Eliminate")))</f>
        <v/>
      </c>
      <c r="AC149" s="102" t="str">
        <f aca="false">IF($B149="","",IF($J149&gt;=4,"Yes",""))</f>
        <v/>
      </c>
      <c r="AD149" s="102" t="str">
        <f aca="false">IF($A149="","",IFERROR(IF(VLOOKUP($A149,'Risk Register'!$B$2:$H$1000,4,FALSE())&gt;=4,"Yes",""),""))</f>
        <v/>
      </c>
      <c r="AE149" s="102" t="str">
        <f aca="false">IF(OR($N149="", $O149=""),"",IF($N149&gt;=Lists!$AG$2,IF($O149&gt;=Lists!$AG$4,"High Value / High Risk","High Value / Low Risk"),IF($O149&gt;=Lists!$AG$4,"Low Value / High Risk","Low Value / Low Risk")))</f>
        <v/>
      </c>
      <c r="AF149" s="101"/>
      <c r="AG149" s="126"/>
      <c r="AH149" s="106" t="str">
        <f aca="false">IF($B149="","",COUNTIFS('Debt Backlog'!$AF$2:$AF$1000,$A149,'Debt Backlog'!$B$2:$B$1000,"&lt;&gt;",'Debt Backlog'!$N$2:$N$1000,"&lt;&gt;Done",'Debt Backlog'!$N$2:$N$1000,"&lt;&gt;Won't Fix",'Debt Backlog'!$N$2:$N$1000,"&lt;&gt;Duplicate"))</f>
        <v/>
      </c>
      <c r="AI149" s="103" t="str">
        <f aca="false">IF($B149="","",ROUND(SUMIFS('Debt Backlog'!$L$2:$L$1000,'Debt Backlog'!$AF$2:$AF$1000,$A149,'Debt Backlog'!$B$2:$B$1000,"&lt;&gt;",'Debt Backlog'!$N$2:$N$1000,"&lt;&gt;Done",'Debt Backlog'!$N$2:$N$1000,"&lt;&gt;Won't Fix",'Debt Backlog'!$N$2:$N$1000,"&lt;&gt;Duplicate"),2))</f>
        <v/>
      </c>
    </row>
    <row r="150" customFormat="false" ht="15.75" hidden="false" customHeight="true" outlineLevel="0" collapsed="false">
      <c r="A150" s="125"/>
      <c r="B150" s="101"/>
      <c r="C150" s="101"/>
      <c r="D150" s="101"/>
      <c r="E150" s="101"/>
      <c r="F150" s="101"/>
      <c r="G150" s="101"/>
      <c r="H150" s="101"/>
      <c r="I150" s="106"/>
      <c r="J150" s="106"/>
      <c r="K150" s="106"/>
      <c r="L150" s="106"/>
      <c r="M150" s="106"/>
      <c r="N150" s="103" t="str">
        <f aca="false">IF(OR($B150="", $I150="", $J150="", $K150="", $L150="", $M150=""),"",ROUND(($I150*Lists!$AD$2)+($J150*Lists!$AD$3)+($K150*Lists!$AD$4)+($L150*Lists!$AD$5)+($M150*Lists!$AD$6),2))</f>
        <v/>
      </c>
      <c r="O150" s="103" t="str">
        <f aca="false">IF($A150="","",IFERROR(VLOOKUP($A150,'Risk Register'!$B$2:$I$1000,8,FALSE()),""))</f>
        <v/>
      </c>
      <c r="P150" s="106"/>
      <c r="Q150" s="106"/>
      <c r="R150" s="106"/>
      <c r="S150" s="106"/>
      <c r="T150" s="103" t="str">
        <f aca="false">IF(OR($B150="", $P150="", $Q150="", $R150="", $S150=""),"",ROUND(($P150*Lists!$AD$7)+($Q150*Lists!$AD$8)+($R150*Lists!$AD$9)+($S150*Lists!$AD$10),2))</f>
        <v/>
      </c>
      <c r="U150" s="106"/>
      <c r="V150" s="106"/>
      <c r="W150" s="106"/>
      <c r="X150" s="106"/>
      <c r="Y150" s="106"/>
      <c r="Z150" s="103" t="str">
        <f aca="false">IF(OR($B150="", $U150="", $V150="", $W150="", $X150="", $Y150=""),"",ROUND(($U150*Lists!$AD$11)+($V150*Lists!$AD$12)+($W150*Lists!$AD$13)+($X150*Lists!$AD$14)+($Y150*Lists!$AD$15),2))</f>
        <v/>
      </c>
      <c r="AA150" s="103" t="str">
        <f aca="false">IF(OR($B150="", $N150="", $O150="", $T150="", $Z150=""),"",ROUND(($N150*Lists!$AD$16)-($O150*Lists!$AD$17)-($T150*Lists!$AD$18)+($Z150*Lists!$AD$19),2))</f>
        <v/>
      </c>
      <c r="AB150" s="102" t="str">
        <f aca="false">IF(OR($B150="", $N150="", $Z150=""),"",IF($N150&gt;=Lists!$AG$2,IF($Z150&gt;=Lists!$AG$3,"Invest","Migrate"),IF($Z150&gt;=Lists!$AG$3,"Tolerate","Eliminate")))</f>
        <v/>
      </c>
      <c r="AC150" s="102" t="str">
        <f aca="false">IF($B150="","",IF($J150&gt;=4,"Yes",""))</f>
        <v/>
      </c>
      <c r="AD150" s="102" t="str">
        <f aca="false">IF($A150="","",IFERROR(IF(VLOOKUP($A150,'Risk Register'!$B$2:$H$1000,4,FALSE())&gt;=4,"Yes",""),""))</f>
        <v/>
      </c>
      <c r="AE150" s="102" t="str">
        <f aca="false">IF(OR($N150="", $O150=""),"",IF($N150&gt;=Lists!$AG$2,IF($O150&gt;=Lists!$AG$4,"High Value / High Risk","High Value / Low Risk"),IF($O150&gt;=Lists!$AG$4,"Low Value / High Risk","Low Value / Low Risk")))</f>
        <v/>
      </c>
      <c r="AF150" s="101"/>
      <c r="AG150" s="126"/>
      <c r="AH150" s="106" t="str">
        <f aca="false">IF($B150="","",COUNTIFS('Debt Backlog'!$AF$2:$AF$1000,$A150,'Debt Backlog'!$B$2:$B$1000,"&lt;&gt;",'Debt Backlog'!$N$2:$N$1000,"&lt;&gt;Done",'Debt Backlog'!$N$2:$N$1000,"&lt;&gt;Won't Fix",'Debt Backlog'!$N$2:$N$1000,"&lt;&gt;Duplicate"))</f>
        <v/>
      </c>
      <c r="AI150" s="103" t="str">
        <f aca="false">IF($B150="","",ROUND(SUMIFS('Debt Backlog'!$L$2:$L$1000,'Debt Backlog'!$AF$2:$AF$1000,$A150,'Debt Backlog'!$B$2:$B$1000,"&lt;&gt;",'Debt Backlog'!$N$2:$N$1000,"&lt;&gt;Done",'Debt Backlog'!$N$2:$N$1000,"&lt;&gt;Won't Fix",'Debt Backlog'!$N$2:$N$1000,"&lt;&gt;Duplicate"),2))</f>
        <v/>
      </c>
    </row>
    <row r="151" customFormat="false" ht="15.75" hidden="false" customHeight="true" outlineLevel="0" collapsed="false">
      <c r="A151" s="125"/>
      <c r="B151" s="101"/>
      <c r="C151" s="101"/>
      <c r="D151" s="101"/>
      <c r="E151" s="101"/>
      <c r="F151" s="101"/>
      <c r="G151" s="101"/>
      <c r="H151" s="101"/>
      <c r="I151" s="106"/>
      <c r="J151" s="106"/>
      <c r="K151" s="106"/>
      <c r="L151" s="106"/>
      <c r="M151" s="106"/>
      <c r="N151" s="103" t="str">
        <f aca="false">IF(OR($B151="", $I151="", $J151="", $K151="", $L151="", $M151=""),"",ROUND(($I151*Lists!$AD$2)+($J151*Lists!$AD$3)+($K151*Lists!$AD$4)+($L151*Lists!$AD$5)+($M151*Lists!$AD$6),2))</f>
        <v/>
      </c>
      <c r="O151" s="103" t="str">
        <f aca="false">IF($A151="","",IFERROR(VLOOKUP($A151,'Risk Register'!$B$2:$I$1000,8,FALSE()),""))</f>
        <v/>
      </c>
      <c r="P151" s="106"/>
      <c r="Q151" s="106"/>
      <c r="R151" s="106"/>
      <c r="S151" s="106"/>
      <c r="T151" s="103" t="str">
        <f aca="false">IF(OR($B151="", $P151="", $Q151="", $R151="", $S151=""),"",ROUND(($P151*Lists!$AD$7)+($Q151*Lists!$AD$8)+($R151*Lists!$AD$9)+($S151*Lists!$AD$10),2))</f>
        <v/>
      </c>
      <c r="U151" s="106"/>
      <c r="V151" s="106"/>
      <c r="W151" s="106"/>
      <c r="X151" s="106"/>
      <c r="Y151" s="106"/>
      <c r="Z151" s="103" t="str">
        <f aca="false">IF(OR($B151="", $U151="", $V151="", $W151="", $X151="", $Y151=""),"",ROUND(($U151*Lists!$AD$11)+($V151*Lists!$AD$12)+($W151*Lists!$AD$13)+($X151*Lists!$AD$14)+($Y151*Lists!$AD$15),2))</f>
        <v/>
      </c>
      <c r="AA151" s="103" t="str">
        <f aca="false">IF(OR($B151="", $N151="", $O151="", $T151="", $Z151=""),"",ROUND(($N151*Lists!$AD$16)-($O151*Lists!$AD$17)-($T151*Lists!$AD$18)+($Z151*Lists!$AD$19),2))</f>
        <v/>
      </c>
      <c r="AB151" s="102" t="str">
        <f aca="false">IF(OR($B151="", $N151="", $Z151=""),"",IF($N151&gt;=Lists!$AG$2,IF($Z151&gt;=Lists!$AG$3,"Invest","Migrate"),IF($Z151&gt;=Lists!$AG$3,"Tolerate","Eliminate")))</f>
        <v/>
      </c>
      <c r="AC151" s="102" t="str">
        <f aca="false">IF($B151="","",IF($J151&gt;=4,"Yes",""))</f>
        <v/>
      </c>
      <c r="AD151" s="102" t="str">
        <f aca="false">IF($A151="","",IFERROR(IF(VLOOKUP($A151,'Risk Register'!$B$2:$H$1000,4,FALSE())&gt;=4,"Yes",""),""))</f>
        <v/>
      </c>
      <c r="AE151" s="102" t="str">
        <f aca="false">IF(OR($N151="", $O151=""),"",IF($N151&gt;=Lists!$AG$2,IF($O151&gt;=Lists!$AG$4,"High Value / High Risk","High Value / Low Risk"),IF($O151&gt;=Lists!$AG$4,"Low Value / High Risk","Low Value / Low Risk")))</f>
        <v/>
      </c>
      <c r="AF151" s="101"/>
      <c r="AG151" s="126"/>
      <c r="AH151" s="106" t="str">
        <f aca="false">IF($B151="","",COUNTIFS('Debt Backlog'!$AF$2:$AF$1000,$A151,'Debt Backlog'!$B$2:$B$1000,"&lt;&gt;",'Debt Backlog'!$N$2:$N$1000,"&lt;&gt;Done",'Debt Backlog'!$N$2:$N$1000,"&lt;&gt;Won't Fix",'Debt Backlog'!$N$2:$N$1000,"&lt;&gt;Duplicate"))</f>
        <v/>
      </c>
      <c r="AI151" s="103" t="str">
        <f aca="false">IF($B151="","",ROUND(SUMIFS('Debt Backlog'!$L$2:$L$1000,'Debt Backlog'!$AF$2:$AF$1000,$A151,'Debt Backlog'!$B$2:$B$1000,"&lt;&gt;",'Debt Backlog'!$N$2:$N$1000,"&lt;&gt;Done",'Debt Backlog'!$N$2:$N$1000,"&lt;&gt;Won't Fix",'Debt Backlog'!$N$2:$N$1000,"&lt;&gt;Duplicate"),2))</f>
        <v/>
      </c>
    </row>
    <row r="152" customFormat="false" ht="15.75" hidden="false" customHeight="true" outlineLevel="0" collapsed="false">
      <c r="A152" s="125"/>
      <c r="B152" s="101"/>
      <c r="C152" s="101"/>
      <c r="D152" s="101"/>
      <c r="E152" s="101"/>
      <c r="F152" s="101"/>
      <c r="G152" s="101"/>
      <c r="H152" s="101"/>
      <c r="I152" s="106"/>
      <c r="J152" s="106"/>
      <c r="K152" s="106"/>
      <c r="L152" s="106"/>
      <c r="M152" s="106"/>
      <c r="N152" s="103" t="str">
        <f aca="false">IF(OR($B152="", $I152="", $J152="", $K152="", $L152="", $M152=""),"",ROUND(($I152*Lists!$AD$2)+($J152*Lists!$AD$3)+($K152*Lists!$AD$4)+($L152*Lists!$AD$5)+($M152*Lists!$AD$6),2))</f>
        <v/>
      </c>
      <c r="O152" s="103" t="str">
        <f aca="false">IF($A152="","",IFERROR(VLOOKUP($A152,'Risk Register'!$B$2:$I$1000,8,FALSE()),""))</f>
        <v/>
      </c>
      <c r="P152" s="106"/>
      <c r="Q152" s="106"/>
      <c r="R152" s="106"/>
      <c r="S152" s="106"/>
      <c r="T152" s="103" t="str">
        <f aca="false">IF(OR($B152="", $P152="", $Q152="", $R152="", $S152=""),"",ROUND(($P152*Lists!$AD$7)+($Q152*Lists!$AD$8)+($R152*Lists!$AD$9)+($S152*Lists!$AD$10),2))</f>
        <v/>
      </c>
      <c r="U152" s="106"/>
      <c r="V152" s="106"/>
      <c r="W152" s="106"/>
      <c r="X152" s="106"/>
      <c r="Y152" s="106"/>
      <c r="Z152" s="103" t="str">
        <f aca="false">IF(OR($B152="", $U152="", $V152="", $W152="", $X152="", $Y152=""),"",ROUND(($U152*Lists!$AD$11)+($V152*Lists!$AD$12)+($W152*Lists!$AD$13)+($X152*Lists!$AD$14)+($Y152*Lists!$AD$15),2))</f>
        <v/>
      </c>
      <c r="AA152" s="103" t="str">
        <f aca="false">IF(OR($B152="", $N152="", $O152="", $T152="", $Z152=""),"",ROUND(($N152*Lists!$AD$16)-($O152*Lists!$AD$17)-($T152*Lists!$AD$18)+($Z152*Lists!$AD$19),2))</f>
        <v/>
      </c>
      <c r="AB152" s="102" t="str">
        <f aca="false">IF(OR($B152="", $N152="", $Z152=""),"",IF($N152&gt;=Lists!$AG$2,IF($Z152&gt;=Lists!$AG$3,"Invest","Migrate"),IF($Z152&gt;=Lists!$AG$3,"Tolerate","Eliminate")))</f>
        <v/>
      </c>
      <c r="AC152" s="102" t="str">
        <f aca="false">IF($B152="","",IF($J152&gt;=4,"Yes",""))</f>
        <v/>
      </c>
      <c r="AD152" s="102" t="str">
        <f aca="false">IF($A152="","",IFERROR(IF(VLOOKUP($A152,'Risk Register'!$B$2:$H$1000,4,FALSE())&gt;=4,"Yes",""),""))</f>
        <v/>
      </c>
      <c r="AE152" s="102" t="str">
        <f aca="false">IF(OR($N152="", $O152=""),"",IF($N152&gt;=Lists!$AG$2,IF($O152&gt;=Lists!$AG$4,"High Value / High Risk","High Value / Low Risk"),IF($O152&gt;=Lists!$AG$4,"Low Value / High Risk","Low Value / Low Risk")))</f>
        <v/>
      </c>
      <c r="AF152" s="101"/>
      <c r="AG152" s="126"/>
      <c r="AH152" s="106" t="str">
        <f aca="false">IF($B152="","",COUNTIFS('Debt Backlog'!$AF$2:$AF$1000,$A152,'Debt Backlog'!$B$2:$B$1000,"&lt;&gt;",'Debt Backlog'!$N$2:$N$1000,"&lt;&gt;Done",'Debt Backlog'!$N$2:$N$1000,"&lt;&gt;Won't Fix",'Debt Backlog'!$N$2:$N$1000,"&lt;&gt;Duplicate"))</f>
        <v/>
      </c>
      <c r="AI152" s="103" t="str">
        <f aca="false">IF($B152="","",ROUND(SUMIFS('Debt Backlog'!$L$2:$L$1000,'Debt Backlog'!$AF$2:$AF$1000,$A152,'Debt Backlog'!$B$2:$B$1000,"&lt;&gt;",'Debt Backlog'!$N$2:$N$1000,"&lt;&gt;Done",'Debt Backlog'!$N$2:$N$1000,"&lt;&gt;Won't Fix",'Debt Backlog'!$N$2:$N$1000,"&lt;&gt;Duplicate"),2))</f>
        <v/>
      </c>
    </row>
    <row r="153" customFormat="false" ht="15.75" hidden="false" customHeight="true" outlineLevel="0" collapsed="false">
      <c r="A153" s="125"/>
      <c r="B153" s="101"/>
      <c r="C153" s="101"/>
      <c r="D153" s="101"/>
      <c r="E153" s="101"/>
      <c r="F153" s="101"/>
      <c r="G153" s="101"/>
      <c r="H153" s="101"/>
      <c r="I153" s="106"/>
      <c r="J153" s="106"/>
      <c r="K153" s="106"/>
      <c r="L153" s="106"/>
      <c r="M153" s="106"/>
      <c r="N153" s="103" t="str">
        <f aca="false">IF(OR($B153="", $I153="", $J153="", $K153="", $L153="", $M153=""),"",ROUND(($I153*Lists!$AD$2)+($J153*Lists!$AD$3)+($K153*Lists!$AD$4)+($L153*Lists!$AD$5)+($M153*Lists!$AD$6),2))</f>
        <v/>
      </c>
      <c r="O153" s="103" t="str">
        <f aca="false">IF($A153="","",IFERROR(VLOOKUP($A153,'Risk Register'!$B$2:$I$1000,8,FALSE()),""))</f>
        <v/>
      </c>
      <c r="P153" s="106"/>
      <c r="Q153" s="106"/>
      <c r="R153" s="106"/>
      <c r="S153" s="106"/>
      <c r="T153" s="103" t="str">
        <f aca="false">IF(OR($B153="", $P153="", $Q153="", $R153="", $S153=""),"",ROUND(($P153*Lists!$AD$7)+($Q153*Lists!$AD$8)+($R153*Lists!$AD$9)+($S153*Lists!$AD$10),2))</f>
        <v/>
      </c>
      <c r="U153" s="106"/>
      <c r="V153" s="106"/>
      <c r="W153" s="106"/>
      <c r="X153" s="106"/>
      <c r="Y153" s="106"/>
      <c r="Z153" s="103" t="str">
        <f aca="false">IF(OR($B153="", $U153="", $V153="", $W153="", $X153="", $Y153=""),"",ROUND(($U153*Lists!$AD$11)+($V153*Lists!$AD$12)+($W153*Lists!$AD$13)+($X153*Lists!$AD$14)+($Y153*Lists!$AD$15),2))</f>
        <v/>
      </c>
      <c r="AA153" s="103" t="str">
        <f aca="false">IF(OR($B153="", $N153="", $O153="", $T153="", $Z153=""),"",ROUND(($N153*Lists!$AD$16)-($O153*Lists!$AD$17)-($T153*Lists!$AD$18)+($Z153*Lists!$AD$19),2))</f>
        <v/>
      </c>
      <c r="AB153" s="102" t="str">
        <f aca="false">IF(OR($B153="", $N153="", $Z153=""),"",IF($N153&gt;=Lists!$AG$2,IF($Z153&gt;=Lists!$AG$3,"Invest","Migrate"),IF($Z153&gt;=Lists!$AG$3,"Tolerate","Eliminate")))</f>
        <v/>
      </c>
      <c r="AC153" s="102" t="str">
        <f aca="false">IF($B153="","",IF($J153&gt;=4,"Yes",""))</f>
        <v/>
      </c>
      <c r="AD153" s="102" t="str">
        <f aca="false">IF($A153="","",IFERROR(IF(VLOOKUP($A153,'Risk Register'!$B$2:$H$1000,4,FALSE())&gt;=4,"Yes",""),""))</f>
        <v/>
      </c>
      <c r="AE153" s="102" t="str">
        <f aca="false">IF(OR($N153="", $O153=""),"",IF($N153&gt;=Lists!$AG$2,IF($O153&gt;=Lists!$AG$4,"High Value / High Risk","High Value / Low Risk"),IF($O153&gt;=Lists!$AG$4,"Low Value / High Risk","Low Value / Low Risk")))</f>
        <v/>
      </c>
      <c r="AF153" s="101"/>
      <c r="AG153" s="126"/>
      <c r="AH153" s="106" t="str">
        <f aca="false">IF($B153="","",COUNTIFS('Debt Backlog'!$AF$2:$AF$1000,$A153,'Debt Backlog'!$B$2:$B$1000,"&lt;&gt;",'Debt Backlog'!$N$2:$N$1000,"&lt;&gt;Done",'Debt Backlog'!$N$2:$N$1000,"&lt;&gt;Won't Fix",'Debt Backlog'!$N$2:$N$1000,"&lt;&gt;Duplicate"))</f>
        <v/>
      </c>
      <c r="AI153" s="103" t="str">
        <f aca="false">IF($B153="","",ROUND(SUMIFS('Debt Backlog'!$L$2:$L$1000,'Debt Backlog'!$AF$2:$AF$1000,$A153,'Debt Backlog'!$B$2:$B$1000,"&lt;&gt;",'Debt Backlog'!$N$2:$N$1000,"&lt;&gt;Done",'Debt Backlog'!$N$2:$N$1000,"&lt;&gt;Won't Fix",'Debt Backlog'!$N$2:$N$1000,"&lt;&gt;Duplicate"),2))</f>
        <v/>
      </c>
    </row>
    <row r="154" customFormat="false" ht="15.75" hidden="false" customHeight="true" outlineLevel="0" collapsed="false">
      <c r="A154" s="125"/>
      <c r="B154" s="101"/>
      <c r="C154" s="101"/>
      <c r="D154" s="101"/>
      <c r="E154" s="101"/>
      <c r="F154" s="101"/>
      <c r="G154" s="101"/>
      <c r="H154" s="101"/>
      <c r="I154" s="106"/>
      <c r="J154" s="106"/>
      <c r="K154" s="106"/>
      <c r="L154" s="106"/>
      <c r="M154" s="106"/>
      <c r="N154" s="103" t="str">
        <f aca="false">IF(OR($B154="", $I154="", $J154="", $K154="", $L154="", $M154=""),"",ROUND(($I154*Lists!$AD$2)+($J154*Lists!$AD$3)+($K154*Lists!$AD$4)+($L154*Lists!$AD$5)+($M154*Lists!$AD$6),2))</f>
        <v/>
      </c>
      <c r="O154" s="103" t="str">
        <f aca="false">IF($A154="","",IFERROR(VLOOKUP($A154,'Risk Register'!$B$2:$I$1000,8,FALSE()),""))</f>
        <v/>
      </c>
      <c r="P154" s="106"/>
      <c r="Q154" s="106"/>
      <c r="R154" s="106"/>
      <c r="S154" s="106"/>
      <c r="T154" s="103" t="str">
        <f aca="false">IF(OR($B154="", $P154="", $Q154="", $R154="", $S154=""),"",ROUND(($P154*Lists!$AD$7)+($Q154*Lists!$AD$8)+($R154*Lists!$AD$9)+($S154*Lists!$AD$10),2))</f>
        <v/>
      </c>
      <c r="U154" s="106"/>
      <c r="V154" s="106"/>
      <c r="W154" s="106"/>
      <c r="X154" s="106"/>
      <c r="Y154" s="106"/>
      <c r="Z154" s="103" t="str">
        <f aca="false">IF(OR($B154="", $U154="", $V154="", $W154="", $X154="", $Y154=""),"",ROUND(($U154*Lists!$AD$11)+($V154*Lists!$AD$12)+($W154*Lists!$AD$13)+($X154*Lists!$AD$14)+($Y154*Lists!$AD$15),2))</f>
        <v/>
      </c>
      <c r="AA154" s="103" t="str">
        <f aca="false">IF(OR($B154="", $N154="", $O154="", $T154="", $Z154=""),"",ROUND(($N154*Lists!$AD$16)-($O154*Lists!$AD$17)-($T154*Lists!$AD$18)+($Z154*Lists!$AD$19),2))</f>
        <v/>
      </c>
      <c r="AB154" s="102" t="str">
        <f aca="false">IF(OR($B154="", $N154="", $Z154=""),"",IF($N154&gt;=Lists!$AG$2,IF($Z154&gt;=Lists!$AG$3,"Invest","Migrate"),IF($Z154&gt;=Lists!$AG$3,"Tolerate","Eliminate")))</f>
        <v/>
      </c>
      <c r="AC154" s="102" t="str">
        <f aca="false">IF($B154="","",IF($J154&gt;=4,"Yes",""))</f>
        <v/>
      </c>
      <c r="AD154" s="102" t="str">
        <f aca="false">IF($A154="","",IFERROR(IF(VLOOKUP($A154,'Risk Register'!$B$2:$H$1000,4,FALSE())&gt;=4,"Yes",""),""))</f>
        <v/>
      </c>
      <c r="AE154" s="102" t="str">
        <f aca="false">IF(OR($N154="", $O154=""),"",IF($N154&gt;=Lists!$AG$2,IF($O154&gt;=Lists!$AG$4,"High Value / High Risk","High Value / Low Risk"),IF($O154&gt;=Lists!$AG$4,"Low Value / High Risk","Low Value / Low Risk")))</f>
        <v/>
      </c>
      <c r="AF154" s="101"/>
      <c r="AG154" s="126"/>
      <c r="AH154" s="106" t="str">
        <f aca="false">IF($B154="","",COUNTIFS('Debt Backlog'!$AF$2:$AF$1000,$A154,'Debt Backlog'!$B$2:$B$1000,"&lt;&gt;",'Debt Backlog'!$N$2:$N$1000,"&lt;&gt;Done",'Debt Backlog'!$N$2:$N$1000,"&lt;&gt;Won't Fix",'Debt Backlog'!$N$2:$N$1000,"&lt;&gt;Duplicate"))</f>
        <v/>
      </c>
      <c r="AI154" s="103" t="str">
        <f aca="false">IF($B154="","",ROUND(SUMIFS('Debt Backlog'!$L$2:$L$1000,'Debt Backlog'!$AF$2:$AF$1000,$A154,'Debt Backlog'!$B$2:$B$1000,"&lt;&gt;",'Debt Backlog'!$N$2:$N$1000,"&lt;&gt;Done",'Debt Backlog'!$N$2:$N$1000,"&lt;&gt;Won't Fix",'Debt Backlog'!$N$2:$N$1000,"&lt;&gt;Duplicate"),2))</f>
        <v/>
      </c>
    </row>
    <row r="155" customFormat="false" ht="15.75" hidden="false" customHeight="true" outlineLevel="0" collapsed="false">
      <c r="A155" s="125"/>
      <c r="B155" s="101"/>
      <c r="C155" s="101"/>
      <c r="D155" s="101"/>
      <c r="E155" s="101"/>
      <c r="F155" s="101"/>
      <c r="G155" s="101"/>
      <c r="H155" s="101"/>
      <c r="I155" s="106"/>
      <c r="J155" s="106"/>
      <c r="K155" s="106"/>
      <c r="L155" s="106"/>
      <c r="M155" s="106"/>
      <c r="N155" s="103" t="str">
        <f aca="false">IF(OR($B155="", $I155="", $J155="", $K155="", $L155="", $M155=""),"",ROUND(($I155*Lists!$AD$2)+($J155*Lists!$AD$3)+($K155*Lists!$AD$4)+($L155*Lists!$AD$5)+($M155*Lists!$AD$6),2))</f>
        <v/>
      </c>
      <c r="O155" s="103" t="str">
        <f aca="false">IF($A155="","",IFERROR(VLOOKUP($A155,'Risk Register'!$B$2:$I$1000,8,FALSE()),""))</f>
        <v/>
      </c>
      <c r="P155" s="106"/>
      <c r="Q155" s="106"/>
      <c r="R155" s="106"/>
      <c r="S155" s="106"/>
      <c r="T155" s="103" t="str">
        <f aca="false">IF(OR($B155="", $P155="", $Q155="", $R155="", $S155=""),"",ROUND(($P155*Lists!$AD$7)+($Q155*Lists!$AD$8)+($R155*Lists!$AD$9)+($S155*Lists!$AD$10),2))</f>
        <v/>
      </c>
      <c r="U155" s="106"/>
      <c r="V155" s="106"/>
      <c r="W155" s="106"/>
      <c r="X155" s="106"/>
      <c r="Y155" s="106"/>
      <c r="Z155" s="103" t="str">
        <f aca="false">IF(OR($B155="", $U155="", $V155="", $W155="", $X155="", $Y155=""),"",ROUND(($U155*Lists!$AD$11)+($V155*Lists!$AD$12)+($W155*Lists!$AD$13)+($X155*Lists!$AD$14)+($Y155*Lists!$AD$15),2))</f>
        <v/>
      </c>
      <c r="AA155" s="103" t="str">
        <f aca="false">IF(OR($B155="", $N155="", $O155="", $T155="", $Z155=""),"",ROUND(($N155*Lists!$AD$16)-($O155*Lists!$AD$17)-($T155*Lists!$AD$18)+($Z155*Lists!$AD$19),2))</f>
        <v/>
      </c>
      <c r="AB155" s="102" t="str">
        <f aca="false">IF(OR($B155="", $N155="", $Z155=""),"",IF($N155&gt;=Lists!$AG$2,IF($Z155&gt;=Lists!$AG$3,"Invest","Migrate"),IF($Z155&gt;=Lists!$AG$3,"Tolerate","Eliminate")))</f>
        <v/>
      </c>
      <c r="AC155" s="102" t="str">
        <f aca="false">IF($B155="","",IF($J155&gt;=4,"Yes",""))</f>
        <v/>
      </c>
      <c r="AD155" s="102" t="str">
        <f aca="false">IF($A155="","",IFERROR(IF(VLOOKUP($A155,'Risk Register'!$B$2:$H$1000,4,FALSE())&gt;=4,"Yes",""),""))</f>
        <v/>
      </c>
      <c r="AE155" s="102" t="str">
        <f aca="false">IF(OR($N155="", $O155=""),"",IF($N155&gt;=Lists!$AG$2,IF($O155&gt;=Lists!$AG$4,"High Value / High Risk","High Value / Low Risk"),IF($O155&gt;=Lists!$AG$4,"Low Value / High Risk","Low Value / Low Risk")))</f>
        <v/>
      </c>
      <c r="AF155" s="101"/>
      <c r="AG155" s="126"/>
      <c r="AH155" s="106" t="str">
        <f aca="false">IF($B155="","",COUNTIFS('Debt Backlog'!$AF$2:$AF$1000,$A155,'Debt Backlog'!$B$2:$B$1000,"&lt;&gt;",'Debt Backlog'!$N$2:$N$1000,"&lt;&gt;Done",'Debt Backlog'!$N$2:$N$1000,"&lt;&gt;Won't Fix",'Debt Backlog'!$N$2:$N$1000,"&lt;&gt;Duplicate"))</f>
        <v/>
      </c>
      <c r="AI155" s="103" t="str">
        <f aca="false">IF($B155="","",ROUND(SUMIFS('Debt Backlog'!$L$2:$L$1000,'Debt Backlog'!$AF$2:$AF$1000,$A155,'Debt Backlog'!$B$2:$B$1000,"&lt;&gt;",'Debt Backlog'!$N$2:$N$1000,"&lt;&gt;Done",'Debt Backlog'!$N$2:$N$1000,"&lt;&gt;Won't Fix",'Debt Backlog'!$N$2:$N$1000,"&lt;&gt;Duplicate"),2))</f>
        <v/>
      </c>
    </row>
    <row r="156" customFormat="false" ht="15.75" hidden="false" customHeight="true" outlineLevel="0" collapsed="false">
      <c r="A156" s="125"/>
      <c r="B156" s="101"/>
      <c r="C156" s="101"/>
      <c r="D156" s="101"/>
      <c r="E156" s="101"/>
      <c r="F156" s="101"/>
      <c r="G156" s="101"/>
      <c r="H156" s="101"/>
      <c r="I156" s="106"/>
      <c r="J156" s="106"/>
      <c r="K156" s="106"/>
      <c r="L156" s="106"/>
      <c r="M156" s="106"/>
      <c r="N156" s="103" t="str">
        <f aca="false">IF(OR($B156="", $I156="", $J156="", $K156="", $L156="", $M156=""),"",ROUND(($I156*Lists!$AD$2)+($J156*Lists!$AD$3)+($K156*Lists!$AD$4)+($L156*Lists!$AD$5)+($M156*Lists!$AD$6),2))</f>
        <v/>
      </c>
      <c r="O156" s="103" t="str">
        <f aca="false">IF($A156="","",IFERROR(VLOOKUP($A156,'Risk Register'!$B$2:$I$1000,8,FALSE()),""))</f>
        <v/>
      </c>
      <c r="P156" s="106"/>
      <c r="Q156" s="106"/>
      <c r="R156" s="106"/>
      <c r="S156" s="106"/>
      <c r="T156" s="103" t="str">
        <f aca="false">IF(OR($B156="", $P156="", $Q156="", $R156="", $S156=""),"",ROUND(($P156*Lists!$AD$7)+($Q156*Lists!$AD$8)+($R156*Lists!$AD$9)+($S156*Lists!$AD$10),2))</f>
        <v/>
      </c>
      <c r="U156" s="106"/>
      <c r="V156" s="106"/>
      <c r="W156" s="106"/>
      <c r="X156" s="106"/>
      <c r="Y156" s="106"/>
      <c r="Z156" s="103" t="str">
        <f aca="false">IF(OR($B156="", $U156="", $V156="", $W156="", $X156="", $Y156=""),"",ROUND(($U156*Lists!$AD$11)+($V156*Lists!$AD$12)+($W156*Lists!$AD$13)+($X156*Lists!$AD$14)+($Y156*Lists!$AD$15),2))</f>
        <v/>
      </c>
      <c r="AA156" s="103" t="str">
        <f aca="false">IF(OR($B156="", $N156="", $O156="", $T156="", $Z156=""),"",ROUND(($N156*Lists!$AD$16)-($O156*Lists!$AD$17)-($T156*Lists!$AD$18)+($Z156*Lists!$AD$19),2))</f>
        <v/>
      </c>
      <c r="AB156" s="102" t="str">
        <f aca="false">IF(OR($B156="", $N156="", $Z156=""),"",IF($N156&gt;=Lists!$AG$2,IF($Z156&gt;=Lists!$AG$3,"Invest","Migrate"),IF($Z156&gt;=Lists!$AG$3,"Tolerate","Eliminate")))</f>
        <v/>
      </c>
      <c r="AC156" s="102" t="str">
        <f aca="false">IF($B156="","",IF($J156&gt;=4,"Yes",""))</f>
        <v/>
      </c>
      <c r="AD156" s="102" t="str">
        <f aca="false">IF($A156="","",IFERROR(IF(VLOOKUP($A156,'Risk Register'!$B$2:$H$1000,4,FALSE())&gt;=4,"Yes",""),""))</f>
        <v/>
      </c>
      <c r="AE156" s="102" t="str">
        <f aca="false">IF(OR($N156="", $O156=""),"",IF($N156&gt;=Lists!$AG$2,IF($O156&gt;=Lists!$AG$4,"High Value / High Risk","High Value / Low Risk"),IF($O156&gt;=Lists!$AG$4,"Low Value / High Risk","Low Value / Low Risk")))</f>
        <v/>
      </c>
      <c r="AF156" s="101"/>
      <c r="AG156" s="126"/>
      <c r="AH156" s="106" t="str">
        <f aca="false">IF($B156="","",COUNTIFS('Debt Backlog'!$AF$2:$AF$1000,$A156,'Debt Backlog'!$B$2:$B$1000,"&lt;&gt;",'Debt Backlog'!$N$2:$N$1000,"&lt;&gt;Done",'Debt Backlog'!$N$2:$N$1000,"&lt;&gt;Won't Fix",'Debt Backlog'!$N$2:$N$1000,"&lt;&gt;Duplicate"))</f>
        <v/>
      </c>
      <c r="AI156" s="103" t="str">
        <f aca="false">IF($B156="","",ROUND(SUMIFS('Debt Backlog'!$L$2:$L$1000,'Debt Backlog'!$AF$2:$AF$1000,$A156,'Debt Backlog'!$B$2:$B$1000,"&lt;&gt;",'Debt Backlog'!$N$2:$N$1000,"&lt;&gt;Done",'Debt Backlog'!$N$2:$N$1000,"&lt;&gt;Won't Fix",'Debt Backlog'!$N$2:$N$1000,"&lt;&gt;Duplicate"),2))</f>
        <v/>
      </c>
    </row>
    <row r="157" customFormat="false" ht="15.75" hidden="false" customHeight="true" outlineLevel="0" collapsed="false">
      <c r="A157" s="125"/>
      <c r="B157" s="101"/>
      <c r="C157" s="101"/>
      <c r="D157" s="101"/>
      <c r="E157" s="101"/>
      <c r="F157" s="101"/>
      <c r="G157" s="101"/>
      <c r="H157" s="101"/>
      <c r="I157" s="106"/>
      <c r="J157" s="106"/>
      <c r="K157" s="106"/>
      <c r="L157" s="106"/>
      <c r="M157" s="106"/>
      <c r="N157" s="103" t="str">
        <f aca="false">IF(OR($B157="", $I157="", $J157="", $K157="", $L157="", $M157=""),"",ROUND(($I157*Lists!$AD$2)+($J157*Lists!$AD$3)+($K157*Lists!$AD$4)+($L157*Lists!$AD$5)+($M157*Lists!$AD$6),2))</f>
        <v/>
      </c>
      <c r="O157" s="103" t="str">
        <f aca="false">IF($A157="","",IFERROR(VLOOKUP($A157,'Risk Register'!$B$2:$I$1000,8,FALSE()),""))</f>
        <v/>
      </c>
      <c r="P157" s="106"/>
      <c r="Q157" s="106"/>
      <c r="R157" s="106"/>
      <c r="S157" s="106"/>
      <c r="T157" s="103" t="str">
        <f aca="false">IF(OR($B157="", $P157="", $Q157="", $R157="", $S157=""),"",ROUND(($P157*Lists!$AD$7)+($Q157*Lists!$AD$8)+($R157*Lists!$AD$9)+($S157*Lists!$AD$10),2))</f>
        <v/>
      </c>
      <c r="U157" s="106"/>
      <c r="V157" s="106"/>
      <c r="W157" s="106"/>
      <c r="X157" s="106"/>
      <c r="Y157" s="106"/>
      <c r="Z157" s="103" t="str">
        <f aca="false">IF(OR($B157="", $U157="", $V157="", $W157="", $X157="", $Y157=""),"",ROUND(($U157*Lists!$AD$11)+($V157*Lists!$AD$12)+($W157*Lists!$AD$13)+($X157*Lists!$AD$14)+($Y157*Lists!$AD$15),2))</f>
        <v/>
      </c>
      <c r="AA157" s="103" t="str">
        <f aca="false">IF(OR($B157="", $N157="", $O157="", $T157="", $Z157=""),"",ROUND(($N157*Lists!$AD$16)-($O157*Lists!$AD$17)-($T157*Lists!$AD$18)+($Z157*Lists!$AD$19),2))</f>
        <v/>
      </c>
      <c r="AB157" s="102" t="str">
        <f aca="false">IF(OR($B157="", $N157="", $Z157=""),"",IF($N157&gt;=Lists!$AG$2,IF($Z157&gt;=Lists!$AG$3,"Invest","Migrate"),IF($Z157&gt;=Lists!$AG$3,"Tolerate","Eliminate")))</f>
        <v/>
      </c>
      <c r="AC157" s="102" t="str">
        <f aca="false">IF($B157="","",IF($J157&gt;=4,"Yes",""))</f>
        <v/>
      </c>
      <c r="AD157" s="102" t="str">
        <f aca="false">IF($A157="","",IFERROR(IF(VLOOKUP($A157,'Risk Register'!$B$2:$H$1000,4,FALSE())&gt;=4,"Yes",""),""))</f>
        <v/>
      </c>
      <c r="AE157" s="102" t="str">
        <f aca="false">IF(OR($N157="", $O157=""),"",IF($N157&gt;=Lists!$AG$2,IF($O157&gt;=Lists!$AG$4,"High Value / High Risk","High Value / Low Risk"),IF($O157&gt;=Lists!$AG$4,"Low Value / High Risk","Low Value / Low Risk")))</f>
        <v/>
      </c>
      <c r="AF157" s="101"/>
      <c r="AG157" s="126"/>
      <c r="AH157" s="106" t="str">
        <f aca="false">IF($B157="","",COUNTIFS('Debt Backlog'!$AF$2:$AF$1000,$A157,'Debt Backlog'!$B$2:$B$1000,"&lt;&gt;",'Debt Backlog'!$N$2:$N$1000,"&lt;&gt;Done",'Debt Backlog'!$N$2:$N$1000,"&lt;&gt;Won't Fix",'Debt Backlog'!$N$2:$N$1000,"&lt;&gt;Duplicate"))</f>
        <v/>
      </c>
      <c r="AI157" s="103" t="str">
        <f aca="false">IF($B157="","",ROUND(SUMIFS('Debt Backlog'!$L$2:$L$1000,'Debt Backlog'!$AF$2:$AF$1000,$A157,'Debt Backlog'!$B$2:$B$1000,"&lt;&gt;",'Debt Backlog'!$N$2:$N$1000,"&lt;&gt;Done",'Debt Backlog'!$N$2:$N$1000,"&lt;&gt;Won't Fix",'Debt Backlog'!$N$2:$N$1000,"&lt;&gt;Duplicate"),2))</f>
        <v/>
      </c>
    </row>
    <row r="158" customFormat="false" ht="15.75" hidden="false" customHeight="true" outlineLevel="0" collapsed="false">
      <c r="A158" s="125"/>
      <c r="B158" s="101"/>
      <c r="C158" s="101"/>
      <c r="D158" s="101"/>
      <c r="E158" s="101"/>
      <c r="F158" s="101"/>
      <c r="G158" s="101"/>
      <c r="H158" s="101"/>
      <c r="I158" s="106"/>
      <c r="J158" s="106"/>
      <c r="K158" s="106"/>
      <c r="L158" s="106"/>
      <c r="M158" s="106"/>
      <c r="N158" s="103" t="str">
        <f aca="false">IF(OR($B158="", $I158="", $J158="", $K158="", $L158="", $M158=""),"",ROUND(($I158*Lists!$AD$2)+($J158*Lists!$AD$3)+($K158*Lists!$AD$4)+($L158*Lists!$AD$5)+($M158*Lists!$AD$6),2))</f>
        <v/>
      </c>
      <c r="O158" s="103" t="str">
        <f aca="false">IF($A158="","",IFERROR(VLOOKUP($A158,'Risk Register'!$B$2:$I$1000,8,FALSE()),""))</f>
        <v/>
      </c>
      <c r="P158" s="106"/>
      <c r="Q158" s="106"/>
      <c r="R158" s="106"/>
      <c r="S158" s="106"/>
      <c r="T158" s="103" t="str">
        <f aca="false">IF(OR($B158="", $P158="", $Q158="", $R158="", $S158=""),"",ROUND(($P158*Lists!$AD$7)+($Q158*Lists!$AD$8)+($R158*Lists!$AD$9)+($S158*Lists!$AD$10),2))</f>
        <v/>
      </c>
      <c r="U158" s="106"/>
      <c r="V158" s="106"/>
      <c r="W158" s="106"/>
      <c r="X158" s="106"/>
      <c r="Y158" s="106"/>
      <c r="Z158" s="103" t="str">
        <f aca="false">IF(OR($B158="", $U158="", $V158="", $W158="", $X158="", $Y158=""),"",ROUND(($U158*Lists!$AD$11)+($V158*Lists!$AD$12)+($W158*Lists!$AD$13)+($X158*Lists!$AD$14)+($Y158*Lists!$AD$15),2))</f>
        <v/>
      </c>
      <c r="AA158" s="103" t="str">
        <f aca="false">IF(OR($B158="", $N158="", $O158="", $T158="", $Z158=""),"",ROUND(($N158*Lists!$AD$16)-($O158*Lists!$AD$17)-($T158*Lists!$AD$18)+($Z158*Lists!$AD$19),2))</f>
        <v/>
      </c>
      <c r="AB158" s="102" t="str">
        <f aca="false">IF(OR($B158="", $N158="", $Z158=""),"",IF($N158&gt;=Lists!$AG$2,IF($Z158&gt;=Lists!$AG$3,"Invest","Migrate"),IF($Z158&gt;=Lists!$AG$3,"Tolerate","Eliminate")))</f>
        <v/>
      </c>
      <c r="AC158" s="102" t="str">
        <f aca="false">IF($B158="","",IF($J158&gt;=4,"Yes",""))</f>
        <v/>
      </c>
      <c r="AD158" s="102" t="str">
        <f aca="false">IF($A158="","",IFERROR(IF(VLOOKUP($A158,'Risk Register'!$B$2:$H$1000,4,FALSE())&gt;=4,"Yes",""),""))</f>
        <v/>
      </c>
      <c r="AE158" s="102" t="str">
        <f aca="false">IF(OR($N158="", $O158=""),"",IF($N158&gt;=Lists!$AG$2,IF($O158&gt;=Lists!$AG$4,"High Value / High Risk","High Value / Low Risk"),IF($O158&gt;=Lists!$AG$4,"Low Value / High Risk","Low Value / Low Risk")))</f>
        <v/>
      </c>
      <c r="AF158" s="101"/>
      <c r="AG158" s="126"/>
      <c r="AH158" s="106" t="str">
        <f aca="false">IF($B158="","",COUNTIFS('Debt Backlog'!$AF$2:$AF$1000,$A158,'Debt Backlog'!$B$2:$B$1000,"&lt;&gt;",'Debt Backlog'!$N$2:$N$1000,"&lt;&gt;Done",'Debt Backlog'!$N$2:$N$1000,"&lt;&gt;Won't Fix",'Debt Backlog'!$N$2:$N$1000,"&lt;&gt;Duplicate"))</f>
        <v/>
      </c>
      <c r="AI158" s="103" t="str">
        <f aca="false">IF($B158="","",ROUND(SUMIFS('Debt Backlog'!$L$2:$L$1000,'Debt Backlog'!$AF$2:$AF$1000,$A158,'Debt Backlog'!$B$2:$B$1000,"&lt;&gt;",'Debt Backlog'!$N$2:$N$1000,"&lt;&gt;Done",'Debt Backlog'!$N$2:$N$1000,"&lt;&gt;Won't Fix",'Debt Backlog'!$N$2:$N$1000,"&lt;&gt;Duplicate"),2))</f>
        <v/>
      </c>
    </row>
    <row r="159" customFormat="false" ht="15.75" hidden="false" customHeight="true" outlineLevel="0" collapsed="false">
      <c r="A159" s="125"/>
      <c r="B159" s="101"/>
      <c r="C159" s="101"/>
      <c r="D159" s="101"/>
      <c r="E159" s="101"/>
      <c r="F159" s="101"/>
      <c r="G159" s="101"/>
      <c r="H159" s="101"/>
      <c r="I159" s="106"/>
      <c r="J159" s="106"/>
      <c r="K159" s="106"/>
      <c r="L159" s="106"/>
      <c r="M159" s="106"/>
      <c r="N159" s="103" t="str">
        <f aca="false">IF(OR($B159="", $I159="", $J159="", $K159="", $L159="", $M159=""),"",ROUND(($I159*Lists!$AD$2)+($J159*Lists!$AD$3)+($K159*Lists!$AD$4)+($L159*Lists!$AD$5)+($M159*Lists!$AD$6),2))</f>
        <v/>
      </c>
      <c r="O159" s="103" t="str">
        <f aca="false">IF($A159="","",IFERROR(VLOOKUP($A159,'Risk Register'!$B$2:$I$1000,8,FALSE()),""))</f>
        <v/>
      </c>
      <c r="P159" s="106"/>
      <c r="Q159" s="106"/>
      <c r="R159" s="106"/>
      <c r="S159" s="106"/>
      <c r="T159" s="103" t="str">
        <f aca="false">IF(OR($B159="", $P159="", $Q159="", $R159="", $S159=""),"",ROUND(($P159*Lists!$AD$7)+($Q159*Lists!$AD$8)+($R159*Lists!$AD$9)+($S159*Lists!$AD$10),2))</f>
        <v/>
      </c>
      <c r="U159" s="106"/>
      <c r="V159" s="106"/>
      <c r="W159" s="106"/>
      <c r="X159" s="106"/>
      <c r="Y159" s="106"/>
      <c r="Z159" s="103" t="str">
        <f aca="false">IF(OR($B159="", $U159="", $V159="", $W159="", $X159="", $Y159=""),"",ROUND(($U159*Lists!$AD$11)+($V159*Lists!$AD$12)+($W159*Lists!$AD$13)+($X159*Lists!$AD$14)+($Y159*Lists!$AD$15),2))</f>
        <v/>
      </c>
      <c r="AA159" s="103" t="str">
        <f aca="false">IF(OR($B159="", $N159="", $O159="", $T159="", $Z159=""),"",ROUND(($N159*Lists!$AD$16)-($O159*Lists!$AD$17)-($T159*Lists!$AD$18)+($Z159*Lists!$AD$19),2))</f>
        <v/>
      </c>
      <c r="AB159" s="102" t="str">
        <f aca="false">IF(OR($B159="", $N159="", $Z159=""),"",IF($N159&gt;=Lists!$AG$2,IF($Z159&gt;=Lists!$AG$3,"Invest","Migrate"),IF($Z159&gt;=Lists!$AG$3,"Tolerate","Eliminate")))</f>
        <v/>
      </c>
      <c r="AC159" s="102" t="str">
        <f aca="false">IF($B159="","",IF($J159&gt;=4,"Yes",""))</f>
        <v/>
      </c>
      <c r="AD159" s="102" t="str">
        <f aca="false">IF($A159="","",IFERROR(IF(VLOOKUP($A159,'Risk Register'!$B$2:$H$1000,4,FALSE())&gt;=4,"Yes",""),""))</f>
        <v/>
      </c>
      <c r="AE159" s="102" t="str">
        <f aca="false">IF(OR($N159="", $O159=""),"",IF($N159&gt;=Lists!$AG$2,IF($O159&gt;=Lists!$AG$4,"High Value / High Risk","High Value / Low Risk"),IF($O159&gt;=Lists!$AG$4,"Low Value / High Risk","Low Value / Low Risk")))</f>
        <v/>
      </c>
      <c r="AF159" s="101"/>
      <c r="AG159" s="126"/>
      <c r="AH159" s="106" t="str">
        <f aca="false">IF($B159="","",COUNTIFS('Debt Backlog'!$AF$2:$AF$1000,$A159,'Debt Backlog'!$B$2:$B$1000,"&lt;&gt;",'Debt Backlog'!$N$2:$N$1000,"&lt;&gt;Done",'Debt Backlog'!$N$2:$N$1000,"&lt;&gt;Won't Fix",'Debt Backlog'!$N$2:$N$1000,"&lt;&gt;Duplicate"))</f>
        <v/>
      </c>
      <c r="AI159" s="103" t="str">
        <f aca="false">IF($B159="","",ROUND(SUMIFS('Debt Backlog'!$L$2:$L$1000,'Debt Backlog'!$AF$2:$AF$1000,$A159,'Debt Backlog'!$B$2:$B$1000,"&lt;&gt;",'Debt Backlog'!$N$2:$N$1000,"&lt;&gt;Done",'Debt Backlog'!$N$2:$N$1000,"&lt;&gt;Won't Fix",'Debt Backlog'!$N$2:$N$1000,"&lt;&gt;Duplicate"),2))</f>
        <v/>
      </c>
    </row>
    <row r="160" customFormat="false" ht="15.75" hidden="false" customHeight="true" outlineLevel="0" collapsed="false">
      <c r="A160" s="125"/>
      <c r="B160" s="101"/>
      <c r="C160" s="101"/>
      <c r="D160" s="101"/>
      <c r="E160" s="101"/>
      <c r="F160" s="101"/>
      <c r="G160" s="101"/>
      <c r="H160" s="101"/>
      <c r="I160" s="106"/>
      <c r="J160" s="106"/>
      <c r="K160" s="106"/>
      <c r="L160" s="106"/>
      <c r="M160" s="106"/>
      <c r="N160" s="103" t="str">
        <f aca="false">IF(OR($B160="", $I160="", $J160="", $K160="", $L160="", $M160=""),"",ROUND(($I160*Lists!$AD$2)+($J160*Lists!$AD$3)+($K160*Lists!$AD$4)+($L160*Lists!$AD$5)+($M160*Lists!$AD$6),2))</f>
        <v/>
      </c>
      <c r="O160" s="103" t="str">
        <f aca="false">IF($A160="","",IFERROR(VLOOKUP($A160,'Risk Register'!$B$2:$I$1000,8,FALSE()),""))</f>
        <v/>
      </c>
      <c r="P160" s="106"/>
      <c r="Q160" s="106"/>
      <c r="R160" s="106"/>
      <c r="S160" s="106"/>
      <c r="T160" s="103" t="str">
        <f aca="false">IF(OR($B160="", $P160="", $Q160="", $R160="", $S160=""),"",ROUND(($P160*Lists!$AD$7)+($Q160*Lists!$AD$8)+($R160*Lists!$AD$9)+($S160*Lists!$AD$10),2))</f>
        <v/>
      </c>
      <c r="U160" s="106"/>
      <c r="V160" s="106"/>
      <c r="W160" s="106"/>
      <c r="X160" s="106"/>
      <c r="Y160" s="106"/>
      <c r="Z160" s="103" t="str">
        <f aca="false">IF(OR($B160="", $U160="", $V160="", $W160="", $X160="", $Y160=""),"",ROUND(($U160*Lists!$AD$11)+($V160*Lists!$AD$12)+($W160*Lists!$AD$13)+($X160*Lists!$AD$14)+($Y160*Lists!$AD$15),2))</f>
        <v/>
      </c>
      <c r="AA160" s="103" t="str">
        <f aca="false">IF(OR($B160="", $N160="", $O160="", $T160="", $Z160=""),"",ROUND(($N160*Lists!$AD$16)-($O160*Lists!$AD$17)-($T160*Lists!$AD$18)+($Z160*Lists!$AD$19),2))</f>
        <v/>
      </c>
      <c r="AB160" s="102" t="str">
        <f aca="false">IF(OR($B160="", $N160="", $Z160=""),"",IF($N160&gt;=Lists!$AG$2,IF($Z160&gt;=Lists!$AG$3,"Invest","Migrate"),IF($Z160&gt;=Lists!$AG$3,"Tolerate","Eliminate")))</f>
        <v/>
      </c>
      <c r="AC160" s="102" t="str">
        <f aca="false">IF($B160="","",IF($J160&gt;=4,"Yes",""))</f>
        <v/>
      </c>
      <c r="AD160" s="102" t="str">
        <f aca="false">IF($A160="","",IFERROR(IF(VLOOKUP($A160,'Risk Register'!$B$2:$H$1000,4,FALSE())&gt;=4,"Yes",""),""))</f>
        <v/>
      </c>
      <c r="AE160" s="102" t="str">
        <f aca="false">IF(OR($N160="", $O160=""),"",IF($N160&gt;=Lists!$AG$2,IF($O160&gt;=Lists!$AG$4,"High Value / High Risk","High Value / Low Risk"),IF($O160&gt;=Lists!$AG$4,"Low Value / High Risk","Low Value / Low Risk")))</f>
        <v/>
      </c>
      <c r="AF160" s="101"/>
      <c r="AG160" s="126"/>
      <c r="AH160" s="106" t="str">
        <f aca="false">IF($B160="","",COUNTIFS('Debt Backlog'!$AF$2:$AF$1000,$A160,'Debt Backlog'!$B$2:$B$1000,"&lt;&gt;",'Debt Backlog'!$N$2:$N$1000,"&lt;&gt;Done",'Debt Backlog'!$N$2:$N$1000,"&lt;&gt;Won't Fix",'Debt Backlog'!$N$2:$N$1000,"&lt;&gt;Duplicate"))</f>
        <v/>
      </c>
      <c r="AI160" s="103" t="str">
        <f aca="false">IF($B160="","",ROUND(SUMIFS('Debt Backlog'!$L$2:$L$1000,'Debt Backlog'!$AF$2:$AF$1000,$A160,'Debt Backlog'!$B$2:$B$1000,"&lt;&gt;",'Debt Backlog'!$N$2:$N$1000,"&lt;&gt;Done",'Debt Backlog'!$N$2:$N$1000,"&lt;&gt;Won't Fix",'Debt Backlog'!$N$2:$N$1000,"&lt;&gt;Duplicate"),2))</f>
        <v/>
      </c>
    </row>
    <row r="161" customFormat="false" ht="15.75" hidden="false" customHeight="true" outlineLevel="0" collapsed="false">
      <c r="A161" s="125"/>
      <c r="B161" s="101"/>
      <c r="C161" s="101"/>
      <c r="D161" s="101"/>
      <c r="E161" s="101"/>
      <c r="F161" s="101"/>
      <c r="G161" s="101"/>
      <c r="H161" s="101"/>
      <c r="I161" s="106"/>
      <c r="J161" s="106"/>
      <c r="K161" s="106"/>
      <c r="L161" s="106"/>
      <c r="M161" s="106"/>
      <c r="N161" s="103" t="str">
        <f aca="false">IF(OR($B161="", $I161="", $J161="", $K161="", $L161="", $M161=""),"",ROUND(($I161*Lists!$AD$2)+($J161*Lists!$AD$3)+($K161*Lists!$AD$4)+($L161*Lists!$AD$5)+($M161*Lists!$AD$6),2))</f>
        <v/>
      </c>
      <c r="O161" s="103" t="str">
        <f aca="false">IF($A161="","",IFERROR(VLOOKUP($A161,'Risk Register'!$B$2:$I$1000,8,FALSE()),""))</f>
        <v/>
      </c>
      <c r="P161" s="106"/>
      <c r="Q161" s="106"/>
      <c r="R161" s="106"/>
      <c r="S161" s="106"/>
      <c r="T161" s="103" t="str">
        <f aca="false">IF(OR($B161="", $P161="", $Q161="", $R161="", $S161=""),"",ROUND(($P161*Lists!$AD$7)+($Q161*Lists!$AD$8)+($R161*Lists!$AD$9)+($S161*Lists!$AD$10),2))</f>
        <v/>
      </c>
      <c r="U161" s="106"/>
      <c r="V161" s="106"/>
      <c r="W161" s="106"/>
      <c r="X161" s="106"/>
      <c r="Y161" s="106"/>
      <c r="Z161" s="103" t="str">
        <f aca="false">IF(OR($B161="", $U161="", $V161="", $W161="", $X161="", $Y161=""),"",ROUND(($U161*Lists!$AD$11)+($V161*Lists!$AD$12)+($W161*Lists!$AD$13)+($X161*Lists!$AD$14)+($Y161*Lists!$AD$15),2))</f>
        <v/>
      </c>
      <c r="AA161" s="103" t="str">
        <f aca="false">IF(OR($B161="", $N161="", $O161="", $T161="", $Z161=""),"",ROUND(($N161*Lists!$AD$16)-($O161*Lists!$AD$17)-($T161*Lists!$AD$18)+($Z161*Lists!$AD$19),2))</f>
        <v/>
      </c>
      <c r="AB161" s="102" t="str">
        <f aca="false">IF(OR($B161="", $N161="", $Z161=""),"",IF($N161&gt;=Lists!$AG$2,IF($Z161&gt;=Lists!$AG$3,"Invest","Migrate"),IF($Z161&gt;=Lists!$AG$3,"Tolerate","Eliminate")))</f>
        <v/>
      </c>
      <c r="AC161" s="102" t="str">
        <f aca="false">IF($B161="","",IF($J161&gt;=4,"Yes",""))</f>
        <v/>
      </c>
      <c r="AD161" s="102" t="str">
        <f aca="false">IF($A161="","",IFERROR(IF(VLOOKUP($A161,'Risk Register'!$B$2:$H$1000,4,FALSE())&gt;=4,"Yes",""),""))</f>
        <v/>
      </c>
      <c r="AE161" s="102" t="str">
        <f aca="false">IF(OR($N161="", $O161=""),"",IF($N161&gt;=Lists!$AG$2,IF($O161&gt;=Lists!$AG$4,"High Value / High Risk","High Value / Low Risk"),IF($O161&gt;=Lists!$AG$4,"Low Value / High Risk","Low Value / Low Risk")))</f>
        <v/>
      </c>
      <c r="AF161" s="101"/>
      <c r="AG161" s="126"/>
      <c r="AH161" s="106" t="str">
        <f aca="false">IF($B161="","",COUNTIFS('Debt Backlog'!$AF$2:$AF$1000,$A161,'Debt Backlog'!$B$2:$B$1000,"&lt;&gt;",'Debt Backlog'!$N$2:$N$1000,"&lt;&gt;Done",'Debt Backlog'!$N$2:$N$1000,"&lt;&gt;Won't Fix",'Debt Backlog'!$N$2:$N$1000,"&lt;&gt;Duplicate"))</f>
        <v/>
      </c>
      <c r="AI161" s="103" t="str">
        <f aca="false">IF($B161="","",ROUND(SUMIFS('Debt Backlog'!$L$2:$L$1000,'Debt Backlog'!$AF$2:$AF$1000,$A161,'Debt Backlog'!$B$2:$B$1000,"&lt;&gt;",'Debt Backlog'!$N$2:$N$1000,"&lt;&gt;Done",'Debt Backlog'!$N$2:$N$1000,"&lt;&gt;Won't Fix",'Debt Backlog'!$N$2:$N$1000,"&lt;&gt;Duplicate"),2))</f>
        <v/>
      </c>
    </row>
    <row r="162" customFormat="false" ht="15.75" hidden="false" customHeight="true" outlineLevel="0" collapsed="false">
      <c r="A162" s="125"/>
      <c r="B162" s="101"/>
      <c r="C162" s="101"/>
      <c r="D162" s="101"/>
      <c r="E162" s="101"/>
      <c r="F162" s="101"/>
      <c r="G162" s="101"/>
      <c r="H162" s="101"/>
      <c r="I162" s="106"/>
      <c r="J162" s="106"/>
      <c r="K162" s="106"/>
      <c r="L162" s="106"/>
      <c r="M162" s="106"/>
      <c r="N162" s="103" t="str">
        <f aca="false">IF(OR($B162="", $I162="", $J162="", $K162="", $L162="", $M162=""),"",ROUND(($I162*Lists!$AD$2)+($J162*Lists!$AD$3)+($K162*Lists!$AD$4)+($L162*Lists!$AD$5)+($M162*Lists!$AD$6),2))</f>
        <v/>
      </c>
      <c r="O162" s="103" t="str">
        <f aca="false">IF($A162="","",IFERROR(VLOOKUP($A162,'Risk Register'!$B$2:$I$1000,8,FALSE()),""))</f>
        <v/>
      </c>
      <c r="P162" s="106"/>
      <c r="Q162" s="106"/>
      <c r="R162" s="106"/>
      <c r="S162" s="106"/>
      <c r="T162" s="103" t="str">
        <f aca="false">IF(OR($B162="", $P162="", $Q162="", $R162="", $S162=""),"",ROUND(($P162*Lists!$AD$7)+($Q162*Lists!$AD$8)+($R162*Lists!$AD$9)+($S162*Lists!$AD$10),2))</f>
        <v/>
      </c>
      <c r="U162" s="106"/>
      <c r="V162" s="106"/>
      <c r="W162" s="106"/>
      <c r="X162" s="106"/>
      <c r="Y162" s="106"/>
      <c r="Z162" s="103" t="str">
        <f aca="false">IF(OR($B162="", $U162="", $V162="", $W162="", $X162="", $Y162=""),"",ROUND(($U162*Lists!$AD$11)+($V162*Lists!$AD$12)+($W162*Lists!$AD$13)+($X162*Lists!$AD$14)+($Y162*Lists!$AD$15),2))</f>
        <v/>
      </c>
      <c r="AA162" s="103" t="str">
        <f aca="false">IF(OR($B162="", $N162="", $O162="", $T162="", $Z162=""),"",ROUND(($N162*Lists!$AD$16)-($O162*Lists!$AD$17)-($T162*Lists!$AD$18)+($Z162*Lists!$AD$19),2))</f>
        <v/>
      </c>
      <c r="AB162" s="102" t="str">
        <f aca="false">IF(OR($B162="", $N162="", $Z162=""),"",IF($N162&gt;=Lists!$AG$2,IF($Z162&gt;=Lists!$AG$3,"Invest","Migrate"),IF($Z162&gt;=Lists!$AG$3,"Tolerate","Eliminate")))</f>
        <v/>
      </c>
      <c r="AC162" s="102" t="str">
        <f aca="false">IF($B162="","",IF($J162&gt;=4,"Yes",""))</f>
        <v/>
      </c>
      <c r="AD162" s="102" t="str">
        <f aca="false">IF($A162="","",IFERROR(IF(VLOOKUP($A162,'Risk Register'!$B$2:$H$1000,4,FALSE())&gt;=4,"Yes",""),""))</f>
        <v/>
      </c>
      <c r="AE162" s="102" t="str">
        <f aca="false">IF(OR($N162="", $O162=""),"",IF($N162&gt;=Lists!$AG$2,IF($O162&gt;=Lists!$AG$4,"High Value / High Risk","High Value / Low Risk"),IF($O162&gt;=Lists!$AG$4,"Low Value / High Risk","Low Value / Low Risk")))</f>
        <v/>
      </c>
      <c r="AF162" s="101"/>
      <c r="AG162" s="126"/>
      <c r="AH162" s="106" t="str">
        <f aca="false">IF($B162="","",COUNTIFS('Debt Backlog'!$AF$2:$AF$1000,$A162,'Debt Backlog'!$B$2:$B$1000,"&lt;&gt;",'Debt Backlog'!$N$2:$N$1000,"&lt;&gt;Done",'Debt Backlog'!$N$2:$N$1000,"&lt;&gt;Won't Fix",'Debt Backlog'!$N$2:$N$1000,"&lt;&gt;Duplicate"))</f>
        <v/>
      </c>
      <c r="AI162" s="103" t="str">
        <f aca="false">IF($B162="","",ROUND(SUMIFS('Debt Backlog'!$L$2:$L$1000,'Debt Backlog'!$AF$2:$AF$1000,$A162,'Debt Backlog'!$B$2:$B$1000,"&lt;&gt;",'Debt Backlog'!$N$2:$N$1000,"&lt;&gt;Done",'Debt Backlog'!$N$2:$N$1000,"&lt;&gt;Won't Fix",'Debt Backlog'!$N$2:$N$1000,"&lt;&gt;Duplicate"),2))</f>
        <v/>
      </c>
    </row>
    <row r="163" customFormat="false" ht="15.75" hidden="false" customHeight="true" outlineLevel="0" collapsed="false">
      <c r="A163" s="125"/>
      <c r="B163" s="101"/>
      <c r="C163" s="101"/>
      <c r="D163" s="101"/>
      <c r="E163" s="101"/>
      <c r="F163" s="101"/>
      <c r="G163" s="101"/>
      <c r="H163" s="101"/>
      <c r="I163" s="106"/>
      <c r="J163" s="106"/>
      <c r="K163" s="106"/>
      <c r="L163" s="106"/>
      <c r="M163" s="106"/>
      <c r="N163" s="103" t="str">
        <f aca="false">IF(OR($B163="", $I163="", $J163="", $K163="", $L163="", $M163=""),"",ROUND(($I163*Lists!$AD$2)+($J163*Lists!$AD$3)+($K163*Lists!$AD$4)+($L163*Lists!$AD$5)+($M163*Lists!$AD$6),2))</f>
        <v/>
      </c>
      <c r="O163" s="103" t="str">
        <f aca="false">IF($A163="","",IFERROR(VLOOKUP($A163,'Risk Register'!$B$2:$I$1000,8,FALSE()),""))</f>
        <v/>
      </c>
      <c r="P163" s="106"/>
      <c r="Q163" s="106"/>
      <c r="R163" s="106"/>
      <c r="S163" s="106"/>
      <c r="T163" s="103" t="str">
        <f aca="false">IF(OR($B163="", $P163="", $Q163="", $R163="", $S163=""),"",ROUND(($P163*Lists!$AD$7)+($Q163*Lists!$AD$8)+($R163*Lists!$AD$9)+($S163*Lists!$AD$10),2))</f>
        <v/>
      </c>
      <c r="U163" s="106"/>
      <c r="V163" s="106"/>
      <c r="W163" s="106"/>
      <c r="X163" s="106"/>
      <c r="Y163" s="106"/>
      <c r="Z163" s="103" t="str">
        <f aca="false">IF(OR($B163="", $U163="", $V163="", $W163="", $X163="", $Y163=""),"",ROUND(($U163*Lists!$AD$11)+($V163*Lists!$AD$12)+($W163*Lists!$AD$13)+($X163*Lists!$AD$14)+($Y163*Lists!$AD$15),2))</f>
        <v/>
      </c>
      <c r="AA163" s="103" t="str">
        <f aca="false">IF(OR($B163="", $N163="", $O163="", $T163="", $Z163=""),"",ROUND(($N163*Lists!$AD$16)-($O163*Lists!$AD$17)-($T163*Lists!$AD$18)+($Z163*Lists!$AD$19),2))</f>
        <v/>
      </c>
      <c r="AB163" s="102" t="str">
        <f aca="false">IF(OR($B163="", $N163="", $Z163=""),"",IF($N163&gt;=Lists!$AG$2,IF($Z163&gt;=Lists!$AG$3,"Invest","Migrate"),IF($Z163&gt;=Lists!$AG$3,"Tolerate","Eliminate")))</f>
        <v/>
      </c>
      <c r="AC163" s="102" t="str">
        <f aca="false">IF($B163="","",IF($J163&gt;=4,"Yes",""))</f>
        <v/>
      </c>
      <c r="AD163" s="102" t="str">
        <f aca="false">IF($A163="","",IFERROR(IF(VLOOKUP($A163,'Risk Register'!$B$2:$H$1000,4,FALSE())&gt;=4,"Yes",""),""))</f>
        <v/>
      </c>
      <c r="AE163" s="102" t="str">
        <f aca="false">IF(OR($N163="", $O163=""),"",IF($N163&gt;=Lists!$AG$2,IF($O163&gt;=Lists!$AG$4,"High Value / High Risk","High Value / Low Risk"),IF($O163&gt;=Lists!$AG$4,"Low Value / High Risk","Low Value / Low Risk")))</f>
        <v/>
      </c>
      <c r="AF163" s="101"/>
      <c r="AG163" s="126"/>
      <c r="AH163" s="106" t="str">
        <f aca="false">IF($B163="","",COUNTIFS('Debt Backlog'!$AF$2:$AF$1000,$A163,'Debt Backlog'!$B$2:$B$1000,"&lt;&gt;",'Debt Backlog'!$N$2:$N$1000,"&lt;&gt;Done",'Debt Backlog'!$N$2:$N$1000,"&lt;&gt;Won't Fix",'Debt Backlog'!$N$2:$N$1000,"&lt;&gt;Duplicate"))</f>
        <v/>
      </c>
      <c r="AI163" s="103" t="str">
        <f aca="false">IF($B163="","",ROUND(SUMIFS('Debt Backlog'!$L$2:$L$1000,'Debt Backlog'!$AF$2:$AF$1000,$A163,'Debt Backlog'!$B$2:$B$1000,"&lt;&gt;",'Debt Backlog'!$N$2:$N$1000,"&lt;&gt;Done",'Debt Backlog'!$N$2:$N$1000,"&lt;&gt;Won't Fix",'Debt Backlog'!$N$2:$N$1000,"&lt;&gt;Duplicate"),2))</f>
        <v/>
      </c>
    </row>
    <row r="164" customFormat="false" ht="15.75" hidden="false" customHeight="true" outlineLevel="0" collapsed="false">
      <c r="A164" s="125"/>
      <c r="B164" s="101"/>
      <c r="C164" s="101"/>
      <c r="D164" s="101"/>
      <c r="E164" s="101"/>
      <c r="F164" s="101"/>
      <c r="G164" s="101"/>
      <c r="H164" s="101"/>
      <c r="I164" s="106"/>
      <c r="J164" s="106"/>
      <c r="K164" s="106"/>
      <c r="L164" s="106"/>
      <c r="M164" s="106"/>
      <c r="N164" s="103" t="str">
        <f aca="false">IF(OR($B164="", $I164="", $J164="", $K164="", $L164="", $M164=""),"",ROUND(($I164*Lists!$AD$2)+($J164*Lists!$AD$3)+($K164*Lists!$AD$4)+($L164*Lists!$AD$5)+($M164*Lists!$AD$6),2))</f>
        <v/>
      </c>
      <c r="O164" s="103" t="str">
        <f aca="false">IF($A164="","",IFERROR(VLOOKUP($A164,'Risk Register'!$B$2:$I$1000,8,FALSE()),""))</f>
        <v/>
      </c>
      <c r="P164" s="106"/>
      <c r="Q164" s="106"/>
      <c r="R164" s="106"/>
      <c r="S164" s="106"/>
      <c r="T164" s="103" t="str">
        <f aca="false">IF(OR($B164="", $P164="", $Q164="", $R164="", $S164=""),"",ROUND(($P164*Lists!$AD$7)+($Q164*Lists!$AD$8)+($R164*Lists!$AD$9)+($S164*Lists!$AD$10),2))</f>
        <v/>
      </c>
      <c r="U164" s="106"/>
      <c r="V164" s="106"/>
      <c r="W164" s="106"/>
      <c r="X164" s="106"/>
      <c r="Y164" s="106"/>
      <c r="Z164" s="103" t="str">
        <f aca="false">IF(OR($B164="", $U164="", $V164="", $W164="", $X164="", $Y164=""),"",ROUND(($U164*Lists!$AD$11)+($V164*Lists!$AD$12)+($W164*Lists!$AD$13)+($X164*Lists!$AD$14)+($Y164*Lists!$AD$15),2))</f>
        <v/>
      </c>
      <c r="AA164" s="103" t="str">
        <f aca="false">IF(OR($B164="", $N164="", $O164="", $T164="", $Z164=""),"",ROUND(($N164*Lists!$AD$16)-($O164*Lists!$AD$17)-($T164*Lists!$AD$18)+($Z164*Lists!$AD$19),2))</f>
        <v/>
      </c>
      <c r="AB164" s="102" t="str">
        <f aca="false">IF(OR($B164="", $N164="", $Z164=""),"",IF($N164&gt;=Lists!$AG$2,IF($Z164&gt;=Lists!$AG$3,"Invest","Migrate"),IF($Z164&gt;=Lists!$AG$3,"Tolerate","Eliminate")))</f>
        <v/>
      </c>
      <c r="AC164" s="102" t="str">
        <f aca="false">IF($B164="","",IF($J164&gt;=4,"Yes",""))</f>
        <v/>
      </c>
      <c r="AD164" s="102" t="str">
        <f aca="false">IF($A164="","",IFERROR(IF(VLOOKUP($A164,'Risk Register'!$B$2:$H$1000,4,FALSE())&gt;=4,"Yes",""),""))</f>
        <v/>
      </c>
      <c r="AE164" s="102" t="str">
        <f aca="false">IF(OR($N164="", $O164=""),"",IF($N164&gt;=Lists!$AG$2,IF($O164&gt;=Lists!$AG$4,"High Value / High Risk","High Value / Low Risk"),IF($O164&gt;=Lists!$AG$4,"Low Value / High Risk","Low Value / Low Risk")))</f>
        <v/>
      </c>
      <c r="AF164" s="101"/>
      <c r="AG164" s="126"/>
      <c r="AH164" s="106" t="str">
        <f aca="false">IF($B164="","",COUNTIFS('Debt Backlog'!$AF$2:$AF$1000,$A164,'Debt Backlog'!$B$2:$B$1000,"&lt;&gt;",'Debt Backlog'!$N$2:$N$1000,"&lt;&gt;Done",'Debt Backlog'!$N$2:$N$1000,"&lt;&gt;Won't Fix",'Debt Backlog'!$N$2:$N$1000,"&lt;&gt;Duplicate"))</f>
        <v/>
      </c>
      <c r="AI164" s="103" t="str">
        <f aca="false">IF($B164="","",ROUND(SUMIFS('Debt Backlog'!$L$2:$L$1000,'Debt Backlog'!$AF$2:$AF$1000,$A164,'Debt Backlog'!$B$2:$B$1000,"&lt;&gt;",'Debt Backlog'!$N$2:$N$1000,"&lt;&gt;Done",'Debt Backlog'!$N$2:$N$1000,"&lt;&gt;Won't Fix",'Debt Backlog'!$N$2:$N$1000,"&lt;&gt;Duplicate"),2))</f>
        <v/>
      </c>
    </row>
    <row r="165" customFormat="false" ht="15.75" hidden="false" customHeight="true" outlineLevel="0" collapsed="false">
      <c r="A165" s="125"/>
      <c r="B165" s="101"/>
      <c r="C165" s="101"/>
      <c r="D165" s="101"/>
      <c r="E165" s="101"/>
      <c r="F165" s="101"/>
      <c r="G165" s="101"/>
      <c r="H165" s="101"/>
      <c r="I165" s="106"/>
      <c r="J165" s="106"/>
      <c r="K165" s="106"/>
      <c r="L165" s="106"/>
      <c r="M165" s="106"/>
      <c r="N165" s="103" t="str">
        <f aca="false">IF(OR($B165="", $I165="", $J165="", $K165="", $L165="", $M165=""),"",ROUND(($I165*Lists!$AD$2)+($J165*Lists!$AD$3)+($K165*Lists!$AD$4)+($L165*Lists!$AD$5)+($M165*Lists!$AD$6),2))</f>
        <v/>
      </c>
      <c r="O165" s="103" t="str">
        <f aca="false">IF($A165="","",IFERROR(VLOOKUP($A165,'Risk Register'!$B$2:$I$1000,8,FALSE()),""))</f>
        <v/>
      </c>
      <c r="P165" s="106"/>
      <c r="Q165" s="106"/>
      <c r="R165" s="106"/>
      <c r="S165" s="106"/>
      <c r="T165" s="103" t="str">
        <f aca="false">IF(OR($B165="", $P165="", $Q165="", $R165="", $S165=""),"",ROUND(($P165*Lists!$AD$7)+($Q165*Lists!$AD$8)+($R165*Lists!$AD$9)+($S165*Lists!$AD$10),2))</f>
        <v/>
      </c>
      <c r="U165" s="106"/>
      <c r="V165" s="106"/>
      <c r="W165" s="106"/>
      <c r="X165" s="106"/>
      <c r="Y165" s="106"/>
      <c r="Z165" s="103" t="str">
        <f aca="false">IF(OR($B165="", $U165="", $V165="", $W165="", $X165="", $Y165=""),"",ROUND(($U165*Lists!$AD$11)+($V165*Lists!$AD$12)+($W165*Lists!$AD$13)+($X165*Lists!$AD$14)+($Y165*Lists!$AD$15),2))</f>
        <v/>
      </c>
      <c r="AA165" s="103" t="str">
        <f aca="false">IF(OR($B165="", $N165="", $O165="", $T165="", $Z165=""),"",ROUND(($N165*Lists!$AD$16)-($O165*Lists!$AD$17)-($T165*Lists!$AD$18)+($Z165*Lists!$AD$19),2))</f>
        <v/>
      </c>
      <c r="AB165" s="102" t="str">
        <f aca="false">IF(OR($B165="", $N165="", $Z165=""),"",IF($N165&gt;=Lists!$AG$2,IF($Z165&gt;=Lists!$AG$3,"Invest","Migrate"),IF($Z165&gt;=Lists!$AG$3,"Tolerate","Eliminate")))</f>
        <v/>
      </c>
      <c r="AC165" s="102" t="str">
        <f aca="false">IF($B165="","",IF($J165&gt;=4,"Yes",""))</f>
        <v/>
      </c>
      <c r="AD165" s="102" t="str">
        <f aca="false">IF($A165="","",IFERROR(IF(VLOOKUP($A165,'Risk Register'!$B$2:$H$1000,4,FALSE())&gt;=4,"Yes",""),""))</f>
        <v/>
      </c>
      <c r="AE165" s="102" t="str">
        <f aca="false">IF(OR($N165="", $O165=""),"",IF($N165&gt;=Lists!$AG$2,IF($O165&gt;=Lists!$AG$4,"High Value / High Risk","High Value / Low Risk"),IF($O165&gt;=Lists!$AG$4,"Low Value / High Risk","Low Value / Low Risk")))</f>
        <v/>
      </c>
      <c r="AF165" s="101"/>
      <c r="AG165" s="126"/>
      <c r="AH165" s="106" t="str">
        <f aca="false">IF($B165="","",COUNTIFS('Debt Backlog'!$AF$2:$AF$1000,$A165,'Debt Backlog'!$B$2:$B$1000,"&lt;&gt;",'Debt Backlog'!$N$2:$N$1000,"&lt;&gt;Done",'Debt Backlog'!$N$2:$N$1000,"&lt;&gt;Won't Fix",'Debt Backlog'!$N$2:$N$1000,"&lt;&gt;Duplicate"))</f>
        <v/>
      </c>
      <c r="AI165" s="103" t="str">
        <f aca="false">IF($B165="","",ROUND(SUMIFS('Debt Backlog'!$L$2:$L$1000,'Debt Backlog'!$AF$2:$AF$1000,$A165,'Debt Backlog'!$B$2:$B$1000,"&lt;&gt;",'Debt Backlog'!$N$2:$N$1000,"&lt;&gt;Done",'Debt Backlog'!$N$2:$N$1000,"&lt;&gt;Won't Fix",'Debt Backlog'!$N$2:$N$1000,"&lt;&gt;Duplicate"),2))</f>
        <v/>
      </c>
    </row>
    <row r="166" customFormat="false" ht="15.75" hidden="false" customHeight="true" outlineLevel="0" collapsed="false">
      <c r="A166" s="125"/>
      <c r="B166" s="101"/>
      <c r="C166" s="101"/>
      <c r="D166" s="101"/>
      <c r="E166" s="101"/>
      <c r="F166" s="101"/>
      <c r="G166" s="101"/>
      <c r="H166" s="101"/>
      <c r="I166" s="106"/>
      <c r="J166" s="106"/>
      <c r="K166" s="106"/>
      <c r="L166" s="106"/>
      <c r="M166" s="106"/>
      <c r="N166" s="103" t="str">
        <f aca="false">IF(OR($B166="", $I166="", $J166="", $K166="", $L166="", $M166=""),"",ROUND(($I166*Lists!$AD$2)+($J166*Lists!$AD$3)+($K166*Lists!$AD$4)+($L166*Lists!$AD$5)+($M166*Lists!$AD$6),2))</f>
        <v/>
      </c>
      <c r="O166" s="103" t="str">
        <f aca="false">IF($A166="","",IFERROR(VLOOKUP($A166,'Risk Register'!$B$2:$I$1000,8,FALSE()),""))</f>
        <v/>
      </c>
      <c r="P166" s="106"/>
      <c r="Q166" s="106"/>
      <c r="R166" s="106"/>
      <c r="S166" s="106"/>
      <c r="T166" s="103" t="str">
        <f aca="false">IF(OR($B166="", $P166="", $Q166="", $R166="", $S166=""),"",ROUND(($P166*Lists!$AD$7)+($Q166*Lists!$AD$8)+($R166*Lists!$AD$9)+($S166*Lists!$AD$10),2))</f>
        <v/>
      </c>
      <c r="U166" s="106"/>
      <c r="V166" s="106"/>
      <c r="W166" s="106"/>
      <c r="X166" s="106"/>
      <c r="Y166" s="106"/>
      <c r="Z166" s="103" t="str">
        <f aca="false">IF(OR($B166="", $U166="", $V166="", $W166="", $X166="", $Y166=""),"",ROUND(($U166*Lists!$AD$11)+($V166*Lists!$AD$12)+($W166*Lists!$AD$13)+($X166*Lists!$AD$14)+($Y166*Lists!$AD$15),2))</f>
        <v/>
      </c>
      <c r="AA166" s="103" t="str">
        <f aca="false">IF(OR($B166="", $N166="", $O166="", $T166="", $Z166=""),"",ROUND(($N166*Lists!$AD$16)-($O166*Lists!$AD$17)-($T166*Lists!$AD$18)+($Z166*Lists!$AD$19),2))</f>
        <v/>
      </c>
      <c r="AB166" s="102" t="str">
        <f aca="false">IF(OR($B166="", $N166="", $Z166=""),"",IF($N166&gt;=Lists!$AG$2,IF($Z166&gt;=Lists!$AG$3,"Invest","Migrate"),IF($Z166&gt;=Lists!$AG$3,"Tolerate","Eliminate")))</f>
        <v/>
      </c>
      <c r="AC166" s="102" t="str">
        <f aca="false">IF($B166="","",IF($J166&gt;=4,"Yes",""))</f>
        <v/>
      </c>
      <c r="AD166" s="102" t="str">
        <f aca="false">IF($A166="","",IFERROR(IF(VLOOKUP($A166,'Risk Register'!$B$2:$H$1000,4,FALSE())&gt;=4,"Yes",""),""))</f>
        <v/>
      </c>
      <c r="AE166" s="102" t="str">
        <f aca="false">IF(OR($N166="", $O166=""),"",IF($N166&gt;=Lists!$AG$2,IF($O166&gt;=Lists!$AG$4,"High Value / High Risk","High Value / Low Risk"),IF($O166&gt;=Lists!$AG$4,"Low Value / High Risk","Low Value / Low Risk")))</f>
        <v/>
      </c>
      <c r="AF166" s="101"/>
      <c r="AG166" s="126"/>
      <c r="AH166" s="106" t="str">
        <f aca="false">IF($B166="","",COUNTIFS('Debt Backlog'!$AF$2:$AF$1000,$A166,'Debt Backlog'!$B$2:$B$1000,"&lt;&gt;",'Debt Backlog'!$N$2:$N$1000,"&lt;&gt;Done",'Debt Backlog'!$N$2:$N$1000,"&lt;&gt;Won't Fix",'Debt Backlog'!$N$2:$N$1000,"&lt;&gt;Duplicate"))</f>
        <v/>
      </c>
      <c r="AI166" s="103" t="str">
        <f aca="false">IF($B166="","",ROUND(SUMIFS('Debt Backlog'!$L$2:$L$1000,'Debt Backlog'!$AF$2:$AF$1000,$A166,'Debt Backlog'!$B$2:$B$1000,"&lt;&gt;",'Debt Backlog'!$N$2:$N$1000,"&lt;&gt;Done",'Debt Backlog'!$N$2:$N$1000,"&lt;&gt;Won't Fix",'Debt Backlog'!$N$2:$N$1000,"&lt;&gt;Duplicate"),2))</f>
        <v/>
      </c>
    </row>
    <row r="167" customFormat="false" ht="15.75" hidden="false" customHeight="true" outlineLevel="0" collapsed="false">
      <c r="A167" s="125"/>
      <c r="B167" s="101"/>
      <c r="C167" s="101"/>
      <c r="D167" s="101"/>
      <c r="E167" s="101"/>
      <c r="F167" s="101"/>
      <c r="G167" s="101"/>
      <c r="H167" s="101"/>
      <c r="I167" s="106"/>
      <c r="J167" s="106"/>
      <c r="K167" s="106"/>
      <c r="L167" s="106"/>
      <c r="M167" s="106"/>
      <c r="N167" s="103" t="str">
        <f aca="false">IF(OR($B167="", $I167="", $J167="", $K167="", $L167="", $M167=""),"",ROUND(($I167*Lists!$AD$2)+($J167*Lists!$AD$3)+($K167*Lists!$AD$4)+($L167*Lists!$AD$5)+($M167*Lists!$AD$6),2))</f>
        <v/>
      </c>
      <c r="O167" s="103" t="str">
        <f aca="false">IF($A167="","",IFERROR(VLOOKUP($A167,'Risk Register'!$B$2:$I$1000,8,FALSE()),""))</f>
        <v/>
      </c>
      <c r="P167" s="106"/>
      <c r="Q167" s="106"/>
      <c r="R167" s="106"/>
      <c r="S167" s="106"/>
      <c r="T167" s="103" t="str">
        <f aca="false">IF(OR($B167="", $P167="", $Q167="", $R167="", $S167=""),"",ROUND(($P167*Lists!$AD$7)+($Q167*Lists!$AD$8)+($R167*Lists!$AD$9)+($S167*Lists!$AD$10),2))</f>
        <v/>
      </c>
      <c r="U167" s="106"/>
      <c r="V167" s="106"/>
      <c r="W167" s="106"/>
      <c r="X167" s="106"/>
      <c r="Y167" s="106"/>
      <c r="Z167" s="103" t="str">
        <f aca="false">IF(OR($B167="", $U167="", $V167="", $W167="", $X167="", $Y167=""),"",ROUND(($U167*Lists!$AD$11)+($V167*Lists!$AD$12)+($W167*Lists!$AD$13)+($X167*Lists!$AD$14)+($Y167*Lists!$AD$15),2))</f>
        <v/>
      </c>
      <c r="AA167" s="103" t="str">
        <f aca="false">IF(OR($B167="", $N167="", $O167="", $T167="", $Z167=""),"",ROUND(($N167*Lists!$AD$16)-($O167*Lists!$AD$17)-($T167*Lists!$AD$18)+($Z167*Lists!$AD$19),2))</f>
        <v/>
      </c>
      <c r="AB167" s="102" t="str">
        <f aca="false">IF(OR($B167="", $N167="", $Z167=""),"",IF($N167&gt;=Lists!$AG$2,IF($Z167&gt;=Lists!$AG$3,"Invest","Migrate"),IF($Z167&gt;=Lists!$AG$3,"Tolerate","Eliminate")))</f>
        <v/>
      </c>
      <c r="AC167" s="102" t="str">
        <f aca="false">IF($B167="","",IF($J167&gt;=4,"Yes",""))</f>
        <v/>
      </c>
      <c r="AD167" s="102" t="str">
        <f aca="false">IF($A167="","",IFERROR(IF(VLOOKUP($A167,'Risk Register'!$B$2:$H$1000,4,FALSE())&gt;=4,"Yes",""),""))</f>
        <v/>
      </c>
      <c r="AE167" s="102" t="str">
        <f aca="false">IF(OR($N167="", $O167=""),"",IF($N167&gt;=Lists!$AG$2,IF($O167&gt;=Lists!$AG$4,"High Value / High Risk","High Value / Low Risk"),IF($O167&gt;=Lists!$AG$4,"Low Value / High Risk","Low Value / Low Risk")))</f>
        <v/>
      </c>
      <c r="AF167" s="101"/>
      <c r="AG167" s="126"/>
      <c r="AH167" s="106" t="str">
        <f aca="false">IF($B167="","",COUNTIFS('Debt Backlog'!$AF$2:$AF$1000,$A167,'Debt Backlog'!$B$2:$B$1000,"&lt;&gt;",'Debt Backlog'!$N$2:$N$1000,"&lt;&gt;Done",'Debt Backlog'!$N$2:$N$1000,"&lt;&gt;Won't Fix",'Debt Backlog'!$N$2:$N$1000,"&lt;&gt;Duplicate"))</f>
        <v/>
      </c>
      <c r="AI167" s="103" t="str">
        <f aca="false">IF($B167="","",ROUND(SUMIFS('Debt Backlog'!$L$2:$L$1000,'Debt Backlog'!$AF$2:$AF$1000,$A167,'Debt Backlog'!$B$2:$B$1000,"&lt;&gt;",'Debt Backlog'!$N$2:$N$1000,"&lt;&gt;Done",'Debt Backlog'!$N$2:$N$1000,"&lt;&gt;Won't Fix",'Debt Backlog'!$N$2:$N$1000,"&lt;&gt;Duplicate"),2))</f>
        <v/>
      </c>
    </row>
    <row r="168" customFormat="false" ht="15.75" hidden="false" customHeight="true" outlineLevel="0" collapsed="false">
      <c r="A168" s="125"/>
      <c r="B168" s="101"/>
      <c r="C168" s="101"/>
      <c r="D168" s="101"/>
      <c r="E168" s="101"/>
      <c r="F168" s="101"/>
      <c r="G168" s="101"/>
      <c r="H168" s="101"/>
      <c r="I168" s="106"/>
      <c r="J168" s="106"/>
      <c r="K168" s="106"/>
      <c r="L168" s="106"/>
      <c r="M168" s="106"/>
      <c r="N168" s="103" t="str">
        <f aca="false">IF(OR($B168="", $I168="", $J168="", $K168="", $L168="", $M168=""),"",ROUND(($I168*Lists!$AD$2)+($J168*Lists!$AD$3)+($K168*Lists!$AD$4)+($L168*Lists!$AD$5)+($M168*Lists!$AD$6),2))</f>
        <v/>
      </c>
      <c r="O168" s="103" t="str">
        <f aca="false">IF($A168="","",IFERROR(VLOOKUP($A168,'Risk Register'!$B$2:$I$1000,8,FALSE()),""))</f>
        <v/>
      </c>
      <c r="P168" s="106"/>
      <c r="Q168" s="106"/>
      <c r="R168" s="106"/>
      <c r="S168" s="106"/>
      <c r="T168" s="103" t="str">
        <f aca="false">IF(OR($B168="", $P168="", $Q168="", $R168="", $S168=""),"",ROUND(($P168*Lists!$AD$7)+($Q168*Lists!$AD$8)+($R168*Lists!$AD$9)+($S168*Lists!$AD$10),2))</f>
        <v/>
      </c>
      <c r="U168" s="106"/>
      <c r="V168" s="106"/>
      <c r="W168" s="106"/>
      <c r="X168" s="106"/>
      <c r="Y168" s="106"/>
      <c r="Z168" s="103" t="str">
        <f aca="false">IF(OR($B168="", $U168="", $V168="", $W168="", $X168="", $Y168=""),"",ROUND(($U168*Lists!$AD$11)+($V168*Lists!$AD$12)+($W168*Lists!$AD$13)+($X168*Lists!$AD$14)+($Y168*Lists!$AD$15),2))</f>
        <v/>
      </c>
      <c r="AA168" s="103" t="str">
        <f aca="false">IF(OR($B168="", $N168="", $O168="", $T168="", $Z168=""),"",ROUND(($N168*Lists!$AD$16)-($O168*Lists!$AD$17)-($T168*Lists!$AD$18)+($Z168*Lists!$AD$19),2))</f>
        <v/>
      </c>
      <c r="AB168" s="102" t="str">
        <f aca="false">IF(OR($B168="", $N168="", $Z168=""),"",IF($N168&gt;=Lists!$AG$2,IF($Z168&gt;=Lists!$AG$3,"Invest","Migrate"),IF($Z168&gt;=Lists!$AG$3,"Tolerate","Eliminate")))</f>
        <v/>
      </c>
      <c r="AC168" s="102" t="str">
        <f aca="false">IF($B168="","",IF($J168&gt;=4,"Yes",""))</f>
        <v/>
      </c>
      <c r="AD168" s="102" t="str">
        <f aca="false">IF($A168="","",IFERROR(IF(VLOOKUP($A168,'Risk Register'!$B$2:$H$1000,4,FALSE())&gt;=4,"Yes",""),""))</f>
        <v/>
      </c>
      <c r="AE168" s="102" t="str">
        <f aca="false">IF(OR($N168="", $O168=""),"",IF($N168&gt;=Lists!$AG$2,IF($O168&gt;=Lists!$AG$4,"High Value / High Risk","High Value / Low Risk"),IF($O168&gt;=Lists!$AG$4,"Low Value / High Risk","Low Value / Low Risk")))</f>
        <v/>
      </c>
      <c r="AF168" s="101"/>
      <c r="AG168" s="126"/>
      <c r="AH168" s="106" t="str">
        <f aca="false">IF($B168="","",COUNTIFS('Debt Backlog'!$AF$2:$AF$1000,$A168,'Debt Backlog'!$B$2:$B$1000,"&lt;&gt;",'Debt Backlog'!$N$2:$N$1000,"&lt;&gt;Done",'Debt Backlog'!$N$2:$N$1000,"&lt;&gt;Won't Fix",'Debt Backlog'!$N$2:$N$1000,"&lt;&gt;Duplicate"))</f>
        <v/>
      </c>
      <c r="AI168" s="103" t="str">
        <f aca="false">IF($B168="","",ROUND(SUMIFS('Debt Backlog'!$L$2:$L$1000,'Debt Backlog'!$AF$2:$AF$1000,$A168,'Debt Backlog'!$B$2:$B$1000,"&lt;&gt;",'Debt Backlog'!$N$2:$N$1000,"&lt;&gt;Done",'Debt Backlog'!$N$2:$N$1000,"&lt;&gt;Won't Fix",'Debt Backlog'!$N$2:$N$1000,"&lt;&gt;Duplicate"),2))</f>
        <v/>
      </c>
    </row>
    <row r="169" customFormat="false" ht="15.75" hidden="false" customHeight="true" outlineLevel="0" collapsed="false">
      <c r="A169" s="125"/>
      <c r="B169" s="101"/>
      <c r="C169" s="101"/>
      <c r="D169" s="101"/>
      <c r="E169" s="101"/>
      <c r="F169" s="101"/>
      <c r="G169" s="101"/>
      <c r="H169" s="101"/>
      <c r="I169" s="106"/>
      <c r="J169" s="106"/>
      <c r="K169" s="106"/>
      <c r="L169" s="106"/>
      <c r="M169" s="106"/>
      <c r="N169" s="103" t="str">
        <f aca="false">IF(OR($B169="", $I169="", $J169="", $K169="", $L169="", $M169=""),"",ROUND(($I169*Lists!$AD$2)+($J169*Lists!$AD$3)+($K169*Lists!$AD$4)+($L169*Lists!$AD$5)+($M169*Lists!$AD$6),2))</f>
        <v/>
      </c>
      <c r="O169" s="103" t="str">
        <f aca="false">IF($A169="","",IFERROR(VLOOKUP($A169,'Risk Register'!$B$2:$I$1000,8,FALSE()),""))</f>
        <v/>
      </c>
      <c r="P169" s="106"/>
      <c r="Q169" s="106"/>
      <c r="R169" s="106"/>
      <c r="S169" s="106"/>
      <c r="T169" s="103" t="str">
        <f aca="false">IF(OR($B169="", $P169="", $Q169="", $R169="", $S169=""),"",ROUND(($P169*Lists!$AD$7)+($Q169*Lists!$AD$8)+($R169*Lists!$AD$9)+($S169*Lists!$AD$10),2))</f>
        <v/>
      </c>
      <c r="U169" s="106"/>
      <c r="V169" s="106"/>
      <c r="W169" s="106"/>
      <c r="X169" s="106"/>
      <c r="Y169" s="106"/>
      <c r="Z169" s="103" t="str">
        <f aca="false">IF(OR($B169="", $U169="", $V169="", $W169="", $X169="", $Y169=""),"",ROUND(($U169*Lists!$AD$11)+($V169*Lists!$AD$12)+($W169*Lists!$AD$13)+($X169*Lists!$AD$14)+($Y169*Lists!$AD$15),2))</f>
        <v/>
      </c>
      <c r="AA169" s="103" t="str">
        <f aca="false">IF(OR($B169="", $N169="", $O169="", $T169="", $Z169=""),"",ROUND(($N169*Lists!$AD$16)-($O169*Lists!$AD$17)-($T169*Lists!$AD$18)+($Z169*Lists!$AD$19),2))</f>
        <v/>
      </c>
      <c r="AB169" s="102" t="str">
        <f aca="false">IF(OR($B169="", $N169="", $Z169=""),"",IF($N169&gt;=Lists!$AG$2,IF($Z169&gt;=Lists!$AG$3,"Invest","Migrate"),IF($Z169&gt;=Lists!$AG$3,"Tolerate","Eliminate")))</f>
        <v/>
      </c>
      <c r="AC169" s="102" t="str">
        <f aca="false">IF($B169="","",IF($J169&gt;=4,"Yes",""))</f>
        <v/>
      </c>
      <c r="AD169" s="102" t="str">
        <f aca="false">IF($A169="","",IFERROR(IF(VLOOKUP($A169,'Risk Register'!$B$2:$H$1000,4,FALSE())&gt;=4,"Yes",""),""))</f>
        <v/>
      </c>
      <c r="AE169" s="102" t="str">
        <f aca="false">IF(OR($N169="", $O169=""),"",IF($N169&gt;=Lists!$AG$2,IF($O169&gt;=Lists!$AG$4,"High Value / High Risk","High Value / Low Risk"),IF($O169&gt;=Lists!$AG$4,"Low Value / High Risk","Low Value / Low Risk")))</f>
        <v/>
      </c>
      <c r="AF169" s="101"/>
      <c r="AG169" s="126"/>
      <c r="AH169" s="106" t="str">
        <f aca="false">IF($B169="","",COUNTIFS('Debt Backlog'!$AF$2:$AF$1000,$A169,'Debt Backlog'!$B$2:$B$1000,"&lt;&gt;",'Debt Backlog'!$N$2:$N$1000,"&lt;&gt;Done",'Debt Backlog'!$N$2:$N$1000,"&lt;&gt;Won't Fix",'Debt Backlog'!$N$2:$N$1000,"&lt;&gt;Duplicate"))</f>
        <v/>
      </c>
      <c r="AI169" s="103" t="str">
        <f aca="false">IF($B169="","",ROUND(SUMIFS('Debt Backlog'!$L$2:$L$1000,'Debt Backlog'!$AF$2:$AF$1000,$A169,'Debt Backlog'!$B$2:$B$1000,"&lt;&gt;",'Debt Backlog'!$N$2:$N$1000,"&lt;&gt;Done",'Debt Backlog'!$N$2:$N$1000,"&lt;&gt;Won't Fix",'Debt Backlog'!$N$2:$N$1000,"&lt;&gt;Duplicate"),2))</f>
        <v/>
      </c>
    </row>
    <row r="170" customFormat="false" ht="15.75" hidden="false" customHeight="true" outlineLevel="0" collapsed="false">
      <c r="A170" s="125"/>
      <c r="B170" s="101"/>
      <c r="C170" s="101"/>
      <c r="D170" s="101"/>
      <c r="E170" s="101"/>
      <c r="F170" s="101"/>
      <c r="G170" s="101"/>
      <c r="H170" s="101"/>
      <c r="I170" s="106"/>
      <c r="J170" s="106"/>
      <c r="K170" s="106"/>
      <c r="L170" s="106"/>
      <c r="M170" s="106"/>
      <c r="N170" s="103" t="str">
        <f aca="false">IF(OR($B170="", $I170="", $J170="", $K170="", $L170="", $M170=""),"",ROUND(($I170*Lists!$AD$2)+($J170*Lists!$AD$3)+($K170*Lists!$AD$4)+($L170*Lists!$AD$5)+($M170*Lists!$AD$6),2))</f>
        <v/>
      </c>
      <c r="O170" s="103" t="str">
        <f aca="false">IF($A170="","",IFERROR(VLOOKUP($A170,'Risk Register'!$B$2:$I$1000,8,FALSE()),""))</f>
        <v/>
      </c>
      <c r="P170" s="106"/>
      <c r="Q170" s="106"/>
      <c r="R170" s="106"/>
      <c r="S170" s="106"/>
      <c r="T170" s="103" t="str">
        <f aca="false">IF(OR($B170="", $P170="", $Q170="", $R170="", $S170=""),"",ROUND(($P170*Lists!$AD$7)+($Q170*Lists!$AD$8)+($R170*Lists!$AD$9)+($S170*Lists!$AD$10),2))</f>
        <v/>
      </c>
      <c r="U170" s="106"/>
      <c r="V170" s="106"/>
      <c r="W170" s="106"/>
      <c r="X170" s="106"/>
      <c r="Y170" s="106"/>
      <c r="Z170" s="103" t="str">
        <f aca="false">IF(OR($B170="", $U170="", $V170="", $W170="", $X170="", $Y170=""),"",ROUND(($U170*Lists!$AD$11)+($V170*Lists!$AD$12)+($W170*Lists!$AD$13)+($X170*Lists!$AD$14)+($Y170*Lists!$AD$15),2))</f>
        <v/>
      </c>
      <c r="AA170" s="103" t="str">
        <f aca="false">IF(OR($B170="", $N170="", $O170="", $T170="", $Z170=""),"",ROUND(($N170*Lists!$AD$16)-($O170*Lists!$AD$17)-($T170*Lists!$AD$18)+($Z170*Lists!$AD$19),2))</f>
        <v/>
      </c>
      <c r="AB170" s="102" t="str">
        <f aca="false">IF(OR($B170="", $N170="", $Z170=""),"",IF($N170&gt;=Lists!$AG$2,IF($Z170&gt;=Lists!$AG$3,"Invest","Migrate"),IF($Z170&gt;=Lists!$AG$3,"Tolerate","Eliminate")))</f>
        <v/>
      </c>
      <c r="AC170" s="102" t="str">
        <f aca="false">IF($B170="","",IF($J170&gt;=4,"Yes",""))</f>
        <v/>
      </c>
      <c r="AD170" s="102" t="str">
        <f aca="false">IF($A170="","",IFERROR(IF(VLOOKUP($A170,'Risk Register'!$B$2:$H$1000,4,FALSE())&gt;=4,"Yes",""),""))</f>
        <v/>
      </c>
      <c r="AE170" s="102" t="str">
        <f aca="false">IF(OR($N170="", $O170=""),"",IF($N170&gt;=Lists!$AG$2,IF($O170&gt;=Lists!$AG$4,"High Value / High Risk","High Value / Low Risk"),IF($O170&gt;=Lists!$AG$4,"Low Value / High Risk","Low Value / Low Risk")))</f>
        <v/>
      </c>
      <c r="AF170" s="101"/>
      <c r="AG170" s="126"/>
      <c r="AH170" s="106" t="str">
        <f aca="false">IF($B170="","",COUNTIFS('Debt Backlog'!$AF$2:$AF$1000,$A170,'Debt Backlog'!$B$2:$B$1000,"&lt;&gt;",'Debt Backlog'!$N$2:$N$1000,"&lt;&gt;Done",'Debt Backlog'!$N$2:$N$1000,"&lt;&gt;Won't Fix",'Debt Backlog'!$N$2:$N$1000,"&lt;&gt;Duplicate"))</f>
        <v/>
      </c>
      <c r="AI170" s="103" t="str">
        <f aca="false">IF($B170="","",ROUND(SUMIFS('Debt Backlog'!$L$2:$L$1000,'Debt Backlog'!$AF$2:$AF$1000,$A170,'Debt Backlog'!$B$2:$B$1000,"&lt;&gt;",'Debt Backlog'!$N$2:$N$1000,"&lt;&gt;Done",'Debt Backlog'!$N$2:$N$1000,"&lt;&gt;Won't Fix",'Debt Backlog'!$N$2:$N$1000,"&lt;&gt;Duplicate"),2))</f>
        <v/>
      </c>
    </row>
    <row r="171" customFormat="false" ht="15.75" hidden="false" customHeight="true" outlineLevel="0" collapsed="false">
      <c r="A171" s="125"/>
      <c r="B171" s="101"/>
      <c r="C171" s="101"/>
      <c r="D171" s="101"/>
      <c r="E171" s="101"/>
      <c r="F171" s="101"/>
      <c r="G171" s="101"/>
      <c r="H171" s="101"/>
      <c r="I171" s="106"/>
      <c r="J171" s="106"/>
      <c r="K171" s="106"/>
      <c r="L171" s="106"/>
      <c r="M171" s="106"/>
      <c r="N171" s="103" t="str">
        <f aca="false">IF(OR($B171="", $I171="", $J171="", $K171="", $L171="", $M171=""),"",ROUND(($I171*Lists!$AD$2)+($J171*Lists!$AD$3)+($K171*Lists!$AD$4)+($L171*Lists!$AD$5)+($M171*Lists!$AD$6),2))</f>
        <v/>
      </c>
      <c r="O171" s="103" t="str">
        <f aca="false">IF($A171="","",IFERROR(VLOOKUP($A171,'Risk Register'!$B$2:$I$1000,8,FALSE()),""))</f>
        <v/>
      </c>
      <c r="P171" s="106"/>
      <c r="Q171" s="106"/>
      <c r="R171" s="106"/>
      <c r="S171" s="106"/>
      <c r="T171" s="103" t="str">
        <f aca="false">IF(OR($B171="", $P171="", $Q171="", $R171="", $S171=""),"",ROUND(($P171*Lists!$AD$7)+($Q171*Lists!$AD$8)+($R171*Lists!$AD$9)+($S171*Lists!$AD$10),2))</f>
        <v/>
      </c>
      <c r="U171" s="106"/>
      <c r="V171" s="106"/>
      <c r="W171" s="106"/>
      <c r="X171" s="106"/>
      <c r="Y171" s="106"/>
      <c r="Z171" s="103" t="str">
        <f aca="false">IF(OR($B171="", $U171="", $V171="", $W171="", $X171="", $Y171=""),"",ROUND(($U171*Lists!$AD$11)+($V171*Lists!$AD$12)+($W171*Lists!$AD$13)+($X171*Lists!$AD$14)+($Y171*Lists!$AD$15),2))</f>
        <v/>
      </c>
      <c r="AA171" s="103" t="str">
        <f aca="false">IF(OR($B171="", $N171="", $O171="", $T171="", $Z171=""),"",ROUND(($N171*Lists!$AD$16)-($O171*Lists!$AD$17)-($T171*Lists!$AD$18)+($Z171*Lists!$AD$19),2))</f>
        <v/>
      </c>
      <c r="AB171" s="102" t="str">
        <f aca="false">IF(OR($B171="", $N171="", $Z171=""),"",IF($N171&gt;=Lists!$AG$2,IF($Z171&gt;=Lists!$AG$3,"Invest","Migrate"),IF($Z171&gt;=Lists!$AG$3,"Tolerate","Eliminate")))</f>
        <v/>
      </c>
      <c r="AC171" s="102" t="str">
        <f aca="false">IF($B171="","",IF($J171&gt;=4,"Yes",""))</f>
        <v/>
      </c>
      <c r="AD171" s="102" t="str">
        <f aca="false">IF($A171="","",IFERROR(IF(VLOOKUP($A171,'Risk Register'!$B$2:$H$1000,4,FALSE())&gt;=4,"Yes",""),""))</f>
        <v/>
      </c>
      <c r="AE171" s="102" t="str">
        <f aca="false">IF(OR($N171="", $O171=""),"",IF($N171&gt;=Lists!$AG$2,IF($O171&gt;=Lists!$AG$4,"High Value / High Risk","High Value / Low Risk"),IF($O171&gt;=Lists!$AG$4,"Low Value / High Risk","Low Value / Low Risk")))</f>
        <v/>
      </c>
      <c r="AF171" s="101"/>
      <c r="AG171" s="126"/>
      <c r="AH171" s="106" t="str">
        <f aca="false">IF($B171="","",COUNTIFS('Debt Backlog'!$AF$2:$AF$1000,$A171,'Debt Backlog'!$B$2:$B$1000,"&lt;&gt;",'Debt Backlog'!$N$2:$N$1000,"&lt;&gt;Done",'Debt Backlog'!$N$2:$N$1000,"&lt;&gt;Won't Fix",'Debt Backlog'!$N$2:$N$1000,"&lt;&gt;Duplicate"))</f>
        <v/>
      </c>
      <c r="AI171" s="103" t="str">
        <f aca="false">IF($B171="","",ROUND(SUMIFS('Debt Backlog'!$L$2:$L$1000,'Debt Backlog'!$AF$2:$AF$1000,$A171,'Debt Backlog'!$B$2:$B$1000,"&lt;&gt;",'Debt Backlog'!$N$2:$N$1000,"&lt;&gt;Done",'Debt Backlog'!$N$2:$N$1000,"&lt;&gt;Won't Fix",'Debt Backlog'!$N$2:$N$1000,"&lt;&gt;Duplicate"),2))</f>
        <v/>
      </c>
    </row>
    <row r="172" customFormat="false" ht="15.75" hidden="false" customHeight="true" outlineLevel="0" collapsed="false">
      <c r="A172" s="125"/>
      <c r="B172" s="101"/>
      <c r="C172" s="101"/>
      <c r="D172" s="101"/>
      <c r="E172" s="101"/>
      <c r="F172" s="101"/>
      <c r="G172" s="101"/>
      <c r="H172" s="101"/>
      <c r="I172" s="106"/>
      <c r="J172" s="106"/>
      <c r="K172" s="106"/>
      <c r="L172" s="106"/>
      <c r="M172" s="106"/>
      <c r="N172" s="103" t="str">
        <f aca="false">IF(OR($B172="", $I172="", $J172="", $K172="", $L172="", $M172=""),"",ROUND(($I172*Lists!$AD$2)+($J172*Lists!$AD$3)+($K172*Lists!$AD$4)+($L172*Lists!$AD$5)+($M172*Lists!$AD$6),2))</f>
        <v/>
      </c>
      <c r="O172" s="103" t="str">
        <f aca="false">IF($A172="","",IFERROR(VLOOKUP($A172,'Risk Register'!$B$2:$I$1000,8,FALSE()),""))</f>
        <v/>
      </c>
      <c r="P172" s="106"/>
      <c r="Q172" s="106"/>
      <c r="R172" s="106"/>
      <c r="S172" s="106"/>
      <c r="T172" s="103" t="str">
        <f aca="false">IF(OR($B172="", $P172="", $Q172="", $R172="", $S172=""),"",ROUND(($P172*Lists!$AD$7)+($Q172*Lists!$AD$8)+($R172*Lists!$AD$9)+($S172*Lists!$AD$10),2))</f>
        <v/>
      </c>
      <c r="U172" s="106"/>
      <c r="V172" s="106"/>
      <c r="W172" s="106"/>
      <c r="X172" s="106"/>
      <c r="Y172" s="106"/>
      <c r="Z172" s="103" t="str">
        <f aca="false">IF(OR($B172="", $U172="", $V172="", $W172="", $X172="", $Y172=""),"",ROUND(($U172*Lists!$AD$11)+($V172*Lists!$AD$12)+($W172*Lists!$AD$13)+($X172*Lists!$AD$14)+($Y172*Lists!$AD$15),2))</f>
        <v/>
      </c>
      <c r="AA172" s="103" t="str">
        <f aca="false">IF(OR($B172="", $N172="", $O172="", $T172="", $Z172=""),"",ROUND(($N172*Lists!$AD$16)-($O172*Lists!$AD$17)-($T172*Lists!$AD$18)+($Z172*Lists!$AD$19),2))</f>
        <v/>
      </c>
      <c r="AB172" s="102" t="str">
        <f aca="false">IF(OR($B172="", $N172="", $Z172=""),"",IF($N172&gt;=Lists!$AG$2,IF($Z172&gt;=Lists!$AG$3,"Invest","Migrate"),IF($Z172&gt;=Lists!$AG$3,"Tolerate","Eliminate")))</f>
        <v/>
      </c>
      <c r="AC172" s="102" t="str">
        <f aca="false">IF($B172="","",IF($J172&gt;=4,"Yes",""))</f>
        <v/>
      </c>
      <c r="AD172" s="102" t="str">
        <f aca="false">IF($A172="","",IFERROR(IF(VLOOKUP($A172,'Risk Register'!$B$2:$H$1000,4,FALSE())&gt;=4,"Yes",""),""))</f>
        <v/>
      </c>
      <c r="AE172" s="102" t="str">
        <f aca="false">IF(OR($N172="", $O172=""),"",IF($N172&gt;=Lists!$AG$2,IF($O172&gt;=Lists!$AG$4,"High Value / High Risk","High Value / Low Risk"),IF($O172&gt;=Lists!$AG$4,"Low Value / High Risk","Low Value / Low Risk")))</f>
        <v/>
      </c>
      <c r="AF172" s="101"/>
      <c r="AG172" s="126"/>
      <c r="AH172" s="106" t="str">
        <f aca="false">IF($B172="","",COUNTIFS('Debt Backlog'!$AF$2:$AF$1000,$A172,'Debt Backlog'!$B$2:$B$1000,"&lt;&gt;",'Debt Backlog'!$N$2:$N$1000,"&lt;&gt;Done",'Debt Backlog'!$N$2:$N$1000,"&lt;&gt;Won't Fix",'Debt Backlog'!$N$2:$N$1000,"&lt;&gt;Duplicate"))</f>
        <v/>
      </c>
      <c r="AI172" s="103" t="str">
        <f aca="false">IF($B172="","",ROUND(SUMIFS('Debt Backlog'!$L$2:$L$1000,'Debt Backlog'!$AF$2:$AF$1000,$A172,'Debt Backlog'!$B$2:$B$1000,"&lt;&gt;",'Debt Backlog'!$N$2:$N$1000,"&lt;&gt;Done",'Debt Backlog'!$N$2:$N$1000,"&lt;&gt;Won't Fix",'Debt Backlog'!$N$2:$N$1000,"&lt;&gt;Duplicate"),2))</f>
        <v/>
      </c>
    </row>
    <row r="173" customFormat="false" ht="15.75" hidden="false" customHeight="true" outlineLevel="0" collapsed="false">
      <c r="A173" s="125"/>
      <c r="B173" s="101"/>
      <c r="C173" s="101"/>
      <c r="D173" s="101"/>
      <c r="E173" s="101"/>
      <c r="F173" s="101"/>
      <c r="G173" s="101"/>
      <c r="H173" s="101"/>
      <c r="I173" s="106"/>
      <c r="J173" s="106"/>
      <c r="K173" s="106"/>
      <c r="L173" s="106"/>
      <c r="M173" s="106"/>
      <c r="N173" s="103" t="str">
        <f aca="false">IF(OR($B173="", $I173="", $J173="", $K173="", $L173="", $M173=""),"",ROUND(($I173*Lists!$AD$2)+($J173*Lists!$AD$3)+($K173*Lists!$AD$4)+($L173*Lists!$AD$5)+($M173*Lists!$AD$6),2))</f>
        <v/>
      </c>
      <c r="O173" s="103" t="str">
        <f aca="false">IF($A173="","",IFERROR(VLOOKUP($A173,'Risk Register'!$B$2:$I$1000,8,FALSE()),""))</f>
        <v/>
      </c>
      <c r="P173" s="106"/>
      <c r="Q173" s="106"/>
      <c r="R173" s="106"/>
      <c r="S173" s="106"/>
      <c r="T173" s="103" t="str">
        <f aca="false">IF(OR($B173="", $P173="", $Q173="", $R173="", $S173=""),"",ROUND(($P173*Lists!$AD$7)+($Q173*Lists!$AD$8)+($R173*Lists!$AD$9)+($S173*Lists!$AD$10),2))</f>
        <v/>
      </c>
      <c r="U173" s="106"/>
      <c r="V173" s="106"/>
      <c r="W173" s="106"/>
      <c r="X173" s="106"/>
      <c r="Y173" s="106"/>
      <c r="Z173" s="103" t="str">
        <f aca="false">IF(OR($B173="", $U173="", $V173="", $W173="", $X173="", $Y173=""),"",ROUND(($U173*Lists!$AD$11)+($V173*Lists!$AD$12)+($W173*Lists!$AD$13)+($X173*Lists!$AD$14)+($Y173*Lists!$AD$15),2))</f>
        <v/>
      </c>
      <c r="AA173" s="103" t="str">
        <f aca="false">IF(OR($B173="", $N173="", $O173="", $T173="", $Z173=""),"",ROUND(($N173*Lists!$AD$16)-($O173*Lists!$AD$17)-($T173*Lists!$AD$18)+($Z173*Lists!$AD$19),2))</f>
        <v/>
      </c>
      <c r="AB173" s="102" t="str">
        <f aca="false">IF(OR($B173="", $N173="", $Z173=""),"",IF($N173&gt;=Lists!$AG$2,IF($Z173&gt;=Lists!$AG$3,"Invest","Migrate"),IF($Z173&gt;=Lists!$AG$3,"Tolerate","Eliminate")))</f>
        <v/>
      </c>
      <c r="AC173" s="102" t="str">
        <f aca="false">IF($B173="","",IF($J173&gt;=4,"Yes",""))</f>
        <v/>
      </c>
      <c r="AD173" s="102" t="str">
        <f aca="false">IF($A173="","",IFERROR(IF(VLOOKUP($A173,'Risk Register'!$B$2:$H$1000,4,FALSE())&gt;=4,"Yes",""),""))</f>
        <v/>
      </c>
      <c r="AE173" s="102" t="str">
        <f aca="false">IF(OR($N173="", $O173=""),"",IF($N173&gt;=Lists!$AG$2,IF($O173&gt;=Lists!$AG$4,"High Value / High Risk","High Value / Low Risk"),IF($O173&gt;=Lists!$AG$4,"Low Value / High Risk","Low Value / Low Risk")))</f>
        <v/>
      </c>
      <c r="AF173" s="101"/>
      <c r="AG173" s="126"/>
      <c r="AH173" s="106" t="str">
        <f aca="false">IF($B173="","",COUNTIFS('Debt Backlog'!$AF$2:$AF$1000,$A173,'Debt Backlog'!$B$2:$B$1000,"&lt;&gt;",'Debt Backlog'!$N$2:$N$1000,"&lt;&gt;Done",'Debt Backlog'!$N$2:$N$1000,"&lt;&gt;Won't Fix",'Debt Backlog'!$N$2:$N$1000,"&lt;&gt;Duplicate"))</f>
        <v/>
      </c>
      <c r="AI173" s="103" t="str">
        <f aca="false">IF($B173="","",ROUND(SUMIFS('Debt Backlog'!$L$2:$L$1000,'Debt Backlog'!$AF$2:$AF$1000,$A173,'Debt Backlog'!$B$2:$B$1000,"&lt;&gt;",'Debt Backlog'!$N$2:$N$1000,"&lt;&gt;Done",'Debt Backlog'!$N$2:$N$1000,"&lt;&gt;Won't Fix",'Debt Backlog'!$N$2:$N$1000,"&lt;&gt;Duplicate"),2))</f>
        <v/>
      </c>
    </row>
    <row r="174" customFormat="false" ht="15.75" hidden="false" customHeight="true" outlineLevel="0" collapsed="false">
      <c r="A174" s="125"/>
      <c r="B174" s="101"/>
      <c r="C174" s="101"/>
      <c r="D174" s="101"/>
      <c r="E174" s="101"/>
      <c r="F174" s="101"/>
      <c r="G174" s="101"/>
      <c r="H174" s="101"/>
      <c r="I174" s="106"/>
      <c r="J174" s="106"/>
      <c r="K174" s="106"/>
      <c r="L174" s="106"/>
      <c r="M174" s="106"/>
      <c r="N174" s="103" t="str">
        <f aca="false">IF(OR($B174="", $I174="", $J174="", $K174="", $L174="", $M174=""),"",ROUND(($I174*Lists!$AD$2)+($J174*Lists!$AD$3)+($K174*Lists!$AD$4)+($L174*Lists!$AD$5)+($M174*Lists!$AD$6),2))</f>
        <v/>
      </c>
      <c r="O174" s="103" t="str">
        <f aca="false">IF($A174="","",IFERROR(VLOOKUP($A174,'Risk Register'!$B$2:$I$1000,8,FALSE()),""))</f>
        <v/>
      </c>
      <c r="P174" s="106"/>
      <c r="Q174" s="106"/>
      <c r="R174" s="106"/>
      <c r="S174" s="106"/>
      <c r="T174" s="103" t="str">
        <f aca="false">IF(OR($B174="", $P174="", $Q174="", $R174="", $S174=""),"",ROUND(($P174*Lists!$AD$7)+($Q174*Lists!$AD$8)+($R174*Lists!$AD$9)+($S174*Lists!$AD$10),2))</f>
        <v/>
      </c>
      <c r="U174" s="106"/>
      <c r="V174" s="106"/>
      <c r="W174" s="106"/>
      <c r="X174" s="106"/>
      <c r="Y174" s="106"/>
      <c r="Z174" s="103" t="str">
        <f aca="false">IF(OR($B174="", $U174="", $V174="", $W174="", $X174="", $Y174=""),"",ROUND(($U174*Lists!$AD$11)+($V174*Lists!$AD$12)+($W174*Lists!$AD$13)+($X174*Lists!$AD$14)+($Y174*Lists!$AD$15),2))</f>
        <v/>
      </c>
      <c r="AA174" s="103" t="str">
        <f aca="false">IF(OR($B174="", $N174="", $O174="", $T174="", $Z174=""),"",ROUND(($N174*Lists!$AD$16)-($O174*Lists!$AD$17)-($T174*Lists!$AD$18)+($Z174*Lists!$AD$19),2))</f>
        <v/>
      </c>
      <c r="AB174" s="102" t="str">
        <f aca="false">IF(OR($B174="", $N174="", $Z174=""),"",IF($N174&gt;=Lists!$AG$2,IF($Z174&gt;=Lists!$AG$3,"Invest","Migrate"),IF($Z174&gt;=Lists!$AG$3,"Tolerate","Eliminate")))</f>
        <v/>
      </c>
      <c r="AC174" s="102" t="str">
        <f aca="false">IF($B174="","",IF($J174&gt;=4,"Yes",""))</f>
        <v/>
      </c>
      <c r="AD174" s="102" t="str">
        <f aca="false">IF($A174="","",IFERROR(IF(VLOOKUP($A174,'Risk Register'!$B$2:$H$1000,4,FALSE())&gt;=4,"Yes",""),""))</f>
        <v/>
      </c>
      <c r="AE174" s="102" t="str">
        <f aca="false">IF(OR($N174="", $O174=""),"",IF($N174&gt;=Lists!$AG$2,IF($O174&gt;=Lists!$AG$4,"High Value / High Risk","High Value / Low Risk"),IF($O174&gt;=Lists!$AG$4,"Low Value / High Risk","Low Value / Low Risk")))</f>
        <v/>
      </c>
      <c r="AF174" s="101"/>
      <c r="AG174" s="126"/>
      <c r="AH174" s="106" t="str">
        <f aca="false">IF($B174="","",COUNTIFS('Debt Backlog'!$AF$2:$AF$1000,$A174,'Debt Backlog'!$B$2:$B$1000,"&lt;&gt;",'Debt Backlog'!$N$2:$N$1000,"&lt;&gt;Done",'Debt Backlog'!$N$2:$N$1000,"&lt;&gt;Won't Fix",'Debt Backlog'!$N$2:$N$1000,"&lt;&gt;Duplicate"))</f>
        <v/>
      </c>
      <c r="AI174" s="103" t="str">
        <f aca="false">IF($B174="","",ROUND(SUMIFS('Debt Backlog'!$L$2:$L$1000,'Debt Backlog'!$AF$2:$AF$1000,$A174,'Debt Backlog'!$B$2:$B$1000,"&lt;&gt;",'Debt Backlog'!$N$2:$N$1000,"&lt;&gt;Done",'Debt Backlog'!$N$2:$N$1000,"&lt;&gt;Won't Fix",'Debt Backlog'!$N$2:$N$1000,"&lt;&gt;Duplicate"),2))</f>
        <v/>
      </c>
    </row>
    <row r="175" customFormat="false" ht="15.75" hidden="false" customHeight="true" outlineLevel="0" collapsed="false">
      <c r="A175" s="125"/>
      <c r="B175" s="101"/>
      <c r="C175" s="101"/>
      <c r="D175" s="101"/>
      <c r="E175" s="101"/>
      <c r="F175" s="101"/>
      <c r="G175" s="101"/>
      <c r="H175" s="101"/>
      <c r="I175" s="106"/>
      <c r="J175" s="106"/>
      <c r="K175" s="106"/>
      <c r="L175" s="106"/>
      <c r="M175" s="106"/>
      <c r="N175" s="103" t="str">
        <f aca="false">IF(OR($B175="", $I175="", $J175="", $K175="", $L175="", $M175=""),"",ROUND(($I175*Lists!$AD$2)+($J175*Lists!$AD$3)+($K175*Lists!$AD$4)+($L175*Lists!$AD$5)+($M175*Lists!$AD$6),2))</f>
        <v/>
      </c>
      <c r="O175" s="103" t="str">
        <f aca="false">IF($A175="","",IFERROR(VLOOKUP($A175,'Risk Register'!$B$2:$I$1000,8,FALSE()),""))</f>
        <v/>
      </c>
      <c r="P175" s="106"/>
      <c r="Q175" s="106"/>
      <c r="R175" s="106"/>
      <c r="S175" s="106"/>
      <c r="T175" s="103" t="str">
        <f aca="false">IF(OR($B175="", $P175="", $Q175="", $R175="", $S175=""),"",ROUND(($P175*Lists!$AD$7)+($Q175*Lists!$AD$8)+($R175*Lists!$AD$9)+($S175*Lists!$AD$10),2))</f>
        <v/>
      </c>
      <c r="U175" s="106"/>
      <c r="V175" s="106"/>
      <c r="W175" s="106"/>
      <c r="X175" s="106"/>
      <c r="Y175" s="106"/>
      <c r="Z175" s="103" t="str">
        <f aca="false">IF(OR($B175="", $U175="", $V175="", $W175="", $X175="", $Y175=""),"",ROUND(($U175*Lists!$AD$11)+($V175*Lists!$AD$12)+($W175*Lists!$AD$13)+($X175*Lists!$AD$14)+($Y175*Lists!$AD$15),2))</f>
        <v/>
      </c>
      <c r="AA175" s="103" t="str">
        <f aca="false">IF(OR($B175="", $N175="", $O175="", $T175="", $Z175=""),"",ROUND(($N175*Lists!$AD$16)-($O175*Lists!$AD$17)-($T175*Lists!$AD$18)+($Z175*Lists!$AD$19),2))</f>
        <v/>
      </c>
      <c r="AB175" s="102" t="str">
        <f aca="false">IF(OR($B175="", $N175="", $Z175=""),"",IF($N175&gt;=Lists!$AG$2,IF($Z175&gt;=Lists!$AG$3,"Invest","Migrate"),IF($Z175&gt;=Lists!$AG$3,"Tolerate","Eliminate")))</f>
        <v/>
      </c>
      <c r="AC175" s="102" t="str">
        <f aca="false">IF($B175="","",IF($J175&gt;=4,"Yes",""))</f>
        <v/>
      </c>
      <c r="AD175" s="102" t="str">
        <f aca="false">IF($A175="","",IFERROR(IF(VLOOKUP($A175,'Risk Register'!$B$2:$H$1000,4,FALSE())&gt;=4,"Yes",""),""))</f>
        <v/>
      </c>
      <c r="AE175" s="102" t="str">
        <f aca="false">IF(OR($N175="", $O175=""),"",IF($N175&gt;=Lists!$AG$2,IF($O175&gt;=Lists!$AG$4,"High Value / High Risk","High Value / Low Risk"),IF($O175&gt;=Lists!$AG$4,"Low Value / High Risk","Low Value / Low Risk")))</f>
        <v/>
      </c>
      <c r="AF175" s="101"/>
      <c r="AG175" s="126"/>
      <c r="AH175" s="106" t="str">
        <f aca="false">IF($B175="","",COUNTIFS('Debt Backlog'!$AF$2:$AF$1000,$A175,'Debt Backlog'!$B$2:$B$1000,"&lt;&gt;",'Debt Backlog'!$N$2:$N$1000,"&lt;&gt;Done",'Debt Backlog'!$N$2:$N$1000,"&lt;&gt;Won't Fix",'Debt Backlog'!$N$2:$N$1000,"&lt;&gt;Duplicate"))</f>
        <v/>
      </c>
      <c r="AI175" s="103" t="str">
        <f aca="false">IF($B175="","",ROUND(SUMIFS('Debt Backlog'!$L$2:$L$1000,'Debt Backlog'!$AF$2:$AF$1000,$A175,'Debt Backlog'!$B$2:$B$1000,"&lt;&gt;",'Debt Backlog'!$N$2:$N$1000,"&lt;&gt;Done",'Debt Backlog'!$N$2:$N$1000,"&lt;&gt;Won't Fix",'Debt Backlog'!$N$2:$N$1000,"&lt;&gt;Duplicate"),2))</f>
        <v/>
      </c>
    </row>
    <row r="176" customFormat="false" ht="15.75" hidden="false" customHeight="true" outlineLevel="0" collapsed="false">
      <c r="A176" s="125"/>
      <c r="B176" s="101"/>
      <c r="C176" s="101"/>
      <c r="D176" s="101"/>
      <c r="E176" s="101"/>
      <c r="F176" s="101"/>
      <c r="G176" s="101"/>
      <c r="H176" s="101"/>
      <c r="I176" s="106"/>
      <c r="J176" s="106"/>
      <c r="K176" s="106"/>
      <c r="L176" s="106"/>
      <c r="M176" s="106"/>
      <c r="N176" s="103" t="str">
        <f aca="false">IF(OR($B176="", $I176="", $J176="", $K176="", $L176="", $M176=""),"",ROUND(($I176*Lists!$AD$2)+($J176*Lists!$AD$3)+($K176*Lists!$AD$4)+($L176*Lists!$AD$5)+($M176*Lists!$AD$6),2))</f>
        <v/>
      </c>
      <c r="O176" s="103" t="str">
        <f aca="false">IF($A176="","",IFERROR(VLOOKUP($A176,'Risk Register'!$B$2:$I$1000,8,FALSE()),""))</f>
        <v/>
      </c>
      <c r="P176" s="106"/>
      <c r="Q176" s="106"/>
      <c r="R176" s="106"/>
      <c r="S176" s="106"/>
      <c r="T176" s="103" t="str">
        <f aca="false">IF(OR($B176="", $P176="", $Q176="", $R176="", $S176=""),"",ROUND(($P176*Lists!$AD$7)+($Q176*Lists!$AD$8)+($R176*Lists!$AD$9)+($S176*Lists!$AD$10),2))</f>
        <v/>
      </c>
      <c r="U176" s="106"/>
      <c r="V176" s="106"/>
      <c r="W176" s="106"/>
      <c r="X176" s="106"/>
      <c r="Y176" s="106"/>
      <c r="Z176" s="103" t="str">
        <f aca="false">IF(OR($B176="", $U176="", $V176="", $W176="", $X176="", $Y176=""),"",ROUND(($U176*Lists!$AD$11)+($V176*Lists!$AD$12)+($W176*Lists!$AD$13)+($X176*Lists!$AD$14)+($Y176*Lists!$AD$15),2))</f>
        <v/>
      </c>
      <c r="AA176" s="103" t="str">
        <f aca="false">IF(OR($B176="", $N176="", $O176="", $T176="", $Z176=""),"",ROUND(($N176*Lists!$AD$16)-($O176*Lists!$AD$17)-($T176*Lists!$AD$18)+($Z176*Lists!$AD$19),2))</f>
        <v/>
      </c>
      <c r="AB176" s="102" t="str">
        <f aca="false">IF(OR($B176="", $N176="", $Z176=""),"",IF($N176&gt;=Lists!$AG$2,IF($Z176&gt;=Lists!$AG$3,"Invest","Migrate"),IF($Z176&gt;=Lists!$AG$3,"Tolerate","Eliminate")))</f>
        <v/>
      </c>
      <c r="AC176" s="102" t="str">
        <f aca="false">IF($B176="","",IF($J176&gt;=4,"Yes",""))</f>
        <v/>
      </c>
      <c r="AD176" s="102" t="str">
        <f aca="false">IF($A176="","",IFERROR(IF(VLOOKUP($A176,'Risk Register'!$B$2:$H$1000,4,FALSE())&gt;=4,"Yes",""),""))</f>
        <v/>
      </c>
      <c r="AE176" s="102" t="str">
        <f aca="false">IF(OR($N176="", $O176=""),"",IF($N176&gt;=Lists!$AG$2,IF($O176&gt;=Lists!$AG$4,"High Value / High Risk","High Value / Low Risk"),IF($O176&gt;=Lists!$AG$4,"Low Value / High Risk","Low Value / Low Risk")))</f>
        <v/>
      </c>
      <c r="AF176" s="101"/>
      <c r="AG176" s="126"/>
      <c r="AH176" s="106" t="str">
        <f aca="false">IF($B176="","",COUNTIFS('Debt Backlog'!$AF$2:$AF$1000,$A176,'Debt Backlog'!$B$2:$B$1000,"&lt;&gt;",'Debt Backlog'!$N$2:$N$1000,"&lt;&gt;Done",'Debt Backlog'!$N$2:$N$1000,"&lt;&gt;Won't Fix",'Debt Backlog'!$N$2:$N$1000,"&lt;&gt;Duplicate"))</f>
        <v/>
      </c>
      <c r="AI176" s="103" t="str">
        <f aca="false">IF($B176="","",ROUND(SUMIFS('Debt Backlog'!$L$2:$L$1000,'Debt Backlog'!$AF$2:$AF$1000,$A176,'Debt Backlog'!$B$2:$B$1000,"&lt;&gt;",'Debt Backlog'!$N$2:$N$1000,"&lt;&gt;Done",'Debt Backlog'!$N$2:$N$1000,"&lt;&gt;Won't Fix",'Debt Backlog'!$N$2:$N$1000,"&lt;&gt;Duplicate"),2))</f>
        <v/>
      </c>
    </row>
    <row r="177" customFormat="false" ht="15.75" hidden="false" customHeight="true" outlineLevel="0" collapsed="false">
      <c r="A177" s="125"/>
      <c r="B177" s="101"/>
      <c r="C177" s="101"/>
      <c r="D177" s="101"/>
      <c r="E177" s="101"/>
      <c r="F177" s="101"/>
      <c r="G177" s="101"/>
      <c r="H177" s="101"/>
      <c r="I177" s="106"/>
      <c r="J177" s="106"/>
      <c r="K177" s="106"/>
      <c r="L177" s="106"/>
      <c r="M177" s="106"/>
      <c r="N177" s="103" t="str">
        <f aca="false">IF(OR($B177="", $I177="", $J177="", $K177="", $L177="", $M177=""),"",ROUND(($I177*Lists!$AD$2)+($J177*Lists!$AD$3)+($K177*Lists!$AD$4)+($L177*Lists!$AD$5)+($M177*Lists!$AD$6),2))</f>
        <v/>
      </c>
      <c r="O177" s="103" t="str">
        <f aca="false">IF($A177="","",IFERROR(VLOOKUP($A177,'Risk Register'!$B$2:$I$1000,8,FALSE()),""))</f>
        <v/>
      </c>
      <c r="P177" s="106"/>
      <c r="Q177" s="106"/>
      <c r="R177" s="106"/>
      <c r="S177" s="106"/>
      <c r="T177" s="103" t="str">
        <f aca="false">IF(OR($B177="", $P177="", $Q177="", $R177="", $S177=""),"",ROUND(($P177*Lists!$AD$7)+($Q177*Lists!$AD$8)+($R177*Lists!$AD$9)+($S177*Lists!$AD$10),2))</f>
        <v/>
      </c>
      <c r="U177" s="106"/>
      <c r="V177" s="106"/>
      <c r="W177" s="106"/>
      <c r="X177" s="106"/>
      <c r="Y177" s="106"/>
      <c r="Z177" s="103" t="str">
        <f aca="false">IF(OR($B177="", $U177="", $V177="", $W177="", $X177="", $Y177=""),"",ROUND(($U177*Lists!$AD$11)+($V177*Lists!$AD$12)+($W177*Lists!$AD$13)+($X177*Lists!$AD$14)+($Y177*Lists!$AD$15),2))</f>
        <v/>
      </c>
      <c r="AA177" s="103" t="str">
        <f aca="false">IF(OR($B177="", $N177="", $O177="", $T177="", $Z177=""),"",ROUND(($N177*Lists!$AD$16)-($O177*Lists!$AD$17)-($T177*Lists!$AD$18)+($Z177*Lists!$AD$19),2))</f>
        <v/>
      </c>
      <c r="AB177" s="102" t="str">
        <f aca="false">IF(OR($B177="", $N177="", $Z177=""),"",IF($N177&gt;=Lists!$AG$2,IF($Z177&gt;=Lists!$AG$3,"Invest","Migrate"),IF($Z177&gt;=Lists!$AG$3,"Tolerate","Eliminate")))</f>
        <v/>
      </c>
      <c r="AC177" s="102" t="str">
        <f aca="false">IF($B177="","",IF($J177&gt;=4,"Yes",""))</f>
        <v/>
      </c>
      <c r="AD177" s="102" t="str">
        <f aca="false">IF($A177="","",IFERROR(IF(VLOOKUP($A177,'Risk Register'!$B$2:$H$1000,4,FALSE())&gt;=4,"Yes",""),""))</f>
        <v/>
      </c>
      <c r="AE177" s="102" t="str">
        <f aca="false">IF(OR($N177="", $O177=""),"",IF($N177&gt;=Lists!$AG$2,IF($O177&gt;=Lists!$AG$4,"High Value / High Risk","High Value / Low Risk"),IF($O177&gt;=Lists!$AG$4,"Low Value / High Risk","Low Value / Low Risk")))</f>
        <v/>
      </c>
      <c r="AF177" s="101"/>
      <c r="AG177" s="126"/>
      <c r="AH177" s="106" t="str">
        <f aca="false">IF($B177="","",COUNTIFS('Debt Backlog'!$AF$2:$AF$1000,$A177,'Debt Backlog'!$B$2:$B$1000,"&lt;&gt;",'Debt Backlog'!$N$2:$N$1000,"&lt;&gt;Done",'Debt Backlog'!$N$2:$N$1000,"&lt;&gt;Won't Fix",'Debt Backlog'!$N$2:$N$1000,"&lt;&gt;Duplicate"))</f>
        <v/>
      </c>
      <c r="AI177" s="103" t="str">
        <f aca="false">IF($B177="","",ROUND(SUMIFS('Debt Backlog'!$L$2:$L$1000,'Debt Backlog'!$AF$2:$AF$1000,$A177,'Debt Backlog'!$B$2:$B$1000,"&lt;&gt;",'Debt Backlog'!$N$2:$N$1000,"&lt;&gt;Done",'Debt Backlog'!$N$2:$N$1000,"&lt;&gt;Won't Fix",'Debt Backlog'!$N$2:$N$1000,"&lt;&gt;Duplicate"),2))</f>
        <v/>
      </c>
    </row>
    <row r="178" customFormat="false" ht="15.75" hidden="false" customHeight="true" outlineLevel="0" collapsed="false">
      <c r="A178" s="125"/>
      <c r="B178" s="101"/>
      <c r="C178" s="101"/>
      <c r="D178" s="101"/>
      <c r="E178" s="101"/>
      <c r="F178" s="101"/>
      <c r="G178" s="101"/>
      <c r="H178" s="101"/>
      <c r="I178" s="106"/>
      <c r="J178" s="106"/>
      <c r="K178" s="106"/>
      <c r="L178" s="106"/>
      <c r="M178" s="106"/>
      <c r="N178" s="103" t="str">
        <f aca="false">IF(OR($B178="", $I178="", $J178="", $K178="", $L178="", $M178=""),"",ROUND(($I178*Lists!$AD$2)+($J178*Lists!$AD$3)+($K178*Lists!$AD$4)+($L178*Lists!$AD$5)+($M178*Lists!$AD$6),2))</f>
        <v/>
      </c>
      <c r="O178" s="103" t="str">
        <f aca="false">IF($A178="","",IFERROR(VLOOKUP($A178,'Risk Register'!$B$2:$I$1000,8,FALSE()),""))</f>
        <v/>
      </c>
      <c r="P178" s="106"/>
      <c r="Q178" s="106"/>
      <c r="R178" s="106"/>
      <c r="S178" s="106"/>
      <c r="T178" s="103" t="str">
        <f aca="false">IF(OR($B178="", $P178="", $Q178="", $R178="", $S178=""),"",ROUND(($P178*Lists!$AD$7)+($Q178*Lists!$AD$8)+($R178*Lists!$AD$9)+($S178*Lists!$AD$10),2))</f>
        <v/>
      </c>
      <c r="U178" s="106"/>
      <c r="V178" s="106"/>
      <c r="W178" s="106"/>
      <c r="X178" s="106"/>
      <c r="Y178" s="106"/>
      <c r="Z178" s="103" t="str">
        <f aca="false">IF(OR($B178="", $U178="", $V178="", $W178="", $X178="", $Y178=""),"",ROUND(($U178*Lists!$AD$11)+($V178*Lists!$AD$12)+($W178*Lists!$AD$13)+($X178*Lists!$AD$14)+($Y178*Lists!$AD$15),2))</f>
        <v/>
      </c>
      <c r="AA178" s="103" t="str">
        <f aca="false">IF(OR($B178="", $N178="", $O178="", $T178="", $Z178=""),"",ROUND(($N178*Lists!$AD$16)-($O178*Lists!$AD$17)-($T178*Lists!$AD$18)+($Z178*Lists!$AD$19),2))</f>
        <v/>
      </c>
      <c r="AB178" s="102" t="str">
        <f aca="false">IF(OR($B178="", $N178="", $Z178=""),"",IF($N178&gt;=Lists!$AG$2,IF($Z178&gt;=Lists!$AG$3,"Invest","Migrate"),IF($Z178&gt;=Lists!$AG$3,"Tolerate","Eliminate")))</f>
        <v/>
      </c>
      <c r="AC178" s="102" t="str">
        <f aca="false">IF($B178="","",IF($J178&gt;=4,"Yes",""))</f>
        <v/>
      </c>
      <c r="AD178" s="102" t="str">
        <f aca="false">IF($A178="","",IFERROR(IF(VLOOKUP($A178,'Risk Register'!$B$2:$H$1000,4,FALSE())&gt;=4,"Yes",""),""))</f>
        <v/>
      </c>
      <c r="AE178" s="102" t="str">
        <f aca="false">IF(OR($N178="", $O178=""),"",IF($N178&gt;=Lists!$AG$2,IF($O178&gt;=Lists!$AG$4,"High Value / High Risk","High Value / Low Risk"),IF($O178&gt;=Lists!$AG$4,"Low Value / High Risk","Low Value / Low Risk")))</f>
        <v/>
      </c>
      <c r="AF178" s="101"/>
      <c r="AG178" s="126"/>
      <c r="AH178" s="106" t="str">
        <f aca="false">IF($B178="","",COUNTIFS('Debt Backlog'!$AF$2:$AF$1000,$A178,'Debt Backlog'!$B$2:$B$1000,"&lt;&gt;",'Debt Backlog'!$N$2:$N$1000,"&lt;&gt;Done",'Debt Backlog'!$N$2:$N$1000,"&lt;&gt;Won't Fix",'Debt Backlog'!$N$2:$N$1000,"&lt;&gt;Duplicate"))</f>
        <v/>
      </c>
      <c r="AI178" s="103" t="str">
        <f aca="false">IF($B178="","",ROUND(SUMIFS('Debt Backlog'!$L$2:$L$1000,'Debt Backlog'!$AF$2:$AF$1000,$A178,'Debt Backlog'!$B$2:$B$1000,"&lt;&gt;",'Debt Backlog'!$N$2:$N$1000,"&lt;&gt;Done",'Debt Backlog'!$N$2:$N$1000,"&lt;&gt;Won't Fix",'Debt Backlog'!$N$2:$N$1000,"&lt;&gt;Duplicate"),2))</f>
        <v/>
      </c>
    </row>
    <row r="179" customFormat="false" ht="15.75" hidden="false" customHeight="true" outlineLevel="0" collapsed="false">
      <c r="A179" s="125"/>
      <c r="B179" s="101"/>
      <c r="C179" s="101"/>
      <c r="D179" s="101"/>
      <c r="E179" s="101"/>
      <c r="F179" s="101"/>
      <c r="G179" s="101"/>
      <c r="H179" s="101"/>
      <c r="I179" s="106"/>
      <c r="J179" s="106"/>
      <c r="K179" s="106"/>
      <c r="L179" s="106"/>
      <c r="M179" s="106"/>
      <c r="N179" s="103" t="str">
        <f aca="false">IF(OR($B179="", $I179="", $J179="", $K179="", $L179="", $M179=""),"",ROUND(($I179*Lists!$AD$2)+($J179*Lists!$AD$3)+($K179*Lists!$AD$4)+($L179*Lists!$AD$5)+($M179*Lists!$AD$6),2))</f>
        <v/>
      </c>
      <c r="O179" s="103" t="str">
        <f aca="false">IF($A179="","",IFERROR(VLOOKUP($A179,'Risk Register'!$B$2:$I$1000,8,FALSE()),""))</f>
        <v/>
      </c>
      <c r="P179" s="106"/>
      <c r="Q179" s="106"/>
      <c r="R179" s="106"/>
      <c r="S179" s="106"/>
      <c r="T179" s="103" t="str">
        <f aca="false">IF(OR($B179="", $P179="", $Q179="", $R179="", $S179=""),"",ROUND(($P179*Lists!$AD$7)+($Q179*Lists!$AD$8)+($R179*Lists!$AD$9)+($S179*Lists!$AD$10),2))</f>
        <v/>
      </c>
      <c r="U179" s="106"/>
      <c r="V179" s="106"/>
      <c r="W179" s="106"/>
      <c r="X179" s="106"/>
      <c r="Y179" s="106"/>
      <c r="Z179" s="103" t="str">
        <f aca="false">IF(OR($B179="", $U179="", $V179="", $W179="", $X179="", $Y179=""),"",ROUND(($U179*Lists!$AD$11)+($V179*Lists!$AD$12)+($W179*Lists!$AD$13)+($X179*Lists!$AD$14)+($Y179*Lists!$AD$15),2))</f>
        <v/>
      </c>
      <c r="AA179" s="103" t="str">
        <f aca="false">IF(OR($B179="", $N179="", $O179="", $T179="", $Z179=""),"",ROUND(($N179*Lists!$AD$16)-($O179*Lists!$AD$17)-($T179*Lists!$AD$18)+($Z179*Lists!$AD$19),2))</f>
        <v/>
      </c>
      <c r="AB179" s="102" t="str">
        <f aca="false">IF(OR($B179="", $N179="", $Z179=""),"",IF($N179&gt;=Lists!$AG$2,IF($Z179&gt;=Lists!$AG$3,"Invest","Migrate"),IF($Z179&gt;=Lists!$AG$3,"Tolerate","Eliminate")))</f>
        <v/>
      </c>
      <c r="AC179" s="102" t="str">
        <f aca="false">IF($B179="","",IF($J179&gt;=4,"Yes",""))</f>
        <v/>
      </c>
      <c r="AD179" s="102" t="str">
        <f aca="false">IF($A179="","",IFERROR(IF(VLOOKUP($A179,'Risk Register'!$B$2:$H$1000,4,FALSE())&gt;=4,"Yes",""),""))</f>
        <v/>
      </c>
      <c r="AE179" s="102" t="str">
        <f aca="false">IF(OR($N179="", $O179=""),"",IF($N179&gt;=Lists!$AG$2,IF($O179&gt;=Lists!$AG$4,"High Value / High Risk","High Value / Low Risk"),IF($O179&gt;=Lists!$AG$4,"Low Value / High Risk","Low Value / Low Risk")))</f>
        <v/>
      </c>
      <c r="AF179" s="101"/>
      <c r="AG179" s="126"/>
      <c r="AH179" s="106" t="str">
        <f aca="false">IF($B179="","",COUNTIFS('Debt Backlog'!$AF$2:$AF$1000,$A179,'Debt Backlog'!$B$2:$B$1000,"&lt;&gt;",'Debt Backlog'!$N$2:$N$1000,"&lt;&gt;Done",'Debt Backlog'!$N$2:$N$1000,"&lt;&gt;Won't Fix",'Debt Backlog'!$N$2:$N$1000,"&lt;&gt;Duplicate"))</f>
        <v/>
      </c>
      <c r="AI179" s="103" t="str">
        <f aca="false">IF($B179="","",ROUND(SUMIFS('Debt Backlog'!$L$2:$L$1000,'Debt Backlog'!$AF$2:$AF$1000,$A179,'Debt Backlog'!$B$2:$B$1000,"&lt;&gt;",'Debt Backlog'!$N$2:$N$1000,"&lt;&gt;Done",'Debt Backlog'!$N$2:$N$1000,"&lt;&gt;Won't Fix",'Debt Backlog'!$N$2:$N$1000,"&lt;&gt;Duplicate"),2))</f>
        <v/>
      </c>
    </row>
    <row r="180" customFormat="false" ht="15.75" hidden="false" customHeight="true" outlineLevel="0" collapsed="false">
      <c r="A180" s="125"/>
      <c r="B180" s="101"/>
      <c r="C180" s="101"/>
      <c r="D180" s="101"/>
      <c r="E180" s="101"/>
      <c r="F180" s="101"/>
      <c r="G180" s="101"/>
      <c r="H180" s="101"/>
      <c r="I180" s="106"/>
      <c r="J180" s="106"/>
      <c r="K180" s="106"/>
      <c r="L180" s="106"/>
      <c r="M180" s="106"/>
      <c r="N180" s="103" t="str">
        <f aca="false">IF(OR($B180="", $I180="", $J180="", $K180="", $L180="", $M180=""),"",ROUND(($I180*Lists!$AD$2)+($J180*Lists!$AD$3)+($K180*Lists!$AD$4)+($L180*Lists!$AD$5)+($M180*Lists!$AD$6),2))</f>
        <v/>
      </c>
      <c r="O180" s="103" t="str">
        <f aca="false">IF($A180="","",IFERROR(VLOOKUP($A180,'Risk Register'!$B$2:$I$1000,8,FALSE()),""))</f>
        <v/>
      </c>
      <c r="P180" s="106"/>
      <c r="Q180" s="106"/>
      <c r="R180" s="106"/>
      <c r="S180" s="106"/>
      <c r="T180" s="103" t="str">
        <f aca="false">IF(OR($B180="", $P180="", $Q180="", $R180="", $S180=""),"",ROUND(($P180*Lists!$AD$7)+($Q180*Lists!$AD$8)+($R180*Lists!$AD$9)+($S180*Lists!$AD$10),2))</f>
        <v/>
      </c>
      <c r="U180" s="106"/>
      <c r="V180" s="106"/>
      <c r="W180" s="106"/>
      <c r="X180" s="106"/>
      <c r="Y180" s="106"/>
      <c r="Z180" s="103" t="str">
        <f aca="false">IF(OR($B180="", $U180="", $V180="", $W180="", $X180="", $Y180=""),"",ROUND(($U180*Lists!$AD$11)+($V180*Lists!$AD$12)+($W180*Lists!$AD$13)+($X180*Lists!$AD$14)+($Y180*Lists!$AD$15),2))</f>
        <v/>
      </c>
      <c r="AA180" s="103" t="str">
        <f aca="false">IF(OR($B180="", $N180="", $O180="", $T180="", $Z180=""),"",ROUND(($N180*Lists!$AD$16)-($O180*Lists!$AD$17)-($T180*Lists!$AD$18)+($Z180*Lists!$AD$19),2))</f>
        <v/>
      </c>
      <c r="AB180" s="102" t="str">
        <f aca="false">IF(OR($B180="", $N180="", $Z180=""),"",IF($N180&gt;=Lists!$AG$2,IF($Z180&gt;=Lists!$AG$3,"Invest","Migrate"),IF($Z180&gt;=Lists!$AG$3,"Tolerate","Eliminate")))</f>
        <v/>
      </c>
      <c r="AC180" s="102" t="str">
        <f aca="false">IF($B180="","",IF($J180&gt;=4,"Yes",""))</f>
        <v/>
      </c>
      <c r="AD180" s="102" t="str">
        <f aca="false">IF($A180="","",IFERROR(IF(VLOOKUP($A180,'Risk Register'!$B$2:$H$1000,4,FALSE())&gt;=4,"Yes",""),""))</f>
        <v/>
      </c>
      <c r="AE180" s="102" t="str">
        <f aca="false">IF(OR($N180="", $O180=""),"",IF($N180&gt;=Lists!$AG$2,IF($O180&gt;=Lists!$AG$4,"High Value / High Risk","High Value / Low Risk"),IF($O180&gt;=Lists!$AG$4,"Low Value / High Risk","Low Value / Low Risk")))</f>
        <v/>
      </c>
      <c r="AF180" s="101"/>
      <c r="AG180" s="126"/>
      <c r="AH180" s="106" t="str">
        <f aca="false">IF($B180="","",COUNTIFS('Debt Backlog'!$AF$2:$AF$1000,$A180,'Debt Backlog'!$B$2:$B$1000,"&lt;&gt;",'Debt Backlog'!$N$2:$N$1000,"&lt;&gt;Done",'Debt Backlog'!$N$2:$N$1000,"&lt;&gt;Won't Fix",'Debt Backlog'!$N$2:$N$1000,"&lt;&gt;Duplicate"))</f>
        <v/>
      </c>
      <c r="AI180" s="103" t="str">
        <f aca="false">IF($B180="","",ROUND(SUMIFS('Debt Backlog'!$L$2:$L$1000,'Debt Backlog'!$AF$2:$AF$1000,$A180,'Debt Backlog'!$B$2:$B$1000,"&lt;&gt;",'Debt Backlog'!$N$2:$N$1000,"&lt;&gt;Done",'Debt Backlog'!$N$2:$N$1000,"&lt;&gt;Won't Fix",'Debt Backlog'!$N$2:$N$1000,"&lt;&gt;Duplicate"),2))</f>
        <v/>
      </c>
    </row>
    <row r="181" customFormat="false" ht="15.75" hidden="false" customHeight="true" outlineLevel="0" collapsed="false">
      <c r="A181" s="125"/>
      <c r="B181" s="101"/>
      <c r="C181" s="101"/>
      <c r="D181" s="101"/>
      <c r="E181" s="101"/>
      <c r="F181" s="101"/>
      <c r="G181" s="101"/>
      <c r="H181" s="101"/>
      <c r="I181" s="106"/>
      <c r="J181" s="106"/>
      <c r="K181" s="106"/>
      <c r="L181" s="106"/>
      <c r="M181" s="106"/>
      <c r="N181" s="103" t="str">
        <f aca="false">IF(OR($B181="", $I181="", $J181="", $K181="", $L181="", $M181=""),"",ROUND(($I181*Lists!$AD$2)+($J181*Lists!$AD$3)+($K181*Lists!$AD$4)+($L181*Lists!$AD$5)+($M181*Lists!$AD$6),2))</f>
        <v/>
      </c>
      <c r="O181" s="103" t="str">
        <f aca="false">IF($A181="","",IFERROR(VLOOKUP($A181,'Risk Register'!$B$2:$I$1000,8,FALSE()),""))</f>
        <v/>
      </c>
      <c r="P181" s="106"/>
      <c r="Q181" s="106"/>
      <c r="R181" s="106"/>
      <c r="S181" s="106"/>
      <c r="T181" s="103" t="str">
        <f aca="false">IF(OR($B181="", $P181="", $Q181="", $R181="", $S181=""),"",ROUND(($P181*Lists!$AD$7)+($Q181*Lists!$AD$8)+($R181*Lists!$AD$9)+($S181*Lists!$AD$10),2))</f>
        <v/>
      </c>
      <c r="U181" s="106"/>
      <c r="V181" s="106"/>
      <c r="W181" s="106"/>
      <c r="X181" s="106"/>
      <c r="Y181" s="106"/>
      <c r="Z181" s="103" t="str">
        <f aca="false">IF(OR($B181="", $U181="", $V181="", $W181="", $X181="", $Y181=""),"",ROUND(($U181*Lists!$AD$11)+($V181*Lists!$AD$12)+($W181*Lists!$AD$13)+($X181*Lists!$AD$14)+($Y181*Lists!$AD$15),2))</f>
        <v/>
      </c>
      <c r="AA181" s="103" t="str">
        <f aca="false">IF(OR($B181="", $N181="", $O181="", $T181="", $Z181=""),"",ROUND(($N181*Lists!$AD$16)-($O181*Lists!$AD$17)-($T181*Lists!$AD$18)+($Z181*Lists!$AD$19),2))</f>
        <v/>
      </c>
      <c r="AB181" s="102" t="str">
        <f aca="false">IF(OR($B181="", $N181="", $Z181=""),"",IF($N181&gt;=Lists!$AG$2,IF($Z181&gt;=Lists!$AG$3,"Invest","Migrate"),IF($Z181&gt;=Lists!$AG$3,"Tolerate","Eliminate")))</f>
        <v/>
      </c>
      <c r="AC181" s="102" t="str">
        <f aca="false">IF($B181="","",IF($J181&gt;=4,"Yes",""))</f>
        <v/>
      </c>
      <c r="AD181" s="102" t="str">
        <f aca="false">IF($A181="","",IFERROR(IF(VLOOKUP($A181,'Risk Register'!$B$2:$H$1000,4,FALSE())&gt;=4,"Yes",""),""))</f>
        <v/>
      </c>
      <c r="AE181" s="102" t="str">
        <f aca="false">IF(OR($N181="", $O181=""),"",IF($N181&gt;=Lists!$AG$2,IF($O181&gt;=Lists!$AG$4,"High Value / High Risk","High Value / Low Risk"),IF($O181&gt;=Lists!$AG$4,"Low Value / High Risk","Low Value / Low Risk")))</f>
        <v/>
      </c>
      <c r="AF181" s="101"/>
      <c r="AG181" s="126"/>
      <c r="AH181" s="106" t="str">
        <f aca="false">IF($B181="","",COUNTIFS('Debt Backlog'!$AF$2:$AF$1000,$A181,'Debt Backlog'!$B$2:$B$1000,"&lt;&gt;",'Debt Backlog'!$N$2:$N$1000,"&lt;&gt;Done",'Debt Backlog'!$N$2:$N$1000,"&lt;&gt;Won't Fix",'Debt Backlog'!$N$2:$N$1000,"&lt;&gt;Duplicate"))</f>
        <v/>
      </c>
      <c r="AI181" s="103" t="str">
        <f aca="false">IF($B181="","",ROUND(SUMIFS('Debt Backlog'!$L$2:$L$1000,'Debt Backlog'!$AF$2:$AF$1000,$A181,'Debt Backlog'!$B$2:$B$1000,"&lt;&gt;",'Debt Backlog'!$N$2:$N$1000,"&lt;&gt;Done",'Debt Backlog'!$N$2:$N$1000,"&lt;&gt;Won't Fix",'Debt Backlog'!$N$2:$N$1000,"&lt;&gt;Duplicate"),2))</f>
        <v/>
      </c>
    </row>
    <row r="182" customFormat="false" ht="15.75" hidden="false" customHeight="true" outlineLevel="0" collapsed="false">
      <c r="A182" s="125"/>
      <c r="B182" s="101"/>
      <c r="C182" s="101"/>
      <c r="D182" s="101"/>
      <c r="E182" s="101"/>
      <c r="F182" s="101"/>
      <c r="G182" s="101"/>
      <c r="H182" s="101"/>
      <c r="I182" s="106"/>
      <c r="J182" s="106"/>
      <c r="K182" s="106"/>
      <c r="L182" s="106"/>
      <c r="M182" s="106"/>
      <c r="N182" s="103" t="str">
        <f aca="false">IF(OR($B182="", $I182="", $J182="", $K182="", $L182="", $M182=""),"",ROUND(($I182*Lists!$AD$2)+($J182*Lists!$AD$3)+($K182*Lists!$AD$4)+($L182*Lists!$AD$5)+($M182*Lists!$AD$6),2))</f>
        <v/>
      </c>
      <c r="O182" s="103" t="str">
        <f aca="false">IF($A182="","",IFERROR(VLOOKUP($A182,'Risk Register'!$B$2:$I$1000,8,FALSE()),""))</f>
        <v/>
      </c>
      <c r="P182" s="106"/>
      <c r="Q182" s="106"/>
      <c r="R182" s="106"/>
      <c r="S182" s="106"/>
      <c r="T182" s="103" t="str">
        <f aca="false">IF(OR($B182="", $P182="", $Q182="", $R182="", $S182=""),"",ROUND(($P182*Lists!$AD$7)+($Q182*Lists!$AD$8)+($R182*Lists!$AD$9)+($S182*Lists!$AD$10),2))</f>
        <v/>
      </c>
      <c r="U182" s="106"/>
      <c r="V182" s="106"/>
      <c r="W182" s="106"/>
      <c r="X182" s="106"/>
      <c r="Y182" s="106"/>
      <c r="Z182" s="103" t="str">
        <f aca="false">IF(OR($B182="", $U182="", $V182="", $W182="", $X182="", $Y182=""),"",ROUND(($U182*Lists!$AD$11)+($V182*Lists!$AD$12)+($W182*Lists!$AD$13)+($X182*Lists!$AD$14)+($Y182*Lists!$AD$15),2))</f>
        <v/>
      </c>
      <c r="AA182" s="103" t="str">
        <f aca="false">IF(OR($B182="", $N182="", $O182="", $T182="", $Z182=""),"",ROUND(($N182*Lists!$AD$16)-($O182*Lists!$AD$17)-($T182*Lists!$AD$18)+($Z182*Lists!$AD$19),2))</f>
        <v/>
      </c>
      <c r="AB182" s="102" t="str">
        <f aca="false">IF(OR($B182="", $N182="", $Z182=""),"",IF($N182&gt;=Lists!$AG$2,IF($Z182&gt;=Lists!$AG$3,"Invest","Migrate"),IF($Z182&gt;=Lists!$AG$3,"Tolerate","Eliminate")))</f>
        <v/>
      </c>
      <c r="AC182" s="102" t="str">
        <f aca="false">IF($B182="","",IF($J182&gt;=4,"Yes",""))</f>
        <v/>
      </c>
      <c r="AD182" s="102" t="str">
        <f aca="false">IF($A182="","",IFERROR(IF(VLOOKUP($A182,'Risk Register'!$B$2:$H$1000,4,FALSE())&gt;=4,"Yes",""),""))</f>
        <v/>
      </c>
      <c r="AE182" s="102" t="str">
        <f aca="false">IF(OR($N182="", $O182=""),"",IF($N182&gt;=Lists!$AG$2,IF($O182&gt;=Lists!$AG$4,"High Value / High Risk","High Value / Low Risk"),IF($O182&gt;=Lists!$AG$4,"Low Value / High Risk","Low Value / Low Risk")))</f>
        <v/>
      </c>
      <c r="AF182" s="101"/>
      <c r="AG182" s="126"/>
      <c r="AH182" s="106" t="str">
        <f aca="false">IF($B182="","",COUNTIFS('Debt Backlog'!$AF$2:$AF$1000,$A182,'Debt Backlog'!$B$2:$B$1000,"&lt;&gt;",'Debt Backlog'!$N$2:$N$1000,"&lt;&gt;Done",'Debt Backlog'!$N$2:$N$1000,"&lt;&gt;Won't Fix",'Debt Backlog'!$N$2:$N$1000,"&lt;&gt;Duplicate"))</f>
        <v/>
      </c>
      <c r="AI182" s="103" t="str">
        <f aca="false">IF($B182="","",ROUND(SUMIFS('Debt Backlog'!$L$2:$L$1000,'Debt Backlog'!$AF$2:$AF$1000,$A182,'Debt Backlog'!$B$2:$B$1000,"&lt;&gt;",'Debt Backlog'!$N$2:$N$1000,"&lt;&gt;Done",'Debt Backlog'!$N$2:$N$1000,"&lt;&gt;Won't Fix",'Debt Backlog'!$N$2:$N$1000,"&lt;&gt;Duplicate"),2))</f>
        <v/>
      </c>
    </row>
    <row r="183" customFormat="false" ht="15.75" hidden="false" customHeight="true" outlineLevel="0" collapsed="false">
      <c r="A183" s="125"/>
      <c r="B183" s="101"/>
      <c r="C183" s="101"/>
      <c r="D183" s="101"/>
      <c r="E183" s="101"/>
      <c r="F183" s="101"/>
      <c r="G183" s="101"/>
      <c r="H183" s="101"/>
      <c r="I183" s="106"/>
      <c r="J183" s="106"/>
      <c r="K183" s="106"/>
      <c r="L183" s="106"/>
      <c r="M183" s="106"/>
      <c r="N183" s="103" t="str">
        <f aca="false">IF(OR($B183="", $I183="", $J183="", $K183="", $L183="", $M183=""),"",ROUND(($I183*Lists!$AD$2)+($J183*Lists!$AD$3)+($K183*Lists!$AD$4)+($L183*Lists!$AD$5)+($M183*Lists!$AD$6),2))</f>
        <v/>
      </c>
      <c r="O183" s="103" t="str">
        <f aca="false">IF($A183="","",IFERROR(VLOOKUP($A183,'Risk Register'!$B$2:$I$1000,8,FALSE()),""))</f>
        <v/>
      </c>
      <c r="P183" s="106"/>
      <c r="Q183" s="106"/>
      <c r="R183" s="106"/>
      <c r="S183" s="106"/>
      <c r="T183" s="103" t="str">
        <f aca="false">IF(OR($B183="", $P183="", $Q183="", $R183="", $S183=""),"",ROUND(($P183*Lists!$AD$7)+($Q183*Lists!$AD$8)+($R183*Lists!$AD$9)+($S183*Lists!$AD$10),2))</f>
        <v/>
      </c>
      <c r="U183" s="106"/>
      <c r="V183" s="106"/>
      <c r="W183" s="106"/>
      <c r="X183" s="106"/>
      <c r="Y183" s="106"/>
      <c r="Z183" s="103" t="str">
        <f aca="false">IF(OR($B183="", $U183="", $V183="", $W183="", $X183="", $Y183=""),"",ROUND(($U183*Lists!$AD$11)+($V183*Lists!$AD$12)+($W183*Lists!$AD$13)+($X183*Lists!$AD$14)+($Y183*Lists!$AD$15),2))</f>
        <v/>
      </c>
      <c r="AA183" s="103" t="str">
        <f aca="false">IF(OR($B183="", $N183="", $O183="", $T183="", $Z183=""),"",ROUND(($N183*Lists!$AD$16)-($O183*Lists!$AD$17)-($T183*Lists!$AD$18)+($Z183*Lists!$AD$19),2))</f>
        <v/>
      </c>
      <c r="AB183" s="102" t="str">
        <f aca="false">IF(OR($B183="", $N183="", $Z183=""),"",IF($N183&gt;=Lists!$AG$2,IF($Z183&gt;=Lists!$AG$3,"Invest","Migrate"),IF($Z183&gt;=Lists!$AG$3,"Tolerate","Eliminate")))</f>
        <v/>
      </c>
      <c r="AC183" s="102" t="str">
        <f aca="false">IF($B183="","",IF($J183&gt;=4,"Yes",""))</f>
        <v/>
      </c>
      <c r="AD183" s="102" t="str">
        <f aca="false">IF($A183="","",IFERROR(IF(VLOOKUP($A183,'Risk Register'!$B$2:$H$1000,4,FALSE())&gt;=4,"Yes",""),""))</f>
        <v/>
      </c>
      <c r="AE183" s="102" t="str">
        <f aca="false">IF(OR($N183="", $O183=""),"",IF($N183&gt;=Lists!$AG$2,IF($O183&gt;=Lists!$AG$4,"High Value / High Risk","High Value / Low Risk"),IF($O183&gt;=Lists!$AG$4,"Low Value / High Risk","Low Value / Low Risk")))</f>
        <v/>
      </c>
      <c r="AF183" s="101"/>
      <c r="AG183" s="126"/>
      <c r="AH183" s="106" t="str">
        <f aca="false">IF($B183="","",COUNTIFS('Debt Backlog'!$AF$2:$AF$1000,$A183,'Debt Backlog'!$B$2:$B$1000,"&lt;&gt;",'Debt Backlog'!$N$2:$N$1000,"&lt;&gt;Done",'Debt Backlog'!$N$2:$N$1000,"&lt;&gt;Won't Fix",'Debt Backlog'!$N$2:$N$1000,"&lt;&gt;Duplicate"))</f>
        <v/>
      </c>
      <c r="AI183" s="103" t="str">
        <f aca="false">IF($B183="","",ROUND(SUMIFS('Debt Backlog'!$L$2:$L$1000,'Debt Backlog'!$AF$2:$AF$1000,$A183,'Debt Backlog'!$B$2:$B$1000,"&lt;&gt;",'Debt Backlog'!$N$2:$N$1000,"&lt;&gt;Done",'Debt Backlog'!$N$2:$N$1000,"&lt;&gt;Won't Fix",'Debt Backlog'!$N$2:$N$1000,"&lt;&gt;Duplicate"),2))</f>
        <v/>
      </c>
    </row>
    <row r="184" customFormat="false" ht="15.75" hidden="false" customHeight="true" outlineLevel="0" collapsed="false">
      <c r="A184" s="125"/>
      <c r="B184" s="101"/>
      <c r="C184" s="101"/>
      <c r="D184" s="101"/>
      <c r="E184" s="101"/>
      <c r="F184" s="101"/>
      <c r="G184" s="101"/>
      <c r="H184" s="101"/>
      <c r="I184" s="106"/>
      <c r="J184" s="106"/>
      <c r="K184" s="106"/>
      <c r="L184" s="106"/>
      <c r="M184" s="106"/>
      <c r="N184" s="103" t="str">
        <f aca="false">IF(OR($B184="", $I184="", $J184="", $K184="", $L184="", $M184=""),"",ROUND(($I184*Lists!$AD$2)+($J184*Lists!$AD$3)+($K184*Lists!$AD$4)+($L184*Lists!$AD$5)+($M184*Lists!$AD$6),2))</f>
        <v/>
      </c>
      <c r="O184" s="103" t="str">
        <f aca="false">IF($A184="","",IFERROR(VLOOKUP($A184,'Risk Register'!$B$2:$I$1000,8,FALSE()),""))</f>
        <v/>
      </c>
      <c r="P184" s="106"/>
      <c r="Q184" s="106"/>
      <c r="R184" s="106"/>
      <c r="S184" s="106"/>
      <c r="T184" s="103" t="str">
        <f aca="false">IF(OR($B184="", $P184="", $Q184="", $R184="", $S184=""),"",ROUND(($P184*Lists!$AD$7)+($Q184*Lists!$AD$8)+($R184*Lists!$AD$9)+($S184*Lists!$AD$10),2))</f>
        <v/>
      </c>
      <c r="U184" s="106"/>
      <c r="V184" s="106"/>
      <c r="W184" s="106"/>
      <c r="X184" s="106"/>
      <c r="Y184" s="106"/>
      <c r="Z184" s="103" t="str">
        <f aca="false">IF(OR($B184="", $U184="", $V184="", $W184="", $X184="", $Y184=""),"",ROUND(($U184*Lists!$AD$11)+($V184*Lists!$AD$12)+($W184*Lists!$AD$13)+($X184*Lists!$AD$14)+($Y184*Lists!$AD$15),2))</f>
        <v/>
      </c>
      <c r="AA184" s="103" t="str">
        <f aca="false">IF(OR($B184="", $N184="", $O184="", $T184="", $Z184=""),"",ROUND(($N184*Lists!$AD$16)-($O184*Lists!$AD$17)-($T184*Lists!$AD$18)+($Z184*Lists!$AD$19),2))</f>
        <v/>
      </c>
      <c r="AB184" s="102" t="str">
        <f aca="false">IF(OR($B184="", $N184="", $Z184=""),"",IF($N184&gt;=Lists!$AG$2,IF($Z184&gt;=Lists!$AG$3,"Invest","Migrate"),IF($Z184&gt;=Lists!$AG$3,"Tolerate","Eliminate")))</f>
        <v/>
      </c>
      <c r="AC184" s="102" t="str">
        <f aca="false">IF($B184="","",IF($J184&gt;=4,"Yes",""))</f>
        <v/>
      </c>
      <c r="AD184" s="102" t="str">
        <f aca="false">IF($A184="","",IFERROR(IF(VLOOKUP($A184,'Risk Register'!$B$2:$H$1000,4,FALSE())&gt;=4,"Yes",""),""))</f>
        <v/>
      </c>
      <c r="AE184" s="102" t="str">
        <f aca="false">IF(OR($N184="", $O184=""),"",IF($N184&gt;=Lists!$AG$2,IF($O184&gt;=Lists!$AG$4,"High Value / High Risk","High Value / Low Risk"),IF($O184&gt;=Lists!$AG$4,"Low Value / High Risk","Low Value / Low Risk")))</f>
        <v/>
      </c>
      <c r="AF184" s="101"/>
      <c r="AG184" s="126"/>
      <c r="AH184" s="106" t="str">
        <f aca="false">IF($B184="","",COUNTIFS('Debt Backlog'!$AF$2:$AF$1000,$A184,'Debt Backlog'!$B$2:$B$1000,"&lt;&gt;",'Debt Backlog'!$N$2:$N$1000,"&lt;&gt;Done",'Debt Backlog'!$N$2:$N$1000,"&lt;&gt;Won't Fix",'Debt Backlog'!$N$2:$N$1000,"&lt;&gt;Duplicate"))</f>
        <v/>
      </c>
      <c r="AI184" s="103" t="str">
        <f aca="false">IF($B184="","",ROUND(SUMIFS('Debt Backlog'!$L$2:$L$1000,'Debt Backlog'!$AF$2:$AF$1000,$A184,'Debt Backlog'!$B$2:$B$1000,"&lt;&gt;",'Debt Backlog'!$N$2:$N$1000,"&lt;&gt;Done",'Debt Backlog'!$N$2:$N$1000,"&lt;&gt;Won't Fix",'Debt Backlog'!$N$2:$N$1000,"&lt;&gt;Duplicate"),2))</f>
        <v/>
      </c>
    </row>
    <row r="185" customFormat="false" ht="15.75" hidden="false" customHeight="true" outlineLevel="0" collapsed="false">
      <c r="A185" s="125"/>
      <c r="B185" s="101"/>
      <c r="C185" s="101"/>
      <c r="D185" s="101"/>
      <c r="E185" s="101"/>
      <c r="F185" s="101"/>
      <c r="G185" s="101"/>
      <c r="H185" s="101"/>
      <c r="I185" s="106"/>
      <c r="J185" s="106"/>
      <c r="K185" s="106"/>
      <c r="L185" s="106"/>
      <c r="M185" s="106"/>
      <c r="N185" s="103" t="str">
        <f aca="false">IF(OR($B185="", $I185="", $J185="", $K185="", $L185="", $M185=""),"",ROUND(($I185*Lists!$AD$2)+($J185*Lists!$AD$3)+($K185*Lists!$AD$4)+($L185*Lists!$AD$5)+($M185*Lists!$AD$6),2))</f>
        <v/>
      </c>
      <c r="O185" s="103" t="str">
        <f aca="false">IF($A185="","",IFERROR(VLOOKUP($A185,'Risk Register'!$B$2:$I$1000,8,FALSE()),""))</f>
        <v/>
      </c>
      <c r="P185" s="106"/>
      <c r="Q185" s="106"/>
      <c r="R185" s="106"/>
      <c r="S185" s="106"/>
      <c r="T185" s="103" t="str">
        <f aca="false">IF(OR($B185="", $P185="", $Q185="", $R185="", $S185=""),"",ROUND(($P185*Lists!$AD$7)+($Q185*Lists!$AD$8)+($R185*Lists!$AD$9)+($S185*Lists!$AD$10),2))</f>
        <v/>
      </c>
      <c r="U185" s="106"/>
      <c r="V185" s="106"/>
      <c r="W185" s="106"/>
      <c r="X185" s="106"/>
      <c r="Y185" s="106"/>
      <c r="Z185" s="103" t="str">
        <f aca="false">IF(OR($B185="", $U185="", $V185="", $W185="", $X185="", $Y185=""),"",ROUND(($U185*Lists!$AD$11)+($V185*Lists!$AD$12)+($W185*Lists!$AD$13)+($X185*Lists!$AD$14)+($Y185*Lists!$AD$15),2))</f>
        <v/>
      </c>
      <c r="AA185" s="103" t="str">
        <f aca="false">IF(OR($B185="", $N185="", $O185="", $T185="", $Z185=""),"",ROUND(($N185*Lists!$AD$16)-($O185*Lists!$AD$17)-($T185*Lists!$AD$18)+($Z185*Lists!$AD$19),2))</f>
        <v/>
      </c>
      <c r="AB185" s="102" t="str">
        <f aca="false">IF(OR($B185="", $N185="", $Z185=""),"",IF($N185&gt;=Lists!$AG$2,IF($Z185&gt;=Lists!$AG$3,"Invest","Migrate"),IF($Z185&gt;=Lists!$AG$3,"Tolerate","Eliminate")))</f>
        <v/>
      </c>
      <c r="AC185" s="102" t="str">
        <f aca="false">IF($B185="","",IF($J185&gt;=4,"Yes",""))</f>
        <v/>
      </c>
      <c r="AD185" s="102" t="str">
        <f aca="false">IF($A185="","",IFERROR(IF(VLOOKUP($A185,'Risk Register'!$B$2:$H$1000,4,FALSE())&gt;=4,"Yes",""),""))</f>
        <v/>
      </c>
      <c r="AE185" s="102" t="str">
        <f aca="false">IF(OR($N185="", $O185=""),"",IF($N185&gt;=Lists!$AG$2,IF($O185&gt;=Lists!$AG$4,"High Value / High Risk","High Value / Low Risk"),IF($O185&gt;=Lists!$AG$4,"Low Value / High Risk","Low Value / Low Risk")))</f>
        <v/>
      </c>
      <c r="AF185" s="101"/>
      <c r="AG185" s="126"/>
      <c r="AH185" s="106" t="str">
        <f aca="false">IF($B185="","",COUNTIFS('Debt Backlog'!$AF$2:$AF$1000,$A185,'Debt Backlog'!$B$2:$B$1000,"&lt;&gt;",'Debt Backlog'!$N$2:$N$1000,"&lt;&gt;Done",'Debt Backlog'!$N$2:$N$1000,"&lt;&gt;Won't Fix",'Debt Backlog'!$N$2:$N$1000,"&lt;&gt;Duplicate"))</f>
        <v/>
      </c>
      <c r="AI185" s="103" t="str">
        <f aca="false">IF($B185="","",ROUND(SUMIFS('Debt Backlog'!$L$2:$L$1000,'Debt Backlog'!$AF$2:$AF$1000,$A185,'Debt Backlog'!$B$2:$B$1000,"&lt;&gt;",'Debt Backlog'!$N$2:$N$1000,"&lt;&gt;Done",'Debt Backlog'!$N$2:$N$1000,"&lt;&gt;Won't Fix",'Debt Backlog'!$N$2:$N$1000,"&lt;&gt;Duplicate"),2))</f>
        <v/>
      </c>
    </row>
    <row r="186" customFormat="false" ht="15.75" hidden="false" customHeight="true" outlineLevel="0" collapsed="false">
      <c r="A186" s="125"/>
      <c r="B186" s="101"/>
      <c r="C186" s="101"/>
      <c r="D186" s="101"/>
      <c r="E186" s="101"/>
      <c r="F186" s="101"/>
      <c r="G186" s="101"/>
      <c r="H186" s="101"/>
      <c r="I186" s="106"/>
      <c r="J186" s="106"/>
      <c r="K186" s="106"/>
      <c r="L186" s="106"/>
      <c r="M186" s="106"/>
      <c r="N186" s="103" t="str">
        <f aca="false">IF(OR($B186="", $I186="", $J186="", $K186="", $L186="", $M186=""),"",ROUND(($I186*Lists!$AD$2)+($J186*Lists!$AD$3)+($K186*Lists!$AD$4)+($L186*Lists!$AD$5)+($M186*Lists!$AD$6),2))</f>
        <v/>
      </c>
      <c r="O186" s="103" t="str">
        <f aca="false">IF($A186="","",IFERROR(VLOOKUP($A186,'Risk Register'!$B$2:$I$1000,8,FALSE()),""))</f>
        <v/>
      </c>
      <c r="P186" s="106"/>
      <c r="Q186" s="106"/>
      <c r="R186" s="106"/>
      <c r="S186" s="106"/>
      <c r="T186" s="103" t="str">
        <f aca="false">IF(OR($B186="", $P186="", $Q186="", $R186="", $S186=""),"",ROUND(($P186*Lists!$AD$7)+($Q186*Lists!$AD$8)+($R186*Lists!$AD$9)+($S186*Lists!$AD$10),2))</f>
        <v/>
      </c>
      <c r="U186" s="106"/>
      <c r="V186" s="106"/>
      <c r="W186" s="106"/>
      <c r="X186" s="106"/>
      <c r="Y186" s="106"/>
      <c r="Z186" s="103" t="str">
        <f aca="false">IF(OR($B186="", $U186="", $V186="", $W186="", $X186="", $Y186=""),"",ROUND(($U186*Lists!$AD$11)+($V186*Lists!$AD$12)+($W186*Lists!$AD$13)+($X186*Lists!$AD$14)+($Y186*Lists!$AD$15),2))</f>
        <v/>
      </c>
      <c r="AA186" s="103" t="str">
        <f aca="false">IF(OR($B186="", $N186="", $O186="", $T186="", $Z186=""),"",ROUND(($N186*Lists!$AD$16)-($O186*Lists!$AD$17)-($T186*Lists!$AD$18)+($Z186*Lists!$AD$19),2))</f>
        <v/>
      </c>
      <c r="AB186" s="102" t="str">
        <f aca="false">IF(OR($B186="", $N186="", $Z186=""),"",IF($N186&gt;=Lists!$AG$2,IF($Z186&gt;=Lists!$AG$3,"Invest","Migrate"),IF($Z186&gt;=Lists!$AG$3,"Tolerate","Eliminate")))</f>
        <v/>
      </c>
      <c r="AC186" s="102" t="str">
        <f aca="false">IF($B186="","",IF($J186&gt;=4,"Yes",""))</f>
        <v/>
      </c>
      <c r="AD186" s="102" t="str">
        <f aca="false">IF($A186="","",IFERROR(IF(VLOOKUP($A186,'Risk Register'!$B$2:$H$1000,4,FALSE())&gt;=4,"Yes",""),""))</f>
        <v/>
      </c>
      <c r="AE186" s="102" t="str">
        <f aca="false">IF(OR($N186="", $O186=""),"",IF($N186&gt;=Lists!$AG$2,IF($O186&gt;=Lists!$AG$4,"High Value / High Risk","High Value / Low Risk"),IF($O186&gt;=Lists!$AG$4,"Low Value / High Risk","Low Value / Low Risk")))</f>
        <v/>
      </c>
      <c r="AF186" s="101"/>
      <c r="AG186" s="126"/>
      <c r="AH186" s="106" t="str">
        <f aca="false">IF($B186="","",COUNTIFS('Debt Backlog'!$AF$2:$AF$1000,$A186,'Debt Backlog'!$B$2:$B$1000,"&lt;&gt;",'Debt Backlog'!$N$2:$N$1000,"&lt;&gt;Done",'Debt Backlog'!$N$2:$N$1000,"&lt;&gt;Won't Fix",'Debt Backlog'!$N$2:$N$1000,"&lt;&gt;Duplicate"))</f>
        <v/>
      </c>
      <c r="AI186" s="103" t="str">
        <f aca="false">IF($B186="","",ROUND(SUMIFS('Debt Backlog'!$L$2:$L$1000,'Debt Backlog'!$AF$2:$AF$1000,$A186,'Debt Backlog'!$B$2:$B$1000,"&lt;&gt;",'Debt Backlog'!$N$2:$N$1000,"&lt;&gt;Done",'Debt Backlog'!$N$2:$N$1000,"&lt;&gt;Won't Fix",'Debt Backlog'!$N$2:$N$1000,"&lt;&gt;Duplicate"),2))</f>
        <v/>
      </c>
    </row>
    <row r="187" customFormat="false" ht="15.75" hidden="false" customHeight="true" outlineLevel="0" collapsed="false">
      <c r="A187" s="125"/>
      <c r="B187" s="101"/>
      <c r="C187" s="101"/>
      <c r="D187" s="101"/>
      <c r="E187" s="101"/>
      <c r="F187" s="101"/>
      <c r="G187" s="101"/>
      <c r="H187" s="101"/>
      <c r="I187" s="106"/>
      <c r="J187" s="106"/>
      <c r="K187" s="106"/>
      <c r="L187" s="106"/>
      <c r="M187" s="106"/>
      <c r="N187" s="103" t="str">
        <f aca="false">IF(OR($B187="", $I187="", $J187="", $K187="", $L187="", $M187=""),"",ROUND(($I187*Lists!$AD$2)+($J187*Lists!$AD$3)+($K187*Lists!$AD$4)+($L187*Lists!$AD$5)+($M187*Lists!$AD$6),2))</f>
        <v/>
      </c>
      <c r="O187" s="103" t="str">
        <f aca="false">IF($A187="","",IFERROR(VLOOKUP($A187,'Risk Register'!$B$2:$I$1000,8,FALSE()),""))</f>
        <v/>
      </c>
      <c r="P187" s="106"/>
      <c r="Q187" s="106"/>
      <c r="R187" s="106"/>
      <c r="S187" s="106"/>
      <c r="T187" s="103" t="str">
        <f aca="false">IF(OR($B187="", $P187="", $Q187="", $R187="", $S187=""),"",ROUND(($P187*Lists!$AD$7)+($Q187*Lists!$AD$8)+($R187*Lists!$AD$9)+($S187*Lists!$AD$10),2))</f>
        <v/>
      </c>
      <c r="U187" s="106"/>
      <c r="V187" s="106"/>
      <c r="W187" s="106"/>
      <c r="X187" s="106"/>
      <c r="Y187" s="106"/>
      <c r="Z187" s="103" t="str">
        <f aca="false">IF(OR($B187="", $U187="", $V187="", $W187="", $X187="", $Y187=""),"",ROUND(($U187*Lists!$AD$11)+($V187*Lists!$AD$12)+($W187*Lists!$AD$13)+($X187*Lists!$AD$14)+($Y187*Lists!$AD$15),2))</f>
        <v/>
      </c>
      <c r="AA187" s="103" t="str">
        <f aca="false">IF(OR($B187="", $N187="", $O187="", $T187="", $Z187=""),"",ROUND(($N187*Lists!$AD$16)-($O187*Lists!$AD$17)-($T187*Lists!$AD$18)+($Z187*Lists!$AD$19),2))</f>
        <v/>
      </c>
      <c r="AB187" s="102" t="str">
        <f aca="false">IF(OR($B187="", $N187="", $Z187=""),"",IF($N187&gt;=Lists!$AG$2,IF($Z187&gt;=Lists!$AG$3,"Invest","Migrate"),IF($Z187&gt;=Lists!$AG$3,"Tolerate","Eliminate")))</f>
        <v/>
      </c>
      <c r="AC187" s="102" t="str">
        <f aca="false">IF($B187="","",IF($J187&gt;=4,"Yes",""))</f>
        <v/>
      </c>
      <c r="AD187" s="102" t="str">
        <f aca="false">IF($A187="","",IFERROR(IF(VLOOKUP($A187,'Risk Register'!$B$2:$H$1000,4,FALSE())&gt;=4,"Yes",""),""))</f>
        <v/>
      </c>
      <c r="AE187" s="102" t="str">
        <f aca="false">IF(OR($N187="", $O187=""),"",IF($N187&gt;=Lists!$AG$2,IF($O187&gt;=Lists!$AG$4,"High Value / High Risk","High Value / Low Risk"),IF($O187&gt;=Lists!$AG$4,"Low Value / High Risk","Low Value / Low Risk")))</f>
        <v/>
      </c>
      <c r="AF187" s="101"/>
      <c r="AG187" s="126"/>
      <c r="AH187" s="106" t="str">
        <f aca="false">IF($B187="","",COUNTIFS('Debt Backlog'!$AF$2:$AF$1000,$A187,'Debt Backlog'!$B$2:$B$1000,"&lt;&gt;",'Debt Backlog'!$N$2:$N$1000,"&lt;&gt;Done",'Debt Backlog'!$N$2:$N$1000,"&lt;&gt;Won't Fix",'Debt Backlog'!$N$2:$N$1000,"&lt;&gt;Duplicate"))</f>
        <v/>
      </c>
      <c r="AI187" s="103" t="str">
        <f aca="false">IF($B187="","",ROUND(SUMIFS('Debt Backlog'!$L$2:$L$1000,'Debt Backlog'!$AF$2:$AF$1000,$A187,'Debt Backlog'!$B$2:$B$1000,"&lt;&gt;",'Debt Backlog'!$N$2:$N$1000,"&lt;&gt;Done",'Debt Backlog'!$N$2:$N$1000,"&lt;&gt;Won't Fix",'Debt Backlog'!$N$2:$N$1000,"&lt;&gt;Duplicate"),2))</f>
        <v/>
      </c>
    </row>
    <row r="188" customFormat="false" ht="15.75" hidden="false" customHeight="true" outlineLevel="0" collapsed="false">
      <c r="A188" s="125"/>
      <c r="B188" s="101"/>
      <c r="C188" s="101"/>
      <c r="D188" s="101"/>
      <c r="E188" s="101"/>
      <c r="F188" s="101"/>
      <c r="G188" s="101"/>
      <c r="H188" s="101"/>
      <c r="I188" s="106"/>
      <c r="J188" s="106"/>
      <c r="K188" s="106"/>
      <c r="L188" s="106"/>
      <c r="M188" s="106"/>
      <c r="N188" s="103" t="str">
        <f aca="false">IF(OR($B188="", $I188="", $J188="", $K188="", $L188="", $M188=""),"",ROUND(($I188*Lists!$AD$2)+($J188*Lists!$AD$3)+($K188*Lists!$AD$4)+($L188*Lists!$AD$5)+($M188*Lists!$AD$6),2))</f>
        <v/>
      </c>
      <c r="O188" s="103" t="str">
        <f aca="false">IF($A188="","",IFERROR(VLOOKUP($A188,'Risk Register'!$B$2:$I$1000,8,FALSE()),""))</f>
        <v/>
      </c>
      <c r="P188" s="106"/>
      <c r="Q188" s="106"/>
      <c r="R188" s="106"/>
      <c r="S188" s="106"/>
      <c r="T188" s="103" t="str">
        <f aca="false">IF(OR($B188="", $P188="", $Q188="", $R188="", $S188=""),"",ROUND(($P188*Lists!$AD$7)+($Q188*Lists!$AD$8)+($R188*Lists!$AD$9)+($S188*Lists!$AD$10),2))</f>
        <v/>
      </c>
      <c r="U188" s="106"/>
      <c r="V188" s="106"/>
      <c r="W188" s="106"/>
      <c r="X188" s="106"/>
      <c r="Y188" s="106"/>
      <c r="Z188" s="103" t="str">
        <f aca="false">IF(OR($B188="", $U188="", $V188="", $W188="", $X188="", $Y188=""),"",ROUND(($U188*Lists!$AD$11)+($V188*Lists!$AD$12)+($W188*Lists!$AD$13)+($X188*Lists!$AD$14)+($Y188*Lists!$AD$15),2))</f>
        <v/>
      </c>
      <c r="AA188" s="103" t="str">
        <f aca="false">IF(OR($B188="", $N188="", $O188="", $T188="", $Z188=""),"",ROUND(($N188*Lists!$AD$16)-($O188*Lists!$AD$17)-($T188*Lists!$AD$18)+($Z188*Lists!$AD$19),2))</f>
        <v/>
      </c>
      <c r="AB188" s="102" t="str">
        <f aca="false">IF(OR($B188="", $N188="", $Z188=""),"",IF($N188&gt;=Lists!$AG$2,IF($Z188&gt;=Lists!$AG$3,"Invest","Migrate"),IF($Z188&gt;=Lists!$AG$3,"Tolerate","Eliminate")))</f>
        <v/>
      </c>
      <c r="AC188" s="102" t="str">
        <f aca="false">IF($B188="","",IF($J188&gt;=4,"Yes",""))</f>
        <v/>
      </c>
      <c r="AD188" s="102" t="str">
        <f aca="false">IF($A188="","",IFERROR(IF(VLOOKUP($A188,'Risk Register'!$B$2:$H$1000,4,FALSE())&gt;=4,"Yes",""),""))</f>
        <v/>
      </c>
      <c r="AE188" s="102" t="str">
        <f aca="false">IF(OR($N188="", $O188=""),"",IF($N188&gt;=Lists!$AG$2,IF($O188&gt;=Lists!$AG$4,"High Value / High Risk","High Value / Low Risk"),IF($O188&gt;=Lists!$AG$4,"Low Value / High Risk","Low Value / Low Risk")))</f>
        <v/>
      </c>
      <c r="AF188" s="101"/>
      <c r="AG188" s="126"/>
      <c r="AH188" s="106" t="str">
        <f aca="false">IF($B188="","",COUNTIFS('Debt Backlog'!$AF$2:$AF$1000,$A188,'Debt Backlog'!$B$2:$B$1000,"&lt;&gt;",'Debt Backlog'!$N$2:$N$1000,"&lt;&gt;Done",'Debt Backlog'!$N$2:$N$1000,"&lt;&gt;Won't Fix",'Debt Backlog'!$N$2:$N$1000,"&lt;&gt;Duplicate"))</f>
        <v/>
      </c>
      <c r="AI188" s="103" t="str">
        <f aca="false">IF($B188="","",ROUND(SUMIFS('Debt Backlog'!$L$2:$L$1000,'Debt Backlog'!$AF$2:$AF$1000,$A188,'Debt Backlog'!$B$2:$B$1000,"&lt;&gt;",'Debt Backlog'!$N$2:$N$1000,"&lt;&gt;Done",'Debt Backlog'!$N$2:$N$1000,"&lt;&gt;Won't Fix",'Debt Backlog'!$N$2:$N$1000,"&lt;&gt;Duplicate"),2))</f>
        <v/>
      </c>
    </row>
    <row r="189" customFormat="false" ht="15.75" hidden="false" customHeight="true" outlineLevel="0" collapsed="false">
      <c r="A189" s="125"/>
      <c r="B189" s="101"/>
      <c r="C189" s="101"/>
      <c r="D189" s="101"/>
      <c r="E189" s="101"/>
      <c r="F189" s="101"/>
      <c r="G189" s="101"/>
      <c r="H189" s="101"/>
      <c r="I189" s="106"/>
      <c r="J189" s="106"/>
      <c r="K189" s="106"/>
      <c r="L189" s="106"/>
      <c r="M189" s="106"/>
      <c r="N189" s="103" t="str">
        <f aca="false">IF(OR($B189="", $I189="", $J189="", $K189="", $L189="", $M189=""),"",ROUND(($I189*Lists!$AD$2)+($J189*Lists!$AD$3)+($K189*Lists!$AD$4)+($L189*Lists!$AD$5)+($M189*Lists!$AD$6),2))</f>
        <v/>
      </c>
      <c r="O189" s="103" t="str">
        <f aca="false">IF($A189="","",IFERROR(VLOOKUP($A189,'Risk Register'!$B$2:$I$1000,8,FALSE()),""))</f>
        <v/>
      </c>
      <c r="P189" s="106"/>
      <c r="Q189" s="106"/>
      <c r="R189" s="106"/>
      <c r="S189" s="106"/>
      <c r="T189" s="103" t="str">
        <f aca="false">IF(OR($B189="", $P189="", $Q189="", $R189="", $S189=""),"",ROUND(($P189*Lists!$AD$7)+($Q189*Lists!$AD$8)+($R189*Lists!$AD$9)+($S189*Lists!$AD$10),2))</f>
        <v/>
      </c>
      <c r="U189" s="106"/>
      <c r="V189" s="106"/>
      <c r="W189" s="106"/>
      <c r="X189" s="106"/>
      <c r="Y189" s="106"/>
      <c r="Z189" s="103" t="str">
        <f aca="false">IF(OR($B189="", $U189="", $V189="", $W189="", $X189="", $Y189=""),"",ROUND(($U189*Lists!$AD$11)+($V189*Lists!$AD$12)+($W189*Lists!$AD$13)+($X189*Lists!$AD$14)+($Y189*Lists!$AD$15),2))</f>
        <v/>
      </c>
      <c r="AA189" s="103" t="str">
        <f aca="false">IF(OR($B189="", $N189="", $O189="", $T189="", $Z189=""),"",ROUND(($N189*Lists!$AD$16)-($O189*Lists!$AD$17)-($T189*Lists!$AD$18)+($Z189*Lists!$AD$19),2))</f>
        <v/>
      </c>
      <c r="AB189" s="102" t="str">
        <f aca="false">IF(OR($B189="", $N189="", $Z189=""),"",IF($N189&gt;=Lists!$AG$2,IF($Z189&gt;=Lists!$AG$3,"Invest","Migrate"),IF($Z189&gt;=Lists!$AG$3,"Tolerate","Eliminate")))</f>
        <v/>
      </c>
      <c r="AC189" s="102" t="str">
        <f aca="false">IF($B189="","",IF($J189&gt;=4,"Yes",""))</f>
        <v/>
      </c>
      <c r="AD189" s="102" t="str">
        <f aca="false">IF($A189="","",IFERROR(IF(VLOOKUP($A189,'Risk Register'!$B$2:$H$1000,4,FALSE())&gt;=4,"Yes",""),""))</f>
        <v/>
      </c>
      <c r="AE189" s="102" t="str">
        <f aca="false">IF(OR($N189="", $O189=""),"",IF($N189&gt;=Lists!$AG$2,IF($O189&gt;=Lists!$AG$4,"High Value / High Risk","High Value / Low Risk"),IF($O189&gt;=Lists!$AG$4,"Low Value / High Risk","Low Value / Low Risk")))</f>
        <v/>
      </c>
      <c r="AF189" s="101"/>
      <c r="AG189" s="126"/>
      <c r="AH189" s="106" t="str">
        <f aca="false">IF($B189="","",COUNTIFS('Debt Backlog'!$AF$2:$AF$1000,$A189,'Debt Backlog'!$B$2:$B$1000,"&lt;&gt;",'Debt Backlog'!$N$2:$N$1000,"&lt;&gt;Done",'Debt Backlog'!$N$2:$N$1000,"&lt;&gt;Won't Fix",'Debt Backlog'!$N$2:$N$1000,"&lt;&gt;Duplicate"))</f>
        <v/>
      </c>
      <c r="AI189" s="103" t="str">
        <f aca="false">IF($B189="","",ROUND(SUMIFS('Debt Backlog'!$L$2:$L$1000,'Debt Backlog'!$AF$2:$AF$1000,$A189,'Debt Backlog'!$B$2:$B$1000,"&lt;&gt;",'Debt Backlog'!$N$2:$N$1000,"&lt;&gt;Done",'Debt Backlog'!$N$2:$N$1000,"&lt;&gt;Won't Fix",'Debt Backlog'!$N$2:$N$1000,"&lt;&gt;Duplicate"),2))</f>
        <v/>
      </c>
    </row>
    <row r="190" customFormat="false" ht="15.75" hidden="false" customHeight="true" outlineLevel="0" collapsed="false">
      <c r="A190" s="125"/>
      <c r="B190" s="101"/>
      <c r="C190" s="101"/>
      <c r="D190" s="101"/>
      <c r="E190" s="101"/>
      <c r="F190" s="101"/>
      <c r="G190" s="101"/>
      <c r="H190" s="101"/>
      <c r="I190" s="106"/>
      <c r="J190" s="106"/>
      <c r="K190" s="106"/>
      <c r="L190" s="106"/>
      <c r="M190" s="106"/>
      <c r="N190" s="103" t="str">
        <f aca="false">IF(OR($B190="", $I190="", $J190="", $K190="", $L190="", $M190=""),"",ROUND(($I190*Lists!$AD$2)+($J190*Lists!$AD$3)+($K190*Lists!$AD$4)+($L190*Lists!$AD$5)+($M190*Lists!$AD$6),2))</f>
        <v/>
      </c>
      <c r="O190" s="103" t="str">
        <f aca="false">IF($A190="","",IFERROR(VLOOKUP($A190,'Risk Register'!$B$2:$I$1000,8,FALSE()),""))</f>
        <v/>
      </c>
      <c r="P190" s="106"/>
      <c r="Q190" s="106"/>
      <c r="R190" s="106"/>
      <c r="S190" s="106"/>
      <c r="T190" s="103" t="str">
        <f aca="false">IF(OR($B190="", $P190="", $Q190="", $R190="", $S190=""),"",ROUND(($P190*Lists!$AD$7)+($Q190*Lists!$AD$8)+($R190*Lists!$AD$9)+($S190*Lists!$AD$10),2))</f>
        <v/>
      </c>
      <c r="U190" s="106"/>
      <c r="V190" s="106"/>
      <c r="W190" s="106"/>
      <c r="X190" s="106"/>
      <c r="Y190" s="106"/>
      <c r="Z190" s="103" t="str">
        <f aca="false">IF(OR($B190="", $U190="", $V190="", $W190="", $X190="", $Y190=""),"",ROUND(($U190*Lists!$AD$11)+($V190*Lists!$AD$12)+($W190*Lists!$AD$13)+($X190*Lists!$AD$14)+($Y190*Lists!$AD$15),2))</f>
        <v/>
      </c>
      <c r="AA190" s="103" t="str">
        <f aca="false">IF(OR($B190="", $N190="", $O190="", $T190="", $Z190=""),"",ROUND(($N190*Lists!$AD$16)-($O190*Lists!$AD$17)-($T190*Lists!$AD$18)+($Z190*Lists!$AD$19),2))</f>
        <v/>
      </c>
      <c r="AB190" s="102" t="str">
        <f aca="false">IF(OR($B190="", $N190="", $Z190=""),"",IF($N190&gt;=Lists!$AG$2,IF($Z190&gt;=Lists!$AG$3,"Invest","Migrate"),IF($Z190&gt;=Lists!$AG$3,"Tolerate","Eliminate")))</f>
        <v/>
      </c>
      <c r="AC190" s="102" t="str">
        <f aca="false">IF($B190="","",IF($J190&gt;=4,"Yes",""))</f>
        <v/>
      </c>
      <c r="AD190" s="102" t="str">
        <f aca="false">IF($A190="","",IFERROR(IF(VLOOKUP($A190,'Risk Register'!$B$2:$H$1000,4,FALSE())&gt;=4,"Yes",""),""))</f>
        <v/>
      </c>
      <c r="AE190" s="102" t="str">
        <f aca="false">IF(OR($N190="", $O190=""),"",IF($N190&gt;=Lists!$AG$2,IF($O190&gt;=Lists!$AG$4,"High Value / High Risk","High Value / Low Risk"),IF($O190&gt;=Lists!$AG$4,"Low Value / High Risk","Low Value / Low Risk")))</f>
        <v/>
      </c>
      <c r="AF190" s="101"/>
      <c r="AG190" s="126"/>
      <c r="AH190" s="106" t="str">
        <f aca="false">IF($B190="","",COUNTIFS('Debt Backlog'!$AF$2:$AF$1000,$A190,'Debt Backlog'!$B$2:$B$1000,"&lt;&gt;",'Debt Backlog'!$N$2:$N$1000,"&lt;&gt;Done",'Debt Backlog'!$N$2:$N$1000,"&lt;&gt;Won't Fix",'Debt Backlog'!$N$2:$N$1000,"&lt;&gt;Duplicate"))</f>
        <v/>
      </c>
      <c r="AI190" s="103" t="str">
        <f aca="false">IF($B190="","",ROUND(SUMIFS('Debt Backlog'!$L$2:$L$1000,'Debt Backlog'!$AF$2:$AF$1000,$A190,'Debt Backlog'!$B$2:$B$1000,"&lt;&gt;",'Debt Backlog'!$N$2:$N$1000,"&lt;&gt;Done",'Debt Backlog'!$N$2:$N$1000,"&lt;&gt;Won't Fix",'Debt Backlog'!$N$2:$N$1000,"&lt;&gt;Duplicate"),2))</f>
        <v/>
      </c>
    </row>
    <row r="191" customFormat="false" ht="15.75" hidden="false" customHeight="true" outlineLevel="0" collapsed="false">
      <c r="A191" s="125"/>
      <c r="B191" s="101"/>
      <c r="C191" s="101"/>
      <c r="D191" s="101"/>
      <c r="E191" s="101"/>
      <c r="F191" s="101"/>
      <c r="G191" s="101"/>
      <c r="H191" s="101"/>
      <c r="I191" s="106"/>
      <c r="J191" s="106"/>
      <c r="K191" s="106"/>
      <c r="L191" s="106"/>
      <c r="M191" s="106"/>
      <c r="N191" s="103" t="str">
        <f aca="false">IF(OR($B191="", $I191="", $J191="", $K191="", $L191="", $M191=""),"",ROUND(($I191*Lists!$AD$2)+($J191*Lists!$AD$3)+($K191*Lists!$AD$4)+($L191*Lists!$AD$5)+($M191*Lists!$AD$6),2))</f>
        <v/>
      </c>
      <c r="O191" s="103" t="str">
        <f aca="false">IF($A191="","",IFERROR(VLOOKUP($A191,'Risk Register'!$B$2:$I$1000,8,FALSE()),""))</f>
        <v/>
      </c>
      <c r="P191" s="106"/>
      <c r="Q191" s="106"/>
      <c r="R191" s="106"/>
      <c r="S191" s="106"/>
      <c r="T191" s="103" t="str">
        <f aca="false">IF(OR($B191="", $P191="", $Q191="", $R191="", $S191=""),"",ROUND(($P191*Lists!$AD$7)+($Q191*Lists!$AD$8)+($R191*Lists!$AD$9)+($S191*Lists!$AD$10),2))</f>
        <v/>
      </c>
      <c r="U191" s="106"/>
      <c r="V191" s="106"/>
      <c r="W191" s="106"/>
      <c r="X191" s="106"/>
      <c r="Y191" s="106"/>
      <c r="Z191" s="103" t="str">
        <f aca="false">IF(OR($B191="", $U191="", $V191="", $W191="", $X191="", $Y191=""),"",ROUND(($U191*Lists!$AD$11)+($V191*Lists!$AD$12)+($W191*Lists!$AD$13)+($X191*Lists!$AD$14)+($Y191*Lists!$AD$15),2))</f>
        <v/>
      </c>
      <c r="AA191" s="103" t="str">
        <f aca="false">IF(OR($B191="", $N191="", $O191="", $T191="", $Z191=""),"",ROUND(($N191*Lists!$AD$16)-($O191*Lists!$AD$17)-($T191*Lists!$AD$18)+($Z191*Lists!$AD$19),2))</f>
        <v/>
      </c>
      <c r="AB191" s="102" t="str">
        <f aca="false">IF(OR($B191="", $N191="", $Z191=""),"",IF($N191&gt;=Lists!$AG$2,IF($Z191&gt;=Lists!$AG$3,"Invest","Migrate"),IF($Z191&gt;=Lists!$AG$3,"Tolerate","Eliminate")))</f>
        <v/>
      </c>
      <c r="AC191" s="102" t="str">
        <f aca="false">IF($B191="","",IF($J191&gt;=4,"Yes",""))</f>
        <v/>
      </c>
      <c r="AD191" s="102" t="str">
        <f aca="false">IF($A191="","",IFERROR(IF(VLOOKUP($A191,'Risk Register'!$B$2:$H$1000,4,FALSE())&gt;=4,"Yes",""),""))</f>
        <v/>
      </c>
      <c r="AE191" s="102" t="str">
        <f aca="false">IF(OR($N191="", $O191=""),"",IF($N191&gt;=Lists!$AG$2,IF($O191&gt;=Lists!$AG$4,"High Value / High Risk","High Value / Low Risk"),IF($O191&gt;=Lists!$AG$4,"Low Value / High Risk","Low Value / Low Risk")))</f>
        <v/>
      </c>
      <c r="AF191" s="101"/>
      <c r="AG191" s="126"/>
      <c r="AH191" s="106" t="str">
        <f aca="false">IF($B191="","",COUNTIFS('Debt Backlog'!$AF$2:$AF$1000,$A191,'Debt Backlog'!$B$2:$B$1000,"&lt;&gt;",'Debt Backlog'!$N$2:$N$1000,"&lt;&gt;Done",'Debt Backlog'!$N$2:$N$1000,"&lt;&gt;Won't Fix",'Debt Backlog'!$N$2:$N$1000,"&lt;&gt;Duplicate"))</f>
        <v/>
      </c>
      <c r="AI191" s="103" t="str">
        <f aca="false">IF($B191="","",ROUND(SUMIFS('Debt Backlog'!$L$2:$L$1000,'Debt Backlog'!$AF$2:$AF$1000,$A191,'Debt Backlog'!$B$2:$B$1000,"&lt;&gt;",'Debt Backlog'!$N$2:$N$1000,"&lt;&gt;Done",'Debt Backlog'!$N$2:$N$1000,"&lt;&gt;Won't Fix",'Debt Backlog'!$N$2:$N$1000,"&lt;&gt;Duplicate"),2))</f>
        <v/>
      </c>
    </row>
    <row r="192" customFormat="false" ht="15.75" hidden="false" customHeight="true" outlineLevel="0" collapsed="false">
      <c r="A192" s="125"/>
      <c r="B192" s="101"/>
      <c r="C192" s="101"/>
      <c r="D192" s="101"/>
      <c r="E192" s="101"/>
      <c r="F192" s="101"/>
      <c r="G192" s="101"/>
      <c r="H192" s="101"/>
      <c r="I192" s="106"/>
      <c r="J192" s="106"/>
      <c r="K192" s="106"/>
      <c r="L192" s="106"/>
      <c r="M192" s="106"/>
      <c r="N192" s="103" t="str">
        <f aca="false">IF(OR($B192="", $I192="", $J192="", $K192="", $L192="", $M192=""),"",ROUND(($I192*Lists!$AD$2)+($J192*Lists!$AD$3)+($K192*Lists!$AD$4)+($L192*Lists!$AD$5)+($M192*Lists!$AD$6),2))</f>
        <v/>
      </c>
      <c r="O192" s="103" t="str">
        <f aca="false">IF($A192="","",IFERROR(VLOOKUP($A192,'Risk Register'!$B$2:$I$1000,8,FALSE()),""))</f>
        <v/>
      </c>
      <c r="P192" s="106"/>
      <c r="Q192" s="106"/>
      <c r="R192" s="106"/>
      <c r="S192" s="106"/>
      <c r="T192" s="103" t="str">
        <f aca="false">IF(OR($B192="", $P192="", $Q192="", $R192="", $S192=""),"",ROUND(($P192*Lists!$AD$7)+($Q192*Lists!$AD$8)+($R192*Lists!$AD$9)+($S192*Lists!$AD$10),2))</f>
        <v/>
      </c>
      <c r="U192" s="106"/>
      <c r="V192" s="106"/>
      <c r="W192" s="106"/>
      <c r="X192" s="106"/>
      <c r="Y192" s="106"/>
      <c r="Z192" s="103" t="str">
        <f aca="false">IF(OR($B192="", $U192="", $V192="", $W192="", $X192="", $Y192=""),"",ROUND(($U192*Lists!$AD$11)+($V192*Lists!$AD$12)+($W192*Lists!$AD$13)+($X192*Lists!$AD$14)+($Y192*Lists!$AD$15),2))</f>
        <v/>
      </c>
      <c r="AA192" s="103" t="str">
        <f aca="false">IF(OR($B192="", $N192="", $O192="", $T192="", $Z192=""),"",ROUND(($N192*Lists!$AD$16)-($O192*Lists!$AD$17)-($T192*Lists!$AD$18)+($Z192*Lists!$AD$19),2))</f>
        <v/>
      </c>
      <c r="AB192" s="102" t="str">
        <f aca="false">IF(OR($B192="", $N192="", $Z192=""),"",IF($N192&gt;=Lists!$AG$2,IF($Z192&gt;=Lists!$AG$3,"Invest","Migrate"),IF($Z192&gt;=Lists!$AG$3,"Tolerate","Eliminate")))</f>
        <v/>
      </c>
      <c r="AC192" s="102" t="str">
        <f aca="false">IF($B192="","",IF($J192&gt;=4,"Yes",""))</f>
        <v/>
      </c>
      <c r="AD192" s="102" t="str">
        <f aca="false">IF($A192="","",IFERROR(IF(VLOOKUP($A192,'Risk Register'!$B$2:$H$1000,4,FALSE())&gt;=4,"Yes",""),""))</f>
        <v/>
      </c>
      <c r="AE192" s="102" t="str">
        <f aca="false">IF(OR($N192="", $O192=""),"",IF($N192&gt;=Lists!$AG$2,IF($O192&gt;=Lists!$AG$4,"High Value / High Risk","High Value / Low Risk"),IF($O192&gt;=Lists!$AG$4,"Low Value / High Risk","Low Value / Low Risk")))</f>
        <v/>
      </c>
      <c r="AF192" s="101"/>
      <c r="AG192" s="126"/>
      <c r="AH192" s="106" t="str">
        <f aca="false">IF($B192="","",COUNTIFS('Debt Backlog'!$AF$2:$AF$1000,$A192,'Debt Backlog'!$B$2:$B$1000,"&lt;&gt;",'Debt Backlog'!$N$2:$N$1000,"&lt;&gt;Done",'Debt Backlog'!$N$2:$N$1000,"&lt;&gt;Won't Fix",'Debt Backlog'!$N$2:$N$1000,"&lt;&gt;Duplicate"))</f>
        <v/>
      </c>
      <c r="AI192" s="103" t="str">
        <f aca="false">IF($B192="","",ROUND(SUMIFS('Debt Backlog'!$L$2:$L$1000,'Debt Backlog'!$AF$2:$AF$1000,$A192,'Debt Backlog'!$B$2:$B$1000,"&lt;&gt;",'Debt Backlog'!$N$2:$N$1000,"&lt;&gt;Done",'Debt Backlog'!$N$2:$N$1000,"&lt;&gt;Won't Fix",'Debt Backlog'!$N$2:$N$1000,"&lt;&gt;Duplicate"),2))</f>
        <v/>
      </c>
    </row>
    <row r="193" customFormat="false" ht="15.75" hidden="false" customHeight="true" outlineLevel="0" collapsed="false">
      <c r="A193" s="125"/>
      <c r="B193" s="101"/>
      <c r="C193" s="101"/>
      <c r="D193" s="101"/>
      <c r="E193" s="101"/>
      <c r="F193" s="101"/>
      <c r="G193" s="101"/>
      <c r="H193" s="101"/>
      <c r="I193" s="106"/>
      <c r="J193" s="106"/>
      <c r="K193" s="106"/>
      <c r="L193" s="106"/>
      <c r="M193" s="106"/>
      <c r="N193" s="103" t="str">
        <f aca="false">IF(OR($B193="", $I193="", $J193="", $K193="", $L193="", $M193=""),"",ROUND(($I193*Lists!$AD$2)+($J193*Lists!$AD$3)+($K193*Lists!$AD$4)+($L193*Lists!$AD$5)+($M193*Lists!$AD$6),2))</f>
        <v/>
      </c>
      <c r="O193" s="103" t="str">
        <f aca="false">IF($A193="","",IFERROR(VLOOKUP($A193,'Risk Register'!$B$2:$I$1000,8,FALSE()),""))</f>
        <v/>
      </c>
      <c r="P193" s="106"/>
      <c r="Q193" s="106"/>
      <c r="R193" s="106"/>
      <c r="S193" s="106"/>
      <c r="T193" s="103" t="str">
        <f aca="false">IF(OR($B193="", $P193="", $Q193="", $R193="", $S193=""),"",ROUND(($P193*Lists!$AD$7)+($Q193*Lists!$AD$8)+($R193*Lists!$AD$9)+($S193*Lists!$AD$10),2))</f>
        <v/>
      </c>
      <c r="U193" s="106"/>
      <c r="V193" s="106"/>
      <c r="W193" s="106"/>
      <c r="X193" s="106"/>
      <c r="Y193" s="106"/>
      <c r="Z193" s="103" t="str">
        <f aca="false">IF(OR($B193="", $U193="", $V193="", $W193="", $X193="", $Y193=""),"",ROUND(($U193*Lists!$AD$11)+($V193*Lists!$AD$12)+($W193*Lists!$AD$13)+($X193*Lists!$AD$14)+($Y193*Lists!$AD$15),2))</f>
        <v/>
      </c>
      <c r="AA193" s="103" t="str">
        <f aca="false">IF(OR($B193="", $N193="", $O193="", $T193="", $Z193=""),"",ROUND(($N193*Lists!$AD$16)-($O193*Lists!$AD$17)-($T193*Lists!$AD$18)+($Z193*Lists!$AD$19),2))</f>
        <v/>
      </c>
      <c r="AB193" s="102" t="str">
        <f aca="false">IF(OR($B193="", $N193="", $Z193=""),"",IF($N193&gt;=Lists!$AG$2,IF($Z193&gt;=Lists!$AG$3,"Invest","Migrate"),IF($Z193&gt;=Lists!$AG$3,"Tolerate","Eliminate")))</f>
        <v/>
      </c>
      <c r="AC193" s="102" t="str">
        <f aca="false">IF($B193="","",IF($J193&gt;=4,"Yes",""))</f>
        <v/>
      </c>
      <c r="AD193" s="102" t="str">
        <f aca="false">IF($A193="","",IFERROR(IF(VLOOKUP($A193,'Risk Register'!$B$2:$H$1000,4,FALSE())&gt;=4,"Yes",""),""))</f>
        <v/>
      </c>
      <c r="AE193" s="102" t="str">
        <f aca="false">IF(OR($N193="", $O193=""),"",IF($N193&gt;=Lists!$AG$2,IF($O193&gt;=Lists!$AG$4,"High Value / High Risk","High Value / Low Risk"),IF($O193&gt;=Lists!$AG$4,"Low Value / High Risk","Low Value / Low Risk")))</f>
        <v/>
      </c>
      <c r="AF193" s="101"/>
      <c r="AG193" s="126"/>
      <c r="AH193" s="106" t="str">
        <f aca="false">IF($B193="","",COUNTIFS('Debt Backlog'!$AF$2:$AF$1000,$A193,'Debt Backlog'!$B$2:$B$1000,"&lt;&gt;",'Debt Backlog'!$N$2:$N$1000,"&lt;&gt;Done",'Debt Backlog'!$N$2:$N$1000,"&lt;&gt;Won't Fix",'Debt Backlog'!$N$2:$N$1000,"&lt;&gt;Duplicate"))</f>
        <v/>
      </c>
      <c r="AI193" s="103" t="str">
        <f aca="false">IF($B193="","",ROUND(SUMIFS('Debt Backlog'!$L$2:$L$1000,'Debt Backlog'!$AF$2:$AF$1000,$A193,'Debt Backlog'!$B$2:$B$1000,"&lt;&gt;",'Debt Backlog'!$N$2:$N$1000,"&lt;&gt;Done",'Debt Backlog'!$N$2:$N$1000,"&lt;&gt;Won't Fix",'Debt Backlog'!$N$2:$N$1000,"&lt;&gt;Duplicate"),2))</f>
        <v/>
      </c>
    </row>
    <row r="194" customFormat="false" ht="15.75" hidden="false" customHeight="true" outlineLevel="0" collapsed="false">
      <c r="A194" s="125"/>
      <c r="B194" s="101"/>
      <c r="C194" s="101"/>
      <c r="D194" s="101"/>
      <c r="E194" s="101"/>
      <c r="F194" s="101"/>
      <c r="G194" s="101"/>
      <c r="H194" s="101"/>
      <c r="I194" s="106"/>
      <c r="J194" s="106"/>
      <c r="K194" s="106"/>
      <c r="L194" s="106"/>
      <c r="M194" s="106"/>
      <c r="N194" s="103" t="str">
        <f aca="false">IF(OR($B194="", $I194="", $J194="", $K194="", $L194="", $M194=""),"",ROUND(($I194*Lists!$AD$2)+($J194*Lists!$AD$3)+($K194*Lists!$AD$4)+($L194*Lists!$AD$5)+($M194*Lists!$AD$6),2))</f>
        <v/>
      </c>
      <c r="O194" s="103" t="str">
        <f aca="false">IF($A194="","",IFERROR(VLOOKUP($A194,'Risk Register'!$B$2:$I$1000,8,FALSE()),""))</f>
        <v/>
      </c>
      <c r="P194" s="106"/>
      <c r="Q194" s="106"/>
      <c r="R194" s="106"/>
      <c r="S194" s="106"/>
      <c r="T194" s="103" t="str">
        <f aca="false">IF(OR($B194="", $P194="", $Q194="", $R194="", $S194=""),"",ROUND(($P194*Lists!$AD$7)+($Q194*Lists!$AD$8)+($R194*Lists!$AD$9)+($S194*Lists!$AD$10),2))</f>
        <v/>
      </c>
      <c r="U194" s="106"/>
      <c r="V194" s="106"/>
      <c r="W194" s="106"/>
      <c r="X194" s="106"/>
      <c r="Y194" s="106"/>
      <c r="Z194" s="103" t="str">
        <f aca="false">IF(OR($B194="", $U194="", $V194="", $W194="", $X194="", $Y194=""),"",ROUND(($U194*Lists!$AD$11)+($V194*Lists!$AD$12)+($W194*Lists!$AD$13)+($X194*Lists!$AD$14)+($Y194*Lists!$AD$15),2))</f>
        <v/>
      </c>
      <c r="AA194" s="103" t="str">
        <f aca="false">IF(OR($B194="", $N194="", $O194="", $T194="", $Z194=""),"",ROUND(($N194*Lists!$AD$16)-($O194*Lists!$AD$17)-($T194*Lists!$AD$18)+($Z194*Lists!$AD$19),2))</f>
        <v/>
      </c>
      <c r="AB194" s="102" t="str">
        <f aca="false">IF(OR($B194="", $N194="", $Z194=""),"",IF($N194&gt;=Lists!$AG$2,IF($Z194&gt;=Lists!$AG$3,"Invest","Migrate"),IF($Z194&gt;=Lists!$AG$3,"Tolerate","Eliminate")))</f>
        <v/>
      </c>
      <c r="AC194" s="102" t="str">
        <f aca="false">IF($B194="","",IF($J194&gt;=4,"Yes",""))</f>
        <v/>
      </c>
      <c r="AD194" s="102" t="str">
        <f aca="false">IF($A194="","",IFERROR(IF(VLOOKUP($A194,'Risk Register'!$B$2:$H$1000,4,FALSE())&gt;=4,"Yes",""),""))</f>
        <v/>
      </c>
      <c r="AE194" s="102" t="str">
        <f aca="false">IF(OR($N194="", $O194=""),"",IF($N194&gt;=Lists!$AG$2,IF($O194&gt;=Lists!$AG$4,"High Value / High Risk","High Value / Low Risk"),IF($O194&gt;=Lists!$AG$4,"Low Value / High Risk","Low Value / Low Risk")))</f>
        <v/>
      </c>
      <c r="AF194" s="101"/>
      <c r="AG194" s="126"/>
      <c r="AH194" s="106" t="str">
        <f aca="false">IF($B194="","",COUNTIFS('Debt Backlog'!$AF$2:$AF$1000,$A194,'Debt Backlog'!$B$2:$B$1000,"&lt;&gt;",'Debt Backlog'!$N$2:$N$1000,"&lt;&gt;Done",'Debt Backlog'!$N$2:$N$1000,"&lt;&gt;Won't Fix",'Debt Backlog'!$N$2:$N$1000,"&lt;&gt;Duplicate"))</f>
        <v/>
      </c>
      <c r="AI194" s="103" t="str">
        <f aca="false">IF($B194="","",ROUND(SUMIFS('Debt Backlog'!$L$2:$L$1000,'Debt Backlog'!$AF$2:$AF$1000,$A194,'Debt Backlog'!$B$2:$B$1000,"&lt;&gt;",'Debt Backlog'!$N$2:$N$1000,"&lt;&gt;Done",'Debt Backlog'!$N$2:$N$1000,"&lt;&gt;Won't Fix",'Debt Backlog'!$N$2:$N$1000,"&lt;&gt;Duplicate"),2))</f>
        <v/>
      </c>
    </row>
    <row r="195" customFormat="false" ht="15.75" hidden="false" customHeight="true" outlineLevel="0" collapsed="false">
      <c r="A195" s="125"/>
      <c r="B195" s="101"/>
      <c r="C195" s="101"/>
      <c r="D195" s="101"/>
      <c r="E195" s="101"/>
      <c r="F195" s="101"/>
      <c r="G195" s="101"/>
      <c r="H195" s="101"/>
      <c r="I195" s="106"/>
      <c r="J195" s="106"/>
      <c r="K195" s="106"/>
      <c r="L195" s="106"/>
      <c r="M195" s="106"/>
      <c r="N195" s="103" t="str">
        <f aca="false">IF(OR($B195="", $I195="", $J195="", $K195="", $L195="", $M195=""),"",ROUND(($I195*Lists!$AD$2)+($J195*Lists!$AD$3)+($K195*Lists!$AD$4)+($L195*Lists!$AD$5)+($M195*Lists!$AD$6),2))</f>
        <v/>
      </c>
      <c r="O195" s="103" t="str">
        <f aca="false">IF($A195="","",IFERROR(VLOOKUP($A195,'Risk Register'!$B$2:$I$1000,8,FALSE()),""))</f>
        <v/>
      </c>
      <c r="P195" s="106"/>
      <c r="Q195" s="106"/>
      <c r="R195" s="106"/>
      <c r="S195" s="106"/>
      <c r="T195" s="103" t="str">
        <f aca="false">IF(OR($B195="", $P195="", $Q195="", $R195="", $S195=""),"",ROUND(($P195*Lists!$AD$7)+($Q195*Lists!$AD$8)+($R195*Lists!$AD$9)+($S195*Lists!$AD$10),2))</f>
        <v/>
      </c>
      <c r="U195" s="106"/>
      <c r="V195" s="106"/>
      <c r="W195" s="106"/>
      <c r="X195" s="106"/>
      <c r="Y195" s="106"/>
      <c r="Z195" s="103" t="str">
        <f aca="false">IF(OR($B195="", $U195="", $V195="", $W195="", $X195="", $Y195=""),"",ROUND(($U195*Lists!$AD$11)+($V195*Lists!$AD$12)+($W195*Lists!$AD$13)+($X195*Lists!$AD$14)+($Y195*Lists!$AD$15),2))</f>
        <v/>
      </c>
      <c r="AA195" s="103" t="str">
        <f aca="false">IF(OR($B195="", $N195="", $O195="", $T195="", $Z195=""),"",ROUND(($N195*Lists!$AD$16)-($O195*Lists!$AD$17)-($T195*Lists!$AD$18)+($Z195*Lists!$AD$19),2))</f>
        <v/>
      </c>
      <c r="AB195" s="102" t="str">
        <f aca="false">IF(OR($B195="", $N195="", $Z195=""),"",IF($N195&gt;=Lists!$AG$2,IF($Z195&gt;=Lists!$AG$3,"Invest","Migrate"),IF($Z195&gt;=Lists!$AG$3,"Tolerate","Eliminate")))</f>
        <v/>
      </c>
      <c r="AC195" s="102" t="str">
        <f aca="false">IF($B195="","",IF($J195&gt;=4,"Yes",""))</f>
        <v/>
      </c>
      <c r="AD195" s="102" t="str">
        <f aca="false">IF($A195="","",IFERROR(IF(VLOOKUP($A195,'Risk Register'!$B$2:$H$1000,4,FALSE())&gt;=4,"Yes",""),""))</f>
        <v/>
      </c>
      <c r="AE195" s="102" t="str">
        <f aca="false">IF(OR($N195="", $O195=""),"",IF($N195&gt;=Lists!$AG$2,IF($O195&gt;=Lists!$AG$4,"High Value / High Risk","High Value / Low Risk"),IF($O195&gt;=Lists!$AG$4,"Low Value / High Risk","Low Value / Low Risk")))</f>
        <v/>
      </c>
      <c r="AF195" s="101"/>
      <c r="AG195" s="126"/>
      <c r="AH195" s="106" t="str">
        <f aca="false">IF($B195="","",COUNTIFS('Debt Backlog'!$AF$2:$AF$1000,$A195,'Debt Backlog'!$B$2:$B$1000,"&lt;&gt;",'Debt Backlog'!$N$2:$N$1000,"&lt;&gt;Done",'Debt Backlog'!$N$2:$N$1000,"&lt;&gt;Won't Fix",'Debt Backlog'!$N$2:$N$1000,"&lt;&gt;Duplicate"))</f>
        <v/>
      </c>
      <c r="AI195" s="103" t="str">
        <f aca="false">IF($B195="","",ROUND(SUMIFS('Debt Backlog'!$L$2:$L$1000,'Debt Backlog'!$AF$2:$AF$1000,$A195,'Debt Backlog'!$B$2:$B$1000,"&lt;&gt;",'Debt Backlog'!$N$2:$N$1000,"&lt;&gt;Done",'Debt Backlog'!$N$2:$N$1000,"&lt;&gt;Won't Fix",'Debt Backlog'!$N$2:$N$1000,"&lt;&gt;Duplicate"),2))</f>
        <v/>
      </c>
    </row>
    <row r="196" customFormat="false" ht="15.75" hidden="false" customHeight="true" outlineLevel="0" collapsed="false">
      <c r="A196" s="125"/>
      <c r="B196" s="101"/>
      <c r="C196" s="101"/>
      <c r="D196" s="101"/>
      <c r="E196" s="101"/>
      <c r="F196" s="101"/>
      <c r="G196" s="101"/>
      <c r="H196" s="101"/>
      <c r="I196" s="106"/>
      <c r="J196" s="106"/>
      <c r="K196" s="106"/>
      <c r="L196" s="106"/>
      <c r="M196" s="106"/>
      <c r="N196" s="103" t="str">
        <f aca="false">IF(OR($B196="", $I196="", $J196="", $K196="", $L196="", $M196=""),"",ROUND(($I196*Lists!$AD$2)+($J196*Lists!$AD$3)+($K196*Lists!$AD$4)+($L196*Lists!$AD$5)+($M196*Lists!$AD$6),2))</f>
        <v/>
      </c>
      <c r="O196" s="103" t="str">
        <f aca="false">IF($A196="","",IFERROR(VLOOKUP($A196,'Risk Register'!$B$2:$I$1000,8,FALSE()),""))</f>
        <v/>
      </c>
      <c r="P196" s="106"/>
      <c r="Q196" s="106"/>
      <c r="R196" s="106"/>
      <c r="S196" s="106"/>
      <c r="T196" s="103" t="str">
        <f aca="false">IF(OR($B196="", $P196="", $Q196="", $R196="", $S196=""),"",ROUND(($P196*Lists!$AD$7)+($Q196*Lists!$AD$8)+($R196*Lists!$AD$9)+($S196*Lists!$AD$10),2))</f>
        <v/>
      </c>
      <c r="U196" s="106"/>
      <c r="V196" s="106"/>
      <c r="W196" s="106"/>
      <c r="X196" s="106"/>
      <c r="Y196" s="106"/>
      <c r="Z196" s="103" t="str">
        <f aca="false">IF(OR($B196="", $U196="", $V196="", $W196="", $X196="", $Y196=""),"",ROUND(($U196*Lists!$AD$11)+($V196*Lists!$AD$12)+($W196*Lists!$AD$13)+($X196*Lists!$AD$14)+($Y196*Lists!$AD$15),2))</f>
        <v/>
      </c>
      <c r="AA196" s="103" t="str">
        <f aca="false">IF(OR($B196="", $N196="", $O196="", $T196="", $Z196=""),"",ROUND(($N196*Lists!$AD$16)-($O196*Lists!$AD$17)-($T196*Lists!$AD$18)+($Z196*Lists!$AD$19),2))</f>
        <v/>
      </c>
      <c r="AB196" s="102" t="str">
        <f aca="false">IF(OR($B196="", $N196="", $Z196=""),"",IF($N196&gt;=Lists!$AG$2,IF($Z196&gt;=Lists!$AG$3,"Invest","Migrate"),IF($Z196&gt;=Lists!$AG$3,"Tolerate","Eliminate")))</f>
        <v/>
      </c>
      <c r="AC196" s="102" t="str">
        <f aca="false">IF($B196="","",IF($J196&gt;=4,"Yes",""))</f>
        <v/>
      </c>
      <c r="AD196" s="102" t="str">
        <f aca="false">IF($A196="","",IFERROR(IF(VLOOKUP($A196,'Risk Register'!$B$2:$H$1000,4,FALSE())&gt;=4,"Yes",""),""))</f>
        <v/>
      </c>
      <c r="AE196" s="102" t="str">
        <f aca="false">IF(OR($N196="", $O196=""),"",IF($N196&gt;=Lists!$AG$2,IF($O196&gt;=Lists!$AG$4,"High Value / High Risk","High Value / Low Risk"),IF($O196&gt;=Lists!$AG$4,"Low Value / High Risk","Low Value / Low Risk")))</f>
        <v/>
      </c>
      <c r="AF196" s="101"/>
      <c r="AG196" s="126"/>
      <c r="AH196" s="106" t="str">
        <f aca="false">IF($B196="","",COUNTIFS('Debt Backlog'!$AF$2:$AF$1000,$A196,'Debt Backlog'!$B$2:$B$1000,"&lt;&gt;",'Debt Backlog'!$N$2:$N$1000,"&lt;&gt;Done",'Debt Backlog'!$N$2:$N$1000,"&lt;&gt;Won't Fix",'Debt Backlog'!$N$2:$N$1000,"&lt;&gt;Duplicate"))</f>
        <v/>
      </c>
      <c r="AI196" s="103" t="str">
        <f aca="false">IF($B196="","",ROUND(SUMIFS('Debt Backlog'!$L$2:$L$1000,'Debt Backlog'!$AF$2:$AF$1000,$A196,'Debt Backlog'!$B$2:$B$1000,"&lt;&gt;",'Debt Backlog'!$N$2:$N$1000,"&lt;&gt;Done",'Debt Backlog'!$N$2:$N$1000,"&lt;&gt;Won't Fix",'Debt Backlog'!$N$2:$N$1000,"&lt;&gt;Duplicate"),2))</f>
        <v/>
      </c>
    </row>
    <row r="197" customFormat="false" ht="15.75" hidden="false" customHeight="true" outlineLevel="0" collapsed="false">
      <c r="A197" s="125"/>
      <c r="B197" s="101"/>
      <c r="C197" s="101"/>
      <c r="D197" s="101"/>
      <c r="E197" s="101"/>
      <c r="F197" s="101"/>
      <c r="G197" s="101"/>
      <c r="H197" s="101"/>
      <c r="I197" s="106"/>
      <c r="J197" s="106"/>
      <c r="K197" s="106"/>
      <c r="L197" s="106"/>
      <c r="M197" s="106"/>
      <c r="N197" s="103" t="str">
        <f aca="false">IF(OR($B197="", $I197="", $J197="", $K197="", $L197="", $M197=""),"",ROUND(($I197*Lists!$AD$2)+($J197*Lists!$AD$3)+($K197*Lists!$AD$4)+($L197*Lists!$AD$5)+($M197*Lists!$AD$6),2))</f>
        <v/>
      </c>
      <c r="O197" s="103" t="str">
        <f aca="false">IF($A197="","",IFERROR(VLOOKUP($A197,'Risk Register'!$B$2:$I$1000,8,FALSE()),""))</f>
        <v/>
      </c>
      <c r="P197" s="106"/>
      <c r="Q197" s="106"/>
      <c r="R197" s="106"/>
      <c r="S197" s="106"/>
      <c r="T197" s="103" t="str">
        <f aca="false">IF(OR($B197="", $P197="", $Q197="", $R197="", $S197=""),"",ROUND(($P197*Lists!$AD$7)+($Q197*Lists!$AD$8)+($R197*Lists!$AD$9)+($S197*Lists!$AD$10),2))</f>
        <v/>
      </c>
      <c r="U197" s="106"/>
      <c r="V197" s="106"/>
      <c r="W197" s="106"/>
      <c r="X197" s="106"/>
      <c r="Y197" s="106"/>
      <c r="Z197" s="103" t="str">
        <f aca="false">IF(OR($B197="", $U197="", $V197="", $W197="", $X197="", $Y197=""),"",ROUND(($U197*Lists!$AD$11)+($V197*Lists!$AD$12)+($W197*Lists!$AD$13)+($X197*Lists!$AD$14)+($Y197*Lists!$AD$15),2))</f>
        <v/>
      </c>
      <c r="AA197" s="103" t="str">
        <f aca="false">IF(OR($B197="", $N197="", $O197="", $T197="", $Z197=""),"",ROUND(($N197*Lists!$AD$16)-($O197*Lists!$AD$17)-($T197*Lists!$AD$18)+($Z197*Lists!$AD$19),2))</f>
        <v/>
      </c>
      <c r="AB197" s="102" t="str">
        <f aca="false">IF(OR($B197="", $N197="", $Z197=""),"",IF($N197&gt;=Lists!$AG$2,IF($Z197&gt;=Lists!$AG$3,"Invest","Migrate"),IF($Z197&gt;=Lists!$AG$3,"Tolerate","Eliminate")))</f>
        <v/>
      </c>
      <c r="AC197" s="102" t="str">
        <f aca="false">IF($B197="","",IF($J197&gt;=4,"Yes",""))</f>
        <v/>
      </c>
      <c r="AD197" s="102" t="str">
        <f aca="false">IF($A197="","",IFERROR(IF(VLOOKUP($A197,'Risk Register'!$B$2:$H$1000,4,FALSE())&gt;=4,"Yes",""),""))</f>
        <v/>
      </c>
      <c r="AE197" s="102" t="str">
        <f aca="false">IF(OR($N197="", $O197=""),"",IF($N197&gt;=Lists!$AG$2,IF($O197&gt;=Lists!$AG$4,"High Value / High Risk","High Value / Low Risk"),IF($O197&gt;=Lists!$AG$4,"Low Value / High Risk","Low Value / Low Risk")))</f>
        <v/>
      </c>
      <c r="AF197" s="101"/>
      <c r="AG197" s="126"/>
      <c r="AH197" s="106" t="str">
        <f aca="false">IF($B197="","",COUNTIFS('Debt Backlog'!$AF$2:$AF$1000,$A197,'Debt Backlog'!$B$2:$B$1000,"&lt;&gt;",'Debt Backlog'!$N$2:$N$1000,"&lt;&gt;Done",'Debt Backlog'!$N$2:$N$1000,"&lt;&gt;Won't Fix",'Debt Backlog'!$N$2:$N$1000,"&lt;&gt;Duplicate"))</f>
        <v/>
      </c>
      <c r="AI197" s="103" t="str">
        <f aca="false">IF($B197="","",ROUND(SUMIFS('Debt Backlog'!$L$2:$L$1000,'Debt Backlog'!$AF$2:$AF$1000,$A197,'Debt Backlog'!$B$2:$B$1000,"&lt;&gt;",'Debt Backlog'!$N$2:$N$1000,"&lt;&gt;Done",'Debt Backlog'!$N$2:$N$1000,"&lt;&gt;Won't Fix",'Debt Backlog'!$N$2:$N$1000,"&lt;&gt;Duplicate"),2))</f>
        <v/>
      </c>
    </row>
    <row r="198" customFormat="false" ht="15.75" hidden="false" customHeight="true" outlineLevel="0" collapsed="false">
      <c r="A198" s="125"/>
      <c r="B198" s="101"/>
      <c r="C198" s="101"/>
      <c r="D198" s="101"/>
      <c r="E198" s="101"/>
      <c r="F198" s="101"/>
      <c r="G198" s="101"/>
      <c r="H198" s="101"/>
      <c r="I198" s="106"/>
      <c r="J198" s="106"/>
      <c r="K198" s="106"/>
      <c r="L198" s="106"/>
      <c r="M198" s="106"/>
      <c r="N198" s="103" t="str">
        <f aca="false">IF(OR($B198="", $I198="", $J198="", $K198="", $L198="", $M198=""),"",ROUND(($I198*Lists!$AD$2)+($J198*Lists!$AD$3)+($K198*Lists!$AD$4)+($L198*Lists!$AD$5)+($M198*Lists!$AD$6),2))</f>
        <v/>
      </c>
      <c r="O198" s="103" t="str">
        <f aca="false">IF($A198="","",IFERROR(VLOOKUP($A198,'Risk Register'!$B$2:$I$1000,8,FALSE()),""))</f>
        <v/>
      </c>
      <c r="P198" s="106"/>
      <c r="Q198" s="106"/>
      <c r="R198" s="106"/>
      <c r="S198" s="106"/>
      <c r="T198" s="103" t="str">
        <f aca="false">IF(OR($B198="", $P198="", $Q198="", $R198="", $S198=""),"",ROUND(($P198*Lists!$AD$7)+($Q198*Lists!$AD$8)+($R198*Lists!$AD$9)+($S198*Lists!$AD$10),2))</f>
        <v/>
      </c>
      <c r="U198" s="106"/>
      <c r="V198" s="106"/>
      <c r="W198" s="106"/>
      <c r="X198" s="106"/>
      <c r="Y198" s="106"/>
      <c r="Z198" s="103" t="str">
        <f aca="false">IF(OR($B198="", $U198="", $V198="", $W198="", $X198="", $Y198=""),"",ROUND(($U198*Lists!$AD$11)+($V198*Lists!$AD$12)+($W198*Lists!$AD$13)+($X198*Lists!$AD$14)+($Y198*Lists!$AD$15),2))</f>
        <v/>
      </c>
      <c r="AA198" s="103" t="str">
        <f aca="false">IF(OR($B198="", $N198="", $O198="", $T198="", $Z198=""),"",ROUND(($N198*Lists!$AD$16)-($O198*Lists!$AD$17)-($T198*Lists!$AD$18)+($Z198*Lists!$AD$19),2))</f>
        <v/>
      </c>
      <c r="AB198" s="102" t="str">
        <f aca="false">IF(OR($B198="", $N198="", $Z198=""),"",IF($N198&gt;=Lists!$AG$2,IF($Z198&gt;=Lists!$AG$3,"Invest","Migrate"),IF($Z198&gt;=Lists!$AG$3,"Tolerate","Eliminate")))</f>
        <v/>
      </c>
      <c r="AC198" s="102" t="str">
        <f aca="false">IF($B198="","",IF($J198&gt;=4,"Yes",""))</f>
        <v/>
      </c>
      <c r="AD198" s="102" t="str">
        <f aca="false">IF($A198="","",IFERROR(IF(VLOOKUP($A198,'Risk Register'!$B$2:$H$1000,4,FALSE())&gt;=4,"Yes",""),""))</f>
        <v/>
      </c>
      <c r="AE198" s="102" t="str">
        <f aca="false">IF(OR($N198="", $O198=""),"",IF($N198&gt;=Lists!$AG$2,IF($O198&gt;=Lists!$AG$4,"High Value / High Risk","High Value / Low Risk"),IF($O198&gt;=Lists!$AG$4,"Low Value / High Risk","Low Value / Low Risk")))</f>
        <v/>
      </c>
      <c r="AF198" s="101"/>
      <c r="AG198" s="126"/>
      <c r="AH198" s="106" t="str">
        <f aca="false">IF($B198="","",COUNTIFS('Debt Backlog'!$AF$2:$AF$1000,$A198,'Debt Backlog'!$B$2:$B$1000,"&lt;&gt;",'Debt Backlog'!$N$2:$N$1000,"&lt;&gt;Done",'Debt Backlog'!$N$2:$N$1000,"&lt;&gt;Won't Fix",'Debt Backlog'!$N$2:$N$1000,"&lt;&gt;Duplicate"))</f>
        <v/>
      </c>
      <c r="AI198" s="103" t="str">
        <f aca="false">IF($B198="","",ROUND(SUMIFS('Debt Backlog'!$L$2:$L$1000,'Debt Backlog'!$AF$2:$AF$1000,$A198,'Debt Backlog'!$B$2:$B$1000,"&lt;&gt;",'Debt Backlog'!$N$2:$N$1000,"&lt;&gt;Done",'Debt Backlog'!$N$2:$N$1000,"&lt;&gt;Won't Fix",'Debt Backlog'!$N$2:$N$1000,"&lt;&gt;Duplicate"),2))</f>
        <v/>
      </c>
    </row>
    <row r="199" customFormat="false" ht="15.75" hidden="false" customHeight="true" outlineLevel="0" collapsed="false">
      <c r="A199" s="125"/>
      <c r="B199" s="101"/>
      <c r="C199" s="101"/>
      <c r="D199" s="101"/>
      <c r="E199" s="101"/>
      <c r="F199" s="101"/>
      <c r="G199" s="101"/>
      <c r="H199" s="101"/>
      <c r="I199" s="106"/>
      <c r="J199" s="106"/>
      <c r="K199" s="106"/>
      <c r="L199" s="106"/>
      <c r="M199" s="106"/>
      <c r="N199" s="103" t="str">
        <f aca="false">IF(OR($B199="", $I199="", $J199="", $K199="", $L199="", $M199=""),"",ROUND(($I199*Lists!$AD$2)+($J199*Lists!$AD$3)+($K199*Lists!$AD$4)+($L199*Lists!$AD$5)+($M199*Lists!$AD$6),2))</f>
        <v/>
      </c>
      <c r="O199" s="103" t="str">
        <f aca="false">IF($A199="","",IFERROR(VLOOKUP($A199,'Risk Register'!$B$2:$I$1000,8,FALSE()),""))</f>
        <v/>
      </c>
      <c r="P199" s="106"/>
      <c r="Q199" s="106"/>
      <c r="R199" s="106"/>
      <c r="S199" s="106"/>
      <c r="T199" s="103" t="str">
        <f aca="false">IF(OR($B199="", $P199="", $Q199="", $R199="", $S199=""),"",ROUND(($P199*Lists!$AD$7)+($Q199*Lists!$AD$8)+($R199*Lists!$AD$9)+($S199*Lists!$AD$10),2))</f>
        <v/>
      </c>
      <c r="U199" s="106"/>
      <c r="V199" s="106"/>
      <c r="W199" s="106"/>
      <c r="X199" s="106"/>
      <c r="Y199" s="106"/>
      <c r="Z199" s="103" t="str">
        <f aca="false">IF(OR($B199="", $U199="", $V199="", $W199="", $X199="", $Y199=""),"",ROUND(($U199*Lists!$AD$11)+($V199*Lists!$AD$12)+($W199*Lists!$AD$13)+($X199*Lists!$AD$14)+($Y199*Lists!$AD$15),2))</f>
        <v/>
      </c>
      <c r="AA199" s="103" t="str">
        <f aca="false">IF(OR($B199="", $N199="", $O199="", $T199="", $Z199=""),"",ROUND(($N199*Lists!$AD$16)-($O199*Lists!$AD$17)-($T199*Lists!$AD$18)+($Z199*Lists!$AD$19),2))</f>
        <v/>
      </c>
      <c r="AB199" s="102" t="str">
        <f aca="false">IF(OR($B199="", $N199="", $Z199=""),"",IF($N199&gt;=Lists!$AG$2,IF($Z199&gt;=Lists!$AG$3,"Invest","Migrate"),IF($Z199&gt;=Lists!$AG$3,"Tolerate","Eliminate")))</f>
        <v/>
      </c>
      <c r="AC199" s="102" t="str">
        <f aca="false">IF($B199="","",IF($J199&gt;=4,"Yes",""))</f>
        <v/>
      </c>
      <c r="AD199" s="102" t="str">
        <f aca="false">IF($A199="","",IFERROR(IF(VLOOKUP($A199,'Risk Register'!$B$2:$H$1000,4,FALSE())&gt;=4,"Yes",""),""))</f>
        <v/>
      </c>
      <c r="AE199" s="102" t="str">
        <f aca="false">IF(OR($N199="", $O199=""),"",IF($N199&gt;=Lists!$AG$2,IF($O199&gt;=Lists!$AG$4,"High Value / High Risk","High Value / Low Risk"),IF($O199&gt;=Lists!$AG$4,"Low Value / High Risk","Low Value / Low Risk")))</f>
        <v/>
      </c>
      <c r="AF199" s="101"/>
      <c r="AG199" s="126"/>
      <c r="AH199" s="106" t="str">
        <f aca="false">IF($B199="","",COUNTIFS('Debt Backlog'!$AF$2:$AF$1000,$A199,'Debt Backlog'!$B$2:$B$1000,"&lt;&gt;",'Debt Backlog'!$N$2:$N$1000,"&lt;&gt;Done",'Debt Backlog'!$N$2:$N$1000,"&lt;&gt;Won't Fix",'Debt Backlog'!$N$2:$N$1000,"&lt;&gt;Duplicate"))</f>
        <v/>
      </c>
      <c r="AI199" s="103" t="str">
        <f aca="false">IF($B199="","",ROUND(SUMIFS('Debt Backlog'!$L$2:$L$1000,'Debt Backlog'!$AF$2:$AF$1000,$A199,'Debt Backlog'!$B$2:$B$1000,"&lt;&gt;",'Debt Backlog'!$N$2:$N$1000,"&lt;&gt;Done",'Debt Backlog'!$N$2:$N$1000,"&lt;&gt;Won't Fix",'Debt Backlog'!$N$2:$N$1000,"&lt;&gt;Duplicate"),2))</f>
        <v/>
      </c>
    </row>
    <row r="200" customFormat="false" ht="15.75" hidden="false" customHeight="true" outlineLevel="0" collapsed="false">
      <c r="A200" s="125"/>
      <c r="B200" s="101"/>
      <c r="C200" s="101"/>
      <c r="D200" s="101"/>
      <c r="E200" s="101"/>
      <c r="F200" s="101"/>
      <c r="G200" s="101"/>
      <c r="H200" s="101"/>
      <c r="I200" s="106"/>
      <c r="J200" s="106"/>
      <c r="K200" s="106"/>
      <c r="L200" s="106"/>
      <c r="M200" s="106"/>
      <c r="N200" s="103" t="str">
        <f aca="false">IF(OR($B200="", $I200="", $J200="", $K200="", $L200="", $M200=""),"",ROUND(($I200*Lists!$AD$2)+($J200*Lists!$AD$3)+($K200*Lists!$AD$4)+($L200*Lists!$AD$5)+($M200*Lists!$AD$6),2))</f>
        <v/>
      </c>
      <c r="O200" s="103" t="str">
        <f aca="false">IF($A200="","",IFERROR(VLOOKUP($A200,'Risk Register'!$B$2:$I$1000,8,FALSE()),""))</f>
        <v/>
      </c>
      <c r="P200" s="106"/>
      <c r="Q200" s="106"/>
      <c r="R200" s="106"/>
      <c r="S200" s="106"/>
      <c r="T200" s="103" t="str">
        <f aca="false">IF(OR($B200="", $P200="", $Q200="", $R200="", $S200=""),"",ROUND(($P200*Lists!$AD$7)+($Q200*Lists!$AD$8)+($R200*Lists!$AD$9)+($S200*Lists!$AD$10),2))</f>
        <v/>
      </c>
      <c r="U200" s="106"/>
      <c r="V200" s="106"/>
      <c r="W200" s="106"/>
      <c r="X200" s="106"/>
      <c r="Y200" s="106"/>
      <c r="Z200" s="103" t="str">
        <f aca="false">IF(OR($B200="", $U200="", $V200="", $W200="", $X200="", $Y200=""),"",ROUND(($U200*Lists!$AD$11)+($V200*Lists!$AD$12)+($W200*Lists!$AD$13)+($X200*Lists!$AD$14)+($Y200*Lists!$AD$15),2))</f>
        <v/>
      </c>
      <c r="AA200" s="103" t="str">
        <f aca="false">IF(OR($B200="", $N200="", $O200="", $T200="", $Z200=""),"",ROUND(($N200*Lists!$AD$16)-($O200*Lists!$AD$17)-($T200*Lists!$AD$18)+($Z200*Lists!$AD$19),2))</f>
        <v/>
      </c>
      <c r="AB200" s="102" t="str">
        <f aca="false">IF(OR($B200="", $N200="", $Z200=""),"",IF($N200&gt;=Lists!$AG$2,IF($Z200&gt;=Lists!$AG$3,"Invest","Migrate"),IF($Z200&gt;=Lists!$AG$3,"Tolerate","Eliminate")))</f>
        <v/>
      </c>
      <c r="AC200" s="102" t="str">
        <f aca="false">IF($B200="","",IF($J200&gt;=4,"Yes",""))</f>
        <v/>
      </c>
      <c r="AD200" s="102" t="str">
        <f aca="false">IF($A200="","",IFERROR(IF(VLOOKUP($A200,'Risk Register'!$B$2:$H$1000,4,FALSE())&gt;=4,"Yes",""),""))</f>
        <v/>
      </c>
      <c r="AE200" s="102" t="str">
        <f aca="false">IF(OR($N200="", $O200=""),"",IF($N200&gt;=Lists!$AG$2,IF($O200&gt;=Lists!$AG$4,"High Value / High Risk","High Value / Low Risk"),IF($O200&gt;=Lists!$AG$4,"Low Value / High Risk","Low Value / Low Risk")))</f>
        <v/>
      </c>
      <c r="AF200" s="101"/>
      <c r="AG200" s="126"/>
      <c r="AH200" s="106" t="str">
        <f aca="false">IF($B200="","",COUNTIFS('Debt Backlog'!$AF$2:$AF$1000,$A200,'Debt Backlog'!$B$2:$B$1000,"&lt;&gt;",'Debt Backlog'!$N$2:$N$1000,"&lt;&gt;Done",'Debt Backlog'!$N$2:$N$1000,"&lt;&gt;Won't Fix",'Debt Backlog'!$N$2:$N$1000,"&lt;&gt;Duplicate"))</f>
        <v/>
      </c>
      <c r="AI200" s="103" t="str">
        <f aca="false">IF($B200="","",ROUND(SUMIFS('Debt Backlog'!$L$2:$L$1000,'Debt Backlog'!$AF$2:$AF$1000,$A200,'Debt Backlog'!$B$2:$B$1000,"&lt;&gt;",'Debt Backlog'!$N$2:$N$1000,"&lt;&gt;Done",'Debt Backlog'!$N$2:$N$1000,"&lt;&gt;Won't Fix",'Debt Backlog'!$N$2:$N$1000,"&lt;&gt;Duplicate"),2))</f>
        <v/>
      </c>
    </row>
    <row r="201" customFormat="false" ht="15.75" hidden="false" customHeight="true" outlineLevel="0" collapsed="false">
      <c r="A201" s="125"/>
      <c r="B201" s="101"/>
      <c r="C201" s="101"/>
      <c r="D201" s="101"/>
      <c r="E201" s="101"/>
      <c r="F201" s="101"/>
      <c r="G201" s="101"/>
      <c r="H201" s="101"/>
      <c r="I201" s="106"/>
      <c r="J201" s="106"/>
      <c r="K201" s="106"/>
      <c r="L201" s="106"/>
      <c r="M201" s="106"/>
      <c r="N201" s="103" t="str">
        <f aca="false">IF(OR($B201="", $I201="", $J201="", $K201="", $L201="", $M201=""),"",ROUND(($I201*Lists!$AD$2)+($J201*Lists!$AD$3)+($K201*Lists!$AD$4)+($L201*Lists!$AD$5)+($M201*Lists!$AD$6),2))</f>
        <v/>
      </c>
      <c r="O201" s="103" t="str">
        <f aca="false">IF($A201="","",IFERROR(VLOOKUP($A201,'Risk Register'!$B$2:$I$1000,8,FALSE()),""))</f>
        <v/>
      </c>
      <c r="P201" s="106"/>
      <c r="Q201" s="106"/>
      <c r="R201" s="106"/>
      <c r="S201" s="106"/>
      <c r="T201" s="103" t="str">
        <f aca="false">IF(OR($B201="", $P201="", $Q201="", $R201="", $S201=""),"",ROUND(($P201*Lists!$AD$7)+($Q201*Lists!$AD$8)+($R201*Lists!$AD$9)+($S201*Lists!$AD$10),2))</f>
        <v/>
      </c>
      <c r="U201" s="106"/>
      <c r="V201" s="106"/>
      <c r="W201" s="106"/>
      <c r="X201" s="106"/>
      <c r="Y201" s="106"/>
      <c r="Z201" s="103" t="str">
        <f aca="false">IF(OR($B201="", $U201="", $V201="", $W201="", $X201="", $Y201=""),"",ROUND(($U201*Lists!$AD$11)+($V201*Lists!$AD$12)+($W201*Lists!$AD$13)+($X201*Lists!$AD$14)+($Y201*Lists!$AD$15),2))</f>
        <v/>
      </c>
      <c r="AA201" s="103" t="str">
        <f aca="false">IF(OR($B201="", $N201="", $O201="", $T201="", $Z201=""),"",ROUND(($N201*Lists!$AD$16)-($O201*Lists!$AD$17)-($T201*Lists!$AD$18)+($Z201*Lists!$AD$19),2))</f>
        <v/>
      </c>
      <c r="AB201" s="102" t="str">
        <f aca="false">IF(OR($B201="", $N201="", $Z201=""),"",IF($N201&gt;=Lists!$AG$2,IF($Z201&gt;=Lists!$AG$3,"Invest","Migrate"),IF($Z201&gt;=Lists!$AG$3,"Tolerate","Eliminate")))</f>
        <v/>
      </c>
      <c r="AC201" s="102" t="str">
        <f aca="false">IF($B201="","",IF($J201&gt;=4,"Yes",""))</f>
        <v/>
      </c>
      <c r="AD201" s="102" t="str">
        <f aca="false">IF($A201="","",IFERROR(IF(VLOOKUP($A201,'Risk Register'!$B$2:$H$1000,4,FALSE())&gt;=4,"Yes",""),""))</f>
        <v/>
      </c>
      <c r="AE201" s="102" t="str">
        <f aca="false">IF(OR($N201="", $O201=""),"",IF($N201&gt;=Lists!$AG$2,IF($O201&gt;=Lists!$AG$4,"High Value / High Risk","High Value / Low Risk"),IF($O201&gt;=Lists!$AG$4,"Low Value / High Risk","Low Value / Low Risk")))</f>
        <v/>
      </c>
      <c r="AF201" s="101"/>
      <c r="AG201" s="126"/>
      <c r="AH201" s="106" t="str">
        <f aca="false">IF($B201="","",COUNTIFS('Debt Backlog'!$AF$2:$AF$1000,$A201,'Debt Backlog'!$B$2:$B$1000,"&lt;&gt;",'Debt Backlog'!$N$2:$N$1000,"&lt;&gt;Done",'Debt Backlog'!$N$2:$N$1000,"&lt;&gt;Won't Fix",'Debt Backlog'!$N$2:$N$1000,"&lt;&gt;Duplicate"))</f>
        <v/>
      </c>
      <c r="AI201" s="103" t="str">
        <f aca="false">IF($B201="","",ROUND(SUMIFS('Debt Backlog'!$L$2:$L$1000,'Debt Backlog'!$AF$2:$AF$1000,$A201,'Debt Backlog'!$B$2:$B$1000,"&lt;&gt;",'Debt Backlog'!$N$2:$N$1000,"&lt;&gt;Done",'Debt Backlog'!$N$2:$N$1000,"&lt;&gt;Won't Fix",'Debt Backlog'!$N$2:$N$1000,"&lt;&gt;Duplicate"),2))</f>
        <v/>
      </c>
    </row>
    <row r="202" customFormat="false" ht="15.75" hidden="false" customHeight="true" outlineLevel="0" collapsed="false">
      <c r="A202" s="125"/>
      <c r="B202" s="101"/>
      <c r="C202" s="101"/>
      <c r="D202" s="101"/>
      <c r="E202" s="101"/>
      <c r="F202" s="101"/>
      <c r="G202" s="101"/>
      <c r="H202" s="101"/>
      <c r="I202" s="106"/>
      <c r="J202" s="106"/>
      <c r="K202" s="106"/>
      <c r="L202" s="106"/>
      <c r="M202" s="106"/>
      <c r="N202" s="103" t="str">
        <f aca="false">IF(OR($B202="", $I202="", $J202="", $K202="", $L202="", $M202=""),"",ROUND(($I202*Lists!$AD$2)+($J202*Lists!$AD$3)+($K202*Lists!$AD$4)+($L202*Lists!$AD$5)+($M202*Lists!$AD$6),2))</f>
        <v/>
      </c>
      <c r="O202" s="103" t="str">
        <f aca="false">IF($A202="","",IFERROR(VLOOKUP($A202,'Risk Register'!$B$2:$I$1000,8,FALSE()),""))</f>
        <v/>
      </c>
      <c r="P202" s="106"/>
      <c r="Q202" s="106"/>
      <c r="R202" s="106"/>
      <c r="S202" s="106"/>
      <c r="T202" s="103" t="str">
        <f aca="false">IF(OR($B202="", $P202="", $Q202="", $R202="", $S202=""),"",ROUND(($P202*Lists!$AD$7)+($Q202*Lists!$AD$8)+($R202*Lists!$AD$9)+($S202*Lists!$AD$10),2))</f>
        <v/>
      </c>
      <c r="U202" s="106"/>
      <c r="V202" s="106"/>
      <c r="W202" s="106"/>
      <c r="X202" s="106"/>
      <c r="Y202" s="106"/>
      <c r="Z202" s="103" t="str">
        <f aca="false">IF(OR($B202="", $U202="", $V202="", $W202="", $X202="", $Y202=""),"",ROUND(($U202*Lists!$AD$11)+($V202*Lists!$AD$12)+($W202*Lists!$AD$13)+($X202*Lists!$AD$14)+($Y202*Lists!$AD$15),2))</f>
        <v/>
      </c>
      <c r="AA202" s="103" t="str">
        <f aca="false">IF(OR($B202="", $N202="", $O202="", $T202="", $Z202=""),"",ROUND(($N202*Lists!$AD$16)-($O202*Lists!$AD$17)-($T202*Lists!$AD$18)+($Z202*Lists!$AD$19),2))</f>
        <v/>
      </c>
      <c r="AB202" s="102" t="str">
        <f aca="false">IF(OR($B202="", $N202="", $Z202=""),"",IF($N202&gt;=Lists!$AG$2,IF($Z202&gt;=Lists!$AG$3,"Invest","Migrate"),IF($Z202&gt;=Lists!$AG$3,"Tolerate","Eliminate")))</f>
        <v/>
      </c>
      <c r="AC202" s="102" t="str">
        <f aca="false">IF($B202="","",IF($J202&gt;=4,"Yes",""))</f>
        <v/>
      </c>
      <c r="AD202" s="102" t="str">
        <f aca="false">IF($A202="","",IFERROR(IF(VLOOKUP($A202,'Risk Register'!$B$2:$H$1000,4,FALSE())&gt;=4,"Yes",""),""))</f>
        <v/>
      </c>
      <c r="AE202" s="102" t="str">
        <f aca="false">IF(OR($N202="", $O202=""),"",IF($N202&gt;=Lists!$AG$2,IF($O202&gt;=Lists!$AG$4,"High Value / High Risk","High Value / Low Risk"),IF($O202&gt;=Lists!$AG$4,"Low Value / High Risk","Low Value / Low Risk")))</f>
        <v/>
      </c>
      <c r="AF202" s="101"/>
      <c r="AG202" s="126"/>
      <c r="AH202" s="106" t="str">
        <f aca="false">IF($B202="","",COUNTIFS('Debt Backlog'!$AF$2:$AF$1000,$A202,'Debt Backlog'!$B$2:$B$1000,"&lt;&gt;",'Debt Backlog'!$N$2:$N$1000,"&lt;&gt;Done",'Debt Backlog'!$N$2:$N$1000,"&lt;&gt;Won't Fix",'Debt Backlog'!$N$2:$N$1000,"&lt;&gt;Duplicate"))</f>
        <v/>
      </c>
      <c r="AI202" s="103" t="str">
        <f aca="false">IF($B202="","",ROUND(SUMIFS('Debt Backlog'!$L$2:$L$1000,'Debt Backlog'!$AF$2:$AF$1000,$A202,'Debt Backlog'!$B$2:$B$1000,"&lt;&gt;",'Debt Backlog'!$N$2:$N$1000,"&lt;&gt;Done",'Debt Backlog'!$N$2:$N$1000,"&lt;&gt;Won't Fix",'Debt Backlog'!$N$2:$N$1000,"&lt;&gt;Duplicate"),2))</f>
        <v/>
      </c>
    </row>
    <row r="203" customFormat="false" ht="15.75" hidden="false" customHeight="true" outlineLevel="0" collapsed="false">
      <c r="A203" s="125"/>
      <c r="B203" s="101"/>
      <c r="C203" s="101"/>
      <c r="D203" s="101"/>
      <c r="E203" s="101"/>
      <c r="F203" s="101"/>
      <c r="G203" s="101"/>
      <c r="H203" s="101"/>
      <c r="I203" s="106"/>
      <c r="J203" s="106"/>
      <c r="K203" s="106"/>
      <c r="L203" s="106"/>
      <c r="M203" s="106"/>
      <c r="N203" s="103" t="str">
        <f aca="false">IF(OR($B203="", $I203="", $J203="", $K203="", $L203="", $M203=""),"",ROUND(($I203*Lists!$AD$2)+($J203*Lists!$AD$3)+($K203*Lists!$AD$4)+($L203*Lists!$AD$5)+($M203*Lists!$AD$6),2))</f>
        <v/>
      </c>
      <c r="O203" s="103" t="str">
        <f aca="false">IF($A203="","",IFERROR(VLOOKUP($A203,'Risk Register'!$B$2:$I$1000,8,FALSE()),""))</f>
        <v/>
      </c>
      <c r="P203" s="106"/>
      <c r="Q203" s="106"/>
      <c r="R203" s="106"/>
      <c r="S203" s="106"/>
      <c r="T203" s="103" t="str">
        <f aca="false">IF(OR($B203="", $P203="", $Q203="", $R203="", $S203=""),"",ROUND(($P203*Lists!$AD$7)+($Q203*Lists!$AD$8)+($R203*Lists!$AD$9)+($S203*Lists!$AD$10),2))</f>
        <v/>
      </c>
      <c r="U203" s="106"/>
      <c r="V203" s="106"/>
      <c r="W203" s="106"/>
      <c r="X203" s="106"/>
      <c r="Y203" s="106"/>
      <c r="Z203" s="103" t="str">
        <f aca="false">IF(OR($B203="", $U203="", $V203="", $W203="", $X203="", $Y203=""),"",ROUND(($U203*Lists!$AD$11)+($V203*Lists!$AD$12)+($W203*Lists!$AD$13)+($X203*Lists!$AD$14)+($Y203*Lists!$AD$15),2))</f>
        <v/>
      </c>
      <c r="AA203" s="103" t="str">
        <f aca="false">IF(OR($B203="", $N203="", $O203="", $T203="", $Z203=""),"",ROUND(($N203*Lists!$AD$16)-($O203*Lists!$AD$17)-($T203*Lists!$AD$18)+($Z203*Lists!$AD$19),2))</f>
        <v/>
      </c>
      <c r="AB203" s="102" t="str">
        <f aca="false">IF(OR($B203="", $N203="", $Z203=""),"",IF($N203&gt;=Lists!$AG$2,IF($Z203&gt;=Lists!$AG$3,"Invest","Migrate"),IF($Z203&gt;=Lists!$AG$3,"Tolerate","Eliminate")))</f>
        <v/>
      </c>
      <c r="AC203" s="102" t="str">
        <f aca="false">IF($B203="","",IF($J203&gt;=4,"Yes",""))</f>
        <v/>
      </c>
      <c r="AD203" s="102" t="str">
        <f aca="false">IF($A203="","",IFERROR(IF(VLOOKUP($A203,'Risk Register'!$B$2:$H$1000,4,FALSE())&gt;=4,"Yes",""),""))</f>
        <v/>
      </c>
      <c r="AE203" s="102" t="str">
        <f aca="false">IF(OR($N203="", $O203=""),"",IF($N203&gt;=Lists!$AG$2,IF($O203&gt;=Lists!$AG$4,"High Value / High Risk","High Value / Low Risk"),IF($O203&gt;=Lists!$AG$4,"Low Value / High Risk","Low Value / Low Risk")))</f>
        <v/>
      </c>
      <c r="AF203" s="101"/>
      <c r="AG203" s="126"/>
      <c r="AH203" s="106" t="str">
        <f aca="false">IF($B203="","",COUNTIFS('Debt Backlog'!$AF$2:$AF$1000,$A203,'Debt Backlog'!$B$2:$B$1000,"&lt;&gt;",'Debt Backlog'!$N$2:$N$1000,"&lt;&gt;Done",'Debt Backlog'!$N$2:$N$1000,"&lt;&gt;Won't Fix",'Debt Backlog'!$N$2:$N$1000,"&lt;&gt;Duplicate"))</f>
        <v/>
      </c>
      <c r="AI203" s="103" t="str">
        <f aca="false">IF($B203="","",ROUND(SUMIFS('Debt Backlog'!$L$2:$L$1000,'Debt Backlog'!$AF$2:$AF$1000,$A203,'Debt Backlog'!$B$2:$B$1000,"&lt;&gt;",'Debt Backlog'!$N$2:$N$1000,"&lt;&gt;Done",'Debt Backlog'!$N$2:$N$1000,"&lt;&gt;Won't Fix",'Debt Backlog'!$N$2:$N$1000,"&lt;&gt;Duplicate"),2))</f>
        <v/>
      </c>
    </row>
    <row r="204" customFormat="false" ht="15.75" hidden="false" customHeight="true" outlineLevel="0" collapsed="false">
      <c r="A204" s="125"/>
      <c r="B204" s="101"/>
      <c r="C204" s="101"/>
      <c r="D204" s="101"/>
      <c r="E204" s="101"/>
      <c r="F204" s="101"/>
      <c r="G204" s="101"/>
      <c r="H204" s="101"/>
      <c r="I204" s="106"/>
      <c r="J204" s="106"/>
      <c r="K204" s="106"/>
      <c r="L204" s="106"/>
      <c r="M204" s="106"/>
      <c r="N204" s="103" t="str">
        <f aca="false">IF(OR($B204="", $I204="", $J204="", $K204="", $L204="", $M204=""),"",ROUND(($I204*Lists!$AD$2)+($J204*Lists!$AD$3)+($K204*Lists!$AD$4)+($L204*Lists!$AD$5)+($M204*Lists!$AD$6),2))</f>
        <v/>
      </c>
      <c r="O204" s="103" t="str">
        <f aca="false">IF($A204="","",IFERROR(VLOOKUP($A204,'Risk Register'!$B$2:$I$1000,8,FALSE()),""))</f>
        <v/>
      </c>
      <c r="P204" s="106"/>
      <c r="Q204" s="106"/>
      <c r="R204" s="106"/>
      <c r="S204" s="106"/>
      <c r="T204" s="103" t="str">
        <f aca="false">IF(OR($B204="", $P204="", $Q204="", $R204="", $S204=""),"",ROUND(($P204*Lists!$AD$7)+($Q204*Lists!$AD$8)+($R204*Lists!$AD$9)+($S204*Lists!$AD$10),2))</f>
        <v/>
      </c>
      <c r="U204" s="106"/>
      <c r="V204" s="106"/>
      <c r="W204" s="106"/>
      <c r="X204" s="106"/>
      <c r="Y204" s="106"/>
      <c r="Z204" s="103" t="str">
        <f aca="false">IF(OR($B204="", $U204="", $V204="", $W204="", $X204="", $Y204=""),"",ROUND(($U204*Lists!$AD$11)+($V204*Lists!$AD$12)+($W204*Lists!$AD$13)+($X204*Lists!$AD$14)+($Y204*Lists!$AD$15),2))</f>
        <v/>
      </c>
      <c r="AA204" s="103" t="str">
        <f aca="false">IF(OR($B204="", $N204="", $O204="", $T204="", $Z204=""),"",ROUND(($N204*Lists!$AD$16)-($O204*Lists!$AD$17)-($T204*Lists!$AD$18)+($Z204*Lists!$AD$19),2))</f>
        <v/>
      </c>
      <c r="AB204" s="102" t="str">
        <f aca="false">IF(OR($B204="", $N204="", $Z204=""),"",IF($N204&gt;=Lists!$AG$2,IF($Z204&gt;=Lists!$AG$3,"Invest","Migrate"),IF($Z204&gt;=Lists!$AG$3,"Tolerate","Eliminate")))</f>
        <v/>
      </c>
      <c r="AC204" s="102" t="str">
        <f aca="false">IF($B204="","",IF($J204&gt;=4,"Yes",""))</f>
        <v/>
      </c>
      <c r="AD204" s="102" t="str">
        <f aca="false">IF($A204="","",IFERROR(IF(VLOOKUP($A204,'Risk Register'!$B$2:$H$1000,4,FALSE())&gt;=4,"Yes",""),""))</f>
        <v/>
      </c>
      <c r="AE204" s="102" t="str">
        <f aca="false">IF(OR($N204="", $O204=""),"",IF($N204&gt;=Lists!$AG$2,IF($O204&gt;=Lists!$AG$4,"High Value / High Risk","High Value / Low Risk"),IF($O204&gt;=Lists!$AG$4,"Low Value / High Risk","Low Value / Low Risk")))</f>
        <v/>
      </c>
      <c r="AF204" s="101"/>
      <c r="AG204" s="126"/>
      <c r="AH204" s="106" t="str">
        <f aca="false">IF($B204="","",COUNTIFS('Debt Backlog'!$AF$2:$AF$1000,$A204,'Debt Backlog'!$B$2:$B$1000,"&lt;&gt;",'Debt Backlog'!$N$2:$N$1000,"&lt;&gt;Done",'Debt Backlog'!$N$2:$N$1000,"&lt;&gt;Won't Fix",'Debt Backlog'!$N$2:$N$1000,"&lt;&gt;Duplicate"))</f>
        <v/>
      </c>
      <c r="AI204" s="103" t="str">
        <f aca="false">IF($B204="","",ROUND(SUMIFS('Debt Backlog'!$L$2:$L$1000,'Debt Backlog'!$AF$2:$AF$1000,$A204,'Debt Backlog'!$B$2:$B$1000,"&lt;&gt;",'Debt Backlog'!$N$2:$N$1000,"&lt;&gt;Done",'Debt Backlog'!$N$2:$N$1000,"&lt;&gt;Won't Fix",'Debt Backlog'!$N$2:$N$1000,"&lt;&gt;Duplicate"),2))</f>
        <v/>
      </c>
    </row>
    <row r="205" customFormat="false" ht="15.75" hidden="false" customHeight="true" outlineLevel="0" collapsed="false">
      <c r="A205" s="125"/>
      <c r="B205" s="101"/>
      <c r="C205" s="101"/>
      <c r="D205" s="101"/>
      <c r="E205" s="101"/>
      <c r="F205" s="101"/>
      <c r="G205" s="101"/>
      <c r="H205" s="101"/>
      <c r="I205" s="106"/>
      <c r="J205" s="106"/>
      <c r="K205" s="106"/>
      <c r="L205" s="106"/>
      <c r="M205" s="106"/>
      <c r="N205" s="103" t="str">
        <f aca="false">IF(OR($B205="", $I205="", $J205="", $K205="", $L205="", $M205=""),"",ROUND(($I205*Lists!$AD$2)+($J205*Lists!$AD$3)+($K205*Lists!$AD$4)+($L205*Lists!$AD$5)+($M205*Lists!$AD$6),2))</f>
        <v/>
      </c>
      <c r="O205" s="103" t="str">
        <f aca="false">IF($A205="","",IFERROR(VLOOKUP($A205,'Risk Register'!$B$2:$I$1000,8,FALSE()),""))</f>
        <v/>
      </c>
      <c r="P205" s="106"/>
      <c r="Q205" s="106"/>
      <c r="R205" s="106"/>
      <c r="S205" s="106"/>
      <c r="T205" s="103" t="str">
        <f aca="false">IF(OR($B205="", $P205="", $Q205="", $R205="", $S205=""),"",ROUND(($P205*Lists!$AD$7)+($Q205*Lists!$AD$8)+($R205*Lists!$AD$9)+($S205*Lists!$AD$10),2))</f>
        <v/>
      </c>
      <c r="U205" s="106"/>
      <c r="V205" s="106"/>
      <c r="W205" s="106"/>
      <c r="X205" s="106"/>
      <c r="Y205" s="106"/>
      <c r="Z205" s="103" t="str">
        <f aca="false">IF(OR($B205="", $U205="", $V205="", $W205="", $X205="", $Y205=""),"",ROUND(($U205*Lists!$AD$11)+($V205*Lists!$AD$12)+($W205*Lists!$AD$13)+($X205*Lists!$AD$14)+($Y205*Lists!$AD$15),2))</f>
        <v/>
      </c>
      <c r="AA205" s="103" t="str">
        <f aca="false">IF(OR($B205="", $N205="", $O205="", $T205="", $Z205=""),"",ROUND(($N205*Lists!$AD$16)-($O205*Lists!$AD$17)-($T205*Lists!$AD$18)+($Z205*Lists!$AD$19),2))</f>
        <v/>
      </c>
      <c r="AB205" s="102" t="str">
        <f aca="false">IF(OR($B205="", $N205="", $Z205=""),"",IF($N205&gt;=Lists!$AG$2,IF($Z205&gt;=Lists!$AG$3,"Invest","Migrate"),IF($Z205&gt;=Lists!$AG$3,"Tolerate","Eliminate")))</f>
        <v/>
      </c>
      <c r="AC205" s="102" t="str">
        <f aca="false">IF($B205="","",IF($J205&gt;=4,"Yes",""))</f>
        <v/>
      </c>
      <c r="AD205" s="102" t="str">
        <f aca="false">IF($A205="","",IFERROR(IF(VLOOKUP($A205,'Risk Register'!$B$2:$H$1000,4,FALSE())&gt;=4,"Yes",""),""))</f>
        <v/>
      </c>
      <c r="AE205" s="102" t="str">
        <f aca="false">IF(OR($N205="", $O205=""),"",IF($N205&gt;=Lists!$AG$2,IF($O205&gt;=Lists!$AG$4,"High Value / High Risk","High Value / Low Risk"),IF($O205&gt;=Lists!$AG$4,"Low Value / High Risk","Low Value / Low Risk")))</f>
        <v/>
      </c>
      <c r="AF205" s="101"/>
      <c r="AG205" s="126"/>
      <c r="AH205" s="106" t="str">
        <f aca="false">IF($B205="","",COUNTIFS('Debt Backlog'!$AF$2:$AF$1000,$A205,'Debt Backlog'!$B$2:$B$1000,"&lt;&gt;",'Debt Backlog'!$N$2:$N$1000,"&lt;&gt;Done",'Debt Backlog'!$N$2:$N$1000,"&lt;&gt;Won't Fix",'Debt Backlog'!$N$2:$N$1000,"&lt;&gt;Duplicate"))</f>
        <v/>
      </c>
      <c r="AI205" s="103" t="str">
        <f aca="false">IF($B205="","",ROUND(SUMIFS('Debt Backlog'!$L$2:$L$1000,'Debt Backlog'!$AF$2:$AF$1000,$A205,'Debt Backlog'!$B$2:$B$1000,"&lt;&gt;",'Debt Backlog'!$N$2:$N$1000,"&lt;&gt;Done",'Debt Backlog'!$N$2:$N$1000,"&lt;&gt;Won't Fix",'Debt Backlog'!$N$2:$N$1000,"&lt;&gt;Duplicate"),2))</f>
        <v/>
      </c>
    </row>
    <row r="206" customFormat="false" ht="15.75" hidden="false" customHeight="true" outlineLevel="0" collapsed="false">
      <c r="A206" s="125"/>
      <c r="B206" s="101"/>
      <c r="C206" s="101"/>
      <c r="D206" s="101"/>
      <c r="E206" s="101"/>
      <c r="F206" s="101"/>
      <c r="G206" s="101"/>
      <c r="H206" s="101"/>
      <c r="I206" s="106"/>
      <c r="J206" s="106"/>
      <c r="K206" s="106"/>
      <c r="L206" s="106"/>
      <c r="M206" s="106"/>
      <c r="N206" s="103" t="str">
        <f aca="false">IF(OR($B206="", $I206="", $J206="", $K206="", $L206="", $M206=""),"",ROUND(($I206*Lists!$AD$2)+($J206*Lists!$AD$3)+($K206*Lists!$AD$4)+($L206*Lists!$AD$5)+($M206*Lists!$AD$6),2))</f>
        <v/>
      </c>
      <c r="O206" s="103" t="str">
        <f aca="false">IF($A206="","",IFERROR(VLOOKUP($A206,'Risk Register'!$B$2:$I$1000,8,FALSE()),""))</f>
        <v/>
      </c>
      <c r="P206" s="106"/>
      <c r="Q206" s="106"/>
      <c r="R206" s="106"/>
      <c r="S206" s="106"/>
      <c r="T206" s="103" t="str">
        <f aca="false">IF(OR($B206="", $P206="", $Q206="", $R206="", $S206=""),"",ROUND(($P206*Lists!$AD$7)+($Q206*Lists!$AD$8)+($R206*Lists!$AD$9)+($S206*Lists!$AD$10),2))</f>
        <v/>
      </c>
      <c r="U206" s="106"/>
      <c r="V206" s="106"/>
      <c r="W206" s="106"/>
      <c r="X206" s="106"/>
      <c r="Y206" s="106"/>
      <c r="Z206" s="103" t="str">
        <f aca="false">IF(OR($B206="", $U206="", $V206="", $W206="", $X206="", $Y206=""),"",ROUND(($U206*Lists!$AD$11)+($V206*Lists!$AD$12)+($W206*Lists!$AD$13)+($X206*Lists!$AD$14)+($Y206*Lists!$AD$15),2))</f>
        <v/>
      </c>
      <c r="AA206" s="103" t="str">
        <f aca="false">IF(OR($B206="", $N206="", $O206="", $T206="", $Z206=""),"",ROUND(($N206*Lists!$AD$16)-($O206*Lists!$AD$17)-($T206*Lists!$AD$18)+($Z206*Lists!$AD$19),2))</f>
        <v/>
      </c>
      <c r="AB206" s="102" t="str">
        <f aca="false">IF(OR($B206="", $N206="", $Z206=""),"",IF($N206&gt;=Lists!$AG$2,IF($Z206&gt;=Lists!$AG$3,"Invest","Migrate"),IF($Z206&gt;=Lists!$AG$3,"Tolerate","Eliminate")))</f>
        <v/>
      </c>
      <c r="AC206" s="102" t="str">
        <f aca="false">IF($B206="","",IF($J206&gt;=4,"Yes",""))</f>
        <v/>
      </c>
      <c r="AD206" s="102" t="str">
        <f aca="false">IF($A206="","",IFERROR(IF(VLOOKUP($A206,'Risk Register'!$B$2:$H$1000,4,FALSE())&gt;=4,"Yes",""),""))</f>
        <v/>
      </c>
      <c r="AE206" s="102" t="str">
        <f aca="false">IF(OR($N206="", $O206=""),"",IF($N206&gt;=Lists!$AG$2,IF($O206&gt;=Lists!$AG$4,"High Value / High Risk","High Value / Low Risk"),IF($O206&gt;=Lists!$AG$4,"Low Value / High Risk","Low Value / Low Risk")))</f>
        <v/>
      </c>
      <c r="AF206" s="101"/>
      <c r="AG206" s="126"/>
      <c r="AH206" s="106" t="str">
        <f aca="false">IF($B206="","",COUNTIFS('Debt Backlog'!$AF$2:$AF$1000,$A206,'Debt Backlog'!$B$2:$B$1000,"&lt;&gt;",'Debt Backlog'!$N$2:$N$1000,"&lt;&gt;Done",'Debt Backlog'!$N$2:$N$1000,"&lt;&gt;Won't Fix",'Debt Backlog'!$N$2:$N$1000,"&lt;&gt;Duplicate"))</f>
        <v/>
      </c>
      <c r="AI206" s="103" t="str">
        <f aca="false">IF($B206="","",ROUND(SUMIFS('Debt Backlog'!$L$2:$L$1000,'Debt Backlog'!$AF$2:$AF$1000,$A206,'Debt Backlog'!$B$2:$B$1000,"&lt;&gt;",'Debt Backlog'!$N$2:$N$1000,"&lt;&gt;Done",'Debt Backlog'!$N$2:$N$1000,"&lt;&gt;Won't Fix",'Debt Backlog'!$N$2:$N$1000,"&lt;&gt;Duplicate"),2))</f>
        <v/>
      </c>
    </row>
    <row r="207" customFormat="false" ht="15.75" hidden="false" customHeight="true" outlineLevel="0" collapsed="false">
      <c r="A207" s="125"/>
      <c r="B207" s="101"/>
      <c r="C207" s="101"/>
      <c r="D207" s="101"/>
      <c r="E207" s="101"/>
      <c r="F207" s="101"/>
      <c r="G207" s="101"/>
      <c r="H207" s="101"/>
      <c r="I207" s="106"/>
      <c r="J207" s="106"/>
      <c r="K207" s="106"/>
      <c r="L207" s="106"/>
      <c r="M207" s="106"/>
      <c r="N207" s="103" t="str">
        <f aca="false">IF(OR($B207="", $I207="", $J207="", $K207="", $L207="", $M207=""),"",ROUND(($I207*Lists!$AD$2)+($J207*Lists!$AD$3)+($K207*Lists!$AD$4)+($L207*Lists!$AD$5)+($M207*Lists!$AD$6),2))</f>
        <v/>
      </c>
      <c r="O207" s="103" t="str">
        <f aca="false">IF($A207="","",IFERROR(VLOOKUP($A207,'Risk Register'!$B$2:$I$1000,8,FALSE()),""))</f>
        <v/>
      </c>
      <c r="P207" s="106"/>
      <c r="Q207" s="106"/>
      <c r="R207" s="106"/>
      <c r="S207" s="106"/>
      <c r="T207" s="103" t="str">
        <f aca="false">IF(OR($B207="", $P207="", $Q207="", $R207="", $S207=""),"",ROUND(($P207*Lists!$AD$7)+($Q207*Lists!$AD$8)+($R207*Lists!$AD$9)+($S207*Lists!$AD$10),2))</f>
        <v/>
      </c>
      <c r="U207" s="106"/>
      <c r="V207" s="106"/>
      <c r="W207" s="106"/>
      <c r="X207" s="106"/>
      <c r="Y207" s="106"/>
      <c r="Z207" s="103" t="str">
        <f aca="false">IF(OR($B207="", $U207="", $V207="", $W207="", $X207="", $Y207=""),"",ROUND(($U207*Lists!$AD$11)+($V207*Lists!$AD$12)+($W207*Lists!$AD$13)+($X207*Lists!$AD$14)+($Y207*Lists!$AD$15),2))</f>
        <v/>
      </c>
      <c r="AA207" s="103" t="str">
        <f aca="false">IF(OR($B207="", $N207="", $O207="", $T207="", $Z207=""),"",ROUND(($N207*Lists!$AD$16)-($O207*Lists!$AD$17)-($T207*Lists!$AD$18)+($Z207*Lists!$AD$19),2))</f>
        <v/>
      </c>
      <c r="AB207" s="102" t="str">
        <f aca="false">IF(OR($B207="", $N207="", $Z207=""),"",IF($N207&gt;=Lists!$AG$2,IF($Z207&gt;=Lists!$AG$3,"Invest","Migrate"),IF($Z207&gt;=Lists!$AG$3,"Tolerate","Eliminate")))</f>
        <v/>
      </c>
      <c r="AC207" s="102" t="str">
        <f aca="false">IF($B207="","",IF($J207&gt;=4,"Yes",""))</f>
        <v/>
      </c>
      <c r="AD207" s="102" t="str">
        <f aca="false">IF($A207="","",IFERROR(IF(VLOOKUP($A207,'Risk Register'!$B$2:$H$1000,4,FALSE())&gt;=4,"Yes",""),""))</f>
        <v/>
      </c>
      <c r="AE207" s="102" t="str">
        <f aca="false">IF(OR($N207="", $O207=""),"",IF($N207&gt;=Lists!$AG$2,IF($O207&gt;=Lists!$AG$4,"High Value / High Risk","High Value / Low Risk"),IF($O207&gt;=Lists!$AG$4,"Low Value / High Risk","Low Value / Low Risk")))</f>
        <v/>
      </c>
      <c r="AF207" s="101"/>
      <c r="AG207" s="126"/>
      <c r="AH207" s="106" t="str">
        <f aca="false">IF($B207="","",COUNTIFS('Debt Backlog'!$AF$2:$AF$1000,$A207,'Debt Backlog'!$B$2:$B$1000,"&lt;&gt;",'Debt Backlog'!$N$2:$N$1000,"&lt;&gt;Done",'Debt Backlog'!$N$2:$N$1000,"&lt;&gt;Won't Fix",'Debt Backlog'!$N$2:$N$1000,"&lt;&gt;Duplicate"))</f>
        <v/>
      </c>
      <c r="AI207" s="103" t="str">
        <f aca="false">IF($B207="","",ROUND(SUMIFS('Debt Backlog'!$L$2:$L$1000,'Debt Backlog'!$AF$2:$AF$1000,$A207,'Debt Backlog'!$B$2:$B$1000,"&lt;&gt;",'Debt Backlog'!$N$2:$N$1000,"&lt;&gt;Done",'Debt Backlog'!$N$2:$N$1000,"&lt;&gt;Won't Fix",'Debt Backlog'!$N$2:$N$1000,"&lt;&gt;Duplicate"),2))</f>
        <v/>
      </c>
    </row>
    <row r="208" customFormat="false" ht="15.75" hidden="false" customHeight="true" outlineLevel="0" collapsed="false">
      <c r="A208" s="125"/>
      <c r="B208" s="101"/>
      <c r="C208" s="101"/>
      <c r="D208" s="101"/>
      <c r="E208" s="101"/>
      <c r="F208" s="101"/>
      <c r="G208" s="101"/>
      <c r="H208" s="101"/>
      <c r="I208" s="106"/>
      <c r="J208" s="106"/>
      <c r="K208" s="106"/>
      <c r="L208" s="106"/>
      <c r="M208" s="106"/>
      <c r="N208" s="103" t="str">
        <f aca="false">IF(OR($B208="", $I208="", $J208="", $K208="", $L208="", $M208=""),"",ROUND(($I208*Lists!$AD$2)+($J208*Lists!$AD$3)+($K208*Lists!$AD$4)+($L208*Lists!$AD$5)+($M208*Lists!$AD$6),2))</f>
        <v/>
      </c>
      <c r="O208" s="103" t="str">
        <f aca="false">IF($A208="","",IFERROR(VLOOKUP($A208,'Risk Register'!$B$2:$I$1000,8,FALSE()),""))</f>
        <v/>
      </c>
      <c r="P208" s="106"/>
      <c r="Q208" s="106"/>
      <c r="R208" s="106"/>
      <c r="S208" s="106"/>
      <c r="T208" s="103" t="str">
        <f aca="false">IF(OR($B208="", $P208="", $Q208="", $R208="", $S208=""),"",ROUND(($P208*Lists!$AD$7)+($Q208*Lists!$AD$8)+($R208*Lists!$AD$9)+($S208*Lists!$AD$10),2))</f>
        <v/>
      </c>
      <c r="U208" s="106"/>
      <c r="V208" s="106"/>
      <c r="W208" s="106"/>
      <c r="X208" s="106"/>
      <c r="Y208" s="106"/>
      <c r="Z208" s="103" t="str">
        <f aca="false">IF(OR($B208="", $U208="", $V208="", $W208="", $X208="", $Y208=""),"",ROUND(($U208*Lists!$AD$11)+($V208*Lists!$AD$12)+($W208*Lists!$AD$13)+($X208*Lists!$AD$14)+($Y208*Lists!$AD$15),2))</f>
        <v/>
      </c>
      <c r="AA208" s="103" t="str">
        <f aca="false">IF(OR($B208="", $N208="", $O208="", $T208="", $Z208=""),"",ROUND(($N208*Lists!$AD$16)-($O208*Lists!$AD$17)-($T208*Lists!$AD$18)+($Z208*Lists!$AD$19),2))</f>
        <v/>
      </c>
      <c r="AB208" s="102" t="str">
        <f aca="false">IF(OR($B208="", $N208="", $Z208=""),"",IF($N208&gt;=Lists!$AG$2,IF($Z208&gt;=Lists!$AG$3,"Invest","Migrate"),IF($Z208&gt;=Lists!$AG$3,"Tolerate","Eliminate")))</f>
        <v/>
      </c>
      <c r="AC208" s="102" t="str">
        <f aca="false">IF($B208="","",IF($J208&gt;=4,"Yes",""))</f>
        <v/>
      </c>
      <c r="AD208" s="102" t="str">
        <f aca="false">IF($A208="","",IFERROR(IF(VLOOKUP($A208,'Risk Register'!$B$2:$H$1000,4,FALSE())&gt;=4,"Yes",""),""))</f>
        <v/>
      </c>
      <c r="AE208" s="102" t="str">
        <f aca="false">IF(OR($N208="", $O208=""),"",IF($N208&gt;=Lists!$AG$2,IF($O208&gt;=Lists!$AG$4,"High Value / High Risk","High Value / Low Risk"),IF($O208&gt;=Lists!$AG$4,"Low Value / High Risk","Low Value / Low Risk")))</f>
        <v/>
      </c>
      <c r="AF208" s="101"/>
      <c r="AG208" s="126"/>
      <c r="AH208" s="106" t="str">
        <f aca="false">IF($B208="","",COUNTIFS('Debt Backlog'!$AF$2:$AF$1000,$A208,'Debt Backlog'!$B$2:$B$1000,"&lt;&gt;",'Debt Backlog'!$N$2:$N$1000,"&lt;&gt;Done",'Debt Backlog'!$N$2:$N$1000,"&lt;&gt;Won't Fix",'Debt Backlog'!$N$2:$N$1000,"&lt;&gt;Duplicate"))</f>
        <v/>
      </c>
      <c r="AI208" s="103" t="str">
        <f aca="false">IF($B208="","",ROUND(SUMIFS('Debt Backlog'!$L$2:$L$1000,'Debt Backlog'!$AF$2:$AF$1000,$A208,'Debt Backlog'!$B$2:$B$1000,"&lt;&gt;",'Debt Backlog'!$N$2:$N$1000,"&lt;&gt;Done",'Debt Backlog'!$N$2:$N$1000,"&lt;&gt;Won't Fix",'Debt Backlog'!$N$2:$N$1000,"&lt;&gt;Duplicate"),2))</f>
        <v/>
      </c>
    </row>
    <row r="209" customFormat="false" ht="15.75" hidden="false" customHeight="true" outlineLevel="0" collapsed="false">
      <c r="A209" s="125"/>
      <c r="B209" s="101"/>
      <c r="C209" s="101"/>
      <c r="D209" s="101"/>
      <c r="E209" s="101"/>
      <c r="F209" s="101"/>
      <c r="G209" s="101"/>
      <c r="H209" s="101"/>
      <c r="I209" s="106"/>
      <c r="J209" s="106"/>
      <c r="K209" s="106"/>
      <c r="L209" s="106"/>
      <c r="M209" s="106"/>
      <c r="N209" s="103" t="str">
        <f aca="false">IF(OR($B209="", $I209="", $J209="", $K209="", $L209="", $M209=""),"",ROUND(($I209*Lists!$AD$2)+($J209*Lists!$AD$3)+($K209*Lists!$AD$4)+($L209*Lists!$AD$5)+($M209*Lists!$AD$6),2))</f>
        <v/>
      </c>
      <c r="O209" s="103" t="str">
        <f aca="false">IF($A209="","",IFERROR(VLOOKUP($A209,'Risk Register'!$B$2:$I$1000,8,FALSE()),""))</f>
        <v/>
      </c>
      <c r="P209" s="106"/>
      <c r="Q209" s="106"/>
      <c r="R209" s="106"/>
      <c r="S209" s="106"/>
      <c r="T209" s="103" t="str">
        <f aca="false">IF(OR($B209="", $P209="", $Q209="", $R209="", $S209=""),"",ROUND(($P209*Lists!$AD$7)+($Q209*Lists!$AD$8)+($R209*Lists!$AD$9)+($S209*Lists!$AD$10),2))</f>
        <v/>
      </c>
      <c r="U209" s="106"/>
      <c r="V209" s="106"/>
      <c r="W209" s="106"/>
      <c r="X209" s="106"/>
      <c r="Y209" s="106"/>
      <c r="Z209" s="103" t="str">
        <f aca="false">IF(OR($B209="", $U209="", $V209="", $W209="", $X209="", $Y209=""),"",ROUND(($U209*Lists!$AD$11)+($V209*Lists!$AD$12)+($W209*Lists!$AD$13)+($X209*Lists!$AD$14)+($Y209*Lists!$AD$15),2))</f>
        <v/>
      </c>
      <c r="AA209" s="103" t="str">
        <f aca="false">IF(OR($B209="", $N209="", $O209="", $T209="", $Z209=""),"",ROUND(($N209*Lists!$AD$16)-($O209*Lists!$AD$17)-($T209*Lists!$AD$18)+($Z209*Lists!$AD$19),2))</f>
        <v/>
      </c>
      <c r="AB209" s="102" t="str">
        <f aca="false">IF(OR($B209="", $N209="", $Z209=""),"",IF($N209&gt;=Lists!$AG$2,IF($Z209&gt;=Lists!$AG$3,"Invest","Migrate"),IF($Z209&gt;=Lists!$AG$3,"Tolerate","Eliminate")))</f>
        <v/>
      </c>
      <c r="AC209" s="102" t="str">
        <f aca="false">IF($B209="","",IF($J209&gt;=4,"Yes",""))</f>
        <v/>
      </c>
      <c r="AD209" s="102" t="str">
        <f aca="false">IF($A209="","",IFERROR(IF(VLOOKUP($A209,'Risk Register'!$B$2:$H$1000,4,FALSE())&gt;=4,"Yes",""),""))</f>
        <v/>
      </c>
      <c r="AE209" s="102" t="str">
        <f aca="false">IF(OR($N209="", $O209=""),"",IF($N209&gt;=Lists!$AG$2,IF($O209&gt;=Lists!$AG$4,"High Value / High Risk","High Value / Low Risk"),IF($O209&gt;=Lists!$AG$4,"Low Value / High Risk","Low Value / Low Risk")))</f>
        <v/>
      </c>
      <c r="AF209" s="101"/>
      <c r="AG209" s="126"/>
      <c r="AH209" s="106" t="str">
        <f aca="false">IF($B209="","",COUNTIFS('Debt Backlog'!$AF$2:$AF$1000,$A209,'Debt Backlog'!$B$2:$B$1000,"&lt;&gt;",'Debt Backlog'!$N$2:$N$1000,"&lt;&gt;Done",'Debt Backlog'!$N$2:$N$1000,"&lt;&gt;Won't Fix",'Debt Backlog'!$N$2:$N$1000,"&lt;&gt;Duplicate"))</f>
        <v/>
      </c>
      <c r="AI209" s="103" t="str">
        <f aca="false">IF($B209="","",ROUND(SUMIFS('Debt Backlog'!$L$2:$L$1000,'Debt Backlog'!$AF$2:$AF$1000,$A209,'Debt Backlog'!$B$2:$B$1000,"&lt;&gt;",'Debt Backlog'!$N$2:$N$1000,"&lt;&gt;Done",'Debt Backlog'!$N$2:$N$1000,"&lt;&gt;Won't Fix",'Debt Backlog'!$N$2:$N$1000,"&lt;&gt;Duplicate"),2))</f>
        <v/>
      </c>
    </row>
    <row r="210" customFormat="false" ht="15.75" hidden="false" customHeight="true" outlineLevel="0" collapsed="false">
      <c r="A210" s="125"/>
      <c r="B210" s="101"/>
      <c r="C210" s="101"/>
      <c r="D210" s="101"/>
      <c r="E210" s="101"/>
      <c r="F210" s="101"/>
      <c r="G210" s="101"/>
      <c r="H210" s="101"/>
      <c r="I210" s="106"/>
      <c r="J210" s="106"/>
      <c r="K210" s="106"/>
      <c r="L210" s="106"/>
      <c r="M210" s="106"/>
      <c r="N210" s="103" t="str">
        <f aca="false">IF(OR($B210="", $I210="", $J210="", $K210="", $L210="", $M210=""),"",ROUND(($I210*Lists!$AD$2)+($J210*Lists!$AD$3)+($K210*Lists!$AD$4)+($L210*Lists!$AD$5)+($M210*Lists!$AD$6),2))</f>
        <v/>
      </c>
      <c r="O210" s="103" t="str">
        <f aca="false">IF($A210="","",IFERROR(VLOOKUP($A210,'Risk Register'!$B$2:$I$1000,8,FALSE()),""))</f>
        <v/>
      </c>
      <c r="P210" s="106"/>
      <c r="Q210" s="106"/>
      <c r="R210" s="106"/>
      <c r="S210" s="106"/>
      <c r="T210" s="103" t="str">
        <f aca="false">IF(OR($B210="", $P210="", $Q210="", $R210="", $S210=""),"",ROUND(($P210*Lists!$AD$7)+($Q210*Lists!$AD$8)+($R210*Lists!$AD$9)+($S210*Lists!$AD$10),2))</f>
        <v/>
      </c>
      <c r="U210" s="106"/>
      <c r="V210" s="106"/>
      <c r="W210" s="106"/>
      <c r="X210" s="106"/>
      <c r="Y210" s="106"/>
      <c r="Z210" s="103" t="str">
        <f aca="false">IF(OR($B210="", $U210="", $V210="", $W210="", $X210="", $Y210=""),"",ROUND(($U210*Lists!$AD$11)+($V210*Lists!$AD$12)+($W210*Lists!$AD$13)+($X210*Lists!$AD$14)+($Y210*Lists!$AD$15),2))</f>
        <v/>
      </c>
      <c r="AA210" s="103" t="str">
        <f aca="false">IF(OR($B210="", $N210="", $O210="", $T210="", $Z210=""),"",ROUND(($N210*Lists!$AD$16)-($O210*Lists!$AD$17)-($T210*Lists!$AD$18)+($Z210*Lists!$AD$19),2))</f>
        <v/>
      </c>
      <c r="AB210" s="102" t="str">
        <f aca="false">IF(OR($B210="", $N210="", $Z210=""),"",IF($N210&gt;=Lists!$AG$2,IF($Z210&gt;=Lists!$AG$3,"Invest","Migrate"),IF($Z210&gt;=Lists!$AG$3,"Tolerate","Eliminate")))</f>
        <v/>
      </c>
      <c r="AC210" s="102" t="str">
        <f aca="false">IF($B210="","",IF($J210&gt;=4,"Yes",""))</f>
        <v/>
      </c>
      <c r="AD210" s="102" t="str">
        <f aca="false">IF($A210="","",IFERROR(IF(VLOOKUP($A210,'Risk Register'!$B$2:$H$1000,4,FALSE())&gt;=4,"Yes",""),""))</f>
        <v/>
      </c>
      <c r="AE210" s="102" t="str">
        <f aca="false">IF(OR($N210="", $O210=""),"",IF($N210&gt;=Lists!$AG$2,IF($O210&gt;=Lists!$AG$4,"High Value / High Risk","High Value / Low Risk"),IF($O210&gt;=Lists!$AG$4,"Low Value / High Risk","Low Value / Low Risk")))</f>
        <v/>
      </c>
      <c r="AF210" s="101"/>
      <c r="AG210" s="126"/>
      <c r="AH210" s="106" t="str">
        <f aca="false">IF($B210="","",COUNTIFS('Debt Backlog'!$AF$2:$AF$1000,$A210,'Debt Backlog'!$B$2:$B$1000,"&lt;&gt;",'Debt Backlog'!$N$2:$N$1000,"&lt;&gt;Done",'Debt Backlog'!$N$2:$N$1000,"&lt;&gt;Won't Fix",'Debt Backlog'!$N$2:$N$1000,"&lt;&gt;Duplicate"))</f>
        <v/>
      </c>
      <c r="AI210" s="103" t="str">
        <f aca="false">IF($B210="","",ROUND(SUMIFS('Debt Backlog'!$L$2:$L$1000,'Debt Backlog'!$AF$2:$AF$1000,$A210,'Debt Backlog'!$B$2:$B$1000,"&lt;&gt;",'Debt Backlog'!$N$2:$N$1000,"&lt;&gt;Done",'Debt Backlog'!$N$2:$N$1000,"&lt;&gt;Won't Fix",'Debt Backlog'!$N$2:$N$1000,"&lt;&gt;Duplicate"),2))</f>
        <v/>
      </c>
    </row>
    <row r="211" customFormat="false" ht="15.75" hidden="false" customHeight="true" outlineLevel="0" collapsed="false">
      <c r="A211" s="125"/>
      <c r="B211" s="101"/>
      <c r="C211" s="101"/>
      <c r="D211" s="101"/>
      <c r="E211" s="101"/>
      <c r="F211" s="101"/>
      <c r="G211" s="101"/>
      <c r="H211" s="101"/>
      <c r="I211" s="106"/>
      <c r="J211" s="106"/>
      <c r="K211" s="106"/>
      <c r="L211" s="106"/>
      <c r="M211" s="106"/>
      <c r="N211" s="103" t="str">
        <f aca="false">IF(OR($B211="", $I211="", $J211="", $K211="", $L211="", $M211=""),"",ROUND(($I211*Lists!$AD$2)+($J211*Lists!$AD$3)+($K211*Lists!$AD$4)+($L211*Lists!$AD$5)+($M211*Lists!$AD$6),2))</f>
        <v/>
      </c>
      <c r="O211" s="103" t="str">
        <f aca="false">IF($A211="","",IFERROR(VLOOKUP($A211,'Risk Register'!$B$2:$I$1000,8,FALSE()),""))</f>
        <v/>
      </c>
      <c r="P211" s="106"/>
      <c r="Q211" s="106"/>
      <c r="R211" s="106"/>
      <c r="S211" s="106"/>
      <c r="T211" s="103" t="str">
        <f aca="false">IF(OR($B211="", $P211="", $Q211="", $R211="", $S211=""),"",ROUND(($P211*Lists!$AD$7)+($Q211*Lists!$AD$8)+($R211*Lists!$AD$9)+($S211*Lists!$AD$10),2))</f>
        <v/>
      </c>
      <c r="U211" s="106"/>
      <c r="V211" s="106"/>
      <c r="W211" s="106"/>
      <c r="X211" s="106"/>
      <c r="Y211" s="106"/>
      <c r="Z211" s="103" t="str">
        <f aca="false">IF(OR($B211="", $U211="", $V211="", $W211="", $X211="", $Y211=""),"",ROUND(($U211*Lists!$AD$11)+($V211*Lists!$AD$12)+($W211*Lists!$AD$13)+($X211*Lists!$AD$14)+($Y211*Lists!$AD$15),2))</f>
        <v/>
      </c>
      <c r="AA211" s="103" t="str">
        <f aca="false">IF(OR($B211="", $N211="", $O211="", $T211="", $Z211=""),"",ROUND(($N211*Lists!$AD$16)-($O211*Lists!$AD$17)-($T211*Lists!$AD$18)+($Z211*Lists!$AD$19),2))</f>
        <v/>
      </c>
      <c r="AB211" s="102" t="str">
        <f aca="false">IF(OR($B211="", $N211="", $Z211=""),"",IF($N211&gt;=Lists!$AG$2,IF($Z211&gt;=Lists!$AG$3,"Invest","Migrate"),IF($Z211&gt;=Lists!$AG$3,"Tolerate","Eliminate")))</f>
        <v/>
      </c>
      <c r="AC211" s="102" t="str">
        <f aca="false">IF($B211="","",IF($J211&gt;=4,"Yes",""))</f>
        <v/>
      </c>
      <c r="AD211" s="102" t="str">
        <f aca="false">IF($A211="","",IFERROR(IF(VLOOKUP($A211,'Risk Register'!$B$2:$H$1000,4,FALSE())&gt;=4,"Yes",""),""))</f>
        <v/>
      </c>
      <c r="AE211" s="102" t="str">
        <f aca="false">IF(OR($N211="", $O211=""),"",IF($N211&gt;=Lists!$AG$2,IF($O211&gt;=Lists!$AG$4,"High Value / High Risk","High Value / Low Risk"),IF($O211&gt;=Lists!$AG$4,"Low Value / High Risk","Low Value / Low Risk")))</f>
        <v/>
      </c>
      <c r="AF211" s="101"/>
      <c r="AG211" s="126"/>
      <c r="AH211" s="106" t="str">
        <f aca="false">IF($B211="","",COUNTIFS('Debt Backlog'!$AF$2:$AF$1000,$A211,'Debt Backlog'!$B$2:$B$1000,"&lt;&gt;",'Debt Backlog'!$N$2:$N$1000,"&lt;&gt;Done",'Debt Backlog'!$N$2:$N$1000,"&lt;&gt;Won't Fix",'Debt Backlog'!$N$2:$N$1000,"&lt;&gt;Duplicate"))</f>
        <v/>
      </c>
      <c r="AI211" s="103" t="str">
        <f aca="false">IF($B211="","",ROUND(SUMIFS('Debt Backlog'!$L$2:$L$1000,'Debt Backlog'!$AF$2:$AF$1000,$A211,'Debt Backlog'!$B$2:$B$1000,"&lt;&gt;",'Debt Backlog'!$N$2:$N$1000,"&lt;&gt;Done",'Debt Backlog'!$N$2:$N$1000,"&lt;&gt;Won't Fix",'Debt Backlog'!$N$2:$N$1000,"&lt;&gt;Duplicate"),2))</f>
        <v/>
      </c>
    </row>
    <row r="212" customFormat="false" ht="15.75" hidden="false" customHeight="true" outlineLevel="0" collapsed="false">
      <c r="A212" s="125"/>
      <c r="B212" s="101"/>
      <c r="C212" s="101"/>
      <c r="D212" s="101"/>
      <c r="E212" s="101"/>
      <c r="F212" s="101"/>
      <c r="G212" s="101"/>
      <c r="H212" s="101"/>
      <c r="I212" s="106"/>
      <c r="J212" s="106"/>
      <c r="K212" s="106"/>
      <c r="L212" s="106"/>
      <c r="M212" s="106"/>
      <c r="N212" s="103" t="str">
        <f aca="false">IF(OR($B212="", $I212="", $J212="", $K212="", $L212="", $M212=""),"",ROUND(($I212*Lists!$AD$2)+($J212*Lists!$AD$3)+($K212*Lists!$AD$4)+($L212*Lists!$AD$5)+($M212*Lists!$AD$6),2))</f>
        <v/>
      </c>
      <c r="O212" s="103" t="str">
        <f aca="false">IF($A212="","",IFERROR(VLOOKUP($A212,'Risk Register'!$B$2:$I$1000,8,FALSE()),""))</f>
        <v/>
      </c>
      <c r="P212" s="106"/>
      <c r="Q212" s="106"/>
      <c r="R212" s="106"/>
      <c r="S212" s="106"/>
      <c r="T212" s="103" t="str">
        <f aca="false">IF(OR($B212="", $P212="", $Q212="", $R212="", $S212=""),"",ROUND(($P212*Lists!$AD$7)+($Q212*Lists!$AD$8)+($R212*Lists!$AD$9)+($S212*Lists!$AD$10),2))</f>
        <v/>
      </c>
      <c r="U212" s="106"/>
      <c r="V212" s="106"/>
      <c r="W212" s="106"/>
      <c r="X212" s="106"/>
      <c r="Y212" s="106"/>
      <c r="Z212" s="103" t="str">
        <f aca="false">IF(OR($B212="", $U212="", $V212="", $W212="", $X212="", $Y212=""),"",ROUND(($U212*Lists!$AD$11)+($V212*Lists!$AD$12)+($W212*Lists!$AD$13)+($X212*Lists!$AD$14)+($Y212*Lists!$AD$15),2))</f>
        <v/>
      </c>
      <c r="AA212" s="103" t="str">
        <f aca="false">IF(OR($B212="", $N212="", $O212="", $T212="", $Z212=""),"",ROUND(($N212*Lists!$AD$16)-($O212*Lists!$AD$17)-($T212*Lists!$AD$18)+($Z212*Lists!$AD$19),2))</f>
        <v/>
      </c>
      <c r="AB212" s="102" t="str">
        <f aca="false">IF(OR($B212="", $N212="", $Z212=""),"",IF($N212&gt;=Lists!$AG$2,IF($Z212&gt;=Lists!$AG$3,"Invest","Migrate"),IF($Z212&gt;=Lists!$AG$3,"Tolerate","Eliminate")))</f>
        <v/>
      </c>
      <c r="AC212" s="102" t="str">
        <f aca="false">IF($B212="","",IF($J212&gt;=4,"Yes",""))</f>
        <v/>
      </c>
      <c r="AD212" s="102" t="str">
        <f aca="false">IF($A212="","",IFERROR(IF(VLOOKUP($A212,'Risk Register'!$B$2:$H$1000,4,FALSE())&gt;=4,"Yes",""),""))</f>
        <v/>
      </c>
      <c r="AE212" s="102" t="str">
        <f aca="false">IF(OR($N212="", $O212=""),"",IF($N212&gt;=Lists!$AG$2,IF($O212&gt;=Lists!$AG$4,"High Value / High Risk","High Value / Low Risk"),IF($O212&gt;=Lists!$AG$4,"Low Value / High Risk","Low Value / Low Risk")))</f>
        <v/>
      </c>
      <c r="AF212" s="101"/>
      <c r="AG212" s="126"/>
      <c r="AH212" s="106" t="str">
        <f aca="false">IF($B212="","",COUNTIFS('Debt Backlog'!$AF$2:$AF$1000,$A212,'Debt Backlog'!$B$2:$B$1000,"&lt;&gt;",'Debt Backlog'!$N$2:$N$1000,"&lt;&gt;Done",'Debt Backlog'!$N$2:$N$1000,"&lt;&gt;Won't Fix",'Debt Backlog'!$N$2:$N$1000,"&lt;&gt;Duplicate"))</f>
        <v/>
      </c>
      <c r="AI212" s="103" t="str">
        <f aca="false">IF($B212="","",ROUND(SUMIFS('Debt Backlog'!$L$2:$L$1000,'Debt Backlog'!$AF$2:$AF$1000,$A212,'Debt Backlog'!$B$2:$B$1000,"&lt;&gt;",'Debt Backlog'!$N$2:$N$1000,"&lt;&gt;Done",'Debt Backlog'!$N$2:$N$1000,"&lt;&gt;Won't Fix",'Debt Backlog'!$N$2:$N$1000,"&lt;&gt;Duplicate"),2))</f>
        <v/>
      </c>
    </row>
    <row r="213" customFormat="false" ht="15.75" hidden="false" customHeight="true" outlineLevel="0" collapsed="false">
      <c r="A213" s="125"/>
      <c r="B213" s="101"/>
      <c r="C213" s="101"/>
      <c r="D213" s="101"/>
      <c r="E213" s="101"/>
      <c r="F213" s="101"/>
      <c r="G213" s="101"/>
      <c r="H213" s="101"/>
      <c r="I213" s="106"/>
      <c r="J213" s="106"/>
      <c r="K213" s="106"/>
      <c r="L213" s="106"/>
      <c r="M213" s="106"/>
      <c r="N213" s="103" t="str">
        <f aca="false">IF(OR($B213="", $I213="", $J213="", $K213="", $L213="", $M213=""),"",ROUND(($I213*Lists!$AD$2)+($J213*Lists!$AD$3)+($K213*Lists!$AD$4)+($L213*Lists!$AD$5)+($M213*Lists!$AD$6),2))</f>
        <v/>
      </c>
      <c r="O213" s="103" t="str">
        <f aca="false">IF($A213="","",IFERROR(VLOOKUP($A213,'Risk Register'!$B$2:$I$1000,8,FALSE()),""))</f>
        <v/>
      </c>
      <c r="P213" s="106"/>
      <c r="Q213" s="106"/>
      <c r="R213" s="106"/>
      <c r="S213" s="106"/>
      <c r="T213" s="103" t="str">
        <f aca="false">IF(OR($B213="", $P213="", $Q213="", $R213="", $S213=""),"",ROUND(($P213*Lists!$AD$7)+($Q213*Lists!$AD$8)+($R213*Lists!$AD$9)+($S213*Lists!$AD$10),2))</f>
        <v/>
      </c>
      <c r="U213" s="106"/>
      <c r="V213" s="106"/>
      <c r="W213" s="106"/>
      <c r="X213" s="106"/>
      <c r="Y213" s="106"/>
      <c r="Z213" s="103" t="str">
        <f aca="false">IF(OR($B213="", $U213="", $V213="", $W213="", $X213="", $Y213=""),"",ROUND(($U213*Lists!$AD$11)+($V213*Lists!$AD$12)+($W213*Lists!$AD$13)+($X213*Lists!$AD$14)+($Y213*Lists!$AD$15),2))</f>
        <v/>
      </c>
      <c r="AA213" s="103" t="str">
        <f aca="false">IF(OR($B213="", $N213="", $O213="", $T213="", $Z213=""),"",ROUND(($N213*Lists!$AD$16)-($O213*Lists!$AD$17)-($T213*Lists!$AD$18)+($Z213*Lists!$AD$19),2))</f>
        <v/>
      </c>
      <c r="AB213" s="102" t="str">
        <f aca="false">IF(OR($B213="", $N213="", $Z213=""),"",IF($N213&gt;=Lists!$AG$2,IF($Z213&gt;=Lists!$AG$3,"Invest","Migrate"),IF($Z213&gt;=Lists!$AG$3,"Tolerate","Eliminate")))</f>
        <v/>
      </c>
      <c r="AC213" s="102" t="str">
        <f aca="false">IF($B213="","",IF($J213&gt;=4,"Yes",""))</f>
        <v/>
      </c>
      <c r="AD213" s="102" t="str">
        <f aca="false">IF($A213="","",IFERROR(IF(VLOOKUP($A213,'Risk Register'!$B$2:$H$1000,4,FALSE())&gt;=4,"Yes",""),""))</f>
        <v/>
      </c>
      <c r="AE213" s="102" t="str">
        <f aca="false">IF(OR($N213="", $O213=""),"",IF($N213&gt;=Lists!$AG$2,IF($O213&gt;=Lists!$AG$4,"High Value / High Risk","High Value / Low Risk"),IF($O213&gt;=Lists!$AG$4,"Low Value / High Risk","Low Value / Low Risk")))</f>
        <v/>
      </c>
      <c r="AF213" s="101"/>
      <c r="AG213" s="126"/>
      <c r="AH213" s="106" t="str">
        <f aca="false">IF($B213="","",COUNTIFS('Debt Backlog'!$AF$2:$AF$1000,$A213,'Debt Backlog'!$B$2:$B$1000,"&lt;&gt;",'Debt Backlog'!$N$2:$N$1000,"&lt;&gt;Done",'Debt Backlog'!$N$2:$N$1000,"&lt;&gt;Won't Fix",'Debt Backlog'!$N$2:$N$1000,"&lt;&gt;Duplicate"))</f>
        <v/>
      </c>
      <c r="AI213" s="103" t="str">
        <f aca="false">IF($B213="","",ROUND(SUMIFS('Debt Backlog'!$L$2:$L$1000,'Debt Backlog'!$AF$2:$AF$1000,$A213,'Debt Backlog'!$B$2:$B$1000,"&lt;&gt;",'Debt Backlog'!$N$2:$N$1000,"&lt;&gt;Done",'Debt Backlog'!$N$2:$N$1000,"&lt;&gt;Won't Fix",'Debt Backlog'!$N$2:$N$1000,"&lt;&gt;Duplicate"),2))</f>
        <v/>
      </c>
    </row>
    <row r="214" customFormat="false" ht="15.75" hidden="false" customHeight="true" outlineLevel="0" collapsed="false">
      <c r="A214" s="125"/>
      <c r="B214" s="101"/>
      <c r="C214" s="101"/>
      <c r="D214" s="101"/>
      <c r="E214" s="101"/>
      <c r="F214" s="101"/>
      <c r="G214" s="101"/>
      <c r="H214" s="101"/>
      <c r="I214" s="106"/>
      <c r="J214" s="106"/>
      <c r="K214" s="106"/>
      <c r="L214" s="106"/>
      <c r="M214" s="106"/>
      <c r="N214" s="103" t="str">
        <f aca="false">IF(OR($B214="", $I214="", $J214="", $K214="", $L214="", $M214=""),"",ROUND(($I214*Lists!$AD$2)+($J214*Lists!$AD$3)+($K214*Lists!$AD$4)+($L214*Lists!$AD$5)+($M214*Lists!$AD$6),2))</f>
        <v/>
      </c>
      <c r="O214" s="103" t="str">
        <f aca="false">IF($A214="","",IFERROR(VLOOKUP($A214,'Risk Register'!$B$2:$I$1000,8,FALSE()),""))</f>
        <v/>
      </c>
      <c r="P214" s="106"/>
      <c r="Q214" s="106"/>
      <c r="R214" s="106"/>
      <c r="S214" s="106"/>
      <c r="T214" s="103" t="str">
        <f aca="false">IF(OR($B214="", $P214="", $Q214="", $R214="", $S214=""),"",ROUND(($P214*Lists!$AD$7)+($Q214*Lists!$AD$8)+($R214*Lists!$AD$9)+($S214*Lists!$AD$10),2))</f>
        <v/>
      </c>
      <c r="U214" s="106"/>
      <c r="V214" s="106"/>
      <c r="W214" s="106"/>
      <c r="X214" s="106"/>
      <c r="Y214" s="106"/>
      <c r="Z214" s="103" t="str">
        <f aca="false">IF(OR($B214="", $U214="", $V214="", $W214="", $X214="", $Y214=""),"",ROUND(($U214*Lists!$AD$11)+($V214*Lists!$AD$12)+($W214*Lists!$AD$13)+($X214*Lists!$AD$14)+($Y214*Lists!$AD$15),2))</f>
        <v/>
      </c>
      <c r="AA214" s="103" t="str">
        <f aca="false">IF(OR($B214="", $N214="", $O214="", $T214="", $Z214=""),"",ROUND(($N214*Lists!$AD$16)-($O214*Lists!$AD$17)-($T214*Lists!$AD$18)+($Z214*Lists!$AD$19),2))</f>
        <v/>
      </c>
      <c r="AB214" s="102" t="str">
        <f aca="false">IF(OR($B214="", $N214="", $Z214=""),"",IF($N214&gt;=Lists!$AG$2,IF($Z214&gt;=Lists!$AG$3,"Invest","Migrate"),IF($Z214&gt;=Lists!$AG$3,"Tolerate","Eliminate")))</f>
        <v/>
      </c>
      <c r="AC214" s="102" t="str">
        <f aca="false">IF($B214="","",IF($J214&gt;=4,"Yes",""))</f>
        <v/>
      </c>
      <c r="AD214" s="102" t="str">
        <f aca="false">IF($A214="","",IFERROR(IF(VLOOKUP($A214,'Risk Register'!$B$2:$H$1000,4,FALSE())&gt;=4,"Yes",""),""))</f>
        <v/>
      </c>
      <c r="AE214" s="102" t="str">
        <f aca="false">IF(OR($N214="", $O214=""),"",IF($N214&gt;=Lists!$AG$2,IF($O214&gt;=Lists!$AG$4,"High Value / High Risk","High Value / Low Risk"),IF($O214&gt;=Lists!$AG$4,"Low Value / High Risk","Low Value / Low Risk")))</f>
        <v/>
      </c>
      <c r="AF214" s="101"/>
      <c r="AG214" s="126"/>
      <c r="AH214" s="106" t="str">
        <f aca="false">IF($B214="","",COUNTIFS('Debt Backlog'!$AF$2:$AF$1000,$A214,'Debt Backlog'!$B$2:$B$1000,"&lt;&gt;",'Debt Backlog'!$N$2:$N$1000,"&lt;&gt;Done",'Debt Backlog'!$N$2:$N$1000,"&lt;&gt;Won't Fix",'Debt Backlog'!$N$2:$N$1000,"&lt;&gt;Duplicate"))</f>
        <v/>
      </c>
      <c r="AI214" s="103" t="str">
        <f aca="false">IF($B214="","",ROUND(SUMIFS('Debt Backlog'!$L$2:$L$1000,'Debt Backlog'!$AF$2:$AF$1000,$A214,'Debt Backlog'!$B$2:$B$1000,"&lt;&gt;",'Debt Backlog'!$N$2:$N$1000,"&lt;&gt;Done",'Debt Backlog'!$N$2:$N$1000,"&lt;&gt;Won't Fix",'Debt Backlog'!$N$2:$N$1000,"&lt;&gt;Duplicate"),2))</f>
        <v/>
      </c>
    </row>
    <row r="215" customFormat="false" ht="15.75" hidden="false" customHeight="true" outlineLevel="0" collapsed="false">
      <c r="A215" s="125"/>
      <c r="B215" s="101"/>
      <c r="C215" s="101"/>
      <c r="D215" s="101"/>
      <c r="E215" s="101"/>
      <c r="F215" s="101"/>
      <c r="G215" s="101"/>
      <c r="H215" s="101"/>
      <c r="I215" s="106"/>
      <c r="J215" s="106"/>
      <c r="K215" s="106"/>
      <c r="L215" s="106"/>
      <c r="M215" s="106"/>
      <c r="N215" s="103" t="str">
        <f aca="false">IF(OR($B215="", $I215="", $J215="", $K215="", $L215="", $M215=""),"",ROUND(($I215*Lists!$AD$2)+($J215*Lists!$AD$3)+($K215*Lists!$AD$4)+($L215*Lists!$AD$5)+($M215*Lists!$AD$6),2))</f>
        <v/>
      </c>
      <c r="O215" s="103" t="str">
        <f aca="false">IF($A215="","",IFERROR(VLOOKUP($A215,'Risk Register'!$B$2:$I$1000,8,FALSE()),""))</f>
        <v/>
      </c>
      <c r="P215" s="106"/>
      <c r="Q215" s="106"/>
      <c r="R215" s="106"/>
      <c r="S215" s="106"/>
      <c r="T215" s="103" t="str">
        <f aca="false">IF(OR($B215="", $P215="", $Q215="", $R215="", $S215=""),"",ROUND(($P215*Lists!$AD$7)+($Q215*Lists!$AD$8)+($R215*Lists!$AD$9)+($S215*Lists!$AD$10),2))</f>
        <v/>
      </c>
      <c r="U215" s="106"/>
      <c r="V215" s="106"/>
      <c r="W215" s="106"/>
      <c r="X215" s="106"/>
      <c r="Y215" s="106"/>
      <c r="Z215" s="103" t="str">
        <f aca="false">IF(OR($B215="", $U215="", $V215="", $W215="", $X215="", $Y215=""),"",ROUND(($U215*Lists!$AD$11)+($V215*Lists!$AD$12)+($W215*Lists!$AD$13)+($X215*Lists!$AD$14)+($Y215*Lists!$AD$15),2))</f>
        <v/>
      </c>
      <c r="AA215" s="103" t="str">
        <f aca="false">IF(OR($B215="", $N215="", $O215="", $T215="", $Z215=""),"",ROUND(($N215*Lists!$AD$16)-($O215*Lists!$AD$17)-($T215*Lists!$AD$18)+($Z215*Lists!$AD$19),2))</f>
        <v/>
      </c>
      <c r="AB215" s="102" t="str">
        <f aca="false">IF(OR($B215="", $N215="", $Z215=""),"",IF($N215&gt;=Lists!$AG$2,IF($Z215&gt;=Lists!$AG$3,"Invest","Migrate"),IF($Z215&gt;=Lists!$AG$3,"Tolerate","Eliminate")))</f>
        <v/>
      </c>
      <c r="AC215" s="102" t="str">
        <f aca="false">IF($B215="","",IF($J215&gt;=4,"Yes",""))</f>
        <v/>
      </c>
      <c r="AD215" s="102" t="str">
        <f aca="false">IF($A215="","",IFERROR(IF(VLOOKUP($A215,'Risk Register'!$B$2:$H$1000,4,FALSE())&gt;=4,"Yes",""),""))</f>
        <v/>
      </c>
      <c r="AE215" s="102" t="str">
        <f aca="false">IF(OR($N215="", $O215=""),"",IF($N215&gt;=Lists!$AG$2,IF($O215&gt;=Lists!$AG$4,"High Value / High Risk","High Value / Low Risk"),IF($O215&gt;=Lists!$AG$4,"Low Value / High Risk","Low Value / Low Risk")))</f>
        <v/>
      </c>
      <c r="AF215" s="101"/>
      <c r="AG215" s="126"/>
      <c r="AH215" s="106" t="str">
        <f aca="false">IF($B215="","",COUNTIFS('Debt Backlog'!$AF$2:$AF$1000,$A215,'Debt Backlog'!$B$2:$B$1000,"&lt;&gt;",'Debt Backlog'!$N$2:$N$1000,"&lt;&gt;Done",'Debt Backlog'!$N$2:$N$1000,"&lt;&gt;Won't Fix",'Debt Backlog'!$N$2:$N$1000,"&lt;&gt;Duplicate"))</f>
        <v/>
      </c>
      <c r="AI215" s="103" t="str">
        <f aca="false">IF($B215="","",ROUND(SUMIFS('Debt Backlog'!$L$2:$L$1000,'Debt Backlog'!$AF$2:$AF$1000,$A215,'Debt Backlog'!$B$2:$B$1000,"&lt;&gt;",'Debt Backlog'!$N$2:$N$1000,"&lt;&gt;Done",'Debt Backlog'!$N$2:$N$1000,"&lt;&gt;Won't Fix",'Debt Backlog'!$N$2:$N$1000,"&lt;&gt;Duplicate"),2))</f>
        <v/>
      </c>
    </row>
    <row r="216" customFormat="false" ht="15.75" hidden="false" customHeight="true" outlineLevel="0" collapsed="false">
      <c r="A216" s="125"/>
      <c r="B216" s="101"/>
      <c r="C216" s="101"/>
      <c r="D216" s="101"/>
      <c r="E216" s="101"/>
      <c r="F216" s="101"/>
      <c r="G216" s="101"/>
      <c r="H216" s="101"/>
      <c r="I216" s="106"/>
      <c r="J216" s="106"/>
      <c r="K216" s="106"/>
      <c r="L216" s="106"/>
      <c r="M216" s="106"/>
      <c r="N216" s="103" t="str">
        <f aca="false">IF(OR($B216="", $I216="", $J216="", $K216="", $L216="", $M216=""),"",ROUND(($I216*Lists!$AD$2)+($J216*Lists!$AD$3)+($K216*Lists!$AD$4)+($L216*Lists!$AD$5)+($M216*Lists!$AD$6),2))</f>
        <v/>
      </c>
      <c r="O216" s="103" t="str">
        <f aca="false">IF($A216="","",IFERROR(VLOOKUP($A216,'Risk Register'!$B$2:$I$1000,8,FALSE()),""))</f>
        <v/>
      </c>
      <c r="P216" s="106"/>
      <c r="Q216" s="106"/>
      <c r="R216" s="106"/>
      <c r="S216" s="106"/>
      <c r="T216" s="103" t="str">
        <f aca="false">IF(OR($B216="", $P216="", $Q216="", $R216="", $S216=""),"",ROUND(($P216*Lists!$AD$7)+($Q216*Lists!$AD$8)+($R216*Lists!$AD$9)+($S216*Lists!$AD$10),2))</f>
        <v/>
      </c>
      <c r="U216" s="106"/>
      <c r="V216" s="106"/>
      <c r="W216" s="106"/>
      <c r="X216" s="106"/>
      <c r="Y216" s="106"/>
      <c r="Z216" s="103" t="str">
        <f aca="false">IF(OR($B216="", $U216="", $V216="", $W216="", $X216="", $Y216=""),"",ROUND(($U216*Lists!$AD$11)+($V216*Lists!$AD$12)+($W216*Lists!$AD$13)+($X216*Lists!$AD$14)+($Y216*Lists!$AD$15),2))</f>
        <v/>
      </c>
      <c r="AA216" s="103" t="str">
        <f aca="false">IF(OR($B216="", $N216="", $O216="", $T216="", $Z216=""),"",ROUND(($N216*Lists!$AD$16)-($O216*Lists!$AD$17)-($T216*Lists!$AD$18)+($Z216*Lists!$AD$19),2))</f>
        <v/>
      </c>
      <c r="AB216" s="102" t="str">
        <f aca="false">IF(OR($B216="", $N216="", $Z216=""),"",IF($N216&gt;=Lists!$AG$2,IF($Z216&gt;=Lists!$AG$3,"Invest","Migrate"),IF($Z216&gt;=Lists!$AG$3,"Tolerate","Eliminate")))</f>
        <v/>
      </c>
      <c r="AC216" s="102" t="str">
        <f aca="false">IF($B216="","",IF($J216&gt;=4,"Yes",""))</f>
        <v/>
      </c>
      <c r="AD216" s="102" t="str">
        <f aca="false">IF($A216="","",IFERROR(IF(VLOOKUP($A216,'Risk Register'!$B$2:$H$1000,4,FALSE())&gt;=4,"Yes",""),""))</f>
        <v/>
      </c>
      <c r="AE216" s="102" t="str">
        <f aca="false">IF(OR($N216="", $O216=""),"",IF($N216&gt;=Lists!$AG$2,IF($O216&gt;=Lists!$AG$4,"High Value / High Risk","High Value / Low Risk"),IF($O216&gt;=Lists!$AG$4,"Low Value / High Risk","Low Value / Low Risk")))</f>
        <v/>
      </c>
      <c r="AF216" s="101"/>
      <c r="AG216" s="126"/>
      <c r="AH216" s="106" t="str">
        <f aca="false">IF($B216="","",COUNTIFS('Debt Backlog'!$AF$2:$AF$1000,$A216,'Debt Backlog'!$B$2:$B$1000,"&lt;&gt;",'Debt Backlog'!$N$2:$N$1000,"&lt;&gt;Done",'Debt Backlog'!$N$2:$N$1000,"&lt;&gt;Won't Fix",'Debt Backlog'!$N$2:$N$1000,"&lt;&gt;Duplicate"))</f>
        <v/>
      </c>
      <c r="AI216" s="103" t="str">
        <f aca="false">IF($B216="","",ROUND(SUMIFS('Debt Backlog'!$L$2:$L$1000,'Debt Backlog'!$AF$2:$AF$1000,$A216,'Debt Backlog'!$B$2:$B$1000,"&lt;&gt;",'Debt Backlog'!$N$2:$N$1000,"&lt;&gt;Done",'Debt Backlog'!$N$2:$N$1000,"&lt;&gt;Won't Fix",'Debt Backlog'!$N$2:$N$1000,"&lt;&gt;Duplicate"),2))</f>
        <v/>
      </c>
    </row>
    <row r="217" customFormat="false" ht="15.75" hidden="false" customHeight="true" outlineLevel="0" collapsed="false">
      <c r="A217" s="125"/>
      <c r="B217" s="101"/>
      <c r="C217" s="101"/>
      <c r="D217" s="101"/>
      <c r="E217" s="101"/>
      <c r="F217" s="101"/>
      <c r="G217" s="101"/>
      <c r="H217" s="101"/>
      <c r="I217" s="106"/>
      <c r="J217" s="106"/>
      <c r="K217" s="106"/>
      <c r="L217" s="106"/>
      <c r="M217" s="106"/>
      <c r="N217" s="103" t="str">
        <f aca="false">IF(OR($B217="", $I217="", $J217="", $K217="", $L217="", $M217=""),"",ROUND(($I217*Lists!$AD$2)+($J217*Lists!$AD$3)+($K217*Lists!$AD$4)+($L217*Lists!$AD$5)+($M217*Lists!$AD$6),2))</f>
        <v/>
      </c>
      <c r="O217" s="103" t="str">
        <f aca="false">IF($A217="","",IFERROR(VLOOKUP($A217,'Risk Register'!$B$2:$I$1000,8,FALSE()),""))</f>
        <v/>
      </c>
      <c r="P217" s="106"/>
      <c r="Q217" s="106"/>
      <c r="R217" s="106"/>
      <c r="S217" s="106"/>
      <c r="T217" s="103" t="str">
        <f aca="false">IF(OR($B217="", $P217="", $Q217="", $R217="", $S217=""),"",ROUND(($P217*Lists!$AD$7)+($Q217*Lists!$AD$8)+($R217*Lists!$AD$9)+($S217*Lists!$AD$10),2))</f>
        <v/>
      </c>
      <c r="U217" s="106"/>
      <c r="V217" s="106"/>
      <c r="W217" s="106"/>
      <c r="X217" s="106"/>
      <c r="Y217" s="106"/>
      <c r="Z217" s="103" t="str">
        <f aca="false">IF(OR($B217="", $U217="", $V217="", $W217="", $X217="", $Y217=""),"",ROUND(($U217*Lists!$AD$11)+($V217*Lists!$AD$12)+($W217*Lists!$AD$13)+($X217*Lists!$AD$14)+($Y217*Lists!$AD$15),2))</f>
        <v/>
      </c>
      <c r="AA217" s="103" t="str">
        <f aca="false">IF(OR($B217="", $N217="", $O217="", $T217="", $Z217=""),"",ROUND(($N217*Lists!$AD$16)-($O217*Lists!$AD$17)-($T217*Lists!$AD$18)+($Z217*Lists!$AD$19),2))</f>
        <v/>
      </c>
      <c r="AB217" s="102" t="str">
        <f aca="false">IF(OR($B217="", $N217="", $Z217=""),"",IF($N217&gt;=Lists!$AG$2,IF($Z217&gt;=Lists!$AG$3,"Invest","Migrate"),IF($Z217&gt;=Lists!$AG$3,"Tolerate","Eliminate")))</f>
        <v/>
      </c>
      <c r="AC217" s="102" t="str">
        <f aca="false">IF($B217="","",IF($J217&gt;=4,"Yes",""))</f>
        <v/>
      </c>
      <c r="AD217" s="102" t="str">
        <f aca="false">IF($A217="","",IFERROR(IF(VLOOKUP($A217,'Risk Register'!$B$2:$H$1000,4,FALSE())&gt;=4,"Yes",""),""))</f>
        <v/>
      </c>
      <c r="AE217" s="102" t="str">
        <f aca="false">IF(OR($N217="", $O217=""),"",IF($N217&gt;=Lists!$AG$2,IF($O217&gt;=Lists!$AG$4,"High Value / High Risk","High Value / Low Risk"),IF($O217&gt;=Lists!$AG$4,"Low Value / High Risk","Low Value / Low Risk")))</f>
        <v/>
      </c>
      <c r="AF217" s="101"/>
      <c r="AG217" s="126"/>
      <c r="AH217" s="106" t="str">
        <f aca="false">IF($B217="","",COUNTIFS('Debt Backlog'!$AF$2:$AF$1000,$A217,'Debt Backlog'!$B$2:$B$1000,"&lt;&gt;",'Debt Backlog'!$N$2:$N$1000,"&lt;&gt;Done",'Debt Backlog'!$N$2:$N$1000,"&lt;&gt;Won't Fix",'Debt Backlog'!$N$2:$N$1000,"&lt;&gt;Duplicate"))</f>
        <v/>
      </c>
      <c r="AI217" s="103" t="str">
        <f aca="false">IF($B217="","",ROUND(SUMIFS('Debt Backlog'!$L$2:$L$1000,'Debt Backlog'!$AF$2:$AF$1000,$A217,'Debt Backlog'!$B$2:$B$1000,"&lt;&gt;",'Debt Backlog'!$N$2:$N$1000,"&lt;&gt;Done",'Debt Backlog'!$N$2:$N$1000,"&lt;&gt;Won't Fix",'Debt Backlog'!$N$2:$N$1000,"&lt;&gt;Duplicate"),2))</f>
        <v/>
      </c>
    </row>
    <row r="218" customFormat="false" ht="15.75" hidden="false" customHeight="true" outlineLevel="0" collapsed="false">
      <c r="A218" s="125"/>
      <c r="B218" s="101"/>
      <c r="C218" s="101"/>
      <c r="D218" s="101"/>
      <c r="E218" s="101"/>
      <c r="F218" s="101"/>
      <c r="G218" s="101"/>
      <c r="H218" s="101"/>
      <c r="I218" s="106"/>
      <c r="J218" s="106"/>
      <c r="K218" s="106"/>
      <c r="L218" s="106"/>
      <c r="M218" s="106"/>
      <c r="N218" s="103" t="str">
        <f aca="false">IF(OR($B218="", $I218="", $J218="", $K218="", $L218="", $M218=""),"",ROUND(($I218*Lists!$AD$2)+($J218*Lists!$AD$3)+($K218*Lists!$AD$4)+($L218*Lists!$AD$5)+($M218*Lists!$AD$6),2))</f>
        <v/>
      </c>
      <c r="O218" s="103" t="str">
        <f aca="false">IF($A218="","",IFERROR(VLOOKUP($A218,'Risk Register'!$B$2:$I$1000,8,FALSE()),""))</f>
        <v/>
      </c>
      <c r="P218" s="106"/>
      <c r="Q218" s="106"/>
      <c r="R218" s="106"/>
      <c r="S218" s="106"/>
      <c r="T218" s="103" t="str">
        <f aca="false">IF(OR($B218="", $P218="", $Q218="", $R218="", $S218=""),"",ROUND(($P218*Lists!$AD$7)+($Q218*Lists!$AD$8)+($R218*Lists!$AD$9)+($S218*Lists!$AD$10),2))</f>
        <v/>
      </c>
      <c r="U218" s="106"/>
      <c r="V218" s="106"/>
      <c r="W218" s="106"/>
      <c r="X218" s="106"/>
      <c r="Y218" s="106"/>
      <c r="Z218" s="103" t="str">
        <f aca="false">IF(OR($B218="", $U218="", $V218="", $W218="", $X218="", $Y218=""),"",ROUND(($U218*Lists!$AD$11)+($V218*Lists!$AD$12)+($W218*Lists!$AD$13)+($X218*Lists!$AD$14)+($Y218*Lists!$AD$15),2))</f>
        <v/>
      </c>
      <c r="AA218" s="103" t="str">
        <f aca="false">IF(OR($B218="", $N218="", $O218="", $T218="", $Z218=""),"",ROUND(($N218*Lists!$AD$16)-($O218*Lists!$AD$17)-($T218*Lists!$AD$18)+($Z218*Lists!$AD$19),2))</f>
        <v/>
      </c>
      <c r="AB218" s="102" t="str">
        <f aca="false">IF(OR($B218="", $N218="", $Z218=""),"",IF($N218&gt;=Lists!$AG$2,IF($Z218&gt;=Lists!$AG$3,"Invest","Migrate"),IF($Z218&gt;=Lists!$AG$3,"Tolerate","Eliminate")))</f>
        <v/>
      </c>
      <c r="AC218" s="102" t="str">
        <f aca="false">IF($B218="","",IF($J218&gt;=4,"Yes",""))</f>
        <v/>
      </c>
      <c r="AD218" s="102" t="str">
        <f aca="false">IF($A218="","",IFERROR(IF(VLOOKUP($A218,'Risk Register'!$B$2:$H$1000,4,FALSE())&gt;=4,"Yes",""),""))</f>
        <v/>
      </c>
      <c r="AE218" s="102" t="str">
        <f aca="false">IF(OR($N218="", $O218=""),"",IF($N218&gt;=Lists!$AG$2,IF($O218&gt;=Lists!$AG$4,"High Value / High Risk","High Value / Low Risk"),IF($O218&gt;=Lists!$AG$4,"Low Value / High Risk","Low Value / Low Risk")))</f>
        <v/>
      </c>
      <c r="AF218" s="101"/>
      <c r="AG218" s="126"/>
      <c r="AH218" s="106" t="str">
        <f aca="false">IF($B218="","",COUNTIFS('Debt Backlog'!$AF$2:$AF$1000,$A218,'Debt Backlog'!$B$2:$B$1000,"&lt;&gt;",'Debt Backlog'!$N$2:$N$1000,"&lt;&gt;Done",'Debt Backlog'!$N$2:$N$1000,"&lt;&gt;Won't Fix",'Debt Backlog'!$N$2:$N$1000,"&lt;&gt;Duplicate"))</f>
        <v/>
      </c>
      <c r="AI218" s="103" t="str">
        <f aca="false">IF($B218="","",ROUND(SUMIFS('Debt Backlog'!$L$2:$L$1000,'Debt Backlog'!$AF$2:$AF$1000,$A218,'Debt Backlog'!$B$2:$B$1000,"&lt;&gt;",'Debt Backlog'!$N$2:$N$1000,"&lt;&gt;Done",'Debt Backlog'!$N$2:$N$1000,"&lt;&gt;Won't Fix",'Debt Backlog'!$N$2:$N$1000,"&lt;&gt;Duplicate"),2))</f>
        <v/>
      </c>
    </row>
    <row r="219" customFormat="false" ht="15.75" hidden="false" customHeight="true" outlineLevel="0" collapsed="false">
      <c r="A219" s="125"/>
      <c r="B219" s="101"/>
      <c r="C219" s="101"/>
      <c r="D219" s="101"/>
      <c r="E219" s="101"/>
      <c r="F219" s="101"/>
      <c r="G219" s="101"/>
      <c r="H219" s="101"/>
      <c r="I219" s="106"/>
      <c r="J219" s="106"/>
      <c r="K219" s="106"/>
      <c r="L219" s="106"/>
      <c r="M219" s="106"/>
      <c r="N219" s="103" t="str">
        <f aca="false">IF(OR($B219="", $I219="", $J219="", $K219="", $L219="", $M219=""),"",ROUND(($I219*Lists!$AD$2)+($J219*Lists!$AD$3)+($K219*Lists!$AD$4)+($L219*Lists!$AD$5)+($M219*Lists!$AD$6),2))</f>
        <v/>
      </c>
      <c r="O219" s="103" t="str">
        <f aca="false">IF($A219="","",IFERROR(VLOOKUP($A219,'Risk Register'!$B$2:$I$1000,8,FALSE()),""))</f>
        <v/>
      </c>
      <c r="P219" s="106"/>
      <c r="Q219" s="106"/>
      <c r="R219" s="106"/>
      <c r="S219" s="106"/>
      <c r="T219" s="103" t="str">
        <f aca="false">IF(OR($B219="", $P219="", $Q219="", $R219="", $S219=""),"",ROUND(($P219*Lists!$AD$7)+($Q219*Lists!$AD$8)+($R219*Lists!$AD$9)+($S219*Lists!$AD$10),2))</f>
        <v/>
      </c>
      <c r="U219" s="106"/>
      <c r="V219" s="106"/>
      <c r="W219" s="106"/>
      <c r="X219" s="106"/>
      <c r="Y219" s="106"/>
      <c r="Z219" s="103" t="str">
        <f aca="false">IF(OR($B219="", $U219="", $V219="", $W219="", $X219="", $Y219=""),"",ROUND(($U219*Lists!$AD$11)+($V219*Lists!$AD$12)+($W219*Lists!$AD$13)+($X219*Lists!$AD$14)+($Y219*Lists!$AD$15),2))</f>
        <v/>
      </c>
      <c r="AA219" s="103" t="str">
        <f aca="false">IF(OR($B219="", $N219="", $O219="", $T219="", $Z219=""),"",ROUND(($N219*Lists!$AD$16)-($O219*Lists!$AD$17)-($T219*Lists!$AD$18)+($Z219*Lists!$AD$19),2))</f>
        <v/>
      </c>
      <c r="AB219" s="102" t="str">
        <f aca="false">IF(OR($B219="", $N219="", $Z219=""),"",IF($N219&gt;=Lists!$AG$2,IF($Z219&gt;=Lists!$AG$3,"Invest","Migrate"),IF($Z219&gt;=Lists!$AG$3,"Tolerate","Eliminate")))</f>
        <v/>
      </c>
      <c r="AC219" s="102" t="str">
        <f aca="false">IF($B219="","",IF($J219&gt;=4,"Yes",""))</f>
        <v/>
      </c>
      <c r="AD219" s="102" t="str">
        <f aca="false">IF($A219="","",IFERROR(IF(VLOOKUP($A219,'Risk Register'!$B$2:$H$1000,4,FALSE())&gt;=4,"Yes",""),""))</f>
        <v/>
      </c>
      <c r="AE219" s="102" t="str">
        <f aca="false">IF(OR($N219="", $O219=""),"",IF($N219&gt;=Lists!$AG$2,IF($O219&gt;=Lists!$AG$4,"High Value / High Risk","High Value / Low Risk"),IF($O219&gt;=Lists!$AG$4,"Low Value / High Risk","Low Value / Low Risk")))</f>
        <v/>
      </c>
      <c r="AF219" s="101"/>
      <c r="AG219" s="126"/>
      <c r="AH219" s="106" t="str">
        <f aca="false">IF($B219="","",COUNTIFS('Debt Backlog'!$AF$2:$AF$1000,$A219,'Debt Backlog'!$B$2:$B$1000,"&lt;&gt;",'Debt Backlog'!$N$2:$N$1000,"&lt;&gt;Done",'Debt Backlog'!$N$2:$N$1000,"&lt;&gt;Won't Fix",'Debt Backlog'!$N$2:$N$1000,"&lt;&gt;Duplicate"))</f>
        <v/>
      </c>
      <c r="AI219" s="103" t="str">
        <f aca="false">IF($B219="","",ROUND(SUMIFS('Debt Backlog'!$L$2:$L$1000,'Debt Backlog'!$AF$2:$AF$1000,$A219,'Debt Backlog'!$B$2:$B$1000,"&lt;&gt;",'Debt Backlog'!$N$2:$N$1000,"&lt;&gt;Done",'Debt Backlog'!$N$2:$N$1000,"&lt;&gt;Won't Fix",'Debt Backlog'!$N$2:$N$1000,"&lt;&gt;Duplicate"),2))</f>
        <v/>
      </c>
    </row>
    <row r="220" customFormat="false" ht="15.75" hidden="false" customHeight="true" outlineLevel="0" collapsed="false">
      <c r="A220" s="125"/>
      <c r="B220" s="101"/>
      <c r="C220" s="101"/>
      <c r="D220" s="101"/>
      <c r="E220" s="101"/>
      <c r="F220" s="101"/>
      <c r="G220" s="101"/>
      <c r="H220" s="101"/>
      <c r="I220" s="106"/>
      <c r="J220" s="106"/>
      <c r="K220" s="106"/>
      <c r="L220" s="106"/>
      <c r="M220" s="106"/>
      <c r="N220" s="103" t="str">
        <f aca="false">IF(OR($B220="", $I220="", $J220="", $K220="", $L220="", $M220=""),"",ROUND(($I220*Lists!$AD$2)+($J220*Lists!$AD$3)+($K220*Lists!$AD$4)+($L220*Lists!$AD$5)+($M220*Lists!$AD$6),2))</f>
        <v/>
      </c>
      <c r="O220" s="103" t="str">
        <f aca="false">IF($A220="","",IFERROR(VLOOKUP($A220,'Risk Register'!$B$2:$I$1000,8,FALSE()),""))</f>
        <v/>
      </c>
      <c r="P220" s="106"/>
      <c r="Q220" s="106"/>
      <c r="R220" s="106"/>
      <c r="S220" s="106"/>
      <c r="T220" s="103" t="str">
        <f aca="false">IF(OR($B220="", $P220="", $Q220="", $R220="", $S220=""),"",ROUND(($P220*Lists!$AD$7)+($Q220*Lists!$AD$8)+($R220*Lists!$AD$9)+($S220*Lists!$AD$10),2))</f>
        <v/>
      </c>
      <c r="U220" s="106"/>
      <c r="V220" s="106"/>
      <c r="W220" s="106"/>
      <c r="X220" s="106"/>
      <c r="Y220" s="106"/>
      <c r="Z220" s="103" t="str">
        <f aca="false">IF(OR($B220="", $U220="", $V220="", $W220="", $X220="", $Y220=""),"",ROUND(($U220*Lists!$AD$11)+($V220*Lists!$AD$12)+($W220*Lists!$AD$13)+($X220*Lists!$AD$14)+($Y220*Lists!$AD$15),2))</f>
        <v/>
      </c>
      <c r="AA220" s="103" t="str">
        <f aca="false">IF(OR($B220="", $N220="", $O220="", $T220="", $Z220=""),"",ROUND(($N220*Lists!$AD$16)-($O220*Lists!$AD$17)-($T220*Lists!$AD$18)+($Z220*Lists!$AD$19),2))</f>
        <v/>
      </c>
      <c r="AB220" s="102" t="str">
        <f aca="false">IF(OR($B220="", $N220="", $Z220=""),"",IF($N220&gt;=Lists!$AG$2,IF($Z220&gt;=Lists!$AG$3,"Invest","Migrate"),IF($Z220&gt;=Lists!$AG$3,"Tolerate","Eliminate")))</f>
        <v/>
      </c>
      <c r="AC220" s="102" t="str">
        <f aca="false">IF($B220="","",IF($J220&gt;=4,"Yes",""))</f>
        <v/>
      </c>
      <c r="AD220" s="102" t="str">
        <f aca="false">IF($A220="","",IFERROR(IF(VLOOKUP($A220,'Risk Register'!$B$2:$H$1000,4,FALSE())&gt;=4,"Yes",""),""))</f>
        <v/>
      </c>
      <c r="AE220" s="102" t="str">
        <f aca="false">IF(OR($N220="", $O220=""),"",IF($N220&gt;=Lists!$AG$2,IF($O220&gt;=Lists!$AG$4,"High Value / High Risk","High Value / Low Risk"),IF($O220&gt;=Lists!$AG$4,"Low Value / High Risk","Low Value / Low Risk")))</f>
        <v/>
      </c>
      <c r="AF220" s="101"/>
      <c r="AG220" s="126"/>
      <c r="AH220" s="106" t="str">
        <f aca="false">IF($B220="","",COUNTIFS('Debt Backlog'!$AF$2:$AF$1000,$A220,'Debt Backlog'!$B$2:$B$1000,"&lt;&gt;",'Debt Backlog'!$N$2:$N$1000,"&lt;&gt;Done",'Debt Backlog'!$N$2:$N$1000,"&lt;&gt;Won't Fix",'Debt Backlog'!$N$2:$N$1000,"&lt;&gt;Duplicate"))</f>
        <v/>
      </c>
      <c r="AI220" s="103" t="str">
        <f aca="false">IF($B220="","",ROUND(SUMIFS('Debt Backlog'!$L$2:$L$1000,'Debt Backlog'!$AF$2:$AF$1000,$A220,'Debt Backlog'!$B$2:$B$1000,"&lt;&gt;",'Debt Backlog'!$N$2:$N$1000,"&lt;&gt;Done",'Debt Backlog'!$N$2:$N$1000,"&lt;&gt;Won't Fix",'Debt Backlog'!$N$2:$N$1000,"&lt;&gt;Duplicate"),2))</f>
        <v/>
      </c>
    </row>
    <row r="221" customFormat="false" ht="15.75" hidden="false" customHeight="true" outlineLevel="0" collapsed="false">
      <c r="A221" s="125"/>
      <c r="B221" s="101"/>
      <c r="C221" s="101"/>
      <c r="D221" s="101"/>
      <c r="E221" s="101"/>
      <c r="F221" s="101"/>
      <c r="G221" s="101"/>
      <c r="H221" s="101"/>
      <c r="I221" s="106"/>
      <c r="J221" s="106"/>
      <c r="K221" s="106"/>
      <c r="L221" s="106"/>
      <c r="M221" s="106"/>
      <c r="N221" s="103" t="str">
        <f aca="false">IF(OR($B221="", $I221="", $J221="", $K221="", $L221="", $M221=""),"",ROUND(($I221*Lists!$AD$2)+($J221*Lists!$AD$3)+($K221*Lists!$AD$4)+($L221*Lists!$AD$5)+($M221*Lists!$AD$6),2))</f>
        <v/>
      </c>
      <c r="O221" s="103" t="str">
        <f aca="false">IF($A221="","",IFERROR(VLOOKUP($A221,'Risk Register'!$B$2:$I$1000,8,FALSE()),""))</f>
        <v/>
      </c>
      <c r="P221" s="106"/>
      <c r="Q221" s="106"/>
      <c r="R221" s="106"/>
      <c r="S221" s="106"/>
      <c r="T221" s="103" t="str">
        <f aca="false">IF(OR($B221="", $P221="", $Q221="", $R221="", $S221=""),"",ROUND(($P221*Lists!$AD$7)+($Q221*Lists!$AD$8)+($R221*Lists!$AD$9)+($S221*Lists!$AD$10),2))</f>
        <v/>
      </c>
      <c r="U221" s="106"/>
      <c r="V221" s="106"/>
      <c r="W221" s="106"/>
      <c r="X221" s="106"/>
      <c r="Y221" s="106"/>
      <c r="Z221" s="103" t="str">
        <f aca="false">IF(OR($B221="", $U221="", $V221="", $W221="", $X221="", $Y221=""),"",ROUND(($U221*Lists!$AD$11)+($V221*Lists!$AD$12)+($W221*Lists!$AD$13)+($X221*Lists!$AD$14)+($Y221*Lists!$AD$15),2))</f>
        <v/>
      </c>
      <c r="AA221" s="103" t="str">
        <f aca="false">IF(OR($B221="", $N221="", $O221="", $T221="", $Z221=""),"",ROUND(($N221*Lists!$AD$16)-($O221*Lists!$AD$17)-($T221*Lists!$AD$18)+($Z221*Lists!$AD$19),2))</f>
        <v/>
      </c>
      <c r="AB221" s="102" t="str">
        <f aca="false">IF(OR($B221="", $N221="", $Z221=""),"",IF($N221&gt;=Lists!$AG$2,IF($Z221&gt;=Lists!$AG$3,"Invest","Migrate"),IF($Z221&gt;=Lists!$AG$3,"Tolerate","Eliminate")))</f>
        <v/>
      </c>
      <c r="AC221" s="102" t="str">
        <f aca="false">IF($B221="","",IF($J221&gt;=4,"Yes",""))</f>
        <v/>
      </c>
      <c r="AD221" s="102" t="str">
        <f aca="false">IF($A221="","",IFERROR(IF(VLOOKUP($A221,'Risk Register'!$B$2:$H$1000,4,FALSE())&gt;=4,"Yes",""),""))</f>
        <v/>
      </c>
      <c r="AE221" s="102" t="str">
        <f aca="false">IF(OR($N221="", $O221=""),"",IF($N221&gt;=Lists!$AG$2,IF($O221&gt;=Lists!$AG$4,"High Value / High Risk","High Value / Low Risk"),IF($O221&gt;=Lists!$AG$4,"Low Value / High Risk","Low Value / Low Risk")))</f>
        <v/>
      </c>
      <c r="AF221" s="101"/>
      <c r="AG221" s="126"/>
      <c r="AH221" s="106" t="str">
        <f aca="false">IF($B221="","",COUNTIFS('Debt Backlog'!$AF$2:$AF$1000,$A221,'Debt Backlog'!$B$2:$B$1000,"&lt;&gt;",'Debt Backlog'!$N$2:$N$1000,"&lt;&gt;Done",'Debt Backlog'!$N$2:$N$1000,"&lt;&gt;Won't Fix",'Debt Backlog'!$N$2:$N$1000,"&lt;&gt;Duplicate"))</f>
        <v/>
      </c>
      <c r="AI221" s="103" t="str">
        <f aca="false">IF($B221="","",ROUND(SUMIFS('Debt Backlog'!$L$2:$L$1000,'Debt Backlog'!$AF$2:$AF$1000,$A221,'Debt Backlog'!$B$2:$B$1000,"&lt;&gt;",'Debt Backlog'!$N$2:$N$1000,"&lt;&gt;Done",'Debt Backlog'!$N$2:$N$1000,"&lt;&gt;Won't Fix",'Debt Backlog'!$N$2:$N$1000,"&lt;&gt;Duplicate"),2))</f>
        <v/>
      </c>
    </row>
    <row r="222" customFormat="false" ht="15.75" hidden="false" customHeight="true" outlineLevel="0" collapsed="false">
      <c r="A222" s="125"/>
      <c r="B222" s="101"/>
      <c r="C222" s="101"/>
      <c r="D222" s="101"/>
      <c r="E222" s="101"/>
      <c r="F222" s="101"/>
      <c r="G222" s="101"/>
      <c r="H222" s="101"/>
      <c r="I222" s="106"/>
      <c r="J222" s="106"/>
      <c r="K222" s="106"/>
      <c r="L222" s="106"/>
      <c r="M222" s="106"/>
      <c r="N222" s="103" t="str">
        <f aca="false">IF(OR($B222="", $I222="", $J222="", $K222="", $L222="", $M222=""),"",ROUND(($I222*Lists!$AD$2)+($J222*Lists!$AD$3)+($K222*Lists!$AD$4)+($L222*Lists!$AD$5)+($M222*Lists!$AD$6),2))</f>
        <v/>
      </c>
      <c r="O222" s="103" t="str">
        <f aca="false">IF($A222="","",IFERROR(VLOOKUP($A222,'Risk Register'!$B$2:$I$1000,8,FALSE()),""))</f>
        <v/>
      </c>
      <c r="P222" s="106"/>
      <c r="Q222" s="106"/>
      <c r="R222" s="106"/>
      <c r="S222" s="106"/>
      <c r="T222" s="103" t="str">
        <f aca="false">IF(OR($B222="", $P222="", $Q222="", $R222="", $S222=""),"",ROUND(($P222*Lists!$AD$7)+($Q222*Lists!$AD$8)+($R222*Lists!$AD$9)+($S222*Lists!$AD$10),2))</f>
        <v/>
      </c>
      <c r="U222" s="106"/>
      <c r="V222" s="106"/>
      <c r="W222" s="106"/>
      <c r="X222" s="106"/>
      <c r="Y222" s="106"/>
      <c r="Z222" s="103" t="str">
        <f aca="false">IF(OR($B222="", $U222="", $V222="", $W222="", $X222="", $Y222=""),"",ROUND(($U222*Lists!$AD$11)+($V222*Lists!$AD$12)+($W222*Lists!$AD$13)+($X222*Lists!$AD$14)+($Y222*Lists!$AD$15),2))</f>
        <v/>
      </c>
      <c r="AA222" s="103" t="str">
        <f aca="false">IF(OR($B222="", $N222="", $O222="", $T222="", $Z222=""),"",ROUND(($N222*Lists!$AD$16)-($O222*Lists!$AD$17)-($T222*Lists!$AD$18)+($Z222*Lists!$AD$19),2))</f>
        <v/>
      </c>
      <c r="AB222" s="102" t="str">
        <f aca="false">IF(OR($B222="", $N222="", $Z222=""),"",IF($N222&gt;=Lists!$AG$2,IF($Z222&gt;=Lists!$AG$3,"Invest","Migrate"),IF($Z222&gt;=Lists!$AG$3,"Tolerate","Eliminate")))</f>
        <v/>
      </c>
      <c r="AC222" s="102" t="str">
        <f aca="false">IF($B222="","",IF($J222&gt;=4,"Yes",""))</f>
        <v/>
      </c>
      <c r="AD222" s="102" t="str">
        <f aca="false">IF($A222="","",IFERROR(IF(VLOOKUP($A222,'Risk Register'!$B$2:$H$1000,4,FALSE())&gt;=4,"Yes",""),""))</f>
        <v/>
      </c>
      <c r="AE222" s="102" t="str">
        <f aca="false">IF(OR($N222="", $O222=""),"",IF($N222&gt;=Lists!$AG$2,IF($O222&gt;=Lists!$AG$4,"High Value / High Risk","High Value / Low Risk"),IF($O222&gt;=Lists!$AG$4,"Low Value / High Risk","Low Value / Low Risk")))</f>
        <v/>
      </c>
      <c r="AF222" s="101"/>
      <c r="AG222" s="126"/>
      <c r="AH222" s="106" t="str">
        <f aca="false">IF($B222="","",COUNTIFS('Debt Backlog'!$AF$2:$AF$1000,$A222,'Debt Backlog'!$B$2:$B$1000,"&lt;&gt;",'Debt Backlog'!$N$2:$N$1000,"&lt;&gt;Done",'Debt Backlog'!$N$2:$N$1000,"&lt;&gt;Won't Fix",'Debt Backlog'!$N$2:$N$1000,"&lt;&gt;Duplicate"))</f>
        <v/>
      </c>
      <c r="AI222" s="103" t="str">
        <f aca="false">IF($B222="","",ROUND(SUMIFS('Debt Backlog'!$L$2:$L$1000,'Debt Backlog'!$AF$2:$AF$1000,$A222,'Debt Backlog'!$B$2:$B$1000,"&lt;&gt;",'Debt Backlog'!$N$2:$N$1000,"&lt;&gt;Done",'Debt Backlog'!$N$2:$N$1000,"&lt;&gt;Won't Fix",'Debt Backlog'!$N$2:$N$1000,"&lt;&gt;Duplicate"),2))</f>
        <v/>
      </c>
    </row>
    <row r="223" customFormat="false" ht="15.75" hidden="false" customHeight="true" outlineLevel="0" collapsed="false">
      <c r="A223" s="125"/>
      <c r="B223" s="101"/>
      <c r="C223" s="101"/>
      <c r="D223" s="101"/>
      <c r="E223" s="101"/>
      <c r="F223" s="101"/>
      <c r="G223" s="101"/>
      <c r="H223" s="101"/>
      <c r="I223" s="106"/>
      <c r="J223" s="106"/>
      <c r="K223" s="106"/>
      <c r="L223" s="106"/>
      <c r="M223" s="106"/>
      <c r="N223" s="103" t="str">
        <f aca="false">IF(OR($B223="", $I223="", $J223="", $K223="", $L223="", $M223=""),"",ROUND(($I223*Lists!$AD$2)+($J223*Lists!$AD$3)+($K223*Lists!$AD$4)+($L223*Lists!$AD$5)+($M223*Lists!$AD$6),2))</f>
        <v/>
      </c>
      <c r="O223" s="103" t="str">
        <f aca="false">IF($A223="","",IFERROR(VLOOKUP($A223,'Risk Register'!$B$2:$I$1000,8,FALSE()),""))</f>
        <v/>
      </c>
      <c r="P223" s="106"/>
      <c r="Q223" s="106"/>
      <c r="R223" s="106"/>
      <c r="S223" s="106"/>
      <c r="T223" s="103" t="str">
        <f aca="false">IF(OR($B223="", $P223="", $Q223="", $R223="", $S223=""),"",ROUND(($P223*Lists!$AD$7)+($Q223*Lists!$AD$8)+($R223*Lists!$AD$9)+($S223*Lists!$AD$10),2))</f>
        <v/>
      </c>
      <c r="U223" s="106"/>
      <c r="V223" s="106"/>
      <c r="W223" s="106"/>
      <c r="X223" s="106"/>
      <c r="Y223" s="106"/>
      <c r="Z223" s="103" t="str">
        <f aca="false">IF(OR($B223="", $U223="", $V223="", $W223="", $X223="", $Y223=""),"",ROUND(($U223*Lists!$AD$11)+($V223*Lists!$AD$12)+($W223*Lists!$AD$13)+($X223*Lists!$AD$14)+($Y223*Lists!$AD$15),2))</f>
        <v/>
      </c>
      <c r="AA223" s="103" t="str">
        <f aca="false">IF(OR($B223="", $N223="", $O223="", $T223="", $Z223=""),"",ROUND(($N223*Lists!$AD$16)-($O223*Lists!$AD$17)-($T223*Lists!$AD$18)+($Z223*Lists!$AD$19),2))</f>
        <v/>
      </c>
      <c r="AB223" s="102" t="str">
        <f aca="false">IF(OR($B223="", $N223="", $Z223=""),"",IF($N223&gt;=Lists!$AG$2,IF($Z223&gt;=Lists!$AG$3,"Invest","Migrate"),IF($Z223&gt;=Lists!$AG$3,"Tolerate","Eliminate")))</f>
        <v/>
      </c>
      <c r="AC223" s="102" t="str">
        <f aca="false">IF($B223="","",IF($J223&gt;=4,"Yes",""))</f>
        <v/>
      </c>
      <c r="AD223" s="102" t="str">
        <f aca="false">IF($A223="","",IFERROR(IF(VLOOKUP($A223,'Risk Register'!$B$2:$H$1000,4,FALSE())&gt;=4,"Yes",""),""))</f>
        <v/>
      </c>
      <c r="AE223" s="102" t="str">
        <f aca="false">IF(OR($N223="", $O223=""),"",IF($N223&gt;=Lists!$AG$2,IF($O223&gt;=Lists!$AG$4,"High Value / High Risk","High Value / Low Risk"),IF($O223&gt;=Lists!$AG$4,"Low Value / High Risk","Low Value / Low Risk")))</f>
        <v/>
      </c>
      <c r="AF223" s="101"/>
      <c r="AG223" s="126"/>
      <c r="AH223" s="106" t="str">
        <f aca="false">IF($B223="","",COUNTIFS('Debt Backlog'!$AF$2:$AF$1000,$A223,'Debt Backlog'!$B$2:$B$1000,"&lt;&gt;",'Debt Backlog'!$N$2:$N$1000,"&lt;&gt;Done",'Debt Backlog'!$N$2:$N$1000,"&lt;&gt;Won't Fix",'Debt Backlog'!$N$2:$N$1000,"&lt;&gt;Duplicate"))</f>
        <v/>
      </c>
      <c r="AI223" s="103" t="str">
        <f aca="false">IF($B223="","",ROUND(SUMIFS('Debt Backlog'!$L$2:$L$1000,'Debt Backlog'!$AF$2:$AF$1000,$A223,'Debt Backlog'!$B$2:$B$1000,"&lt;&gt;",'Debt Backlog'!$N$2:$N$1000,"&lt;&gt;Done",'Debt Backlog'!$N$2:$N$1000,"&lt;&gt;Won't Fix",'Debt Backlog'!$N$2:$N$1000,"&lt;&gt;Duplicate"),2))</f>
        <v/>
      </c>
    </row>
    <row r="224" customFormat="false" ht="15.75" hidden="false" customHeight="true" outlineLevel="0" collapsed="false">
      <c r="A224" s="125"/>
      <c r="B224" s="101"/>
      <c r="C224" s="101"/>
      <c r="D224" s="101"/>
      <c r="E224" s="101"/>
      <c r="F224" s="101"/>
      <c r="G224" s="101"/>
      <c r="H224" s="101"/>
      <c r="I224" s="106"/>
      <c r="J224" s="106"/>
      <c r="K224" s="106"/>
      <c r="L224" s="106"/>
      <c r="M224" s="106"/>
      <c r="N224" s="103" t="str">
        <f aca="false">IF(OR($B224="", $I224="", $J224="", $K224="", $L224="", $M224=""),"",ROUND(($I224*Lists!$AD$2)+($J224*Lists!$AD$3)+($K224*Lists!$AD$4)+($L224*Lists!$AD$5)+($M224*Lists!$AD$6),2))</f>
        <v/>
      </c>
      <c r="O224" s="103" t="str">
        <f aca="false">IF($A224="","",IFERROR(VLOOKUP($A224,'Risk Register'!$B$2:$I$1000,8,FALSE()),""))</f>
        <v/>
      </c>
      <c r="P224" s="106"/>
      <c r="Q224" s="106"/>
      <c r="R224" s="106"/>
      <c r="S224" s="106"/>
      <c r="T224" s="103" t="str">
        <f aca="false">IF(OR($B224="", $P224="", $Q224="", $R224="", $S224=""),"",ROUND(($P224*Lists!$AD$7)+($Q224*Lists!$AD$8)+($R224*Lists!$AD$9)+($S224*Lists!$AD$10),2))</f>
        <v/>
      </c>
      <c r="U224" s="106"/>
      <c r="V224" s="106"/>
      <c r="W224" s="106"/>
      <c r="X224" s="106"/>
      <c r="Y224" s="106"/>
      <c r="Z224" s="103" t="str">
        <f aca="false">IF(OR($B224="", $U224="", $V224="", $W224="", $X224="", $Y224=""),"",ROUND(($U224*Lists!$AD$11)+($V224*Lists!$AD$12)+($W224*Lists!$AD$13)+($X224*Lists!$AD$14)+($Y224*Lists!$AD$15),2))</f>
        <v/>
      </c>
      <c r="AA224" s="103" t="str">
        <f aca="false">IF(OR($B224="", $N224="", $O224="", $T224="", $Z224=""),"",ROUND(($N224*Lists!$AD$16)-($O224*Lists!$AD$17)-($T224*Lists!$AD$18)+($Z224*Lists!$AD$19),2))</f>
        <v/>
      </c>
      <c r="AB224" s="102" t="str">
        <f aca="false">IF(OR($B224="", $N224="", $Z224=""),"",IF($N224&gt;=Lists!$AG$2,IF($Z224&gt;=Lists!$AG$3,"Invest","Migrate"),IF($Z224&gt;=Lists!$AG$3,"Tolerate","Eliminate")))</f>
        <v/>
      </c>
      <c r="AC224" s="102" t="str">
        <f aca="false">IF($B224="","",IF($J224&gt;=4,"Yes",""))</f>
        <v/>
      </c>
      <c r="AD224" s="102" t="str">
        <f aca="false">IF($A224="","",IFERROR(IF(VLOOKUP($A224,'Risk Register'!$B$2:$H$1000,4,FALSE())&gt;=4,"Yes",""),""))</f>
        <v/>
      </c>
      <c r="AE224" s="102" t="str">
        <f aca="false">IF(OR($N224="", $O224=""),"",IF($N224&gt;=Lists!$AG$2,IF($O224&gt;=Lists!$AG$4,"High Value / High Risk","High Value / Low Risk"),IF($O224&gt;=Lists!$AG$4,"Low Value / High Risk","Low Value / Low Risk")))</f>
        <v/>
      </c>
      <c r="AF224" s="101"/>
      <c r="AG224" s="126"/>
      <c r="AH224" s="106" t="str">
        <f aca="false">IF($B224="","",COUNTIFS('Debt Backlog'!$AF$2:$AF$1000,$A224,'Debt Backlog'!$B$2:$B$1000,"&lt;&gt;",'Debt Backlog'!$N$2:$N$1000,"&lt;&gt;Done",'Debt Backlog'!$N$2:$N$1000,"&lt;&gt;Won't Fix",'Debt Backlog'!$N$2:$N$1000,"&lt;&gt;Duplicate"))</f>
        <v/>
      </c>
      <c r="AI224" s="103" t="str">
        <f aca="false">IF($B224="","",ROUND(SUMIFS('Debt Backlog'!$L$2:$L$1000,'Debt Backlog'!$AF$2:$AF$1000,$A224,'Debt Backlog'!$B$2:$B$1000,"&lt;&gt;",'Debt Backlog'!$N$2:$N$1000,"&lt;&gt;Done",'Debt Backlog'!$N$2:$N$1000,"&lt;&gt;Won't Fix",'Debt Backlog'!$N$2:$N$1000,"&lt;&gt;Duplicate"),2))</f>
        <v/>
      </c>
    </row>
    <row r="225" customFormat="false" ht="15.75" hidden="false" customHeight="true" outlineLevel="0" collapsed="false">
      <c r="A225" s="125"/>
      <c r="B225" s="101"/>
      <c r="C225" s="101"/>
      <c r="D225" s="101"/>
      <c r="E225" s="101"/>
      <c r="F225" s="101"/>
      <c r="G225" s="101"/>
      <c r="H225" s="101"/>
      <c r="I225" s="106"/>
      <c r="J225" s="106"/>
      <c r="K225" s="106"/>
      <c r="L225" s="106"/>
      <c r="M225" s="106"/>
      <c r="N225" s="103" t="str">
        <f aca="false">IF(OR($B225="", $I225="", $J225="", $K225="", $L225="", $M225=""),"",ROUND(($I225*Lists!$AD$2)+($J225*Lists!$AD$3)+($K225*Lists!$AD$4)+($L225*Lists!$AD$5)+($M225*Lists!$AD$6),2))</f>
        <v/>
      </c>
      <c r="O225" s="103" t="str">
        <f aca="false">IF($A225="","",IFERROR(VLOOKUP($A225,'Risk Register'!$B$2:$I$1000,8,FALSE()),""))</f>
        <v/>
      </c>
      <c r="P225" s="106"/>
      <c r="Q225" s="106"/>
      <c r="R225" s="106"/>
      <c r="S225" s="106"/>
      <c r="T225" s="103" t="str">
        <f aca="false">IF(OR($B225="", $P225="", $Q225="", $R225="", $S225=""),"",ROUND(($P225*Lists!$AD$7)+($Q225*Lists!$AD$8)+($R225*Lists!$AD$9)+($S225*Lists!$AD$10),2))</f>
        <v/>
      </c>
      <c r="U225" s="106"/>
      <c r="V225" s="106"/>
      <c r="W225" s="106"/>
      <c r="X225" s="106"/>
      <c r="Y225" s="106"/>
      <c r="Z225" s="103" t="str">
        <f aca="false">IF(OR($B225="", $U225="", $V225="", $W225="", $X225="", $Y225=""),"",ROUND(($U225*Lists!$AD$11)+($V225*Lists!$AD$12)+($W225*Lists!$AD$13)+($X225*Lists!$AD$14)+($Y225*Lists!$AD$15),2))</f>
        <v/>
      </c>
      <c r="AA225" s="103" t="str">
        <f aca="false">IF(OR($B225="", $N225="", $O225="", $T225="", $Z225=""),"",ROUND(($N225*Lists!$AD$16)-($O225*Lists!$AD$17)-($T225*Lists!$AD$18)+($Z225*Lists!$AD$19),2))</f>
        <v/>
      </c>
      <c r="AB225" s="102" t="str">
        <f aca="false">IF(OR($B225="", $N225="", $Z225=""),"",IF($N225&gt;=Lists!$AG$2,IF($Z225&gt;=Lists!$AG$3,"Invest","Migrate"),IF($Z225&gt;=Lists!$AG$3,"Tolerate","Eliminate")))</f>
        <v/>
      </c>
      <c r="AC225" s="102" t="str">
        <f aca="false">IF($B225="","",IF($J225&gt;=4,"Yes",""))</f>
        <v/>
      </c>
      <c r="AD225" s="102" t="str">
        <f aca="false">IF($A225="","",IFERROR(IF(VLOOKUP($A225,'Risk Register'!$B$2:$H$1000,4,FALSE())&gt;=4,"Yes",""),""))</f>
        <v/>
      </c>
      <c r="AE225" s="102" t="str">
        <f aca="false">IF(OR($N225="", $O225=""),"",IF($N225&gt;=Lists!$AG$2,IF($O225&gt;=Lists!$AG$4,"High Value / High Risk","High Value / Low Risk"),IF($O225&gt;=Lists!$AG$4,"Low Value / High Risk","Low Value / Low Risk")))</f>
        <v/>
      </c>
      <c r="AF225" s="101"/>
      <c r="AG225" s="126"/>
      <c r="AH225" s="106" t="str">
        <f aca="false">IF($B225="","",COUNTIFS('Debt Backlog'!$AF$2:$AF$1000,$A225,'Debt Backlog'!$B$2:$B$1000,"&lt;&gt;",'Debt Backlog'!$N$2:$N$1000,"&lt;&gt;Done",'Debt Backlog'!$N$2:$N$1000,"&lt;&gt;Won't Fix",'Debt Backlog'!$N$2:$N$1000,"&lt;&gt;Duplicate"))</f>
        <v/>
      </c>
      <c r="AI225" s="103" t="str">
        <f aca="false">IF($B225="","",ROUND(SUMIFS('Debt Backlog'!$L$2:$L$1000,'Debt Backlog'!$AF$2:$AF$1000,$A225,'Debt Backlog'!$B$2:$B$1000,"&lt;&gt;",'Debt Backlog'!$N$2:$N$1000,"&lt;&gt;Done",'Debt Backlog'!$N$2:$N$1000,"&lt;&gt;Won't Fix",'Debt Backlog'!$N$2:$N$1000,"&lt;&gt;Duplicate"),2))</f>
        <v/>
      </c>
    </row>
    <row r="226" customFormat="false" ht="15.75" hidden="false" customHeight="true" outlineLevel="0" collapsed="false">
      <c r="A226" s="125"/>
      <c r="B226" s="101"/>
      <c r="C226" s="101"/>
      <c r="D226" s="101"/>
      <c r="E226" s="101"/>
      <c r="F226" s="101"/>
      <c r="G226" s="101"/>
      <c r="H226" s="101"/>
      <c r="I226" s="106"/>
      <c r="J226" s="106"/>
      <c r="K226" s="106"/>
      <c r="L226" s="106"/>
      <c r="M226" s="106"/>
      <c r="N226" s="103" t="str">
        <f aca="false">IF(OR($B226="", $I226="", $J226="", $K226="", $L226="", $M226=""),"",ROUND(($I226*Lists!$AD$2)+($J226*Lists!$AD$3)+($K226*Lists!$AD$4)+($L226*Lists!$AD$5)+($M226*Lists!$AD$6),2))</f>
        <v/>
      </c>
      <c r="O226" s="103" t="str">
        <f aca="false">IF($A226="","",IFERROR(VLOOKUP($A226,'Risk Register'!$B$2:$I$1000,8,FALSE()),""))</f>
        <v/>
      </c>
      <c r="P226" s="106"/>
      <c r="Q226" s="106"/>
      <c r="R226" s="106"/>
      <c r="S226" s="106"/>
      <c r="T226" s="103" t="str">
        <f aca="false">IF(OR($B226="", $P226="", $Q226="", $R226="", $S226=""),"",ROUND(($P226*Lists!$AD$7)+($Q226*Lists!$AD$8)+($R226*Lists!$AD$9)+($S226*Lists!$AD$10),2))</f>
        <v/>
      </c>
      <c r="U226" s="106"/>
      <c r="V226" s="106"/>
      <c r="W226" s="106"/>
      <c r="X226" s="106"/>
      <c r="Y226" s="106"/>
      <c r="Z226" s="103" t="str">
        <f aca="false">IF(OR($B226="", $U226="", $V226="", $W226="", $X226="", $Y226=""),"",ROUND(($U226*Lists!$AD$11)+($V226*Lists!$AD$12)+($W226*Lists!$AD$13)+($X226*Lists!$AD$14)+($Y226*Lists!$AD$15),2))</f>
        <v/>
      </c>
      <c r="AA226" s="103" t="str">
        <f aca="false">IF(OR($B226="", $N226="", $O226="", $T226="", $Z226=""),"",ROUND(($N226*Lists!$AD$16)-($O226*Lists!$AD$17)-($T226*Lists!$AD$18)+($Z226*Lists!$AD$19),2))</f>
        <v/>
      </c>
      <c r="AB226" s="102" t="str">
        <f aca="false">IF(OR($B226="", $N226="", $Z226=""),"",IF($N226&gt;=Lists!$AG$2,IF($Z226&gt;=Lists!$AG$3,"Invest","Migrate"),IF($Z226&gt;=Lists!$AG$3,"Tolerate","Eliminate")))</f>
        <v/>
      </c>
      <c r="AC226" s="102" t="str">
        <f aca="false">IF($B226="","",IF($J226&gt;=4,"Yes",""))</f>
        <v/>
      </c>
      <c r="AD226" s="102" t="str">
        <f aca="false">IF($A226="","",IFERROR(IF(VLOOKUP($A226,'Risk Register'!$B$2:$H$1000,4,FALSE())&gt;=4,"Yes",""),""))</f>
        <v/>
      </c>
      <c r="AE226" s="102" t="str">
        <f aca="false">IF(OR($N226="", $O226=""),"",IF($N226&gt;=Lists!$AG$2,IF($O226&gt;=Lists!$AG$4,"High Value / High Risk","High Value / Low Risk"),IF($O226&gt;=Lists!$AG$4,"Low Value / High Risk","Low Value / Low Risk")))</f>
        <v/>
      </c>
      <c r="AF226" s="101"/>
      <c r="AG226" s="126"/>
      <c r="AH226" s="106" t="str">
        <f aca="false">IF($B226="","",COUNTIFS('Debt Backlog'!$AF$2:$AF$1000,$A226,'Debt Backlog'!$B$2:$B$1000,"&lt;&gt;",'Debt Backlog'!$N$2:$N$1000,"&lt;&gt;Done",'Debt Backlog'!$N$2:$N$1000,"&lt;&gt;Won't Fix",'Debt Backlog'!$N$2:$N$1000,"&lt;&gt;Duplicate"))</f>
        <v/>
      </c>
      <c r="AI226" s="103" t="str">
        <f aca="false">IF($B226="","",ROUND(SUMIFS('Debt Backlog'!$L$2:$L$1000,'Debt Backlog'!$AF$2:$AF$1000,$A226,'Debt Backlog'!$B$2:$B$1000,"&lt;&gt;",'Debt Backlog'!$N$2:$N$1000,"&lt;&gt;Done",'Debt Backlog'!$N$2:$N$1000,"&lt;&gt;Won't Fix",'Debt Backlog'!$N$2:$N$1000,"&lt;&gt;Duplicate"),2))</f>
        <v/>
      </c>
    </row>
    <row r="227" customFormat="false" ht="15.75" hidden="false" customHeight="true" outlineLevel="0" collapsed="false">
      <c r="A227" s="125"/>
      <c r="B227" s="101"/>
      <c r="C227" s="101"/>
      <c r="D227" s="101"/>
      <c r="E227" s="101"/>
      <c r="F227" s="101"/>
      <c r="G227" s="101"/>
      <c r="H227" s="101"/>
      <c r="I227" s="106"/>
      <c r="J227" s="106"/>
      <c r="K227" s="106"/>
      <c r="L227" s="106"/>
      <c r="M227" s="106"/>
      <c r="N227" s="103" t="str">
        <f aca="false">IF(OR($B227="", $I227="", $J227="", $K227="", $L227="", $M227=""),"",ROUND(($I227*Lists!$AD$2)+($J227*Lists!$AD$3)+($K227*Lists!$AD$4)+($L227*Lists!$AD$5)+($M227*Lists!$AD$6),2))</f>
        <v/>
      </c>
      <c r="O227" s="103" t="str">
        <f aca="false">IF($A227="","",IFERROR(VLOOKUP($A227,'Risk Register'!$B$2:$I$1000,8,FALSE()),""))</f>
        <v/>
      </c>
      <c r="P227" s="106"/>
      <c r="Q227" s="106"/>
      <c r="R227" s="106"/>
      <c r="S227" s="106"/>
      <c r="T227" s="103" t="str">
        <f aca="false">IF(OR($B227="", $P227="", $Q227="", $R227="", $S227=""),"",ROUND(($P227*Lists!$AD$7)+($Q227*Lists!$AD$8)+($R227*Lists!$AD$9)+($S227*Lists!$AD$10),2))</f>
        <v/>
      </c>
      <c r="U227" s="106"/>
      <c r="V227" s="106"/>
      <c r="W227" s="106"/>
      <c r="X227" s="106"/>
      <c r="Y227" s="106"/>
      <c r="Z227" s="103" t="str">
        <f aca="false">IF(OR($B227="", $U227="", $V227="", $W227="", $X227="", $Y227=""),"",ROUND(($U227*Lists!$AD$11)+($V227*Lists!$AD$12)+($W227*Lists!$AD$13)+($X227*Lists!$AD$14)+($Y227*Lists!$AD$15),2))</f>
        <v/>
      </c>
      <c r="AA227" s="103" t="str">
        <f aca="false">IF(OR($B227="", $N227="", $O227="", $T227="", $Z227=""),"",ROUND(($N227*Lists!$AD$16)-($O227*Lists!$AD$17)-($T227*Lists!$AD$18)+($Z227*Lists!$AD$19),2))</f>
        <v/>
      </c>
      <c r="AB227" s="102" t="str">
        <f aca="false">IF(OR($B227="", $N227="", $Z227=""),"",IF($N227&gt;=Lists!$AG$2,IF($Z227&gt;=Lists!$AG$3,"Invest","Migrate"),IF($Z227&gt;=Lists!$AG$3,"Tolerate","Eliminate")))</f>
        <v/>
      </c>
      <c r="AC227" s="102" t="str">
        <f aca="false">IF($B227="","",IF($J227&gt;=4,"Yes",""))</f>
        <v/>
      </c>
      <c r="AD227" s="102" t="str">
        <f aca="false">IF($A227="","",IFERROR(IF(VLOOKUP($A227,'Risk Register'!$B$2:$H$1000,4,FALSE())&gt;=4,"Yes",""),""))</f>
        <v/>
      </c>
      <c r="AE227" s="102" t="str">
        <f aca="false">IF(OR($N227="", $O227=""),"",IF($N227&gt;=Lists!$AG$2,IF($O227&gt;=Lists!$AG$4,"High Value / High Risk","High Value / Low Risk"),IF($O227&gt;=Lists!$AG$4,"Low Value / High Risk","Low Value / Low Risk")))</f>
        <v/>
      </c>
      <c r="AF227" s="101"/>
      <c r="AG227" s="126"/>
      <c r="AH227" s="106" t="str">
        <f aca="false">IF($B227="","",COUNTIFS('Debt Backlog'!$AF$2:$AF$1000,$A227,'Debt Backlog'!$B$2:$B$1000,"&lt;&gt;",'Debt Backlog'!$N$2:$N$1000,"&lt;&gt;Done",'Debt Backlog'!$N$2:$N$1000,"&lt;&gt;Won't Fix",'Debt Backlog'!$N$2:$N$1000,"&lt;&gt;Duplicate"))</f>
        <v/>
      </c>
      <c r="AI227" s="103" t="str">
        <f aca="false">IF($B227="","",ROUND(SUMIFS('Debt Backlog'!$L$2:$L$1000,'Debt Backlog'!$AF$2:$AF$1000,$A227,'Debt Backlog'!$B$2:$B$1000,"&lt;&gt;",'Debt Backlog'!$N$2:$N$1000,"&lt;&gt;Done",'Debt Backlog'!$N$2:$N$1000,"&lt;&gt;Won't Fix",'Debt Backlog'!$N$2:$N$1000,"&lt;&gt;Duplicate"),2))</f>
        <v/>
      </c>
    </row>
    <row r="228" customFormat="false" ht="15.75" hidden="false" customHeight="true" outlineLevel="0" collapsed="false">
      <c r="A228" s="125"/>
      <c r="B228" s="101"/>
      <c r="C228" s="101"/>
      <c r="D228" s="101"/>
      <c r="E228" s="101"/>
      <c r="F228" s="101"/>
      <c r="G228" s="101"/>
      <c r="H228" s="101"/>
      <c r="I228" s="106"/>
      <c r="J228" s="106"/>
      <c r="K228" s="106"/>
      <c r="L228" s="106"/>
      <c r="M228" s="106"/>
      <c r="N228" s="103" t="str">
        <f aca="false">IF(OR($B228="", $I228="", $J228="", $K228="", $L228="", $M228=""),"",ROUND(($I228*Lists!$AD$2)+($J228*Lists!$AD$3)+($K228*Lists!$AD$4)+($L228*Lists!$AD$5)+($M228*Lists!$AD$6),2))</f>
        <v/>
      </c>
      <c r="O228" s="103" t="str">
        <f aca="false">IF($A228="","",IFERROR(VLOOKUP($A228,'Risk Register'!$B$2:$I$1000,8,FALSE()),""))</f>
        <v/>
      </c>
      <c r="P228" s="106"/>
      <c r="Q228" s="106"/>
      <c r="R228" s="106"/>
      <c r="S228" s="106"/>
      <c r="T228" s="103" t="str">
        <f aca="false">IF(OR($B228="", $P228="", $Q228="", $R228="", $S228=""),"",ROUND(($P228*Lists!$AD$7)+($Q228*Lists!$AD$8)+($R228*Lists!$AD$9)+($S228*Lists!$AD$10),2))</f>
        <v/>
      </c>
      <c r="U228" s="106"/>
      <c r="V228" s="106"/>
      <c r="W228" s="106"/>
      <c r="X228" s="106"/>
      <c r="Y228" s="106"/>
      <c r="Z228" s="103" t="str">
        <f aca="false">IF(OR($B228="", $U228="", $V228="", $W228="", $X228="", $Y228=""),"",ROUND(($U228*Lists!$AD$11)+($V228*Lists!$AD$12)+($W228*Lists!$AD$13)+($X228*Lists!$AD$14)+($Y228*Lists!$AD$15),2))</f>
        <v/>
      </c>
      <c r="AA228" s="103" t="str">
        <f aca="false">IF(OR($B228="", $N228="", $O228="", $T228="", $Z228=""),"",ROUND(($N228*Lists!$AD$16)-($O228*Lists!$AD$17)-($T228*Lists!$AD$18)+($Z228*Lists!$AD$19),2))</f>
        <v/>
      </c>
      <c r="AB228" s="102" t="str">
        <f aca="false">IF(OR($B228="", $N228="", $Z228=""),"",IF($N228&gt;=Lists!$AG$2,IF($Z228&gt;=Lists!$AG$3,"Invest","Migrate"),IF($Z228&gt;=Lists!$AG$3,"Tolerate","Eliminate")))</f>
        <v/>
      </c>
      <c r="AC228" s="102" t="str">
        <f aca="false">IF($B228="","",IF($J228&gt;=4,"Yes",""))</f>
        <v/>
      </c>
      <c r="AD228" s="102" t="str">
        <f aca="false">IF($A228="","",IFERROR(IF(VLOOKUP($A228,'Risk Register'!$B$2:$H$1000,4,FALSE())&gt;=4,"Yes",""),""))</f>
        <v/>
      </c>
      <c r="AE228" s="102" t="str">
        <f aca="false">IF(OR($N228="", $O228=""),"",IF($N228&gt;=Lists!$AG$2,IF($O228&gt;=Lists!$AG$4,"High Value / High Risk","High Value / Low Risk"),IF($O228&gt;=Lists!$AG$4,"Low Value / High Risk","Low Value / Low Risk")))</f>
        <v/>
      </c>
      <c r="AF228" s="101"/>
      <c r="AG228" s="126"/>
      <c r="AH228" s="106" t="str">
        <f aca="false">IF($B228="","",COUNTIFS('Debt Backlog'!$AF$2:$AF$1000,$A228,'Debt Backlog'!$B$2:$B$1000,"&lt;&gt;",'Debt Backlog'!$N$2:$N$1000,"&lt;&gt;Done",'Debt Backlog'!$N$2:$N$1000,"&lt;&gt;Won't Fix",'Debt Backlog'!$N$2:$N$1000,"&lt;&gt;Duplicate"))</f>
        <v/>
      </c>
      <c r="AI228" s="103" t="str">
        <f aca="false">IF($B228="","",ROUND(SUMIFS('Debt Backlog'!$L$2:$L$1000,'Debt Backlog'!$AF$2:$AF$1000,$A228,'Debt Backlog'!$B$2:$B$1000,"&lt;&gt;",'Debt Backlog'!$N$2:$N$1000,"&lt;&gt;Done",'Debt Backlog'!$N$2:$N$1000,"&lt;&gt;Won't Fix",'Debt Backlog'!$N$2:$N$1000,"&lt;&gt;Duplicate"),2))</f>
        <v/>
      </c>
    </row>
    <row r="229" customFormat="false" ht="15.75" hidden="false" customHeight="true" outlineLevel="0" collapsed="false">
      <c r="A229" s="125"/>
      <c r="B229" s="101"/>
      <c r="C229" s="101"/>
      <c r="D229" s="101"/>
      <c r="E229" s="101"/>
      <c r="F229" s="101"/>
      <c r="G229" s="101"/>
      <c r="H229" s="101"/>
      <c r="I229" s="106"/>
      <c r="J229" s="106"/>
      <c r="K229" s="106"/>
      <c r="L229" s="106"/>
      <c r="M229" s="106"/>
      <c r="N229" s="103" t="str">
        <f aca="false">IF(OR($B229="", $I229="", $J229="", $K229="", $L229="", $M229=""),"",ROUND(($I229*Lists!$AD$2)+($J229*Lists!$AD$3)+($K229*Lists!$AD$4)+($L229*Lists!$AD$5)+($M229*Lists!$AD$6),2))</f>
        <v/>
      </c>
      <c r="O229" s="103" t="str">
        <f aca="false">IF($A229="","",IFERROR(VLOOKUP($A229,'Risk Register'!$B$2:$I$1000,8,FALSE()),""))</f>
        <v/>
      </c>
      <c r="P229" s="106"/>
      <c r="Q229" s="106"/>
      <c r="R229" s="106"/>
      <c r="S229" s="106"/>
      <c r="T229" s="103" t="str">
        <f aca="false">IF(OR($B229="", $P229="", $Q229="", $R229="", $S229=""),"",ROUND(($P229*Lists!$AD$7)+($Q229*Lists!$AD$8)+($R229*Lists!$AD$9)+($S229*Lists!$AD$10),2))</f>
        <v/>
      </c>
      <c r="U229" s="106"/>
      <c r="V229" s="106"/>
      <c r="W229" s="106"/>
      <c r="X229" s="106"/>
      <c r="Y229" s="106"/>
      <c r="Z229" s="103" t="str">
        <f aca="false">IF(OR($B229="", $U229="", $V229="", $W229="", $X229="", $Y229=""),"",ROUND(($U229*Lists!$AD$11)+($V229*Lists!$AD$12)+($W229*Lists!$AD$13)+($X229*Lists!$AD$14)+($Y229*Lists!$AD$15),2))</f>
        <v/>
      </c>
      <c r="AA229" s="103" t="str">
        <f aca="false">IF(OR($B229="", $N229="", $O229="", $T229="", $Z229=""),"",ROUND(($N229*Lists!$AD$16)-($O229*Lists!$AD$17)-($T229*Lists!$AD$18)+($Z229*Lists!$AD$19),2))</f>
        <v/>
      </c>
      <c r="AB229" s="102" t="str">
        <f aca="false">IF(OR($B229="", $N229="", $Z229=""),"",IF($N229&gt;=Lists!$AG$2,IF($Z229&gt;=Lists!$AG$3,"Invest","Migrate"),IF($Z229&gt;=Lists!$AG$3,"Tolerate","Eliminate")))</f>
        <v/>
      </c>
      <c r="AC229" s="102" t="str">
        <f aca="false">IF($B229="","",IF($J229&gt;=4,"Yes",""))</f>
        <v/>
      </c>
      <c r="AD229" s="102" t="str">
        <f aca="false">IF($A229="","",IFERROR(IF(VLOOKUP($A229,'Risk Register'!$B$2:$H$1000,4,FALSE())&gt;=4,"Yes",""),""))</f>
        <v/>
      </c>
      <c r="AE229" s="102" t="str">
        <f aca="false">IF(OR($N229="", $O229=""),"",IF($N229&gt;=Lists!$AG$2,IF($O229&gt;=Lists!$AG$4,"High Value / High Risk","High Value / Low Risk"),IF($O229&gt;=Lists!$AG$4,"Low Value / High Risk","Low Value / Low Risk")))</f>
        <v/>
      </c>
      <c r="AF229" s="101"/>
      <c r="AG229" s="126"/>
      <c r="AH229" s="106" t="str">
        <f aca="false">IF($B229="","",COUNTIFS('Debt Backlog'!$AF$2:$AF$1000,$A229,'Debt Backlog'!$B$2:$B$1000,"&lt;&gt;",'Debt Backlog'!$N$2:$N$1000,"&lt;&gt;Done",'Debt Backlog'!$N$2:$N$1000,"&lt;&gt;Won't Fix",'Debt Backlog'!$N$2:$N$1000,"&lt;&gt;Duplicate"))</f>
        <v/>
      </c>
      <c r="AI229" s="103" t="str">
        <f aca="false">IF($B229="","",ROUND(SUMIFS('Debt Backlog'!$L$2:$L$1000,'Debt Backlog'!$AF$2:$AF$1000,$A229,'Debt Backlog'!$B$2:$B$1000,"&lt;&gt;",'Debt Backlog'!$N$2:$N$1000,"&lt;&gt;Done",'Debt Backlog'!$N$2:$N$1000,"&lt;&gt;Won't Fix",'Debt Backlog'!$N$2:$N$1000,"&lt;&gt;Duplicate"),2))</f>
        <v/>
      </c>
    </row>
    <row r="230" customFormat="false" ht="15.75" hidden="false" customHeight="true" outlineLevel="0" collapsed="false">
      <c r="A230" s="125"/>
      <c r="B230" s="101"/>
      <c r="C230" s="101"/>
      <c r="D230" s="101"/>
      <c r="E230" s="101"/>
      <c r="F230" s="101"/>
      <c r="G230" s="101"/>
      <c r="H230" s="101"/>
      <c r="I230" s="106"/>
      <c r="J230" s="106"/>
      <c r="K230" s="106"/>
      <c r="L230" s="106"/>
      <c r="M230" s="106"/>
      <c r="N230" s="103" t="str">
        <f aca="false">IF(OR($B230="", $I230="", $J230="", $K230="", $L230="", $M230=""),"",ROUND(($I230*Lists!$AD$2)+($J230*Lists!$AD$3)+($K230*Lists!$AD$4)+($L230*Lists!$AD$5)+($M230*Lists!$AD$6),2))</f>
        <v/>
      </c>
      <c r="O230" s="103" t="str">
        <f aca="false">IF($A230="","",IFERROR(VLOOKUP($A230,'Risk Register'!$B$2:$I$1000,8,FALSE()),""))</f>
        <v/>
      </c>
      <c r="P230" s="106"/>
      <c r="Q230" s="106"/>
      <c r="R230" s="106"/>
      <c r="S230" s="106"/>
      <c r="T230" s="103" t="str">
        <f aca="false">IF(OR($B230="", $P230="", $Q230="", $R230="", $S230=""),"",ROUND(($P230*Lists!$AD$7)+($Q230*Lists!$AD$8)+($R230*Lists!$AD$9)+($S230*Lists!$AD$10),2))</f>
        <v/>
      </c>
      <c r="U230" s="106"/>
      <c r="V230" s="106"/>
      <c r="W230" s="106"/>
      <c r="X230" s="106"/>
      <c r="Y230" s="106"/>
      <c r="Z230" s="103" t="str">
        <f aca="false">IF(OR($B230="", $U230="", $V230="", $W230="", $X230="", $Y230=""),"",ROUND(($U230*Lists!$AD$11)+($V230*Lists!$AD$12)+($W230*Lists!$AD$13)+($X230*Lists!$AD$14)+($Y230*Lists!$AD$15),2))</f>
        <v/>
      </c>
      <c r="AA230" s="103" t="str">
        <f aca="false">IF(OR($B230="", $N230="", $O230="", $T230="", $Z230=""),"",ROUND(($N230*Lists!$AD$16)-($O230*Lists!$AD$17)-($T230*Lists!$AD$18)+($Z230*Lists!$AD$19),2))</f>
        <v/>
      </c>
      <c r="AB230" s="102" t="str">
        <f aca="false">IF(OR($B230="", $N230="", $Z230=""),"",IF($N230&gt;=Lists!$AG$2,IF($Z230&gt;=Lists!$AG$3,"Invest","Migrate"),IF($Z230&gt;=Lists!$AG$3,"Tolerate","Eliminate")))</f>
        <v/>
      </c>
      <c r="AC230" s="102" t="str">
        <f aca="false">IF($B230="","",IF($J230&gt;=4,"Yes",""))</f>
        <v/>
      </c>
      <c r="AD230" s="102" t="str">
        <f aca="false">IF($A230="","",IFERROR(IF(VLOOKUP($A230,'Risk Register'!$B$2:$H$1000,4,FALSE())&gt;=4,"Yes",""),""))</f>
        <v/>
      </c>
      <c r="AE230" s="102" t="str">
        <f aca="false">IF(OR($N230="", $O230=""),"",IF($N230&gt;=Lists!$AG$2,IF($O230&gt;=Lists!$AG$4,"High Value / High Risk","High Value / Low Risk"),IF($O230&gt;=Lists!$AG$4,"Low Value / High Risk","Low Value / Low Risk")))</f>
        <v/>
      </c>
      <c r="AF230" s="101"/>
      <c r="AG230" s="126"/>
      <c r="AH230" s="106" t="str">
        <f aca="false">IF($B230="","",COUNTIFS('Debt Backlog'!$AF$2:$AF$1000,$A230,'Debt Backlog'!$B$2:$B$1000,"&lt;&gt;",'Debt Backlog'!$N$2:$N$1000,"&lt;&gt;Done",'Debt Backlog'!$N$2:$N$1000,"&lt;&gt;Won't Fix",'Debt Backlog'!$N$2:$N$1000,"&lt;&gt;Duplicate"))</f>
        <v/>
      </c>
      <c r="AI230" s="103" t="str">
        <f aca="false">IF($B230="","",ROUND(SUMIFS('Debt Backlog'!$L$2:$L$1000,'Debt Backlog'!$AF$2:$AF$1000,$A230,'Debt Backlog'!$B$2:$B$1000,"&lt;&gt;",'Debt Backlog'!$N$2:$N$1000,"&lt;&gt;Done",'Debt Backlog'!$N$2:$N$1000,"&lt;&gt;Won't Fix",'Debt Backlog'!$N$2:$N$1000,"&lt;&gt;Duplicate"),2))</f>
        <v/>
      </c>
    </row>
    <row r="231" customFormat="false" ht="15.75" hidden="false" customHeight="true" outlineLevel="0" collapsed="false">
      <c r="A231" s="125"/>
      <c r="B231" s="101"/>
      <c r="C231" s="101"/>
      <c r="D231" s="101"/>
      <c r="E231" s="101"/>
      <c r="F231" s="101"/>
      <c r="G231" s="101"/>
      <c r="H231" s="101"/>
      <c r="I231" s="106"/>
      <c r="J231" s="106"/>
      <c r="K231" s="106"/>
      <c r="L231" s="106"/>
      <c r="M231" s="106"/>
      <c r="N231" s="103" t="str">
        <f aca="false">IF(OR($B231="", $I231="", $J231="", $K231="", $L231="", $M231=""),"",ROUND(($I231*Lists!$AD$2)+($J231*Lists!$AD$3)+($K231*Lists!$AD$4)+($L231*Lists!$AD$5)+($M231*Lists!$AD$6),2))</f>
        <v/>
      </c>
      <c r="O231" s="103" t="str">
        <f aca="false">IF($A231="","",IFERROR(VLOOKUP($A231,'Risk Register'!$B$2:$I$1000,8,FALSE()),""))</f>
        <v/>
      </c>
      <c r="P231" s="106"/>
      <c r="Q231" s="106"/>
      <c r="R231" s="106"/>
      <c r="S231" s="106"/>
      <c r="T231" s="103" t="str">
        <f aca="false">IF(OR($B231="", $P231="", $Q231="", $R231="", $S231=""),"",ROUND(($P231*Lists!$AD$7)+($Q231*Lists!$AD$8)+($R231*Lists!$AD$9)+($S231*Lists!$AD$10),2))</f>
        <v/>
      </c>
      <c r="U231" s="106"/>
      <c r="V231" s="106"/>
      <c r="W231" s="106"/>
      <c r="X231" s="106"/>
      <c r="Y231" s="106"/>
      <c r="Z231" s="103" t="str">
        <f aca="false">IF(OR($B231="", $U231="", $V231="", $W231="", $X231="", $Y231=""),"",ROUND(($U231*Lists!$AD$11)+($V231*Lists!$AD$12)+($W231*Lists!$AD$13)+($X231*Lists!$AD$14)+($Y231*Lists!$AD$15),2))</f>
        <v/>
      </c>
      <c r="AA231" s="103" t="str">
        <f aca="false">IF(OR($B231="", $N231="", $O231="", $T231="", $Z231=""),"",ROUND(($N231*Lists!$AD$16)-($O231*Lists!$AD$17)-($T231*Lists!$AD$18)+($Z231*Lists!$AD$19),2))</f>
        <v/>
      </c>
      <c r="AB231" s="102" t="str">
        <f aca="false">IF(OR($B231="", $N231="", $Z231=""),"",IF($N231&gt;=Lists!$AG$2,IF($Z231&gt;=Lists!$AG$3,"Invest","Migrate"),IF($Z231&gt;=Lists!$AG$3,"Tolerate","Eliminate")))</f>
        <v/>
      </c>
      <c r="AC231" s="102" t="str">
        <f aca="false">IF($B231="","",IF($J231&gt;=4,"Yes",""))</f>
        <v/>
      </c>
      <c r="AD231" s="102" t="str">
        <f aca="false">IF($A231="","",IFERROR(IF(VLOOKUP($A231,'Risk Register'!$B$2:$H$1000,4,FALSE())&gt;=4,"Yes",""),""))</f>
        <v/>
      </c>
      <c r="AE231" s="102" t="str">
        <f aca="false">IF(OR($N231="", $O231=""),"",IF($N231&gt;=Lists!$AG$2,IF($O231&gt;=Lists!$AG$4,"High Value / High Risk","High Value / Low Risk"),IF($O231&gt;=Lists!$AG$4,"Low Value / High Risk","Low Value / Low Risk")))</f>
        <v/>
      </c>
      <c r="AF231" s="101"/>
      <c r="AG231" s="126"/>
      <c r="AH231" s="106" t="str">
        <f aca="false">IF($B231="","",COUNTIFS('Debt Backlog'!$AF$2:$AF$1000,$A231,'Debt Backlog'!$B$2:$B$1000,"&lt;&gt;",'Debt Backlog'!$N$2:$N$1000,"&lt;&gt;Done",'Debt Backlog'!$N$2:$N$1000,"&lt;&gt;Won't Fix",'Debt Backlog'!$N$2:$N$1000,"&lt;&gt;Duplicate"))</f>
        <v/>
      </c>
      <c r="AI231" s="103" t="str">
        <f aca="false">IF($B231="","",ROUND(SUMIFS('Debt Backlog'!$L$2:$L$1000,'Debt Backlog'!$AF$2:$AF$1000,$A231,'Debt Backlog'!$B$2:$B$1000,"&lt;&gt;",'Debt Backlog'!$N$2:$N$1000,"&lt;&gt;Done",'Debt Backlog'!$N$2:$N$1000,"&lt;&gt;Won't Fix",'Debt Backlog'!$N$2:$N$1000,"&lt;&gt;Duplicate"),2))</f>
        <v/>
      </c>
    </row>
    <row r="232" customFormat="false" ht="15.75" hidden="false" customHeight="true" outlineLevel="0" collapsed="false">
      <c r="A232" s="125"/>
      <c r="B232" s="101"/>
      <c r="C232" s="101"/>
      <c r="D232" s="101"/>
      <c r="E232" s="101"/>
      <c r="F232" s="101"/>
      <c r="G232" s="101"/>
      <c r="H232" s="101"/>
      <c r="I232" s="106"/>
      <c r="J232" s="106"/>
      <c r="K232" s="106"/>
      <c r="L232" s="106"/>
      <c r="M232" s="106"/>
      <c r="N232" s="103" t="str">
        <f aca="false">IF(OR($B232="", $I232="", $J232="", $K232="", $L232="", $M232=""),"",ROUND(($I232*Lists!$AD$2)+($J232*Lists!$AD$3)+($K232*Lists!$AD$4)+($L232*Lists!$AD$5)+($M232*Lists!$AD$6),2))</f>
        <v/>
      </c>
      <c r="O232" s="103" t="str">
        <f aca="false">IF($A232="","",IFERROR(VLOOKUP($A232,'Risk Register'!$B$2:$I$1000,8,FALSE()),""))</f>
        <v/>
      </c>
      <c r="P232" s="106"/>
      <c r="Q232" s="106"/>
      <c r="R232" s="106"/>
      <c r="S232" s="106"/>
      <c r="T232" s="103" t="str">
        <f aca="false">IF(OR($B232="", $P232="", $Q232="", $R232="", $S232=""),"",ROUND(($P232*Lists!$AD$7)+($Q232*Lists!$AD$8)+($R232*Lists!$AD$9)+($S232*Lists!$AD$10),2))</f>
        <v/>
      </c>
      <c r="U232" s="106"/>
      <c r="V232" s="106"/>
      <c r="W232" s="106"/>
      <c r="X232" s="106"/>
      <c r="Y232" s="106"/>
      <c r="Z232" s="103" t="str">
        <f aca="false">IF(OR($B232="", $U232="", $V232="", $W232="", $X232="", $Y232=""),"",ROUND(($U232*Lists!$AD$11)+($V232*Lists!$AD$12)+($W232*Lists!$AD$13)+($X232*Lists!$AD$14)+($Y232*Lists!$AD$15),2))</f>
        <v/>
      </c>
      <c r="AA232" s="103" t="str">
        <f aca="false">IF(OR($B232="", $N232="", $O232="", $T232="", $Z232=""),"",ROUND(($N232*Lists!$AD$16)-($O232*Lists!$AD$17)-($T232*Lists!$AD$18)+($Z232*Lists!$AD$19),2))</f>
        <v/>
      </c>
      <c r="AB232" s="102" t="str">
        <f aca="false">IF(OR($B232="", $N232="", $Z232=""),"",IF($N232&gt;=Lists!$AG$2,IF($Z232&gt;=Lists!$AG$3,"Invest","Migrate"),IF($Z232&gt;=Lists!$AG$3,"Tolerate","Eliminate")))</f>
        <v/>
      </c>
      <c r="AC232" s="102" t="str">
        <f aca="false">IF($B232="","",IF($J232&gt;=4,"Yes",""))</f>
        <v/>
      </c>
      <c r="AD232" s="102" t="str">
        <f aca="false">IF($A232="","",IFERROR(IF(VLOOKUP($A232,'Risk Register'!$B$2:$H$1000,4,FALSE())&gt;=4,"Yes",""),""))</f>
        <v/>
      </c>
      <c r="AE232" s="102" t="str">
        <f aca="false">IF(OR($N232="", $O232=""),"",IF($N232&gt;=Lists!$AG$2,IF($O232&gt;=Lists!$AG$4,"High Value / High Risk","High Value / Low Risk"),IF($O232&gt;=Lists!$AG$4,"Low Value / High Risk","Low Value / Low Risk")))</f>
        <v/>
      </c>
      <c r="AF232" s="101"/>
      <c r="AG232" s="126"/>
      <c r="AH232" s="106" t="str">
        <f aca="false">IF($B232="","",COUNTIFS('Debt Backlog'!$AF$2:$AF$1000,$A232,'Debt Backlog'!$B$2:$B$1000,"&lt;&gt;",'Debt Backlog'!$N$2:$N$1000,"&lt;&gt;Done",'Debt Backlog'!$N$2:$N$1000,"&lt;&gt;Won't Fix",'Debt Backlog'!$N$2:$N$1000,"&lt;&gt;Duplicate"))</f>
        <v/>
      </c>
      <c r="AI232" s="103" t="str">
        <f aca="false">IF($B232="","",ROUND(SUMIFS('Debt Backlog'!$L$2:$L$1000,'Debt Backlog'!$AF$2:$AF$1000,$A232,'Debt Backlog'!$B$2:$B$1000,"&lt;&gt;",'Debt Backlog'!$N$2:$N$1000,"&lt;&gt;Done",'Debt Backlog'!$N$2:$N$1000,"&lt;&gt;Won't Fix",'Debt Backlog'!$N$2:$N$1000,"&lt;&gt;Duplicate"),2))</f>
        <v/>
      </c>
    </row>
    <row r="233" customFormat="false" ht="15.75" hidden="false" customHeight="true" outlineLevel="0" collapsed="false">
      <c r="A233" s="125"/>
      <c r="B233" s="101"/>
      <c r="C233" s="101"/>
      <c r="D233" s="101"/>
      <c r="E233" s="101"/>
      <c r="F233" s="101"/>
      <c r="G233" s="101"/>
      <c r="H233" s="101"/>
      <c r="I233" s="106"/>
      <c r="J233" s="106"/>
      <c r="K233" s="106"/>
      <c r="L233" s="106"/>
      <c r="M233" s="106"/>
      <c r="N233" s="103" t="str">
        <f aca="false">IF(OR($B233="", $I233="", $J233="", $K233="", $L233="", $M233=""),"",ROUND(($I233*Lists!$AD$2)+($J233*Lists!$AD$3)+($K233*Lists!$AD$4)+($L233*Lists!$AD$5)+($M233*Lists!$AD$6),2))</f>
        <v/>
      </c>
      <c r="O233" s="103" t="str">
        <f aca="false">IF($A233="","",IFERROR(VLOOKUP($A233,'Risk Register'!$B$2:$I$1000,8,FALSE()),""))</f>
        <v/>
      </c>
      <c r="P233" s="106"/>
      <c r="Q233" s="106"/>
      <c r="R233" s="106"/>
      <c r="S233" s="106"/>
      <c r="T233" s="103" t="str">
        <f aca="false">IF(OR($B233="", $P233="", $Q233="", $R233="", $S233=""),"",ROUND(($P233*Lists!$AD$7)+($Q233*Lists!$AD$8)+($R233*Lists!$AD$9)+($S233*Lists!$AD$10),2))</f>
        <v/>
      </c>
      <c r="U233" s="106"/>
      <c r="V233" s="106"/>
      <c r="W233" s="106"/>
      <c r="X233" s="106"/>
      <c r="Y233" s="106"/>
      <c r="Z233" s="103" t="str">
        <f aca="false">IF(OR($B233="", $U233="", $V233="", $W233="", $X233="", $Y233=""),"",ROUND(($U233*Lists!$AD$11)+($V233*Lists!$AD$12)+($W233*Lists!$AD$13)+($X233*Lists!$AD$14)+($Y233*Lists!$AD$15),2))</f>
        <v/>
      </c>
      <c r="AA233" s="103" t="str">
        <f aca="false">IF(OR($B233="", $N233="", $O233="", $T233="", $Z233=""),"",ROUND(($N233*Lists!$AD$16)-($O233*Lists!$AD$17)-($T233*Lists!$AD$18)+($Z233*Lists!$AD$19),2))</f>
        <v/>
      </c>
      <c r="AB233" s="102" t="str">
        <f aca="false">IF(OR($B233="", $N233="", $Z233=""),"",IF($N233&gt;=Lists!$AG$2,IF($Z233&gt;=Lists!$AG$3,"Invest","Migrate"),IF($Z233&gt;=Lists!$AG$3,"Tolerate","Eliminate")))</f>
        <v/>
      </c>
      <c r="AC233" s="102" t="str">
        <f aca="false">IF($B233="","",IF($J233&gt;=4,"Yes",""))</f>
        <v/>
      </c>
      <c r="AD233" s="102" t="str">
        <f aca="false">IF($A233="","",IFERROR(IF(VLOOKUP($A233,'Risk Register'!$B$2:$H$1000,4,FALSE())&gt;=4,"Yes",""),""))</f>
        <v/>
      </c>
      <c r="AE233" s="102" t="str">
        <f aca="false">IF(OR($N233="", $O233=""),"",IF($N233&gt;=Lists!$AG$2,IF($O233&gt;=Lists!$AG$4,"High Value / High Risk","High Value / Low Risk"),IF($O233&gt;=Lists!$AG$4,"Low Value / High Risk","Low Value / Low Risk")))</f>
        <v/>
      </c>
      <c r="AF233" s="101"/>
      <c r="AG233" s="126"/>
      <c r="AH233" s="106" t="str">
        <f aca="false">IF($B233="","",COUNTIFS('Debt Backlog'!$AF$2:$AF$1000,$A233,'Debt Backlog'!$B$2:$B$1000,"&lt;&gt;",'Debt Backlog'!$N$2:$N$1000,"&lt;&gt;Done",'Debt Backlog'!$N$2:$N$1000,"&lt;&gt;Won't Fix",'Debt Backlog'!$N$2:$N$1000,"&lt;&gt;Duplicate"))</f>
        <v/>
      </c>
      <c r="AI233" s="103" t="str">
        <f aca="false">IF($B233="","",ROUND(SUMIFS('Debt Backlog'!$L$2:$L$1000,'Debt Backlog'!$AF$2:$AF$1000,$A233,'Debt Backlog'!$B$2:$B$1000,"&lt;&gt;",'Debt Backlog'!$N$2:$N$1000,"&lt;&gt;Done",'Debt Backlog'!$N$2:$N$1000,"&lt;&gt;Won't Fix",'Debt Backlog'!$N$2:$N$1000,"&lt;&gt;Duplicate"),2))</f>
        <v/>
      </c>
    </row>
    <row r="234" customFormat="false" ht="15.75" hidden="false" customHeight="true" outlineLevel="0" collapsed="false">
      <c r="A234" s="125"/>
      <c r="B234" s="101"/>
      <c r="C234" s="101"/>
      <c r="D234" s="101"/>
      <c r="E234" s="101"/>
      <c r="F234" s="101"/>
      <c r="G234" s="101"/>
      <c r="H234" s="101"/>
      <c r="I234" s="106"/>
      <c r="J234" s="106"/>
      <c r="K234" s="106"/>
      <c r="L234" s="106"/>
      <c r="M234" s="106"/>
      <c r="N234" s="103" t="str">
        <f aca="false">IF(OR($B234="", $I234="", $J234="", $K234="", $L234="", $M234=""),"",ROUND(($I234*Lists!$AD$2)+($J234*Lists!$AD$3)+($K234*Lists!$AD$4)+($L234*Lists!$AD$5)+($M234*Lists!$AD$6),2))</f>
        <v/>
      </c>
      <c r="O234" s="103" t="str">
        <f aca="false">IF($A234="","",IFERROR(VLOOKUP($A234,'Risk Register'!$B$2:$I$1000,8,FALSE()),""))</f>
        <v/>
      </c>
      <c r="P234" s="106"/>
      <c r="Q234" s="106"/>
      <c r="R234" s="106"/>
      <c r="S234" s="106"/>
      <c r="T234" s="103" t="str">
        <f aca="false">IF(OR($B234="", $P234="", $Q234="", $R234="", $S234=""),"",ROUND(($P234*Lists!$AD$7)+($Q234*Lists!$AD$8)+($R234*Lists!$AD$9)+($S234*Lists!$AD$10),2))</f>
        <v/>
      </c>
      <c r="U234" s="106"/>
      <c r="V234" s="106"/>
      <c r="W234" s="106"/>
      <c r="X234" s="106"/>
      <c r="Y234" s="106"/>
      <c r="Z234" s="103" t="str">
        <f aca="false">IF(OR($B234="", $U234="", $V234="", $W234="", $X234="", $Y234=""),"",ROUND(($U234*Lists!$AD$11)+($V234*Lists!$AD$12)+($W234*Lists!$AD$13)+($X234*Lists!$AD$14)+($Y234*Lists!$AD$15),2))</f>
        <v/>
      </c>
      <c r="AA234" s="103" t="str">
        <f aca="false">IF(OR($B234="", $N234="", $O234="", $T234="", $Z234=""),"",ROUND(($N234*Lists!$AD$16)-($O234*Lists!$AD$17)-($T234*Lists!$AD$18)+($Z234*Lists!$AD$19),2))</f>
        <v/>
      </c>
      <c r="AB234" s="102" t="str">
        <f aca="false">IF(OR($B234="", $N234="", $Z234=""),"",IF($N234&gt;=Lists!$AG$2,IF($Z234&gt;=Lists!$AG$3,"Invest","Migrate"),IF($Z234&gt;=Lists!$AG$3,"Tolerate","Eliminate")))</f>
        <v/>
      </c>
      <c r="AC234" s="102" t="str">
        <f aca="false">IF($B234="","",IF($J234&gt;=4,"Yes",""))</f>
        <v/>
      </c>
      <c r="AD234" s="102" t="str">
        <f aca="false">IF($A234="","",IFERROR(IF(VLOOKUP($A234,'Risk Register'!$B$2:$H$1000,4,FALSE())&gt;=4,"Yes",""),""))</f>
        <v/>
      </c>
      <c r="AE234" s="102" t="str">
        <f aca="false">IF(OR($N234="", $O234=""),"",IF($N234&gt;=Lists!$AG$2,IF($O234&gt;=Lists!$AG$4,"High Value / High Risk","High Value / Low Risk"),IF($O234&gt;=Lists!$AG$4,"Low Value / High Risk","Low Value / Low Risk")))</f>
        <v/>
      </c>
      <c r="AF234" s="101"/>
      <c r="AG234" s="126"/>
      <c r="AH234" s="106" t="str">
        <f aca="false">IF($B234="","",COUNTIFS('Debt Backlog'!$AF$2:$AF$1000,$A234,'Debt Backlog'!$B$2:$B$1000,"&lt;&gt;",'Debt Backlog'!$N$2:$N$1000,"&lt;&gt;Done",'Debt Backlog'!$N$2:$N$1000,"&lt;&gt;Won't Fix",'Debt Backlog'!$N$2:$N$1000,"&lt;&gt;Duplicate"))</f>
        <v/>
      </c>
      <c r="AI234" s="103" t="str">
        <f aca="false">IF($B234="","",ROUND(SUMIFS('Debt Backlog'!$L$2:$L$1000,'Debt Backlog'!$AF$2:$AF$1000,$A234,'Debt Backlog'!$B$2:$B$1000,"&lt;&gt;",'Debt Backlog'!$N$2:$N$1000,"&lt;&gt;Done",'Debt Backlog'!$N$2:$N$1000,"&lt;&gt;Won't Fix",'Debt Backlog'!$N$2:$N$1000,"&lt;&gt;Duplicate"),2))</f>
        <v/>
      </c>
    </row>
    <row r="235" customFormat="false" ht="15.75" hidden="false" customHeight="true" outlineLevel="0" collapsed="false">
      <c r="A235" s="125"/>
      <c r="B235" s="101"/>
      <c r="C235" s="101"/>
      <c r="D235" s="101"/>
      <c r="E235" s="101"/>
      <c r="F235" s="101"/>
      <c r="G235" s="101"/>
      <c r="H235" s="101"/>
      <c r="I235" s="106"/>
      <c r="J235" s="106"/>
      <c r="K235" s="106"/>
      <c r="L235" s="106"/>
      <c r="M235" s="106"/>
      <c r="N235" s="103" t="str">
        <f aca="false">IF(OR($B235="", $I235="", $J235="", $K235="", $L235="", $M235=""),"",ROUND(($I235*Lists!$AD$2)+($J235*Lists!$AD$3)+($K235*Lists!$AD$4)+($L235*Lists!$AD$5)+($M235*Lists!$AD$6),2))</f>
        <v/>
      </c>
      <c r="O235" s="103" t="str">
        <f aca="false">IF($A235="","",IFERROR(VLOOKUP($A235,'Risk Register'!$B$2:$I$1000,8,FALSE()),""))</f>
        <v/>
      </c>
      <c r="P235" s="106"/>
      <c r="Q235" s="106"/>
      <c r="R235" s="106"/>
      <c r="S235" s="106"/>
      <c r="T235" s="103" t="str">
        <f aca="false">IF(OR($B235="", $P235="", $Q235="", $R235="", $S235=""),"",ROUND(($P235*Lists!$AD$7)+($Q235*Lists!$AD$8)+($R235*Lists!$AD$9)+($S235*Lists!$AD$10),2))</f>
        <v/>
      </c>
      <c r="U235" s="106"/>
      <c r="V235" s="106"/>
      <c r="W235" s="106"/>
      <c r="X235" s="106"/>
      <c r="Y235" s="106"/>
      <c r="Z235" s="103" t="str">
        <f aca="false">IF(OR($B235="", $U235="", $V235="", $W235="", $X235="", $Y235=""),"",ROUND(($U235*Lists!$AD$11)+($V235*Lists!$AD$12)+($W235*Lists!$AD$13)+($X235*Lists!$AD$14)+($Y235*Lists!$AD$15),2))</f>
        <v/>
      </c>
      <c r="AA235" s="103" t="str">
        <f aca="false">IF(OR($B235="", $N235="", $O235="", $T235="", $Z235=""),"",ROUND(($N235*Lists!$AD$16)-($O235*Lists!$AD$17)-($T235*Lists!$AD$18)+($Z235*Lists!$AD$19),2))</f>
        <v/>
      </c>
      <c r="AB235" s="102" t="str">
        <f aca="false">IF(OR($B235="", $N235="", $Z235=""),"",IF($N235&gt;=Lists!$AG$2,IF($Z235&gt;=Lists!$AG$3,"Invest","Migrate"),IF($Z235&gt;=Lists!$AG$3,"Tolerate","Eliminate")))</f>
        <v/>
      </c>
      <c r="AC235" s="102" t="str">
        <f aca="false">IF($B235="","",IF($J235&gt;=4,"Yes",""))</f>
        <v/>
      </c>
      <c r="AD235" s="102" t="str">
        <f aca="false">IF($A235="","",IFERROR(IF(VLOOKUP($A235,'Risk Register'!$B$2:$H$1000,4,FALSE())&gt;=4,"Yes",""),""))</f>
        <v/>
      </c>
      <c r="AE235" s="102" t="str">
        <f aca="false">IF(OR($N235="", $O235=""),"",IF($N235&gt;=Lists!$AG$2,IF($O235&gt;=Lists!$AG$4,"High Value / High Risk","High Value / Low Risk"),IF($O235&gt;=Lists!$AG$4,"Low Value / High Risk","Low Value / Low Risk")))</f>
        <v/>
      </c>
      <c r="AF235" s="101"/>
      <c r="AG235" s="126"/>
      <c r="AH235" s="106" t="str">
        <f aca="false">IF($B235="","",COUNTIFS('Debt Backlog'!$AF$2:$AF$1000,$A235,'Debt Backlog'!$B$2:$B$1000,"&lt;&gt;",'Debt Backlog'!$N$2:$N$1000,"&lt;&gt;Done",'Debt Backlog'!$N$2:$N$1000,"&lt;&gt;Won't Fix",'Debt Backlog'!$N$2:$N$1000,"&lt;&gt;Duplicate"))</f>
        <v/>
      </c>
      <c r="AI235" s="103" t="str">
        <f aca="false">IF($B235="","",ROUND(SUMIFS('Debt Backlog'!$L$2:$L$1000,'Debt Backlog'!$AF$2:$AF$1000,$A235,'Debt Backlog'!$B$2:$B$1000,"&lt;&gt;",'Debt Backlog'!$N$2:$N$1000,"&lt;&gt;Done",'Debt Backlog'!$N$2:$N$1000,"&lt;&gt;Won't Fix",'Debt Backlog'!$N$2:$N$1000,"&lt;&gt;Duplicate"),2))</f>
        <v/>
      </c>
    </row>
    <row r="236" customFormat="false" ht="15.75" hidden="false" customHeight="true" outlineLevel="0" collapsed="false">
      <c r="A236" s="125"/>
      <c r="B236" s="101"/>
      <c r="C236" s="101"/>
      <c r="D236" s="101"/>
      <c r="E236" s="101"/>
      <c r="F236" s="101"/>
      <c r="G236" s="101"/>
      <c r="H236" s="101"/>
      <c r="I236" s="106"/>
      <c r="J236" s="106"/>
      <c r="K236" s="106"/>
      <c r="L236" s="106"/>
      <c r="M236" s="106"/>
      <c r="N236" s="103" t="str">
        <f aca="false">IF(OR($B236="", $I236="", $J236="", $K236="", $L236="", $M236=""),"",ROUND(($I236*Lists!$AD$2)+($J236*Lists!$AD$3)+($K236*Lists!$AD$4)+($L236*Lists!$AD$5)+($M236*Lists!$AD$6),2))</f>
        <v/>
      </c>
      <c r="O236" s="103" t="str">
        <f aca="false">IF($A236="","",IFERROR(VLOOKUP($A236,'Risk Register'!$B$2:$I$1000,8,FALSE()),""))</f>
        <v/>
      </c>
      <c r="P236" s="106"/>
      <c r="Q236" s="106"/>
      <c r="R236" s="106"/>
      <c r="S236" s="106"/>
      <c r="T236" s="103" t="str">
        <f aca="false">IF(OR($B236="", $P236="", $Q236="", $R236="", $S236=""),"",ROUND(($P236*Lists!$AD$7)+($Q236*Lists!$AD$8)+($R236*Lists!$AD$9)+($S236*Lists!$AD$10),2))</f>
        <v/>
      </c>
      <c r="U236" s="106"/>
      <c r="V236" s="106"/>
      <c r="W236" s="106"/>
      <c r="X236" s="106"/>
      <c r="Y236" s="106"/>
      <c r="Z236" s="103" t="str">
        <f aca="false">IF(OR($B236="", $U236="", $V236="", $W236="", $X236="", $Y236=""),"",ROUND(($U236*Lists!$AD$11)+($V236*Lists!$AD$12)+($W236*Lists!$AD$13)+($X236*Lists!$AD$14)+($Y236*Lists!$AD$15),2))</f>
        <v/>
      </c>
      <c r="AA236" s="103" t="str">
        <f aca="false">IF(OR($B236="", $N236="", $O236="", $T236="", $Z236=""),"",ROUND(($N236*Lists!$AD$16)-($O236*Lists!$AD$17)-($T236*Lists!$AD$18)+($Z236*Lists!$AD$19),2))</f>
        <v/>
      </c>
      <c r="AB236" s="102" t="str">
        <f aca="false">IF(OR($B236="", $N236="", $Z236=""),"",IF($N236&gt;=Lists!$AG$2,IF($Z236&gt;=Lists!$AG$3,"Invest","Migrate"),IF($Z236&gt;=Lists!$AG$3,"Tolerate","Eliminate")))</f>
        <v/>
      </c>
      <c r="AC236" s="102" t="str">
        <f aca="false">IF($B236="","",IF($J236&gt;=4,"Yes",""))</f>
        <v/>
      </c>
      <c r="AD236" s="102" t="str">
        <f aca="false">IF($A236="","",IFERROR(IF(VLOOKUP($A236,'Risk Register'!$B$2:$H$1000,4,FALSE())&gt;=4,"Yes",""),""))</f>
        <v/>
      </c>
      <c r="AE236" s="102" t="str">
        <f aca="false">IF(OR($N236="", $O236=""),"",IF($N236&gt;=Lists!$AG$2,IF($O236&gt;=Lists!$AG$4,"High Value / High Risk","High Value / Low Risk"),IF($O236&gt;=Lists!$AG$4,"Low Value / High Risk","Low Value / Low Risk")))</f>
        <v/>
      </c>
      <c r="AF236" s="101"/>
      <c r="AG236" s="126"/>
      <c r="AH236" s="106" t="str">
        <f aca="false">IF($B236="","",COUNTIFS('Debt Backlog'!$AF$2:$AF$1000,$A236,'Debt Backlog'!$B$2:$B$1000,"&lt;&gt;",'Debt Backlog'!$N$2:$N$1000,"&lt;&gt;Done",'Debt Backlog'!$N$2:$N$1000,"&lt;&gt;Won't Fix",'Debt Backlog'!$N$2:$N$1000,"&lt;&gt;Duplicate"))</f>
        <v/>
      </c>
      <c r="AI236" s="103" t="str">
        <f aca="false">IF($B236="","",ROUND(SUMIFS('Debt Backlog'!$L$2:$L$1000,'Debt Backlog'!$AF$2:$AF$1000,$A236,'Debt Backlog'!$B$2:$B$1000,"&lt;&gt;",'Debt Backlog'!$N$2:$N$1000,"&lt;&gt;Done",'Debt Backlog'!$N$2:$N$1000,"&lt;&gt;Won't Fix",'Debt Backlog'!$N$2:$N$1000,"&lt;&gt;Duplicate"),2))</f>
        <v/>
      </c>
    </row>
    <row r="237" customFormat="false" ht="15.75" hidden="false" customHeight="true" outlineLevel="0" collapsed="false">
      <c r="A237" s="125"/>
      <c r="B237" s="101"/>
      <c r="C237" s="101"/>
      <c r="D237" s="101"/>
      <c r="E237" s="101"/>
      <c r="F237" s="101"/>
      <c r="G237" s="101"/>
      <c r="H237" s="101"/>
      <c r="I237" s="106"/>
      <c r="J237" s="106"/>
      <c r="K237" s="106"/>
      <c r="L237" s="106"/>
      <c r="M237" s="106"/>
      <c r="N237" s="103" t="str">
        <f aca="false">IF(OR($B237="", $I237="", $J237="", $K237="", $L237="", $M237=""),"",ROUND(($I237*Lists!$AD$2)+($J237*Lists!$AD$3)+($K237*Lists!$AD$4)+($L237*Lists!$AD$5)+($M237*Lists!$AD$6),2))</f>
        <v/>
      </c>
      <c r="O237" s="103" t="str">
        <f aca="false">IF($A237="","",IFERROR(VLOOKUP($A237,'Risk Register'!$B$2:$I$1000,8,FALSE()),""))</f>
        <v/>
      </c>
      <c r="P237" s="106"/>
      <c r="Q237" s="106"/>
      <c r="R237" s="106"/>
      <c r="S237" s="106"/>
      <c r="T237" s="103" t="str">
        <f aca="false">IF(OR($B237="", $P237="", $Q237="", $R237="", $S237=""),"",ROUND(($P237*Lists!$AD$7)+($Q237*Lists!$AD$8)+($R237*Lists!$AD$9)+($S237*Lists!$AD$10),2))</f>
        <v/>
      </c>
      <c r="U237" s="106"/>
      <c r="V237" s="106"/>
      <c r="W237" s="106"/>
      <c r="X237" s="106"/>
      <c r="Y237" s="106"/>
      <c r="Z237" s="103" t="str">
        <f aca="false">IF(OR($B237="", $U237="", $V237="", $W237="", $X237="", $Y237=""),"",ROUND(($U237*Lists!$AD$11)+($V237*Lists!$AD$12)+($W237*Lists!$AD$13)+($X237*Lists!$AD$14)+($Y237*Lists!$AD$15),2))</f>
        <v/>
      </c>
      <c r="AA237" s="103" t="str">
        <f aca="false">IF(OR($B237="", $N237="", $O237="", $T237="", $Z237=""),"",ROUND(($N237*Lists!$AD$16)-($O237*Lists!$AD$17)-($T237*Lists!$AD$18)+($Z237*Lists!$AD$19),2))</f>
        <v/>
      </c>
      <c r="AB237" s="102" t="str">
        <f aca="false">IF(OR($B237="", $N237="", $Z237=""),"",IF($N237&gt;=Lists!$AG$2,IF($Z237&gt;=Lists!$AG$3,"Invest","Migrate"),IF($Z237&gt;=Lists!$AG$3,"Tolerate","Eliminate")))</f>
        <v/>
      </c>
      <c r="AC237" s="102" t="str">
        <f aca="false">IF($B237="","",IF($J237&gt;=4,"Yes",""))</f>
        <v/>
      </c>
      <c r="AD237" s="102" t="str">
        <f aca="false">IF($A237="","",IFERROR(IF(VLOOKUP($A237,'Risk Register'!$B$2:$H$1000,4,FALSE())&gt;=4,"Yes",""),""))</f>
        <v/>
      </c>
      <c r="AE237" s="102" t="str">
        <f aca="false">IF(OR($N237="", $O237=""),"",IF($N237&gt;=Lists!$AG$2,IF($O237&gt;=Lists!$AG$4,"High Value / High Risk","High Value / Low Risk"),IF($O237&gt;=Lists!$AG$4,"Low Value / High Risk","Low Value / Low Risk")))</f>
        <v/>
      </c>
      <c r="AF237" s="101"/>
      <c r="AG237" s="126"/>
      <c r="AH237" s="106" t="str">
        <f aca="false">IF($B237="","",COUNTIFS('Debt Backlog'!$AF$2:$AF$1000,$A237,'Debt Backlog'!$B$2:$B$1000,"&lt;&gt;",'Debt Backlog'!$N$2:$N$1000,"&lt;&gt;Done",'Debt Backlog'!$N$2:$N$1000,"&lt;&gt;Won't Fix",'Debt Backlog'!$N$2:$N$1000,"&lt;&gt;Duplicate"))</f>
        <v/>
      </c>
      <c r="AI237" s="103" t="str">
        <f aca="false">IF($B237="","",ROUND(SUMIFS('Debt Backlog'!$L$2:$L$1000,'Debt Backlog'!$AF$2:$AF$1000,$A237,'Debt Backlog'!$B$2:$B$1000,"&lt;&gt;",'Debt Backlog'!$N$2:$N$1000,"&lt;&gt;Done",'Debt Backlog'!$N$2:$N$1000,"&lt;&gt;Won't Fix",'Debt Backlog'!$N$2:$N$1000,"&lt;&gt;Duplicate"),2))</f>
        <v/>
      </c>
    </row>
    <row r="238" customFormat="false" ht="15.75" hidden="false" customHeight="true" outlineLevel="0" collapsed="false">
      <c r="A238" s="125"/>
      <c r="B238" s="101"/>
      <c r="C238" s="101"/>
      <c r="D238" s="101"/>
      <c r="E238" s="101"/>
      <c r="F238" s="101"/>
      <c r="G238" s="101"/>
      <c r="H238" s="101"/>
      <c r="I238" s="106"/>
      <c r="J238" s="106"/>
      <c r="K238" s="106"/>
      <c r="L238" s="106"/>
      <c r="M238" s="106"/>
      <c r="N238" s="103" t="str">
        <f aca="false">IF(OR($B238="", $I238="", $J238="", $K238="", $L238="", $M238=""),"",ROUND(($I238*Lists!$AD$2)+($J238*Lists!$AD$3)+($K238*Lists!$AD$4)+($L238*Lists!$AD$5)+($M238*Lists!$AD$6),2))</f>
        <v/>
      </c>
      <c r="O238" s="103" t="str">
        <f aca="false">IF($A238="","",IFERROR(VLOOKUP($A238,'Risk Register'!$B$2:$I$1000,8,FALSE()),""))</f>
        <v/>
      </c>
      <c r="P238" s="106"/>
      <c r="Q238" s="106"/>
      <c r="R238" s="106"/>
      <c r="S238" s="106"/>
      <c r="T238" s="103" t="str">
        <f aca="false">IF(OR($B238="", $P238="", $Q238="", $R238="", $S238=""),"",ROUND(($P238*Lists!$AD$7)+($Q238*Lists!$AD$8)+($R238*Lists!$AD$9)+($S238*Lists!$AD$10),2))</f>
        <v/>
      </c>
      <c r="U238" s="106"/>
      <c r="V238" s="106"/>
      <c r="W238" s="106"/>
      <c r="X238" s="106"/>
      <c r="Y238" s="106"/>
      <c r="Z238" s="103" t="str">
        <f aca="false">IF(OR($B238="", $U238="", $V238="", $W238="", $X238="", $Y238=""),"",ROUND(($U238*Lists!$AD$11)+($V238*Lists!$AD$12)+($W238*Lists!$AD$13)+($X238*Lists!$AD$14)+($Y238*Lists!$AD$15),2))</f>
        <v/>
      </c>
      <c r="AA238" s="103" t="str">
        <f aca="false">IF(OR($B238="", $N238="", $O238="", $T238="", $Z238=""),"",ROUND(($N238*Lists!$AD$16)-($O238*Lists!$AD$17)-($T238*Lists!$AD$18)+($Z238*Lists!$AD$19),2))</f>
        <v/>
      </c>
      <c r="AB238" s="102" t="str">
        <f aca="false">IF(OR($B238="", $N238="", $Z238=""),"",IF($N238&gt;=Lists!$AG$2,IF($Z238&gt;=Lists!$AG$3,"Invest","Migrate"),IF($Z238&gt;=Lists!$AG$3,"Tolerate","Eliminate")))</f>
        <v/>
      </c>
      <c r="AC238" s="102" t="str">
        <f aca="false">IF($B238="","",IF($J238&gt;=4,"Yes",""))</f>
        <v/>
      </c>
      <c r="AD238" s="102" t="str">
        <f aca="false">IF($A238="","",IFERROR(IF(VLOOKUP($A238,'Risk Register'!$B$2:$H$1000,4,FALSE())&gt;=4,"Yes",""),""))</f>
        <v/>
      </c>
      <c r="AE238" s="102" t="str">
        <f aca="false">IF(OR($N238="", $O238=""),"",IF($N238&gt;=Lists!$AG$2,IF($O238&gt;=Lists!$AG$4,"High Value / High Risk","High Value / Low Risk"),IF($O238&gt;=Lists!$AG$4,"Low Value / High Risk","Low Value / Low Risk")))</f>
        <v/>
      </c>
      <c r="AF238" s="101"/>
      <c r="AG238" s="126"/>
      <c r="AH238" s="106" t="str">
        <f aca="false">IF($B238="","",COUNTIFS('Debt Backlog'!$AF$2:$AF$1000,$A238,'Debt Backlog'!$B$2:$B$1000,"&lt;&gt;",'Debt Backlog'!$N$2:$N$1000,"&lt;&gt;Done",'Debt Backlog'!$N$2:$N$1000,"&lt;&gt;Won't Fix",'Debt Backlog'!$N$2:$N$1000,"&lt;&gt;Duplicate"))</f>
        <v/>
      </c>
      <c r="AI238" s="103" t="str">
        <f aca="false">IF($B238="","",ROUND(SUMIFS('Debt Backlog'!$L$2:$L$1000,'Debt Backlog'!$AF$2:$AF$1000,$A238,'Debt Backlog'!$B$2:$B$1000,"&lt;&gt;",'Debt Backlog'!$N$2:$N$1000,"&lt;&gt;Done",'Debt Backlog'!$N$2:$N$1000,"&lt;&gt;Won't Fix",'Debt Backlog'!$N$2:$N$1000,"&lt;&gt;Duplicate"),2))</f>
        <v/>
      </c>
    </row>
    <row r="239" customFormat="false" ht="15.75" hidden="false" customHeight="true" outlineLevel="0" collapsed="false">
      <c r="A239" s="125"/>
      <c r="B239" s="101"/>
      <c r="C239" s="101"/>
      <c r="D239" s="101"/>
      <c r="E239" s="101"/>
      <c r="F239" s="101"/>
      <c r="G239" s="101"/>
      <c r="H239" s="101"/>
      <c r="I239" s="106"/>
      <c r="J239" s="106"/>
      <c r="K239" s="106"/>
      <c r="L239" s="106"/>
      <c r="M239" s="106"/>
      <c r="N239" s="103" t="str">
        <f aca="false">IF(OR($B239="", $I239="", $J239="", $K239="", $L239="", $M239=""),"",ROUND(($I239*Lists!$AD$2)+($J239*Lists!$AD$3)+($K239*Lists!$AD$4)+($L239*Lists!$AD$5)+($M239*Lists!$AD$6),2))</f>
        <v/>
      </c>
      <c r="O239" s="103" t="str">
        <f aca="false">IF($A239="","",IFERROR(VLOOKUP($A239,'Risk Register'!$B$2:$I$1000,8,FALSE()),""))</f>
        <v/>
      </c>
      <c r="P239" s="106"/>
      <c r="Q239" s="106"/>
      <c r="R239" s="106"/>
      <c r="S239" s="106"/>
      <c r="T239" s="103" t="str">
        <f aca="false">IF(OR($B239="", $P239="", $Q239="", $R239="", $S239=""),"",ROUND(($P239*Lists!$AD$7)+($Q239*Lists!$AD$8)+($R239*Lists!$AD$9)+($S239*Lists!$AD$10),2))</f>
        <v/>
      </c>
      <c r="U239" s="106"/>
      <c r="V239" s="106"/>
      <c r="W239" s="106"/>
      <c r="X239" s="106"/>
      <c r="Y239" s="106"/>
      <c r="Z239" s="103" t="str">
        <f aca="false">IF(OR($B239="", $U239="", $V239="", $W239="", $X239="", $Y239=""),"",ROUND(($U239*Lists!$AD$11)+($V239*Lists!$AD$12)+($W239*Lists!$AD$13)+($X239*Lists!$AD$14)+($Y239*Lists!$AD$15),2))</f>
        <v/>
      </c>
      <c r="AA239" s="103" t="str">
        <f aca="false">IF(OR($B239="", $N239="", $O239="", $T239="", $Z239=""),"",ROUND(($N239*Lists!$AD$16)-($O239*Lists!$AD$17)-($T239*Lists!$AD$18)+($Z239*Lists!$AD$19),2))</f>
        <v/>
      </c>
      <c r="AB239" s="102" t="str">
        <f aca="false">IF(OR($B239="", $N239="", $Z239=""),"",IF($N239&gt;=Lists!$AG$2,IF($Z239&gt;=Lists!$AG$3,"Invest","Migrate"),IF($Z239&gt;=Lists!$AG$3,"Tolerate","Eliminate")))</f>
        <v/>
      </c>
      <c r="AC239" s="102" t="str">
        <f aca="false">IF($B239="","",IF($J239&gt;=4,"Yes",""))</f>
        <v/>
      </c>
      <c r="AD239" s="102" t="str">
        <f aca="false">IF($A239="","",IFERROR(IF(VLOOKUP($A239,'Risk Register'!$B$2:$H$1000,4,FALSE())&gt;=4,"Yes",""),""))</f>
        <v/>
      </c>
      <c r="AE239" s="102" t="str">
        <f aca="false">IF(OR($N239="", $O239=""),"",IF($N239&gt;=Lists!$AG$2,IF($O239&gt;=Lists!$AG$4,"High Value / High Risk","High Value / Low Risk"),IF($O239&gt;=Lists!$AG$4,"Low Value / High Risk","Low Value / Low Risk")))</f>
        <v/>
      </c>
      <c r="AF239" s="101"/>
      <c r="AG239" s="126"/>
      <c r="AH239" s="106" t="str">
        <f aca="false">IF($B239="","",COUNTIFS('Debt Backlog'!$AF$2:$AF$1000,$A239,'Debt Backlog'!$B$2:$B$1000,"&lt;&gt;",'Debt Backlog'!$N$2:$N$1000,"&lt;&gt;Done",'Debt Backlog'!$N$2:$N$1000,"&lt;&gt;Won't Fix",'Debt Backlog'!$N$2:$N$1000,"&lt;&gt;Duplicate"))</f>
        <v/>
      </c>
      <c r="AI239" s="103" t="str">
        <f aca="false">IF($B239="","",ROUND(SUMIFS('Debt Backlog'!$L$2:$L$1000,'Debt Backlog'!$AF$2:$AF$1000,$A239,'Debt Backlog'!$B$2:$B$1000,"&lt;&gt;",'Debt Backlog'!$N$2:$N$1000,"&lt;&gt;Done",'Debt Backlog'!$N$2:$N$1000,"&lt;&gt;Won't Fix",'Debt Backlog'!$N$2:$N$1000,"&lt;&gt;Duplicate"),2))</f>
        <v/>
      </c>
    </row>
    <row r="240" customFormat="false" ht="15.75" hidden="false" customHeight="true" outlineLevel="0" collapsed="false">
      <c r="A240" s="125"/>
      <c r="B240" s="101"/>
      <c r="C240" s="101"/>
      <c r="D240" s="101"/>
      <c r="E240" s="101"/>
      <c r="F240" s="101"/>
      <c r="G240" s="101"/>
      <c r="H240" s="101"/>
      <c r="I240" s="106"/>
      <c r="J240" s="106"/>
      <c r="K240" s="106"/>
      <c r="L240" s="106"/>
      <c r="M240" s="106"/>
      <c r="N240" s="103" t="str">
        <f aca="false">IF(OR($B240="", $I240="", $J240="", $K240="", $L240="", $M240=""),"",ROUND(($I240*Lists!$AD$2)+($J240*Lists!$AD$3)+($K240*Lists!$AD$4)+($L240*Lists!$AD$5)+($M240*Lists!$AD$6),2))</f>
        <v/>
      </c>
      <c r="O240" s="103" t="str">
        <f aca="false">IF($A240="","",IFERROR(VLOOKUP($A240,'Risk Register'!$B$2:$I$1000,8,FALSE()),""))</f>
        <v/>
      </c>
      <c r="P240" s="106"/>
      <c r="Q240" s="106"/>
      <c r="R240" s="106"/>
      <c r="S240" s="106"/>
      <c r="T240" s="103" t="str">
        <f aca="false">IF(OR($B240="", $P240="", $Q240="", $R240="", $S240=""),"",ROUND(($P240*Lists!$AD$7)+($Q240*Lists!$AD$8)+($R240*Lists!$AD$9)+($S240*Lists!$AD$10),2))</f>
        <v/>
      </c>
      <c r="U240" s="106"/>
      <c r="V240" s="106"/>
      <c r="W240" s="106"/>
      <c r="X240" s="106"/>
      <c r="Y240" s="106"/>
      <c r="Z240" s="103" t="str">
        <f aca="false">IF(OR($B240="", $U240="", $V240="", $W240="", $X240="", $Y240=""),"",ROUND(($U240*Lists!$AD$11)+($V240*Lists!$AD$12)+($W240*Lists!$AD$13)+($X240*Lists!$AD$14)+($Y240*Lists!$AD$15),2))</f>
        <v/>
      </c>
      <c r="AA240" s="103" t="str">
        <f aca="false">IF(OR($B240="", $N240="", $O240="", $T240="", $Z240=""),"",ROUND(($N240*Lists!$AD$16)-($O240*Lists!$AD$17)-($T240*Lists!$AD$18)+($Z240*Lists!$AD$19),2))</f>
        <v/>
      </c>
      <c r="AB240" s="102" t="str">
        <f aca="false">IF(OR($B240="", $N240="", $Z240=""),"",IF($N240&gt;=Lists!$AG$2,IF($Z240&gt;=Lists!$AG$3,"Invest","Migrate"),IF($Z240&gt;=Lists!$AG$3,"Tolerate","Eliminate")))</f>
        <v/>
      </c>
      <c r="AC240" s="102" t="str">
        <f aca="false">IF($B240="","",IF($J240&gt;=4,"Yes",""))</f>
        <v/>
      </c>
      <c r="AD240" s="102" t="str">
        <f aca="false">IF($A240="","",IFERROR(IF(VLOOKUP($A240,'Risk Register'!$B$2:$H$1000,4,FALSE())&gt;=4,"Yes",""),""))</f>
        <v/>
      </c>
      <c r="AE240" s="102" t="str">
        <f aca="false">IF(OR($N240="", $O240=""),"",IF($N240&gt;=Lists!$AG$2,IF($O240&gt;=Lists!$AG$4,"High Value / High Risk","High Value / Low Risk"),IF($O240&gt;=Lists!$AG$4,"Low Value / High Risk","Low Value / Low Risk")))</f>
        <v/>
      </c>
      <c r="AF240" s="101"/>
      <c r="AG240" s="126"/>
      <c r="AH240" s="106" t="str">
        <f aca="false">IF($B240="","",COUNTIFS('Debt Backlog'!$AF$2:$AF$1000,$A240,'Debt Backlog'!$B$2:$B$1000,"&lt;&gt;",'Debt Backlog'!$N$2:$N$1000,"&lt;&gt;Done",'Debt Backlog'!$N$2:$N$1000,"&lt;&gt;Won't Fix",'Debt Backlog'!$N$2:$N$1000,"&lt;&gt;Duplicate"))</f>
        <v/>
      </c>
      <c r="AI240" s="103" t="str">
        <f aca="false">IF($B240="","",ROUND(SUMIFS('Debt Backlog'!$L$2:$L$1000,'Debt Backlog'!$AF$2:$AF$1000,$A240,'Debt Backlog'!$B$2:$B$1000,"&lt;&gt;",'Debt Backlog'!$N$2:$N$1000,"&lt;&gt;Done",'Debt Backlog'!$N$2:$N$1000,"&lt;&gt;Won't Fix",'Debt Backlog'!$N$2:$N$1000,"&lt;&gt;Duplicate"),2))</f>
        <v/>
      </c>
    </row>
    <row r="241" customFormat="false" ht="15.75" hidden="false" customHeight="true" outlineLevel="0" collapsed="false">
      <c r="A241" s="125"/>
      <c r="B241" s="101"/>
      <c r="C241" s="101"/>
      <c r="D241" s="101"/>
      <c r="E241" s="101"/>
      <c r="F241" s="101"/>
      <c r="G241" s="101"/>
      <c r="H241" s="101"/>
      <c r="I241" s="106"/>
      <c r="J241" s="106"/>
      <c r="K241" s="106"/>
      <c r="L241" s="106"/>
      <c r="M241" s="106"/>
      <c r="N241" s="103" t="str">
        <f aca="false">IF(OR($B241="", $I241="", $J241="", $K241="", $L241="", $M241=""),"",ROUND(($I241*Lists!$AD$2)+($J241*Lists!$AD$3)+($K241*Lists!$AD$4)+($L241*Lists!$AD$5)+($M241*Lists!$AD$6),2))</f>
        <v/>
      </c>
      <c r="O241" s="103" t="str">
        <f aca="false">IF($A241="","",IFERROR(VLOOKUP($A241,'Risk Register'!$B$2:$I$1000,8,FALSE()),""))</f>
        <v/>
      </c>
      <c r="P241" s="106"/>
      <c r="Q241" s="106"/>
      <c r="R241" s="106"/>
      <c r="S241" s="106"/>
      <c r="T241" s="103" t="str">
        <f aca="false">IF(OR($B241="", $P241="", $Q241="", $R241="", $S241=""),"",ROUND(($P241*Lists!$AD$7)+($Q241*Lists!$AD$8)+($R241*Lists!$AD$9)+($S241*Lists!$AD$10),2))</f>
        <v/>
      </c>
      <c r="U241" s="106"/>
      <c r="V241" s="106"/>
      <c r="W241" s="106"/>
      <c r="X241" s="106"/>
      <c r="Y241" s="106"/>
      <c r="Z241" s="103" t="str">
        <f aca="false">IF(OR($B241="", $U241="", $V241="", $W241="", $X241="", $Y241=""),"",ROUND(($U241*Lists!$AD$11)+($V241*Lists!$AD$12)+($W241*Lists!$AD$13)+($X241*Lists!$AD$14)+($Y241*Lists!$AD$15),2))</f>
        <v/>
      </c>
      <c r="AA241" s="103" t="str">
        <f aca="false">IF(OR($B241="", $N241="", $O241="", $T241="", $Z241=""),"",ROUND(($N241*Lists!$AD$16)-($O241*Lists!$AD$17)-($T241*Lists!$AD$18)+($Z241*Lists!$AD$19),2))</f>
        <v/>
      </c>
      <c r="AB241" s="102" t="str">
        <f aca="false">IF(OR($B241="", $N241="", $Z241=""),"",IF($N241&gt;=Lists!$AG$2,IF($Z241&gt;=Lists!$AG$3,"Invest","Migrate"),IF($Z241&gt;=Lists!$AG$3,"Tolerate","Eliminate")))</f>
        <v/>
      </c>
      <c r="AC241" s="102" t="str">
        <f aca="false">IF($B241="","",IF($J241&gt;=4,"Yes",""))</f>
        <v/>
      </c>
      <c r="AD241" s="102" t="str">
        <f aca="false">IF($A241="","",IFERROR(IF(VLOOKUP($A241,'Risk Register'!$B$2:$H$1000,4,FALSE())&gt;=4,"Yes",""),""))</f>
        <v/>
      </c>
      <c r="AE241" s="102" t="str">
        <f aca="false">IF(OR($N241="", $O241=""),"",IF($N241&gt;=Lists!$AG$2,IF($O241&gt;=Lists!$AG$4,"High Value / High Risk","High Value / Low Risk"),IF($O241&gt;=Lists!$AG$4,"Low Value / High Risk","Low Value / Low Risk")))</f>
        <v/>
      </c>
      <c r="AF241" s="101"/>
      <c r="AG241" s="126"/>
      <c r="AH241" s="106" t="str">
        <f aca="false">IF($B241="","",COUNTIFS('Debt Backlog'!$AF$2:$AF$1000,$A241,'Debt Backlog'!$B$2:$B$1000,"&lt;&gt;",'Debt Backlog'!$N$2:$N$1000,"&lt;&gt;Done",'Debt Backlog'!$N$2:$N$1000,"&lt;&gt;Won't Fix",'Debt Backlog'!$N$2:$N$1000,"&lt;&gt;Duplicate"))</f>
        <v/>
      </c>
      <c r="AI241" s="103" t="str">
        <f aca="false">IF($B241="","",ROUND(SUMIFS('Debt Backlog'!$L$2:$L$1000,'Debt Backlog'!$AF$2:$AF$1000,$A241,'Debt Backlog'!$B$2:$B$1000,"&lt;&gt;",'Debt Backlog'!$N$2:$N$1000,"&lt;&gt;Done",'Debt Backlog'!$N$2:$N$1000,"&lt;&gt;Won't Fix",'Debt Backlog'!$N$2:$N$1000,"&lt;&gt;Duplicate"),2))</f>
        <v/>
      </c>
    </row>
    <row r="242" customFormat="false" ht="15.75" hidden="false" customHeight="true" outlineLevel="0" collapsed="false">
      <c r="A242" s="125"/>
      <c r="B242" s="101"/>
      <c r="C242" s="101"/>
      <c r="D242" s="101"/>
      <c r="E242" s="101"/>
      <c r="F242" s="101"/>
      <c r="G242" s="101"/>
      <c r="H242" s="101"/>
      <c r="I242" s="106"/>
      <c r="J242" s="106"/>
      <c r="K242" s="106"/>
      <c r="L242" s="106"/>
      <c r="M242" s="106"/>
      <c r="N242" s="103" t="str">
        <f aca="false">IF(OR($B242="", $I242="", $J242="", $K242="", $L242="", $M242=""),"",ROUND(($I242*Lists!$AD$2)+($J242*Lists!$AD$3)+($K242*Lists!$AD$4)+($L242*Lists!$AD$5)+($M242*Lists!$AD$6),2))</f>
        <v/>
      </c>
      <c r="O242" s="103" t="str">
        <f aca="false">IF($A242="","",IFERROR(VLOOKUP($A242,'Risk Register'!$B$2:$I$1000,8,FALSE()),""))</f>
        <v/>
      </c>
      <c r="P242" s="106"/>
      <c r="Q242" s="106"/>
      <c r="R242" s="106"/>
      <c r="S242" s="106"/>
      <c r="T242" s="103" t="str">
        <f aca="false">IF(OR($B242="", $P242="", $Q242="", $R242="", $S242=""),"",ROUND(($P242*Lists!$AD$7)+($Q242*Lists!$AD$8)+($R242*Lists!$AD$9)+($S242*Lists!$AD$10),2))</f>
        <v/>
      </c>
      <c r="U242" s="106"/>
      <c r="V242" s="106"/>
      <c r="W242" s="106"/>
      <c r="X242" s="106"/>
      <c r="Y242" s="106"/>
      <c r="Z242" s="103" t="str">
        <f aca="false">IF(OR($B242="", $U242="", $V242="", $W242="", $X242="", $Y242=""),"",ROUND(($U242*Lists!$AD$11)+($V242*Lists!$AD$12)+($W242*Lists!$AD$13)+($X242*Lists!$AD$14)+($Y242*Lists!$AD$15),2))</f>
        <v/>
      </c>
      <c r="AA242" s="103" t="str">
        <f aca="false">IF(OR($B242="", $N242="", $O242="", $T242="", $Z242=""),"",ROUND(($N242*Lists!$AD$16)-($O242*Lists!$AD$17)-($T242*Lists!$AD$18)+($Z242*Lists!$AD$19),2))</f>
        <v/>
      </c>
      <c r="AB242" s="102" t="str">
        <f aca="false">IF(OR($B242="", $N242="", $Z242=""),"",IF($N242&gt;=Lists!$AG$2,IF($Z242&gt;=Lists!$AG$3,"Invest","Migrate"),IF($Z242&gt;=Lists!$AG$3,"Tolerate","Eliminate")))</f>
        <v/>
      </c>
      <c r="AC242" s="102" t="str">
        <f aca="false">IF($B242="","",IF($J242&gt;=4,"Yes",""))</f>
        <v/>
      </c>
      <c r="AD242" s="102" t="str">
        <f aca="false">IF($A242="","",IFERROR(IF(VLOOKUP($A242,'Risk Register'!$B$2:$H$1000,4,FALSE())&gt;=4,"Yes",""),""))</f>
        <v/>
      </c>
      <c r="AE242" s="102" t="str">
        <f aca="false">IF(OR($N242="", $O242=""),"",IF($N242&gt;=Lists!$AG$2,IF($O242&gt;=Lists!$AG$4,"High Value / High Risk","High Value / Low Risk"),IF($O242&gt;=Lists!$AG$4,"Low Value / High Risk","Low Value / Low Risk")))</f>
        <v/>
      </c>
      <c r="AF242" s="101"/>
      <c r="AG242" s="126"/>
      <c r="AH242" s="106" t="str">
        <f aca="false">IF($B242="","",COUNTIFS('Debt Backlog'!$AF$2:$AF$1000,$A242,'Debt Backlog'!$B$2:$B$1000,"&lt;&gt;",'Debt Backlog'!$N$2:$N$1000,"&lt;&gt;Done",'Debt Backlog'!$N$2:$N$1000,"&lt;&gt;Won't Fix",'Debt Backlog'!$N$2:$N$1000,"&lt;&gt;Duplicate"))</f>
        <v/>
      </c>
      <c r="AI242" s="103" t="str">
        <f aca="false">IF($B242="","",ROUND(SUMIFS('Debt Backlog'!$L$2:$L$1000,'Debt Backlog'!$AF$2:$AF$1000,$A242,'Debt Backlog'!$B$2:$B$1000,"&lt;&gt;",'Debt Backlog'!$N$2:$N$1000,"&lt;&gt;Done",'Debt Backlog'!$N$2:$N$1000,"&lt;&gt;Won't Fix",'Debt Backlog'!$N$2:$N$1000,"&lt;&gt;Duplicate"),2))</f>
        <v/>
      </c>
    </row>
    <row r="243" customFormat="false" ht="15.75" hidden="false" customHeight="true" outlineLevel="0" collapsed="false">
      <c r="A243" s="125"/>
      <c r="B243" s="101"/>
      <c r="C243" s="101"/>
      <c r="D243" s="101"/>
      <c r="E243" s="101"/>
      <c r="F243" s="101"/>
      <c r="G243" s="101"/>
      <c r="H243" s="101"/>
      <c r="I243" s="106"/>
      <c r="J243" s="106"/>
      <c r="K243" s="106"/>
      <c r="L243" s="106"/>
      <c r="M243" s="106"/>
      <c r="N243" s="103" t="str">
        <f aca="false">IF(OR($B243="", $I243="", $J243="", $K243="", $L243="", $M243=""),"",ROUND(($I243*Lists!$AD$2)+($J243*Lists!$AD$3)+($K243*Lists!$AD$4)+($L243*Lists!$AD$5)+($M243*Lists!$AD$6),2))</f>
        <v/>
      </c>
      <c r="O243" s="103" t="str">
        <f aca="false">IF($A243="","",IFERROR(VLOOKUP($A243,'Risk Register'!$B$2:$I$1000,8,FALSE()),""))</f>
        <v/>
      </c>
      <c r="P243" s="106"/>
      <c r="Q243" s="106"/>
      <c r="R243" s="106"/>
      <c r="S243" s="106"/>
      <c r="T243" s="103" t="str">
        <f aca="false">IF(OR($B243="", $P243="", $Q243="", $R243="", $S243=""),"",ROUND(($P243*Lists!$AD$7)+($Q243*Lists!$AD$8)+($R243*Lists!$AD$9)+($S243*Lists!$AD$10),2))</f>
        <v/>
      </c>
      <c r="U243" s="106"/>
      <c r="V243" s="106"/>
      <c r="W243" s="106"/>
      <c r="X243" s="106"/>
      <c r="Y243" s="106"/>
      <c r="Z243" s="103" t="str">
        <f aca="false">IF(OR($B243="", $U243="", $V243="", $W243="", $X243="", $Y243=""),"",ROUND(($U243*Lists!$AD$11)+($V243*Lists!$AD$12)+($W243*Lists!$AD$13)+($X243*Lists!$AD$14)+($Y243*Lists!$AD$15),2))</f>
        <v/>
      </c>
      <c r="AA243" s="103" t="str">
        <f aca="false">IF(OR($B243="", $N243="", $O243="", $T243="", $Z243=""),"",ROUND(($N243*Lists!$AD$16)-($O243*Lists!$AD$17)-($T243*Lists!$AD$18)+($Z243*Lists!$AD$19),2))</f>
        <v/>
      </c>
      <c r="AB243" s="102" t="str">
        <f aca="false">IF(OR($B243="", $N243="", $Z243=""),"",IF($N243&gt;=Lists!$AG$2,IF($Z243&gt;=Lists!$AG$3,"Invest","Migrate"),IF($Z243&gt;=Lists!$AG$3,"Tolerate","Eliminate")))</f>
        <v/>
      </c>
      <c r="AC243" s="102" t="str">
        <f aca="false">IF($B243="","",IF($J243&gt;=4,"Yes",""))</f>
        <v/>
      </c>
      <c r="AD243" s="102" t="str">
        <f aca="false">IF($A243="","",IFERROR(IF(VLOOKUP($A243,'Risk Register'!$B$2:$H$1000,4,FALSE())&gt;=4,"Yes",""),""))</f>
        <v/>
      </c>
      <c r="AE243" s="102" t="str">
        <f aca="false">IF(OR($N243="", $O243=""),"",IF($N243&gt;=Lists!$AG$2,IF($O243&gt;=Lists!$AG$4,"High Value / High Risk","High Value / Low Risk"),IF($O243&gt;=Lists!$AG$4,"Low Value / High Risk","Low Value / Low Risk")))</f>
        <v/>
      </c>
      <c r="AF243" s="101"/>
      <c r="AG243" s="126"/>
      <c r="AH243" s="106" t="str">
        <f aca="false">IF($B243="","",COUNTIFS('Debt Backlog'!$AF$2:$AF$1000,$A243,'Debt Backlog'!$B$2:$B$1000,"&lt;&gt;",'Debt Backlog'!$N$2:$N$1000,"&lt;&gt;Done",'Debt Backlog'!$N$2:$N$1000,"&lt;&gt;Won't Fix",'Debt Backlog'!$N$2:$N$1000,"&lt;&gt;Duplicate"))</f>
        <v/>
      </c>
      <c r="AI243" s="103" t="str">
        <f aca="false">IF($B243="","",ROUND(SUMIFS('Debt Backlog'!$L$2:$L$1000,'Debt Backlog'!$AF$2:$AF$1000,$A243,'Debt Backlog'!$B$2:$B$1000,"&lt;&gt;",'Debt Backlog'!$N$2:$N$1000,"&lt;&gt;Done",'Debt Backlog'!$N$2:$N$1000,"&lt;&gt;Won't Fix",'Debt Backlog'!$N$2:$N$1000,"&lt;&gt;Duplicate"),2))</f>
        <v/>
      </c>
    </row>
    <row r="244" customFormat="false" ht="15.75" hidden="false" customHeight="true" outlineLevel="0" collapsed="false">
      <c r="A244" s="125"/>
      <c r="B244" s="101"/>
      <c r="C244" s="101"/>
      <c r="D244" s="101"/>
      <c r="E244" s="101"/>
      <c r="F244" s="101"/>
      <c r="G244" s="101"/>
      <c r="H244" s="101"/>
      <c r="I244" s="106"/>
      <c r="J244" s="106"/>
      <c r="K244" s="106"/>
      <c r="L244" s="106"/>
      <c r="M244" s="106"/>
      <c r="N244" s="103" t="str">
        <f aca="false">IF(OR($B244="", $I244="", $J244="", $K244="", $L244="", $M244=""),"",ROUND(($I244*Lists!$AD$2)+($J244*Lists!$AD$3)+($K244*Lists!$AD$4)+($L244*Lists!$AD$5)+($M244*Lists!$AD$6),2))</f>
        <v/>
      </c>
      <c r="O244" s="103" t="str">
        <f aca="false">IF($A244="","",IFERROR(VLOOKUP($A244,'Risk Register'!$B$2:$I$1000,8,FALSE()),""))</f>
        <v/>
      </c>
      <c r="P244" s="106"/>
      <c r="Q244" s="106"/>
      <c r="R244" s="106"/>
      <c r="S244" s="106"/>
      <c r="T244" s="103" t="str">
        <f aca="false">IF(OR($B244="", $P244="", $Q244="", $R244="", $S244=""),"",ROUND(($P244*Lists!$AD$7)+($Q244*Lists!$AD$8)+($R244*Lists!$AD$9)+($S244*Lists!$AD$10),2))</f>
        <v/>
      </c>
      <c r="U244" s="106"/>
      <c r="V244" s="106"/>
      <c r="W244" s="106"/>
      <c r="X244" s="106"/>
      <c r="Y244" s="106"/>
      <c r="Z244" s="103" t="str">
        <f aca="false">IF(OR($B244="", $U244="", $V244="", $W244="", $X244="", $Y244=""),"",ROUND(($U244*Lists!$AD$11)+($V244*Lists!$AD$12)+($W244*Lists!$AD$13)+($X244*Lists!$AD$14)+($Y244*Lists!$AD$15),2))</f>
        <v/>
      </c>
      <c r="AA244" s="103" t="str">
        <f aca="false">IF(OR($B244="", $N244="", $O244="", $T244="", $Z244=""),"",ROUND(($N244*Lists!$AD$16)-($O244*Lists!$AD$17)-($T244*Lists!$AD$18)+($Z244*Lists!$AD$19),2))</f>
        <v/>
      </c>
      <c r="AB244" s="102" t="str">
        <f aca="false">IF(OR($B244="", $N244="", $Z244=""),"",IF($N244&gt;=Lists!$AG$2,IF($Z244&gt;=Lists!$AG$3,"Invest","Migrate"),IF($Z244&gt;=Lists!$AG$3,"Tolerate","Eliminate")))</f>
        <v/>
      </c>
      <c r="AC244" s="102" t="str">
        <f aca="false">IF($B244="","",IF($J244&gt;=4,"Yes",""))</f>
        <v/>
      </c>
      <c r="AD244" s="102" t="str">
        <f aca="false">IF($A244="","",IFERROR(IF(VLOOKUP($A244,'Risk Register'!$B$2:$H$1000,4,FALSE())&gt;=4,"Yes",""),""))</f>
        <v/>
      </c>
      <c r="AE244" s="102" t="str">
        <f aca="false">IF(OR($N244="", $O244=""),"",IF($N244&gt;=Lists!$AG$2,IF($O244&gt;=Lists!$AG$4,"High Value / High Risk","High Value / Low Risk"),IF($O244&gt;=Lists!$AG$4,"Low Value / High Risk","Low Value / Low Risk")))</f>
        <v/>
      </c>
      <c r="AF244" s="101"/>
      <c r="AG244" s="126"/>
      <c r="AH244" s="106" t="str">
        <f aca="false">IF($B244="","",COUNTIFS('Debt Backlog'!$AF$2:$AF$1000,$A244,'Debt Backlog'!$B$2:$B$1000,"&lt;&gt;",'Debt Backlog'!$N$2:$N$1000,"&lt;&gt;Done",'Debt Backlog'!$N$2:$N$1000,"&lt;&gt;Won't Fix",'Debt Backlog'!$N$2:$N$1000,"&lt;&gt;Duplicate"))</f>
        <v/>
      </c>
      <c r="AI244" s="103" t="str">
        <f aca="false">IF($B244="","",ROUND(SUMIFS('Debt Backlog'!$L$2:$L$1000,'Debt Backlog'!$AF$2:$AF$1000,$A244,'Debt Backlog'!$B$2:$B$1000,"&lt;&gt;",'Debt Backlog'!$N$2:$N$1000,"&lt;&gt;Done",'Debt Backlog'!$N$2:$N$1000,"&lt;&gt;Won't Fix",'Debt Backlog'!$N$2:$N$1000,"&lt;&gt;Duplicate"),2))</f>
        <v/>
      </c>
    </row>
    <row r="245" customFormat="false" ht="15.75" hidden="false" customHeight="true" outlineLevel="0" collapsed="false">
      <c r="A245" s="125"/>
      <c r="B245" s="101"/>
      <c r="C245" s="101"/>
      <c r="D245" s="101"/>
      <c r="E245" s="101"/>
      <c r="F245" s="101"/>
      <c r="G245" s="101"/>
      <c r="H245" s="101"/>
      <c r="I245" s="106"/>
      <c r="J245" s="106"/>
      <c r="K245" s="106"/>
      <c r="L245" s="106"/>
      <c r="M245" s="106"/>
      <c r="N245" s="103" t="str">
        <f aca="false">IF(OR($B245="", $I245="", $J245="", $K245="", $L245="", $M245=""),"",ROUND(($I245*Lists!$AD$2)+($J245*Lists!$AD$3)+($K245*Lists!$AD$4)+($L245*Lists!$AD$5)+($M245*Lists!$AD$6),2))</f>
        <v/>
      </c>
      <c r="O245" s="103" t="str">
        <f aca="false">IF($A245="","",IFERROR(VLOOKUP($A245,'Risk Register'!$B$2:$I$1000,8,FALSE()),""))</f>
        <v/>
      </c>
      <c r="P245" s="106"/>
      <c r="Q245" s="106"/>
      <c r="R245" s="106"/>
      <c r="S245" s="106"/>
      <c r="T245" s="103" t="str">
        <f aca="false">IF(OR($B245="", $P245="", $Q245="", $R245="", $S245=""),"",ROUND(($P245*Lists!$AD$7)+($Q245*Lists!$AD$8)+($R245*Lists!$AD$9)+($S245*Lists!$AD$10),2))</f>
        <v/>
      </c>
      <c r="U245" s="106"/>
      <c r="V245" s="106"/>
      <c r="W245" s="106"/>
      <c r="X245" s="106"/>
      <c r="Y245" s="106"/>
      <c r="Z245" s="103" t="str">
        <f aca="false">IF(OR($B245="", $U245="", $V245="", $W245="", $X245="", $Y245=""),"",ROUND(($U245*Lists!$AD$11)+($V245*Lists!$AD$12)+($W245*Lists!$AD$13)+($X245*Lists!$AD$14)+($Y245*Lists!$AD$15),2))</f>
        <v/>
      </c>
      <c r="AA245" s="103" t="str">
        <f aca="false">IF(OR($B245="", $N245="", $O245="", $T245="", $Z245=""),"",ROUND(($N245*Lists!$AD$16)-($O245*Lists!$AD$17)-($T245*Lists!$AD$18)+($Z245*Lists!$AD$19),2))</f>
        <v/>
      </c>
      <c r="AB245" s="102" t="str">
        <f aca="false">IF(OR($B245="", $N245="", $Z245=""),"",IF($N245&gt;=Lists!$AG$2,IF($Z245&gt;=Lists!$AG$3,"Invest","Migrate"),IF($Z245&gt;=Lists!$AG$3,"Tolerate","Eliminate")))</f>
        <v/>
      </c>
      <c r="AC245" s="102" t="str">
        <f aca="false">IF($B245="","",IF($J245&gt;=4,"Yes",""))</f>
        <v/>
      </c>
      <c r="AD245" s="102" t="str">
        <f aca="false">IF($A245="","",IFERROR(IF(VLOOKUP($A245,'Risk Register'!$B$2:$H$1000,4,FALSE())&gt;=4,"Yes",""),""))</f>
        <v/>
      </c>
      <c r="AE245" s="102" t="str">
        <f aca="false">IF(OR($N245="", $O245=""),"",IF($N245&gt;=Lists!$AG$2,IF($O245&gt;=Lists!$AG$4,"High Value / High Risk","High Value / Low Risk"),IF($O245&gt;=Lists!$AG$4,"Low Value / High Risk","Low Value / Low Risk")))</f>
        <v/>
      </c>
      <c r="AF245" s="101"/>
      <c r="AG245" s="126"/>
      <c r="AH245" s="106" t="str">
        <f aca="false">IF($B245="","",COUNTIFS('Debt Backlog'!$AF$2:$AF$1000,$A245,'Debt Backlog'!$B$2:$B$1000,"&lt;&gt;",'Debt Backlog'!$N$2:$N$1000,"&lt;&gt;Done",'Debt Backlog'!$N$2:$N$1000,"&lt;&gt;Won't Fix",'Debt Backlog'!$N$2:$N$1000,"&lt;&gt;Duplicate"))</f>
        <v/>
      </c>
      <c r="AI245" s="103" t="str">
        <f aca="false">IF($B245="","",ROUND(SUMIFS('Debt Backlog'!$L$2:$L$1000,'Debt Backlog'!$AF$2:$AF$1000,$A245,'Debt Backlog'!$B$2:$B$1000,"&lt;&gt;",'Debt Backlog'!$N$2:$N$1000,"&lt;&gt;Done",'Debt Backlog'!$N$2:$N$1000,"&lt;&gt;Won't Fix",'Debt Backlog'!$N$2:$N$1000,"&lt;&gt;Duplicate"),2))</f>
        <v/>
      </c>
    </row>
    <row r="246" customFormat="false" ht="15.75" hidden="false" customHeight="true" outlineLevel="0" collapsed="false">
      <c r="A246" s="125"/>
      <c r="B246" s="101"/>
      <c r="C246" s="101"/>
      <c r="D246" s="101"/>
      <c r="E246" s="101"/>
      <c r="F246" s="101"/>
      <c r="G246" s="101"/>
      <c r="H246" s="101"/>
      <c r="I246" s="106"/>
      <c r="J246" s="106"/>
      <c r="K246" s="106"/>
      <c r="L246" s="106"/>
      <c r="M246" s="106"/>
      <c r="N246" s="103" t="str">
        <f aca="false">IF(OR($B246="", $I246="", $J246="", $K246="", $L246="", $M246=""),"",ROUND(($I246*Lists!$AD$2)+($J246*Lists!$AD$3)+($K246*Lists!$AD$4)+($L246*Lists!$AD$5)+($M246*Lists!$AD$6),2))</f>
        <v/>
      </c>
      <c r="O246" s="103" t="str">
        <f aca="false">IF($A246="","",IFERROR(VLOOKUP($A246,'Risk Register'!$B$2:$I$1000,8,FALSE()),""))</f>
        <v/>
      </c>
      <c r="P246" s="106"/>
      <c r="Q246" s="106"/>
      <c r="R246" s="106"/>
      <c r="S246" s="106"/>
      <c r="T246" s="103" t="str">
        <f aca="false">IF(OR($B246="", $P246="", $Q246="", $R246="", $S246=""),"",ROUND(($P246*Lists!$AD$7)+($Q246*Lists!$AD$8)+($R246*Lists!$AD$9)+($S246*Lists!$AD$10),2))</f>
        <v/>
      </c>
      <c r="U246" s="106"/>
      <c r="V246" s="106"/>
      <c r="W246" s="106"/>
      <c r="X246" s="106"/>
      <c r="Y246" s="106"/>
      <c r="Z246" s="103" t="str">
        <f aca="false">IF(OR($B246="", $U246="", $V246="", $W246="", $X246="", $Y246=""),"",ROUND(($U246*Lists!$AD$11)+($V246*Lists!$AD$12)+($W246*Lists!$AD$13)+($X246*Lists!$AD$14)+($Y246*Lists!$AD$15),2))</f>
        <v/>
      </c>
      <c r="AA246" s="103" t="str">
        <f aca="false">IF(OR($B246="", $N246="", $O246="", $T246="", $Z246=""),"",ROUND(($N246*Lists!$AD$16)-($O246*Lists!$AD$17)-($T246*Lists!$AD$18)+($Z246*Lists!$AD$19),2))</f>
        <v/>
      </c>
      <c r="AB246" s="102" t="str">
        <f aca="false">IF(OR($B246="", $N246="", $Z246=""),"",IF($N246&gt;=Lists!$AG$2,IF($Z246&gt;=Lists!$AG$3,"Invest","Migrate"),IF($Z246&gt;=Lists!$AG$3,"Tolerate","Eliminate")))</f>
        <v/>
      </c>
      <c r="AC246" s="102" t="str">
        <f aca="false">IF($B246="","",IF($J246&gt;=4,"Yes",""))</f>
        <v/>
      </c>
      <c r="AD246" s="102" t="str">
        <f aca="false">IF($A246="","",IFERROR(IF(VLOOKUP($A246,'Risk Register'!$B$2:$H$1000,4,FALSE())&gt;=4,"Yes",""),""))</f>
        <v/>
      </c>
      <c r="AE246" s="102" t="str">
        <f aca="false">IF(OR($N246="", $O246=""),"",IF($N246&gt;=Lists!$AG$2,IF($O246&gt;=Lists!$AG$4,"High Value / High Risk","High Value / Low Risk"),IF($O246&gt;=Lists!$AG$4,"Low Value / High Risk","Low Value / Low Risk")))</f>
        <v/>
      </c>
      <c r="AF246" s="101"/>
      <c r="AG246" s="126"/>
      <c r="AH246" s="106" t="str">
        <f aca="false">IF($B246="","",COUNTIFS('Debt Backlog'!$AF$2:$AF$1000,$A246,'Debt Backlog'!$B$2:$B$1000,"&lt;&gt;",'Debt Backlog'!$N$2:$N$1000,"&lt;&gt;Done",'Debt Backlog'!$N$2:$N$1000,"&lt;&gt;Won't Fix",'Debt Backlog'!$N$2:$N$1000,"&lt;&gt;Duplicate"))</f>
        <v/>
      </c>
      <c r="AI246" s="103" t="str">
        <f aca="false">IF($B246="","",ROUND(SUMIFS('Debt Backlog'!$L$2:$L$1000,'Debt Backlog'!$AF$2:$AF$1000,$A246,'Debt Backlog'!$B$2:$B$1000,"&lt;&gt;",'Debt Backlog'!$N$2:$N$1000,"&lt;&gt;Done",'Debt Backlog'!$N$2:$N$1000,"&lt;&gt;Won't Fix",'Debt Backlog'!$N$2:$N$1000,"&lt;&gt;Duplicate"),2))</f>
        <v/>
      </c>
    </row>
    <row r="247" customFormat="false" ht="15.75" hidden="false" customHeight="true" outlineLevel="0" collapsed="false">
      <c r="A247" s="125"/>
      <c r="B247" s="101"/>
      <c r="C247" s="101"/>
      <c r="D247" s="101"/>
      <c r="E247" s="101"/>
      <c r="F247" s="101"/>
      <c r="G247" s="101"/>
      <c r="H247" s="101"/>
      <c r="I247" s="106"/>
      <c r="J247" s="106"/>
      <c r="K247" s="106"/>
      <c r="L247" s="106"/>
      <c r="M247" s="106"/>
      <c r="N247" s="103" t="str">
        <f aca="false">IF(OR($B247="", $I247="", $J247="", $K247="", $L247="", $M247=""),"",ROUND(($I247*Lists!$AD$2)+($J247*Lists!$AD$3)+($K247*Lists!$AD$4)+($L247*Lists!$AD$5)+($M247*Lists!$AD$6),2))</f>
        <v/>
      </c>
      <c r="O247" s="103" t="str">
        <f aca="false">IF($A247="","",IFERROR(VLOOKUP($A247,'Risk Register'!$B$2:$I$1000,8,FALSE()),""))</f>
        <v/>
      </c>
      <c r="P247" s="106"/>
      <c r="Q247" s="106"/>
      <c r="R247" s="106"/>
      <c r="S247" s="106"/>
      <c r="T247" s="103" t="str">
        <f aca="false">IF(OR($B247="", $P247="", $Q247="", $R247="", $S247=""),"",ROUND(($P247*Lists!$AD$7)+($Q247*Lists!$AD$8)+($R247*Lists!$AD$9)+($S247*Lists!$AD$10),2))</f>
        <v/>
      </c>
      <c r="U247" s="106"/>
      <c r="V247" s="106"/>
      <c r="W247" s="106"/>
      <c r="X247" s="106"/>
      <c r="Y247" s="106"/>
      <c r="Z247" s="103" t="str">
        <f aca="false">IF(OR($B247="", $U247="", $V247="", $W247="", $X247="", $Y247=""),"",ROUND(($U247*Lists!$AD$11)+($V247*Lists!$AD$12)+($W247*Lists!$AD$13)+($X247*Lists!$AD$14)+($Y247*Lists!$AD$15),2))</f>
        <v/>
      </c>
      <c r="AA247" s="103" t="str">
        <f aca="false">IF(OR($B247="", $N247="", $O247="", $T247="", $Z247=""),"",ROUND(($N247*Lists!$AD$16)-($O247*Lists!$AD$17)-($T247*Lists!$AD$18)+($Z247*Lists!$AD$19),2))</f>
        <v/>
      </c>
      <c r="AB247" s="102" t="str">
        <f aca="false">IF(OR($B247="", $N247="", $Z247=""),"",IF($N247&gt;=Lists!$AG$2,IF($Z247&gt;=Lists!$AG$3,"Invest","Migrate"),IF($Z247&gt;=Lists!$AG$3,"Tolerate","Eliminate")))</f>
        <v/>
      </c>
      <c r="AC247" s="102" t="str">
        <f aca="false">IF($B247="","",IF($J247&gt;=4,"Yes",""))</f>
        <v/>
      </c>
      <c r="AD247" s="102" t="str">
        <f aca="false">IF($A247="","",IFERROR(IF(VLOOKUP($A247,'Risk Register'!$B$2:$H$1000,4,FALSE())&gt;=4,"Yes",""),""))</f>
        <v/>
      </c>
      <c r="AE247" s="102" t="str">
        <f aca="false">IF(OR($N247="", $O247=""),"",IF($N247&gt;=Lists!$AG$2,IF($O247&gt;=Lists!$AG$4,"High Value / High Risk","High Value / Low Risk"),IF($O247&gt;=Lists!$AG$4,"Low Value / High Risk","Low Value / Low Risk")))</f>
        <v/>
      </c>
      <c r="AF247" s="101"/>
      <c r="AG247" s="126"/>
      <c r="AH247" s="106" t="str">
        <f aca="false">IF($B247="","",COUNTIFS('Debt Backlog'!$AF$2:$AF$1000,$A247,'Debt Backlog'!$B$2:$B$1000,"&lt;&gt;",'Debt Backlog'!$N$2:$N$1000,"&lt;&gt;Done",'Debt Backlog'!$N$2:$N$1000,"&lt;&gt;Won't Fix",'Debt Backlog'!$N$2:$N$1000,"&lt;&gt;Duplicate"))</f>
        <v/>
      </c>
      <c r="AI247" s="103" t="str">
        <f aca="false">IF($B247="","",ROUND(SUMIFS('Debt Backlog'!$L$2:$L$1000,'Debt Backlog'!$AF$2:$AF$1000,$A247,'Debt Backlog'!$B$2:$B$1000,"&lt;&gt;",'Debt Backlog'!$N$2:$N$1000,"&lt;&gt;Done",'Debt Backlog'!$N$2:$N$1000,"&lt;&gt;Won't Fix",'Debt Backlog'!$N$2:$N$1000,"&lt;&gt;Duplicate"),2))</f>
        <v/>
      </c>
    </row>
    <row r="248" customFormat="false" ht="15.75" hidden="false" customHeight="true" outlineLevel="0" collapsed="false">
      <c r="A248" s="125"/>
      <c r="B248" s="101"/>
      <c r="C248" s="101"/>
      <c r="D248" s="101"/>
      <c r="E248" s="101"/>
      <c r="F248" s="101"/>
      <c r="G248" s="101"/>
      <c r="H248" s="101"/>
      <c r="I248" s="106"/>
      <c r="J248" s="106"/>
      <c r="K248" s="106"/>
      <c r="L248" s="106"/>
      <c r="M248" s="106"/>
      <c r="N248" s="103" t="str">
        <f aca="false">IF(OR($B248="", $I248="", $J248="", $K248="", $L248="", $M248=""),"",ROUND(($I248*Lists!$AD$2)+($J248*Lists!$AD$3)+($K248*Lists!$AD$4)+($L248*Lists!$AD$5)+($M248*Lists!$AD$6),2))</f>
        <v/>
      </c>
      <c r="O248" s="103" t="str">
        <f aca="false">IF($A248="","",IFERROR(VLOOKUP($A248,'Risk Register'!$B$2:$I$1000,8,FALSE()),""))</f>
        <v/>
      </c>
      <c r="P248" s="106"/>
      <c r="Q248" s="106"/>
      <c r="R248" s="106"/>
      <c r="S248" s="106"/>
      <c r="T248" s="103" t="str">
        <f aca="false">IF(OR($B248="", $P248="", $Q248="", $R248="", $S248=""),"",ROUND(($P248*Lists!$AD$7)+($Q248*Lists!$AD$8)+($R248*Lists!$AD$9)+($S248*Lists!$AD$10),2))</f>
        <v/>
      </c>
      <c r="U248" s="106"/>
      <c r="V248" s="106"/>
      <c r="W248" s="106"/>
      <c r="X248" s="106"/>
      <c r="Y248" s="106"/>
      <c r="Z248" s="103" t="str">
        <f aca="false">IF(OR($B248="", $U248="", $V248="", $W248="", $X248="", $Y248=""),"",ROUND(($U248*Lists!$AD$11)+($V248*Lists!$AD$12)+($W248*Lists!$AD$13)+($X248*Lists!$AD$14)+($Y248*Lists!$AD$15),2))</f>
        <v/>
      </c>
      <c r="AA248" s="103" t="str">
        <f aca="false">IF(OR($B248="", $N248="", $O248="", $T248="", $Z248=""),"",ROUND(($N248*Lists!$AD$16)-($O248*Lists!$AD$17)-($T248*Lists!$AD$18)+($Z248*Lists!$AD$19),2))</f>
        <v/>
      </c>
      <c r="AB248" s="102" t="str">
        <f aca="false">IF(OR($B248="", $N248="", $Z248=""),"",IF($N248&gt;=Lists!$AG$2,IF($Z248&gt;=Lists!$AG$3,"Invest","Migrate"),IF($Z248&gt;=Lists!$AG$3,"Tolerate","Eliminate")))</f>
        <v/>
      </c>
      <c r="AC248" s="102" t="str">
        <f aca="false">IF($B248="","",IF($J248&gt;=4,"Yes",""))</f>
        <v/>
      </c>
      <c r="AD248" s="102" t="str">
        <f aca="false">IF($A248="","",IFERROR(IF(VLOOKUP($A248,'Risk Register'!$B$2:$H$1000,4,FALSE())&gt;=4,"Yes",""),""))</f>
        <v/>
      </c>
      <c r="AE248" s="102" t="str">
        <f aca="false">IF(OR($N248="", $O248=""),"",IF($N248&gt;=Lists!$AG$2,IF($O248&gt;=Lists!$AG$4,"High Value / High Risk","High Value / Low Risk"),IF($O248&gt;=Lists!$AG$4,"Low Value / High Risk","Low Value / Low Risk")))</f>
        <v/>
      </c>
      <c r="AF248" s="101"/>
      <c r="AG248" s="126"/>
      <c r="AH248" s="106" t="str">
        <f aca="false">IF($B248="","",COUNTIFS('Debt Backlog'!$AF$2:$AF$1000,$A248,'Debt Backlog'!$B$2:$B$1000,"&lt;&gt;",'Debt Backlog'!$N$2:$N$1000,"&lt;&gt;Done",'Debt Backlog'!$N$2:$N$1000,"&lt;&gt;Won't Fix",'Debt Backlog'!$N$2:$N$1000,"&lt;&gt;Duplicate"))</f>
        <v/>
      </c>
      <c r="AI248" s="103" t="str">
        <f aca="false">IF($B248="","",ROUND(SUMIFS('Debt Backlog'!$L$2:$L$1000,'Debt Backlog'!$AF$2:$AF$1000,$A248,'Debt Backlog'!$B$2:$B$1000,"&lt;&gt;",'Debt Backlog'!$N$2:$N$1000,"&lt;&gt;Done",'Debt Backlog'!$N$2:$N$1000,"&lt;&gt;Won't Fix",'Debt Backlog'!$N$2:$N$1000,"&lt;&gt;Duplicate"),2))</f>
        <v/>
      </c>
    </row>
    <row r="249" customFormat="false" ht="15.75" hidden="false" customHeight="true" outlineLevel="0" collapsed="false">
      <c r="A249" s="125"/>
      <c r="B249" s="101"/>
      <c r="C249" s="101"/>
      <c r="D249" s="101"/>
      <c r="E249" s="101"/>
      <c r="F249" s="101"/>
      <c r="G249" s="101"/>
      <c r="H249" s="101"/>
      <c r="I249" s="106"/>
      <c r="J249" s="106"/>
      <c r="K249" s="106"/>
      <c r="L249" s="106"/>
      <c r="M249" s="106"/>
      <c r="N249" s="103" t="str">
        <f aca="false">IF(OR($B249="", $I249="", $J249="", $K249="", $L249="", $M249=""),"",ROUND(($I249*Lists!$AD$2)+($J249*Lists!$AD$3)+($K249*Lists!$AD$4)+($L249*Lists!$AD$5)+($M249*Lists!$AD$6),2))</f>
        <v/>
      </c>
      <c r="O249" s="103" t="str">
        <f aca="false">IF($A249="","",IFERROR(VLOOKUP($A249,'Risk Register'!$B$2:$I$1000,8,FALSE()),""))</f>
        <v/>
      </c>
      <c r="P249" s="106"/>
      <c r="Q249" s="106"/>
      <c r="R249" s="106"/>
      <c r="S249" s="106"/>
      <c r="T249" s="103" t="str">
        <f aca="false">IF(OR($B249="", $P249="", $Q249="", $R249="", $S249=""),"",ROUND(($P249*Lists!$AD$7)+($Q249*Lists!$AD$8)+($R249*Lists!$AD$9)+($S249*Lists!$AD$10),2))</f>
        <v/>
      </c>
      <c r="U249" s="106"/>
      <c r="V249" s="106"/>
      <c r="W249" s="106"/>
      <c r="X249" s="106"/>
      <c r="Y249" s="106"/>
      <c r="Z249" s="103" t="str">
        <f aca="false">IF(OR($B249="", $U249="", $V249="", $W249="", $X249="", $Y249=""),"",ROUND(($U249*Lists!$AD$11)+($V249*Lists!$AD$12)+($W249*Lists!$AD$13)+($X249*Lists!$AD$14)+($Y249*Lists!$AD$15),2))</f>
        <v/>
      </c>
      <c r="AA249" s="103" t="str">
        <f aca="false">IF(OR($B249="", $N249="", $O249="", $T249="", $Z249=""),"",ROUND(($N249*Lists!$AD$16)-($O249*Lists!$AD$17)-($T249*Lists!$AD$18)+($Z249*Lists!$AD$19),2))</f>
        <v/>
      </c>
      <c r="AB249" s="102" t="str">
        <f aca="false">IF(OR($B249="", $N249="", $Z249=""),"",IF($N249&gt;=Lists!$AG$2,IF($Z249&gt;=Lists!$AG$3,"Invest","Migrate"),IF($Z249&gt;=Lists!$AG$3,"Tolerate","Eliminate")))</f>
        <v/>
      </c>
      <c r="AC249" s="102" t="str">
        <f aca="false">IF($B249="","",IF($J249&gt;=4,"Yes",""))</f>
        <v/>
      </c>
      <c r="AD249" s="102" t="str">
        <f aca="false">IF($A249="","",IFERROR(IF(VLOOKUP($A249,'Risk Register'!$B$2:$H$1000,4,FALSE())&gt;=4,"Yes",""),""))</f>
        <v/>
      </c>
      <c r="AE249" s="102" t="str">
        <f aca="false">IF(OR($N249="", $O249=""),"",IF($N249&gt;=Lists!$AG$2,IF($O249&gt;=Lists!$AG$4,"High Value / High Risk","High Value / Low Risk"),IF($O249&gt;=Lists!$AG$4,"Low Value / High Risk","Low Value / Low Risk")))</f>
        <v/>
      </c>
      <c r="AF249" s="101"/>
      <c r="AG249" s="126"/>
      <c r="AH249" s="106" t="str">
        <f aca="false">IF($B249="","",COUNTIFS('Debt Backlog'!$AF$2:$AF$1000,$A249,'Debt Backlog'!$B$2:$B$1000,"&lt;&gt;",'Debt Backlog'!$N$2:$N$1000,"&lt;&gt;Done",'Debt Backlog'!$N$2:$N$1000,"&lt;&gt;Won't Fix",'Debt Backlog'!$N$2:$N$1000,"&lt;&gt;Duplicate"))</f>
        <v/>
      </c>
      <c r="AI249" s="103" t="str">
        <f aca="false">IF($B249="","",ROUND(SUMIFS('Debt Backlog'!$L$2:$L$1000,'Debt Backlog'!$AF$2:$AF$1000,$A249,'Debt Backlog'!$B$2:$B$1000,"&lt;&gt;",'Debt Backlog'!$N$2:$N$1000,"&lt;&gt;Done",'Debt Backlog'!$N$2:$N$1000,"&lt;&gt;Won't Fix",'Debt Backlog'!$N$2:$N$1000,"&lt;&gt;Duplicate"),2))</f>
        <v/>
      </c>
    </row>
    <row r="250" customFormat="false" ht="15.75" hidden="false" customHeight="true" outlineLevel="0" collapsed="false">
      <c r="A250" s="125"/>
      <c r="B250" s="101"/>
      <c r="C250" s="101"/>
      <c r="D250" s="101"/>
      <c r="E250" s="101"/>
      <c r="F250" s="101"/>
      <c r="G250" s="101"/>
      <c r="H250" s="101"/>
      <c r="I250" s="106"/>
      <c r="J250" s="106"/>
      <c r="K250" s="106"/>
      <c r="L250" s="106"/>
      <c r="M250" s="106"/>
      <c r="N250" s="103" t="str">
        <f aca="false">IF(OR($B250="", $I250="", $J250="", $K250="", $L250="", $M250=""),"",ROUND(($I250*Lists!$AD$2)+($J250*Lists!$AD$3)+($K250*Lists!$AD$4)+($L250*Lists!$AD$5)+($M250*Lists!$AD$6),2))</f>
        <v/>
      </c>
      <c r="O250" s="103" t="str">
        <f aca="false">IF($A250="","",IFERROR(VLOOKUP($A250,'Risk Register'!$B$2:$I$1000,8,FALSE()),""))</f>
        <v/>
      </c>
      <c r="P250" s="106"/>
      <c r="Q250" s="106"/>
      <c r="R250" s="106"/>
      <c r="S250" s="106"/>
      <c r="T250" s="103" t="str">
        <f aca="false">IF(OR($B250="", $P250="", $Q250="", $R250="", $S250=""),"",ROUND(($P250*Lists!$AD$7)+($Q250*Lists!$AD$8)+($R250*Lists!$AD$9)+($S250*Lists!$AD$10),2))</f>
        <v/>
      </c>
      <c r="U250" s="106"/>
      <c r="V250" s="106"/>
      <c r="W250" s="106"/>
      <c r="X250" s="106"/>
      <c r="Y250" s="106"/>
      <c r="Z250" s="103" t="str">
        <f aca="false">IF(OR($B250="", $U250="", $V250="", $W250="", $X250="", $Y250=""),"",ROUND(($U250*Lists!$AD$11)+($V250*Lists!$AD$12)+($W250*Lists!$AD$13)+($X250*Lists!$AD$14)+($Y250*Lists!$AD$15),2))</f>
        <v/>
      </c>
      <c r="AA250" s="103" t="str">
        <f aca="false">IF(OR($B250="", $N250="", $O250="", $T250="", $Z250=""),"",ROUND(($N250*Lists!$AD$16)-($O250*Lists!$AD$17)-($T250*Lists!$AD$18)+($Z250*Lists!$AD$19),2))</f>
        <v/>
      </c>
      <c r="AB250" s="102" t="str">
        <f aca="false">IF(OR($B250="", $N250="", $Z250=""),"",IF($N250&gt;=Lists!$AG$2,IF($Z250&gt;=Lists!$AG$3,"Invest","Migrate"),IF($Z250&gt;=Lists!$AG$3,"Tolerate","Eliminate")))</f>
        <v/>
      </c>
      <c r="AC250" s="102" t="str">
        <f aca="false">IF($B250="","",IF($J250&gt;=4,"Yes",""))</f>
        <v/>
      </c>
      <c r="AD250" s="102" t="str">
        <f aca="false">IF($A250="","",IFERROR(IF(VLOOKUP($A250,'Risk Register'!$B$2:$H$1000,4,FALSE())&gt;=4,"Yes",""),""))</f>
        <v/>
      </c>
      <c r="AE250" s="102" t="str">
        <f aca="false">IF(OR($N250="", $O250=""),"",IF($N250&gt;=Lists!$AG$2,IF($O250&gt;=Lists!$AG$4,"High Value / High Risk","High Value / Low Risk"),IF($O250&gt;=Lists!$AG$4,"Low Value / High Risk","Low Value / Low Risk")))</f>
        <v/>
      </c>
      <c r="AF250" s="101"/>
      <c r="AG250" s="126"/>
      <c r="AH250" s="106" t="str">
        <f aca="false">IF($B250="","",COUNTIFS('Debt Backlog'!$AF$2:$AF$1000,$A250,'Debt Backlog'!$B$2:$B$1000,"&lt;&gt;",'Debt Backlog'!$N$2:$N$1000,"&lt;&gt;Done",'Debt Backlog'!$N$2:$N$1000,"&lt;&gt;Won't Fix",'Debt Backlog'!$N$2:$N$1000,"&lt;&gt;Duplicate"))</f>
        <v/>
      </c>
      <c r="AI250" s="103" t="str">
        <f aca="false">IF($B250="","",ROUND(SUMIFS('Debt Backlog'!$L$2:$L$1000,'Debt Backlog'!$AF$2:$AF$1000,$A250,'Debt Backlog'!$B$2:$B$1000,"&lt;&gt;",'Debt Backlog'!$N$2:$N$1000,"&lt;&gt;Done",'Debt Backlog'!$N$2:$N$1000,"&lt;&gt;Won't Fix",'Debt Backlog'!$N$2:$N$1000,"&lt;&gt;Duplicate"),2))</f>
        <v/>
      </c>
    </row>
    <row r="251" customFormat="false" ht="15.75" hidden="false" customHeight="true" outlineLevel="0" collapsed="false">
      <c r="A251" s="125"/>
      <c r="B251" s="101"/>
      <c r="C251" s="101"/>
      <c r="D251" s="101"/>
      <c r="E251" s="101"/>
      <c r="F251" s="101"/>
      <c r="G251" s="101"/>
      <c r="H251" s="101"/>
      <c r="I251" s="106"/>
      <c r="J251" s="106"/>
      <c r="K251" s="106"/>
      <c r="L251" s="106"/>
      <c r="M251" s="106"/>
      <c r="N251" s="103" t="str">
        <f aca="false">IF(OR($B251="", $I251="", $J251="", $K251="", $L251="", $M251=""),"",ROUND(($I251*Lists!$AD$2)+($J251*Lists!$AD$3)+($K251*Lists!$AD$4)+($L251*Lists!$AD$5)+($M251*Lists!$AD$6),2))</f>
        <v/>
      </c>
      <c r="O251" s="103" t="str">
        <f aca="false">IF($A251="","",IFERROR(VLOOKUP($A251,'Risk Register'!$B$2:$I$1000,8,FALSE()),""))</f>
        <v/>
      </c>
      <c r="P251" s="106"/>
      <c r="Q251" s="106"/>
      <c r="R251" s="106"/>
      <c r="S251" s="106"/>
      <c r="T251" s="103" t="str">
        <f aca="false">IF(OR($B251="", $P251="", $Q251="", $R251="", $S251=""),"",ROUND(($P251*Lists!$AD$7)+($Q251*Lists!$AD$8)+($R251*Lists!$AD$9)+($S251*Lists!$AD$10),2))</f>
        <v/>
      </c>
      <c r="U251" s="106"/>
      <c r="V251" s="106"/>
      <c r="W251" s="106"/>
      <c r="X251" s="106"/>
      <c r="Y251" s="106"/>
      <c r="Z251" s="103" t="str">
        <f aca="false">IF(OR($B251="", $U251="", $V251="", $W251="", $X251="", $Y251=""),"",ROUND(($U251*Lists!$AD$11)+($V251*Lists!$AD$12)+($W251*Lists!$AD$13)+($X251*Lists!$AD$14)+($Y251*Lists!$AD$15),2))</f>
        <v/>
      </c>
      <c r="AA251" s="103" t="str">
        <f aca="false">IF(OR($B251="", $N251="", $O251="", $T251="", $Z251=""),"",ROUND(($N251*Lists!$AD$16)-($O251*Lists!$AD$17)-($T251*Lists!$AD$18)+($Z251*Lists!$AD$19),2))</f>
        <v/>
      </c>
      <c r="AB251" s="102" t="str">
        <f aca="false">IF(OR($B251="", $N251="", $Z251=""),"",IF($N251&gt;=Lists!$AG$2,IF($Z251&gt;=Lists!$AG$3,"Invest","Migrate"),IF($Z251&gt;=Lists!$AG$3,"Tolerate","Eliminate")))</f>
        <v/>
      </c>
      <c r="AC251" s="102" t="str">
        <f aca="false">IF($B251="","",IF($J251&gt;=4,"Yes",""))</f>
        <v/>
      </c>
      <c r="AD251" s="102" t="str">
        <f aca="false">IF($A251="","",IFERROR(IF(VLOOKUP($A251,'Risk Register'!$B$2:$H$1000,4,FALSE())&gt;=4,"Yes",""),""))</f>
        <v/>
      </c>
      <c r="AE251" s="102" t="str">
        <f aca="false">IF(OR($N251="", $O251=""),"",IF($N251&gt;=Lists!$AG$2,IF($O251&gt;=Lists!$AG$4,"High Value / High Risk","High Value / Low Risk"),IF($O251&gt;=Lists!$AG$4,"Low Value / High Risk","Low Value / Low Risk")))</f>
        <v/>
      </c>
      <c r="AF251" s="101"/>
      <c r="AG251" s="126"/>
      <c r="AH251" s="106" t="str">
        <f aca="false">IF($B251="","",COUNTIFS('Debt Backlog'!$AF$2:$AF$1000,$A251,'Debt Backlog'!$B$2:$B$1000,"&lt;&gt;",'Debt Backlog'!$N$2:$N$1000,"&lt;&gt;Done",'Debt Backlog'!$N$2:$N$1000,"&lt;&gt;Won't Fix",'Debt Backlog'!$N$2:$N$1000,"&lt;&gt;Duplicate"))</f>
        <v/>
      </c>
      <c r="AI251" s="103" t="str">
        <f aca="false">IF($B251="","",ROUND(SUMIFS('Debt Backlog'!$L$2:$L$1000,'Debt Backlog'!$AF$2:$AF$1000,$A251,'Debt Backlog'!$B$2:$B$1000,"&lt;&gt;",'Debt Backlog'!$N$2:$N$1000,"&lt;&gt;Done",'Debt Backlog'!$N$2:$N$1000,"&lt;&gt;Won't Fix",'Debt Backlog'!$N$2:$N$1000,"&lt;&gt;Duplicate"),2))</f>
        <v/>
      </c>
    </row>
    <row r="252" customFormat="false" ht="15.75" hidden="false" customHeight="true" outlineLevel="0" collapsed="false">
      <c r="A252" s="125"/>
      <c r="B252" s="101"/>
      <c r="C252" s="101"/>
      <c r="D252" s="101"/>
      <c r="E252" s="101"/>
      <c r="F252" s="101"/>
      <c r="G252" s="101"/>
      <c r="H252" s="101"/>
      <c r="I252" s="106"/>
      <c r="J252" s="106"/>
      <c r="K252" s="106"/>
      <c r="L252" s="106"/>
      <c r="M252" s="106"/>
      <c r="N252" s="103" t="str">
        <f aca="false">IF(OR($B252="", $I252="", $J252="", $K252="", $L252="", $M252=""),"",ROUND(($I252*Lists!$AD$2)+($J252*Lists!$AD$3)+($K252*Lists!$AD$4)+($L252*Lists!$AD$5)+($M252*Lists!$AD$6),2))</f>
        <v/>
      </c>
      <c r="O252" s="103" t="str">
        <f aca="false">IF($A252="","",IFERROR(VLOOKUP($A252,'Risk Register'!$B$2:$I$1000,8,FALSE()),""))</f>
        <v/>
      </c>
      <c r="P252" s="106"/>
      <c r="Q252" s="106"/>
      <c r="R252" s="106"/>
      <c r="S252" s="106"/>
      <c r="T252" s="103" t="str">
        <f aca="false">IF(OR($B252="", $P252="", $Q252="", $R252="", $S252=""),"",ROUND(($P252*Lists!$AD$7)+($Q252*Lists!$AD$8)+($R252*Lists!$AD$9)+($S252*Lists!$AD$10),2))</f>
        <v/>
      </c>
      <c r="U252" s="106"/>
      <c r="V252" s="106"/>
      <c r="W252" s="106"/>
      <c r="X252" s="106"/>
      <c r="Y252" s="106"/>
      <c r="Z252" s="103" t="str">
        <f aca="false">IF(OR($B252="", $U252="", $V252="", $W252="", $X252="", $Y252=""),"",ROUND(($U252*Lists!$AD$11)+($V252*Lists!$AD$12)+($W252*Lists!$AD$13)+($X252*Lists!$AD$14)+($Y252*Lists!$AD$15),2))</f>
        <v/>
      </c>
      <c r="AA252" s="103" t="str">
        <f aca="false">IF(OR($B252="", $N252="", $O252="", $T252="", $Z252=""),"",ROUND(($N252*Lists!$AD$16)-($O252*Lists!$AD$17)-($T252*Lists!$AD$18)+($Z252*Lists!$AD$19),2))</f>
        <v/>
      </c>
      <c r="AB252" s="102" t="str">
        <f aca="false">IF(OR($B252="", $N252="", $Z252=""),"",IF($N252&gt;=Lists!$AG$2,IF($Z252&gt;=Lists!$AG$3,"Invest","Migrate"),IF($Z252&gt;=Lists!$AG$3,"Tolerate","Eliminate")))</f>
        <v/>
      </c>
      <c r="AC252" s="102" t="str">
        <f aca="false">IF($B252="","",IF($J252&gt;=4,"Yes",""))</f>
        <v/>
      </c>
      <c r="AD252" s="102" t="str">
        <f aca="false">IF($A252="","",IFERROR(IF(VLOOKUP($A252,'Risk Register'!$B$2:$H$1000,4,FALSE())&gt;=4,"Yes",""),""))</f>
        <v/>
      </c>
      <c r="AE252" s="102" t="str">
        <f aca="false">IF(OR($N252="", $O252=""),"",IF($N252&gt;=Lists!$AG$2,IF($O252&gt;=Lists!$AG$4,"High Value / High Risk","High Value / Low Risk"),IF($O252&gt;=Lists!$AG$4,"Low Value / High Risk","Low Value / Low Risk")))</f>
        <v/>
      </c>
      <c r="AF252" s="101"/>
      <c r="AG252" s="126"/>
      <c r="AH252" s="106" t="str">
        <f aca="false">IF($B252="","",COUNTIFS('Debt Backlog'!$AF$2:$AF$1000,$A252,'Debt Backlog'!$B$2:$B$1000,"&lt;&gt;",'Debt Backlog'!$N$2:$N$1000,"&lt;&gt;Done",'Debt Backlog'!$N$2:$N$1000,"&lt;&gt;Won't Fix",'Debt Backlog'!$N$2:$N$1000,"&lt;&gt;Duplicate"))</f>
        <v/>
      </c>
      <c r="AI252" s="103" t="str">
        <f aca="false">IF($B252="","",ROUND(SUMIFS('Debt Backlog'!$L$2:$L$1000,'Debt Backlog'!$AF$2:$AF$1000,$A252,'Debt Backlog'!$B$2:$B$1000,"&lt;&gt;",'Debt Backlog'!$N$2:$N$1000,"&lt;&gt;Done",'Debt Backlog'!$N$2:$N$1000,"&lt;&gt;Won't Fix",'Debt Backlog'!$N$2:$N$1000,"&lt;&gt;Duplicate"),2))</f>
        <v/>
      </c>
    </row>
    <row r="253" customFormat="false" ht="15.75" hidden="false" customHeight="true" outlineLevel="0" collapsed="false">
      <c r="A253" s="125"/>
      <c r="B253" s="101"/>
      <c r="C253" s="101"/>
      <c r="D253" s="101"/>
      <c r="E253" s="101"/>
      <c r="F253" s="101"/>
      <c r="G253" s="101"/>
      <c r="H253" s="101"/>
      <c r="I253" s="106"/>
      <c r="J253" s="106"/>
      <c r="K253" s="106"/>
      <c r="L253" s="106"/>
      <c r="M253" s="106"/>
      <c r="N253" s="103" t="str">
        <f aca="false">IF(OR($B253="", $I253="", $J253="", $K253="", $L253="", $M253=""),"",ROUND(($I253*Lists!$AD$2)+($J253*Lists!$AD$3)+($K253*Lists!$AD$4)+($L253*Lists!$AD$5)+($M253*Lists!$AD$6),2))</f>
        <v/>
      </c>
      <c r="O253" s="103" t="str">
        <f aca="false">IF($A253="","",IFERROR(VLOOKUP($A253,'Risk Register'!$B$2:$I$1000,8,FALSE()),""))</f>
        <v/>
      </c>
      <c r="P253" s="106"/>
      <c r="Q253" s="106"/>
      <c r="R253" s="106"/>
      <c r="S253" s="106"/>
      <c r="T253" s="103" t="str">
        <f aca="false">IF(OR($B253="", $P253="", $Q253="", $R253="", $S253=""),"",ROUND(($P253*Lists!$AD$7)+($Q253*Lists!$AD$8)+($R253*Lists!$AD$9)+($S253*Lists!$AD$10),2))</f>
        <v/>
      </c>
      <c r="U253" s="106"/>
      <c r="V253" s="106"/>
      <c r="W253" s="106"/>
      <c r="X253" s="106"/>
      <c r="Y253" s="106"/>
      <c r="Z253" s="103" t="str">
        <f aca="false">IF(OR($B253="", $U253="", $V253="", $W253="", $X253="", $Y253=""),"",ROUND(($U253*Lists!$AD$11)+($V253*Lists!$AD$12)+($W253*Lists!$AD$13)+($X253*Lists!$AD$14)+($Y253*Lists!$AD$15),2))</f>
        <v/>
      </c>
      <c r="AA253" s="103" t="str">
        <f aca="false">IF(OR($B253="", $N253="", $O253="", $T253="", $Z253=""),"",ROUND(($N253*Lists!$AD$16)-($O253*Lists!$AD$17)-($T253*Lists!$AD$18)+($Z253*Lists!$AD$19),2))</f>
        <v/>
      </c>
      <c r="AB253" s="102" t="str">
        <f aca="false">IF(OR($B253="", $N253="", $Z253=""),"",IF($N253&gt;=Lists!$AG$2,IF($Z253&gt;=Lists!$AG$3,"Invest","Migrate"),IF($Z253&gt;=Lists!$AG$3,"Tolerate","Eliminate")))</f>
        <v/>
      </c>
      <c r="AC253" s="102" t="str">
        <f aca="false">IF($B253="","",IF($J253&gt;=4,"Yes",""))</f>
        <v/>
      </c>
      <c r="AD253" s="102" t="str">
        <f aca="false">IF($A253="","",IFERROR(IF(VLOOKUP($A253,'Risk Register'!$B$2:$H$1000,4,FALSE())&gt;=4,"Yes",""),""))</f>
        <v/>
      </c>
      <c r="AE253" s="102" t="str">
        <f aca="false">IF(OR($N253="", $O253=""),"",IF($N253&gt;=Lists!$AG$2,IF($O253&gt;=Lists!$AG$4,"High Value / High Risk","High Value / Low Risk"),IF($O253&gt;=Lists!$AG$4,"Low Value / High Risk","Low Value / Low Risk")))</f>
        <v/>
      </c>
      <c r="AF253" s="101"/>
      <c r="AG253" s="126"/>
      <c r="AH253" s="106" t="str">
        <f aca="false">IF($B253="","",COUNTIFS('Debt Backlog'!$AF$2:$AF$1000,$A253,'Debt Backlog'!$B$2:$B$1000,"&lt;&gt;",'Debt Backlog'!$N$2:$N$1000,"&lt;&gt;Done",'Debt Backlog'!$N$2:$N$1000,"&lt;&gt;Won't Fix",'Debt Backlog'!$N$2:$N$1000,"&lt;&gt;Duplicate"))</f>
        <v/>
      </c>
      <c r="AI253" s="103" t="str">
        <f aca="false">IF($B253="","",ROUND(SUMIFS('Debt Backlog'!$L$2:$L$1000,'Debt Backlog'!$AF$2:$AF$1000,$A253,'Debt Backlog'!$B$2:$B$1000,"&lt;&gt;",'Debt Backlog'!$N$2:$N$1000,"&lt;&gt;Done",'Debt Backlog'!$N$2:$N$1000,"&lt;&gt;Won't Fix",'Debt Backlog'!$N$2:$N$1000,"&lt;&gt;Duplicate"),2))</f>
        <v/>
      </c>
    </row>
    <row r="254" customFormat="false" ht="15.75" hidden="false" customHeight="true" outlineLevel="0" collapsed="false">
      <c r="A254" s="125"/>
      <c r="B254" s="101"/>
      <c r="C254" s="101"/>
      <c r="D254" s="101"/>
      <c r="E254" s="101"/>
      <c r="F254" s="101"/>
      <c r="G254" s="101"/>
      <c r="H254" s="101"/>
      <c r="I254" s="106"/>
      <c r="J254" s="106"/>
      <c r="K254" s="106"/>
      <c r="L254" s="106"/>
      <c r="M254" s="106"/>
      <c r="N254" s="103" t="str">
        <f aca="false">IF(OR($B254="", $I254="", $J254="", $K254="", $L254="", $M254=""),"",ROUND(($I254*Lists!$AD$2)+($J254*Lists!$AD$3)+($K254*Lists!$AD$4)+($L254*Lists!$AD$5)+($M254*Lists!$AD$6),2))</f>
        <v/>
      </c>
      <c r="O254" s="103" t="str">
        <f aca="false">IF($A254="","",IFERROR(VLOOKUP($A254,'Risk Register'!$B$2:$I$1000,8,FALSE()),""))</f>
        <v/>
      </c>
      <c r="P254" s="106"/>
      <c r="Q254" s="106"/>
      <c r="R254" s="106"/>
      <c r="S254" s="106"/>
      <c r="T254" s="103" t="str">
        <f aca="false">IF(OR($B254="", $P254="", $Q254="", $R254="", $S254=""),"",ROUND(($P254*Lists!$AD$7)+($Q254*Lists!$AD$8)+($R254*Lists!$AD$9)+($S254*Lists!$AD$10),2))</f>
        <v/>
      </c>
      <c r="U254" s="106"/>
      <c r="V254" s="106"/>
      <c r="W254" s="106"/>
      <c r="X254" s="106"/>
      <c r="Y254" s="106"/>
      <c r="Z254" s="103" t="str">
        <f aca="false">IF(OR($B254="", $U254="", $V254="", $W254="", $X254="", $Y254=""),"",ROUND(($U254*Lists!$AD$11)+($V254*Lists!$AD$12)+($W254*Lists!$AD$13)+($X254*Lists!$AD$14)+($Y254*Lists!$AD$15),2))</f>
        <v/>
      </c>
      <c r="AA254" s="103" t="str">
        <f aca="false">IF(OR($B254="", $N254="", $O254="", $T254="", $Z254=""),"",ROUND(($N254*Lists!$AD$16)-($O254*Lists!$AD$17)-($T254*Lists!$AD$18)+($Z254*Lists!$AD$19),2))</f>
        <v/>
      </c>
      <c r="AB254" s="102" t="str">
        <f aca="false">IF(OR($B254="", $N254="", $Z254=""),"",IF($N254&gt;=Lists!$AG$2,IF($Z254&gt;=Lists!$AG$3,"Invest","Migrate"),IF($Z254&gt;=Lists!$AG$3,"Tolerate","Eliminate")))</f>
        <v/>
      </c>
      <c r="AC254" s="102" t="str">
        <f aca="false">IF($B254="","",IF($J254&gt;=4,"Yes",""))</f>
        <v/>
      </c>
      <c r="AD254" s="102" t="str">
        <f aca="false">IF($A254="","",IFERROR(IF(VLOOKUP($A254,'Risk Register'!$B$2:$H$1000,4,FALSE())&gt;=4,"Yes",""),""))</f>
        <v/>
      </c>
      <c r="AE254" s="102" t="str">
        <f aca="false">IF(OR($N254="", $O254=""),"",IF($N254&gt;=Lists!$AG$2,IF($O254&gt;=Lists!$AG$4,"High Value / High Risk","High Value / Low Risk"),IF($O254&gt;=Lists!$AG$4,"Low Value / High Risk","Low Value / Low Risk")))</f>
        <v/>
      </c>
      <c r="AF254" s="101"/>
      <c r="AG254" s="126"/>
      <c r="AH254" s="106" t="str">
        <f aca="false">IF($B254="","",COUNTIFS('Debt Backlog'!$AF$2:$AF$1000,$A254,'Debt Backlog'!$B$2:$B$1000,"&lt;&gt;",'Debt Backlog'!$N$2:$N$1000,"&lt;&gt;Done",'Debt Backlog'!$N$2:$N$1000,"&lt;&gt;Won't Fix",'Debt Backlog'!$N$2:$N$1000,"&lt;&gt;Duplicate"))</f>
        <v/>
      </c>
      <c r="AI254" s="103" t="str">
        <f aca="false">IF($B254="","",ROUND(SUMIFS('Debt Backlog'!$L$2:$L$1000,'Debt Backlog'!$AF$2:$AF$1000,$A254,'Debt Backlog'!$B$2:$B$1000,"&lt;&gt;",'Debt Backlog'!$N$2:$N$1000,"&lt;&gt;Done",'Debt Backlog'!$N$2:$N$1000,"&lt;&gt;Won't Fix",'Debt Backlog'!$N$2:$N$1000,"&lt;&gt;Duplicate"),2))</f>
        <v/>
      </c>
    </row>
    <row r="255" customFormat="false" ht="15.75" hidden="false" customHeight="true" outlineLevel="0" collapsed="false">
      <c r="A255" s="125"/>
      <c r="B255" s="101"/>
      <c r="C255" s="101"/>
      <c r="D255" s="101"/>
      <c r="E255" s="101"/>
      <c r="F255" s="101"/>
      <c r="G255" s="101"/>
      <c r="H255" s="101"/>
      <c r="I255" s="106"/>
      <c r="J255" s="106"/>
      <c r="K255" s="106"/>
      <c r="L255" s="106"/>
      <c r="M255" s="106"/>
      <c r="N255" s="103" t="str">
        <f aca="false">IF(OR($B255="", $I255="", $J255="", $K255="", $L255="", $M255=""),"",ROUND(($I255*Lists!$AD$2)+($J255*Lists!$AD$3)+($K255*Lists!$AD$4)+($L255*Lists!$AD$5)+($M255*Lists!$AD$6),2))</f>
        <v/>
      </c>
      <c r="O255" s="103" t="str">
        <f aca="false">IF($A255="","",IFERROR(VLOOKUP($A255,'Risk Register'!$B$2:$I$1000,8,FALSE()),""))</f>
        <v/>
      </c>
      <c r="P255" s="106"/>
      <c r="Q255" s="106"/>
      <c r="R255" s="106"/>
      <c r="S255" s="106"/>
      <c r="T255" s="103" t="str">
        <f aca="false">IF(OR($B255="", $P255="", $Q255="", $R255="", $S255=""),"",ROUND(($P255*Lists!$AD$7)+($Q255*Lists!$AD$8)+($R255*Lists!$AD$9)+($S255*Lists!$AD$10),2))</f>
        <v/>
      </c>
      <c r="U255" s="106"/>
      <c r="V255" s="106"/>
      <c r="W255" s="106"/>
      <c r="X255" s="106"/>
      <c r="Y255" s="106"/>
      <c r="Z255" s="103" t="str">
        <f aca="false">IF(OR($B255="", $U255="", $V255="", $W255="", $X255="", $Y255=""),"",ROUND(($U255*Lists!$AD$11)+($V255*Lists!$AD$12)+($W255*Lists!$AD$13)+($X255*Lists!$AD$14)+($Y255*Lists!$AD$15),2))</f>
        <v/>
      </c>
      <c r="AA255" s="103" t="str">
        <f aca="false">IF(OR($B255="", $N255="", $O255="", $T255="", $Z255=""),"",ROUND(($N255*Lists!$AD$16)-($O255*Lists!$AD$17)-($T255*Lists!$AD$18)+($Z255*Lists!$AD$19),2))</f>
        <v/>
      </c>
      <c r="AB255" s="102" t="str">
        <f aca="false">IF(OR($B255="", $N255="", $Z255=""),"",IF($N255&gt;=Lists!$AG$2,IF($Z255&gt;=Lists!$AG$3,"Invest","Migrate"),IF($Z255&gt;=Lists!$AG$3,"Tolerate","Eliminate")))</f>
        <v/>
      </c>
      <c r="AC255" s="102" t="str">
        <f aca="false">IF($B255="","",IF($J255&gt;=4,"Yes",""))</f>
        <v/>
      </c>
      <c r="AD255" s="102" t="str">
        <f aca="false">IF($A255="","",IFERROR(IF(VLOOKUP($A255,'Risk Register'!$B$2:$H$1000,4,FALSE())&gt;=4,"Yes",""),""))</f>
        <v/>
      </c>
      <c r="AE255" s="102" t="str">
        <f aca="false">IF(OR($N255="", $O255=""),"",IF($N255&gt;=Lists!$AG$2,IF($O255&gt;=Lists!$AG$4,"High Value / High Risk","High Value / Low Risk"),IF($O255&gt;=Lists!$AG$4,"Low Value / High Risk","Low Value / Low Risk")))</f>
        <v/>
      </c>
      <c r="AF255" s="101"/>
      <c r="AG255" s="126"/>
      <c r="AH255" s="106" t="str">
        <f aca="false">IF($B255="","",COUNTIFS('Debt Backlog'!$AF$2:$AF$1000,$A255,'Debt Backlog'!$B$2:$B$1000,"&lt;&gt;",'Debt Backlog'!$N$2:$N$1000,"&lt;&gt;Done",'Debt Backlog'!$N$2:$N$1000,"&lt;&gt;Won't Fix",'Debt Backlog'!$N$2:$N$1000,"&lt;&gt;Duplicate"))</f>
        <v/>
      </c>
      <c r="AI255" s="103" t="str">
        <f aca="false">IF($B255="","",ROUND(SUMIFS('Debt Backlog'!$L$2:$L$1000,'Debt Backlog'!$AF$2:$AF$1000,$A255,'Debt Backlog'!$B$2:$B$1000,"&lt;&gt;",'Debt Backlog'!$N$2:$N$1000,"&lt;&gt;Done",'Debt Backlog'!$N$2:$N$1000,"&lt;&gt;Won't Fix",'Debt Backlog'!$N$2:$N$1000,"&lt;&gt;Duplicate"),2))</f>
        <v/>
      </c>
    </row>
    <row r="256" customFormat="false" ht="15.75" hidden="false" customHeight="true" outlineLevel="0" collapsed="false">
      <c r="A256" s="125"/>
      <c r="B256" s="101"/>
      <c r="C256" s="101"/>
      <c r="D256" s="101"/>
      <c r="E256" s="101"/>
      <c r="F256" s="101"/>
      <c r="G256" s="101"/>
      <c r="H256" s="101"/>
      <c r="I256" s="106"/>
      <c r="J256" s="106"/>
      <c r="K256" s="106"/>
      <c r="L256" s="106"/>
      <c r="M256" s="106"/>
      <c r="N256" s="103" t="str">
        <f aca="false">IF(OR($B256="", $I256="", $J256="", $K256="", $L256="", $M256=""),"",ROUND(($I256*Lists!$AD$2)+($J256*Lists!$AD$3)+($K256*Lists!$AD$4)+($L256*Lists!$AD$5)+($M256*Lists!$AD$6),2))</f>
        <v/>
      </c>
      <c r="O256" s="103" t="str">
        <f aca="false">IF($A256="","",IFERROR(VLOOKUP($A256,'Risk Register'!$B$2:$I$1000,8,FALSE()),""))</f>
        <v/>
      </c>
      <c r="P256" s="106"/>
      <c r="Q256" s="106"/>
      <c r="R256" s="106"/>
      <c r="S256" s="106"/>
      <c r="T256" s="103" t="str">
        <f aca="false">IF(OR($B256="", $P256="", $Q256="", $R256="", $S256=""),"",ROUND(($P256*Lists!$AD$7)+($Q256*Lists!$AD$8)+($R256*Lists!$AD$9)+($S256*Lists!$AD$10),2))</f>
        <v/>
      </c>
      <c r="U256" s="106"/>
      <c r="V256" s="106"/>
      <c r="W256" s="106"/>
      <c r="X256" s="106"/>
      <c r="Y256" s="106"/>
      <c r="Z256" s="103" t="str">
        <f aca="false">IF(OR($B256="", $U256="", $V256="", $W256="", $X256="", $Y256=""),"",ROUND(($U256*Lists!$AD$11)+($V256*Lists!$AD$12)+($W256*Lists!$AD$13)+($X256*Lists!$AD$14)+($Y256*Lists!$AD$15),2))</f>
        <v/>
      </c>
      <c r="AA256" s="103" t="str">
        <f aca="false">IF(OR($B256="", $N256="", $O256="", $T256="", $Z256=""),"",ROUND(($N256*Lists!$AD$16)-($O256*Lists!$AD$17)-($T256*Lists!$AD$18)+($Z256*Lists!$AD$19),2))</f>
        <v/>
      </c>
      <c r="AB256" s="102" t="str">
        <f aca="false">IF(OR($B256="", $N256="", $Z256=""),"",IF($N256&gt;=Lists!$AG$2,IF($Z256&gt;=Lists!$AG$3,"Invest","Migrate"),IF($Z256&gt;=Lists!$AG$3,"Tolerate","Eliminate")))</f>
        <v/>
      </c>
      <c r="AC256" s="102" t="str">
        <f aca="false">IF($B256="","",IF($J256&gt;=4,"Yes",""))</f>
        <v/>
      </c>
      <c r="AD256" s="102" t="str">
        <f aca="false">IF($A256="","",IFERROR(IF(VLOOKUP($A256,'Risk Register'!$B$2:$H$1000,4,FALSE())&gt;=4,"Yes",""),""))</f>
        <v/>
      </c>
      <c r="AE256" s="102" t="str">
        <f aca="false">IF(OR($N256="", $O256=""),"",IF($N256&gt;=Lists!$AG$2,IF($O256&gt;=Lists!$AG$4,"High Value / High Risk","High Value / Low Risk"),IF($O256&gt;=Lists!$AG$4,"Low Value / High Risk","Low Value / Low Risk")))</f>
        <v/>
      </c>
      <c r="AF256" s="101"/>
      <c r="AG256" s="126"/>
      <c r="AH256" s="106" t="str">
        <f aca="false">IF($B256="","",COUNTIFS('Debt Backlog'!$AF$2:$AF$1000,$A256,'Debt Backlog'!$B$2:$B$1000,"&lt;&gt;",'Debt Backlog'!$N$2:$N$1000,"&lt;&gt;Done",'Debt Backlog'!$N$2:$N$1000,"&lt;&gt;Won't Fix",'Debt Backlog'!$N$2:$N$1000,"&lt;&gt;Duplicate"))</f>
        <v/>
      </c>
      <c r="AI256" s="103" t="str">
        <f aca="false">IF($B256="","",ROUND(SUMIFS('Debt Backlog'!$L$2:$L$1000,'Debt Backlog'!$AF$2:$AF$1000,$A256,'Debt Backlog'!$B$2:$B$1000,"&lt;&gt;",'Debt Backlog'!$N$2:$N$1000,"&lt;&gt;Done",'Debt Backlog'!$N$2:$N$1000,"&lt;&gt;Won't Fix",'Debt Backlog'!$N$2:$N$1000,"&lt;&gt;Duplicate"),2))</f>
        <v/>
      </c>
    </row>
    <row r="257" customFormat="false" ht="15.75" hidden="false" customHeight="true" outlineLevel="0" collapsed="false">
      <c r="A257" s="125"/>
      <c r="B257" s="101"/>
      <c r="C257" s="101"/>
      <c r="D257" s="101"/>
      <c r="E257" s="101"/>
      <c r="F257" s="101"/>
      <c r="G257" s="101"/>
      <c r="H257" s="101"/>
      <c r="I257" s="106"/>
      <c r="J257" s="106"/>
      <c r="K257" s="106"/>
      <c r="L257" s="106"/>
      <c r="M257" s="106"/>
      <c r="N257" s="103" t="str">
        <f aca="false">IF(OR($B257="", $I257="", $J257="", $K257="", $L257="", $M257=""),"",ROUND(($I257*Lists!$AD$2)+($J257*Lists!$AD$3)+($K257*Lists!$AD$4)+($L257*Lists!$AD$5)+($M257*Lists!$AD$6),2))</f>
        <v/>
      </c>
      <c r="O257" s="103" t="str">
        <f aca="false">IF($A257="","",IFERROR(VLOOKUP($A257,'Risk Register'!$B$2:$I$1000,8,FALSE()),""))</f>
        <v/>
      </c>
      <c r="P257" s="106"/>
      <c r="Q257" s="106"/>
      <c r="R257" s="106"/>
      <c r="S257" s="106"/>
      <c r="T257" s="103" t="str">
        <f aca="false">IF(OR($B257="", $P257="", $Q257="", $R257="", $S257=""),"",ROUND(($P257*Lists!$AD$7)+($Q257*Lists!$AD$8)+($R257*Lists!$AD$9)+($S257*Lists!$AD$10),2))</f>
        <v/>
      </c>
      <c r="U257" s="106"/>
      <c r="V257" s="106"/>
      <c r="W257" s="106"/>
      <c r="X257" s="106"/>
      <c r="Y257" s="106"/>
      <c r="Z257" s="103" t="str">
        <f aca="false">IF(OR($B257="", $U257="", $V257="", $W257="", $X257="", $Y257=""),"",ROUND(($U257*Lists!$AD$11)+($V257*Lists!$AD$12)+($W257*Lists!$AD$13)+($X257*Lists!$AD$14)+($Y257*Lists!$AD$15),2))</f>
        <v/>
      </c>
      <c r="AA257" s="103" t="str">
        <f aca="false">IF(OR($B257="", $N257="", $O257="", $T257="", $Z257=""),"",ROUND(($N257*Lists!$AD$16)-($O257*Lists!$AD$17)-($T257*Lists!$AD$18)+($Z257*Lists!$AD$19),2))</f>
        <v/>
      </c>
      <c r="AB257" s="102" t="str">
        <f aca="false">IF(OR($B257="", $N257="", $Z257=""),"",IF($N257&gt;=Lists!$AG$2,IF($Z257&gt;=Lists!$AG$3,"Invest","Migrate"),IF($Z257&gt;=Lists!$AG$3,"Tolerate","Eliminate")))</f>
        <v/>
      </c>
      <c r="AC257" s="102" t="str">
        <f aca="false">IF($B257="","",IF($J257&gt;=4,"Yes",""))</f>
        <v/>
      </c>
      <c r="AD257" s="102" t="str">
        <f aca="false">IF($A257="","",IFERROR(IF(VLOOKUP($A257,'Risk Register'!$B$2:$H$1000,4,FALSE())&gt;=4,"Yes",""),""))</f>
        <v/>
      </c>
      <c r="AE257" s="102" t="str">
        <f aca="false">IF(OR($N257="", $O257=""),"",IF($N257&gt;=Lists!$AG$2,IF($O257&gt;=Lists!$AG$4,"High Value / High Risk","High Value / Low Risk"),IF($O257&gt;=Lists!$AG$4,"Low Value / High Risk","Low Value / Low Risk")))</f>
        <v/>
      </c>
      <c r="AF257" s="101"/>
      <c r="AG257" s="126"/>
      <c r="AH257" s="106" t="str">
        <f aca="false">IF($B257="","",COUNTIFS('Debt Backlog'!$AF$2:$AF$1000,$A257,'Debt Backlog'!$B$2:$B$1000,"&lt;&gt;",'Debt Backlog'!$N$2:$N$1000,"&lt;&gt;Done",'Debt Backlog'!$N$2:$N$1000,"&lt;&gt;Won't Fix",'Debt Backlog'!$N$2:$N$1000,"&lt;&gt;Duplicate"))</f>
        <v/>
      </c>
      <c r="AI257" s="103" t="str">
        <f aca="false">IF($B257="","",ROUND(SUMIFS('Debt Backlog'!$L$2:$L$1000,'Debt Backlog'!$AF$2:$AF$1000,$A257,'Debt Backlog'!$B$2:$B$1000,"&lt;&gt;",'Debt Backlog'!$N$2:$N$1000,"&lt;&gt;Done",'Debt Backlog'!$N$2:$N$1000,"&lt;&gt;Won't Fix",'Debt Backlog'!$N$2:$N$1000,"&lt;&gt;Duplicate"),2))</f>
        <v/>
      </c>
    </row>
    <row r="258" customFormat="false" ht="15.75" hidden="false" customHeight="true" outlineLevel="0" collapsed="false">
      <c r="A258" s="125"/>
      <c r="B258" s="101"/>
      <c r="C258" s="101"/>
      <c r="D258" s="101"/>
      <c r="E258" s="101"/>
      <c r="F258" s="101"/>
      <c r="G258" s="101"/>
      <c r="H258" s="101"/>
      <c r="I258" s="106"/>
      <c r="J258" s="106"/>
      <c r="K258" s="106"/>
      <c r="L258" s="106"/>
      <c r="M258" s="106"/>
      <c r="N258" s="103" t="str">
        <f aca="false">IF(OR($B258="", $I258="", $J258="", $K258="", $L258="", $M258=""),"",ROUND(($I258*Lists!$AD$2)+($J258*Lists!$AD$3)+($K258*Lists!$AD$4)+($L258*Lists!$AD$5)+($M258*Lists!$AD$6),2))</f>
        <v/>
      </c>
      <c r="O258" s="103" t="str">
        <f aca="false">IF($A258="","",IFERROR(VLOOKUP($A258,'Risk Register'!$B$2:$I$1000,8,FALSE()),""))</f>
        <v/>
      </c>
      <c r="P258" s="106"/>
      <c r="Q258" s="106"/>
      <c r="R258" s="106"/>
      <c r="S258" s="106"/>
      <c r="T258" s="103" t="str">
        <f aca="false">IF(OR($B258="", $P258="", $Q258="", $R258="", $S258=""),"",ROUND(($P258*Lists!$AD$7)+($Q258*Lists!$AD$8)+($R258*Lists!$AD$9)+($S258*Lists!$AD$10),2))</f>
        <v/>
      </c>
      <c r="U258" s="106"/>
      <c r="V258" s="106"/>
      <c r="W258" s="106"/>
      <c r="X258" s="106"/>
      <c r="Y258" s="106"/>
      <c r="Z258" s="103" t="str">
        <f aca="false">IF(OR($B258="", $U258="", $V258="", $W258="", $X258="", $Y258=""),"",ROUND(($U258*Lists!$AD$11)+($V258*Lists!$AD$12)+($W258*Lists!$AD$13)+($X258*Lists!$AD$14)+($Y258*Lists!$AD$15),2))</f>
        <v/>
      </c>
      <c r="AA258" s="103" t="str">
        <f aca="false">IF(OR($B258="", $N258="", $O258="", $T258="", $Z258=""),"",ROUND(($N258*Lists!$AD$16)-($O258*Lists!$AD$17)-($T258*Lists!$AD$18)+($Z258*Lists!$AD$19),2))</f>
        <v/>
      </c>
      <c r="AB258" s="102" t="str">
        <f aca="false">IF(OR($B258="", $N258="", $Z258=""),"",IF($N258&gt;=Lists!$AG$2,IF($Z258&gt;=Lists!$AG$3,"Invest","Migrate"),IF($Z258&gt;=Lists!$AG$3,"Tolerate","Eliminate")))</f>
        <v/>
      </c>
      <c r="AC258" s="102" t="str">
        <f aca="false">IF($B258="","",IF($J258&gt;=4,"Yes",""))</f>
        <v/>
      </c>
      <c r="AD258" s="102" t="str">
        <f aca="false">IF($A258="","",IFERROR(IF(VLOOKUP($A258,'Risk Register'!$B$2:$H$1000,4,FALSE())&gt;=4,"Yes",""),""))</f>
        <v/>
      </c>
      <c r="AE258" s="102" t="str">
        <f aca="false">IF(OR($N258="", $O258=""),"",IF($N258&gt;=Lists!$AG$2,IF($O258&gt;=Lists!$AG$4,"High Value / High Risk","High Value / Low Risk"),IF($O258&gt;=Lists!$AG$4,"Low Value / High Risk","Low Value / Low Risk")))</f>
        <v/>
      </c>
      <c r="AF258" s="101"/>
      <c r="AG258" s="126"/>
      <c r="AH258" s="106" t="str">
        <f aca="false">IF($B258="","",COUNTIFS('Debt Backlog'!$AF$2:$AF$1000,$A258,'Debt Backlog'!$B$2:$B$1000,"&lt;&gt;",'Debt Backlog'!$N$2:$N$1000,"&lt;&gt;Done",'Debt Backlog'!$N$2:$N$1000,"&lt;&gt;Won't Fix",'Debt Backlog'!$N$2:$N$1000,"&lt;&gt;Duplicate"))</f>
        <v/>
      </c>
      <c r="AI258" s="103" t="str">
        <f aca="false">IF($B258="","",ROUND(SUMIFS('Debt Backlog'!$L$2:$L$1000,'Debt Backlog'!$AF$2:$AF$1000,$A258,'Debt Backlog'!$B$2:$B$1000,"&lt;&gt;",'Debt Backlog'!$N$2:$N$1000,"&lt;&gt;Done",'Debt Backlog'!$N$2:$N$1000,"&lt;&gt;Won't Fix",'Debt Backlog'!$N$2:$N$1000,"&lt;&gt;Duplicate"),2))</f>
        <v/>
      </c>
    </row>
    <row r="259" customFormat="false" ht="15.75" hidden="false" customHeight="true" outlineLevel="0" collapsed="false">
      <c r="A259" s="125"/>
      <c r="B259" s="101"/>
      <c r="C259" s="101"/>
      <c r="D259" s="101"/>
      <c r="E259" s="101"/>
      <c r="F259" s="101"/>
      <c r="G259" s="101"/>
      <c r="H259" s="101"/>
      <c r="I259" s="106"/>
      <c r="J259" s="106"/>
      <c r="K259" s="106"/>
      <c r="L259" s="106"/>
      <c r="M259" s="106"/>
      <c r="N259" s="103" t="str">
        <f aca="false">IF(OR($B259="", $I259="", $J259="", $K259="", $L259="", $M259=""),"",ROUND(($I259*Lists!$AD$2)+($J259*Lists!$AD$3)+($K259*Lists!$AD$4)+($L259*Lists!$AD$5)+($M259*Lists!$AD$6),2))</f>
        <v/>
      </c>
      <c r="O259" s="103" t="str">
        <f aca="false">IF($A259="","",IFERROR(VLOOKUP($A259,'Risk Register'!$B$2:$I$1000,8,FALSE()),""))</f>
        <v/>
      </c>
      <c r="P259" s="106"/>
      <c r="Q259" s="106"/>
      <c r="R259" s="106"/>
      <c r="S259" s="106"/>
      <c r="T259" s="103" t="str">
        <f aca="false">IF(OR($B259="", $P259="", $Q259="", $R259="", $S259=""),"",ROUND(($P259*Lists!$AD$7)+($Q259*Lists!$AD$8)+($R259*Lists!$AD$9)+($S259*Lists!$AD$10),2))</f>
        <v/>
      </c>
      <c r="U259" s="106"/>
      <c r="V259" s="106"/>
      <c r="W259" s="106"/>
      <c r="X259" s="106"/>
      <c r="Y259" s="106"/>
      <c r="Z259" s="103" t="str">
        <f aca="false">IF(OR($B259="", $U259="", $V259="", $W259="", $X259="", $Y259=""),"",ROUND(($U259*Lists!$AD$11)+($V259*Lists!$AD$12)+($W259*Lists!$AD$13)+($X259*Lists!$AD$14)+($Y259*Lists!$AD$15),2))</f>
        <v/>
      </c>
      <c r="AA259" s="103" t="str">
        <f aca="false">IF(OR($B259="", $N259="", $O259="", $T259="", $Z259=""),"",ROUND(($N259*Lists!$AD$16)-($O259*Lists!$AD$17)-($T259*Lists!$AD$18)+($Z259*Lists!$AD$19),2))</f>
        <v/>
      </c>
      <c r="AB259" s="102" t="str">
        <f aca="false">IF(OR($B259="", $N259="", $Z259=""),"",IF($N259&gt;=Lists!$AG$2,IF($Z259&gt;=Lists!$AG$3,"Invest","Migrate"),IF($Z259&gt;=Lists!$AG$3,"Tolerate","Eliminate")))</f>
        <v/>
      </c>
      <c r="AC259" s="102" t="str">
        <f aca="false">IF($B259="","",IF($J259&gt;=4,"Yes",""))</f>
        <v/>
      </c>
      <c r="AD259" s="102" t="str">
        <f aca="false">IF($A259="","",IFERROR(IF(VLOOKUP($A259,'Risk Register'!$B$2:$H$1000,4,FALSE())&gt;=4,"Yes",""),""))</f>
        <v/>
      </c>
      <c r="AE259" s="102" t="str">
        <f aca="false">IF(OR($N259="", $O259=""),"",IF($N259&gt;=Lists!$AG$2,IF($O259&gt;=Lists!$AG$4,"High Value / High Risk","High Value / Low Risk"),IF($O259&gt;=Lists!$AG$4,"Low Value / High Risk","Low Value / Low Risk")))</f>
        <v/>
      </c>
      <c r="AF259" s="101"/>
      <c r="AG259" s="126"/>
      <c r="AH259" s="106" t="str">
        <f aca="false">IF($B259="","",COUNTIFS('Debt Backlog'!$AF$2:$AF$1000,$A259,'Debt Backlog'!$B$2:$B$1000,"&lt;&gt;",'Debt Backlog'!$N$2:$N$1000,"&lt;&gt;Done",'Debt Backlog'!$N$2:$N$1000,"&lt;&gt;Won't Fix",'Debt Backlog'!$N$2:$N$1000,"&lt;&gt;Duplicate"))</f>
        <v/>
      </c>
      <c r="AI259" s="103" t="str">
        <f aca="false">IF($B259="","",ROUND(SUMIFS('Debt Backlog'!$L$2:$L$1000,'Debt Backlog'!$AF$2:$AF$1000,$A259,'Debt Backlog'!$B$2:$B$1000,"&lt;&gt;",'Debt Backlog'!$N$2:$N$1000,"&lt;&gt;Done",'Debt Backlog'!$N$2:$N$1000,"&lt;&gt;Won't Fix",'Debt Backlog'!$N$2:$N$1000,"&lt;&gt;Duplicate"),2))</f>
        <v/>
      </c>
    </row>
    <row r="260" customFormat="false" ht="15.75" hidden="false" customHeight="true" outlineLevel="0" collapsed="false">
      <c r="A260" s="125"/>
      <c r="B260" s="101"/>
      <c r="C260" s="101"/>
      <c r="D260" s="101"/>
      <c r="E260" s="101"/>
      <c r="F260" s="101"/>
      <c r="G260" s="101"/>
      <c r="H260" s="101"/>
      <c r="I260" s="106"/>
      <c r="J260" s="106"/>
      <c r="K260" s="106"/>
      <c r="L260" s="106"/>
      <c r="M260" s="106"/>
      <c r="N260" s="103" t="str">
        <f aca="false">IF(OR($B260="", $I260="", $J260="", $K260="", $L260="", $M260=""),"",ROUND(($I260*Lists!$AD$2)+($J260*Lists!$AD$3)+($K260*Lists!$AD$4)+($L260*Lists!$AD$5)+($M260*Lists!$AD$6),2))</f>
        <v/>
      </c>
      <c r="O260" s="103" t="str">
        <f aca="false">IF($A260="","",IFERROR(VLOOKUP($A260,'Risk Register'!$B$2:$I$1000,8,FALSE()),""))</f>
        <v/>
      </c>
      <c r="P260" s="106"/>
      <c r="Q260" s="106"/>
      <c r="R260" s="106"/>
      <c r="S260" s="106"/>
      <c r="T260" s="103" t="str">
        <f aca="false">IF(OR($B260="", $P260="", $Q260="", $R260="", $S260=""),"",ROUND(($P260*Lists!$AD$7)+($Q260*Lists!$AD$8)+($R260*Lists!$AD$9)+($S260*Lists!$AD$10),2))</f>
        <v/>
      </c>
      <c r="U260" s="106"/>
      <c r="V260" s="106"/>
      <c r="W260" s="106"/>
      <c r="X260" s="106"/>
      <c r="Y260" s="106"/>
      <c r="Z260" s="103" t="str">
        <f aca="false">IF(OR($B260="", $U260="", $V260="", $W260="", $X260="", $Y260=""),"",ROUND(($U260*Lists!$AD$11)+($V260*Lists!$AD$12)+($W260*Lists!$AD$13)+($X260*Lists!$AD$14)+($Y260*Lists!$AD$15),2))</f>
        <v/>
      </c>
      <c r="AA260" s="103" t="str">
        <f aca="false">IF(OR($B260="", $N260="", $O260="", $T260="", $Z260=""),"",ROUND(($N260*Lists!$AD$16)-($O260*Lists!$AD$17)-($T260*Lists!$AD$18)+($Z260*Lists!$AD$19),2))</f>
        <v/>
      </c>
      <c r="AB260" s="102" t="str">
        <f aca="false">IF(OR($B260="", $N260="", $Z260=""),"",IF($N260&gt;=Lists!$AG$2,IF($Z260&gt;=Lists!$AG$3,"Invest","Migrate"),IF($Z260&gt;=Lists!$AG$3,"Tolerate","Eliminate")))</f>
        <v/>
      </c>
      <c r="AC260" s="102" t="str">
        <f aca="false">IF($B260="","",IF($J260&gt;=4,"Yes",""))</f>
        <v/>
      </c>
      <c r="AD260" s="102" t="str">
        <f aca="false">IF($A260="","",IFERROR(IF(VLOOKUP($A260,'Risk Register'!$B$2:$H$1000,4,FALSE())&gt;=4,"Yes",""),""))</f>
        <v/>
      </c>
      <c r="AE260" s="102" t="str">
        <f aca="false">IF(OR($N260="", $O260=""),"",IF($N260&gt;=Lists!$AG$2,IF($O260&gt;=Lists!$AG$4,"High Value / High Risk","High Value / Low Risk"),IF($O260&gt;=Lists!$AG$4,"Low Value / High Risk","Low Value / Low Risk")))</f>
        <v/>
      </c>
      <c r="AF260" s="101"/>
      <c r="AG260" s="126"/>
      <c r="AH260" s="106" t="str">
        <f aca="false">IF($B260="","",COUNTIFS('Debt Backlog'!$AF$2:$AF$1000,$A260,'Debt Backlog'!$B$2:$B$1000,"&lt;&gt;",'Debt Backlog'!$N$2:$N$1000,"&lt;&gt;Done",'Debt Backlog'!$N$2:$N$1000,"&lt;&gt;Won't Fix",'Debt Backlog'!$N$2:$N$1000,"&lt;&gt;Duplicate"))</f>
        <v/>
      </c>
      <c r="AI260" s="103" t="str">
        <f aca="false">IF($B260="","",ROUND(SUMIFS('Debt Backlog'!$L$2:$L$1000,'Debt Backlog'!$AF$2:$AF$1000,$A260,'Debt Backlog'!$B$2:$B$1000,"&lt;&gt;",'Debt Backlog'!$N$2:$N$1000,"&lt;&gt;Done",'Debt Backlog'!$N$2:$N$1000,"&lt;&gt;Won't Fix",'Debt Backlog'!$N$2:$N$1000,"&lt;&gt;Duplicate"),2))</f>
        <v/>
      </c>
    </row>
    <row r="261" customFormat="false" ht="15.75" hidden="false" customHeight="true" outlineLevel="0" collapsed="false">
      <c r="A261" s="125"/>
      <c r="B261" s="101"/>
      <c r="C261" s="101"/>
      <c r="D261" s="101"/>
      <c r="E261" s="101"/>
      <c r="F261" s="101"/>
      <c r="G261" s="101"/>
      <c r="H261" s="101"/>
      <c r="I261" s="106"/>
      <c r="J261" s="106"/>
      <c r="K261" s="106"/>
      <c r="L261" s="106"/>
      <c r="M261" s="106"/>
      <c r="N261" s="103" t="str">
        <f aca="false">IF(OR($B261="", $I261="", $J261="", $K261="", $L261="", $M261=""),"",ROUND(($I261*Lists!$AD$2)+($J261*Lists!$AD$3)+($K261*Lists!$AD$4)+($L261*Lists!$AD$5)+($M261*Lists!$AD$6),2))</f>
        <v/>
      </c>
      <c r="O261" s="103" t="str">
        <f aca="false">IF($A261="","",IFERROR(VLOOKUP($A261,'Risk Register'!$B$2:$I$1000,8,FALSE()),""))</f>
        <v/>
      </c>
      <c r="P261" s="106"/>
      <c r="Q261" s="106"/>
      <c r="R261" s="106"/>
      <c r="S261" s="106"/>
      <c r="T261" s="103" t="str">
        <f aca="false">IF(OR($B261="", $P261="", $Q261="", $R261="", $S261=""),"",ROUND(($P261*Lists!$AD$7)+($Q261*Lists!$AD$8)+($R261*Lists!$AD$9)+($S261*Lists!$AD$10),2))</f>
        <v/>
      </c>
      <c r="U261" s="106"/>
      <c r="V261" s="106"/>
      <c r="W261" s="106"/>
      <c r="X261" s="106"/>
      <c r="Y261" s="106"/>
      <c r="Z261" s="103" t="str">
        <f aca="false">IF(OR($B261="", $U261="", $V261="", $W261="", $X261="", $Y261=""),"",ROUND(($U261*Lists!$AD$11)+($V261*Lists!$AD$12)+($W261*Lists!$AD$13)+($X261*Lists!$AD$14)+($Y261*Lists!$AD$15),2))</f>
        <v/>
      </c>
      <c r="AA261" s="103" t="str">
        <f aca="false">IF(OR($B261="", $N261="", $O261="", $T261="", $Z261=""),"",ROUND(($N261*Lists!$AD$16)-($O261*Lists!$AD$17)-($T261*Lists!$AD$18)+($Z261*Lists!$AD$19),2))</f>
        <v/>
      </c>
      <c r="AB261" s="102" t="str">
        <f aca="false">IF(OR($B261="", $N261="", $Z261=""),"",IF($N261&gt;=Lists!$AG$2,IF($Z261&gt;=Lists!$AG$3,"Invest","Migrate"),IF($Z261&gt;=Lists!$AG$3,"Tolerate","Eliminate")))</f>
        <v/>
      </c>
      <c r="AC261" s="102" t="str">
        <f aca="false">IF($B261="","",IF($J261&gt;=4,"Yes",""))</f>
        <v/>
      </c>
      <c r="AD261" s="102" t="str">
        <f aca="false">IF($A261="","",IFERROR(IF(VLOOKUP($A261,'Risk Register'!$B$2:$H$1000,4,FALSE())&gt;=4,"Yes",""),""))</f>
        <v/>
      </c>
      <c r="AE261" s="102" t="str">
        <f aca="false">IF(OR($N261="", $O261=""),"",IF($N261&gt;=Lists!$AG$2,IF($O261&gt;=Lists!$AG$4,"High Value / High Risk","High Value / Low Risk"),IF($O261&gt;=Lists!$AG$4,"Low Value / High Risk","Low Value / Low Risk")))</f>
        <v/>
      </c>
      <c r="AF261" s="101"/>
      <c r="AG261" s="126"/>
      <c r="AH261" s="106" t="str">
        <f aca="false">IF($B261="","",COUNTIFS('Debt Backlog'!$AF$2:$AF$1000,$A261,'Debt Backlog'!$B$2:$B$1000,"&lt;&gt;",'Debt Backlog'!$N$2:$N$1000,"&lt;&gt;Done",'Debt Backlog'!$N$2:$N$1000,"&lt;&gt;Won't Fix",'Debt Backlog'!$N$2:$N$1000,"&lt;&gt;Duplicate"))</f>
        <v/>
      </c>
      <c r="AI261" s="103" t="str">
        <f aca="false">IF($B261="","",ROUND(SUMIFS('Debt Backlog'!$L$2:$L$1000,'Debt Backlog'!$AF$2:$AF$1000,$A261,'Debt Backlog'!$B$2:$B$1000,"&lt;&gt;",'Debt Backlog'!$N$2:$N$1000,"&lt;&gt;Done",'Debt Backlog'!$N$2:$N$1000,"&lt;&gt;Won't Fix",'Debt Backlog'!$N$2:$N$1000,"&lt;&gt;Duplicate"),2))</f>
        <v/>
      </c>
    </row>
    <row r="262" customFormat="false" ht="15.75" hidden="false" customHeight="true" outlineLevel="0" collapsed="false">
      <c r="A262" s="125"/>
      <c r="B262" s="101"/>
      <c r="C262" s="101"/>
      <c r="D262" s="101"/>
      <c r="E262" s="101"/>
      <c r="F262" s="101"/>
      <c r="G262" s="101"/>
      <c r="H262" s="101"/>
      <c r="I262" s="106"/>
      <c r="J262" s="106"/>
      <c r="K262" s="106"/>
      <c r="L262" s="106"/>
      <c r="M262" s="106"/>
      <c r="N262" s="103" t="str">
        <f aca="false">IF(OR($B262="", $I262="", $J262="", $K262="", $L262="", $M262=""),"",ROUND(($I262*Lists!$AD$2)+($J262*Lists!$AD$3)+($K262*Lists!$AD$4)+($L262*Lists!$AD$5)+($M262*Lists!$AD$6),2))</f>
        <v/>
      </c>
      <c r="O262" s="103" t="str">
        <f aca="false">IF($A262="","",IFERROR(VLOOKUP($A262,'Risk Register'!$B$2:$I$1000,8,FALSE()),""))</f>
        <v/>
      </c>
      <c r="P262" s="106"/>
      <c r="Q262" s="106"/>
      <c r="R262" s="106"/>
      <c r="S262" s="106"/>
      <c r="T262" s="103" t="str">
        <f aca="false">IF(OR($B262="", $P262="", $Q262="", $R262="", $S262=""),"",ROUND(($P262*Lists!$AD$7)+($Q262*Lists!$AD$8)+($R262*Lists!$AD$9)+($S262*Lists!$AD$10),2))</f>
        <v/>
      </c>
      <c r="U262" s="106"/>
      <c r="V262" s="106"/>
      <c r="W262" s="106"/>
      <c r="X262" s="106"/>
      <c r="Y262" s="106"/>
      <c r="Z262" s="103" t="str">
        <f aca="false">IF(OR($B262="", $U262="", $V262="", $W262="", $X262="", $Y262=""),"",ROUND(($U262*Lists!$AD$11)+($V262*Lists!$AD$12)+($W262*Lists!$AD$13)+($X262*Lists!$AD$14)+($Y262*Lists!$AD$15),2))</f>
        <v/>
      </c>
      <c r="AA262" s="103" t="str">
        <f aca="false">IF(OR($B262="", $N262="", $O262="", $T262="", $Z262=""),"",ROUND(($N262*Lists!$AD$16)-($O262*Lists!$AD$17)-($T262*Lists!$AD$18)+($Z262*Lists!$AD$19),2))</f>
        <v/>
      </c>
      <c r="AB262" s="102" t="str">
        <f aca="false">IF(OR($B262="", $N262="", $Z262=""),"",IF($N262&gt;=Lists!$AG$2,IF($Z262&gt;=Lists!$AG$3,"Invest","Migrate"),IF($Z262&gt;=Lists!$AG$3,"Tolerate","Eliminate")))</f>
        <v/>
      </c>
      <c r="AC262" s="102" t="str">
        <f aca="false">IF($B262="","",IF($J262&gt;=4,"Yes",""))</f>
        <v/>
      </c>
      <c r="AD262" s="102" t="str">
        <f aca="false">IF($A262="","",IFERROR(IF(VLOOKUP($A262,'Risk Register'!$B$2:$H$1000,4,FALSE())&gt;=4,"Yes",""),""))</f>
        <v/>
      </c>
      <c r="AE262" s="102" t="str">
        <f aca="false">IF(OR($N262="", $O262=""),"",IF($N262&gt;=Lists!$AG$2,IF($O262&gt;=Lists!$AG$4,"High Value / High Risk","High Value / Low Risk"),IF($O262&gt;=Lists!$AG$4,"Low Value / High Risk","Low Value / Low Risk")))</f>
        <v/>
      </c>
      <c r="AF262" s="101"/>
      <c r="AG262" s="126"/>
      <c r="AH262" s="106" t="str">
        <f aca="false">IF($B262="","",COUNTIFS('Debt Backlog'!$AF$2:$AF$1000,$A262,'Debt Backlog'!$B$2:$B$1000,"&lt;&gt;",'Debt Backlog'!$N$2:$N$1000,"&lt;&gt;Done",'Debt Backlog'!$N$2:$N$1000,"&lt;&gt;Won't Fix",'Debt Backlog'!$N$2:$N$1000,"&lt;&gt;Duplicate"))</f>
        <v/>
      </c>
      <c r="AI262" s="103" t="str">
        <f aca="false">IF($B262="","",ROUND(SUMIFS('Debt Backlog'!$L$2:$L$1000,'Debt Backlog'!$AF$2:$AF$1000,$A262,'Debt Backlog'!$B$2:$B$1000,"&lt;&gt;",'Debt Backlog'!$N$2:$N$1000,"&lt;&gt;Done",'Debt Backlog'!$N$2:$N$1000,"&lt;&gt;Won't Fix",'Debt Backlog'!$N$2:$N$1000,"&lt;&gt;Duplicate"),2))</f>
        <v/>
      </c>
    </row>
    <row r="263" customFormat="false" ht="15.75" hidden="false" customHeight="true" outlineLevel="0" collapsed="false">
      <c r="A263" s="125"/>
      <c r="B263" s="101"/>
      <c r="C263" s="101"/>
      <c r="D263" s="101"/>
      <c r="E263" s="101"/>
      <c r="F263" s="101"/>
      <c r="G263" s="101"/>
      <c r="H263" s="101"/>
      <c r="I263" s="106"/>
      <c r="J263" s="106"/>
      <c r="K263" s="106"/>
      <c r="L263" s="106"/>
      <c r="M263" s="106"/>
      <c r="N263" s="103" t="str">
        <f aca="false">IF(OR($B263="", $I263="", $J263="", $K263="", $L263="", $M263=""),"",ROUND(($I263*Lists!$AD$2)+($J263*Lists!$AD$3)+($K263*Lists!$AD$4)+($L263*Lists!$AD$5)+($M263*Lists!$AD$6),2))</f>
        <v/>
      </c>
      <c r="O263" s="103" t="str">
        <f aca="false">IF($A263="","",IFERROR(VLOOKUP($A263,'Risk Register'!$B$2:$I$1000,8,FALSE()),""))</f>
        <v/>
      </c>
      <c r="P263" s="106"/>
      <c r="Q263" s="106"/>
      <c r="R263" s="106"/>
      <c r="S263" s="106"/>
      <c r="T263" s="103" t="str">
        <f aca="false">IF(OR($B263="", $P263="", $Q263="", $R263="", $S263=""),"",ROUND(($P263*Lists!$AD$7)+($Q263*Lists!$AD$8)+($R263*Lists!$AD$9)+($S263*Lists!$AD$10),2))</f>
        <v/>
      </c>
      <c r="U263" s="106"/>
      <c r="V263" s="106"/>
      <c r="W263" s="106"/>
      <c r="X263" s="106"/>
      <c r="Y263" s="106"/>
      <c r="Z263" s="103" t="str">
        <f aca="false">IF(OR($B263="", $U263="", $V263="", $W263="", $X263="", $Y263=""),"",ROUND(($U263*Lists!$AD$11)+($V263*Lists!$AD$12)+($W263*Lists!$AD$13)+($X263*Lists!$AD$14)+($Y263*Lists!$AD$15),2))</f>
        <v/>
      </c>
      <c r="AA263" s="103" t="str">
        <f aca="false">IF(OR($B263="", $N263="", $O263="", $T263="", $Z263=""),"",ROUND(($N263*Lists!$AD$16)-($O263*Lists!$AD$17)-($T263*Lists!$AD$18)+($Z263*Lists!$AD$19),2))</f>
        <v/>
      </c>
      <c r="AB263" s="102" t="str">
        <f aca="false">IF(OR($B263="", $N263="", $Z263=""),"",IF($N263&gt;=Lists!$AG$2,IF($Z263&gt;=Lists!$AG$3,"Invest","Migrate"),IF($Z263&gt;=Lists!$AG$3,"Tolerate","Eliminate")))</f>
        <v/>
      </c>
      <c r="AC263" s="102" t="str">
        <f aca="false">IF($B263="","",IF($J263&gt;=4,"Yes",""))</f>
        <v/>
      </c>
      <c r="AD263" s="102" t="str">
        <f aca="false">IF($A263="","",IFERROR(IF(VLOOKUP($A263,'Risk Register'!$B$2:$H$1000,4,FALSE())&gt;=4,"Yes",""),""))</f>
        <v/>
      </c>
      <c r="AE263" s="102" t="str">
        <f aca="false">IF(OR($N263="", $O263=""),"",IF($N263&gt;=Lists!$AG$2,IF($O263&gt;=Lists!$AG$4,"High Value / High Risk","High Value / Low Risk"),IF($O263&gt;=Lists!$AG$4,"Low Value / High Risk","Low Value / Low Risk")))</f>
        <v/>
      </c>
      <c r="AF263" s="101"/>
      <c r="AG263" s="126"/>
      <c r="AH263" s="106" t="str">
        <f aca="false">IF($B263="","",COUNTIFS('Debt Backlog'!$AF$2:$AF$1000,$A263,'Debt Backlog'!$B$2:$B$1000,"&lt;&gt;",'Debt Backlog'!$N$2:$N$1000,"&lt;&gt;Done",'Debt Backlog'!$N$2:$N$1000,"&lt;&gt;Won't Fix",'Debt Backlog'!$N$2:$N$1000,"&lt;&gt;Duplicate"))</f>
        <v/>
      </c>
      <c r="AI263" s="103" t="str">
        <f aca="false">IF($B263="","",ROUND(SUMIFS('Debt Backlog'!$L$2:$L$1000,'Debt Backlog'!$AF$2:$AF$1000,$A263,'Debt Backlog'!$B$2:$B$1000,"&lt;&gt;",'Debt Backlog'!$N$2:$N$1000,"&lt;&gt;Done",'Debt Backlog'!$N$2:$N$1000,"&lt;&gt;Won't Fix",'Debt Backlog'!$N$2:$N$1000,"&lt;&gt;Duplicate"),2))</f>
        <v/>
      </c>
    </row>
    <row r="264" customFormat="false" ht="15.75" hidden="false" customHeight="true" outlineLevel="0" collapsed="false">
      <c r="A264" s="125"/>
      <c r="B264" s="101"/>
      <c r="C264" s="101"/>
      <c r="D264" s="101"/>
      <c r="E264" s="101"/>
      <c r="F264" s="101"/>
      <c r="G264" s="101"/>
      <c r="H264" s="101"/>
      <c r="I264" s="106"/>
      <c r="J264" s="106"/>
      <c r="K264" s="106"/>
      <c r="L264" s="106"/>
      <c r="M264" s="106"/>
      <c r="N264" s="103" t="str">
        <f aca="false">IF(OR($B264="", $I264="", $J264="", $K264="", $L264="", $M264=""),"",ROUND(($I264*Lists!$AD$2)+($J264*Lists!$AD$3)+($K264*Lists!$AD$4)+($L264*Lists!$AD$5)+($M264*Lists!$AD$6),2))</f>
        <v/>
      </c>
      <c r="O264" s="103" t="str">
        <f aca="false">IF($A264="","",IFERROR(VLOOKUP($A264,'Risk Register'!$B$2:$I$1000,8,FALSE()),""))</f>
        <v/>
      </c>
      <c r="P264" s="106"/>
      <c r="Q264" s="106"/>
      <c r="R264" s="106"/>
      <c r="S264" s="106"/>
      <c r="T264" s="103" t="str">
        <f aca="false">IF(OR($B264="", $P264="", $Q264="", $R264="", $S264=""),"",ROUND(($P264*Lists!$AD$7)+($Q264*Lists!$AD$8)+($R264*Lists!$AD$9)+($S264*Lists!$AD$10),2))</f>
        <v/>
      </c>
      <c r="U264" s="106"/>
      <c r="V264" s="106"/>
      <c r="W264" s="106"/>
      <c r="X264" s="106"/>
      <c r="Y264" s="106"/>
      <c r="Z264" s="103" t="str">
        <f aca="false">IF(OR($B264="", $U264="", $V264="", $W264="", $X264="", $Y264=""),"",ROUND(($U264*Lists!$AD$11)+($V264*Lists!$AD$12)+($W264*Lists!$AD$13)+($X264*Lists!$AD$14)+($Y264*Lists!$AD$15),2))</f>
        <v/>
      </c>
      <c r="AA264" s="103" t="str">
        <f aca="false">IF(OR($B264="", $N264="", $O264="", $T264="", $Z264=""),"",ROUND(($N264*Lists!$AD$16)-($O264*Lists!$AD$17)-($T264*Lists!$AD$18)+($Z264*Lists!$AD$19),2))</f>
        <v/>
      </c>
      <c r="AB264" s="102" t="str">
        <f aca="false">IF(OR($B264="", $N264="", $Z264=""),"",IF($N264&gt;=Lists!$AG$2,IF($Z264&gt;=Lists!$AG$3,"Invest","Migrate"),IF($Z264&gt;=Lists!$AG$3,"Tolerate","Eliminate")))</f>
        <v/>
      </c>
      <c r="AC264" s="102" t="str">
        <f aca="false">IF($B264="","",IF($J264&gt;=4,"Yes",""))</f>
        <v/>
      </c>
      <c r="AD264" s="102" t="str">
        <f aca="false">IF($A264="","",IFERROR(IF(VLOOKUP($A264,'Risk Register'!$B$2:$H$1000,4,FALSE())&gt;=4,"Yes",""),""))</f>
        <v/>
      </c>
      <c r="AE264" s="102" t="str">
        <f aca="false">IF(OR($N264="", $O264=""),"",IF($N264&gt;=Lists!$AG$2,IF($O264&gt;=Lists!$AG$4,"High Value / High Risk","High Value / Low Risk"),IF($O264&gt;=Lists!$AG$4,"Low Value / High Risk","Low Value / Low Risk")))</f>
        <v/>
      </c>
      <c r="AF264" s="101"/>
      <c r="AG264" s="126"/>
      <c r="AH264" s="106" t="str">
        <f aca="false">IF($B264="","",COUNTIFS('Debt Backlog'!$AF$2:$AF$1000,$A264,'Debt Backlog'!$B$2:$B$1000,"&lt;&gt;",'Debt Backlog'!$N$2:$N$1000,"&lt;&gt;Done",'Debt Backlog'!$N$2:$N$1000,"&lt;&gt;Won't Fix",'Debt Backlog'!$N$2:$N$1000,"&lt;&gt;Duplicate"))</f>
        <v/>
      </c>
      <c r="AI264" s="103" t="str">
        <f aca="false">IF($B264="","",ROUND(SUMIFS('Debt Backlog'!$L$2:$L$1000,'Debt Backlog'!$AF$2:$AF$1000,$A264,'Debt Backlog'!$B$2:$B$1000,"&lt;&gt;",'Debt Backlog'!$N$2:$N$1000,"&lt;&gt;Done",'Debt Backlog'!$N$2:$N$1000,"&lt;&gt;Won't Fix",'Debt Backlog'!$N$2:$N$1000,"&lt;&gt;Duplicate"),2))</f>
        <v/>
      </c>
    </row>
    <row r="265" customFormat="false" ht="15.75" hidden="false" customHeight="true" outlineLevel="0" collapsed="false">
      <c r="A265" s="125"/>
      <c r="B265" s="101"/>
      <c r="C265" s="101"/>
      <c r="D265" s="101"/>
      <c r="E265" s="101"/>
      <c r="F265" s="101"/>
      <c r="G265" s="101"/>
      <c r="H265" s="101"/>
      <c r="I265" s="106"/>
      <c r="J265" s="106"/>
      <c r="K265" s="106"/>
      <c r="L265" s="106"/>
      <c r="M265" s="106"/>
      <c r="N265" s="103" t="str">
        <f aca="false">IF(OR($B265="", $I265="", $J265="", $K265="", $L265="", $M265=""),"",ROUND(($I265*Lists!$AD$2)+($J265*Lists!$AD$3)+($K265*Lists!$AD$4)+($L265*Lists!$AD$5)+($M265*Lists!$AD$6),2))</f>
        <v/>
      </c>
      <c r="O265" s="103" t="str">
        <f aca="false">IF($A265="","",IFERROR(VLOOKUP($A265,'Risk Register'!$B$2:$I$1000,8,FALSE()),""))</f>
        <v/>
      </c>
      <c r="P265" s="106"/>
      <c r="Q265" s="106"/>
      <c r="R265" s="106"/>
      <c r="S265" s="106"/>
      <c r="T265" s="103" t="str">
        <f aca="false">IF(OR($B265="", $P265="", $Q265="", $R265="", $S265=""),"",ROUND(($P265*Lists!$AD$7)+($Q265*Lists!$AD$8)+($R265*Lists!$AD$9)+($S265*Lists!$AD$10),2))</f>
        <v/>
      </c>
      <c r="U265" s="106"/>
      <c r="V265" s="106"/>
      <c r="W265" s="106"/>
      <c r="X265" s="106"/>
      <c r="Y265" s="106"/>
      <c r="Z265" s="103" t="str">
        <f aca="false">IF(OR($B265="", $U265="", $V265="", $W265="", $X265="", $Y265=""),"",ROUND(($U265*Lists!$AD$11)+($V265*Lists!$AD$12)+($W265*Lists!$AD$13)+($X265*Lists!$AD$14)+($Y265*Lists!$AD$15),2))</f>
        <v/>
      </c>
      <c r="AA265" s="103" t="str">
        <f aca="false">IF(OR($B265="", $N265="", $O265="", $T265="", $Z265=""),"",ROUND(($N265*Lists!$AD$16)-($O265*Lists!$AD$17)-($T265*Lists!$AD$18)+($Z265*Lists!$AD$19),2))</f>
        <v/>
      </c>
      <c r="AB265" s="102" t="str">
        <f aca="false">IF(OR($B265="", $N265="", $Z265=""),"",IF($N265&gt;=Lists!$AG$2,IF($Z265&gt;=Lists!$AG$3,"Invest","Migrate"),IF($Z265&gt;=Lists!$AG$3,"Tolerate","Eliminate")))</f>
        <v/>
      </c>
      <c r="AC265" s="102" t="str">
        <f aca="false">IF($B265="","",IF($J265&gt;=4,"Yes",""))</f>
        <v/>
      </c>
      <c r="AD265" s="102" t="str">
        <f aca="false">IF($A265="","",IFERROR(IF(VLOOKUP($A265,'Risk Register'!$B$2:$H$1000,4,FALSE())&gt;=4,"Yes",""),""))</f>
        <v/>
      </c>
      <c r="AE265" s="102" t="str">
        <f aca="false">IF(OR($N265="", $O265=""),"",IF($N265&gt;=Lists!$AG$2,IF($O265&gt;=Lists!$AG$4,"High Value / High Risk","High Value / Low Risk"),IF($O265&gt;=Lists!$AG$4,"Low Value / High Risk","Low Value / Low Risk")))</f>
        <v/>
      </c>
      <c r="AF265" s="101"/>
      <c r="AG265" s="126"/>
      <c r="AH265" s="106" t="str">
        <f aca="false">IF($B265="","",COUNTIFS('Debt Backlog'!$AF$2:$AF$1000,$A265,'Debt Backlog'!$B$2:$B$1000,"&lt;&gt;",'Debt Backlog'!$N$2:$N$1000,"&lt;&gt;Done",'Debt Backlog'!$N$2:$N$1000,"&lt;&gt;Won't Fix",'Debt Backlog'!$N$2:$N$1000,"&lt;&gt;Duplicate"))</f>
        <v/>
      </c>
      <c r="AI265" s="103" t="str">
        <f aca="false">IF($B265="","",ROUND(SUMIFS('Debt Backlog'!$L$2:$L$1000,'Debt Backlog'!$AF$2:$AF$1000,$A265,'Debt Backlog'!$B$2:$B$1000,"&lt;&gt;",'Debt Backlog'!$N$2:$N$1000,"&lt;&gt;Done",'Debt Backlog'!$N$2:$N$1000,"&lt;&gt;Won't Fix",'Debt Backlog'!$N$2:$N$1000,"&lt;&gt;Duplicate"),2))</f>
        <v/>
      </c>
    </row>
    <row r="266" customFormat="false" ht="15.75" hidden="false" customHeight="true" outlineLevel="0" collapsed="false">
      <c r="A266" s="125"/>
      <c r="B266" s="101"/>
      <c r="C266" s="101"/>
      <c r="D266" s="101"/>
      <c r="E266" s="101"/>
      <c r="F266" s="101"/>
      <c r="G266" s="101"/>
      <c r="H266" s="101"/>
      <c r="I266" s="106"/>
      <c r="J266" s="106"/>
      <c r="K266" s="106"/>
      <c r="L266" s="106"/>
      <c r="M266" s="106"/>
      <c r="N266" s="103" t="str">
        <f aca="false">IF(OR($B266="", $I266="", $J266="", $K266="", $L266="", $M266=""),"",ROUND(($I266*Lists!$AD$2)+($J266*Lists!$AD$3)+($K266*Lists!$AD$4)+($L266*Lists!$AD$5)+($M266*Lists!$AD$6),2))</f>
        <v/>
      </c>
      <c r="O266" s="103" t="str">
        <f aca="false">IF($A266="","",IFERROR(VLOOKUP($A266,'Risk Register'!$B$2:$I$1000,8,FALSE()),""))</f>
        <v/>
      </c>
      <c r="P266" s="106"/>
      <c r="Q266" s="106"/>
      <c r="R266" s="106"/>
      <c r="S266" s="106"/>
      <c r="T266" s="103" t="str">
        <f aca="false">IF(OR($B266="", $P266="", $Q266="", $R266="", $S266=""),"",ROUND(($P266*Lists!$AD$7)+($Q266*Lists!$AD$8)+($R266*Lists!$AD$9)+($S266*Lists!$AD$10),2))</f>
        <v/>
      </c>
      <c r="U266" s="106"/>
      <c r="V266" s="106"/>
      <c r="W266" s="106"/>
      <c r="X266" s="106"/>
      <c r="Y266" s="106"/>
      <c r="Z266" s="103" t="str">
        <f aca="false">IF(OR($B266="", $U266="", $V266="", $W266="", $X266="", $Y266=""),"",ROUND(($U266*Lists!$AD$11)+($V266*Lists!$AD$12)+($W266*Lists!$AD$13)+($X266*Lists!$AD$14)+($Y266*Lists!$AD$15),2))</f>
        <v/>
      </c>
      <c r="AA266" s="103" t="str">
        <f aca="false">IF(OR($B266="", $N266="", $O266="", $T266="", $Z266=""),"",ROUND(($N266*Lists!$AD$16)-($O266*Lists!$AD$17)-($T266*Lists!$AD$18)+($Z266*Lists!$AD$19),2))</f>
        <v/>
      </c>
      <c r="AB266" s="102" t="str">
        <f aca="false">IF(OR($B266="", $N266="", $Z266=""),"",IF($N266&gt;=Lists!$AG$2,IF($Z266&gt;=Lists!$AG$3,"Invest","Migrate"),IF($Z266&gt;=Lists!$AG$3,"Tolerate","Eliminate")))</f>
        <v/>
      </c>
      <c r="AC266" s="102" t="str">
        <f aca="false">IF($B266="","",IF($J266&gt;=4,"Yes",""))</f>
        <v/>
      </c>
      <c r="AD266" s="102" t="str">
        <f aca="false">IF($A266="","",IFERROR(IF(VLOOKUP($A266,'Risk Register'!$B$2:$H$1000,4,FALSE())&gt;=4,"Yes",""),""))</f>
        <v/>
      </c>
      <c r="AE266" s="102" t="str">
        <f aca="false">IF(OR($N266="", $O266=""),"",IF($N266&gt;=Lists!$AG$2,IF($O266&gt;=Lists!$AG$4,"High Value / High Risk","High Value / Low Risk"),IF($O266&gt;=Lists!$AG$4,"Low Value / High Risk","Low Value / Low Risk")))</f>
        <v/>
      </c>
      <c r="AF266" s="101"/>
      <c r="AG266" s="126"/>
      <c r="AH266" s="106" t="str">
        <f aca="false">IF($B266="","",COUNTIFS('Debt Backlog'!$AF$2:$AF$1000,$A266,'Debt Backlog'!$B$2:$B$1000,"&lt;&gt;",'Debt Backlog'!$N$2:$N$1000,"&lt;&gt;Done",'Debt Backlog'!$N$2:$N$1000,"&lt;&gt;Won't Fix",'Debt Backlog'!$N$2:$N$1000,"&lt;&gt;Duplicate"))</f>
        <v/>
      </c>
      <c r="AI266" s="103" t="str">
        <f aca="false">IF($B266="","",ROUND(SUMIFS('Debt Backlog'!$L$2:$L$1000,'Debt Backlog'!$AF$2:$AF$1000,$A266,'Debt Backlog'!$B$2:$B$1000,"&lt;&gt;",'Debt Backlog'!$N$2:$N$1000,"&lt;&gt;Done",'Debt Backlog'!$N$2:$N$1000,"&lt;&gt;Won't Fix",'Debt Backlog'!$N$2:$N$1000,"&lt;&gt;Duplicate"),2))</f>
        <v/>
      </c>
    </row>
    <row r="267" customFormat="false" ht="15.75" hidden="false" customHeight="true" outlineLevel="0" collapsed="false">
      <c r="A267" s="125"/>
      <c r="B267" s="101"/>
      <c r="C267" s="101"/>
      <c r="D267" s="101"/>
      <c r="E267" s="101"/>
      <c r="F267" s="101"/>
      <c r="G267" s="101"/>
      <c r="H267" s="101"/>
      <c r="I267" s="106"/>
      <c r="J267" s="106"/>
      <c r="K267" s="106"/>
      <c r="L267" s="106"/>
      <c r="M267" s="106"/>
      <c r="N267" s="103" t="str">
        <f aca="false">IF(OR($B267="", $I267="", $J267="", $K267="", $L267="", $M267=""),"",ROUND(($I267*Lists!$AD$2)+($J267*Lists!$AD$3)+($K267*Lists!$AD$4)+($L267*Lists!$AD$5)+($M267*Lists!$AD$6),2))</f>
        <v/>
      </c>
      <c r="O267" s="103" t="str">
        <f aca="false">IF($A267="","",IFERROR(VLOOKUP($A267,'Risk Register'!$B$2:$I$1000,8,FALSE()),""))</f>
        <v/>
      </c>
      <c r="P267" s="106"/>
      <c r="Q267" s="106"/>
      <c r="R267" s="106"/>
      <c r="S267" s="106"/>
      <c r="T267" s="103" t="str">
        <f aca="false">IF(OR($B267="", $P267="", $Q267="", $R267="", $S267=""),"",ROUND(($P267*Lists!$AD$7)+($Q267*Lists!$AD$8)+($R267*Lists!$AD$9)+($S267*Lists!$AD$10),2))</f>
        <v/>
      </c>
      <c r="U267" s="106"/>
      <c r="V267" s="106"/>
      <c r="W267" s="106"/>
      <c r="X267" s="106"/>
      <c r="Y267" s="106"/>
      <c r="Z267" s="103" t="str">
        <f aca="false">IF(OR($B267="", $U267="", $V267="", $W267="", $X267="", $Y267=""),"",ROUND(($U267*Lists!$AD$11)+($V267*Lists!$AD$12)+($W267*Lists!$AD$13)+($X267*Lists!$AD$14)+($Y267*Lists!$AD$15),2))</f>
        <v/>
      </c>
      <c r="AA267" s="103" t="str">
        <f aca="false">IF(OR($B267="", $N267="", $O267="", $T267="", $Z267=""),"",ROUND(($N267*Lists!$AD$16)-($O267*Lists!$AD$17)-($T267*Lists!$AD$18)+($Z267*Lists!$AD$19),2))</f>
        <v/>
      </c>
      <c r="AB267" s="102" t="str">
        <f aca="false">IF(OR($B267="", $N267="", $Z267=""),"",IF($N267&gt;=Lists!$AG$2,IF($Z267&gt;=Lists!$AG$3,"Invest","Migrate"),IF($Z267&gt;=Lists!$AG$3,"Tolerate","Eliminate")))</f>
        <v/>
      </c>
      <c r="AC267" s="102" t="str">
        <f aca="false">IF($B267="","",IF($J267&gt;=4,"Yes",""))</f>
        <v/>
      </c>
      <c r="AD267" s="102" t="str">
        <f aca="false">IF($A267="","",IFERROR(IF(VLOOKUP($A267,'Risk Register'!$B$2:$H$1000,4,FALSE())&gt;=4,"Yes",""),""))</f>
        <v/>
      </c>
      <c r="AE267" s="102" t="str">
        <f aca="false">IF(OR($N267="", $O267=""),"",IF($N267&gt;=Lists!$AG$2,IF($O267&gt;=Lists!$AG$4,"High Value / High Risk","High Value / Low Risk"),IF($O267&gt;=Lists!$AG$4,"Low Value / High Risk","Low Value / Low Risk")))</f>
        <v/>
      </c>
      <c r="AF267" s="101"/>
      <c r="AG267" s="126"/>
      <c r="AH267" s="106" t="str">
        <f aca="false">IF($B267="","",COUNTIFS('Debt Backlog'!$AF$2:$AF$1000,$A267,'Debt Backlog'!$B$2:$B$1000,"&lt;&gt;",'Debt Backlog'!$N$2:$N$1000,"&lt;&gt;Done",'Debt Backlog'!$N$2:$N$1000,"&lt;&gt;Won't Fix",'Debt Backlog'!$N$2:$N$1000,"&lt;&gt;Duplicate"))</f>
        <v/>
      </c>
      <c r="AI267" s="103" t="str">
        <f aca="false">IF($B267="","",ROUND(SUMIFS('Debt Backlog'!$L$2:$L$1000,'Debt Backlog'!$AF$2:$AF$1000,$A267,'Debt Backlog'!$B$2:$B$1000,"&lt;&gt;",'Debt Backlog'!$N$2:$N$1000,"&lt;&gt;Done",'Debt Backlog'!$N$2:$N$1000,"&lt;&gt;Won't Fix",'Debt Backlog'!$N$2:$N$1000,"&lt;&gt;Duplicate"),2))</f>
        <v/>
      </c>
    </row>
    <row r="268" customFormat="false" ht="15.75" hidden="false" customHeight="true" outlineLevel="0" collapsed="false">
      <c r="A268" s="125"/>
      <c r="B268" s="101"/>
      <c r="C268" s="101"/>
      <c r="D268" s="101"/>
      <c r="E268" s="101"/>
      <c r="F268" s="101"/>
      <c r="G268" s="101"/>
      <c r="H268" s="101"/>
      <c r="I268" s="106"/>
      <c r="J268" s="106"/>
      <c r="K268" s="106"/>
      <c r="L268" s="106"/>
      <c r="M268" s="106"/>
      <c r="N268" s="103" t="str">
        <f aca="false">IF(OR($B268="", $I268="", $J268="", $K268="", $L268="", $M268=""),"",ROUND(($I268*Lists!$AD$2)+($J268*Lists!$AD$3)+($K268*Lists!$AD$4)+($L268*Lists!$AD$5)+($M268*Lists!$AD$6),2))</f>
        <v/>
      </c>
      <c r="O268" s="103" t="str">
        <f aca="false">IF($A268="","",IFERROR(VLOOKUP($A268,'Risk Register'!$B$2:$I$1000,8,FALSE()),""))</f>
        <v/>
      </c>
      <c r="P268" s="106"/>
      <c r="Q268" s="106"/>
      <c r="R268" s="106"/>
      <c r="S268" s="106"/>
      <c r="T268" s="103" t="str">
        <f aca="false">IF(OR($B268="", $P268="", $Q268="", $R268="", $S268=""),"",ROUND(($P268*Lists!$AD$7)+($Q268*Lists!$AD$8)+($R268*Lists!$AD$9)+($S268*Lists!$AD$10),2))</f>
        <v/>
      </c>
      <c r="U268" s="106"/>
      <c r="V268" s="106"/>
      <c r="W268" s="106"/>
      <c r="X268" s="106"/>
      <c r="Y268" s="106"/>
      <c r="Z268" s="103" t="str">
        <f aca="false">IF(OR($B268="", $U268="", $V268="", $W268="", $X268="", $Y268=""),"",ROUND(($U268*Lists!$AD$11)+($V268*Lists!$AD$12)+($W268*Lists!$AD$13)+($X268*Lists!$AD$14)+($Y268*Lists!$AD$15),2))</f>
        <v/>
      </c>
      <c r="AA268" s="103" t="str">
        <f aca="false">IF(OR($B268="", $N268="", $O268="", $T268="", $Z268=""),"",ROUND(($N268*Lists!$AD$16)-($O268*Lists!$AD$17)-($T268*Lists!$AD$18)+($Z268*Lists!$AD$19),2))</f>
        <v/>
      </c>
      <c r="AB268" s="102" t="str">
        <f aca="false">IF(OR($B268="", $N268="", $Z268=""),"",IF($N268&gt;=Lists!$AG$2,IF($Z268&gt;=Lists!$AG$3,"Invest","Migrate"),IF($Z268&gt;=Lists!$AG$3,"Tolerate","Eliminate")))</f>
        <v/>
      </c>
      <c r="AC268" s="102" t="str">
        <f aca="false">IF($B268="","",IF($J268&gt;=4,"Yes",""))</f>
        <v/>
      </c>
      <c r="AD268" s="102" t="str">
        <f aca="false">IF($A268="","",IFERROR(IF(VLOOKUP($A268,'Risk Register'!$B$2:$H$1000,4,FALSE())&gt;=4,"Yes",""),""))</f>
        <v/>
      </c>
      <c r="AE268" s="102" t="str">
        <f aca="false">IF(OR($N268="", $O268=""),"",IF($N268&gt;=Lists!$AG$2,IF($O268&gt;=Lists!$AG$4,"High Value / High Risk","High Value / Low Risk"),IF($O268&gt;=Lists!$AG$4,"Low Value / High Risk","Low Value / Low Risk")))</f>
        <v/>
      </c>
      <c r="AF268" s="101"/>
      <c r="AG268" s="126"/>
      <c r="AH268" s="106" t="str">
        <f aca="false">IF($B268="","",COUNTIFS('Debt Backlog'!$AF$2:$AF$1000,$A268,'Debt Backlog'!$B$2:$B$1000,"&lt;&gt;",'Debt Backlog'!$N$2:$N$1000,"&lt;&gt;Done",'Debt Backlog'!$N$2:$N$1000,"&lt;&gt;Won't Fix",'Debt Backlog'!$N$2:$N$1000,"&lt;&gt;Duplicate"))</f>
        <v/>
      </c>
      <c r="AI268" s="103" t="str">
        <f aca="false">IF($B268="","",ROUND(SUMIFS('Debt Backlog'!$L$2:$L$1000,'Debt Backlog'!$AF$2:$AF$1000,$A268,'Debt Backlog'!$B$2:$B$1000,"&lt;&gt;",'Debt Backlog'!$N$2:$N$1000,"&lt;&gt;Done",'Debt Backlog'!$N$2:$N$1000,"&lt;&gt;Won't Fix",'Debt Backlog'!$N$2:$N$1000,"&lt;&gt;Duplicate"),2))</f>
        <v/>
      </c>
    </row>
    <row r="269" customFormat="false" ht="15.75" hidden="false" customHeight="true" outlineLevel="0" collapsed="false">
      <c r="A269" s="125"/>
      <c r="B269" s="101"/>
      <c r="C269" s="101"/>
      <c r="D269" s="101"/>
      <c r="E269" s="101"/>
      <c r="F269" s="101"/>
      <c r="G269" s="101"/>
      <c r="H269" s="101"/>
      <c r="I269" s="106"/>
      <c r="J269" s="106"/>
      <c r="K269" s="106"/>
      <c r="L269" s="106"/>
      <c r="M269" s="106"/>
      <c r="N269" s="103" t="str">
        <f aca="false">IF(OR($B269="", $I269="", $J269="", $K269="", $L269="", $M269=""),"",ROUND(($I269*Lists!$AD$2)+($J269*Lists!$AD$3)+($K269*Lists!$AD$4)+($L269*Lists!$AD$5)+($M269*Lists!$AD$6),2))</f>
        <v/>
      </c>
      <c r="O269" s="103" t="str">
        <f aca="false">IF($A269="","",IFERROR(VLOOKUP($A269,'Risk Register'!$B$2:$I$1000,8,FALSE()),""))</f>
        <v/>
      </c>
      <c r="P269" s="106"/>
      <c r="Q269" s="106"/>
      <c r="R269" s="106"/>
      <c r="S269" s="106"/>
      <c r="T269" s="103" t="str">
        <f aca="false">IF(OR($B269="", $P269="", $Q269="", $R269="", $S269=""),"",ROUND(($P269*Lists!$AD$7)+($Q269*Lists!$AD$8)+($R269*Lists!$AD$9)+($S269*Lists!$AD$10),2))</f>
        <v/>
      </c>
      <c r="U269" s="106"/>
      <c r="V269" s="106"/>
      <c r="W269" s="106"/>
      <c r="X269" s="106"/>
      <c r="Y269" s="106"/>
      <c r="Z269" s="103" t="str">
        <f aca="false">IF(OR($B269="", $U269="", $V269="", $W269="", $X269="", $Y269=""),"",ROUND(($U269*Lists!$AD$11)+($V269*Lists!$AD$12)+($W269*Lists!$AD$13)+($X269*Lists!$AD$14)+($Y269*Lists!$AD$15),2))</f>
        <v/>
      </c>
      <c r="AA269" s="103" t="str">
        <f aca="false">IF(OR($B269="", $N269="", $O269="", $T269="", $Z269=""),"",ROUND(($N269*Lists!$AD$16)-($O269*Lists!$AD$17)-($T269*Lists!$AD$18)+($Z269*Lists!$AD$19),2))</f>
        <v/>
      </c>
      <c r="AB269" s="102" t="str">
        <f aca="false">IF(OR($B269="", $N269="", $Z269=""),"",IF($N269&gt;=Lists!$AG$2,IF($Z269&gt;=Lists!$AG$3,"Invest","Migrate"),IF($Z269&gt;=Lists!$AG$3,"Tolerate","Eliminate")))</f>
        <v/>
      </c>
      <c r="AC269" s="102" t="str">
        <f aca="false">IF($B269="","",IF($J269&gt;=4,"Yes",""))</f>
        <v/>
      </c>
      <c r="AD269" s="102" t="str">
        <f aca="false">IF($A269="","",IFERROR(IF(VLOOKUP($A269,'Risk Register'!$B$2:$H$1000,4,FALSE())&gt;=4,"Yes",""),""))</f>
        <v/>
      </c>
      <c r="AE269" s="102" t="str">
        <f aca="false">IF(OR($N269="", $O269=""),"",IF($N269&gt;=Lists!$AG$2,IF($O269&gt;=Lists!$AG$4,"High Value / High Risk","High Value / Low Risk"),IF($O269&gt;=Lists!$AG$4,"Low Value / High Risk","Low Value / Low Risk")))</f>
        <v/>
      </c>
      <c r="AF269" s="101"/>
      <c r="AG269" s="126"/>
      <c r="AH269" s="106" t="str">
        <f aca="false">IF($B269="","",COUNTIFS('Debt Backlog'!$AF$2:$AF$1000,$A269,'Debt Backlog'!$B$2:$B$1000,"&lt;&gt;",'Debt Backlog'!$N$2:$N$1000,"&lt;&gt;Done",'Debt Backlog'!$N$2:$N$1000,"&lt;&gt;Won't Fix",'Debt Backlog'!$N$2:$N$1000,"&lt;&gt;Duplicate"))</f>
        <v/>
      </c>
      <c r="AI269" s="103" t="str">
        <f aca="false">IF($B269="","",ROUND(SUMIFS('Debt Backlog'!$L$2:$L$1000,'Debt Backlog'!$AF$2:$AF$1000,$A269,'Debt Backlog'!$B$2:$B$1000,"&lt;&gt;",'Debt Backlog'!$N$2:$N$1000,"&lt;&gt;Done",'Debt Backlog'!$N$2:$N$1000,"&lt;&gt;Won't Fix",'Debt Backlog'!$N$2:$N$1000,"&lt;&gt;Duplicate"),2))</f>
        <v/>
      </c>
    </row>
    <row r="270" customFormat="false" ht="15.75" hidden="false" customHeight="true" outlineLevel="0" collapsed="false">
      <c r="A270" s="125"/>
      <c r="B270" s="101"/>
      <c r="C270" s="101"/>
      <c r="D270" s="101"/>
      <c r="E270" s="101"/>
      <c r="F270" s="101"/>
      <c r="G270" s="101"/>
      <c r="H270" s="101"/>
      <c r="I270" s="106"/>
      <c r="J270" s="106"/>
      <c r="K270" s="106"/>
      <c r="L270" s="106"/>
      <c r="M270" s="106"/>
      <c r="N270" s="103" t="str">
        <f aca="false">IF(OR($B270="", $I270="", $J270="", $K270="", $L270="", $M270=""),"",ROUND(($I270*Lists!$AD$2)+($J270*Lists!$AD$3)+($K270*Lists!$AD$4)+($L270*Lists!$AD$5)+($M270*Lists!$AD$6),2))</f>
        <v/>
      </c>
      <c r="O270" s="103" t="str">
        <f aca="false">IF($A270="","",IFERROR(VLOOKUP($A270,'Risk Register'!$B$2:$I$1000,8,FALSE()),""))</f>
        <v/>
      </c>
      <c r="P270" s="106"/>
      <c r="Q270" s="106"/>
      <c r="R270" s="106"/>
      <c r="S270" s="106"/>
      <c r="T270" s="103" t="str">
        <f aca="false">IF(OR($B270="", $P270="", $Q270="", $R270="", $S270=""),"",ROUND(($P270*Lists!$AD$7)+($Q270*Lists!$AD$8)+($R270*Lists!$AD$9)+($S270*Lists!$AD$10),2))</f>
        <v/>
      </c>
      <c r="U270" s="106"/>
      <c r="V270" s="106"/>
      <c r="W270" s="106"/>
      <c r="X270" s="106"/>
      <c r="Y270" s="106"/>
      <c r="Z270" s="103" t="str">
        <f aca="false">IF(OR($B270="", $U270="", $V270="", $W270="", $X270="", $Y270=""),"",ROUND(($U270*Lists!$AD$11)+($V270*Lists!$AD$12)+($W270*Lists!$AD$13)+($X270*Lists!$AD$14)+($Y270*Lists!$AD$15),2))</f>
        <v/>
      </c>
      <c r="AA270" s="103" t="str">
        <f aca="false">IF(OR($B270="", $N270="", $O270="", $T270="", $Z270=""),"",ROUND(($N270*Lists!$AD$16)-($O270*Lists!$AD$17)-($T270*Lists!$AD$18)+($Z270*Lists!$AD$19),2))</f>
        <v/>
      </c>
      <c r="AB270" s="102" t="str">
        <f aca="false">IF(OR($B270="", $N270="", $Z270=""),"",IF($N270&gt;=Lists!$AG$2,IF($Z270&gt;=Lists!$AG$3,"Invest","Migrate"),IF($Z270&gt;=Lists!$AG$3,"Tolerate","Eliminate")))</f>
        <v/>
      </c>
      <c r="AC270" s="102" t="str">
        <f aca="false">IF($B270="","",IF($J270&gt;=4,"Yes",""))</f>
        <v/>
      </c>
      <c r="AD270" s="102" t="str">
        <f aca="false">IF($A270="","",IFERROR(IF(VLOOKUP($A270,'Risk Register'!$B$2:$H$1000,4,FALSE())&gt;=4,"Yes",""),""))</f>
        <v/>
      </c>
      <c r="AE270" s="102" t="str">
        <f aca="false">IF(OR($N270="", $O270=""),"",IF($N270&gt;=Lists!$AG$2,IF($O270&gt;=Lists!$AG$4,"High Value / High Risk","High Value / Low Risk"),IF($O270&gt;=Lists!$AG$4,"Low Value / High Risk","Low Value / Low Risk")))</f>
        <v/>
      </c>
      <c r="AF270" s="101"/>
      <c r="AG270" s="126"/>
      <c r="AH270" s="106" t="str">
        <f aca="false">IF($B270="","",COUNTIFS('Debt Backlog'!$AF$2:$AF$1000,$A270,'Debt Backlog'!$B$2:$B$1000,"&lt;&gt;",'Debt Backlog'!$N$2:$N$1000,"&lt;&gt;Done",'Debt Backlog'!$N$2:$N$1000,"&lt;&gt;Won't Fix",'Debt Backlog'!$N$2:$N$1000,"&lt;&gt;Duplicate"))</f>
        <v/>
      </c>
      <c r="AI270" s="103" t="str">
        <f aca="false">IF($B270="","",ROUND(SUMIFS('Debt Backlog'!$L$2:$L$1000,'Debt Backlog'!$AF$2:$AF$1000,$A270,'Debt Backlog'!$B$2:$B$1000,"&lt;&gt;",'Debt Backlog'!$N$2:$N$1000,"&lt;&gt;Done",'Debt Backlog'!$N$2:$N$1000,"&lt;&gt;Won't Fix",'Debt Backlog'!$N$2:$N$1000,"&lt;&gt;Duplicate"),2))</f>
        <v/>
      </c>
    </row>
    <row r="271" customFormat="false" ht="15.75" hidden="false" customHeight="true" outlineLevel="0" collapsed="false">
      <c r="A271" s="125"/>
      <c r="B271" s="101"/>
      <c r="C271" s="101"/>
      <c r="D271" s="101"/>
      <c r="E271" s="101"/>
      <c r="F271" s="101"/>
      <c r="G271" s="101"/>
      <c r="H271" s="101"/>
      <c r="I271" s="106"/>
      <c r="J271" s="106"/>
      <c r="K271" s="106"/>
      <c r="L271" s="106"/>
      <c r="M271" s="106"/>
      <c r="N271" s="103" t="str">
        <f aca="false">IF(OR($B271="", $I271="", $J271="", $K271="", $L271="", $M271=""),"",ROUND(($I271*Lists!$AD$2)+($J271*Lists!$AD$3)+($K271*Lists!$AD$4)+($L271*Lists!$AD$5)+($M271*Lists!$AD$6),2))</f>
        <v/>
      </c>
      <c r="O271" s="103" t="str">
        <f aca="false">IF($A271="","",IFERROR(VLOOKUP($A271,'Risk Register'!$B$2:$I$1000,8,FALSE()),""))</f>
        <v/>
      </c>
      <c r="P271" s="106"/>
      <c r="Q271" s="106"/>
      <c r="R271" s="106"/>
      <c r="S271" s="106"/>
      <c r="T271" s="103" t="str">
        <f aca="false">IF(OR($B271="", $P271="", $Q271="", $R271="", $S271=""),"",ROUND(($P271*Lists!$AD$7)+($Q271*Lists!$AD$8)+($R271*Lists!$AD$9)+($S271*Lists!$AD$10),2))</f>
        <v/>
      </c>
      <c r="U271" s="106"/>
      <c r="V271" s="106"/>
      <c r="W271" s="106"/>
      <c r="X271" s="106"/>
      <c r="Y271" s="106"/>
      <c r="Z271" s="103" t="str">
        <f aca="false">IF(OR($B271="", $U271="", $V271="", $W271="", $X271="", $Y271=""),"",ROUND(($U271*Lists!$AD$11)+($V271*Lists!$AD$12)+($W271*Lists!$AD$13)+($X271*Lists!$AD$14)+($Y271*Lists!$AD$15),2))</f>
        <v/>
      </c>
      <c r="AA271" s="103" t="str">
        <f aca="false">IF(OR($B271="", $N271="", $O271="", $T271="", $Z271=""),"",ROUND(($N271*Lists!$AD$16)-($O271*Lists!$AD$17)-($T271*Lists!$AD$18)+($Z271*Lists!$AD$19),2))</f>
        <v/>
      </c>
      <c r="AB271" s="102" t="str">
        <f aca="false">IF(OR($B271="", $N271="", $Z271=""),"",IF($N271&gt;=Lists!$AG$2,IF($Z271&gt;=Lists!$AG$3,"Invest","Migrate"),IF($Z271&gt;=Lists!$AG$3,"Tolerate","Eliminate")))</f>
        <v/>
      </c>
      <c r="AC271" s="102" t="str">
        <f aca="false">IF($B271="","",IF($J271&gt;=4,"Yes",""))</f>
        <v/>
      </c>
      <c r="AD271" s="102" t="str">
        <f aca="false">IF($A271="","",IFERROR(IF(VLOOKUP($A271,'Risk Register'!$B$2:$H$1000,4,FALSE())&gt;=4,"Yes",""),""))</f>
        <v/>
      </c>
      <c r="AE271" s="102" t="str">
        <f aca="false">IF(OR($N271="", $O271=""),"",IF($N271&gt;=Lists!$AG$2,IF($O271&gt;=Lists!$AG$4,"High Value / High Risk","High Value / Low Risk"),IF($O271&gt;=Lists!$AG$4,"Low Value / High Risk","Low Value / Low Risk")))</f>
        <v/>
      </c>
      <c r="AF271" s="101"/>
      <c r="AG271" s="126"/>
      <c r="AH271" s="106" t="str">
        <f aca="false">IF($B271="","",COUNTIFS('Debt Backlog'!$AF$2:$AF$1000,$A271,'Debt Backlog'!$B$2:$B$1000,"&lt;&gt;",'Debt Backlog'!$N$2:$N$1000,"&lt;&gt;Done",'Debt Backlog'!$N$2:$N$1000,"&lt;&gt;Won't Fix",'Debt Backlog'!$N$2:$N$1000,"&lt;&gt;Duplicate"))</f>
        <v/>
      </c>
      <c r="AI271" s="103" t="str">
        <f aca="false">IF($B271="","",ROUND(SUMIFS('Debt Backlog'!$L$2:$L$1000,'Debt Backlog'!$AF$2:$AF$1000,$A271,'Debt Backlog'!$B$2:$B$1000,"&lt;&gt;",'Debt Backlog'!$N$2:$N$1000,"&lt;&gt;Done",'Debt Backlog'!$N$2:$N$1000,"&lt;&gt;Won't Fix",'Debt Backlog'!$N$2:$N$1000,"&lt;&gt;Duplicate"),2))</f>
        <v/>
      </c>
    </row>
    <row r="272" customFormat="false" ht="15.75" hidden="false" customHeight="true" outlineLevel="0" collapsed="false">
      <c r="A272" s="125"/>
      <c r="B272" s="101"/>
      <c r="C272" s="101"/>
      <c r="D272" s="101"/>
      <c r="E272" s="101"/>
      <c r="F272" s="101"/>
      <c r="G272" s="101"/>
      <c r="H272" s="101"/>
      <c r="I272" s="106"/>
      <c r="J272" s="106"/>
      <c r="K272" s="106"/>
      <c r="L272" s="106"/>
      <c r="M272" s="106"/>
      <c r="N272" s="103" t="str">
        <f aca="false">IF(OR($B272="", $I272="", $J272="", $K272="", $L272="", $M272=""),"",ROUND(($I272*Lists!$AD$2)+($J272*Lists!$AD$3)+($K272*Lists!$AD$4)+($L272*Lists!$AD$5)+($M272*Lists!$AD$6),2))</f>
        <v/>
      </c>
      <c r="O272" s="103" t="str">
        <f aca="false">IF($A272="","",IFERROR(VLOOKUP($A272,'Risk Register'!$B$2:$I$1000,8,FALSE()),""))</f>
        <v/>
      </c>
      <c r="P272" s="106"/>
      <c r="Q272" s="106"/>
      <c r="R272" s="106"/>
      <c r="S272" s="106"/>
      <c r="T272" s="103" t="str">
        <f aca="false">IF(OR($B272="", $P272="", $Q272="", $R272="", $S272=""),"",ROUND(($P272*Lists!$AD$7)+($Q272*Lists!$AD$8)+($R272*Lists!$AD$9)+($S272*Lists!$AD$10),2))</f>
        <v/>
      </c>
      <c r="U272" s="106"/>
      <c r="V272" s="106"/>
      <c r="W272" s="106"/>
      <c r="X272" s="106"/>
      <c r="Y272" s="106"/>
      <c r="Z272" s="103" t="str">
        <f aca="false">IF(OR($B272="", $U272="", $V272="", $W272="", $X272="", $Y272=""),"",ROUND(($U272*Lists!$AD$11)+($V272*Lists!$AD$12)+($W272*Lists!$AD$13)+($X272*Lists!$AD$14)+($Y272*Lists!$AD$15),2))</f>
        <v/>
      </c>
      <c r="AA272" s="103" t="str">
        <f aca="false">IF(OR($B272="", $N272="", $O272="", $T272="", $Z272=""),"",ROUND(($N272*Lists!$AD$16)-($O272*Lists!$AD$17)-($T272*Lists!$AD$18)+($Z272*Lists!$AD$19),2))</f>
        <v/>
      </c>
      <c r="AB272" s="102" t="str">
        <f aca="false">IF(OR($B272="", $N272="", $Z272=""),"",IF($N272&gt;=Lists!$AG$2,IF($Z272&gt;=Lists!$AG$3,"Invest","Migrate"),IF($Z272&gt;=Lists!$AG$3,"Tolerate","Eliminate")))</f>
        <v/>
      </c>
      <c r="AC272" s="102" t="str">
        <f aca="false">IF($B272="","",IF($J272&gt;=4,"Yes",""))</f>
        <v/>
      </c>
      <c r="AD272" s="102" t="str">
        <f aca="false">IF($A272="","",IFERROR(IF(VLOOKUP($A272,'Risk Register'!$B$2:$H$1000,4,FALSE())&gt;=4,"Yes",""),""))</f>
        <v/>
      </c>
      <c r="AE272" s="102" t="str">
        <f aca="false">IF(OR($N272="", $O272=""),"",IF($N272&gt;=Lists!$AG$2,IF($O272&gt;=Lists!$AG$4,"High Value / High Risk","High Value / Low Risk"),IF($O272&gt;=Lists!$AG$4,"Low Value / High Risk","Low Value / Low Risk")))</f>
        <v/>
      </c>
      <c r="AF272" s="101"/>
      <c r="AG272" s="126"/>
      <c r="AH272" s="106" t="str">
        <f aca="false">IF($B272="","",COUNTIFS('Debt Backlog'!$AF$2:$AF$1000,$A272,'Debt Backlog'!$B$2:$B$1000,"&lt;&gt;",'Debt Backlog'!$N$2:$N$1000,"&lt;&gt;Done",'Debt Backlog'!$N$2:$N$1000,"&lt;&gt;Won't Fix",'Debt Backlog'!$N$2:$N$1000,"&lt;&gt;Duplicate"))</f>
        <v/>
      </c>
      <c r="AI272" s="103" t="str">
        <f aca="false">IF($B272="","",ROUND(SUMIFS('Debt Backlog'!$L$2:$L$1000,'Debt Backlog'!$AF$2:$AF$1000,$A272,'Debt Backlog'!$B$2:$B$1000,"&lt;&gt;",'Debt Backlog'!$N$2:$N$1000,"&lt;&gt;Done",'Debt Backlog'!$N$2:$N$1000,"&lt;&gt;Won't Fix",'Debt Backlog'!$N$2:$N$1000,"&lt;&gt;Duplicate"),2))</f>
        <v/>
      </c>
    </row>
    <row r="273" customFormat="false" ht="15.75" hidden="false" customHeight="true" outlineLevel="0" collapsed="false">
      <c r="A273" s="125"/>
      <c r="B273" s="101"/>
      <c r="C273" s="101"/>
      <c r="D273" s="101"/>
      <c r="E273" s="101"/>
      <c r="F273" s="101"/>
      <c r="G273" s="101"/>
      <c r="H273" s="101"/>
      <c r="I273" s="106"/>
      <c r="J273" s="106"/>
      <c r="K273" s="106"/>
      <c r="L273" s="106"/>
      <c r="M273" s="106"/>
      <c r="N273" s="103" t="str">
        <f aca="false">IF(OR($B273="", $I273="", $J273="", $K273="", $L273="", $M273=""),"",ROUND(($I273*Lists!$AD$2)+($J273*Lists!$AD$3)+($K273*Lists!$AD$4)+($L273*Lists!$AD$5)+($M273*Lists!$AD$6),2))</f>
        <v/>
      </c>
      <c r="O273" s="103" t="str">
        <f aca="false">IF($A273="","",IFERROR(VLOOKUP($A273,'Risk Register'!$B$2:$I$1000,8,FALSE()),""))</f>
        <v/>
      </c>
      <c r="P273" s="106"/>
      <c r="Q273" s="106"/>
      <c r="R273" s="106"/>
      <c r="S273" s="106"/>
      <c r="T273" s="103" t="str">
        <f aca="false">IF(OR($B273="", $P273="", $Q273="", $R273="", $S273=""),"",ROUND(($P273*Lists!$AD$7)+($Q273*Lists!$AD$8)+($R273*Lists!$AD$9)+($S273*Lists!$AD$10),2))</f>
        <v/>
      </c>
      <c r="U273" s="106"/>
      <c r="V273" s="106"/>
      <c r="W273" s="106"/>
      <c r="X273" s="106"/>
      <c r="Y273" s="106"/>
      <c r="Z273" s="103" t="str">
        <f aca="false">IF(OR($B273="", $U273="", $V273="", $W273="", $X273="", $Y273=""),"",ROUND(($U273*Lists!$AD$11)+($V273*Lists!$AD$12)+($W273*Lists!$AD$13)+($X273*Lists!$AD$14)+($Y273*Lists!$AD$15),2))</f>
        <v/>
      </c>
      <c r="AA273" s="103" t="str">
        <f aca="false">IF(OR($B273="", $N273="", $O273="", $T273="", $Z273=""),"",ROUND(($N273*Lists!$AD$16)-($O273*Lists!$AD$17)-($T273*Lists!$AD$18)+($Z273*Lists!$AD$19),2))</f>
        <v/>
      </c>
      <c r="AB273" s="102" t="str">
        <f aca="false">IF(OR($B273="", $N273="", $Z273=""),"",IF($N273&gt;=Lists!$AG$2,IF($Z273&gt;=Lists!$AG$3,"Invest","Migrate"),IF($Z273&gt;=Lists!$AG$3,"Tolerate","Eliminate")))</f>
        <v/>
      </c>
      <c r="AC273" s="102" t="str">
        <f aca="false">IF($B273="","",IF($J273&gt;=4,"Yes",""))</f>
        <v/>
      </c>
      <c r="AD273" s="102" t="str">
        <f aca="false">IF($A273="","",IFERROR(IF(VLOOKUP($A273,'Risk Register'!$B$2:$H$1000,4,FALSE())&gt;=4,"Yes",""),""))</f>
        <v/>
      </c>
      <c r="AE273" s="102" t="str">
        <f aca="false">IF(OR($N273="", $O273=""),"",IF($N273&gt;=Lists!$AG$2,IF($O273&gt;=Lists!$AG$4,"High Value / High Risk","High Value / Low Risk"),IF($O273&gt;=Lists!$AG$4,"Low Value / High Risk","Low Value / Low Risk")))</f>
        <v/>
      </c>
      <c r="AF273" s="101"/>
      <c r="AG273" s="126"/>
      <c r="AH273" s="106" t="str">
        <f aca="false">IF($B273="","",COUNTIFS('Debt Backlog'!$AF$2:$AF$1000,$A273,'Debt Backlog'!$B$2:$B$1000,"&lt;&gt;",'Debt Backlog'!$N$2:$N$1000,"&lt;&gt;Done",'Debt Backlog'!$N$2:$N$1000,"&lt;&gt;Won't Fix",'Debt Backlog'!$N$2:$N$1000,"&lt;&gt;Duplicate"))</f>
        <v/>
      </c>
      <c r="AI273" s="103" t="str">
        <f aca="false">IF($B273="","",ROUND(SUMIFS('Debt Backlog'!$L$2:$L$1000,'Debt Backlog'!$AF$2:$AF$1000,$A273,'Debt Backlog'!$B$2:$B$1000,"&lt;&gt;",'Debt Backlog'!$N$2:$N$1000,"&lt;&gt;Done",'Debt Backlog'!$N$2:$N$1000,"&lt;&gt;Won't Fix",'Debt Backlog'!$N$2:$N$1000,"&lt;&gt;Duplicate"),2))</f>
        <v/>
      </c>
    </row>
    <row r="274" customFormat="false" ht="15.75" hidden="false" customHeight="true" outlineLevel="0" collapsed="false">
      <c r="A274" s="125"/>
      <c r="B274" s="101"/>
      <c r="C274" s="101"/>
      <c r="D274" s="101"/>
      <c r="E274" s="101"/>
      <c r="F274" s="101"/>
      <c r="G274" s="101"/>
      <c r="H274" s="101"/>
      <c r="I274" s="106"/>
      <c r="J274" s="106"/>
      <c r="K274" s="106"/>
      <c r="L274" s="106"/>
      <c r="M274" s="106"/>
      <c r="N274" s="103" t="str">
        <f aca="false">IF(OR($B274="", $I274="", $J274="", $K274="", $L274="", $M274=""),"",ROUND(($I274*Lists!$AD$2)+($J274*Lists!$AD$3)+($K274*Lists!$AD$4)+($L274*Lists!$AD$5)+($M274*Lists!$AD$6),2))</f>
        <v/>
      </c>
      <c r="O274" s="103" t="str">
        <f aca="false">IF($A274="","",IFERROR(VLOOKUP($A274,'Risk Register'!$B$2:$I$1000,8,FALSE()),""))</f>
        <v/>
      </c>
      <c r="P274" s="106"/>
      <c r="Q274" s="106"/>
      <c r="R274" s="106"/>
      <c r="S274" s="106"/>
      <c r="T274" s="103" t="str">
        <f aca="false">IF(OR($B274="", $P274="", $Q274="", $R274="", $S274=""),"",ROUND(($P274*Lists!$AD$7)+($Q274*Lists!$AD$8)+($R274*Lists!$AD$9)+($S274*Lists!$AD$10),2))</f>
        <v/>
      </c>
      <c r="U274" s="106"/>
      <c r="V274" s="106"/>
      <c r="W274" s="106"/>
      <c r="X274" s="106"/>
      <c r="Y274" s="106"/>
      <c r="Z274" s="103" t="str">
        <f aca="false">IF(OR($B274="", $U274="", $V274="", $W274="", $X274="", $Y274=""),"",ROUND(($U274*Lists!$AD$11)+($V274*Lists!$AD$12)+($W274*Lists!$AD$13)+($X274*Lists!$AD$14)+($Y274*Lists!$AD$15),2))</f>
        <v/>
      </c>
      <c r="AA274" s="103" t="str">
        <f aca="false">IF(OR($B274="", $N274="", $O274="", $T274="", $Z274=""),"",ROUND(($N274*Lists!$AD$16)-($O274*Lists!$AD$17)-($T274*Lists!$AD$18)+($Z274*Lists!$AD$19),2))</f>
        <v/>
      </c>
      <c r="AB274" s="102" t="str">
        <f aca="false">IF(OR($B274="", $N274="", $Z274=""),"",IF($N274&gt;=Lists!$AG$2,IF($Z274&gt;=Lists!$AG$3,"Invest","Migrate"),IF($Z274&gt;=Lists!$AG$3,"Tolerate","Eliminate")))</f>
        <v/>
      </c>
      <c r="AC274" s="102" t="str">
        <f aca="false">IF($B274="","",IF($J274&gt;=4,"Yes",""))</f>
        <v/>
      </c>
      <c r="AD274" s="102" t="str">
        <f aca="false">IF($A274="","",IFERROR(IF(VLOOKUP($A274,'Risk Register'!$B$2:$H$1000,4,FALSE())&gt;=4,"Yes",""),""))</f>
        <v/>
      </c>
      <c r="AE274" s="102" t="str">
        <f aca="false">IF(OR($N274="", $O274=""),"",IF($N274&gt;=Lists!$AG$2,IF($O274&gt;=Lists!$AG$4,"High Value / High Risk","High Value / Low Risk"),IF($O274&gt;=Lists!$AG$4,"Low Value / High Risk","Low Value / Low Risk")))</f>
        <v/>
      </c>
      <c r="AF274" s="101"/>
      <c r="AG274" s="126"/>
      <c r="AH274" s="106" t="str">
        <f aca="false">IF($B274="","",COUNTIFS('Debt Backlog'!$AF$2:$AF$1000,$A274,'Debt Backlog'!$B$2:$B$1000,"&lt;&gt;",'Debt Backlog'!$N$2:$N$1000,"&lt;&gt;Done",'Debt Backlog'!$N$2:$N$1000,"&lt;&gt;Won't Fix",'Debt Backlog'!$N$2:$N$1000,"&lt;&gt;Duplicate"))</f>
        <v/>
      </c>
      <c r="AI274" s="103" t="str">
        <f aca="false">IF($B274="","",ROUND(SUMIFS('Debt Backlog'!$L$2:$L$1000,'Debt Backlog'!$AF$2:$AF$1000,$A274,'Debt Backlog'!$B$2:$B$1000,"&lt;&gt;",'Debt Backlog'!$N$2:$N$1000,"&lt;&gt;Done",'Debt Backlog'!$N$2:$N$1000,"&lt;&gt;Won't Fix",'Debt Backlog'!$N$2:$N$1000,"&lt;&gt;Duplicate"),2))</f>
        <v/>
      </c>
    </row>
    <row r="275" customFormat="false" ht="15.75" hidden="false" customHeight="true" outlineLevel="0" collapsed="false">
      <c r="A275" s="125"/>
      <c r="B275" s="101"/>
      <c r="C275" s="101"/>
      <c r="D275" s="101"/>
      <c r="E275" s="101"/>
      <c r="F275" s="101"/>
      <c r="G275" s="101"/>
      <c r="H275" s="101"/>
      <c r="I275" s="106"/>
      <c r="J275" s="106"/>
      <c r="K275" s="106"/>
      <c r="L275" s="106"/>
      <c r="M275" s="106"/>
      <c r="N275" s="103" t="str">
        <f aca="false">IF(OR($B275="", $I275="", $J275="", $K275="", $L275="", $M275=""),"",ROUND(($I275*Lists!$AD$2)+($J275*Lists!$AD$3)+($K275*Lists!$AD$4)+($L275*Lists!$AD$5)+($M275*Lists!$AD$6),2))</f>
        <v/>
      </c>
      <c r="O275" s="103" t="str">
        <f aca="false">IF($A275="","",IFERROR(VLOOKUP($A275,'Risk Register'!$B$2:$I$1000,8,FALSE()),""))</f>
        <v/>
      </c>
      <c r="P275" s="106"/>
      <c r="Q275" s="106"/>
      <c r="R275" s="106"/>
      <c r="S275" s="106"/>
      <c r="T275" s="103" t="str">
        <f aca="false">IF(OR($B275="", $P275="", $Q275="", $R275="", $S275=""),"",ROUND(($P275*Lists!$AD$7)+($Q275*Lists!$AD$8)+($R275*Lists!$AD$9)+($S275*Lists!$AD$10),2))</f>
        <v/>
      </c>
      <c r="U275" s="106"/>
      <c r="V275" s="106"/>
      <c r="W275" s="106"/>
      <c r="X275" s="106"/>
      <c r="Y275" s="106"/>
      <c r="Z275" s="103" t="str">
        <f aca="false">IF(OR($B275="", $U275="", $V275="", $W275="", $X275="", $Y275=""),"",ROUND(($U275*Lists!$AD$11)+($V275*Lists!$AD$12)+($W275*Lists!$AD$13)+($X275*Lists!$AD$14)+($Y275*Lists!$AD$15),2))</f>
        <v/>
      </c>
      <c r="AA275" s="103" t="str">
        <f aca="false">IF(OR($B275="", $N275="", $O275="", $T275="", $Z275=""),"",ROUND(($N275*Lists!$AD$16)-($O275*Lists!$AD$17)-($T275*Lists!$AD$18)+($Z275*Lists!$AD$19),2))</f>
        <v/>
      </c>
      <c r="AB275" s="102" t="str">
        <f aca="false">IF(OR($B275="", $N275="", $Z275=""),"",IF($N275&gt;=Lists!$AG$2,IF($Z275&gt;=Lists!$AG$3,"Invest","Migrate"),IF($Z275&gt;=Lists!$AG$3,"Tolerate","Eliminate")))</f>
        <v/>
      </c>
      <c r="AC275" s="102" t="str">
        <f aca="false">IF($B275="","",IF($J275&gt;=4,"Yes",""))</f>
        <v/>
      </c>
      <c r="AD275" s="102" t="str">
        <f aca="false">IF($A275="","",IFERROR(IF(VLOOKUP($A275,'Risk Register'!$B$2:$H$1000,4,FALSE())&gt;=4,"Yes",""),""))</f>
        <v/>
      </c>
      <c r="AE275" s="102" t="str">
        <f aca="false">IF(OR($N275="", $O275=""),"",IF($N275&gt;=Lists!$AG$2,IF($O275&gt;=Lists!$AG$4,"High Value / High Risk","High Value / Low Risk"),IF($O275&gt;=Lists!$AG$4,"Low Value / High Risk","Low Value / Low Risk")))</f>
        <v/>
      </c>
      <c r="AF275" s="101"/>
      <c r="AG275" s="126"/>
      <c r="AH275" s="106" t="str">
        <f aca="false">IF($B275="","",COUNTIFS('Debt Backlog'!$AF$2:$AF$1000,$A275,'Debt Backlog'!$B$2:$B$1000,"&lt;&gt;",'Debt Backlog'!$N$2:$N$1000,"&lt;&gt;Done",'Debt Backlog'!$N$2:$N$1000,"&lt;&gt;Won't Fix",'Debt Backlog'!$N$2:$N$1000,"&lt;&gt;Duplicate"))</f>
        <v/>
      </c>
      <c r="AI275" s="103" t="str">
        <f aca="false">IF($B275="","",ROUND(SUMIFS('Debt Backlog'!$L$2:$L$1000,'Debt Backlog'!$AF$2:$AF$1000,$A275,'Debt Backlog'!$B$2:$B$1000,"&lt;&gt;",'Debt Backlog'!$N$2:$N$1000,"&lt;&gt;Done",'Debt Backlog'!$N$2:$N$1000,"&lt;&gt;Won't Fix",'Debt Backlog'!$N$2:$N$1000,"&lt;&gt;Duplicate"),2))</f>
        <v/>
      </c>
    </row>
    <row r="276" customFormat="false" ht="15.75" hidden="false" customHeight="true" outlineLevel="0" collapsed="false">
      <c r="A276" s="125"/>
      <c r="B276" s="101"/>
      <c r="C276" s="101"/>
      <c r="D276" s="101"/>
      <c r="E276" s="101"/>
      <c r="F276" s="101"/>
      <c r="G276" s="101"/>
      <c r="H276" s="101"/>
      <c r="I276" s="106"/>
      <c r="J276" s="106"/>
      <c r="K276" s="106"/>
      <c r="L276" s="106"/>
      <c r="M276" s="106"/>
      <c r="N276" s="103" t="str">
        <f aca="false">IF(OR($B276="", $I276="", $J276="", $K276="", $L276="", $M276=""),"",ROUND(($I276*Lists!$AD$2)+($J276*Lists!$AD$3)+($K276*Lists!$AD$4)+($L276*Lists!$AD$5)+($M276*Lists!$AD$6),2))</f>
        <v/>
      </c>
      <c r="O276" s="103" t="str">
        <f aca="false">IF($A276="","",IFERROR(VLOOKUP($A276,'Risk Register'!$B$2:$I$1000,8,FALSE()),""))</f>
        <v/>
      </c>
      <c r="P276" s="106"/>
      <c r="Q276" s="106"/>
      <c r="R276" s="106"/>
      <c r="S276" s="106"/>
      <c r="T276" s="103" t="str">
        <f aca="false">IF(OR($B276="", $P276="", $Q276="", $R276="", $S276=""),"",ROUND(($P276*Lists!$AD$7)+($Q276*Lists!$AD$8)+($R276*Lists!$AD$9)+($S276*Lists!$AD$10),2))</f>
        <v/>
      </c>
      <c r="U276" s="106"/>
      <c r="V276" s="106"/>
      <c r="W276" s="106"/>
      <c r="X276" s="106"/>
      <c r="Y276" s="106"/>
      <c r="Z276" s="103" t="str">
        <f aca="false">IF(OR($B276="", $U276="", $V276="", $W276="", $X276="", $Y276=""),"",ROUND(($U276*Lists!$AD$11)+($V276*Lists!$AD$12)+($W276*Lists!$AD$13)+($X276*Lists!$AD$14)+($Y276*Lists!$AD$15),2))</f>
        <v/>
      </c>
      <c r="AA276" s="103" t="str">
        <f aca="false">IF(OR($B276="", $N276="", $O276="", $T276="", $Z276=""),"",ROUND(($N276*Lists!$AD$16)-($O276*Lists!$AD$17)-($T276*Lists!$AD$18)+($Z276*Lists!$AD$19),2))</f>
        <v/>
      </c>
      <c r="AB276" s="102" t="str">
        <f aca="false">IF(OR($B276="", $N276="", $Z276=""),"",IF($N276&gt;=Lists!$AG$2,IF($Z276&gt;=Lists!$AG$3,"Invest","Migrate"),IF($Z276&gt;=Lists!$AG$3,"Tolerate","Eliminate")))</f>
        <v/>
      </c>
      <c r="AC276" s="102" t="str">
        <f aca="false">IF($B276="","",IF($J276&gt;=4,"Yes",""))</f>
        <v/>
      </c>
      <c r="AD276" s="102" t="str">
        <f aca="false">IF($A276="","",IFERROR(IF(VLOOKUP($A276,'Risk Register'!$B$2:$H$1000,4,FALSE())&gt;=4,"Yes",""),""))</f>
        <v/>
      </c>
      <c r="AE276" s="102" t="str">
        <f aca="false">IF(OR($N276="", $O276=""),"",IF($N276&gt;=Lists!$AG$2,IF($O276&gt;=Lists!$AG$4,"High Value / High Risk","High Value / Low Risk"),IF($O276&gt;=Lists!$AG$4,"Low Value / High Risk","Low Value / Low Risk")))</f>
        <v/>
      </c>
      <c r="AF276" s="101"/>
      <c r="AG276" s="126"/>
      <c r="AH276" s="106" t="str">
        <f aca="false">IF($B276="","",COUNTIFS('Debt Backlog'!$AF$2:$AF$1000,$A276,'Debt Backlog'!$B$2:$B$1000,"&lt;&gt;",'Debt Backlog'!$N$2:$N$1000,"&lt;&gt;Done",'Debt Backlog'!$N$2:$N$1000,"&lt;&gt;Won't Fix",'Debt Backlog'!$N$2:$N$1000,"&lt;&gt;Duplicate"))</f>
        <v/>
      </c>
      <c r="AI276" s="103" t="str">
        <f aca="false">IF($B276="","",ROUND(SUMIFS('Debt Backlog'!$L$2:$L$1000,'Debt Backlog'!$AF$2:$AF$1000,$A276,'Debt Backlog'!$B$2:$B$1000,"&lt;&gt;",'Debt Backlog'!$N$2:$N$1000,"&lt;&gt;Done",'Debt Backlog'!$N$2:$N$1000,"&lt;&gt;Won't Fix",'Debt Backlog'!$N$2:$N$1000,"&lt;&gt;Duplicate"),2))</f>
        <v/>
      </c>
    </row>
    <row r="277" customFormat="false" ht="15.75" hidden="false" customHeight="true" outlineLevel="0" collapsed="false">
      <c r="A277" s="125"/>
      <c r="B277" s="101"/>
      <c r="C277" s="101"/>
      <c r="D277" s="101"/>
      <c r="E277" s="101"/>
      <c r="F277" s="101"/>
      <c r="G277" s="101"/>
      <c r="H277" s="101"/>
      <c r="I277" s="106"/>
      <c r="J277" s="106"/>
      <c r="K277" s="106"/>
      <c r="L277" s="106"/>
      <c r="M277" s="106"/>
      <c r="N277" s="103" t="str">
        <f aca="false">IF(OR($B277="", $I277="", $J277="", $K277="", $L277="", $M277=""),"",ROUND(($I277*Lists!$AD$2)+($J277*Lists!$AD$3)+($K277*Lists!$AD$4)+($L277*Lists!$AD$5)+($M277*Lists!$AD$6),2))</f>
        <v/>
      </c>
      <c r="O277" s="103" t="str">
        <f aca="false">IF($A277="","",IFERROR(VLOOKUP($A277,'Risk Register'!$B$2:$I$1000,8,FALSE()),""))</f>
        <v/>
      </c>
      <c r="P277" s="106"/>
      <c r="Q277" s="106"/>
      <c r="R277" s="106"/>
      <c r="S277" s="106"/>
      <c r="T277" s="103" t="str">
        <f aca="false">IF(OR($B277="", $P277="", $Q277="", $R277="", $S277=""),"",ROUND(($P277*Lists!$AD$7)+($Q277*Lists!$AD$8)+($R277*Lists!$AD$9)+($S277*Lists!$AD$10),2))</f>
        <v/>
      </c>
      <c r="U277" s="106"/>
      <c r="V277" s="106"/>
      <c r="W277" s="106"/>
      <c r="X277" s="106"/>
      <c r="Y277" s="106"/>
      <c r="Z277" s="103" t="str">
        <f aca="false">IF(OR($B277="", $U277="", $V277="", $W277="", $X277="", $Y277=""),"",ROUND(($U277*Lists!$AD$11)+($V277*Lists!$AD$12)+($W277*Lists!$AD$13)+($X277*Lists!$AD$14)+($Y277*Lists!$AD$15),2))</f>
        <v/>
      </c>
      <c r="AA277" s="103" t="str">
        <f aca="false">IF(OR($B277="", $N277="", $O277="", $T277="", $Z277=""),"",ROUND(($N277*Lists!$AD$16)-($O277*Lists!$AD$17)-($T277*Lists!$AD$18)+($Z277*Lists!$AD$19),2))</f>
        <v/>
      </c>
      <c r="AB277" s="102" t="str">
        <f aca="false">IF(OR($B277="", $N277="", $Z277=""),"",IF($N277&gt;=Lists!$AG$2,IF($Z277&gt;=Lists!$AG$3,"Invest","Migrate"),IF($Z277&gt;=Lists!$AG$3,"Tolerate","Eliminate")))</f>
        <v/>
      </c>
      <c r="AC277" s="102" t="str">
        <f aca="false">IF($B277="","",IF($J277&gt;=4,"Yes",""))</f>
        <v/>
      </c>
      <c r="AD277" s="102" t="str">
        <f aca="false">IF($A277="","",IFERROR(IF(VLOOKUP($A277,'Risk Register'!$B$2:$H$1000,4,FALSE())&gt;=4,"Yes",""),""))</f>
        <v/>
      </c>
      <c r="AE277" s="102" t="str">
        <f aca="false">IF(OR($N277="", $O277=""),"",IF($N277&gt;=Lists!$AG$2,IF($O277&gt;=Lists!$AG$4,"High Value / High Risk","High Value / Low Risk"),IF($O277&gt;=Lists!$AG$4,"Low Value / High Risk","Low Value / Low Risk")))</f>
        <v/>
      </c>
      <c r="AF277" s="101"/>
      <c r="AG277" s="126"/>
      <c r="AH277" s="106" t="str">
        <f aca="false">IF($B277="","",COUNTIFS('Debt Backlog'!$AF$2:$AF$1000,$A277,'Debt Backlog'!$B$2:$B$1000,"&lt;&gt;",'Debt Backlog'!$N$2:$N$1000,"&lt;&gt;Done",'Debt Backlog'!$N$2:$N$1000,"&lt;&gt;Won't Fix",'Debt Backlog'!$N$2:$N$1000,"&lt;&gt;Duplicate"))</f>
        <v/>
      </c>
      <c r="AI277" s="103" t="str">
        <f aca="false">IF($B277="","",ROUND(SUMIFS('Debt Backlog'!$L$2:$L$1000,'Debt Backlog'!$AF$2:$AF$1000,$A277,'Debt Backlog'!$B$2:$B$1000,"&lt;&gt;",'Debt Backlog'!$N$2:$N$1000,"&lt;&gt;Done",'Debt Backlog'!$N$2:$N$1000,"&lt;&gt;Won't Fix",'Debt Backlog'!$N$2:$N$1000,"&lt;&gt;Duplicate"),2))</f>
        <v/>
      </c>
    </row>
    <row r="278" customFormat="false" ht="15.75" hidden="false" customHeight="true" outlineLevel="0" collapsed="false">
      <c r="A278" s="125"/>
      <c r="B278" s="101"/>
      <c r="C278" s="101"/>
      <c r="D278" s="101"/>
      <c r="E278" s="101"/>
      <c r="F278" s="101"/>
      <c r="G278" s="101"/>
      <c r="H278" s="101"/>
      <c r="I278" s="106"/>
      <c r="J278" s="106"/>
      <c r="K278" s="106"/>
      <c r="L278" s="106"/>
      <c r="M278" s="106"/>
      <c r="N278" s="103" t="str">
        <f aca="false">IF(OR($B278="", $I278="", $J278="", $K278="", $L278="", $M278=""),"",ROUND(($I278*Lists!$AD$2)+($J278*Lists!$AD$3)+($K278*Lists!$AD$4)+($L278*Lists!$AD$5)+($M278*Lists!$AD$6),2))</f>
        <v/>
      </c>
      <c r="O278" s="103" t="str">
        <f aca="false">IF($A278="","",IFERROR(VLOOKUP($A278,'Risk Register'!$B$2:$I$1000,8,FALSE()),""))</f>
        <v/>
      </c>
      <c r="P278" s="106"/>
      <c r="Q278" s="106"/>
      <c r="R278" s="106"/>
      <c r="S278" s="106"/>
      <c r="T278" s="103" t="str">
        <f aca="false">IF(OR($B278="", $P278="", $Q278="", $R278="", $S278=""),"",ROUND(($P278*Lists!$AD$7)+($Q278*Lists!$AD$8)+($R278*Lists!$AD$9)+($S278*Lists!$AD$10),2))</f>
        <v/>
      </c>
      <c r="U278" s="106"/>
      <c r="V278" s="106"/>
      <c r="W278" s="106"/>
      <c r="X278" s="106"/>
      <c r="Y278" s="106"/>
      <c r="Z278" s="103" t="str">
        <f aca="false">IF(OR($B278="", $U278="", $V278="", $W278="", $X278="", $Y278=""),"",ROUND(($U278*Lists!$AD$11)+($V278*Lists!$AD$12)+($W278*Lists!$AD$13)+($X278*Lists!$AD$14)+($Y278*Lists!$AD$15),2))</f>
        <v/>
      </c>
      <c r="AA278" s="103" t="str">
        <f aca="false">IF(OR($B278="", $N278="", $O278="", $T278="", $Z278=""),"",ROUND(($N278*Lists!$AD$16)-($O278*Lists!$AD$17)-($T278*Lists!$AD$18)+($Z278*Lists!$AD$19),2))</f>
        <v/>
      </c>
      <c r="AB278" s="102" t="str">
        <f aca="false">IF(OR($B278="", $N278="", $Z278=""),"",IF($N278&gt;=Lists!$AG$2,IF($Z278&gt;=Lists!$AG$3,"Invest","Migrate"),IF($Z278&gt;=Lists!$AG$3,"Tolerate","Eliminate")))</f>
        <v/>
      </c>
      <c r="AC278" s="102" t="str">
        <f aca="false">IF($B278="","",IF($J278&gt;=4,"Yes",""))</f>
        <v/>
      </c>
      <c r="AD278" s="102" t="str">
        <f aca="false">IF($A278="","",IFERROR(IF(VLOOKUP($A278,'Risk Register'!$B$2:$H$1000,4,FALSE())&gt;=4,"Yes",""),""))</f>
        <v/>
      </c>
      <c r="AE278" s="102" t="str">
        <f aca="false">IF(OR($N278="", $O278=""),"",IF($N278&gt;=Lists!$AG$2,IF($O278&gt;=Lists!$AG$4,"High Value / High Risk","High Value / Low Risk"),IF($O278&gt;=Lists!$AG$4,"Low Value / High Risk","Low Value / Low Risk")))</f>
        <v/>
      </c>
      <c r="AF278" s="101"/>
      <c r="AG278" s="126"/>
      <c r="AH278" s="106" t="str">
        <f aca="false">IF($B278="","",COUNTIFS('Debt Backlog'!$AF$2:$AF$1000,$A278,'Debt Backlog'!$B$2:$B$1000,"&lt;&gt;",'Debt Backlog'!$N$2:$N$1000,"&lt;&gt;Done",'Debt Backlog'!$N$2:$N$1000,"&lt;&gt;Won't Fix",'Debt Backlog'!$N$2:$N$1000,"&lt;&gt;Duplicate"))</f>
        <v/>
      </c>
      <c r="AI278" s="103" t="str">
        <f aca="false">IF($B278="","",ROUND(SUMIFS('Debt Backlog'!$L$2:$L$1000,'Debt Backlog'!$AF$2:$AF$1000,$A278,'Debt Backlog'!$B$2:$B$1000,"&lt;&gt;",'Debt Backlog'!$N$2:$N$1000,"&lt;&gt;Done",'Debt Backlog'!$N$2:$N$1000,"&lt;&gt;Won't Fix",'Debt Backlog'!$N$2:$N$1000,"&lt;&gt;Duplicate"),2))</f>
        <v/>
      </c>
    </row>
    <row r="279" customFormat="false" ht="15.75" hidden="false" customHeight="true" outlineLevel="0" collapsed="false">
      <c r="A279" s="125"/>
      <c r="B279" s="101"/>
      <c r="C279" s="101"/>
      <c r="D279" s="101"/>
      <c r="E279" s="101"/>
      <c r="F279" s="101"/>
      <c r="G279" s="101"/>
      <c r="H279" s="101"/>
      <c r="I279" s="106"/>
      <c r="J279" s="106"/>
      <c r="K279" s="106"/>
      <c r="L279" s="106"/>
      <c r="M279" s="106"/>
      <c r="N279" s="103" t="str">
        <f aca="false">IF(OR($B279="", $I279="", $J279="", $K279="", $L279="", $M279=""),"",ROUND(($I279*Lists!$AD$2)+($J279*Lists!$AD$3)+($K279*Lists!$AD$4)+($L279*Lists!$AD$5)+($M279*Lists!$AD$6),2))</f>
        <v/>
      </c>
      <c r="O279" s="103" t="str">
        <f aca="false">IF($A279="","",IFERROR(VLOOKUP($A279,'Risk Register'!$B$2:$I$1000,8,FALSE()),""))</f>
        <v/>
      </c>
      <c r="P279" s="106"/>
      <c r="Q279" s="106"/>
      <c r="R279" s="106"/>
      <c r="S279" s="106"/>
      <c r="T279" s="103" t="str">
        <f aca="false">IF(OR($B279="", $P279="", $Q279="", $R279="", $S279=""),"",ROUND(($P279*Lists!$AD$7)+($Q279*Lists!$AD$8)+($R279*Lists!$AD$9)+($S279*Lists!$AD$10),2))</f>
        <v/>
      </c>
      <c r="U279" s="106"/>
      <c r="V279" s="106"/>
      <c r="W279" s="106"/>
      <c r="X279" s="106"/>
      <c r="Y279" s="106"/>
      <c r="Z279" s="103" t="str">
        <f aca="false">IF(OR($B279="", $U279="", $V279="", $W279="", $X279="", $Y279=""),"",ROUND(($U279*Lists!$AD$11)+($V279*Lists!$AD$12)+($W279*Lists!$AD$13)+($X279*Lists!$AD$14)+($Y279*Lists!$AD$15),2))</f>
        <v/>
      </c>
      <c r="AA279" s="103" t="str">
        <f aca="false">IF(OR($B279="", $N279="", $O279="", $T279="", $Z279=""),"",ROUND(($N279*Lists!$AD$16)-($O279*Lists!$AD$17)-($T279*Lists!$AD$18)+($Z279*Lists!$AD$19),2))</f>
        <v/>
      </c>
      <c r="AB279" s="102" t="str">
        <f aca="false">IF(OR($B279="", $N279="", $Z279=""),"",IF($N279&gt;=Lists!$AG$2,IF($Z279&gt;=Lists!$AG$3,"Invest","Migrate"),IF($Z279&gt;=Lists!$AG$3,"Tolerate","Eliminate")))</f>
        <v/>
      </c>
      <c r="AC279" s="102" t="str">
        <f aca="false">IF($B279="","",IF($J279&gt;=4,"Yes",""))</f>
        <v/>
      </c>
      <c r="AD279" s="102" t="str">
        <f aca="false">IF($A279="","",IFERROR(IF(VLOOKUP($A279,'Risk Register'!$B$2:$H$1000,4,FALSE())&gt;=4,"Yes",""),""))</f>
        <v/>
      </c>
      <c r="AE279" s="102" t="str">
        <f aca="false">IF(OR($N279="", $O279=""),"",IF($N279&gt;=Lists!$AG$2,IF($O279&gt;=Lists!$AG$4,"High Value / High Risk","High Value / Low Risk"),IF($O279&gt;=Lists!$AG$4,"Low Value / High Risk","Low Value / Low Risk")))</f>
        <v/>
      </c>
      <c r="AF279" s="101"/>
      <c r="AG279" s="126"/>
      <c r="AH279" s="106" t="str">
        <f aca="false">IF($B279="","",COUNTIFS('Debt Backlog'!$AF$2:$AF$1000,$A279,'Debt Backlog'!$B$2:$B$1000,"&lt;&gt;",'Debt Backlog'!$N$2:$N$1000,"&lt;&gt;Done",'Debt Backlog'!$N$2:$N$1000,"&lt;&gt;Won't Fix",'Debt Backlog'!$N$2:$N$1000,"&lt;&gt;Duplicate"))</f>
        <v/>
      </c>
      <c r="AI279" s="103" t="str">
        <f aca="false">IF($B279="","",ROUND(SUMIFS('Debt Backlog'!$L$2:$L$1000,'Debt Backlog'!$AF$2:$AF$1000,$A279,'Debt Backlog'!$B$2:$B$1000,"&lt;&gt;",'Debt Backlog'!$N$2:$N$1000,"&lt;&gt;Done",'Debt Backlog'!$N$2:$N$1000,"&lt;&gt;Won't Fix",'Debt Backlog'!$N$2:$N$1000,"&lt;&gt;Duplicate"),2))</f>
        <v/>
      </c>
    </row>
    <row r="280" customFormat="false" ht="15.75" hidden="false" customHeight="true" outlineLevel="0" collapsed="false">
      <c r="A280" s="125"/>
      <c r="B280" s="101"/>
      <c r="C280" s="101"/>
      <c r="D280" s="101"/>
      <c r="E280" s="101"/>
      <c r="F280" s="101"/>
      <c r="G280" s="101"/>
      <c r="H280" s="101"/>
      <c r="I280" s="106"/>
      <c r="J280" s="106"/>
      <c r="K280" s="106"/>
      <c r="L280" s="106"/>
      <c r="M280" s="106"/>
      <c r="N280" s="103" t="str">
        <f aca="false">IF(OR($B280="", $I280="", $J280="", $K280="", $L280="", $M280=""),"",ROUND(($I280*Lists!$AD$2)+($J280*Lists!$AD$3)+($K280*Lists!$AD$4)+($L280*Lists!$AD$5)+($M280*Lists!$AD$6),2))</f>
        <v/>
      </c>
      <c r="O280" s="103" t="str">
        <f aca="false">IF($A280="","",IFERROR(VLOOKUP($A280,'Risk Register'!$B$2:$I$1000,8,FALSE()),""))</f>
        <v/>
      </c>
      <c r="P280" s="106"/>
      <c r="Q280" s="106"/>
      <c r="R280" s="106"/>
      <c r="S280" s="106"/>
      <c r="T280" s="103" t="str">
        <f aca="false">IF(OR($B280="", $P280="", $Q280="", $R280="", $S280=""),"",ROUND(($P280*Lists!$AD$7)+($Q280*Lists!$AD$8)+($R280*Lists!$AD$9)+($S280*Lists!$AD$10),2))</f>
        <v/>
      </c>
      <c r="U280" s="106"/>
      <c r="V280" s="106"/>
      <c r="W280" s="106"/>
      <c r="X280" s="106"/>
      <c r="Y280" s="106"/>
      <c r="Z280" s="103" t="str">
        <f aca="false">IF(OR($B280="", $U280="", $V280="", $W280="", $X280="", $Y280=""),"",ROUND(($U280*Lists!$AD$11)+($V280*Lists!$AD$12)+($W280*Lists!$AD$13)+($X280*Lists!$AD$14)+($Y280*Lists!$AD$15),2))</f>
        <v/>
      </c>
      <c r="AA280" s="103" t="str">
        <f aca="false">IF(OR($B280="", $N280="", $O280="", $T280="", $Z280=""),"",ROUND(($N280*Lists!$AD$16)-($O280*Lists!$AD$17)-($T280*Lists!$AD$18)+($Z280*Lists!$AD$19),2))</f>
        <v/>
      </c>
      <c r="AB280" s="102" t="str">
        <f aca="false">IF(OR($B280="", $N280="", $Z280=""),"",IF($N280&gt;=Lists!$AG$2,IF($Z280&gt;=Lists!$AG$3,"Invest","Migrate"),IF($Z280&gt;=Lists!$AG$3,"Tolerate","Eliminate")))</f>
        <v/>
      </c>
      <c r="AC280" s="102" t="str">
        <f aca="false">IF($B280="","",IF($J280&gt;=4,"Yes",""))</f>
        <v/>
      </c>
      <c r="AD280" s="102" t="str">
        <f aca="false">IF($A280="","",IFERROR(IF(VLOOKUP($A280,'Risk Register'!$B$2:$H$1000,4,FALSE())&gt;=4,"Yes",""),""))</f>
        <v/>
      </c>
      <c r="AE280" s="102" t="str">
        <f aca="false">IF(OR($N280="", $O280=""),"",IF($N280&gt;=Lists!$AG$2,IF($O280&gt;=Lists!$AG$4,"High Value / High Risk","High Value / Low Risk"),IF($O280&gt;=Lists!$AG$4,"Low Value / High Risk","Low Value / Low Risk")))</f>
        <v/>
      </c>
      <c r="AF280" s="101"/>
      <c r="AG280" s="126"/>
      <c r="AH280" s="106" t="str">
        <f aca="false">IF($B280="","",COUNTIFS('Debt Backlog'!$AF$2:$AF$1000,$A280,'Debt Backlog'!$B$2:$B$1000,"&lt;&gt;",'Debt Backlog'!$N$2:$N$1000,"&lt;&gt;Done",'Debt Backlog'!$N$2:$N$1000,"&lt;&gt;Won't Fix",'Debt Backlog'!$N$2:$N$1000,"&lt;&gt;Duplicate"))</f>
        <v/>
      </c>
      <c r="AI280" s="103" t="str">
        <f aca="false">IF($B280="","",ROUND(SUMIFS('Debt Backlog'!$L$2:$L$1000,'Debt Backlog'!$AF$2:$AF$1000,$A280,'Debt Backlog'!$B$2:$B$1000,"&lt;&gt;",'Debt Backlog'!$N$2:$N$1000,"&lt;&gt;Done",'Debt Backlog'!$N$2:$N$1000,"&lt;&gt;Won't Fix",'Debt Backlog'!$N$2:$N$1000,"&lt;&gt;Duplicate"),2))</f>
        <v/>
      </c>
    </row>
    <row r="281" customFormat="false" ht="15.75" hidden="false" customHeight="true" outlineLevel="0" collapsed="false">
      <c r="A281" s="125"/>
      <c r="B281" s="101"/>
      <c r="C281" s="101"/>
      <c r="D281" s="101"/>
      <c r="E281" s="101"/>
      <c r="F281" s="101"/>
      <c r="G281" s="101"/>
      <c r="H281" s="101"/>
      <c r="I281" s="106"/>
      <c r="J281" s="106"/>
      <c r="K281" s="106"/>
      <c r="L281" s="106"/>
      <c r="M281" s="106"/>
      <c r="N281" s="103" t="str">
        <f aca="false">IF(OR($B281="", $I281="", $J281="", $K281="", $L281="", $M281=""),"",ROUND(($I281*Lists!$AD$2)+($J281*Lists!$AD$3)+($K281*Lists!$AD$4)+($L281*Lists!$AD$5)+($M281*Lists!$AD$6),2))</f>
        <v/>
      </c>
      <c r="O281" s="103" t="str">
        <f aca="false">IF($A281="","",IFERROR(VLOOKUP($A281,'Risk Register'!$B$2:$I$1000,8,FALSE()),""))</f>
        <v/>
      </c>
      <c r="P281" s="106"/>
      <c r="Q281" s="106"/>
      <c r="R281" s="106"/>
      <c r="S281" s="106"/>
      <c r="T281" s="103" t="str">
        <f aca="false">IF(OR($B281="", $P281="", $Q281="", $R281="", $S281=""),"",ROUND(($P281*Lists!$AD$7)+($Q281*Lists!$AD$8)+($R281*Lists!$AD$9)+($S281*Lists!$AD$10),2))</f>
        <v/>
      </c>
      <c r="U281" s="106"/>
      <c r="V281" s="106"/>
      <c r="W281" s="106"/>
      <c r="X281" s="106"/>
      <c r="Y281" s="106"/>
      <c r="Z281" s="103" t="str">
        <f aca="false">IF(OR($B281="", $U281="", $V281="", $W281="", $X281="", $Y281=""),"",ROUND(($U281*Lists!$AD$11)+($V281*Lists!$AD$12)+($W281*Lists!$AD$13)+($X281*Lists!$AD$14)+($Y281*Lists!$AD$15),2))</f>
        <v/>
      </c>
      <c r="AA281" s="103" t="str">
        <f aca="false">IF(OR($B281="", $N281="", $O281="", $T281="", $Z281=""),"",ROUND(($N281*Lists!$AD$16)-($O281*Lists!$AD$17)-($T281*Lists!$AD$18)+($Z281*Lists!$AD$19),2))</f>
        <v/>
      </c>
      <c r="AB281" s="102" t="str">
        <f aca="false">IF(OR($B281="", $N281="", $Z281=""),"",IF($N281&gt;=Lists!$AG$2,IF($Z281&gt;=Lists!$AG$3,"Invest","Migrate"),IF($Z281&gt;=Lists!$AG$3,"Tolerate","Eliminate")))</f>
        <v/>
      </c>
      <c r="AC281" s="102" t="str">
        <f aca="false">IF($B281="","",IF($J281&gt;=4,"Yes",""))</f>
        <v/>
      </c>
      <c r="AD281" s="102" t="str">
        <f aca="false">IF($A281="","",IFERROR(IF(VLOOKUP($A281,'Risk Register'!$B$2:$H$1000,4,FALSE())&gt;=4,"Yes",""),""))</f>
        <v/>
      </c>
      <c r="AE281" s="102" t="str">
        <f aca="false">IF(OR($N281="", $O281=""),"",IF($N281&gt;=Lists!$AG$2,IF($O281&gt;=Lists!$AG$4,"High Value / High Risk","High Value / Low Risk"),IF($O281&gt;=Lists!$AG$4,"Low Value / High Risk","Low Value / Low Risk")))</f>
        <v/>
      </c>
      <c r="AF281" s="101"/>
      <c r="AG281" s="126"/>
      <c r="AH281" s="106" t="str">
        <f aca="false">IF($B281="","",COUNTIFS('Debt Backlog'!$AF$2:$AF$1000,$A281,'Debt Backlog'!$B$2:$B$1000,"&lt;&gt;",'Debt Backlog'!$N$2:$N$1000,"&lt;&gt;Done",'Debt Backlog'!$N$2:$N$1000,"&lt;&gt;Won't Fix",'Debt Backlog'!$N$2:$N$1000,"&lt;&gt;Duplicate"))</f>
        <v/>
      </c>
      <c r="AI281" s="103" t="str">
        <f aca="false">IF($B281="","",ROUND(SUMIFS('Debt Backlog'!$L$2:$L$1000,'Debt Backlog'!$AF$2:$AF$1000,$A281,'Debt Backlog'!$B$2:$B$1000,"&lt;&gt;",'Debt Backlog'!$N$2:$N$1000,"&lt;&gt;Done",'Debt Backlog'!$N$2:$N$1000,"&lt;&gt;Won't Fix",'Debt Backlog'!$N$2:$N$1000,"&lt;&gt;Duplicate"),2))</f>
        <v/>
      </c>
    </row>
    <row r="282" customFormat="false" ht="15.75" hidden="false" customHeight="true" outlineLevel="0" collapsed="false">
      <c r="A282" s="125"/>
      <c r="B282" s="101"/>
      <c r="C282" s="101"/>
      <c r="D282" s="101"/>
      <c r="E282" s="101"/>
      <c r="F282" s="101"/>
      <c r="G282" s="101"/>
      <c r="H282" s="101"/>
      <c r="I282" s="106"/>
      <c r="J282" s="106"/>
      <c r="K282" s="106"/>
      <c r="L282" s="106"/>
      <c r="M282" s="106"/>
      <c r="N282" s="103" t="str">
        <f aca="false">IF(OR($B282="", $I282="", $J282="", $K282="", $L282="", $M282=""),"",ROUND(($I282*Lists!$AD$2)+($J282*Lists!$AD$3)+($K282*Lists!$AD$4)+($L282*Lists!$AD$5)+($M282*Lists!$AD$6),2))</f>
        <v/>
      </c>
      <c r="O282" s="103" t="str">
        <f aca="false">IF($A282="","",IFERROR(VLOOKUP($A282,'Risk Register'!$B$2:$I$1000,8,FALSE()),""))</f>
        <v/>
      </c>
      <c r="P282" s="106"/>
      <c r="Q282" s="106"/>
      <c r="R282" s="106"/>
      <c r="S282" s="106"/>
      <c r="T282" s="103" t="str">
        <f aca="false">IF(OR($B282="", $P282="", $Q282="", $R282="", $S282=""),"",ROUND(($P282*Lists!$AD$7)+($Q282*Lists!$AD$8)+($R282*Lists!$AD$9)+($S282*Lists!$AD$10),2))</f>
        <v/>
      </c>
      <c r="U282" s="106"/>
      <c r="V282" s="106"/>
      <c r="W282" s="106"/>
      <c r="X282" s="106"/>
      <c r="Y282" s="106"/>
      <c r="Z282" s="103" t="str">
        <f aca="false">IF(OR($B282="", $U282="", $V282="", $W282="", $X282="", $Y282=""),"",ROUND(($U282*Lists!$AD$11)+($V282*Lists!$AD$12)+($W282*Lists!$AD$13)+($X282*Lists!$AD$14)+($Y282*Lists!$AD$15),2))</f>
        <v/>
      </c>
      <c r="AA282" s="103" t="str">
        <f aca="false">IF(OR($B282="", $N282="", $O282="", $T282="", $Z282=""),"",ROUND(($N282*Lists!$AD$16)-($O282*Lists!$AD$17)-($T282*Lists!$AD$18)+($Z282*Lists!$AD$19),2))</f>
        <v/>
      </c>
      <c r="AB282" s="102" t="str">
        <f aca="false">IF(OR($B282="", $N282="", $Z282=""),"",IF($N282&gt;=Lists!$AG$2,IF($Z282&gt;=Lists!$AG$3,"Invest","Migrate"),IF($Z282&gt;=Lists!$AG$3,"Tolerate","Eliminate")))</f>
        <v/>
      </c>
      <c r="AC282" s="102" t="str">
        <f aca="false">IF($B282="","",IF($J282&gt;=4,"Yes",""))</f>
        <v/>
      </c>
      <c r="AD282" s="102" t="str">
        <f aca="false">IF($A282="","",IFERROR(IF(VLOOKUP($A282,'Risk Register'!$B$2:$H$1000,4,FALSE())&gt;=4,"Yes",""),""))</f>
        <v/>
      </c>
      <c r="AE282" s="102" t="str">
        <f aca="false">IF(OR($N282="", $O282=""),"",IF($N282&gt;=Lists!$AG$2,IF($O282&gt;=Lists!$AG$4,"High Value / High Risk","High Value / Low Risk"),IF($O282&gt;=Lists!$AG$4,"Low Value / High Risk","Low Value / Low Risk")))</f>
        <v/>
      </c>
      <c r="AF282" s="101"/>
      <c r="AG282" s="126"/>
      <c r="AH282" s="106" t="str">
        <f aca="false">IF($B282="","",COUNTIFS('Debt Backlog'!$AF$2:$AF$1000,$A282,'Debt Backlog'!$B$2:$B$1000,"&lt;&gt;",'Debt Backlog'!$N$2:$N$1000,"&lt;&gt;Done",'Debt Backlog'!$N$2:$N$1000,"&lt;&gt;Won't Fix",'Debt Backlog'!$N$2:$N$1000,"&lt;&gt;Duplicate"))</f>
        <v/>
      </c>
      <c r="AI282" s="103" t="str">
        <f aca="false">IF($B282="","",ROUND(SUMIFS('Debt Backlog'!$L$2:$L$1000,'Debt Backlog'!$AF$2:$AF$1000,$A282,'Debt Backlog'!$B$2:$B$1000,"&lt;&gt;",'Debt Backlog'!$N$2:$N$1000,"&lt;&gt;Done",'Debt Backlog'!$N$2:$N$1000,"&lt;&gt;Won't Fix",'Debt Backlog'!$N$2:$N$1000,"&lt;&gt;Duplicate"),2))</f>
        <v/>
      </c>
    </row>
    <row r="283" customFormat="false" ht="15.75" hidden="false" customHeight="true" outlineLevel="0" collapsed="false">
      <c r="A283" s="125"/>
      <c r="B283" s="101"/>
      <c r="C283" s="101"/>
      <c r="D283" s="101"/>
      <c r="E283" s="101"/>
      <c r="F283" s="101"/>
      <c r="G283" s="101"/>
      <c r="H283" s="101"/>
      <c r="I283" s="106"/>
      <c r="J283" s="106"/>
      <c r="K283" s="106"/>
      <c r="L283" s="106"/>
      <c r="M283" s="106"/>
      <c r="N283" s="103" t="str">
        <f aca="false">IF(OR($B283="", $I283="", $J283="", $K283="", $L283="", $M283=""),"",ROUND(($I283*Lists!$AD$2)+($J283*Lists!$AD$3)+($K283*Lists!$AD$4)+($L283*Lists!$AD$5)+($M283*Lists!$AD$6),2))</f>
        <v/>
      </c>
      <c r="O283" s="103" t="str">
        <f aca="false">IF($A283="","",IFERROR(VLOOKUP($A283,'Risk Register'!$B$2:$I$1000,8,FALSE()),""))</f>
        <v/>
      </c>
      <c r="P283" s="106"/>
      <c r="Q283" s="106"/>
      <c r="R283" s="106"/>
      <c r="S283" s="106"/>
      <c r="T283" s="103" t="str">
        <f aca="false">IF(OR($B283="", $P283="", $Q283="", $R283="", $S283=""),"",ROUND(($P283*Lists!$AD$7)+($Q283*Lists!$AD$8)+($R283*Lists!$AD$9)+($S283*Lists!$AD$10),2))</f>
        <v/>
      </c>
      <c r="U283" s="106"/>
      <c r="V283" s="106"/>
      <c r="W283" s="106"/>
      <c r="X283" s="106"/>
      <c r="Y283" s="106"/>
      <c r="Z283" s="103" t="str">
        <f aca="false">IF(OR($B283="", $U283="", $V283="", $W283="", $X283="", $Y283=""),"",ROUND(($U283*Lists!$AD$11)+($V283*Lists!$AD$12)+($W283*Lists!$AD$13)+($X283*Lists!$AD$14)+($Y283*Lists!$AD$15),2))</f>
        <v/>
      </c>
      <c r="AA283" s="103" t="str">
        <f aca="false">IF(OR($B283="", $N283="", $O283="", $T283="", $Z283=""),"",ROUND(($N283*Lists!$AD$16)-($O283*Lists!$AD$17)-($T283*Lists!$AD$18)+($Z283*Lists!$AD$19),2))</f>
        <v/>
      </c>
      <c r="AB283" s="102" t="str">
        <f aca="false">IF(OR($B283="", $N283="", $Z283=""),"",IF($N283&gt;=Lists!$AG$2,IF($Z283&gt;=Lists!$AG$3,"Invest","Migrate"),IF($Z283&gt;=Lists!$AG$3,"Tolerate","Eliminate")))</f>
        <v/>
      </c>
      <c r="AC283" s="102" t="str">
        <f aca="false">IF($B283="","",IF($J283&gt;=4,"Yes",""))</f>
        <v/>
      </c>
      <c r="AD283" s="102" t="str">
        <f aca="false">IF($A283="","",IFERROR(IF(VLOOKUP($A283,'Risk Register'!$B$2:$H$1000,4,FALSE())&gt;=4,"Yes",""),""))</f>
        <v/>
      </c>
      <c r="AE283" s="102" t="str">
        <f aca="false">IF(OR($N283="", $O283=""),"",IF($N283&gt;=Lists!$AG$2,IF($O283&gt;=Lists!$AG$4,"High Value / High Risk","High Value / Low Risk"),IF($O283&gt;=Lists!$AG$4,"Low Value / High Risk","Low Value / Low Risk")))</f>
        <v/>
      </c>
      <c r="AF283" s="101"/>
      <c r="AG283" s="126"/>
      <c r="AH283" s="106" t="str">
        <f aca="false">IF($B283="","",COUNTIFS('Debt Backlog'!$AF$2:$AF$1000,$A283,'Debt Backlog'!$B$2:$B$1000,"&lt;&gt;",'Debt Backlog'!$N$2:$N$1000,"&lt;&gt;Done",'Debt Backlog'!$N$2:$N$1000,"&lt;&gt;Won't Fix",'Debt Backlog'!$N$2:$N$1000,"&lt;&gt;Duplicate"))</f>
        <v/>
      </c>
      <c r="AI283" s="103" t="str">
        <f aca="false">IF($B283="","",ROUND(SUMIFS('Debt Backlog'!$L$2:$L$1000,'Debt Backlog'!$AF$2:$AF$1000,$A283,'Debt Backlog'!$B$2:$B$1000,"&lt;&gt;",'Debt Backlog'!$N$2:$N$1000,"&lt;&gt;Done",'Debt Backlog'!$N$2:$N$1000,"&lt;&gt;Won't Fix",'Debt Backlog'!$N$2:$N$1000,"&lt;&gt;Duplicate"),2))</f>
        <v/>
      </c>
    </row>
    <row r="284" customFormat="false" ht="15.75" hidden="false" customHeight="true" outlineLevel="0" collapsed="false">
      <c r="A284" s="125"/>
      <c r="B284" s="101"/>
      <c r="C284" s="101"/>
      <c r="D284" s="101"/>
      <c r="E284" s="101"/>
      <c r="F284" s="101"/>
      <c r="G284" s="101"/>
      <c r="H284" s="101"/>
      <c r="I284" s="106"/>
      <c r="J284" s="106"/>
      <c r="K284" s="106"/>
      <c r="L284" s="106"/>
      <c r="M284" s="106"/>
      <c r="N284" s="103" t="str">
        <f aca="false">IF(OR($B284="", $I284="", $J284="", $K284="", $L284="", $M284=""),"",ROUND(($I284*Lists!$AD$2)+($J284*Lists!$AD$3)+($K284*Lists!$AD$4)+($L284*Lists!$AD$5)+($M284*Lists!$AD$6),2))</f>
        <v/>
      </c>
      <c r="O284" s="103" t="str">
        <f aca="false">IF($A284="","",IFERROR(VLOOKUP($A284,'Risk Register'!$B$2:$I$1000,8,FALSE()),""))</f>
        <v/>
      </c>
      <c r="P284" s="106"/>
      <c r="Q284" s="106"/>
      <c r="R284" s="106"/>
      <c r="S284" s="106"/>
      <c r="T284" s="103" t="str">
        <f aca="false">IF(OR($B284="", $P284="", $Q284="", $R284="", $S284=""),"",ROUND(($P284*Lists!$AD$7)+($Q284*Lists!$AD$8)+($R284*Lists!$AD$9)+($S284*Lists!$AD$10),2))</f>
        <v/>
      </c>
      <c r="U284" s="106"/>
      <c r="V284" s="106"/>
      <c r="W284" s="106"/>
      <c r="X284" s="106"/>
      <c r="Y284" s="106"/>
      <c r="Z284" s="103" t="str">
        <f aca="false">IF(OR($B284="", $U284="", $V284="", $W284="", $X284="", $Y284=""),"",ROUND(($U284*Lists!$AD$11)+($V284*Lists!$AD$12)+($W284*Lists!$AD$13)+($X284*Lists!$AD$14)+($Y284*Lists!$AD$15),2))</f>
        <v/>
      </c>
      <c r="AA284" s="103" t="str">
        <f aca="false">IF(OR($B284="", $N284="", $O284="", $T284="", $Z284=""),"",ROUND(($N284*Lists!$AD$16)-($O284*Lists!$AD$17)-($T284*Lists!$AD$18)+($Z284*Lists!$AD$19),2))</f>
        <v/>
      </c>
      <c r="AB284" s="102" t="str">
        <f aca="false">IF(OR($B284="", $N284="", $Z284=""),"",IF($N284&gt;=Lists!$AG$2,IF($Z284&gt;=Lists!$AG$3,"Invest","Migrate"),IF($Z284&gt;=Lists!$AG$3,"Tolerate","Eliminate")))</f>
        <v/>
      </c>
      <c r="AC284" s="102" t="str">
        <f aca="false">IF($B284="","",IF($J284&gt;=4,"Yes",""))</f>
        <v/>
      </c>
      <c r="AD284" s="102" t="str">
        <f aca="false">IF($A284="","",IFERROR(IF(VLOOKUP($A284,'Risk Register'!$B$2:$H$1000,4,FALSE())&gt;=4,"Yes",""),""))</f>
        <v/>
      </c>
      <c r="AE284" s="102" t="str">
        <f aca="false">IF(OR($N284="", $O284=""),"",IF($N284&gt;=Lists!$AG$2,IF($O284&gt;=Lists!$AG$4,"High Value / High Risk","High Value / Low Risk"),IF($O284&gt;=Lists!$AG$4,"Low Value / High Risk","Low Value / Low Risk")))</f>
        <v/>
      </c>
      <c r="AF284" s="101"/>
      <c r="AG284" s="126"/>
      <c r="AH284" s="106" t="str">
        <f aca="false">IF($B284="","",COUNTIFS('Debt Backlog'!$AF$2:$AF$1000,$A284,'Debt Backlog'!$B$2:$B$1000,"&lt;&gt;",'Debt Backlog'!$N$2:$N$1000,"&lt;&gt;Done",'Debt Backlog'!$N$2:$N$1000,"&lt;&gt;Won't Fix",'Debt Backlog'!$N$2:$N$1000,"&lt;&gt;Duplicate"))</f>
        <v/>
      </c>
      <c r="AI284" s="103" t="str">
        <f aca="false">IF($B284="","",ROUND(SUMIFS('Debt Backlog'!$L$2:$L$1000,'Debt Backlog'!$AF$2:$AF$1000,$A284,'Debt Backlog'!$B$2:$B$1000,"&lt;&gt;",'Debt Backlog'!$N$2:$N$1000,"&lt;&gt;Done",'Debt Backlog'!$N$2:$N$1000,"&lt;&gt;Won't Fix",'Debt Backlog'!$N$2:$N$1000,"&lt;&gt;Duplicate"),2))</f>
        <v/>
      </c>
    </row>
    <row r="285" customFormat="false" ht="15.75" hidden="false" customHeight="true" outlineLevel="0" collapsed="false">
      <c r="A285" s="125"/>
      <c r="B285" s="101"/>
      <c r="C285" s="101"/>
      <c r="D285" s="101"/>
      <c r="E285" s="101"/>
      <c r="F285" s="101"/>
      <c r="G285" s="101"/>
      <c r="H285" s="101"/>
      <c r="I285" s="106"/>
      <c r="J285" s="106"/>
      <c r="K285" s="106"/>
      <c r="L285" s="106"/>
      <c r="M285" s="106"/>
      <c r="N285" s="103" t="str">
        <f aca="false">IF(OR($B285="", $I285="", $J285="", $K285="", $L285="", $M285=""),"",ROUND(($I285*Lists!$AD$2)+($J285*Lists!$AD$3)+($K285*Lists!$AD$4)+($L285*Lists!$AD$5)+($M285*Lists!$AD$6),2))</f>
        <v/>
      </c>
      <c r="O285" s="103" t="str">
        <f aca="false">IF($A285="","",IFERROR(VLOOKUP($A285,'Risk Register'!$B$2:$I$1000,8,FALSE()),""))</f>
        <v/>
      </c>
      <c r="P285" s="106"/>
      <c r="Q285" s="106"/>
      <c r="R285" s="106"/>
      <c r="S285" s="106"/>
      <c r="T285" s="103" t="str">
        <f aca="false">IF(OR($B285="", $P285="", $Q285="", $R285="", $S285=""),"",ROUND(($P285*Lists!$AD$7)+($Q285*Lists!$AD$8)+($R285*Lists!$AD$9)+($S285*Lists!$AD$10),2))</f>
        <v/>
      </c>
      <c r="U285" s="106"/>
      <c r="V285" s="106"/>
      <c r="W285" s="106"/>
      <c r="X285" s="106"/>
      <c r="Y285" s="106"/>
      <c r="Z285" s="103" t="str">
        <f aca="false">IF(OR($B285="", $U285="", $V285="", $W285="", $X285="", $Y285=""),"",ROUND(($U285*Lists!$AD$11)+($V285*Lists!$AD$12)+($W285*Lists!$AD$13)+($X285*Lists!$AD$14)+($Y285*Lists!$AD$15),2))</f>
        <v/>
      </c>
      <c r="AA285" s="103" t="str">
        <f aca="false">IF(OR($B285="", $N285="", $O285="", $T285="", $Z285=""),"",ROUND(($N285*Lists!$AD$16)-($O285*Lists!$AD$17)-($T285*Lists!$AD$18)+($Z285*Lists!$AD$19),2))</f>
        <v/>
      </c>
      <c r="AB285" s="102" t="str">
        <f aca="false">IF(OR($B285="", $N285="", $Z285=""),"",IF($N285&gt;=Lists!$AG$2,IF($Z285&gt;=Lists!$AG$3,"Invest","Migrate"),IF($Z285&gt;=Lists!$AG$3,"Tolerate","Eliminate")))</f>
        <v/>
      </c>
      <c r="AC285" s="102" t="str">
        <f aca="false">IF($B285="","",IF($J285&gt;=4,"Yes",""))</f>
        <v/>
      </c>
      <c r="AD285" s="102" t="str">
        <f aca="false">IF($A285="","",IFERROR(IF(VLOOKUP($A285,'Risk Register'!$B$2:$H$1000,4,FALSE())&gt;=4,"Yes",""),""))</f>
        <v/>
      </c>
      <c r="AE285" s="102" t="str">
        <f aca="false">IF(OR($N285="", $O285=""),"",IF($N285&gt;=Lists!$AG$2,IF($O285&gt;=Lists!$AG$4,"High Value / High Risk","High Value / Low Risk"),IF($O285&gt;=Lists!$AG$4,"Low Value / High Risk","Low Value / Low Risk")))</f>
        <v/>
      </c>
      <c r="AF285" s="101"/>
      <c r="AG285" s="126"/>
      <c r="AH285" s="106" t="str">
        <f aca="false">IF($B285="","",COUNTIFS('Debt Backlog'!$AF$2:$AF$1000,$A285,'Debt Backlog'!$B$2:$B$1000,"&lt;&gt;",'Debt Backlog'!$N$2:$N$1000,"&lt;&gt;Done",'Debt Backlog'!$N$2:$N$1000,"&lt;&gt;Won't Fix",'Debt Backlog'!$N$2:$N$1000,"&lt;&gt;Duplicate"))</f>
        <v/>
      </c>
      <c r="AI285" s="103" t="str">
        <f aca="false">IF($B285="","",ROUND(SUMIFS('Debt Backlog'!$L$2:$L$1000,'Debt Backlog'!$AF$2:$AF$1000,$A285,'Debt Backlog'!$B$2:$B$1000,"&lt;&gt;",'Debt Backlog'!$N$2:$N$1000,"&lt;&gt;Done",'Debt Backlog'!$N$2:$N$1000,"&lt;&gt;Won't Fix",'Debt Backlog'!$N$2:$N$1000,"&lt;&gt;Duplicate"),2))</f>
        <v/>
      </c>
    </row>
    <row r="286" customFormat="false" ht="15.75" hidden="false" customHeight="true" outlineLevel="0" collapsed="false">
      <c r="A286" s="125"/>
      <c r="B286" s="101"/>
      <c r="C286" s="101"/>
      <c r="D286" s="101"/>
      <c r="E286" s="101"/>
      <c r="F286" s="101"/>
      <c r="G286" s="101"/>
      <c r="H286" s="101"/>
      <c r="I286" s="106"/>
      <c r="J286" s="106"/>
      <c r="K286" s="106"/>
      <c r="L286" s="106"/>
      <c r="M286" s="106"/>
      <c r="N286" s="103" t="str">
        <f aca="false">IF(OR($B286="", $I286="", $J286="", $K286="", $L286="", $M286=""),"",ROUND(($I286*Lists!$AD$2)+($J286*Lists!$AD$3)+($K286*Lists!$AD$4)+($L286*Lists!$AD$5)+($M286*Lists!$AD$6),2))</f>
        <v/>
      </c>
      <c r="O286" s="103" t="str">
        <f aca="false">IF($A286="","",IFERROR(VLOOKUP($A286,'Risk Register'!$B$2:$I$1000,8,FALSE()),""))</f>
        <v/>
      </c>
      <c r="P286" s="106"/>
      <c r="Q286" s="106"/>
      <c r="R286" s="106"/>
      <c r="S286" s="106"/>
      <c r="T286" s="103" t="str">
        <f aca="false">IF(OR($B286="", $P286="", $Q286="", $R286="", $S286=""),"",ROUND(($P286*Lists!$AD$7)+($Q286*Lists!$AD$8)+($R286*Lists!$AD$9)+($S286*Lists!$AD$10),2))</f>
        <v/>
      </c>
      <c r="U286" s="106"/>
      <c r="V286" s="106"/>
      <c r="W286" s="106"/>
      <c r="X286" s="106"/>
      <c r="Y286" s="106"/>
      <c r="Z286" s="103" t="str">
        <f aca="false">IF(OR($B286="", $U286="", $V286="", $W286="", $X286="", $Y286=""),"",ROUND(($U286*Lists!$AD$11)+($V286*Lists!$AD$12)+($W286*Lists!$AD$13)+($X286*Lists!$AD$14)+($Y286*Lists!$AD$15),2))</f>
        <v/>
      </c>
      <c r="AA286" s="103" t="str">
        <f aca="false">IF(OR($B286="", $N286="", $O286="", $T286="", $Z286=""),"",ROUND(($N286*Lists!$AD$16)-($O286*Lists!$AD$17)-($T286*Lists!$AD$18)+($Z286*Lists!$AD$19),2))</f>
        <v/>
      </c>
      <c r="AB286" s="102" t="str">
        <f aca="false">IF(OR($B286="", $N286="", $Z286=""),"",IF($N286&gt;=Lists!$AG$2,IF($Z286&gt;=Lists!$AG$3,"Invest","Migrate"),IF($Z286&gt;=Lists!$AG$3,"Tolerate","Eliminate")))</f>
        <v/>
      </c>
      <c r="AC286" s="102" t="str">
        <f aca="false">IF($B286="","",IF($J286&gt;=4,"Yes",""))</f>
        <v/>
      </c>
      <c r="AD286" s="102" t="str">
        <f aca="false">IF($A286="","",IFERROR(IF(VLOOKUP($A286,'Risk Register'!$B$2:$H$1000,4,FALSE())&gt;=4,"Yes",""),""))</f>
        <v/>
      </c>
      <c r="AE286" s="102" t="str">
        <f aca="false">IF(OR($N286="", $O286=""),"",IF($N286&gt;=Lists!$AG$2,IF($O286&gt;=Lists!$AG$4,"High Value / High Risk","High Value / Low Risk"),IF($O286&gt;=Lists!$AG$4,"Low Value / High Risk","Low Value / Low Risk")))</f>
        <v/>
      </c>
      <c r="AF286" s="101"/>
      <c r="AG286" s="126"/>
      <c r="AH286" s="106" t="str">
        <f aca="false">IF($B286="","",COUNTIFS('Debt Backlog'!$AF$2:$AF$1000,$A286,'Debt Backlog'!$B$2:$B$1000,"&lt;&gt;",'Debt Backlog'!$N$2:$N$1000,"&lt;&gt;Done",'Debt Backlog'!$N$2:$N$1000,"&lt;&gt;Won't Fix",'Debt Backlog'!$N$2:$N$1000,"&lt;&gt;Duplicate"))</f>
        <v/>
      </c>
      <c r="AI286" s="103" t="str">
        <f aca="false">IF($B286="","",ROUND(SUMIFS('Debt Backlog'!$L$2:$L$1000,'Debt Backlog'!$AF$2:$AF$1000,$A286,'Debt Backlog'!$B$2:$B$1000,"&lt;&gt;",'Debt Backlog'!$N$2:$N$1000,"&lt;&gt;Done",'Debt Backlog'!$N$2:$N$1000,"&lt;&gt;Won't Fix",'Debt Backlog'!$N$2:$N$1000,"&lt;&gt;Duplicate"),2))</f>
        <v/>
      </c>
    </row>
    <row r="287" customFormat="false" ht="15.75" hidden="false" customHeight="true" outlineLevel="0" collapsed="false">
      <c r="A287" s="125"/>
      <c r="B287" s="101"/>
      <c r="C287" s="101"/>
      <c r="D287" s="101"/>
      <c r="E287" s="101"/>
      <c r="F287" s="101"/>
      <c r="G287" s="101"/>
      <c r="H287" s="101"/>
      <c r="I287" s="106"/>
      <c r="J287" s="106"/>
      <c r="K287" s="106"/>
      <c r="L287" s="106"/>
      <c r="M287" s="106"/>
      <c r="N287" s="103" t="str">
        <f aca="false">IF(OR($B287="", $I287="", $J287="", $K287="", $L287="", $M287=""),"",ROUND(($I287*Lists!$AD$2)+($J287*Lists!$AD$3)+($K287*Lists!$AD$4)+($L287*Lists!$AD$5)+($M287*Lists!$AD$6),2))</f>
        <v/>
      </c>
      <c r="O287" s="103" t="str">
        <f aca="false">IF($A287="","",IFERROR(VLOOKUP($A287,'Risk Register'!$B$2:$I$1000,8,FALSE()),""))</f>
        <v/>
      </c>
      <c r="P287" s="106"/>
      <c r="Q287" s="106"/>
      <c r="R287" s="106"/>
      <c r="S287" s="106"/>
      <c r="T287" s="103" t="str">
        <f aca="false">IF(OR($B287="", $P287="", $Q287="", $R287="", $S287=""),"",ROUND(($P287*Lists!$AD$7)+($Q287*Lists!$AD$8)+($R287*Lists!$AD$9)+($S287*Lists!$AD$10),2))</f>
        <v/>
      </c>
      <c r="U287" s="106"/>
      <c r="V287" s="106"/>
      <c r="W287" s="106"/>
      <c r="X287" s="106"/>
      <c r="Y287" s="106"/>
      <c r="Z287" s="103" t="str">
        <f aca="false">IF(OR($B287="", $U287="", $V287="", $W287="", $X287="", $Y287=""),"",ROUND(($U287*Lists!$AD$11)+($V287*Lists!$AD$12)+($W287*Lists!$AD$13)+($X287*Lists!$AD$14)+($Y287*Lists!$AD$15),2))</f>
        <v/>
      </c>
      <c r="AA287" s="103" t="str">
        <f aca="false">IF(OR($B287="", $N287="", $O287="", $T287="", $Z287=""),"",ROUND(($N287*Lists!$AD$16)-($O287*Lists!$AD$17)-($T287*Lists!$AD$18)+($Z287*Lists!$AD$19),2))</f>
        <v/>
      </c>
      <c r="AB287" s="102" t="str">
        <f aca="false">IF(OR($B287="", $N287="", $Z287=""),"",IF($N287&gt;=Lists!$AG$2,IF($Z287&gt;=Lists!$AG$3,"Invest","Migrate"),IF($Z287&gt;=Lists!$AG$3,"Tolerate","Eliminate")))</f>
        <v/>
      </c>
      <c r="AC287" s="102" t="str">
        <f aca="false">IF($B287="","",IF($J287&gt;=4,"Yes",""))</f>
        <v/>
      </c>
      <c r="AD287" s="102" t="str">
        <f aca="false">IF($A287="","",IFERROR(IF(VLOOKUP($A287,'Risk Register'!$B$2:$H$1000,4,FALSE())&gt;=4,"Yes",""),""))</f>
        <v/>
      </c>
      <c r="AE287" s="102" t="str">
        <f aca="false">IF(OR($N287="", $O287=""),"",IF($N287&gt;=Lists!$AG$2,IF($O287&gt;=Lists!$AG$4,"High Value / High Risk","High Value / Low Risk"),IF($O287&gt;=Lists!$AG$4,"Low Value / High Risk","Low Value / Low Risk")))</f>
        <v/>
      </c>
      <c r="AF287" s="101"/>
      <c r="AG287" s="126"/>
      <c r="AH287" s="106" t="str">
        <f aca="false">IF($B287="","",COUNTIFS('Debt Backlog'!$AF$2:$AF$1000,$A287,'Debt Backlog'!$B$2:$B$1000,"&lt;&gt;",'Debt Backlog'!$N$2:$N$1000,"&lt;&gt;Done",'Debt Backlog'!$N$2:$N$1000,"&lt;&gt;Won't Fix",'Debt Backlog'!$N$2:$N$1000,"&lt;&gt;Duplicate"))</f>
        <v/>
      </c>
      <c r="AI287" s="103" t="str">
        <f aca="false">IF($B287="","",ROUND(SUMIFS('Debt Backlog'!$L$2:$L$1000,'Debt Backlog'!$AF$2:$AF$1000,$A287,'Debt Backlog'!$B$2:$B$1000,"&lt;&gt;",'Debt Backlog'!$N$2:$N$1000,"&lt;&gt;Done",'Debt Backlog'!$N$2:$N$1000,"&lt;&gt;Won't Fix",'Debt Backlog'!$N$2:$N$1000,"&lt;&gt;Duplicate"),2))</f>
        <v/>
      </c>
    </row>
    <row r="288" customFormat="false" ht="15.75" hidden="false" customHeight="true" outlineLevel="0" collapsed="false">
      <c r="A288" s="125"/>
      <c r="B288" s="101"/>
      <c r="C288" s="101"/>
      <c r="D288" s="101"/>
      <c r="E288" s="101"/>
      <c r="F288" s="101"/>
      <c r="G288" s="101"/>
      <c r="H288" s="101"/>
      <c r="I288" s="106"/>
      <c r="J288" s="106"/>
      <c r="K288" s="106"/>
      <c r="L288" s="106"/>
      <c r="M288" s="106"/>
      <c r="N288" s="103" t="str">
        <f aca="false">IF(OR($B288="", $I288="", $J288="", $K288="", $L288="", $M288=""),"",ROUND(($I288*Lists!$AD$2)+($J288*Lists!$AD$3)+($K288*Lists!$AD$4)+($L288*Lists!$AD$5)+($M288*Lists!$AD$6),2))</f>
        <v/>
      </c>
      <c r="O288" s="103" t="str">
        <f aca="false">IF($A288="","",IFERROR(VLOOKUP($A288,'Risk Register'!$B$2:$I$1000,8,FALSE()),""))</f>
        <v/>
      </c>
      <c r="P288" s="106"/>
      <c r="Q288" s="106"/>
      <c r="R288" s="106"/>
      <c r="S288" s="106"/>
      <c r="T288" s="103" t="str">
        <f aca="false">IF(OR($B288="", $P288="", $Q288="", $R288="", $S288=""),"",ROUND(($P288*Lists!$AD$7)+($Q288*Lists!$AD$8)+($R288*Lists!$AD$9)+($S288*Lists!$AD$10),2))</f>
        <v/>
      </c>
      <c r="U288" s="106"/>
      <c r="V288" s="106"/>
      <c r="W288" s="106"/>
      <c r="X288" s="106"/>
      <c r="Y288" s="106"/>
      <c r="Z288" s="103" t="str">
        <f aca="false">IF(OR($B288="", $U288="", $V288="", $W288="", $X288="", $Y288=""),"",ROUND(($U288*Lists!$AD$11)+($V288*Lists!$AD$12)+($W288*Lists!$AD$13)+($X288*Lists!$AD$14)+($Y288*Lists!$AD$15),2))</f>
        <v/>
      </c>
      <c r="AA288" s="103" t="str">
        <f aca="false">IF(OR($B288="", $N288="", $O288="", $T288="", $Z288=""),"",ROUND(($N288*Lists!$AD$16)-($O288*Lists!$AD$17)-($T288*Lists!$AD$18)+($Z288*Lists!$AD$19),2))</f>
        <v/>
      </c>
      <c r="AB288" s="102" t="str">
        <f aca="false">IF(OR($B288="", $N288="", $Z288=""),"",IF($N288&gt;=Lists!$AG$2,IF($Z288&gt;=Lists!$AG$3,"Invest","Migrate"),IF($Z288&gt;=Lists!$AG$3,"Tolerate","Eliminate")))</f>
        <v/>
      </c>
      <c r="AC288" s="102" t="str">
        <f aca="false">IF($B288="","",IF($J288&gt;=4,"Yes",""))</f>
        <v/>
      </c>
      <c r="AD288" s="102" t="str">
        <f aca="false">IF($A288="","",IFERROR(IF(VLOOKUP($A288,'Risk Register'!$B$2:$H$1000,4,FALSE())&gt;=4,"Yes",""),""))</f>
        <v/>
      </c>
      <c r="AE288" s="102" t="str">
        <f aca="false">IF(OR($N288="", $O288=""),"",IF($N288&gt;=Lists!$AG$2,IF($O288&gt;=Lists!$AG$4,"High Value / High Risk","High Value / Low Risk"),IF($O288&gt;=Lists!$AG$4,"Low Value / High Risk","Low Value / Low Risk")))</f>
        <v/>
      </c>
      <c r="AF288" s="101"/>
      <c r="AG288" s="126"/>
      <c r="AH288" s="106" t="str">
        <f aca="false">IF($B288="","",COUNTIFS('Debt Backlog'!$AF$2:$AF$1000,$A288,'Debt Backlog'!$B$2:$B$1000,"&lt;&gt;",'Debt Backlog'!$N$2:$N$1000,"&lt;&gt;Done",'Debt Backlog'!$N$2:$N$1000,"&lt;&gt;Won't Fix",'Debt Backlog'!$N$2:$N$1000,"&lt;&gt;Duplicate"))</f>
        <v/>
      </c>
      <c r="AI288" s="103" t="str">
        <f aca="false">IF($B288="","",ROUND(SUMIFS('Debt Backlog'!$L$2:$L$1000,'Debt Backlog'!$AF$2:$AF$1000,$A288,'Debt Backlog'!$B$2:$B$1000,"&lt;&gt;",'Debt Backlog'!$N$2:$N$1000,"&lt;&gt;Done",'Debt Backlog'!$N$2:$N$1000,"&lt;&gt;Won't Fix",'Debt Backlog'!$N$2:$N$1000,"&lt;&gt;Duplicate"),2))</f>
        <v/>
      </c>
    </row>
    <row r="289" customFormat="false" ht="15.75" hidden="false" customHeight="true" outlineLevel="0" collapsed="false">
      <c r="A289" s="125"/>
      <c r="B289" s="101"/>
      <c r="C289" s="101"/>
      <c r="D289" s="101"/>
      <c r="E289" s="101"/>
      <c r="F289" s="101"/>
      <c r="G289" s="101"/>
      <c r="H289" s="101"/>
      <c r="I289" s="106"/>
      <c r="J289" s="106"/>
      <c r="K289" s="106"/>
      <c r="L289" s="106"/>
      <c r="M289" s="106"/>
      <c r="N289" s="103" t="str">
        <f aca="false">IF(OR($B289="", $I289="", $J289="", $K289="", $L289="", $M289=""),"",ROUND(($I289*Lists!$AD$2)+($J289*Lists!$AD$3)+($K289*Lists!$AD$4)+($L289*Lists!$AD$5)+($M289*Lists!$AD$6),2))</f>
        <v/>
      </c>
      <c r="O289" s="103" t="str">
        <f aca="false">IF($A289="","",IFERROR(VLOOKUP($A289,'Risk Register'!$B$2:$I$1000,8,FALSE()),""))</f>
        <v/>
      </c>
      <c r="P289" s="106"/>
      <c r="Q289" s="106"/>
      <c r="R289" s="106"/>
      <c r="S289" s="106"/>
      <c r="T289" s="103" t="str">
        <f aca="false">IF(OR($B289="", $P289="", $Q289="", $R289="", $S289=""),"",ROUND(($P289*Lists!$AD$7)+($Q289*Lists!$AD$8)+($R289*Lists!$AD$9)+($S289*Lists!$AD$10),2))</f>
        <v/>
      </c>
      <c r="U289" s="106"/>
      <c r="V289" s="106"/>
      <c r="W289" s="106"/>
      <c r="X289" s="106"/>
      <c r="Y289" s="106"/>
      <c r="Z289" s="103" t="str">
        <f aca="false">IF(OR($B289="", $U289="", $V289="", $W289="", $X289="", $Y289=""),"",ROUND(($U289*Lists!$AD$11)+($V289*Lists!$AD$12)+($W289*Lists!$AD$13)+($X289*Lists!$AD$14)+($Y289*Lists!$AD$15),2))</f>
        <v/>
      </c>
      <c r="AA289" s="103" t="str">
        <f aca="false">IF(OR($B289="", $N289="", $O289="", $T289="", $Z289=""),"",ROUND(($N289*Lists!$AD$16)-($O289*Lists!$AD$17)-($T289*Lists!$AD$18)+($Z289*Lists!$AD$19),2))</f>
        <v/>
      </c>
      <c r="AB289" s="102" t="str">
        <f aca="false">IF(OR($B289="", $N289="", $Z289=""),"",IF($N289&gt;=Lists!$AG$2,IF($Z289&gt;=Lists!$AG$3,"Invest","Migrate"),IF($Z289&gt;=Lists!$AG$3,"Tolerate","Eliminate")))</f>
        <v/>
      </c>
      <c r="AC289" s="102" t="str">
        <f aca="false">IF($B289="","",IF($J289&gt;=4,"Yes",""))</f>
        <v/>
      </c>
      <c r="AD289" s="102" t="str">
        <f aca="false">IF($A289="","",IFERROR(IF(VLOOKUP($A289,'Risk Register'!$B$2:$H$1000,4,FALSE())&gt;=4,"Yes",""),""))</f>
        <v/>
      </c>
      <c r="AE289" s="102" t="str">
        <f aca="false">IF(OR($N289="", $O289=""),"",IF($N289&gt;=Lists!$AG$2,IF($O289&gt;=Lists!$AG$4,"High Value / High Risk","High Value / Low Risk"),IF($O289&gt;=Lists!$AG$4,"Low Value / High Risk","Low Value / Low Risk")))</f>
        <v/>
      </c>
      <c r="AF289" s="101"/>
      <c r="AG289" s="126"/>
      <c r="AH289" s="106" t="str">
        <f aca="false">IF($B289="","",COUNTIFS('Debt Backlog'!$AF$2:$AF$1000,$A289,'Debt Backlog'!$B$2:$B$1000,"&lt;&gt;",'Debt Backlog'!$N$2:$N$1000,"&lt;&gt;Done",'Debt Backlog'!$N$2:$N$1000,"&lt;&gt;Won't Fix",'Debt Backlog'!$N$2:$N$1000,"&lt;&gt;Duplicate"))</f>
        <v/>
      </c>
      <c r="AI289" s="103" t="str">
        <f aca="false">IF($B289="","",ROUND(SUMIFS('Debt Backlog'!$L$2:$L$1000,'Debt Backlog'!$AF$2:$AF$1000,$A289,'Debt Backlog'!$B$2:$B$1000,"&lt;&gt;",'Debt Backlog'!$N$2:$N$1000,"&lt;&gt;Done",'Debt Backlog'!$N$2:$N$1000,"&lt;&gt;Won't Fix",'Debt Backlog'!$N$2:$N$1000,"&lt;&gt;Duplicate"),2))</f>
        <v/>
      </c>
    </row>
    <row r="290" customFormat="false" ht="15.75" hidden="false" customHeight="true" outlineLevel="0" collapsed="false">
      <c r="A290" s="125"/>
      <c r="B290" s="101"/>
      <c r="C290" s="101"/>
      <c r="D290" s="101"/>
      <c r="E290" s="101"/>
      <c r="F290" s="101"/>
      <c r="G290" s="101"/>
      <c r="H290" s="101"/>
      <c r="I290" s="106"/>
      <c r="J290" s="106"/>
      <c r="K290" s="106"/>
      <c r="L290" s="106"/>
      <c r="M290" s="106"/>
      <c r="N290" s="103" t="str">
        <f aca="false">IF(OR($B290="", $I290="", $J290="", $K290="", $L290="", $M290=""),"",ROUND(($I290*Lists!$AD$2)+($J290*Lists!$AD$3)+($K290*Lists!$AD$4)+($L290*Lists!$AD$5)+($M290*Lists!$AD$6),2))</f>
        <v/>
      </c>
      <c r="O290" s="103" t="str">
        <f aca="false">IF($A290="","",IFERROR(VLOOKUP($A290,'Risk Register'!$B$2:$I$1000,8,FALSE()),""))</f>
        <v/>
      </c>
      <c r="P290" s="106"/>
      <c r="Q290" s="106"/>
      <c r="R290" s="106"/>
      <c r="S290" s="106"/>
      <c r="T290" s="103" t="str">
        <f aca="false">IF(OR($B290="", $P290="", $Q290="", $R290="", $S290=""),"",ROUND(($P290*Lists!$AD$7)+($Q290*Lists!$AD$8)+($R290*Lists!$AD$9)+($S290*Lists!$AD$10),2))</f>
        <v/>
      </c>
      <c r="U290" s="106"/>
      <c r="V290" s="106"/>
      <c r="W290" s="106"/>
      <c r="X290" s="106"/>
      <c r="Y290" s="106"/>
      <c r="Z290" s="103" t="str">
        <f aca="false">IF(OR($B290="", $U290="", $V290="", $W290="", $X290="", $Y290=""),"",ROUND(($U290*Lists!$AD$11)+($V290*Lists!$AD$12)+($W290*Lists!$AD$13)+($X290*Lists!$AD$14)+($Y290*Lists!$AD$15),2))</f>
        <v/>
      </c>
      <c r="AA290" s="103" t="str">
        <f aca="false">IF(OR($B290="", $N290="", $O290="", $T290="", $Z290=""),"",ROUND(($N290*Lists!$AD$16)-($O290*Lists!$AD$17)-($T290*Lists!$AD$18)+($Z290*Lists!$AD$19),2))</f>
        <v/>
      </c>
      <c r="AB290" s="102" t="str">
        <f aca="false">IF(OR($B290="", $N290="", $Z290=""),"",IF($N290&gt;=Lists!$AG$2,IF($Z290&gt;=Lists!$AG$3,"Invest","Migrate"),IF($Z290&gt;=Lists!$AG$3,"Tolerate","Eliminate")))</f>
        <v/>
      </c>
      <c r="AC290" s="102" t="str">
        <f aca="false">IF($B290="","",IF($J290&gt;=4,"Yes",""))</f>
        <v/>
      </c>
      <c r="AD290" s="102" t="str">
        <f aca="false">IF($A290="","",IFERROR(IF(VLOOKUP($A290,'Risk Register'!$B$2:$H$1000,4,FALSE())&gt;=4,"Yes",""),""))</f>
        <v/>
      </c>
      <c r="AE290" s="102" t="str">
        <f aca="false">IF(OR($N290="", $O290=""),"",IF($N290&gt;=Lists!$AG$2,IF($O290&gt;=Lists!$AG$4,"High Value / High Risk","High Value / Low Risk"),IF($O290&gt;=Lists!$AG$4,"Low Value / High Risk","Low Value / Low Risk")))</f>
        <v/>
      </c>
      <c r="AF290" s="101"/>
      <c r="AG290" s="126"/>
      <c r="AH290" s="106" t="str">
        <f aca="false">IF($B290="","",COUNTIFS('Debt Backlog'!$AF$2:$AF$1000,$A290,'Debt Backlog'!$B$2:$B$1000,"&lt;&gt;",'Debt Backlog'!$N$2:$N$1000,"&lt;&gt;Done",'Debt Backlog'!$N$2:$N$1000,"&lt;&gt;Won't Fix",'Debt Backlog'!$N$2:$N$1000,"&lt;&gt;Duplicate"))</f>
        <v/>
      </c>
      <c r="AI290" s="103" t="str">
        <f aca="false">IF($B290="","",ROUND(SUMIFS('Debt Backlog'!$L$2:$L$1000,'Debt Backlog'!$AF$2:$AF$1000,$A290,'Debt Backlog'!$B$2:$B$1000,"&lt;&gt;",'Debt Backlog'!$N$2:$N$1000,"&lt;&gt;Done",'Debt Backlog'!$N$2:$N$1000,"&lt;&gt;Won't Fix",'Debt Backlog'!$N$2:$N$1000,"&lt;&gt;Duplicate"),2))</f>
        <v/>
      </c>
    </row>
    <row r="291" customFormat="false" ht="15.75" hidden="false" customHeight="true" outlineLevel="0" collapsed="false">
      <c r="A291" s="125"/>
      <c r="B291" s="101"/>
      <c r="C291" s="101"/>
      <c r="D291" s="101"/>
      <c r="E291" s="101"/>
      <c r="F291" s="101"/>
      <c r="G291" s="101"/>
      <c r="H291" s="101"/>
      <c r="I291" s="106"/>
      <c r="J291" s="106"/>
      <c r="K291" s="106"/>
      <c r="L291" s="106"/>
      <c r="M291" s="106"/>
      <c r="N291" s="103" t="str">
        <f aca="false">IF(OR($B291="", $I291="", $J291="", $K291="", $L291="", $M291=""),"",ROUND(($I291*Lists!$AD$2)+($J291*Lists!$AD$3)+($K291*Lists!$AD$4)+($L291*Lists!$AD$5)+($M291*Lists!$AD$6),2))</f>
        <v/>
      </c>
      <c r="O291" s="103" t="str">
        <f aca="false">IF($A291="","",IFERROR(VLOOKUP($A291,'Risk Register'!$B$2:$I$1000,8,FALSE()),""))</f>
        <v/>
      </c>
      <c r="P291" s="106"/>
      <c r="Q291" s="106"/>
      <c r="R291" s="106"/>
      <c r="S291" s="106"/>
      <c r="T291" s="103" t="str">
        <f aca="false">IF(OR($B291="", $P291="", $Q291="", $R291="", $S291=""),"",ROUND(($P291*Lists!$AD$7)+($Q291*Lists!$AD$8)+($R291*Lists!$AD$9)+($S291*Lists!$AD$10),2))</f>
        <v/>
      </c>
      <c r="U291" s="106"/>
      <c r="V291" s="106"/>
      <c r="W291" s="106"/>
      <c r="X291" s="106"/>
      <c r="Y291" s="106"/>
      <c r="Z291" s="103" t="str">
        <f aca="false">IF(OR($B291="", $U291="", $V291="", $W291="", $X291="", $Y291=""),"",ROUND(($U291*Lists!$AD$11)+($V291*Lists!$AD$12)+($W291*Lists!$AD$13)+($X291*Lists!$AD$14)+($Y291*Lists!$AD$15),2))</f>
        <v/>
      </c>
      <c r="AA291" s="103" t="str">
        <f aca="false">IF(OR($B291="", $N291="", $O291="", $T291="", $Z291=""),"",ROUND(($N291*Lists!$AD$16)-($O291*Lists!$AD$17)-($T291*Lists!$AD$18)+($Z291*Lists!$AD$19),2))</f>
        <v/>
      </c>
      <c r="AB291" s="102" t="str">
        <f aca="false">IF(OR($B291="", $N291="", $Z291=""),"",IF($N291&gt;=Lists!$AG$2,IF($Z291&gt;=Lists!$AG$3,"Invest","Migrate"),IF($Z291&gt;=Lists!$AG$3,"Tolerate","Eliminate")))</f>
        <v/>
      </c>
      <c r="AC291" s="102" t="str">
        <f aca="false">IF($B291="","",IF($J291&gt;=4,"Yes",""))</f>
        <v/>
      </c>
      <c r="AD291" s="102" t="str">
        <f aca="false">IF($A291="","",IFERROR(IF(VLOOKUP($A291,'Risk Register'!$B$2:$H$1000,4,FALSE())&gt;=4,"Yes",""),""))</f>
        <v/>
      </c>
      <c r="AE291" s="102" t="str">
        <f aca="false">IF(OR($N291="", $O291=""),"",IF($N291&gt;=Lists!$AG$2,IF($O291&gt;=Lists!$AG$4,"High Value / High Risk","High Value / Low Risk"),IF($O291&gt;=Lists!$AG$4,"Low Value / High Risk","Low Value / Low Risk")))</f>
        <v/>
      </c>
      <c r="AF291" s="101"/>
      <c r="AG291" s="126"/>
      <c r="AH291" s="106" t="str">
        <f aca="false">IF($B291="","",COUNTIFS('Debt Backlog'!$AF$2:$AF$1000,$A291,'Debt Backlog'!$B$2:$B$1000,"&lt;&gt;",'Debt Backlog'!$N$2:$N$1000,"&lt;&gt;Done",'Debt Backlog'!$N$2:$N$1000,"&lt;&gt;Won't Fix",'Debt Backlog'!$N$2:$N$1000,"&lt;&gt;Duplicate"))</f>
        <v/>
      </c>
      <c r="AI291" s="103" t="str">
        <f aca="false">IF($B291="","",ROUND(SUMIFS('Debt Backlog'!$L$2:$L$1000,'Debt Backlog'!$AF$2:$AF$1000,$A291,'Debt Backlog'!$B$2:$B$1000,"&lt;&gt;",'Debt Backlog'!$N$2:$N$1000,"&lt;&gt;Done",'Debt Backlog'!$N$2:$N$1000,"&lt;&gt;Won't Fix",'Debt Backlog'!$N$2:$N$1000,"&lt;&gt;Duplicate"),2))</f>
        <v/>
      </c>
    </row>
    <row r="292" customFormat="false" ht="15.75" hidden="false" customHeight="true" outlineLevel="0" collapsed="false">
      <c r="A292" s="125"/>
      <c r="B292" s="101"/>
      <c r="C292" s="101"/>
      <c r="D292" s="101"/>
      <c r="E292" s="101"/>
      <c r="F292" s="101"/>
      <c r="G292" s="101"/>
      <c r="H292" s="101"/>
      <c r="I292" s="106"/>
      <c r="J292" s="106"/>
      <c r="K292" s="106"/>
      <c r="L292" s="106"/>
      <c r="M292" s="106"/>
      <c r="N292" s="103" t="str">
        <f aca="false">IF(OR($B292="", $I292="", $J292="", $K292="", $L292="", $M292=""),"",ROUND(($I292*Lists!$AD$2)+($J292*Lists!$AD$3)+($K292*Lists!$AD$4)+($L292*Lists!$AD$5)+($M292*Lists!$AD$6),2))</f>
        <v/>
      </c>
      <c r="O292" s="103" t="str">
        <f aca="false">IF($A292="","",IFERROR(VLOOKUP($A292,'Risk Register'!$B$2:$I$1000,8,FALSE()),""))</f>
        <v/>
      </c>
      <c r="P292" s="106"/>
      <c r="Q292" s="106"/>
      <c r="R292" s="106"/>
      <c r="S292" s="106"/>
      <c r="T292" s="103" t="str">
        <f aca="false">IF(OR($B292="", $P292="", $Q292="", $R292="", $S292=""),"",ROUND(($P292*Lists!$AD$7)+($Q292*Lists!$AD$8)+($R292*Lists!$AD$9)+($S292*Lists!$AD$10),2))</f>
        <v/>
      </c>
      <c r="U292" s="106"/>
      <c r="V292" s="106"/>
      <c r="W292" s="106"/>
      <c r="X292" s="106"/>
      <c r="Y292" s="106"/>
      <c r="Z292" s="103" t="str">
        <f aca="false">IF(OR($B292="", $U292="", $V292="", $W292="", $X292="", $Y292=""),"",ROUND(($U292*Lists!$AD$11)+($V292*Lists!$AD$12)+($W292*Lists!$AD$13)+($X292*Lists!$AD$14)+($Y292*Lists!$AD$15),2))</f>
        <v/>
      </c>
      <c r="AA292" s="103" t="str">
        <f aca="false">IF(OR($B292="", $N292="", $O292="", $T292="", $Z292=""),"",ROUND(($N292*Lists!$AD$16)-($O292*Lists!$AD$17)-($T292*Lists!$AD$18)+($Z292*Lists!$AD$19),2))</f>
        <v/>
      </c>
      <c r="AB292" s="102" t="str">
        <f aca="false">IF(OR($B292="", $N292="", $Z292=""),"",IF($N292&gt;=Lists!$AG$2,IF($Z292&gt;=Lists!$AG$3,"Invest","Migrate"),IF($Z292&gt;=Lists!$AG$3,"Tolerate","Eliminate")))</f>
        <v/>
      </c>
      <c r="AC292" s="102" t="str">
        <f aca="false">IF($B292="","",IF($J292&gt;=4,"Yes",""))</f>
        <v/>
      </c>
      <c r="AD292" s="102" t="str">
        <f aca="false">IF($A292="","",IFERROR(IF(VLOOKUP($A292,'Risk Register'!$B$2:$H$1000,4,FALSE())&gt;=4,"Yes",""),""))</f>
        <v/>
      </c>
      <c r="AE292" s="102" t="str">
        <f aca="false">IF(OR($N292="", $O292=""),"",IF($N292&gt;=Lists!$AG$2,IF($O292&gt;=Lists!$AG$4,"High Value / High Risk","High Value / Low Risk"),IF($O292&gt;=Lists!$AG$4,"Low Value / High Risk","Low Value / Low Risk")))</f>
        <v/>
      </c>
      <c r="AF292" s="101"/>
      <c r="AG292" s="126"/>
      <c r="AH292" s="106" t="str">
        <f aca="false">IF($B292="","",COUNTIFS('Debt Backlog'!$AF$2:$AF$1000,$A292,'Debt Backlog'!$B$2:$B$1000,"&lt;&gt;",'Debt Backlog'!$N$2:$N$1000,"&lt;&gt;Done",'Debt Backlog'!$N$2:$N$1000,"&lt;&gt;Won't Fix",'Debt Backlog'!$N$2:$N$1000,"&lt;&gt;Duplicate"))</f>
        <v/>
      </c>
      <c r="AI292" s="103" t="str">
        <f aca="false">IF($B292="","",ROUND(SUMIFS('Debt Backlog'!$L$2:$L$1000,'Debt Backlog'!$AF$2:$AF$1000,$A292,'Debt Backlog'!$B$2:$B$1000,"&lt;&gt;",'Debt Backlog'!$N$2:$N$1000,"&lt;&gt;Done",'Debt Backlog'!$N$2:$N$1000,"&lt;&gt;Won't Fix",'Debt Backlog'!$N$2:$N$1000,"&lt;&gt;Duplicate"),2))</f>
        <v/>
      </c>
    </row>
    <row r="293" customFormat="false" ht="15.75" hidden="false" customHeight="true" outlineLevel="0" collapsed="false">
      <c r="A293" s="125"/>
      <c r="B293" s="101"/>
      <c r="C293" s="101"/>
      <c r="D293" s="101"/>
      <c r="E293" s="101"/>
      <c r="F293" s="101"/>
      <c r="G293" s="101"/>
      <c r="H293" s="101"/>
      <c r="I293" s="106"/>
      <c r="J293" s="106"/>
      <c r="K293" s="106"/>
      <c r="L293" s="106"/>
      <c r="M293" s="106"/>
      <c r="N293" s="103" t="str">
        <f aca="false">IF(OR($B293="", $I293="", $J293="", $K293="", $L293="", $M293=""),"",ROUND(($I293*Lists!$AD$2)+($J293*Lists!$AD$3)+($K293*Lists!$AD$4)+($L293*Lists!$AD$5)+($M293*Lists!$AD$6),2))</f>
        <v/>
      </c>
      <c r="O293" s="103" t="str">
        <f aca="false">IF($A293="","",IFERROR(VLOOKUP($A293,'Risk Register'!$B$2:$I$1000,8,FALSE()),""))</f>
        <v/>
      </c>
      <c r="P293" s="106"/>
      <c r="Q293" s="106"/>
      <c r="R293" s="106"/>
      <c r="S293" s="106"/>
      <c r="T293" s="103" t="str">
        <f aca="false">IF(OR($B293="", $P293="", $Q293="", $R293="", $S293=""),"",ROUND(($P293*Lists!$AD$7)+($Q293*Lists!$AD$8)+($R293*Lists!$AD$9)+($S293*Lists!$AD$10),2))</f>
        <v/>
      </c>
      <c r="U293" s="106"/>
      <c r="V293" s="106"/>
      <c r="W293" s="106"/>
      <c r="X293" s="106"/>
      <c r="Y293" s="106"/>
      <c r="Z293" s="103" t="str">
        <f aca="false">IF(OR($B293="", $U293="", $V293="", $W293="", $X293="", $Y293=""),"",ROUND(($U293*Lists!$AD$11)+($V293*Lists!$AD$12)+($W293*Lists!$AD$13)+($X293*Lists!$AD$14)+($Y293*Lists!$AD$15),2))</f>
        <v/>
      </c>
      <c r="AA293" s="103" t="str">
        <f aca="false">IF(OR($B293="", $N293="", $O293="", $T293="", $Z293=""),"",ROUND(($N293*Lists!$AD$16)-($O293*Lists!$AD$17)-($T293*Lists!$AD$18)+($Z293*Lists!$AD$19),2))</f>
        <v/>
      </c>
      <c r="AB293" s="102" t="str">
        <f aca="false">IF(OR($B293="", $N293="", $Z293=""),"",IF($N293&gt;=Lists!$AG$2,IF($Z293&gt;=Lists!$AG$3,"Invest","Migrate"),IF($Z293&gt;=Lists!$AG$3,"Tolerate","Eliminate")))</f>
        <v/>
      </c>
      <c r="AC293" s="102" t="str">
        <f aca="false">IF($B293="","",IF($J293&gt;=4,"Yes",""))</f>
        <v/>
      </c>
      <c r="AD293" s="102" t="str">
        <f aca="false">IF($A293="","",IFERROR(IF(VLOOKUP($A293,'Risk Register'!$B$2:$H$1000,4,FALSE())&gt;=4,"Yes",""),""))</f>
        <v/>
      </c>
      <c r="AE293" s="102" t="str">
        <f aca="false">IF(OR($N293="", $O293=""),"",IF($N293&gt;=Lists!$AG$2,IF($O293&gt;=Lists!$AG$4,"High Value / High Risk","High Value / Low Risk"),IF($O293&gt;=Lists!$AG$4,"Low Value / High Risk","Low Value / Low Risk")))</f>
        <v/>
      </c>
      <c r="AF293" s="101"/>
      <c r="AG293" s="126"/>
      <c r="AH293" s="106" t="str">
        <f aca="false">IF($B293="","",COUNTIFS('Debt Backlog'!$AF$2:$AF$1000,$A293,'Debt Backlog'!$B$2:$B$1000,"&lt;&gt;",'Debt Backlog'!$N$2:$N$1000,"&lt;&gt;Done",'Debt Backlog'!$N$2:$N$1000,"&lt;&gt;Won't Fix",'Debt Backlog'!$N$2:$N$1000,"&lt;&gt;Duplicate"))</f>
        <v/>
      </c>
      <c r="AI293" s="103" t="str">
        <f aca="false">IF($B293="","",ROUND(SUMIFS('Debt Backlog'!$L$2:$L$1000,'Debt Backlog'!$AF$2:$AF$1000,$A293,'Debt Backlog'!$B$2:$B$1000,"&lt;&gt;",'Debt Backlog'!$N$2:$N$1000,"&lt;&gt;Done",'Debt Backlog'!$N$2:$N$1000,"&lt;&gt;Won't Fix",'Debt Backlog'!$N$2:$N$1000,"&lt;&gt;Duplicate"),2))</f>
        <v/>
      </c>
    </row>
    <row r="294" customFormat="false" ht="15.75" hidden="false" customHeight="true" outlineLevel="0" collapsed="false">
      <c r="A294" s="125"/>
      <c r="B294" s="101"/>
      <c r="C294" s="101"/>
      <c r="D294" s="101"/>
      <c r="E294" s="101"/>
      <c r="F294" s="101"/>
      <c r="G294" s="101"/>
      <c r="H294" s="101"/>
      <c r="I294" s="106"/>
      <c r="J294" s="106"/>
      <c r="K294" s="106"/>
      <c r="L294" s="106"/>
      <c r="M294" s="106"/>
      <c r="N294" s="103" t="str">
        <f aca="false">IF(OR($B294="", $I294="", $J294="", $K294="", $L294="", $M294=""),"",ROUND(($I294*Lists!$AD$2)+($J294*Lists!$AD$3)+($K294*Lists!$AD$4)+($L294*Lists!$AD$5)+($M294*Lists!$AD$6),2))</f>
        <v/>
      </c>
      <c r="O294" s="103" t="str">
        <f aca="false">IF($A294="","",IFERROR(VLOOKUP($A294,'Risk Register'!$B$2:$I$1000,8,FALSE()),""))</f>
        <v/>
      </c>
      <c r="P294" s="106"/>
      <c r="Q294" s="106"/>
      <c r="R294" s="106"/>
      <c r="S294" s="106"/>
      <c r="T294" s="103" t="str">
        <f aca="false">IF(OR($B294="", $P294="", $Q294="", $R294="", $S294=""),"",ROUND(($P294*Lists!$AD$7)+($Q294*Lists!$AD$8)+($R294*Lists!$AD$9)+($S294*Lists!$AD$10),2))</f>
        <v/>
      </c>
      <c r="U294" s="106"/>
      <c r="V294" s="106"/>
      <c r="W294" s="106"/>
      <c r="X294" s="106"/>
      <c r="Y294" s="106"/>
      <c r="Z294" s="103" t="str">
        <f aca="false">IF(OR($B294="", $U294="", $V294="", $W294="", $X294="", $Y294=""),"",ROUND(($U294*Lists!$AD$11)+($V294*Lists!$AD$12)+($W294*Lists!$AD$13)+($X294*Lists!$AD$14)+($Y294*Lists!$AD$15),2))</f>
        <v/>
      </c>
      <c r="AA294" s="103" t="str">
        <f aca="false">IF(OR($B294="", $N294="", $O294="", $T294="", $Z294=""),"",ROUND(($N294*Lists!$AD$16)-($O294*Lists!$AD$17)-($T294*Lists!$AD$18)+($Z294*Lists!$AD$19),2))</f>
        <v/>
      </c>
      <c r="AB294" s="102" t="str">
        <f aca="false">IF(OR($B294="", $N294="", $Z294=""),"",IF($N294&gt;=Lists!$AG$2,IF($Z294&gt;=Lists!$AG$3,"Invest","Migrate"),IF($Z294&gt;=Lists!$AG$3,"Tolerate","Eliminate")))</f>
        <v/>
      </c>
      <c r="AC294" s="102" t="str">
        <f aca="false">IF($B294="","",IF($J294&gt;=4,"Yes",""))</f>
        <v/>
      </c>
      <c r="AD294" s="102" t="str">
        <f aca="false">IF($A294="","",IFERROR(IF(VLOOKUP($A294,'Risk Register'!$B$2:$H$1000,4,FALSE())&gt;=4,"Yes",""),""))</f>
        <v/>
      </c>
      <c r="AE294" s="102" t="str">
        <f aca="false">IF(OR($N294="", $O294=""),"",IF($N294&gt;=Lists!$AG$2,IF($O294&gt;=Lists!$AG$4,"High Value / High Risk","High Value / Low Risk"),IF($O294&gt;=Lists!$AG$4,"Low Value / High Risk","Low Value / Low Risk")))</f>
        <v/>
      </c>
      <c r="AF294" s="101"/>
      <c r="AG294" s="126"/>
      <c r="AH294" s="106" t="str">
        <f aca="false">IF($B294="","",COUNTIFS('Debt Backlog'!$AF$2:$AF$1000,$A294,'Debt Backlog'!$B$2:$B$1000,"&lt;&gt;",'Debt Backlog'!$N$2:$N$1000,"&lt;&gt;Done",'Debt Backlog'!$N$2:$N$1000,"&lt;&gt;Won't Fix",'Debt Backlog'!$N$2:$N$1000,"&lt;&gt;Duplicate"))</f>
        <v/>
      </c>
      <c r="AI294" s="103" t="str">
        <f aca="false">IF($B294="","",ROUND(SUMIFS('Debt Backlog'!$L$2:$L$1000,'Debt Backlog'!$AF$2:$AF$1000,$A294,'Debt Backlog'!$B$2:$B$1000,"&lt;&gt;",'Debt Backlog'!$N$2:$N$1000,"&lt;&gt;Done",'Debt Backlog'!$N$2:$N$1000,"&lt;&gt;Won't Fix",'Debt Backlog'!$N$2:$N$1000,"&lt;&gt;Duplicate"),2))</f>
        <v/>
      </c>
    </row>
    <row r="295" customFormat="false" ht="15.75" hidden="false" customHeight="true" outlineLevel="0" collapsed="false">
      <c r="A295" s="125"/>
      <c r="B295" s="101"/>
      <c r="C295" s="101"/>
      <c r="D295" s="101"/>
      <c r="E295" s="101"/>
      <c r="F295" s="101"/>
      <c r="G295" s="101"/>
      <c r="H295" s="101"/>
      <c r="I295" s="106"/>
      <c r="J295" s="106"/>
      <c r="K295" s="106"/>
      <c r="L295" s="106"/>
      <c r="M295" s="106"/>
      <c r="N295" s="103" t="str">
        <f aca="false">IF(OR($B295="", $I295="", $J295="", $K295="", $L295="", $M295=""),"",ROUND(($I295*Lists!$AD$2)+($J295*Lists!$AD$3)+($K295*Lists!$AD$4)+($L295*Lists!$AD$5)+($M295*Lists!$AD$6),2))</f>
        <v/>
      </c>
      <c r="O295" s="103" t="str">
        <f aca="false">IF($A295="","",IFERROR(VLOOKUP($A295,'Risk Register'!$B$2:$I$1000,8,FALSE()),""))</f>
        <v/>
      </c>
      <c r="P295" s="106"/>
      <c r="Q295" s="106"/>
      <c r="R295" s="106"/>
      <c r="S295" s="106"/>
      <c r="T295" s="103" t="str">
        <f aca="false">IF(OR($B295="", $P295="", $Q295="", $R295="", $S295=""),"",ROUND(($P295*Lists!$AD$7)+($Q295*Lists!$AD$8)+($R295*Lists!$AD$9)+($S295*Lists!$AD$10),2))</f>
        <v/>
      </c>
      <c r="U295" s="106"/>
      <c r="V295" s="106"/>
      <c r="W295" s="106"/>
      <c r="X295" s="106"/>
      <c r="Y295" s="106"/>
      <c r="Z295" s="103" t="str">
        <f aca="false">IF(OR($B295="", $U295="", $V295="", $W295="", $X295="", $Y295=""),"",ROUND(($U295*Lists!$AD$11)+($V295*Lists!$AD$12)+($W295*Lists!$AD$13)+($X295*Lists!$AD$14)+($Y295*Lists!$AD$15),2))</f>
        <v/>
      </c>
      <c r="AA295" s="103" t="str">
        <f aca="false">IF(OR($B295="", $N295="", $O295="", $T295="", $Z295=""),"",ROUND(($N295*Lists!$AD$16)-($O295*Lists!$AD$17)-($T295*Lists!$AD$18)+($Z295*Lists!$AD$19),2))</f>
        <v/>
      </c>
      <c r="AB295" s="102" t="str">
        <f aca="false">IF(OR($B295="", $N295="", $Z295=""),"",IF($N295&gt;=Lists!$AG$2,IF($Z295&gt;=Lists!$AG$3,"Invest","Migrate"),IF($Z295&gt;=Lists!$AG$3,"Tolerate","Eliminate")))</f>
        <v/>
      </c>
      <c r="AC295" s="102" t="str">
        <f aca="false">IF($B295="","",IF($J295&gt;=4,"Yes",""))</f>
        <v/>
      </c>
      <c r="AD295" s="102" t="str">
        <f aca="false">IF($A295="","",IFERROR(IF(VLOOKUP($A295,'Risk Register'!$B$2:$H$1000,4,FALSE())&gt;=4,"Yes",""),""))</f>
        <v/>
      </c>
      <c r="AE295" s="102" t="str">
        <f aca="false">IF(OR($N295="", $O295=""),"",IF($N295&gt;=Lists!$AG$2,IF($O295&gt;=Lists!$AG$4,"High Value / High Risk","High Value / Low Risk"),IF($O295&gt;=Lists!$AG$4,"Low Value / High Risk","Low Value / Low Risk")))</f>
        <v/>
      </c>
      <c r="AF295" s="101"/>
      <c r="AG295" s="126"/>
      <c r="AH295" s="106" t="str">
        <f aca="false">IF($B295="","",COUNTIFS('Debt Backlog'!$AF$2:$AF$1000,$A295,'Debt Backlog'!$B$2:$B$1000,"&lt;&gt;",'Debt Backlog'!$N$2:$N$1000,"&lt;&gt;Done",'Debt Backlog'!$N$2:$N$1000,"&lt;&gt;Won't Fix",'Debt Backlog'!$N$2:$N$1000,"&lt;&gt;Duplicate"))</f>
        <v/>
      </c>
      <c r="AI295" s="103" t="str">
        <f aca="false">IF($B295="","",ROUND(SUMIFS('Debt Backlog'!$L$2:$L$1000,'Debt Backlog'!$AF$2:$AF$1000,$A295,'Debt Backlog'!$B$2:$B$1000,"&lt;&gt;",'Debt Backlog'!$N$2:$N$1000,"&lt;&gt;Done",'Debt Backlog'!$N$2:$N$1000,"&lt;&gt;Won't Fix",'Debt Backlog'!$N$2:$N$1000,"&lt;&gt;Duplicate"),2))</f>
        <v/>
      </c>
    </row>
    <row r="296" customFormat="false" ht="15.75" hidden="false" customHeight="true" outlineLevel="0" collapsed="false">
      <c r="A296" s="125"/>
      <c r="B296" s="101"/>
      <c r="C296" s="101"/>
      <c r="D296" s="101"/>
      <c r="E296" s="101"/>
      <c r="F296" s="101"/>
      <c r="G296" s="101"/>
      <c r="H296" s="101"/>
      <c r="I296" s="106"/>
      <c r="J296" s="106"/>
      <c r="K296" s="106"/>
      <c r="L296" s="106"/>
      <c r="M296" s="106"/>
      <c r="N296" s="103" t="str">
        <f aca="false">IF(OR($B296="", $I296="", $J296="", $K296="", $L296="", $M296=""),"",ROUND(($I296*Lists!$AD$2)+($J296*Lists!$AD$3)+($K296*Lists!$AD$4)+($L296*Lists!$AD$5)+($M296*Lists!$AD$6),2))</f>
        <v/>
      </c>
      <c r="O296" s="103" t="str">
        <f aca="false">IF($A296="","",IFERROR(VLOOKUP($A296,'Risk Register'!$B$2:$I$1000,8,FALSE()),""))</f>
        <v/>
      </c>
      <c r="P296" s="106"/>
      <c r="Q296" s="106"/>
      <c r="R296" s="106"/>
      <c r="S296" s="106"/>
      <c r="T296" s="103" t="str">
        <f aca="false">IF(OR($B296="", $P296="", $Q296="", $R296="", $S296=""),"",ROUND(($P296*Lists!$AD$7)+($Q296*Lists!$AD$8)+($R296*Lists!$AD$9)+($S296*Lists!$AD$10),2))</f>
        <v/>
      </c>
      <c r="U296" s="106"/>
      <c r="V296" s="106"/>
      <c r="W296" s="106"/>
      <c r="X296" s="106"/>
      <c r="Y296" s="106"/>
      <c r="Z296" s="103" t="str">
        <f aca="false">IF(OR($B296="", $U296="", $V296="", $W296="", $X296="", $Y296=""),"",ROUND(($U296*Lists!$AD$11)+($V296*Lists!$AD$12)+($W296*Lists!$AD$13)+($X296*Lists!$AD$14)+($Y296*Lists!$AD$15),2))</f>
        <v/>
      </c>
      <c r="AA296" s="103" t="str">
        <f aca="false">IF(OR($B296="", $N296="", $O296="", $T296="", $Z296=""),"",ROUND(($N296*Lists!$AD$16)-($O296*Lists!$AD$17)-($T296*Lists!$AD$18)+($Z296*Lists!$AD$19),2))</f>
        <v/>
      </c>
      <c r="AB296" s="102" t="str">
        <f aca="false">IF(OR($B296="", $N296="", $Z296=""),"",IF($N296&gt;=Lists!$AG$2,IF($Z296&gt;=Lists!$AG$3,"Invest","Migrate"),IF($Z296&gt;=Lists!$AG$3,"Tolerate","Eliminate")))</f>
        <v/>
      </c>
      <c r="AC296" s="102" t="str">
        <f aca="false">IF($B296="","",IF($J296&gt;=4,"Yes",""))</f>
        <v/>
      </c>
      <c r="AD296" s="102" t="str">
        <f aca="false">IF($A296="","",IFERROR(IF(VLOOKUP($A296,'Risk Register'!$B$2:$H$1000,4,FALSE())&gt;=4,"Yes",""),""))</f>
        <v/>
      </c>
      <c r="AE296" s="102" t="str">
        <f aca="false">IF(OR($N296="", $O296=""),"",IF($N296&gt;=Lists!$AG$2,IF($O296&gt;=Lists!$AG$4,"High Value / High Risk","High Value / Low Risk"),IF($O296&gt;=Lists!$AG$4,"Low Value / High Risk","Low Value / Low Risk")))</f>
        <v/>
      </c>
      <c r="AF296" s="101"/>
      <c r="AG296" s="126"/>
      <c r="AH296" s="106" t="str">
        <f aca="false">IF($B296="","",COUNTIFS('Debt Backlog'!$AF$2:$AF$1000,$A296,'Debt Backlog'!$B$2:$B$1000,"&lt;&gt;",'Debt Backlog'!$N$2:$N$1000,"&lt;&gt;Done",'Debt Backlog'!$N$2:$N$1000,"&lt;&gt;Won't Fix",'Debt Backlog'!$N$2:$N$1000,"&lt;&gt;Duplicate"))</f>
        <v/>
      </c>
      <c r="AI296" s="103" t="str">
        <f aca="false">IF($B296="","",ROUND(SUMIFS('Debt Backlog'!$L$2:$L$1000,'Debt Backlog'!$AF$2:$AF$1000,$A296,'Debt Backlog'!$B$2:$B$1000,"&lt;&gt;",'Debt Backlog'!$N$2:$N$1000,"&lt;&gt;Done",'Debt Backlog'!$N$2:$N$1000,"&lt;&gt;Won't Fix",'Debt Backlog'!$N$2:$N$1000,"&lt;&gt;Duplicate"),2))</f>
        <v/>
      </c>
    </row>
    <row r="297" customFormat="false" ht="15.75" hidden="false" customHeight="true" outlineLevel="0" collapsed="false">
      <c r="A297" s="125"/>
      <c r="B297" s="101"/>
      <c r="C297" s="101"/>
      <c r="D297" s="101"/>
      <c r="E297" s="101"/>
      <c r="F297" s="101"/>
      <c r="G297" s="101"/>
      <c r="H297" s="101"/>
      <c r="I297" s="106"/>
      <c r="J297" s="106"/>
      <c r="K297" s="106"/>
      <c r="L297" s="106"/>
      <c r="M297" s="106"/>
      <c r="N297" s="103" t="str">
        <f aca="false">IF(OR($B297="", $I297="", $J297="", $K297="", $L297="", $M297=""),"",ROUND(($I297*Lists!$AD$2)+($J297*Lists!$AD$3)+($K297*Lists!$AD$4)+($L297*Lists!$AD$5)+($M297*Lists!$AD$6),2))</f>
        <v/>
      </c>
      <c r="O297" s="103" t="str">
        <f aca="false">IF($A297="","",IFERROR(VLOOKUP($A297,'Risk Register'!$B$2:$I$1000,8,FALSE()),""))</f>
        <v/>
      </c>
      <c r="P297" s="106"/>
      <c r="Q297" s="106"/>
      <c r="R297" s="106"/>
      <c r="S297" s="106"/>
      <c r="T297" s="103" t="str">
        <f aca="false">IF(OR($B297="", $P297="", $Q297="", $R297="", $S297=""),"",ROUND(($P297*Lists!$AD$7)+($Q297*Lists!$AD$8)+($R297*Lists!$AD$9)+($S297*Lists!$AD$10),2))</f>
        <v/>
      </c>
      <c r="U297" s="106"/>
      <c r="V297" s="106"/>
      <c r="W297" s="106"/>
      <c r="X297" s="106"/>
      <c r="Y297" s="106"/>
      <c r="Z297" s="103" t="str">
        <f aca="false">IF(OR($B297="", $U297="", $V297="", $W297="", $X297="", $Y297=""),"",ROUND(($U297*Lists!$AD$11)+($V297*Lists!$AD$12)+($W297*Lists!$AD$13)+($X297*Lists!$AD$14)+($Y297*Lists!$AD$15),2))</f>
        <v/>
      </c>
      <c r="AA297" s="103" t="str">
        <f aca="false">IF(OR($B297="", $N297="", $O297="", $T297="", $Z297=""),"",ROUND(($N297*Lists!$AD$16)-($O297*Lists!$AD$17)-($T297*Lists!$AD$18)+($Z297*Lists!$AD$19),2))</f>
        <v/>
      </c>
      <c r="AB297" s="102" t="str">
        <f aca="false">IF(OR($B297="", $N297="", $Z297=""),"",IF($N297&gt;=Lists!$AG$2,IF($Z297&gt;=Lists!$AG$3,"Invest","Migrate"),IF($Z297&gt;=Lists!$AG$3,"Tolerate","Eliminate")))</f>
        <v/>
      </c>
      <c r="AC297" s="102" t="str">
        <f aca="false">IF($B297="","",IF($J297&gt;=4,"Yes",""))</f>
        <v/>
      </c>
      <c r="AD297" s="102" t="str">
        <f aca="false">IF($A297="","",IFERROR(IF(VLOOKUP($A297,'Risk Register'!$B$2:$H$1000,4,FALSE())&gt;=4,"Yes",""),""))</f>
        <v/>
      </c>
      <c r="AE297" s="102" t="str">
        <f aca="false">IF(OR($N297="", $O297=""),"",IF($N297&gt;=Lists!$AG$2,IF($O297&gt;=Lists!$AG$4,"High Value / High Risk","High Value / Low Risk"),IF($O297&gt;=Lists!$AG$4,"Low Value / High Risk","Low Value / Low Risk")))</f>
        <v/>
      </c>
      <c r="AF297" s="101"/>
      <c r="AG297" s="126"/>
      <c r="AH297" s="106" t="str">
        <f aca="false">IF($B297="","",COUNTIFS('Debt Backlog'!$AF$2:$AF$1000,$A297,'Debt Backlog'!$B$2:$B$1000,"&lt;&gt;",'Debt Backlog'!$N$2:$N$1000,"&lt;&gt;Done",'Debt Backlog'!$N$2:$N$1000,"&lt;&gt;Won't Fix",'Debt Backlog'!$N$2:$N$1000,"&lt;&gt;Duplicate"))</f>
        <v/>
      </c>
      <c r="AI297" s="103" t="str">
        <f aca="false">IF($B297="","",ROUND(SUMIFS('Debt Backlog'!$L$2:$L$1000,'Debt Backlog'!$AF$2:$AF$1000,$A297,'Debt Backlog'!$B$2:$B$1000,"&lt;&gt;",'Debt Backlog'!$N$2:$N$1000,"&lt;&gt;Done",'Debt Backlog'!$N$2:$N$1000,"&lt;&gt;Won't Fix",'Debt Backlog'!$N$2:$N$1000,"&lt;&gt;Duplicate"),2))</f>
        <v/>
      </c>
    </row>
    <row r="298" customFormat="false" ht="15.75" hidden="false" customHeight="true" outlineLevel="0" collapsed="false">
      <c r="A298" s="125"/>
      <c r="B298" s="101"/>
      <c r="C298" s="101"/>
      <c r="D298" s="101"/>
      <c r="E298" s="101"/>
      <c r="F298" s="101"/>
      <c r="G298" s="101"/>
      <c r="H298" s="101"/>
      <c r="I298" s="106"/>
      <c r="J298" s="106"/>
      <c r="K298" s="106"/>
      <c r="L298" s="106"/>
      <c r="M298" s="106"/>
      <c r="N298" s="103" t="str">
        <f aca="false">IF(OR($B298="", $I298="", $J298="", $K298="", $L298="", $M298=""),"",ROUND(($I298*Lists!$AD$2)+($J298*Lists!$AD$3)+($K298*Lists!$AD$4)+($L298*Lists!$AD$5)+($M298*Lists!$AD$6),2))</f>
        <v/>
      </c>
      <c r="O298" s="103" t="str">
        <f aca="false">IF($A298="","",IFERROR(VLOOKUP($A298,'Risk Register'!$B$2:$I$1000,8,FALSE()),""))</f>
        <v/>
      </c>
      <c r="P298" s="106"/>
      <c r="Q298" s="106"/>
      <c r="R298" s="106"/>
      <c r="S298" s="106"/>
      <c r="T298" s="103" t="str">
        <f aca="false">IF(OR($B298="", $P298="", $Q298="", $R298="", $S298=""),"",ROUND(($P298*Lists!$AD$7)+($Q298*Lists!$AD$8)+($R298*Lists!$AD$9)+($S298*Lists!$AD$10),2))</f>
        <v/>
      </c>
      <c r="U298" s="106"/>
      <c r="V298" s="106"/>
      <c r="W298" s="106"/>
      <c r="X298" s="106"/>
      <c r="Y298" s="106"/>
      <c r="Z298" s="103" t="str">
        <f aca="false">IF(OR($B298="", $U298="", $V298="", $W298="", $X298="", $Y298=""),"",ROUND(($U298*Lists!$AD$11)+($V298*Lists!$AD$12)+($W298*Lists!$AD$13)+($X298*Lists!$AD$14)+($Y298*Lists!$AD$15),2))</f>
        <v/>
      </c>
      <c r="AA298" s="103" t="str">
        <f aca="false">IF(OR($B298="", $N298="", $O298="", $T298="", $Z298=""),"",ROUND(($N298*Lists!$AD$16)-($O298*Lists!$AD$17)-($T298*Lists!$AD$18)+($Z298*Lists!$AD$19),2))</f>
        <v/>
      </c>
      <c r="AB298" s="102" t="str">
        <f aca="false">IF(OR($B298="", $N298="", $Z298=""),"",IF($N298&gt;=Lists!$AG$2,IF($Z298&gt;=Lists!$AG$3,"Invest","Migrate"),IF($Z298&gt;=Lists!$AG$3,"Tolerate","Eliminate")))</f>
        <v/>
      </c>
      <c r="AC298" s="102" t="str">
        <f aca="false">IF($B298="","",IF($J298&gt;=4,"Yes",""))</f>
        <v/>
      </c>
      <c r="AD298" s="102" t="str">
        <f aca="false">IF($A298="","",IFERROR(IF(VLOOKUP($A298,'Risk Register'!$B$2:$H$1000,4,FALSE())&gt;=4,"Yes",""),""))</f>
        <v/>
      </c>
      <c r="AE298" s="102" t="str">
        <f aca="false">IF(OR($N298="", $O298=""),"",IF($N298&gt;=Lists!$AG$2,IF($O298&gt;=Lists!$AG$4,"High Value / High Risk","High Value / Low Risk"),IF($O298&gt;=Lists!$AG$4,"Low Value / High Risk","Low Value / Low Risk")))</f>
        <v/>
      </c>
      <c r="AF298" s="101"/>
      <c r="AG298" s="126"/>
      <c r="AH298" s="106" t="str">
        <f aca="false">IF($B298="","",COUNTIFS('Debt Backlog'!$AF$2:$AF$1000,$A298,'Debt Backlog'!$B$2:$B$1000,"&lt;&gt;",'Debt Backlog'!$N$2:$N$1000,"&lt;&gt;Done",'Debt Backlog'!$N$2:$N$1000,"&lt;&gt;Won't Fix",'Debt Backlog'!$N$2:$N$1000,"&lt;&gt;Duplicate"))</f>
        <v/>
      </c>
      <c r="AI298" s="103" t="str">
        <f aca="false">IF($B298="","",ROUND(SUMIFS('Debt Backlog'!$L$2:$L$1000,'Debt Backlog'!$AF$2:$AF$1000,$A298,'Debt Backlog'!$B$2:$B$1000,"&lt;&gt;",'Debt Backlog'!$N$2:$N$1000,"&lt;&gt;Done",'Debt Backlog'!$N$2:$N$1000,"&lt;&gt;Won't Fix",'Debt Backlog'!$N$2:$N$1000,"&lt;&gt;Duplicate"),2))</f>
        <v/>
      </c>
    </row>
    <row r="299" customFormat="false" ht="15.75" hidden="false" customHeight="true" outlineLevel="0" collapsed="false">
      <c r="A299" s="125"/>
      <c r="B299" s="101"/>
      <c r="C299" s="101"/>
      <c r="D299" s="101"/>
      <c r="E299" s="101"/>
      <c r="F299" s="101"/>
      <c r="G299" s="101"/>
      <c r="H299" s="101"/>
      <c r="I299" s="106"/>
      <c r="J299" s="106"/>
      <c r="K299" s="106"/>
      <c r="L299" s="106"/>
      <c r="M299" s="106"/>
      <c r="N299" s="103" t="str">
        <f aca="false">IF(OR($B299="", $I299="", $J299="", $K299="", $L299="", $M299=""),"",ROUND(($I299*Lists!$AD$2)+($J299*Lists!$AD$3)+($K299*Lists!$AD$4)+($L299*Lists!$AD$5)+($M299*Lists!$AD$6),2))</f>
        <v/>
      </c>
      <c r="O299" s="103" t="str">
        <f aca="false">IF($A299="","",IFERROR(VLOOKUP($A299,'Risk Register'!$B$2:$I$1000,8,FALSE()),""))</f>
        <v/>
      </c>
      <c r="P299" s="106"/>
      <c r="Q299" s="106"/>
      <c r="R299" s="106"/>
      <c r="S299" s="106"/>
      <c r="T299" s="103" t="str">
        <f aca="false">IF(OR($B299="", $P299="", $Q299="", $R299="", $S299=""),"",ROUND(($P299*Lists!$AD$7)+($Q299*Lists!$AD$8)+($R299*Lists!$AD$9)+($S299*Lists!$AD$10),2))</f>
        <v/>
      </c>
      <c r="U299" s="106"/>
      <c r="V299" s="106"/>
      <c r="W299" s="106"/>
      <c r="X299" s="106"/>
      <c r="Y299" s="106"/>
      <c r="Z299" s="103" t="str">
        <f aca="false">IF(OR($B299="", $U299="", $V299="", $W299="", $X299="", $Y299=""),"",ROUND(($U299*Lists!$AD$11)+($V299*Lists!$AD$12)+($W299*Lists!$AD$13)+($X299*Lists!$AD$14)+($Y299*Lists!$AD$15),2))</f>
        <v/>
      </c>
      <c r="AA299" s="103" t="str">
        <f aca="false">IF(OR($B299="", $N299="", $O299="", $T299="", $Z299=""),"",ROUND(($N299*Lists!$AD$16)-($O299*Lists!$AD$17)-($T299*Lists!$AD$18)+($Z299*Lists!$AD$19),2))</f>
        <v/>
      </c>
      <c r="AB299" s="102" t="str">
        <f aca="false">IF(OR($B299="", $N299="", $Z299=""),"",IF($N299&gt;=Lists!$AG$2,IF($Z299&gt;=Lists!$AG$3,"Invest","Migrate"),IF($Z299&gt;=Lists!$AG$3,"Tolerate","Eliminate")))</f>
        <v/>
      </c>
      <c r="AC299" s="102" t="str">
        <f aca="false">IF($B299="","",IF($J299&gt;=4,"Yes",""))</f>
        <v/>
      </c>
      <c r="AD299" s="102" t="str">
        <f aca="false">IF($A299="","",IFERROR(IF(VLOOKUP($A299,'Risk Register'!$B$2:$H$1000,4,FALSE())&gt;=4,"Yes",""),""))</f>
        <v/>
      </c>
      <c r="AE299" s="102" t="str">
        <f aca="false">IF(OR($N299="", $O299=""),"",IF($N299&gt;=Lists!$AG$2,IF($O299&gt;=Lists!$AG$4,"High Value / High Risk","High Value / Low Risk"),IF($O299&gt;=Lists!$AG$4,"Low Value / High Risk","Low Value / Low Risk")))</f>
        <v/>
      </c>
      <c r="AF299" s="101"/>
      <c r="AG299" s="126"/>
      <c r="AH299" s="106" t="str">
        <f aca="false">IF($B299="","",COUNTIFS('Debt Backlog'!$AF$2:$AF$1000,$A299,'Debt Backlog'!$B$2:$B$1000,"&lt;&gt;",'Debt Backlog'!$N$2:$N$1000,"&lt;&gt;Done",'Debt Backlog'!$N$2:$N$1000,"&lt;&gt;Won't Fix",'Debt Backlog'!$N$2:$N$1000,"&lt;&gt;Duplicate"))</f>
        <v/>
      </c>
      <c r="AI299" s="103" t="str">
        <f aca="false">IF($B299="","",ROUND(SUMIFS('Debt Backlog'!$L$2:$L$1000,'Debt Backlog'!$AF$2:$AF$1000,$A299,'Debt Backlog'!$B$2:$B$1000,"&lt;&gt;",'Debt Backlog'!$N$2:$N$1000,"&lt;&gt;Done",'Debt Backlog'!$N$2:$N$1000,"&lt;&gt;Won't Fix",'Debt Backlog'!$N$2:$N$1000,"&lt;&gt;Duplicate"),2))</f>
        <v/>
      </c>
    </row>
    <row r="300" customFormat="false" ht="15.75" hidden="false" customHeight="true" outlineLevel="0" collapsed="false">
      <c r="A300" s="125"/>
      <c r="B300" s="101"/>
      <c r="C300" s="101"/>
      <c r="D300" s="101"/>
      <c r="E300" s="101"/>
      <c r="F300" s="101"/>
      <c r="G300" s="101"/>
      <c r="H300" s="101"/>
      <c r="I300" s="106"/>
      <c r="J300" s="106"/>
      <c r="K300" s="106"/>
      <c r="L300" s="106"/>
      <c r="M300" s="106"/>
      <c r="N300" s="103" t="str">
        <f aca="false">IF(OR($B300="", $I300="", $J300="", $K300="", $L300="", $M300=""),"",ROUND(($I300*Lists!$AD$2)+($J300*Lists!$AD$3)+($K300*Lists!$AD$4)+($L300*Lists!$AD$5)+($M300*Lists!$AD$6),2))</f>
        <v/>
      </c>
      <c r="O300" s="103" t="str">
        <f aca="false">IF($A300="","",IFERROR(VLOOKUP($A300,'Risk Register'!$B$2:$I$1000,8,FALSE()),""))</f>
        <v/>
      </c>
      <c r="P300" s="106"/>
      <c r="Q300" s="106"/>
      <c r="R300" s="106"/>
      <c r="S300" s="106"/>
      <c r="T300" s="103" t="str">
        <f aca="false">IF(OR($B300="", $P300="", $Q300="", $R300="", $S300=""),"",ROUND(($P300*Lists!$AD$7)+($Q300*Lists!$AD$8)+($R300*Lists!$AD$9)+($S300*Lists!$AD$10),2))</f>
        <v/>
      </c>
      <c r="U300" s="106"/>
      <c r="V300" s="106"/>
      <c r="W300" s="106"/>
      <c r="X300" s="106"/>
      <c r="Y300" s="106"/>
      <c r="Z300" s="103" t="str">
        <f aca="false">IF(OR($B300="", $U300="", $V300="", $W300="", $X300="", $Y300=""),"",ROUND(($U300*Lists!$AD$11)+($V300*Lists!$AD$12)+($W300*Lists!$AD$13)+($X300*Lists!$AD$14)+($Y300*Lists!$AD$15),2))</f>
        <v/>
      </c>
      <c r="AA300" s="103" t="str">
        <f aca="false">IF(OR($B300="", $N300="", $O300="", $T300="", $Z300=""),"",ROUND(($N300*Lists!$AD$16)-($O300*Lists!$AD$17)-($T300*Lists!$AD$18)+($Z300*Lists!$AD$19),2))</f>
        <v/>
      </c>
      <c r="AB300" s="102" t="str">
        <f aca="false">IF(OR($B300="", $N300="", $Z300=""),"",IF($N300&gt;=Lists!$AG$2,IF($Z300&gt;=Lists!$AG$3,"Invest","Migrate"),IF($Z300&gt;=Lists!$AG$3,"Tolerate","Eliminate")))</f>
        <v/>
      </c>
      <c r="AC300" s="102" t="str">
        <f aca="false">IF($B300="","",IF($J300&gt;=4,"Yes",""))</f>
        <v/>
      </c>
      <c r="AD300" s="102" t="str">
        <f aca="false">IF($A300="","",IFERROR(IF(VLOOKUP($A300,'Risk Register'!$B$2:$H$1000,4,FALSE())&gt;=4,"Yes",""),""))</f>
        <v/>
      </c>
      <c r="AE300" s="102" t="str">
        <f aca="false">IF(OR($N300="", $O300=""),"",IF($N300&gt;=Lists!$AG$2,IF($O300&gt;=Lists!$AG$4,"High Value / High Risk","High Value / Low Risk"),IF($O300&gt;=Lists!$AG$4,"Low Value / High Risk","Low Value / Low Risk")))</f>
        <v/>
      </c>
      <c r="AF300" s="101"/>
      <c r="AG300" s="126"/>
      <c r="AH300" s="106" t="str">
        <f aca="false">IF($B300="","",COUNTIFS('Debt Backlog'!$AF$2:$AF$1000,$A300,'Debt Backlog'!$B$2:$B$1000,"&lt;&gt;",'Debt Backlog'!$N$2:$N$1000,"&lt;&gt;Done",'Debt Backlog'!$N$2:$N$1000,"&lt;&gt;Won't Fix",'Debt Backlog'!$N$2:$N$1000,"&lt;&gt;Duplicate"))</f>
        <v/>
      </c>
      <c r="AI300" s="103" t="str">
        <f aca="false">IF($B300="","",ROUND(SUMIFS('Debt Backlog'!$L$2:$L$1000,'Debt Backlog'!$AF$2:$AF$1000,$A300,'Debt Backlog'!$B$2:$B$1000,"&lt;&gt;",'Debt Backlog'!$N$2:$N$1000,"&lt;&gt;Done",'Debt Backlog'!$N$2:$N$1000,"&lt;&gt;Won't Fix",'Debt Backlog'!$N$2:$N$1000,"&lt;&gt;Duplicate"),2))</f>
        <v/>
      </c>
    </row>
    <row r="301" customFormat="false" ht="15.75" hidden="false" customHeight="true" outlineLevel="0" collapsed="false">
      <c r="A301" s="125"/>
      <c r="B301" s="101"/>
      <c r="C301" s="101"/>
      <c r="D301" s="101"/>
      <c r="E301" s="101"/>
      <c r="F301" s="101"/>
      <c r="G301" s="101"/>
      <c r="H301" s="101"/>
      <c r="I301" s="106"/>
      <c r="J301" s="106"/>
      <c r="K301" s="106"/>
      <c r="L301" s="106"/>
      <c r="M301" s="106"/>
      <c r="N301" s="103" t="str">
        <f aca="false">IF(OR($B301="", $I301="", $J301="", $K301="", $L301="", $M301=""),"",ROUND(($I301*Lists!$AD$2)+($J301*Lists!$AD$3)+($K301*Lists!$AD$4)+($L301*Lists!$AD$5)+($M301*Lists!$AD$6),2))</f>
        <v/>
      </c>
      <c r="O301" s="103" t="str">
        <f aca="false">IF($A301="","",IFERROR(VLOOKUP($A301,'Risk Register'!$B$2:$I$1000,8,FALSE()),""))</f>
        <v/>
      </c>
      <c r="P301" s="106"/>
      <c r="Q301" s="106"/>
      <c r="R301" s="106"/>
      <c r="S301" s="106"/>
      <c r="T301" s="103" t="str">
        <f aca="false">IF(OR($B301="", $P301="", $Q301="", $R301="", $S301=""),"",ROUND(($P301*Lists!$AD$7)+($Q301*Lists!$AD$8)+($R301*Lists!$AD$9)+($S301*Lists!$AD$10),2))</f>
        <v/>
      </c>
      <c r="U301" s="106"/>
      <c r="V301" s="106"/>
      <c r="W301" s="106"/>
      <c r="X301" s="106"/>
      <c r="Y301" s="106"/>
      <c r="Z301" s="103" t="str">
        <f aca="false">IF(OR($B301="", $U301="", $V301="", $W301="", $X301="", $Y301=""),"",ROUND(($U301*Lists!$AD$11)+($V301*Lists!$AD$12)+($W301*Lists!$AD$13)+($X301*Lists!$AD$14)+($Y301*Lists!$AD$15),2))</f>
        <v/>
      </c>
      <c r="AA301" s="103" t="str">
        <f aca="false">IF(OR($B301="", $N301="", $O301="", $T301="", $Z301=""),"",ROUND(($N301*Lists!$AD$16)-($O301*Lists!$AD$17)-($T301*Lists!$AD$18)+($Z301*Lists!$AD$19),2))</f>
        <v/>
      </c>
      <c r="AB301" s="102" t="str">
        <f aca="false">IF(OR($B301="", $N301="", $Z301=""),"",IF($N301&gt;=Lists!$AG$2,IF($Z301&gt;=Lists!$AG$3,"Invest","Migrate"),IF($Z301&gt;=Lists!$AG$3,"Tolerate","Eliminate")))</f>
        <v/>
      </c>
      <c r="AC301" s="102" t="str">
        <f aca="false">IF($B301="","",IF($J301&gt;=4,"Yes",""))</f>
        <v/>
      </c>
      <c r="AD301" s="102" t="str">
        <f aca="false">IF($A301="","",IFERROR(IF(VLOOKUP($A301,'Risk Register'!$B$2:$H$1000,4,FALSE())&gt;=4,"Yes",""),""))</f>
        <v/>
      </c>
      <c r="AE301" s="102" t="str">
        <f aca="false">IF(OR($N301="", $O301=""),"",IF($N301&gt;=Lists!$AG$2,IF($O301&gt;=Lists!$AG$4,"High Value / High Risk","High Value / Low Risk"),IF($O301&gt;=Lists!$AG$4,"Low Value / High Risk","Low Value / Low Risk")))</f>
        <v/>
      </c>
      <c r="AF301" s="101"/>
      <c r="AG301" s="126"/>
      <c r="AH301" s="106" t="str">
        <f aca="false">IF($B301="","",COUNTIFS('Debt Backlog'!$AF$2:$AF$1000,$A301,'Debt Backlog'!$B$2:$B$1000,"&lt;&gt;",'Debt Backlog'!$N$2:$N$1000,"&lt;&gt;Done",'Debt Backlog'!$N$2:$N$1000,"&lt;&gt;Won't Fix",'Debt Backlog'!$N$2:$N$1000,"&lt;&gt;Duplicate"))</f>
        <v/>
      </c>
      <c r="AI301" s="103" t="str">
        <f aca="false">IF($B301="","",ROUND(SUMIFS('Debt Backlog'!$L$2:$L$1000,'Debt Backlog'!$AF$2:$AF$1000,$A301,'Debt Backlog'!$B$2:$B$1000,"&lt;&gt;",'Debt Backlog'!$N$2:$N$1000,"&lt;&gt;Done",'Debt Backlog'!$N$2:$N$1000,"&lt;&gt;Won't Fix",'Debt Backlog'!$N$2:$N$1000,"&lt;&gt;Duplicate"),2))</f>
        <v/>
      </c>
    </row>
    <row r="302" customFormat="false" ht="15.75" hidden="false" customHeight="true" outlineLevel="0" collapsed="false">
      <c r="A302" s="125"/>
      <c r="B302" s="101"/>
      <c r="C302" s="101"/>
      <c r="D302" s="101"/>
      <c r="E302" s="101"/>
      <c r="F302" s="101"/>
      <c r="G302" s="101"/>
      <c r="H302" s="101"/>
      <c r="I302" s="106"/>
      <c r="J302" s="106"/>
      <c r="K302" s="106"/>
      <c r="L302" s="106"/>
      <c r="M302" s="106"/>
      <c r="N302" s="103" t="str">
        <f aca="false">IF(OR($B302="", $I302="", $J302="", $K302="", $L302="", $M302=""),"",ROUND(($I302*Lists!$AD$2)+($J302*Lists!$AD$3)+($K302*Lists!$AD$4)+($L302*Lists!$AD$5)+($M302*Lists!$AD$6),2))</f>
        <v/>
      </c>
      <c r="O302" s="103" t="str">
        <f aca="false">IF($A302="","",IFERROR(VLOOKUP($A302,'Risk Register'!$B$2:$I$1000,8,FALSE()),""))</f>
        <v/>
      </c>
      <c r="P302" s="106"/>
      <c r="Q302" s="106"/>
      <c r="R302" s="106"/>
      <c r="S302" s="106"/>
      <c r="T302" s="103" t="str">
        <f aca="false">IF(OR($B302="", $P302="", $Q302="", $R302="", $S302=""),"",ROUND(($P302*Lists!$AD$7)+($Q302*Lists!$AD$8)+($R302*Lists!$AD$9)+($S302*Lists!$AD$10),2))</f>
        <v/>
      </c>
      <c r="U302" s="106"/>
      <c r="V302" s="106"/>
      <c r="W302" s="106"/>
      <c r="X302" s="106"/>
      <c r="Y302" s="106"/>
      <c r="Z302" s="103" t="str">
        <f aca="false">IF(OR($B302="", $U302="", $V302="", $W302="", $X302="", $Y302=""),"",ROUND(($U302*Lists!$AD$11)+($V302*Lists!$AD$12)+($W302*Lists!$AD$13)+($X302*Lists!$AD$14)+($Y302*Lists!$AD$15),2))</f>
        <v/>
      </c>
      <c r="AA302" s="103" t="str">
        <f aca="false">IF(OR($B302="", $N302="", $O302="", $T302="", $Z302=""),"",ROUND(($N302*Lists!$AD$16)-($O302*Lists!$AD$17)-($T302*Lists!$AD$18)+($Z302*Lists!$AD$19),2))</f>
        <v/>
      </c>
      <c r="AB302" s="102" t="str">
        <f aca="false">IF(OR($B302="", $N302="", $Z302=""),"",IF($N302&gt;=Lists!$AG$2,IF($Z302&gt;=Lists!$AG$3,"Invest","Migrate"),IF($Z302&gt;=Lists!$AG$3,"Tolerate","Eliminate")))</f>
        <v/>
      </c>
      <c r="AC302" s="102" t="str">
        <f aca="false">IF($B302="","",IF($J302&gt;=4,"Yes",""))</f>
        <v/>
      </c>
      <c r="AD302" s="102" t="str">
        <f aca="false">IF($A302="","",IFERROR(IF(VLOOKUP($A302,'Risk Register'!$B$2:$H$1000,4,FALSE())&gt;=4,"Yes",""),""))</f>
        <v/>
      </c>
      <c r="AE302" s="102" t="str">
        <f aca="false">IF(OR($N302="", $O302=""),"",IF($N302&gt;=Lists!$AG$2,IF($O302&gt;=Lists!$AG$4,"High Value / High Risk","High Value / Low Risk"),IF($O302&gt;=Lists!$AG$4,"Low Value / High Risk","Low Value / Low Risk")))</f>
        <v/>
      </c>
      <c r="AF302" s="101"/>
      <c r="AG302" s="126"/>
      <c r="AH302" s="106" t="str">
        <f aca="false">IF($B302="","",COUNTIFS('Debt Backlog'!$AF$2:$AF$1000,$A302,'Debt Backlog'!$B$2:$B$1000,"&lt;&gt;",'Debt Backlog'!$N$2:$N$1000,"&lt;&gt;Done",'Debt Backlog'!$N$2:$N$1000,"&lt;&gt;Won't Fix",'Debt Backlog'!$N$2:$N$1000,"&lt;&gt;Duplicate"))</f>
        <v/>
      </c>
      <c r="AI302" s="103" t="str">
        <f aca="false">IF($B302="","",ROUND(SUMIFS('Debt Backlog'!$L$2:$L$1000,'Debt Backlog'!$AF$2:$AF$1000,$A302,'Debt Backlog'!$B$2:$B$1000,"&lt;&gt;",'Debt Backlog'!$N$2:$N$1000,"&lt;&gt;Done",'Debt Backlog'!$N$2:$N$1000,"&lt;&gt;Won't Fix",'Debt Backlog'!$N$2:$N$1000,"&lt;&gt;Duplicate"),2))</f>
        <v/>
      </c>
    </row>
    <row r="303" customFormat="false" ht="15.75" hidden="false" customHeight="true" outlineLevel="0" collapsed="false">
      <c r="A303" s="125"/>
      <c r="B303" s="101"/>
      <c r="C303" s="101"/>
      <c r="D303" s="101"/>
      <c r="E303" s="101"/>
      <c r="F303" s="101"/>
      <c r="G303" s="101"/>
      <c r="H303" s="101"/>
      <c r="I303" s="106"/>
      <c r="J303" s="106"/>
      <c r="K303" s="106"/>
      <c r="L303" s="106"/>
      <c r="M303" s="106"/>
      <c r="N303" s="103" t="str">
        <f aca="false">IF(OR($B303="", $I303="", $J303="", $K303="", $L303="", $M303=""),"",ROUND(($I303*Lists!$AD$2)+($J303*Lists!$AD$3)+($K303*Lists!$AD$4)+($L303*Lists!$AD$5)+($M303*Lists!$AD$6),2))</f>
        <v/>
      </c>
      <c r="O303" s="103" t="str">
        <f aca="false">IF($A303="","",IFERROR(VLOOKUP($A303,'Risk Register'!$B$2:$I$1000,8,FALSE()),""))</f>
        <v/>
      </c>
      <c r="P303" s="106"/>
      <c r="Q303" s="106"/>
      <c r="R303" s="106"/>
      <c r="S303" s="106"/>
      <c r="T303" s="103" t="str">
        <f aca="false">IF(OR($B303="", $P303="", $Q303="", $R303="", $S303=""),"",ROUND(($P303*Lists!$AD$7)+($Q303*Lists!$AD$8)+($R303*Lists!$AD$9)+($S303*Lists!$AD$10),2))</f>
        <v/>
      </c>
      <c r="U303" s="106"/>
      <c r="V303" s="106"/>
      <c r="W303" s="106"/>
      <c r="X303" s="106"/>
      <c r="Y303" s="106"/>
      <c r="Z303" s="103" t="str">
        <f aca="false">IF(OR($B303="", $U303="", $V303="", $W303="", $X303="", $Y303=""),"",ROUND(($U303*Lists!$AD$11)+($V303*Lists!$AD$12)+($W303*Lists!$AD$13)+($X303*Lists!$AD$14)+($Y303*Lists!$AD$15),2))</f>
        <v/>
      </c>
      <c r="AA303" s="103" t="str">
        <f aca="false">IF(OR($B303="", $N303="", $O303="", $T303="", $Z303=""),"",ROUND(($N303*Lists!$AD$16)-($O303*Lists!$AD$17)-($T303*Lists!$AD$18)+($Z303*Lists!$AD$19),2))</f>
        <v/>
      </c>
      <c r="AB303" s="102" t="str">
        <f aca="false">IF(OR($B303="", $N303="", $Z303=""),"",IF($N303&gt;=Lists!$AG$2,IF($Z303&gt;=Lists!$AG$3,"Invest","Migrate"),IF($Z303&gt;=Lists!$AG$3,"Tolerate","Eliminate")))</f>
        <v/>
      </c>
      <c r="AC303" s="102" t="str">
        <f aca="false">IF($B303="","",IF($J303&gt;=4,"Yes",""))</f>
        <v/>
      </c>
      <c r="AD303" s="102" t="str">
        <f aca="false">IF($A303="","",IFERROR(IF(VLOOKUP($A303,'Risk Register'!$B$2:$H$1000,4,FALSE())&gt;=4,"Yes",""),""))</f>
        <v/>
      </c>
      <c r="AE303" s="102" t="str">
        <f aca="false">IF(OR($N303="", $O303=""),"",IF($N303&gt;=Lists!$AG$2,IF($O303&gt;=Lists!$AG$4,"High Value / High Risk","High Value / Low Risk"),IF($O303&gt;=Lists!$AG$4,"Low Value / High Risk","Low Value / Low Risk")))</f>
        <v/>
      </c>
      <c r="AF303" s="101"/>
      <c r="AG303" s="126"/>
      <c r="AH303" s="106" t="str">
        <f aca="false">IF($B303="","",COUNTIFS('Debt Backlog'!$AF$2:$AF$1000,$A303,'Debt Backlog'!$B$2:$B$1000,"&lt;&gt;",'Debt Backlog'!$N$2:$N$1000,"&lt;&gt;Done",'Debt Backlog'!$N$2:$N$1000,"&lt;&gt;Won't Fix",'Debt Backlog'!$N$2:$N$1000,"&lt;&gt;Duplicate"))</f>
        <v/>
      </c>
      <c r="AI303" s="103" t="str">
        <f aca="false">IF($B303="","",ROUND(SUMIFS('Debt Backlog'!$L$2:$L$1000,'Debt Backlog'!$AF$2:$AF$1000,$A303,'Debt Backlog'!$B$2:$B$1000,"&lt;&gt;",'Debt Backlog'!$N$2:$N$1000,"&lt;&gt;Done",'Debt Backlog'!$N$2:$N$1000,"&lt;&gt;Won't Fix",'Debt Backlog'!$N$2:$N$1000,"&lt;&gt;Duplicate"),2))</f>
        <v/>
      </c>
    </row>
    <row r="304" customFormat="false" ht="15.75" hidden="false" customHeight="true" outlineLevel="0" collapsed="false">
      <c r="A304" s="125"/>
      <c r="B304" s="101"/>
      <c r="C304" s="101"/>
      <c r="D304" s="101"/>
      <c r="E304" s="101"/>
      <c r="F304" s="101"/>
      <c r="G304" s="101"/>
      <c r="H304" s="101"/>
      <c r="I304" s="106"/>
      <c r="J304" s="106"/>
      <c r="K304" s="106"/>
      <c r="L304" s="106"/>
      <c r="M304" s="106"/>
      <c r="N304" s="103" t="str">
        <f aca="false">IF(OR($B304="", $I304="", $J304="", $K304="", $L304="", $M304=""),"",ROUND(($I304*Lists!$AD$2)+($J304*Lists!$AD$3)+($K304*Lists!$AD$4)+($L304*Lists!$AD$5)+($M304*Lists!$AD$6),2))</f>
        <v/>
      </c>
      <c r="O304" s="103" t="str">
        <f aca="false">IF($A304="","",IFERROR(VLOOKUP($A304,'Risk Register'!$B$2:$I$1000,8,FALSE()),""))</f>
        <v/>
      </c>
      <c r="P304" s="106"/>
      <c r="Q304" s="106"/>
      <c r="R304" s="106"/>
      <c r="S304" s="106"/>
      <c r="T304" s="103" t="str">
        <f aca="false">IF(OR($B304="", $P304="", $Q304="", $R304="", $S304=""),"",ROUND(($P304*Lists!$AD$7)+($Q304*Lists!$AD$8)+($R304*Lists!$AD$9)+($S304*Lists!$AD$10),2))</f>
        <v/>
      </c>
      <c r="U304" s="106"/>
      <c r="V304" s="106"/>
      <c r="W304" s="106"/>
      <c r="X304" s="106"/>
      <c r="Y304" s="106"/>
      <c r="Z304" s="103" t="str">
        <f aca="false">IF(OR($B304="", $U304="", $V304="", $W304="", $X304="", $Y304=""),"",ROUND(($U304*Lists!$AD$11)+($V304*Lists!$AD$12)+($W304*Lists!$AD$13)+($X304*Lists!$AD$14)+($Y304*Lists!$AD$15),2))</f>
        <v/>
      </c>
      <c r="AA304" s="103" t="str">
        <f aca="false">IF(OR($B304="", $N304="", $O304="", $T304="", $Z304=""),"",ROUND(($N304*Lists!$AD$16)-($O304*Lists!$AD$17)-($T304*Lists!$AD$18)+($Z304*Lists!$AD$19),2))</f>
        <v/>
      </c>
      <c r="AB304" s="102" t="str">
        <f aca="false">IF(OR($B304="", $N304="", $Z304=""),"",IF($N304&gt;=Lists!$AG$2,IF($Z304&gt;=Lists!$AG$3,"Invest","Migrate"),IF($Z304&gt;=Lists!$AG$3,"Tolerate","Eliminate")))</f>
        <v/>
      </c>
      <c r="AC304" s="102" t="str">
        <f aca="false">IF($B304="","",IF($J304&gt;=4,"Yes",""))</f>
        <v/>
      </c>
      <c r="AD304" s="102" t="str">
        <f aca="false">IF($A304="","",IFERROR(IF(VLOOKUP($A304,'Risk Register'!$B$2:$H$1000,4,FALSE())&gt;=4,"Yes",""),""))</f>
        <v/>
      </c>
      <c r="AE304" s="102" t="str">
        <f aca="false">IF(OR($N304="", $O304=""),"",IF($N304&gt;=Lists!$AG$2,IF($O304&gt;=Lists!$AG$4,"High Value / High Risk","High Value / Low Risk"),IF($O304&gt;=Lists!$AG$4,"Low Value / High Risk","Low Value / Low Risk")))</f>
        <v/>
      </c>
      <c r="AF304" s="101"/>
      <c r="AG304" s="126"/>
      <c r="AH304" s="106" t="str">
        <f aca="false">IF($B304="","",COUNTIFS('Debt Backlog'!$AF$2:$AF$1000,$A304,'Debt Backlog'!$B$2:$B$1000,"&lt;&gt;",'Debt Backlog'!$N$2:$N$1000,"&lt;&gt;Done",'Debt Backlog'!$N$2:$N$1000,"&lt;&gt;Won't Fix",'Debt Backlog'!$N$2:$N$1000,"&lt;&gt;Duplicate"))</f>
        <v/>
      </c>
      <c r="AI304" s="103" t="str">
        <f aca="false">IF($B304="","",ROUND(SUMIFS('Debt Backlog'!$L$2:$L$1000,'Debt Backlog'!$AF$2:$AF$1000,$A304,'Debt Backlog'!$B$2:$B$1000,"&lt;&gt;",'Debt Backlog'!$N$2:$N$1000,"&lt;&gt;Done",'Debt Backlog'!$N$2:$N$1000,"&lt;&gt;Won't Fix",'Debt Backlog'!$N$2:$N$1000,"&lt;&gt;Duplicate"),2))</f>
        <v/>
      </c>
    </row>
    <row r="305" customFormat="false" ht="15.75" hidden="false" customHeight="true" outlineLevel="0" collapsed="false">
      <c r="A305" s="125"/>
      <c r="B305" s="101"/>
      <c r="C305" s="101"/>
      <c r="D305" s="101"/>
      <c r="E305" s="101"/>
      <c r="F305" s="101"/>
      <c r="G305" s="101"/>
      <c r="H305" s="101"/>
      <c r="I305" s="106"/>
      <c r="J305" s="106"/>
      <c r="K305" s="106"/>
      <c r="L305" s="106"/>
      <c r="M305" s="106"/>
      <c r="N305" s="103" t="str">
        <f aca="false">IF(OR($B305="", $I305="", $J305="", $K305="", $L305="", $M305=""),"",ROUND(($I305*Lists!$AD$2)+($J305*Lists!$AD$3)+($K305*Lists!$AD$4)+($L305*Lists!$AD$5)+($M305*Lists!$AD$6),2))</f>
        <v/>
      </c>
      <c r="O305" s="103" t="str">
        <f aca="false">IF($A305="","",IFERROR(VLOOKUP($A305,'Risk Register'!$B$2:$I$1000,8,FALSE()),""))</f>
        <v/>
      </c>
      <c r="P305" s="106"/>
      <c r="Q305" s="106"/>
      <c r="R305" s="106"/>
      <c r="S305" s="106"/>
      <c r="T305" s="103" t="str">
        <f aca="false">IF(OR($B305="", $P305="", $Q305="", $R305="", $S305=""),"",ROUND(($P305*Lists!$AD$7)+($Q305*Lists!$AD$8)+($R305*Lists!$AD$9)+($S305*Lists!$AD$10),2))</f>
        <v/>
      </c>
      <c r="U305" s="106"/>
      <c r="V305" s="106"/>
      <c r="W305" s="106"/>
      <c r="X305" s="106"/>
      <c r="Y305" s="106"/>
      <c r="Z305" s="103" t="str">
        <f aca="false">IF(OR($B305="", $U305="", $V305="", $W305="", $X305="", $Y305=""),"",ROUND(($U305*Lists!$AD$11)+($V305*Lists!$AD$12)+($W305*Lists!$AD$13)+($X305*Lists!$AD$14)+($Y305*Lists!$AD$15),2))</f>
        <v/>
      </c>
      <c r="AA305" s="103" t="str">
        <f aca="false">IF(OR($B305="", $N305="", $O305="", $T305="", $Z305=""),"",ROUND(($N305*Lists!$AD$16)-($O305*Lists!$AD$17)-($T305*Lists!$AD$18)+($Z305*Lists!$AD$19),2))</f>
        <v/>
      </c>
      <c r="AB305" s="102" t="str">
        <f aca="false">IF(OR($B305="", $N305="", $Z305=""),"",IF($N305&gt;=Lists!$AG$2,IF($Z305&gt;=Lists!$AG$3,"Invest","Migrate"),IF($Z305&gt;=Lists!$AG$3,"Tolerate","Eliminate")))</f>
        <v/>
      </c>
      <c r="AC305" s="102" t="str">
        <f aca="false">IF($B305="","",IF($J305&gt;=4,"Yes",""))</f>
        <v/>
      </c>
      <c r="AD305" s="102" t="str">
        <f aca="false">IF($A305="","",IFERROR(IF(VLOOKUP($A305,'Risk Register'!$B$2:$H$1000,4,FALSE())&gt;=4,"Yes",""),""))</f>
        <v/>
      </c>
      <c r="AE305" s="102" t="str">
        <f aca="false">IF(OR($N305="", $O305=""),"",IF($N305&gt;=Lists!$AG$2,IF($O305&gt;=Lists!$AG$4,"High Value / High Risk","High Value / Low Risk"),IF($O305&gt;=Lists!$AG$4,"Low Value / High Risk","Low Value / Low Risk")))</f>
        <v/>
      </c>
      <c r="AF305" s="101"/>
      <c r="AG305" s="126"/>
      <c r="AH305" s="106" t="str">
        <f aca="false">IF($B305="","",COUNTIFS('Debt Backlog'!$AF$2:$AF$1000,$A305,'Debt Backlog'!$B$2:$B$1000,"&lt;&gt;",'Debt Backlog'!$N$2:$N$1000,"&lt;&gt;Done",'Debt Backlog'!$N$2:$N$1000,"&lt;&gt;Won't Fix",'Debt Backlog'!$N$2:$N$1000,"&lt;&gt;Duplicate"))</f>
        <v/>
      </c>
      <c r="AI305" s="103" t="str">
        <f aca="false">IF($B305="","",ROUND(SUMIFS('Debt Backlog'!$L$2:$L$1000,'Debt Backlog'!$AF$2:$AF$1000,$A305,'Debt Backlog'!$B$2:$B$1000,"&lt;&gt;",'Debt Backlog'!$N$2:$N$1000,"&lt;&gt;Done",'Debt Backlog'!$N$2:$N$1000,"&lt;&gt;Won't Fix",'Debt Backlog'!$N$2:$N$1000,"&lt;&gt;Duplicate"),2))</f>
        <v/>
      </c>
    </row>
    <row r="306" customFormat="false" ht="15.75" hidden="false" customHeight="true" outlineLevel="0" collapsed="false">
      <c r="A306" s="125"/>
      <c r="B306" s="101"/>
      <c r="C306" s="101"/>
      <c r="D306" s="101"/>
      <c r="E306" s="101"/>
      <c r="F306" s="101"/>
      <c r="G306" s="101"/>
      <c r="H306" s="101"/>
      <c r="I306" s="106"/>
      <c r="J306" s="106"/>
      <c r="K306" s="106"/>
      <c r="L306" s="106"/>
      <c r="M306" s="106"/>
      <c r="N306" s="103" t="str">
        <f aca="false">IF(OR($B306="", $I306="", $J306="", $K306="", $L306="", $M306=""),"",ROUND(($I306*Lists!$AD$2)+($J306*Lists!$AD$3)+($K306*Lists!$AD$4)+($L306*Lists!$AD$5)+($M306*Lists!$AD$6),2))</f>
        <v/>
      </c>
      <c r="O306" s="103" t="str">
        <f aca="false">IF($A306="","",IFERROR(VLOOKUP($A306,'Risk Register'!$B$2:$I$1000,8,FALSE()),""))</f>
        <v/>
      </c>
      <c r="P306" s="106"/>
      <c r="Q306" s="106"/>
      <c r="R306" s="106"/>
      <c r="S306" s="106"/>
      <c r="T306" s="103" t="str">
        <f aca="false">IF(OR($B306="", $P306="", $Q306="", $R306="", $S306=""),"",ROUND(($P306*Lists!$AD$7)+($Q306*Lists!$AD$8)+($R306*Lists!$AD$9)+($S306*Lists!$AD$10),2))</f>
        <v/>
      </c>
      <c r="U306" s="106"/>
      <c r="V306" s="106"/>
      <c r="W306" s="106"/>
      <c r="X306" s="106"/>
      <c r="Y306" s="106"/>
      <c r="Z306" s="103" t="str">
        <f aca="false">IF(OR($B306="", $U306="", $V306="", $W306="", $X306="", $Y306=""),"",ROUND(($U306*Lists!$AD$11)+($V306*Lists!$AD$12)+($W306*Lists!$AD$13)+($X306*Lists!$AD$14)+($Y306*Lists!$AD$15),2))</f>
        <v/>
      </c>
      <c r="AA306" s="103" t="str">
        <f aca="false">IF(OR($B306="", $N306="", $O306="", $T306="", $Z306=""),"",ROUND(($N306*Lists!$AD$16)-($O306*Lists!$AD$17)-($T306*Lists!$AD$18)+($Z306*Lists!$AD$19),2))</f>
        <v/>
      </c>
      <c r="AB306" s="102" t="str">
        <f aca="false">IF(OR($B306="", $N306="", $Z306=""),"",IF($N306&gt;=Lists!$AG$2,IF($Z306&gt;=Lists!$AG$3,"Invest","Migrate"),IF($Z306&gt;=Lists!$AG$3,"Tolerate","Eliminate")))</f>
        <v/>
      </c>
      <c r="AC306" s="102" t="str">
        <f aca="false">IF($B306="","",IF($J306&gt;=4,"Yes",""))</f>
        <v/>
      </c>
      <c r="AD306" s="102" t="str">
        <f aca="false">IF($A306="","",IFERROR(IF(VLOOKUP($A306,'Risk Register'!$B$2:$H$1000,4,FALSE())&gt;=4,"Yes",""),""))</f>
        <v/>
      </c>
      <c r="AE306" s="102" t="str">
        <f aca="false">IF(OR($N306="", $O306=""),"",IF($N306&gt;=Lists!$AG$2,IF($O306&gt;=Lists!$AG$4,"High Value / High Risk","High Value / Low Risk"),IF($O306&gt;=Lists!$AG$4,"Low Value / High Risk","Low Value / Low Risk")))</f>
        <v/>
      </c>
      <c r="AF306" s="101"/>
      <c r="AG306" s="126"/>
      <c r="AH306" s="106" t="str">
        <f aca="false">IF($B306="","",COUNTIFS('Debt Backlog'!$AF$2:$AF$1000,$A306,'Debt Backlog'!$B$2:$B$1000,"&lt;&gt;",'Debt Backlog'!$N$2:$N$1000,"&lt;&gt;Done",'Debt Backlog'!$N$2:$N$1000,"&lt;&gt;Won't Fix",'Debt Backlog'!$N$2:$N$1000,"&lt;&gt;Duplicate"))</f>
        <v/>
      </c>
      <c r="AI306" s="103" t="str">
        <f aca="false">IF($B306="","",ROUND(SUMIFS('Debt Backlog'!$L$2:$L$1000,'Debt Backlog'!$AF$2:$AF$1000,$A306,'Debt Backlog'!$B$2:$B$1000,"&lt;&gt;",'Debt Backlog'!$N$2:$N$1000,"&lt;&gt;Done",'Debt Backlog'!$N$2:$N$1000,"&lt;&gt;Won't Fix",'Debt Backlog'!$N$2:$N$1000,"&lt;&gt;Duplicate"),2))</f>
        <v/>
      </c>
    </row>
    <row r="307" customFormat="false" ht="15.75" hidden="false" customHeight="true" outlineLevel="0" collapsed="false">
      <c r="A307" s="125"/>
      <c r="B307" s="101"/>
      <c r="C307" s="101"/>
      <c r="D307" s="101"/>
      <c r="E307" s="101"/>
      <c r="F307" s="101"/>
      <c r="G307" s="101"/>
      <c r="H307" s="101"/>
      <c r="I307" s="106"/>
      <c r="J307" s="106"/>
      <c r="K307" s="106"/>
      <c r="L307" s="106"/>
      <c r="M307" s="106"/>
      <c r="N307" s="103" t="str">
        <f aca="false">IF(OR($B307="", $I307="", $J307="", $K307="", $L307="", $M307=""),"",ROUND(($I307*Lists!$AD$2)+($J307*Lists!$AD$3)+($K307*Lists!$AD$4)+($L307*Lists!$AD$5)+($M307*Lists!$AD$6),2))</f>
        <v/>
      </c>
      <c r="O307" s="103" t="str">
        <f aca="false">IF($A307="","",IFERROR(VLOOKUP($A307,'Risk Register'!$B$2:$I$1000,8,FALSE()),""))</f>
        <v/>
      </c>
      <c r="P307" s="106"/>
      <c r="Q307" s="106"/>
      <c r="R307" s="106"/>
      <c r="S307" s="106"/>
      <c r="T307" s="103" t="str">
        <f aca="false">IF(OR($B307="", $P307="", $Q307="", $R307="", $S307=""),"",ROUND(($P307*Lists!$AD$7)+($Q307*Lists!$AD$8)+($R307*Lists!$AD$9)+($S307*Lists!$AD$10),2))</f>
        <v/>
      </c>
      <c r="U307" s="106"/>
      <c r="V307" s="106"/>
      <c r="W307" s="106"/>
      <c r="X307" s="106"/>
      <c r="Y307" s="106"/>
      <c r="Z307" s="103" t="str">
        <f aca="false">IF(OR($B307="", $U307="", $V307="", $W307="", $X307="", $Y307=""),"",ROUND(($U307*Lists!$AD$11)+($V307*Lists!$AD$12)+($W307*Lists!$AD$13)+($X307*Lists!$AD$14)+($Y307*Lists!$AD$15),2))</f>
        <v/>
      </c>
      <c r="AA307" s="103" t="str">
        <f aca="false">IF(OR($B307="", $N307="", $O307="", $T307="", $Z307=""),"",ROUND(($N307*Lists!$AD$16)-($O307*Lists!$AD$17)-($T307*Lists!$AD$18)+($Z307*Lists!$AD$19),2))</f>
        <v/>
      </c>
      <c r="AB307" s="102" t="str">
        <f aca="false">IF(OR($B307="", $N307="", $Z307=""),"",IF($N307&gt;=Lists!$AG$2,IF($Z307&gt;=Lists!$AG$3,"Invest","Migrate"),IF($Z307&gt;=Lists!$AG$3,"Tolerate","Eliminate")))</f>
        <v/>
      </c>
      <c r="AC307" s="102" t="str">
        <f aca="false">IF($B307="","",IF($J307&gt;=4,"Yes",""))</f>
        <v/>
      </c>
      <c r="AD307" s="102" t="str">
        <f aca="false">IF($A307="","",IFERROR(IF(VLOOKUP($A307,'Risk Register'!$B$2:$H$1000,4,FALSE())&gt;=4,"Yes",""),""))</f>
        <v/>
      </c>
      <c r="AE307" s="102" t="str">
        <f aca="false">IF(OR($N307="", $O307=""),"",IF($N307&gt;=Lists!$AG$2,IF($O307&gt;=Lists!$AG$4,"High Value / High Risk","High Value / Low Risk"),IF($O307&gt;=Lists!$AG$4,"Low Value / High Risk","Low Value / Low Risk")))</f>
        <v/>
      </c>
      <c r="AF307" s="101"/>
      <c r="AG307" s="126"/>
      <c r="AH307" s="106" t="str">
        <f aca="false">IF($B307="","",COUNTIFS('Debt Backlog'!$AF$2:$AF$1000,$A307,'Debt Backlog'!$B$2:$B$1000,"&lt;&gt;",'Debt Backlog'!$N$2:$N$1000,"&lt;&gt;Done",'Debt Backlog'!$N$2:$N$1000,"&lt;&gt;Won't Fix",'Debt Backlog'!$N$2:$N$1000,"&lt;&gt;Duplicate"))</f>
        <v/>
      </c>
      <c r="AI307" s="103" t="str">
        <f aca="false">IF($B307="","",ROUND(SUMIFS('Debt Backlog'!$L$2:$L$1000,'Debt Backlog'!$AF$2:$AF$1000,$A307,'Debt Backlog'!$B$2:$B$1000,"&lt;&gt;",'Debt Backlog'!$N$2:$N$1000,"&lt;&gt;Done",'Debt Backlog'!$N$2:$N$1000,"&lt;&gt;Won't Fix",'Debt Backlog'!$N$2:$N$1000,"&lt;&gt;Duplicate"),2))</f>
        <v/>
      </c>
    </row>
    <row r="308" customFormat="false" ht="15.75" hidden="false" customHeight="true" outlineLevel="0" collapsed="false">
      <c r="A308" s="125"/>
      <c r="B308" s="101"/>
      <c r="C308" s="101"/>
      <c r="D308" s="101"/>
      <c r="E308" s="101"/>
      <c r="F308" s="101"/>
      <c r="G308" s="101"/>
      <c r="H308" s="101"/>
      <c r="I308" s="106"/>
      <c r="J308" s="106"/>
      <c r="K308" s="106"/>
      <c r="L308" s="106"/>
      <c r="M308" s="106"/>
      <c r="N308" s="103" t="str">
        <f aca="false">IF(OR($B308="", $I308="", $J308="", $K308="", $L308="", $M308=""),"",ROUND(($I308*Lists!$AD$2)+($J308*Lists!$AD$3)+($K308*Lists!$AD$4)+($L308*Lists!$AD$5)+($M308*Lists!$AD$6),2))</f>
        <v/>
      </c>
      <c r="O308" s="103" t="str">
        <f aca="false">IF($A308="","",IFERROR(VLOOKUP($A308,'Risk Register'!$B$2:$I$1000,8,FALSE()),""))</f>
        <v/>
      </c>
      <c r="P308" s="106"/>
      <c r="Q308" s="106"/>
      <c r="R308" s="106"/>
      <c r="S308" s="106"/>
      <c r="T308" s="103" t="str">
        <f aca="false">IF(OR($B308="", $P308="", $Q308="", $R308="", $S308=""),"",ROUND(($P308*Lists!$AD$7)+($Q308*Lists!$AD$8)+($R308*Lists!$AD$9)+($S308*Lists!$AD$10),2))</f>
        <v/>
      </c>
      <c r="U308" s="106"/>
      <c r="V308" s="106"/>
      <c r="W308" s="106"/>
      <c r="X308" s="106"/>
      <c r="Y308" s="106"/>
      <c r="Z308" s="103" t="str">
        <f aca="false">IF(OR($B308="", $U308="", $V308="", $W308="", $X308="", $Y308=""),"",ROUND(($U308*Lists!$AD$11)+($V308*Lists!$AD$12)+($W308*Lists!$AD$13)+($X308*Lists!$AD$14)+($Y308*Lists!$AD$15),2))</f>
        <v/>
      </c>
      <c r="AA308" s="103" t="str">
        <f aca="false">IF(OR($B308="", $N308="", $O308="", $T308="", $Z308=""),"",ROUND(($N308*Lists!$AD$16)-($O308*Lists!$AD$17)-($T308*Lists!$AD$18)+($Z308*Lists!$AD$19),2))</f>
        <v/>
      </c>
      <c r="AB308" s="102" t="str">
        <f aca="false">IF(OR($B308="", $N308="", $Z308=""),"",IF($N308&gt;=Lists!$AG$2,IF($Z308&gt;=Lists!$AG$3,"Invest","Migrate"),IF($Z308&gt;=Lists!$AG$3,"Tolerate","Eliminate")))</f>
        <v/>
      </c>
      <c r="AC308" s="102" t="str">
        <f aca="false">IF($B308="","",IF($J308&gt;=4,"Yes",""))</f>
        <v/>
      </c>
      <c r="AD308" s="102" t="str">
        <f aca="false">IF($A308="","",IFERROR(IF(VLOOKUP($A308,'Risk Register'!$B$2:$H$1000,4,FALSE())&gt;=4,"Yes",""),""))</f>
        <v/>
      </c>
      <c r="AE308" s="102" t="str">
        <f aca="false">IF(OR($N308="", $O308=""),"",IF($N308&gt;=Lists!$AG$2,IF($O308&gt;=Lists!$AG$4,"High Value / High Risk","High Value / Low Risk"),IF($O308&gt;=Lists!$AG$4,"Low Value / High Risk","Low Value / Low Risk")))</f>
        <v/>
      </c>
      <c r="AF308" s="101"/>
      <c r="AG308" s="126"/>
      <c r="AH308" s="106" t="str">
        <f aca="false">IF($B308="","",COUNTIFS('Debt Backlog'!$AF$2:$AF$1000,$A308,'Debt Backlog'!$B$2:$B$1000,"&lt;&gt;",'Debt Backlog'!$N$2:$N$1000,"&lt;&gt;Done",'Debt Backlog'!$N$2:$N$1000,"&lt;&gt;Won't Fix",'Debt Backlog'!$N$2:$N$1000,"&lt;&gt;Duplicate"))</f>
        <v/>
      </c>
      <c r="AI308" s="103" t="str">
        <f aca="false">IF($B308="","",ROUND(SUMIFS('Debt Backlog'!$L$2:$L$1000,'Debt Backlog'!$AF$2:$AF$1000,$A308,'Debt Backlog'!$B$2:$B$1000,"&lt;&gt;",'Debt Backlog'!$N$2:$N$1000,"&lt;&gt;Done",'Debt Backlog'!$N$2:$N$1000,"&lt;&gt;Won't Fix",'Debt Backlog'!$N$2:$N$1000,"&lt;&gt;Duplicate"),2))</f>
        <v/>
      </c>
    </row>
    <row r="309" customFormat="false" ht="15.75" hidden="false" customHeight="true" outlineLevel="0" collapsed="false">
      <c r="A309" s="125"/>
      <c r="B309" s="101"/>
      <c r="C309" s="101"/>
      <c r="D309" s="101"/>
      <c r="E309" s="101"/>
      <c r="F309" s="101"/>
      <c r="G309" s="101"/>
      <c r="H309" s="101"/>
      <c r="I309" s="106"/>
      <c r="J309" s="106"/>
      <c r="K309" s="106"/>
      <c r="L309" s="106"/>
      <c r="M309" s="106"/>
      <c r="N309" s="103" t="str">
        <f aca="false">IF(OR($B309="", $I309="", $J309="", $K309="", $L309="", $M309=""),"",ROUND(($I309*Lists!$AD$2)+($J309*Lists!$AD$3)+($K309*Lists!$AD$4)+($L309*Lists!$AD$5)+($M309*Lists!$AD$6),2))</f>
        <v/>
      </c>
      <c r="O309" s="103" t="str">
        <f aca="false">IF($A309="","",IFERROR(VLOOKUP($A309,'Risk Register'!$B$2:$I$1000,8,FALSE()),""))</f>
        <v/>
      </c>
      <c r="P309" s="106"/>
      <c r="Q309" s="106"/>
      <c r="R309" s="106"/>
      <c r="S309" s="106"/>
      <c r="T309" s="103" t="str">
        <f aca="false">IF(OR($B309="", $P309="", $Q309="", $R309="", $S309=""),"",ROUND(($P309*Lists!$AD$7)+($Q309*Lists!$AD$8)+($R309*Lists!$AD$9)+($S309*Lists!$AD$10),2))</f>
        <v/>
      </c>
      <c r="U309" s="106"/>
      <c r="V309" s="106"/>
      <c r="W309" s="106"/>
      <c r="X309" s="106"/>
      <c r="Y309" s="106"/>
      <c r="Z309" s="103" t="str">
        <f aca="false">IF(OR($B309="", $U309="", $V309="", $W309="", $X309="", $Y309=""),"",ROUND(($U309*Lists!$AD$11)+($V309*Lists!$AD$12)+($W309*Lists!$AD$13)+($X309*Lists!$AD$14)+($Y309*Lists!$AD$15),2))</f>
        <v/>
      </c>
      <c r="AA309" s="103" t="str">
        <f aca="false">IF(OR($B309="", $N309="", $O309="", $T309="", $Z309=""),"",ROUND(($N309*Lists!$AD$16)-($O309*Lists!$AD$17)-($T309*Lists!$AD$18)+($Z309*Lists!$AD$19),2))</f>
        <v/>
      </c>
      <c r="AB309" s="102" t="str">
        <f aca="false">IF(OR($B309="", $N309="", $Z309=""),"",IF($N309&gt;=Lists!$AG$2,IF($Z309&gt;=Lists!$AG$3,"Invest","Migrate"),IF($Z309&gt;=Lists!$AG$3,"Tolerate","Eliminate")))</f>
        <v/>
      </c>
      <c r="AC309" s="102" t="str">
        <f aca="false">IF($B309="","",IF($J309&gt;=4,"Yes",""))</f>
        <v/>
      </c>
      <c r="AD309" s="102" t="str">
        <f aca="false">IF($A309="","",IFERROR(IF(VLOOKUP($A309,'Risk Register'!$B$2:$H$1000,4,FALSE())&gt;=4,"Yes",""),""))</f>
        <v/>
      </c>
      <c r="AE309" s="102" t="str">
        <f aca="false">IF(OR($N309="", $O309=""),"",IF($N309&gt;=Lists!$AG$2,IF($O309&gt;=Lists!$AG$4,"High Value / High Risk","High Value / Low Risk"),IF($O309&gt;=Lists!$AG$4,"Low Value / High Risk","Low Value / Low Risk")))</f>
        <v/>
      </c>
      <c r="AF309" s="101"/>
      <c r="AG309" s="126"/>
      <c r="AH309" s="106" t="str">
        <f aca="false">IF($B309="","",COUNTIFS('Debt Backlog'!$AF$2:$AF$1000,$A309,'Debt Backlog'!$B$2:$B$1000,"&lt;&gt;",'Debt Backlog'!$N$2:$N$1000,"&lt;&gt;Done",'Debt Backlog'!$N$2:$N$1000,"&lt;&gt;Won't Fix",'Debt Backlog'!$N$2:$N$1000,"&lt;&gt;Duplicate"))</f>
        <v/>
      </c>
      <c r="AI309" s="103" t="str">
        <f aca="false">IF($B309="","",ROUND(SUMIFS('Debt Backlog'!$L$2:$L$1000,'Debt Backlog'!$AF$2:$AF$1000,$A309,'Debt Backlog'!$B$2:$B$1000,"&lt;&gt;",'Debt Backlog'!$N$2:$N$1000,"&lt;&gt;Done",'Debt Backlog'!$N$2:$N$1000,"&lt;&gt;Won't Fix",'Debt Backlog'!$N$2:$N$1000,"&lt;&gt;Duplicate"),2))</f>
        <v/>
      </c>
    </row>
    <row r="310" customFormat="false" ht="15.75" hidden="false" customHeight="true" outlineLevel="0" collapsed="false">
      <c r="A310" s="125"/>
      <c r="B310" s="101"/>
      <c r="C310" s="101"/>
      <c r="D310" s="101"/>
      <c r="E310" s="101"/>
      <c r="F310" s="101"/>
      <c r="G310" s="101"/>
      <c r="H310" s="101"/>
      <c r="I310" s="106"/>
      <c r="J310" s="106"/>
      <c r="K310" s="106"/>
      <c r="L310" s="106"/>
      <c r="M310" s="106"/>
      <c r="N310" s="103" t="str">
        <f aca="false">IF(OR($B310="", $I310="", $J310="", $K310="", $L310="", $M310=""),"",ROUND(($I310*Lists!$AD$2)+($J310*Lists!$AD$3)+($K310*Lists!$AD$4)+($L310*Lists!$AD$5)+($M310*Lists!$AD$6),2))</f>
        <v/>
      </c>
      <c r="O310" s="103" t="str">
        <f aca="false">IF($A310="","",IFERROR(VLOOKUP($A310,'Risk Register'!$B$2:$I$1000,8,FALSE()),""))</f>
        <v/>
      </c>
      <c r="P310" s="106"/>
      <c r="Q310" s="106"/>
      <c r="R310" s="106"/>
      <c r="S310" s="106"/>
      <c r="T310" s="103" t="str">
        <f aca="false">IF(OR($B310="", $P310="", $Q310="", $R310="", $S310=""),"",ROUND(($P310*Lists!$AD$7)+($Q310*Lists!$AD$8)+($R310*Lists!$AD$9)+($S310*Lists!$AD$10),2))</f>
        <v/>
      </c>
      <c r="U310" s="106"/>
      <c r="V310" s="106"/>
      <c r="W310" s="106"/>
      <c r="X310" s="106"/>
      <c r="Y310" s="106"/>
      <c r="Z310" s="103" t="str">
        <f aca="false">IF(OR($B310="", $U310="", $V310="", $W310="", $X310="", $Y310=""),"",ROUND(($U310*Lists!$AD$11)+($V310*Lists!$AD$12)+($W310*Lists!$AD$13)+($X310*Lists!$AD$14)+($Y310*Lists!$AD$15),2))</f>
        <v/>
      </c>
      <c r="AA310" s="103" t="str">
        <f aca="false">IF(OR($B310="", $N310="", $O310="", $T310="", $Z310=""),"",ROUND(($N310*Lists!$AD$16)-($O310*Lists!$AD$17)-($T310*Lists!$AD$18)+($Z310*Lists!$AD$19),2))</f>
        <v/>
      </c>
      <c r="AB310" s="102" t="str">
        <f aca="false">IF(OR($B310="", $N310="", $Z310=""),"",IF($N310&gt;=Lists!$AG$2,IF($Z310&gt;=Lists!$AG$3,"Invest","Migrate"),IF($Z310&gt;=Lists!$AG$3,"Tolerate","Eliminate")))</f>
        <v/>
      </c>
      <c r="AC310" s="102" t="str">
        <f aca="false">IF($B310="","",IF($J310&gt;=4,"Yes",""))</f>
        <v/>
      </c>
      <c r="AD310" s="102" t="str">
        <f aca="false">IF($A310="","",IFERROR(IF(VLOOKUP($A310,'Risk Register'!$B$2:$H$1000,4,FALSE())&gt;=4,"Yes",""),""))</f>
        <v/>
      </c>
      <c r="AE310" s="102" t="str">
        <f aca="false">IF(OR($N310="", $O310=""),"",IF($N310&gt;=Lists!$AG$2,IF($O310&gt;=Lists!$AG$4,"High Value / High Risk","High Value / Low Risk"),IF($O310&gt;=Lists!$AG$4,"Low Value / High Risk","Low Value / Low Risk")))</f>
        <v/>
      </c>
      <c r="AF310" s="101"/>
      <c r="AG310" s="126"/>
      <c r="AH310" s="106" t="str">
        <f aca="false">IF($B310="","",COUNTIFS('Debt Backlog'!$AF$2:$AF$1000,$A310,'Debt Backlog'!$B$2:$B$1000,"&lt;&gt;",'Debt Backlog'!$N$2:$N$1000,"&lt;&gt;Done",'Debt Backlog'!$N$2:$N$1000,"&lt;&gt;Won't Fix",'Debt Backlog'!$N$2:$N$1000,"&lt;&gt;Duplicate"))</f>
        <v/>
      </c>
      <c r="AI310" s="103" t="str">
        <f aca="false">IF($B310="","",ROUND(SUMIFS('Debt Backlog'!$L$2:$L$1000,'Debt Backlog'!$AF$2:$AF$1000,$A310,'Debt Backlog'!$B$2:$B$1000,"&lt;&gt;",'Debt Backlog'!$N$2:$N$1000,"&lt;&gt;Done",'Debt Backlog'!$N$2:$N$1000,"&lt;&gt;Won't Fix",'Debt Backlog'!$N$2:$N$1000,"&lt;&gt;Duplicate"),2))</f>
        <v/>
      </c>
    </row>
    <row r="311" customFormat="false" ht="15.75" hidden="false" customHeight="true" outlineLevel="0" collapsed="false">
      <c r="A311" s="125"/>
      <c r="B311" s="101"/>
      <c r="C311" s="101"/>
      <c r="D311" s="101"/>
      <c r="E311" s="101"/>
      <c r="F311" s="101"/>
      <c r="G311" s="101"/>
      <c r="H311" s="101"/>
      <c r="I311" s="106"/>
      <c r="J311" s="106"/>
      <c r="K311" s="106"/>
      <c r="L311" s="106"/>
      <c r="M311" s="106"/>
      <c r="N311" s="103" t="str">
        <f aca="false">IF(OR($B311="", $I311="", $J311="", $K311="", $L311="", $M311=""),"",ROUND(($I311*Lists!$AD$2)+($J311*Lists!$AD$3)+($K311*Lists!$AD$4)+($L311*Lists!$AD$5)+($M311*Lists!$AD$6),2))</f>
        <v/>
      </c>
      <c r="O311" s="103" t="str">
        <f aca="false">IF($A311="","",IFERROR(VLOOKUP($A311,'Risk Register'!$B$2:$I$1000,8,FALSE()),""))</f>
        <v/>
      </c>
      <c r="P311" s="106"/>
      <c r="Q311" s="106"/>
      <c r="R311" s="106"/>
      <c r="S311" s="106"/>
      <c r="T311" s="103" t="str">
        <f aca="false">IF(OR($B311="", $P311="", $Q311="", $R311="", $S311=""),"",ROUND(($P311*Lists!$AD$7)+($Q311*Lists!$AD$8)+($R311*Lists!$AD$9)+($S311*Lists!$AD$10),2))</f>
        <v/>
      </c>
      <c r="U311" s="106"/>
      <c r="V311" s="106"/>
      <c r="W311" s="106"/>
      <c r="X311" s="106"/>
      <c r="Y311" s="106"/>
      <c r="Z311" s="103" t="str">
        <f aca="false">IF(OR($B311="", $U311="", $V311="", $W311="", $X311="", $Y311=""),"",ROUND(($U311*Lists!$AD$11)+($V311*Lists!$AD$12)+($W311*Lists!$AD$13)+($X311*Lists!$AD$14)+($Y311*Lists!$AD$15),2))</f>
        <v/>
      </c>
      <c r="AA311" s="103" t="str">
        <f aca="false">IF(OR($B311="", $N311="", $O311="", $T311="", $Z311=""),"",ROUND(($N311*Lists!$AD$16)-($O311*Lists!$AD$17)-($T311*Lists!$AD$18)+($Z311*Lists!$AD$19),2))</f>
        <v/>
      </c>
      <c r="AB311" s="102" t="str">
        <f aca="false">IF(OR($B311="", $N311="", $Z311=""),"",IF($N311&gt;=Lists!$AG$2,IF($Z311&gt;=Lists!$AG$3,"Invest","Migrate"),IF($Z311&gt;=Lists!$AG$3,"Tolerate","Eliminate")))</f>
        <v/>
      </c>
      <c r="AC311" s="102" t="str">
        <f aca="false">IF($B311="","",IF($J311&gt;=4,"Yes",""))</f>
        <v/>
      </c>
      <c r="AD311" s="102" t="str">
        <f aca="false">IF($A311="","",IFERROR(IF(VLOOKUP($A311,'Risk Register'!$B$2:$H$1000,4,FALSE())&gt;=4,"Yes",""),""))</f>
        <v/>
      </c>
      <c r="AE311" s="102" t="str">
        <f aca="false">IF(OR($N311="", $O311=""),"",IF($N311&gt;=Lists!$AG$2,IF($O311&gt;=Lists!$AG$4,"High Value / High Risk","High Value / Low Risk"),IF($O311&gt;=Lists!$AG$4,"Low Value / High Risk","Low Value / Low Risk")))</f>
        <v/>
      </c>
      <c r="AF311" s="101"/>
      <c r="AG311" s="126"/>
      <c r="AH311" s="106" t="str">
        <f aca="false">IF($B311="","",COUNTIFS('Debt Backlog'!$AF$2:$AF$1000,$A311,'Debt Backlog'!$B$2:$B$1000,"&lt;&gt;",'Debt Backlog'!$N$2:$N$1000,"&lt;&gt;Done",'Debt Backlog'!$N$2:$N$1000,"&lt;&gt;Won't Fix",'Debt Backlog'!$N$2:$N$1000,"&lt;&gt;Duplicate"))</f>
        <v/>
      </c>
      <c r="AI311" s="103" t="str">
        <f aca="false">IF($B311="","",ROUND(SUMIFS('Debt Backlog'!$L$2:$L$1000,'Debt Backlog'!$AF$2:$AF$1000,$A311,'Debt Backlog'!$B$2:$B$1000,"&lt;&gt;",'Debt Backlog'!$N$2:$N$1000,"&lt;&gt;Done",'Debt Backlog'!$N$2:$N$1000,"&lt;&gt;Won't Fix",'Debt Backlog'!$N$2:$N$1000,"&lt;&gt;Duplicate"),2))</f>
        <v/>
      </c>
    </row>
    <row r="312" customFormat="false" ht="15.75" hidden="false" customHeight="true" outlineLevel="0" collapsed="false">
      <c r="A312" s="125"/>
      <c r="B312" s="101"/>
      <c r="C312" s="101"/>
      <c r="D312" s="101"/>
      <c r="E312" s="101"/>
      <c r="F312" s="101"/>
      <c r="G312" s="101"/>
      <c r="H312" s="101"/>
      <c r="I312" s="106"/>
      <c r="J312" s="106"/>
      <c r="K312" s="106"/>
      <c r="L312" s="106"/>
      <c r="M312" s="106"/>
      <c r="N312" s="103" t="str">
        <f aca="false">IF(OR($B312="", $I312="", $J312="", $K312="", $L312="", $M312=""),"",ROUND(($I312*Lists!$AD$2)+($J312*Lists!$AD$3)+($K312*Lists!$AD$4)+($L312*Lists!$AD$5)+($M312*Lists!$AD$6),2))</f>
        <v/>
      </c>
      <c r="O312" s="103" t="str">
        <f aca="false">IF($A312="","",IFERROR(VLOOKUP($A312,'Risk Register'!$B$2:$I$1000,8,FALSE()),""))</f>
        <v/>
      </c>
      <c r="P312" s="106"/>
      <c r="Q312" s="106"/>
      <c r="R312" s="106"/>
      <c r="S312" s="106"/>
      <c r="T312" s="103" t="str">
        <f aca="false">IF(OR($B312="", $P312="", $Q312="", $R312="", $S312=""),"",ROUND(($P312*Lists!$AD$7)+($Q312*Lists!$AD$8)+($R312*Lists!$AD$9)+($S312*Lists!$AD$10),2))</f>
        <v/>
      </c>
      <c r="U312" s="106"/>
      <c r="V312" s="106"/>
      <c r="W312" s="106"/>
      <c r="X312" s="106"/>
      <c r="Y312" s="106"/>
      <c r="Z312" s="103" t="str">
        <f aca="false">IF(OR($B312="", $U312="", $V312="", $W312="", $X312="", $Y312=""),"",ROUND(($U312*Lists!$AD$11)+($V312*Lists!$AD$12)+($W312*Lists!$AD$13)+($X312*Lists!$AD$14)+($Y312*Lists!$AD$15),2))</f>
        <v/>
      </c>
      <c r="AA312" s="103" t="str">
        <f aca="false">IF(OR($B312="", $N312="", $O312="", $T312="", $Z312=""),"",ROUND(($N312*Lists!$AD$16)-($O312*Lists!$AD$17)-($T312*Lists!$AD$18)+($Z312*Lists!$AD$19),2))</f>
        <v/>
      </c>
      <c r="AB312" s="102" t="str">
        <f aca="false">IF(OR($B312="", $N312="", $Z312=""),"",IF($N312&gt;=Lists!$AG$2,IF($Z312&gt;=Lists!$AG$3,"Invest","Migrate"),IF($Z312&gt;=Lists!$AG$3,"Tolerate","Eliminate")))</f>
        <v/>
      </c>
      <c r="AC312" s="102" t="str">
        <f aca="false">IF($B312="","",IF($J312&gt;=4,"Yes",""))</f>
        <v/>
      </c>
      <c r="AD312" s="102" t="str">
        <f aca="false">IF($A312="","",IFERROR(IF(VLOOKUP($A312,'Risk Register'!$B$2:$H$1000,4,FALSE())&gt;=4,"Yes",""),""))</f>
        <v/>
      </c>
      <c r="AE312" s="102" t="str">
        <f aca="false">IF(OR($N312="", $O312=""),"",IF($N312&gt;=Lists!$AG$2,IF($O312&gt;=Lists!$AG$4,"High Value / High Risk","High Value / Low Risk"),IF($O312&gt;=Lists!$AG$4,"Low Value / High Risk","Low Value / Low Risk")))</f>
        <v/>
      </c>
      <c r="AF312" s="101"/>
      <c r="AG312" s="126"/>
      <c r="AH312" s="106" t="str">
        <f aca="false">IF($B312="","",COUNTIFS('Debt Backlog'!$AF$2:$AF$1000,$A312,'Debt Backlog'!$B$2:$B$1000,"&lt;&gt;",'Debt Backlog'!$N$2:$N$1000,"&lt;&gt;Done",'Debt Backlog'!$N$2:$N$1000,"&lt;&gt;Won't Fix",'Debt Backlog'!$N$2:$N$1000,"&lt;&gt;Duplicate"))</f>
        <v/>
      </c>
      <c r="AI312" s="103" t="str">
        <f aca="false">IF($B312="","",ROUND(SUMIFS('Debt Backlog'!$L$2:$L$1000,'Debt Backlog'!$AF$2:$AF$1000,$A312,'Debt Backlog'!$B$2:$B$1000,"&lt;&gt;",'Debt Backlog'!$N$2:$N$1000,"&lt;&gt;Done",'Debt Backlog'!$N$2:$N$1000,"&lt;&gt;Won't Fix",'Debt Backlog'!$N$2:$N$1000,"&lt;&gt;Duplicate"),2))</f>
        <v/>
      </c>
    </row>
    <row r="313" customFormat="false" ht="15.75" hidden="false" customHeight="true" outlineLevel="0" collapsed="false">
      <c r="A313" s="125"/>
      <c r="B313" s="101"/>
      <c r="C313" s="101"/>
      <c r="D313" s="101"/>
      <c r="E313" s="101"/>
      <c r="F313" s="101"/>
      <c r="G313" s="101"/>
      <c r="H313" s="101"/>
      <c r="I313" s="106"/>
      <c r="J313" s="106"/>
      <c r="K313" s="106"/>
      <c r="L313" s="106"/>
      <c r="M313" s="106"/>
      <c r="N313" s="103" t="str">
        <f aca="false">IF(OR($B313="", $I313="", $J313="", $K313="", $L313="", $M313=""),"",ROUND(($I313*Lists!$AD$2)+($J313*Lists!$AD$3)+($K313*Lists!$AD$4)+($L313*Lists!$AD$5)+($M313*Lists!$AD$6),2))</f>
        <v/>
      </c>
      <c r="O313" s="103" t="str">
        <f aca="false">IF($A313="","",IFERROR(VLOOKUP($A313,'Risk Register'!$B$2:$I$1000,8,FALSE()),""))</f>
        <v/>
      </c>
      <c r="P313" s="106"/>
      <c r="Q313" s="106"/>
      <c r="R313" s="106"/>
      <c r="S313" s="106"/>
      <c r="T313" s="103" t="str">
        <f aca="false">IF(OR($B313="", $P313="", $Q313="", $R313="", $S313=""),"",ROUND(($P313*Lists!$AD$7)+($Q313*Lists!$AD$8)+($R313*Lists!$AD$9)+($S313*Lists!$AD$10),2))</f>
        <v/>
      </c>
      <c r="U313" s="106"/>
      <c r="V313" s="106"/>
      <c r="W313" s="106"/>
      <c r="X313" s="106"/>
      <c r="Y313" s="106"/>
      <c r="Z313" s="103" t="str">
        <f aca="false">IF(OR($B313="", $U313="", $V313="", $W313="", $X313="", $Y313=""),"",ROUND(($U313*Lists!$AD$11)+($V313*Lists!$AD$12)+($W313*Lists!$AD$13)+($X313*Lists!$AD$14)+($Y313*Lists!$AD$15),2))</f>
        <v/>
      </c>
      <c r="AA313" s="103" t="str">
        <f aca="false">IF(OR($B313="", $N313="", $O313="", $T313="", $Z313=""),"",ROUND(($N313*Lists!$AD$16)-($O313*Lists!$AD$17)-($T313*Lists!$AD$18)+($Z313*Lists!$AD$19),2))</f>
        <v/>
      </c>
      <c r="AB313" s="102" t="str">
        <f aca="false">IF(OR($B313="", $N313="", $Z313=""),"",IF($N313&gt;=Lists!$AG$2,IF($Z313&gt;=Lists!$AG$3,"Invest","Migrate"),IF($Z313&gt;=Lists!$AG$3,"Tolerate","Eliminate")))</f>
        <v/>
      </c>
      <c r="AC313" s="102" t="str">
        <f aca="false">IF($B313="","",IF($J313&gt;=4,"Yes",""))</f>
        <v/>
      </c>
      <c r="AD313" s="102" t="str">
        <f aca="false">IF($A313="","",IFERROR(IF(VLOOKUP($A313,'Risk Register'!$B$2:$H$1000,4,FALSE())&gt;=4,"Yes",""),""))</f>
        <v/>
      </c>
      <c r="AE313" s="102" t="str">
        <f aca="false">IF(OR($N313="", $O313=""),"",IF($N313&gt;=Lists!$AG$2,IF($O313&gt;=Lists!$AG$4,"High Value / High Risk","High Value / Low Risk"),IF($O313&gt;=Lists!$AG$4,"Low Value / High Risk","Low Value / Low Risk")))</f>
        <v/>
      </c>
      <c r="AF313" s="101"/>
      <c r="AG313" s="126"/>
      <c r="AH313" s="106" t="str">
        <f aca="false">IF($B313="","",COUNTIFS('Debt Backlog'!$AF$2:$AF$1000,$A313,'Debt Backlog'!$B$2:$B$1000,"&lt;&gt;",'Debt Backlog'!$N$2:$N$1000,"&lt;&gt;Done",'Debt Backlog'!$N$2:$N$1000,"&lt;&gt;Won't Fix",'Debt Backlog'!$N$2:$N$1000,"&lt;&gt;Duplicate"))</f>
        <v/>
      </c>
      <c r="AI313" s="103" t="str">
        <f aca="false">IF($B313="","",ROUND(SUMIFS('Debt Backlog'!$L$2:$L$1000,'Debt Backlog'!$AF$2:$AF$1000,$A313,'Debt Backlog'!$B$2:$B$1000,"&lt;&gt;",'Debt Backlog'!$N$2:$N$1000,"&lt;&gt;Done",'Debt Backlog'!$N$2:$N$1000,"&lt;&gt;Won't Fix",'Debt Backlog'!$N$2:$N$1000,"&lt;&gt;Duplicate"),2))</f>
        <v/>
      </c>
    </row>
    <row r="314" customFormat="false" ht="15.75" hidden="false" customHeight="true" outlineLevel="0" collapsed="false">
      <c r="A314" s="125"/>
      <c r="B314" s="101"/>
      <c r="C314" s="101"/>
      <c r="D314" s="101"/>
      <c r="E314" s="101"/>
      <c r="F314" s="101"/>
      <c r="G314" s="101"/>
      <c r="H314" s="101"/>
      <c r="I314" s="106"/>
      <c r="J314" s="106"/>
      <c r="K314" s="106"/>
      <c r="L314" s="106"/>
      <c r="M314" s="106"/>
      <c r="N314" s="103" t="str">
        <f aca="false">IF(OR($B314="", $I314="", $J314="", $K314="", $L314="", $M314=""),"",ROUND(($I314*Lists!$AD$2)+($J314*Lists!$AD$3)+($K314*Lists!$AD$4)+($L314*Lists!$AD$5)+($M314*Lists!$AD$6),2))</f>
        <v/>
      </c>
      <c r="O314" s="103" t="str">
        <f aca="false">IF($A314="","",IFERROR(VLOOKUP($A314,'Risk Register'!$B$2:$I$1000,8,FALSE()),""))</f>
        <v/>
      </c>
      <c r="P314" s="106"/>
      <c r="Q314" s="106"/>
      <c r="R314" s="106"/>
      <c r="S314" s="106"/>
      <c r="T314" s="103" t="str">
        <f aca="false">IF(OR($B314="", $P314="", $Q314="", $R314="", $S314=""),"",ROUND(($P314*Lists!$AD$7)+($Q314*Lists!$AD$8)+($R314*Lists!$AD$9)+($S314*Lists!$AD$10),2))</f>
        <v/>
      </c>
      <c r="U314" s="106"/>
      <c r="V314" s="106"/>
      <c r="W314" s="106"/>
      <c r="X314" s="106"/>
      <c r="Y314" s="106"/>
      <c r="Z314" s="103" t="str">
        <f aca="false">IF(OR($B314="", $U314="", $V314="", $W314="", $X314="", $Y314=""),"",ROUND(($U314*Lists!$AD$11)+($V314*Lists!$AD$12)+($W314*Lists!$AD$13)+($X314*Lists!$AD$14)+($Y314*Lists!$AD$15),2))</f>
        <v/>
      </c>
      <c r="AA314" s="103" t="str">
        <f aca="false">IF(OR($B314="", $N314="", $O314="", $T314="", $Z314=""),"",ROUND(($N314*Lists!$AD$16)-($O314*Lists!$AD$17)-($T314*Lists!$AD$18)+($Z314*Lists!$AD$19),2))</f>
        <v/>
      </c>
      <c r="AB314" s="102" t="str">
        <f aca="false">IF(OR($B314="", $N314="", $Z314=""),"",IF($N314&gt;=Lists!$AG$2,IF($Z314&gt;=Lists!$AG$3,"Invest","Migrate"),IF($Z314&gt;=Lists!$AG$3,"Tolerate","Eliminate")))</f>
        <v/>
      </c>
      <c r="AC314" s="102" t="str">
        <f aca="false">IF($B314="","",IF($J314&gt;=4,"Yes",""))</f>
        <v/>
      </c>
      <c r="AD314" s="102" t="str">
        <f aca="false">IF($A314="","",IFERROR(IF(VLOOKUP($A314,'Risk Register'!$B$2:$H$1000,4,FALSE())&gt;=4,"Yes",""),""))</f>
        <v/>
      </c>
      <c r="AE314" s="102" t="str">
        <f aca="false">IF(OR($N314="", $O314=""),"",IF($N314&gt;=Lists!$AG$2,IF($O314&gt;=Lists!$AG$4,"High Value / High Risk","High Value / Low Risk"),IF($O314&gt;=Lists!$AG$4,"Low Value / High Risk","Low Value / Low Risk")))</f>
        <v/>
      </c>
      <c r="AF314" s="101"/>
      <c r="AG314" s="126"/>
      <c r="AH314" s="106" t="str">
        <f aca="false">IF($B314="","",COUNTIFS('Debt Backlog'!$AF$2:$AF$1000,$A314,'Debt Backlog'!$B$2:$B$1000,"&lt;&gt;",'Debt Backlog'!$N$2:$N$1000,"&lt;&gt;Done",'Debt Backlog'!$N$2:$N$1000,"&lt;&gt;Won't Fix",'Debt Backlog'!$N$2:$N$1000,"&lt;&gt;Duplicate"))</f>
        <v/>
      </c>
      <c r="AI314" s="103" t="str">
        <f aca="false">IF($B314="","",ROUND(SUMIFS('Debt Backlog'!$L$2:$L$1000,'Debt Backlog'!$AF$2:$AF$1000,$A314,'Debt Backlog'!$B$2:$B$1000,"&lt;&gt;",'Debt Backlog'!$N$2:$N$1000,"&lt;&gt;Done",'Debt Backlog'!$N$2:$N$1000,"&lt;&gt;Won't Fix",'Debt Backlog'!$N$2:$N$1000,"&lt;&gt;Duplicate"),2))</f>
        <v/>
      </c>
    </row>
    <row r="315" customFormat="false" ht="15.75" hidden="false" customHeight="true" outlineLevel="0" collapsed="false">
      <c r="A315" s="125"/>
      <c r="B315" s="101"/>
      <c r="C315" s="101"/>
      <c r="D315" s="101"/>
      <c r="E315" s="101"/>
      <c r="F315" s="101"/>
      <c r="G315" s="101"/>
      <c r="H315" s="101"/>
      <c r="I315" s="106"/>
      <c r="J315" s="106"/>
      <c r="K315" s="106"/>
      <c r="L315" s="106"/>
      <c r="M315" s="106"/>
      <c r="N315" s="103" t="str">
        <f aca="false">IF(OR($B315="", $I315="", $J315="", $K315="", $L315="", $M315=""),"",ROUND(($I315*Lists!$AD$2)+($J315*Lists!$AD$3)+($K315*Lists!$AD$4)+($L315*Lists!$AD$5)+($M315*Lists!$AD$6),2))</f>
        <v/>
      </c>
      <c r="O315" s="103" t="str">
        <f aca="false">IF($A315="","",IFERROR(VLOOKUP($A315,'Risk Register'!$B$2:$I$1000,8,FALSE()),""))</f>
        <v/>
      </c>
      <c r="P315" s="106"/>
      <c r="Q315" s="106"/>
      <c r="R315" s="106"/>
      <c r="S315" s="106"/>
      <c r="T315" s="103" t="str">
        <f aca="false">IF(OR($B315="", $P315="", $Q315="", $R315="", $S315=""),"",ROUND(($P315*Lists!$AD$7)+($Q315*Lists!$AD$8)+($R315*Lists!$AD$9)+($S315*Lists!$AD$10),2))</f>
        <v/>
      </c>
      <c r="U315" s="106"/>
      <c r="V315" s="106"/>
      <c r="W315" s="106"/>
      <c r="X315" s="106"/>
      <c r="Y315" s="106"/>
      <c r="Z315" s="103" t="str">
        <f aca="false">IF(OR($B315="", $U315="", $V315="", $W315="", $X315="", $Y315=""),"",ROUND(($U315*Lists!$AD$11)+($V315*Lists!$AD$12)+($W315*Lists!$AD$13)+($X315*Lists!$AD$14)+($Y315*Lists!$AD$15),2))</f>
        <v/>
      </c>
      <c r="AA315" s="103" t="str">
        <f aca="false">IF(OR($B315="", $N315="", $O315="", $T315="", $Z315=""),"",ROUND(($N315*Lists!$AD$16)-($O315*Lists!$AD$17)-($T315*Lists!$AD$18)+($Z315*Lists!$AD$19),2))</f>
        <v/>
      </c>
      <c r="AB315" s="102" t="str">
        <f aca="false">IF(OR($B315="", $N315="", $Z315=""),"",IF($N315&gt;=Lists!$AG$2,IF($Z315&gt;=Lists!$AG$3,"Invest","Migrate"),IF($Z315&gt;=Lists!$AG$3,"Tolerate","Eliminate")))</f>
        <v/>
      </c>
      <c r="AC315" s="102" t="str">
        <f aca="false">IF($B315="","",IF($J315&gt;=4,"Yes",""))</f>
        <v/>
      </c>
      <c r="AD315" s="102" t="str">
        <f aca="false">IF($A315="","",IFERROR(IF(VLOOKUP($A315,'Risk Register'!$B$2:$H$1000,4,FALSE())&gt;=4,"Yes",""),""))</f>
        <v/>
      </c>
      <c r="AE315" s="102" t="str">
        <f aca="false">IF(OR($N315="", $O315=""),"",IF($N315&gt;=Lists!$AG$2,IF($O315&gt;=Lists!$AG$4,"High Value / High Risk","High Value / Low Risk"),IF($O315&gt;=Lists!$AG$4,"Low Value / High Risk","Low Value / Low Risk")))</f>
        <v/>
      </c>
      <c r="AF315" s="101"/>
      <c r="AG315" s="126"/>
      <c r="AH315" s="106" t="str">
        <f aca="false">IF($B315="","",COUNTIFS('Debt Backlog'!$AF$2:$AF$1000,$A315,'Debt Backlog'!$B$2:$B$1000,"&lt;&gt;",'Debt Backlog'!$N$2:$N$1000,"&lt;&gt;Done",'Debt Backlog'!$N$2:$N$1000,"&lt;&gt;Won't Fix",'Debt Backlog'!$N$2:$N$1000,"&lt;&gt;Duplicate"))</f>
        <v/>
      </c>
      <c r="AI315" s="103" t="str">
        <f aca="false">IF($B315="","",ROUND(SUMIFS('Debt Backlog'!$L$2:$L$1000,'Debt Backlog'!$AF$2:$AF$1000,$A315,'Debt Backlog'!$B$2:$B$1000,"&lt;&gt;",'Debt Backlog'!$N$2:$N$1000,"&lt;&gt;Done",'Debt Backlog'!$N$2:$N$1000,"&lt;&gt;Won't Fix",'Debt Backlog'!$N$2:$N$1000,"&lt;&gt;Duplicate"),2))</f>
        <v/>
      </c>
    </row>
    <row r="316" customFormat="false" ht="15.75" hidden="false" customHeight="true" outlineLevel="0" collapsed="false">
      <c r="A316" s="125"/>
      <c r="B316" s="101"/>
      <c r="C316" s="101"/>
      <c r="D316" s="101"/>
      <c r="E316" s="101"/>
      <c r="F316" s="101"/>
      <c r="G316" s="101"/>
      <c r="H316" s="101"/>
      <c r="I316" s="106"/>
      <c r="J316" s="106"/>
      <c r="K316" s="106"/>
      <c r="L316" s="106"/>
      <c r="M316" s="106"/>
      <c r="N316" s="103" t="str">
        <f aca="false">IF(OR($B316="", $I316="", $J316="", $K316="", $L316="", $M316=""),"",ROUND(($I316*Lists!$AD$2)+($J316*Lists!$AD$3)+($K316*Lists!$AD$4)+($L316*Lists!$AD$5)+($M316*Lists!$AD$6),2))</f>
        <v/>
      </c>
      <c r="O316" s="103" t="str">
        <f aca="false">IF($A316="","",IFERROR(VLOOKUP($A316,'Risk Register'!$B$2:$I$1000,8,FALSE()),""))</f>
        <v/>
      </c>
      <c r="P316" s="106"/>
      <c r="Q316" s="106"/>
      <c r="R316" s="106"/>
      <c r="S316" s="106"/>
      <c r="T316" s="103" t="str">
        <f aca="false">IF(OR($B316="", $P316="", $Q316="", $R316="", $S316=""),"",ROUND(($P316*Lists!$AD$7)+($Q316*Lists!$AD$8)+($R316*Lists!$AD$9)+($S316*Lists!$AD$10),2))</f>
        <v/>
      </c>
      <c r="U316" s="106"/>
      <c r="V316" s="106"/>
      <c r="W316" s="106"/>
      <c r="X316" s="106"/>
      <c r="Y316" s="106"/>
      <c r="Z316" s="103" t="str">
        <f aca="false">IF(OR($B316="", $U316="", $V316="", $W316="", $X316="", $Y316=""),"",ROUND(($U316*Lists!$AD$11)+($V316*Lists!$AD$12)+($W316*Lists!$AD$13)+($X316*Lists!$AD$14)+($Y316*Lists!$AD$15),2))</f>
        <v/>
      </c>
      <c r="AA316" s="103" t="str">
        <f aca="false">IF(OR($B316="", $N316="", $O316="", $T316="", $Z316=""),"",ROUND(($N316*Lists!$AD$16)-($O316*Lists!$AD$17)-($T316*Lists!$AD$18)+($Z316*Lists!$AD$19),2))</f>
        <v/>
      </c>
      <c r="AB316" s="102" t="str">
        <f aca="false">IF(OR($B316="", $N316="", $Z316=""),"",IF($N316&gt;=Lists!$AG$2,IF($Z316&gt;=Lists!$AG$3,"Invest","Migrate"),IF($Z316&gt;=Lists!$AG$3,"Tolerate","Eliminate")))</f>
        <v/>
      </c>
      <c r="AC316" s="102" t="str">
        <f aca="false">IF($B316="","",IF($J316&gt;=4,"Yes",""))</f>
        <v/>
      </c>
      <c r="AD316" s="102" t="str">
        <f aca="false">IF($A316="","",IFERROR(IF(VLOOKUP($A316,'Risk Register'!$B$2:$H$1000,4,FALSE())&gt;=4,"Yes",""),""))</f>
        <v/>
      </c>
      <c r="AE316" s="102" t="str">
        <f aca="false">IF(OR($N316="", $O316=""),"",IF($N316&gt;=Lists!$AG$2,IF($O316&gt;=Lists!$AG$4,"High Value / High Risk","High Value / Low Risk"),IF($O316&gt;=Lists!$AG$4,"Low Value / High Risk","Low Value / Low Risk")))</f>
        <v/>
      </c>
      <c r="AF316" s="101"/>
      <c r="AG316" s="126"/>
      <c r="AH316" s="106" t="str">
        <f aca="false">IF($B316="","",COUNTIFS('Debt Backlog'!$AF$2:$AF$1000,$A316,'Debt Backlog'!$B$2:$B$1000,"&lt;&gt;",'Debt Backlog'!$N$2:$N$1000,"&lt;&gt;Done",'Debt Backlog'!$N$2:$N$1000,"&lt;&gt;Won't Fix",'Debt Backlog'!$N$2:$N$1000,"&lt;&gt;Duplicate"))</f>
        <v/>
      </c>
      <c r="AI316" s="103" t="str">
        <f aca="false">IF($B316="","",ROUND(SUMIFS('Debt Backlog'!$L$2:$L$1000,'Debt Backlog'!$AF$2:$AF$1000,$A316,'Debt Backlog'!$B$2:$B$1000,"&lt;&gt;",'Debt Backlog'!$N$2:$N$1000,"&lt;&gt;Done",'Debt Backlog'!$N$2:$N$1000,"&lt;&gt;Won't Fix",'Debt Backlog'!$N$2:$N$1000,"&lt;&gt;Duplicate"),2))</f>
        <v/>
      </c>
    </row>
    <row r="317" customFormat="false" ht="15.75" hidden="false" customHeight="true" outlineLevel="0" collapsed="false">
      <c r="A317" s="125"/>
      <c r="B317" s="101"/>
      <c r="C317" s="101"/>
      <c r="D317" s="101"/>
      <c r="E317" s="101"/>
      <c r="F317" s="101"/>
      <c r="G317" s="101"/>
      <c r="H317" s="101"/>
      <c r="I317" s="106"/>
      <c r="J317" s="106"/>
      <c r="K317" s="106"/>
      <c r="L317" s="106"/>
      <c r="M317" s="106"/>
      <c r="N317" s="103" t="str">
        <f aca="false">IF(OR($B317="", $I317="", $J317="", $K317="", $L317="", $M317=""),"",ROUND(($I317*Lists!$AD$2)+($J317*Lists!$AD$3)+($K317*Lists!$AD$4)+($L317*Lists!$AD$5)+($M317*Lists!$AD$6),2))</f>
        <v/>
      </c>
      <c r="O317" s="103" t="str">
        <f aca="false">IF($A317="","",IFERROR(VLOOKUP($A317,'Risk Register'!$B$2:$I$1000,8,FALSE()),""))</f>
        <v/>
      </c>
      <c r="P317" s="106"/>
      <c r="Q317" s="106"/>
      <c r="R317" s="106"/>
      <c r="S317" s="106"/>
      <c r="T317" s="103" t="str">
        <f aca="false">IF(OR($B317="", $P317="", $Q317="", $R317="", $S317=""),"",ROUND(($P317*Lists!$AD$7)+($Q317*Lists!$AD$8)+($R317*Lists!$AD$9)+($S317*Lists!$AD$10),2))</f>
        <v/>
      </c>
      <c r="U317" s="106"/>
      <c r="V317" s="106"/>
      <c r="W317" s="106"/>
      <c r="X317" s="106"/>
      <c r="Y317" s="106"/>
      <c r="Z317" s="103" t="str">
        <f aca="false">IF(OR($B317="", $U317="", $V317="", $W317="", $X317="", $Y317=""),"",ROUND(($U317*Lists!$AD$11)+($V317*Lists!$AD$12)+($W317*Lists!$AD$13)+($X317*Lists!$AD$14)+($Y317*Lists!$AD$15),2))</f>
        <v/>
      </c>
      <c r="AA317" s="103" t="str">
        <f aca="false">IF(OR($B317="", $N317="", $O317="", $T317="", $Z317=""),"",ROUND(($N317*Lists!$AD$16)-($O317*Lists!$AD$17)-($T317*Lists!$AD$18)+($Z317*Lists!$AD$19),2))</f>
        <v/>
      </c>
      <c r="AB317" s="102" t="str">
        <f aca="false">IF(OR($B317="", $N317="", $Z317=""),"",IF($N317&gt;=Lists!$AG$2,IF($Z317&gt;=Lists!$AG$3,"Invest","Migrate"),IF($Z317&gt;=Lists!$AG$3,"Tolerate","Eliminate")))</f>
        <v/>
      </c>
      <c r="AC317" s="102" t="str">
        <f aca="false">IF($B317="","",IF($J317&gt;=4,"Yes",""))</f>
        <v/>
      </c>
      <c r="AD317" s="102" t="str">
        <f aca="false">IF($A317="","",IFERROR(IF(VLOOKUP($A317,'Risk Register'!$B$2:$H$1000,4,FALSE())&gt;=4,"Yes",""),""))</f>
        <v/>
      </c>
      <c r="AE317" s="102" t="str">
        <f aca="false">IF(OR($N317="", $O317=""),"",IF($N317&gt;=Lists!$AG$2,IF($O317&gt;=Lists!$AG$4,"High Value / High Risk","High Value / Low Risk"),IF($O317&gt;=Lists!$AG$4,"Low Value / High Risk","Low Value / Low Risk")))</f>
        <v/>
      </c>
      <c r="AF317" s="101"/>
      <c r="AG317" s="126"/>
      <c r="AH317" s="106" t="str">
        <f aca="false">IF($B317="","",COUNTIFS('Debt Backlog'!$AF$2:$AF$1000,$A317,'Debt Backlog'!$B$2:$B$1000,"&lt;&gt;",'Debt Backlog'!$N$2:$N$1000,"&lt;&gt;Done",'Debt Backlog'!$N$2:$N$1000,"&lt;&gt;Won't Fix",'Debt Backlog'!$N$2:$N$1000,"&lt;&gt;Duplicate"))</f>
        <v/>
      </c>
      <c r="AI317" s="103" t="str">
        <f aca="false">IF($B317="","",ROUND(SUMIFS('Debt Backlog'!$L$2:$L$1000,'Debt Backlog'!$AF$2:$AF$1000,$A317,'Debt Backlog'!$B$2:$B$1000,"&lt;&gt;",'Debt Backlog'!$N$2:$N$1000,"&lt;&gt;Done",'Debt Backlog'!$N$2:$N$1000,"&lt;&gt;Won't Fix",'Debt Backlog'!$N$2:$N$1000,"&lt;&gt;Duplicate"),2))</f>
        <v/>
      </c>
    </row>
    <row r="318" customFormat="false" ht="15.75" hidden="false" customHeight="true" outlineLevel="0" collapsed="false">
      <c r="A318" s="125"/>
      <c r="B318" s="101"/>
      <c r="C318" s="101"/>
      <c r="D318" s="101"/>
      <c r="E318" s="101"/>
      <c r="F318" s="101"/>
      <c r="G318" s="101"/>
      <c r="H318" s="101"/>
      <c r="I318" s="106"/>
      <c r="J318" s="106"/>
      <c r="K318" s="106"/>
      <c r="L318" s="106"/>
      <c r="M318" s="106"/>
      <c r="N318" s="103" t="str">
        <f aca="false">IF(OR($B318="", $I318="", $J318="", $K318="", $L318="", $M318=""),"",ROUND(($I318*Lists!$AD$2)+($J318*Lists!$AD$3)+($K318*Lists!$AD$4)+($L318*Lists!$AD$5)+($M318*Lists!$AD$6),2))</f>
        <v/>
      </c>
      <c r="O318" s="103" t="str">
        <f aca="false">IF($A318="","",IFERROR(VLOOKUP($A318,'Risk Register'!$B$2:$I$1000,8,FALSE()),""))</f>
        <v/>
      </c>
      <c r="P318" s="106"/>
      <c r="Q318" s="106"/>
      <c r="R318" s="106"/>
      <c r="S318" s="106"/>
      <c r="T318" s="103" t="str">
        <f aca="false">IF(OR($B318="", $P318="", $Q318="", $R318="", $S318=""),"",ROUND(($P318*Lists!$AD$7)+($Q318*Lists!$AD$8)+($R318*Lists!$AD$9)+($S318*Lists!$AD$10),2))</f>
        <v/>
      </c>
      <c r="U318" s="106"/>
      <c r="V318" s="106"/>
      <c r="W318" s="106"/>
      <c r="X318" s="106"/>
      <c r="Y318" s="106"/>
      <c r="Z318" s="103" t="str">
        <f aca="false">IF(OR($B318="", $U318="", $V318="", $W318="", $X318="", $Y318=""),"",ROUND(($U318*Lists!$AD$11)+($V318*Lists!$AD$12)+($W318*Lists!$AD$13)+($X318*Lists!$AD$14)+($Y318*Lists!$AD$15),2))</f>
        <v/>
      </c>
      <c r="AA318" s="103" t="str">
        <f aca="false">IF(OR($B318="", $N318="", $O318="", $T318="", $Z318=""),"",ROUND(($N318*Lists!$AD$16)-($O318*Lists!$AD$17)-($T318*Lists!$AD$18)+($Z318*Lists!$AD$19),2))</f>
        <v/>
      </c>
      <c r="AB318" s="102" t="str">
        <f aca="false">IF(OR($B318="", $N318="", $Z318=""),"",IF($N318&gt;=Lists!$AG$2,IF($Z318&gt;=Lists!$AG$3,"Invest","Migrate"),IF($Z318&gt;=Lists!$AG$3,"Tolerate","Eliminate")))</f>
        <v/>
      </c>
      <c r="AC318" s="102" t="str">
        <f aca="false">IF($B318="","",IF($J318&gt;=4,"Yes",""))</f>
        <v/>
      </c>
      <c r="AD318" s="102" t="str">
        <f aca="false">IF($A318="","",IFERROR(IF(VLOOKUP($A318,'Risk Register'!$B$2:$H$1000,4,FALSE())&gt;=4,"Yes",""),""))</f>
        <v/>
      </c>
      <c r="AE318" s="102" t="str">
        <f aca="false">IF(OR($N318="", $O318=""),"",IF($N318&gt;=Lists!$AG$2,IF($O318&gt;=Lists!$AG$4,"High Value / High Risk","High Value / Low Risk"),IF($O318&gt;=Lists!$AG$4,"Low Value / High Risk","Low Value / Low Risk")))</f>
        <v/>
      </c>
      <c r="AF318" s="101"/>
      <c r="AG318" s="126"/>
      <c r="AH318" s="106" t="str">
        <f aca="false">IF($B318="","",COUNTIFS('Debt Backlog'!$AF$2:$AF$1000,$A318,'Debt Backlog'!$B$2:$B$1000,"&lt;&gt;",'Debt Backlog'!$N$2:$N$1000,"&lt;&gt;Done",'Debt Backlog'!$N$2:$N$1000,"&lt;&gt;Won't Fix",'Debt Backlog'!$N$2:$N$1000,"&lt;&gt;Duplicate"))</f>
        <v/>
      </c>
      <c r="AI318" s="103" t="str">
        <f aca="false">IF($B318="","",ROUND(SUMIFS('Debt Backlog'!$L$2:$L$1000,'Debt Backlog'!$AF$2:$AF$1000,$A318,'Debt Backlog'!$B$2:$B$1000,"&lt;&gt;",'Debt Backlog'!$N$2:$N$1000,"&lt;&gt;Done",'Debt Backlog'!$N$2:$N$1000,"&lt;&gt;Won't Fix",'Debt Backlog'!$N$2:$N$1000,"&lt;&gt;Duplicate"),2))</f>
        <v/>
      </c>
    </row>
    <row r="319" customFormat="false" ht="15.75" hidden="false" customHeight="true" outlineLevel="0" collapsed="false">
      <c r="A319" s="125"/>
      <c r="B319" s="101"/>
      <c r="C319" s="101"/>
      <c r="D319" s="101"/>
      <c r="E319" s="101"/>
      <c r="F319" s="101"/>
      <c r="G319" s="101"/>
      <c r="H319" s="101"/>
      <c r="I319" s="106"/>
      <c r="J319" s="106"/>
      <c r="K319" s="106"/>
      <c r="L319" s="106"/>
      <c r="M319" s="106"/>
      <c r="N319" s="103" t="str">
        <f aca="false">IF(OR($B319="", $I319="", $J319="", $K319="", $L319="", $M319=""),"",ROUND(($I319*Lists!$AD$2)+($J319*Lists!$AD$3)+($K319*Lists!$AD$4)+($L319*Lists!$AD$5)+($M319*Lists!$AD$6),2))</f>
        <v/>
      </c>
      <c r="O319" s="103" t="str">
        <f aca="false">IF($A319="","",IFERROR(VLOOKUP($A319,'Risk Register'!$B$2:$I$1000,8,FALSE()),""))</f>
        <v/>
      </c>
      <c r="P319" s="106"/>
      <c r="Q319" s="106"/>
      <c r="R319" s="106"/>
      <c r="S319" s="106"/>
      <c r="T319" s="103" t="str">
        <f aca="false">IF(OR($B319="", $P319="", $Q319="", $R319="", $S319=""),"",ROUND(($P319*Lists!$AD$7)+($Q319*Lists!$AD$8)+($R319*Lists!$AD$9)+($S319*Lists!$AD$10),2))</f>
        <v/>
      </c>
      <c r="U319" s="106"/>
      <c r="V319" s="106"/>
      <c r="W319" s="106"/>
      <c r="X319" s="106"/>
      <c r="Y319" s="106"/>
      <c r="Z319" s="103" t="str">
        <f aca="false">IF(OR($B319="", $U319="", $V319="", $W319="", $X319="", $Y319=""),"",ROUND(($U319*Lists!$AD$11)+($V319*Lists!$AD$12)+($W319*Lists!$AD$13)+($X319*Lists!$AD$14)+($Y319*Lists!$AD$15),2))</f>
        <v/>
      </c>
      <c r="AA319" s="103" t="str">
        <f aca="false">IF(OR($B319="", $N319="", $O319="", $T319="", $Z319=""),"",ROUND(($N319*Lists!$AD$16)-($O319*Lists!$AD$17)-($T319*Lists!$AD$18)+($Z319*Lists!$AD$19),2))</f>
        <v/>
      </c>
      <c r="AB319" s="102" t="str">
        <f aca="false">IF(OR($B319="", $N319="", $Z319=""),"",IF($N319&gt;=Lists!$AG$2,IF($Z319&gt;=Lists!$AG$3,"Invest","Migrate"),IF($Z319&gt;=Lists!$AG$3,"Tolerate","Eliminate")))</f>
        <v/>
      </c>
      <c r="AC319" s="102" t="str">
        <f aca="false">IF($B319="","",IF($J319&gt;=4,"Yes",""))</f>
        <v/>
      </c>
      <c r="AD319" s="102" t="str">
        <f aca="false">IF($A319="","",IFERROR(IF(VLOOKUP($A319,'Risk Register'!$B$2:$H$1000,4,FALSE())&gt;=4,"Yes",""),""))</f>
        <v/>
      </c>
      <c r="AE319" s="102" t="str">
        <f aca="false">IF(OR($N319="", $O319=""),"",IF($N319&gt;=Lists!$AG$2,IF($O319&gt;=Lists!$AG$4,"High Value / High Risk","High Value / Low Risk"),IF($O319&gt;=Lists!$AG$4,"Low Value / High Risk","Low Value / Low Risk")))</f>
        <v/>
      </c>
      <c r="AF319" s="101"/>
      <c r="AG319" s="126"/>
      <c r="AH319" s="106" t="str">
        <f aca="false">IF($B319="","",COUNTIFS('Debt Backlog'!$AF$2:$AF$1000,$A319,'Debt Backlog'!$B$2:$B$1000,"&lt;&gt;",'Debt Backlog'!$N$2:$N$1000,"&lt;&gt;Done",'Debt Backlog'!$N$2:$N$1000,"&lt;&gt;Won't Fix",'Debt Backlog'!$N$2:$N$1000,"&lt;&gt;Duplicate"))</f>
        <v/>
      </c>
      <c r="AI319" s="103" t="str">
        <f aca="false">IF($B319="","",ROUND(SUMIFS('Debt Backlog'!$L$2:$L$1000,'Debt Backlog'!$AF$2:$AF$1000,$A319,'Debt Backlog'!$B$2:$B$1000,"&lt;&gt;",'Debt Backlog'!$N$2:$N$1000,"&lt;&gt;Done",'Debt Backlog'!$N$2:$N$1000,"&lt;&gt;Won't Fix",'Debt Backlog'!$N$2:$N$1000,"&lt;&gt;Duplicate"),2))</f>
        <v/>
      </c>
    </row>
    <row r="320" customFormat="false" ht="15.75" hidden="false" customHeight="true" outlineLevel="0" collapsed="false">
      <c r="A320" s="125"/>
      <c r="B320" s="101"/>
      <c r="C320" s="101"/>
      <c r="D320" s="101"/>
      <c r="E320" s="101"/>
      <c r="F320" s="101"/>
      <c r="G320" s="101"/>
      <c r="H320" s="101"/>
      <c r="I320" s="106"/>
      <c r="J320" s="106"/>
      <c r="K320" s="106"/>
      <c r="L320" s="106"/>
      <c r="M320" s="106"/>
      <c r="N320" s="103" t="str">
        <f aca="false">IF(OR($B320="", $I320="", $J320="", $K320="", $L320="", $M320=""),"",ROUND(($I320*Lists!$AD$2)+($J320*Lists!$AD$3)+($K320*Lists!$AD$4)+($L320*Lists!$AD$5)+($M320*Lists!$AD$6),2))</f>
        <v/>
      </c>
      <c r="O320" s="103" t="str">
        <f aca="false">IF($A320="","",IFERROR(VLOOKUP($A320,'Risk Register'!$B$2:$I$1000,8,FALSE()),""))</f>
        <v/>
      </c>
      <c r="P320" s="106"/>
      <c r="Q320" s="106"/>
      <c r="R320" s="106"/>
      <c r="S320" s="106"/>
      <c r="T320" s="103" t="str">
        <f aca="false">IF(OR($B320="", $P320="", $Q320="", $R320="", $S320=""),"",ROUND(($P320*Lists!$AD$7)+($Q320*Lists!$AD$8)+($R320*Lists!$AD$9)+($S320*Lists!$AD$10),2))</f>
        <v/>
      </c>
      <c r="U320" s="106"/>
      <c r="V320" s="106"/>
      <c r="W320" s="106"/>
      <c r="X320" s="106"/>
      <c r="Y320" s="106"/>
      <c r="Z320" s="103" t="str">
        <f aca="false">IF(OR($B320="", $U320="", $V320="", $W320="", $X320="", $Y320=""),"",ROUND(($U320*Lists!$AD$11)+($V320*Lists!$AD$12)+($W320*Lists!$AD$13)+($X320*Lists!$AD$14)+($Y320*Lists!$AD$15),2))</f>
        <v/>
      </c>
      <c r="AA320" s="103" t="str">
        <f aca="false">IF(OR($B320="", $N320="", $O320="", $T320="", $Z320=""),"",ROUND(($N320*Lists!$AD$16)-($O320*Lists!$AD$17)-($T320*Lists!$AD$18)+($Z320*Lists!$AD$19),2))</f>
        <v/>
      </c>
      <c r="AB320" s="102" t="str">
        <f aca="false">IF(OR($B320="", $N320="", $Z320=""),"",IF($N320&gt;=Lists!$AG$2,IF($Z320&gt;=Lists!$AG$3,"Invest","Migrate"),IF($Z320&gt;=Lists!$AG$3,"Tolerate","Eliminate")))</f>
        <v/>
      </c>
      <c r="AC320" s="102" t="str">
        <f aca="false">IF($B320="","",IF($J320&gt;=4,"Yes",""))</f>
        <v/>
      </c>
      <c r="AD320" s="102" t="str">
        <f aca="false">IF($A320="","",IFERROR(IF(VLOOKUP($A320,'Risk Register'!$B$2:$H$1000,4,FALSE())&gt;=4,"Yes",""),""))</f>
        <v/>
      </c>
      <c r="AE320" s="102" t="str">
        <f aca="false">IF(OR($N320="", $O320=""),"",IF($N320&gt;=Lists!$AG$2,IF($O320&gt;=Lists!$AG$4,"High Value / High Risk","High Value / Low Risk"),IF($O320&gt;=Lists!$AG$4,"Low Value / High Risk","Low Value / Low Risk")))</f>
        <v/>
      </c>
      <c r="AF320" s="101"/>
      <c r="AG320" s="126"/>
      <c r="AH320" s="106" t="str">
        <f aca="false">IF($B320="","",COUNTIFS('Debt Backlog'!$AF$2:$AF$1000,$A320,'Debt Backlog'!$B$2:$B$1000,"&lt;&gt;",'Debt Backlog'!$N$2:$N$1000,"&lt;&gt;Done",'Debt Backlog'!$N$2:$N$1000,"&lt;&gt;Won't Fix",'Debt Backlog'!$N$2:$N$1000,"&lt;&gt;Duplicate"))</f>
        <v/>
      </c>
      <c r="AI320" s="103" t="str">
        <f aca="false">IF($B320="","",ROUND(SUMIFS('Debt Backlog'!$L$2:$L$1000,'Debt Backlog'!$AF$2:$AF$1000,$A320,'Debt Backlog'!$B$2:$B$1000,"&lt;&gt;",'Debt Backlog'!$N$2:$N$1000,"&lt;&gt;Done",'Debt Backlog'!$N$2:$N$1000,"&lt;&gt;Won't Fix",'Debt Backlog'!$N$2:$N$1000,"&lt;&gt;Duplicate"),2))</f>
        <v/>
      </c>
    </row>
    <row r="321" customFormat="false" ht="15.75" hidden="false" customHeight="true" outlineLevel="0" collapsed="false">
      <c r="A321" s="125"/>
      <c r="B321" s="101"/>
      <c r="C321" s="101"/>
      <c r="D321" s="101"/>
      <c r="E321" s="101"/>
      <c r="F321" s="101"/>
      <c r="G321" s="101"/>
      <c r="H321" s="101"/>
      <c r="I321" s="106"/>
      <c r="J321" s="106"/>
      <c r="K321" s="106"/>
      <c r="L321" s="106"/>
      <c r="M321" s="106"/>
      <c r="N321" s="103" t="str">
        <f aca="false">IF(OR($B321="", $I321="", $J321="", $K321="", $L321="", $M321=""),"",ROUND(($I321*Lists!$AD$2)+($J321*Lists!$AD$3)+($K321*Lists!$AD$4)+($L321*Lists!$AD$5)+($M321*Lists!$AD$6),2))</f>
        <v/>
      </c>
      <c r="O321" s="103" t="str">
        <f aca="false">IF($A321="","",IFERROR(VLOOKUP($A321,'Risk Register'!$B$2:$I$1000,8,FALSE()),""))</f>
        <v/>
      </c>
      <c r="P321" s="106"/>
      <c r="Q321" s="106"/>
      <c r="R321" s="106"/>
      <c r="S321" s="106"/>
      <c r="T321" s="103" t="str">
        <f aca="false">IF(OR($B321="", $P321="", $Q321="", $R321="", $S321=""),"",ROUND(($P321*Lists!$AD$7)+($Q321*Lists!$AD$8)+($R321*Lists!$AD$9)+($S321*Lists!$AD$10),2))</f>
        <v/>
      </c>
      <c r="U321" s="106"/>
      <c r="V321" s="106"/>
      <c r="W321" s="106"/>
      <c r="X321" s="106"/>
      <c r="Y321" s="106"/>
      <c r="Z321" s="103" t="str">
        <f aca="false">IF(OR($B321="", $U321="", $V321="", $W321="", $X321="", $Y321=""),"",ROUND(($U321*Lists!$AD$11)+($V321*Lists!$AD$12)+($W321*Lists!$AD$13)+($X321*Lists!$AD$14)+($Y321*Lists!$AD$15),2))</f>
        <v/>
      </c>
      <c r="AA321" s="103" t="str">
        <f aca="false">IF(OR($B321="", $N321="", $O321="", $T321="", $Z321=""),"",ROUND(($N321*Lists!$AD$16)-($O321*Lists!$AD$17)-($T321*Lists!$AD$18)+($Z321*Lists!$AD$19),2))</f>
        <v/>
      </c>
      <c r="AB321" s="102" t="str">
        <f aca="false">IF(OR($B321="", $N321="", $Z321=""),"",IF($N321&gt;=Lists!$AG$2,IF($Z321&gt;=Lists!$AG$3,"Invest","Migrate"),IF($Z321&gt;=Lists!$AG$3,"Tolerate","Eliminate")))</f>
        <v/>
      </c>
      <c r="AC321" s="102" t="str">
        <f aca="false">IF($B321="","",IF($J321&gt;=4,"Yes",""))</f>
        <v/>
      </c>
      <c r="AD321" s="102" t="str">
        <f aca="false">IF($A321="","",IFERROR(IF(VLOOKUP($A321,'Risk Register'!$B$2:$H$1000,4,FALSE())&gt;=4,"Yes",""),""))</f>
        <v/>
      </c>
      <c r="AE321" s="102" t="str">
        <f aca="false">IF(OR($N321="", $O321=""),"",IF($N321&gt;=Lists!$AG$2,IF($O321&gt;=Lists!$AG$4,"High Value / High Risk","High Value / Low Risk"),IF($O321&gt;=Lists!$AG$4,"Low Value / High Risk","Low Value / Low Risk")))</f>
        <v/>
      </c>
      <c r="AF321" s="101"/>
      <c r="AG321" s="126"/>
      <c r="AH321" s="106" t="str">
        <f aca="false">IF($B321="","",COUNTIFS('Debt Backlog'!$AF$2:$AF$1000,$A321,'Debt Backlog'!$B$2:$B$1000,"&lt;&gt;",'Debt Backlog'!$N$2:$N$1000,"&lt;&gt;Done",'Debt Backlog'!$N$2:$N$1000,"&lt;&gt;Won't Fix",'Debt Backlog'!$N$2:$N$1000,"&lt;&gt;Duplicate"))</f>
        <v/>
      </c>
      <c r="AI321" s="103" t="str">
        <f aca="false">IF($B321="","",ROUND(SUMIFS('Debt Backlog'!$L$2:$L$1000,'Debt Backlog'!$AF$2:$AF$1000,$A321,'Debt Backlog'!$B$2:$B$1000,"&lt;&gt;",'Debt Backlog'!$N$2:$N$1000,"&lt;&gt;Done",'Debt Backlog'!$N$2:$N$1000,"&lt;&gt;Won't Fix",'Debt Backlog'!$N$2:$N$1000,"&lt;&gt;Duplicate"),2))</f>
        <v/>
      </c>
    </row>
    <row r="322" customFormat="false" ht="15.75" hidden="false" customHeight="true" outlineLevel="0" collapsed="false">
      <c r="A322" s="125"/>
      <c r="B322" s="101"/>
      <c r="C322" s="101"/>
      <c r="D322" s="101"/>
      <c r="E322" s="101"/>
      <c r="F322" s="101"/>
      <c r="G322" s="101"/>
      <c r="H322" s="101"/>
      <c r="I322" s="106"/>
      <c r="J322" s="106"/>
      <c r="K322" s="106"/>
      <c r="L322" s="106"/>
      <c r="M322" s="106"/>
      <c r="N322" s="103" t="str">
        <f aca="false">IF(OR($B322="", $I322="", $J322="", $K322="", $L322="", $M322=""),"",ROUND(($I322*Lists!$AD$2)+($J322*Lists!$AD$3)+($K322*Lists!$AD$4)+($L322*Lists!$AD$5)+($M322*Lists!$AD$6),2))</f>
        <v/>
      </c>
      <c r="O322" s="103" t="str">
        <f aca="false">IF($A322="","",IFERROR(VLOOKUP($A322,'Risk Register'!$B$2:$I$1000,8,FALSE()),""))</f>
        <v/>
      </c>
      <c r="P322" s="106"/>
      <c r="Q322" s="106"/>
      <c r="R322" s="106"/>
      <c r="S322" s="106"/>
      <c r="T322" s="103" t="str">
        <f aca="false">IF(OR($B322="", $P322="", $Q322="", $R322="", $S322=""),"",ROUND(($P322*Lists!$AD$7)+($Q322*Lists!$AD$8)+($R322*Lists!$AD$9)+($S322*Lists!$AD$10),2))</f>
        <v/>
      </c>
      <c r="U322" s="106"/>
      <c r="V322" s="106"/>
      <c r="W322" s="106"/>
      <c r="X322" s="106"/>
      <c r="Y322" s="106"/>
      <c r="Z322" s="103" t="str">
        <f aca="false">IF(OR($B322="", $U322="", $V322="", $W322="", $X322="", $Y322=""),"",ROUND(($U322*Lists!$AD$11)+($V322*Lists!$AD$12)+($W322*Lists!$AD$13)+($X322*Lists!$AD$14)+($Y322*Lists!$AD$15),2))</f>
        <v/>
      </c>
      <c r="AA322" s="103" t="str">
        <f aca="false">IF(OR($B322="", $N322="", $O322="", $T322="", $Z322=""),"",ROUND(($N322*Lists!$AD$16)-($O322*Lists!$AD$17)-($T322*Lists!$AD$18)+($Z322*Lists!$AD$19),2))</f>
        <v/>
      </c>
      <c r="AB322" s="102" t="str">
        <f aca="false">IF(OR($B322="", $N322="", $Z322=""),"",IF($N322&gt;=Lists!$AG$2,IF($Z322&gt;=Lists!$AG$3,"Invest","Migrate"),IF($Z322&gt;=Lists!$AG$3,"Tolerate","Eliminate")))</f>
        <v/>
      </c>
      <c r="AC322" s="102" t="str">
        <f aca="false">IF($B322="","",IF($J322&gt;=4,"Yes",""))</f>
        <v/>
      </c>
      <c r="AD322" s="102" t="str">
        <f aca="false">IF($A322="","",IFERROR(IF(VLOOKUP($A322,'Risk Register'!$B$2:$H$1000,4,FALSE())&gt;=4,"Yes",""),""))</f>
        <v/>
      </c>
      <c r="AE322" s="102" t="str">
        <f aca="false">IF(OR($N322="", $O322=""),"",IF($N322&gt;=Lists!$AG$2,IF($O322&gt;=Lists!$AG$4,"High Value / High Risk","High Value / Low Risk"),IF($O322&gt;=Lists!$AG$4,"Low Value / High Risk","Low Value / Low Risk")))</f>
        <v/>
      </c>
      <c r="AF322" s="101"/>
      <c r="AG322" s="126"/>
      <c r="AH322" s="106" t="str">
        <f aca="false">IF($B322="","",COUNTIFS('Debt Backlog'!$AF$2:$AF$1000,$A322,'Debt Backlog'!$B$2:$B$1000,"&lt;&gt;",'Debt Backlog'!$N$2:$N$1000,"&lt;&gt;Done",'Debt Backlog'!$N$2:$N$1000,"&lt;&gt;Won't Fix",'Debt Backlog'!$N$2:$N$1000,"&lt;&gt;Duplicate"))</f>
        <v/>
      </c>
      <c r="AI322" s="103" t="str">
        <f aca="false">IF($B322="","",ROUND(SUMIFS('Debt Backlog'!$L$2:$L$1000,'Debt Backlog'!$AF$2:$AF$1000,$A322,'Debt Backlog'!$B$2:$B$1000,"&lt;&gt;",'Debt Backlog'!$N$2:$N$1000,"&lt;&gt;Done",'Debt Backlog'!$N$2:$N$1000,"&lt;&gt;Won't Fix",'Debt Backlog'!$N$2:$N$1000,"&lt;&gt;Duplicate"),2))</f>
        <v/>
      </c>
    </row>
    <row r="323" customFormat="false" ht="15.75" hidden="false" customHeight="true" outlineLevel="0" collapsed="false">
      <c r="A323" s="125"/>
      <c r="B323" s="101"/>
      <c r="C323" s="101"/>
      <c r="D323" s="101"/>
      <c r="E323" s="101"/>
      <c r="F323" s="101"/>
      <c r="G323" s="101"/>
      <c r="H323" s="101"/>
      <c r="I323" s="106"/>
      <c r="J323" s="106"/>
      <c r="K323" s="106"/>
      <c r="L323" s="106"/>
      <c r="M323" s="106"/>
      <c r="N323" s="103" t="str">
        <f aca="false">IF(OR($B323="", $I323="", $J323="", $K323="", $L323="", $M323=""),"",ROUND(($I323*Lists!$AD$2)+($J323*Lists!$AD$3)+($K323*Lists!$AD$4)+($L323*Lists!$AD$5)+($M323*Lists!$AD$6),2))</f>
        <v/>
      </c>
      <c r="O323" s="103" t="str">
        <f aca="false">IF($A323="","",IFERROR(VLOOKUP($A323,'Risk Register'!$B$2:$I$1000,8,FALSE()),""))</f>
        <v/>
      </c>
      <c r="P323" s="106"/>
      <c r="Q323" s="106"/>
      <c r="R323" s="106"/>
      <c r="S323" s="106"/>
      <c r="T323" s="103" t="str">
        <f aca="false">IF(OR($B323="", $P323="", $Q323="", $R323="", $S323=""),"",ROUND(($P323*Lists!$AD$7)+($Q323*Lists!$AD$8)+($R323*Lists!$AD$9)+($S323*Lists!$AD$10),2))</f>
        <v/>
      </c>
      <c r="U323" s="106"/>
      <c r="V323" s="106"/>
      <c r="W323" s="106"/>
      <c r="X323" s="106"/>
      <c r="Y323" s="106"/>
      <c r="Z323" s="103" t="str">
        <f aca="false">IF(OR($B323="", $U323="", $V323="", $W323="", $X323="", $Y323=""),"",ROUND(($U323*Lists!$AD$11)+($V323*Lists!$AD$12)+($W323*Lists!$AD$13)+($X323*Lists!$AD$14)+($Y323*Lists!$AD$15),2))</f>
        <v/>
      </c>
      <c r="AA323" s="103" t="str">
        <f aca="false">IF(OR($B323="", $N323="", $O323="", $T323="", $Z323=""),"",ROUND(($N323*Lists!$AD$16)-($O323*Lists!$AD$17)-($T323*Lists!$AD$18)+($Z323*Lists!$AD$19),2))</f>
        <v/>
      </c>
      <c r="AB323" s="102" t="str">
        <f aca="false">IF(OR($B323="", $N323="", $Z323=""),"",IF($N323&gt;=Lists!$AG$2,IF($Z323&gt;=Lists!$AG$3,"Invest","Migrate"),IF($Z323&gt;=Lists!$AG$3,"Tolerate","Eliminate")))</f>
        <v/>
      </c>
      <c r="AC323" s="102" t="str">
        <f aca="false">IF($B323="","",IF($J323&gt;=4,"Yes",""))</f>
        <v/>
      </c>
      <c r="AD323" s="102" t="str">
        <f aca="false">IF($A323="","",IFERROR(IF(VLOOKUP($A323,'Risk Register'!$B$2:$H$1000,4,FALSE())&gt;=4,"Yes",""),""))</f>
        <v/>
      </c>
      <c r="AE323" s="102" t="str">
        <f aca="false">IF(OR($N323="", $O323=""),"",IF($N323&gt;=Lists!$AG$2,IF($O323&gt;=Lists!$AG$4,"High Value / High Risk","High Value / Low Risk"),IF($O323&gt;=Lists!$AG$4,"Low Value / High Risk","Low Value / Low Risk")))</f>
        <v/>
      </c>
      <c r="AF323" s="101"/>
      <c r="AG323" s="126"/>
      <c r="AH323" s="106" t="str">
        <f aca="false">IF($B323="","",COUNTIFS('Debt Backlog'!$AF$2:$AF$1000,$A323,'Debt Backlog'!$B$2:$B$1000,"&lt;&gt;",'Debt Backlog'!$N$2:$N$1000,"&lt;&gt;Done",'Debt Backlog'!$N$2:$N$1000,"&lt;&gt;Won't Fix",'Debt Backlog'!$N$2:$N$1000,"&lt;&gt;Duplicate"))</f>
        <v/>
      </c>
      <c r="AI323" s="103" t="str">
        <f aca="false">IF($B323="","",ROUND(SUMIFS('Debt Backlog'!$L$2:$L$1000,'Debt Backlog'!$AF$2:$AF$1000,$A323,'Debt Backlog'!$B$2:$B$1000,"&lt;&gt;",'Debt Backlog'!$N$2:$N$1000,"&lt;&gt;Done",'Debt Backlog'!$N$2:$N$1000,"&lt;&gt;Won't Fix",'Debt Backlog'!$N$2:$N$1000,"&lt;&gt;Duplicate"),2))</f>
        <v/>
      </c>
    </row>
    <row r="324" customFormat="false" ht="15.75" hidden="false" customHeight="true" outlineLevel="0" collapsed="false">
      <c r="A324" s="125"/>
      <c r="B324" s="101"/>
      <c r="C324" s="101"/>
      <c r="D324" s="101"/>
      <c r="E324" s="101"/>
      <c r="F324" s="101"/>
      <c r="G324" s="101"/>
      <c r="H324" s="101"/>
      <c r="I324" s="106"/>
      <c r="J324" s="106"/>
      <c r="K324" s="106"/>
      <c r="L324" s="106"/>
      <c r="M324" s="106"/>
      <c r="N324" s="103" t="str">
        <f aca="false">IF(OR($B324="", $I324="", $J324="", $K324="", $L324="", $M324=""),"",ROUND(($I324*Lists!$AD$2)+($J324*Lists!$AD$3)+($K324*Lists!$AD$4)+($L324*Lists!$AD$5)+($M324*Lists!$AD$6),2))</f>
        <v/>
      </c>
      <c r="O324" s="103" t="str">
        <f aca="false">IF($A324="","",IFERROR(VLOOKUP($A324,'Risk Register'!$B$2:$I$1000,8,FALSE()),""))</f>
        <v/>
      </c>
      <c r="P324" s="106"/>
      <c r="Q324" s="106"/>
      <c r="R324" s="106"/>
      <c r="S324" s="106"/>
      <c r="T324" s="103" t="str">
        <f aca="false">IF(OR($B324="", $P324="", $Q324="", $R324="", $S324=""),"",ROUND(($P324*Lists!$AD$7)+($Q324*Lists!$AD$8)+($R324*Lists!$AD$9)+($S324*Lists!$AD$10),2))</f>
        <v/>
      </c>
      <c r="U324" s="106"/>
      <c r="V324" s="106"/>
      <c r="W324" s="106"/>
      <c r="X324" s="106"/>
      <c r="Y324" s="106"/>
      <c r="Z324" s="103" t="str">
        <f aca="false">IF(OR($B324="", $U324="", $V324="", $W324="", $X324="", $Y324=""),"",ROUND(($U324*Lists!$AD$11)+($V324*Lists!$AD$12)+($W324*Lists!$AD$13)+($X324*Lists!$AD$14)+($Y324*Lists!$AD$15),2))</f>
        <v/>
      </c>
      <c r="AA324" s="103" t="str">
        <f aca="false">IF(OR($B324="", $N324="", $O324="", $T324="", $Z324=""),"",ROUND(($N324*Lists!$AD$16)-($O324*Lists!$AD$17)-($T324*Lists!$AD$18)+($Z324*Lists!$AD$19),2))</f>
        <v/>
      </c>
      <c r="AB324" s="102" t="str">
        <f aca="false">IF(OR($B324="", $N324="", $Z324=""),"",IF($N324&gt;=Lists!$AG$2,IF($Z324&gt;=Lists!$AG$3,"Invest","Migrate"),IF($Z324&gt;=Lists!$AG$3,"Tolerate","Eliminate")))</f>
        <v/>
      </c>
      <c r="AC324" s="102" t="str">
        <f aca="false">IF($B324="","",IF($J324&gt;=4,"Yes",""))</f>
        <v/>
      </c>
      <c r="AD324" s="102" t="str">
        <f aca="false">IF($A324="","",IFERROR(IF(VLOOKUP($A324,'Risk Register'!$B$2:$H$1000,4,FALSE())&gt;=4,"Yes",""),""))</f>
        <v/>
      </c>
      <c r="AE324" s="102" t="str">
        <f aca="false">IF(OR($N324="", $O324=""),"",IF($N324&gt;=Lists!$AG$2,IF($O324&gt;=Lists!$AG$4,"High Value / High Risk","High Value / Low Risk"),IF($O324&gt;=Lists!$AG$4,"Low Value / High Risk","Low Value / Low Risk")))</f>
        <v/>
      </c>
      <c r="AF324" s="101"/>
      <c r="AG324" s="126"/>
      <c r="AH324" s="106" t="str">
        <f aca="false">IF($B324="","",COUNTIFS('Debt Backlog'!$AF$2:$AF$1000,$A324,'Debt Backlog'!$B$2:$B$1000,"&lt;&gt;",'Debt Backlog'!$N$2:$N$1000,"&lt;&gt;Done",'Debt Backlog'!$N$2:$N$1000,"&lt;&gt;Won't Fix",'Debt Backlog'!$N$2:$N$1000,"&lt;&gt;Duplicate"))</f>
        <v/>
      </c>
      <c r="AI324" s="103" t="str">
        <f aca="false">IF($B324="","",ROUND(SUMIFS('Debt Backlog'!$L$2:$L$1000,'Debt Backlog'!$AF$2:$AF$1000,$A324,'Debt Backlog'!$B$2:$B$1000,"&lt;&gt;",'Debt Backlog'!$N$2:$N$1000,"&lt;&gt;Done",'Debt Backlog'!$N$2:$N$1000,"&lt;&gt;Won't Fix",'Debt Backlog'!$N$2:$N$1000,"&lt;&gt;Duplicate"),2))</f>
        <v/>
      </c>
    </row>
    <row r="325" customFormat="false" ht="15.75" hidden="false" customHeight="true" outlineLevel="0" collapsed="false">
      <c r="A325" s="125"/>
      <c r="B325" s="101"/>
      <c r="C325" s="101"/>
      <c r="D325" s="101"/>
      <c r="E325" s="101"/>
      <c r="F325" s="101"/>
      <c r="G325" s="101"/>
      <c r="H325" s="101"/>
      <c r="I325" s="106"/>
      <c r="J325" s="106"/>
      <c r="K325" s="106"/>
      <c r="L325" s="106"/>
      <c r="M325" s="106"/>
      <c r="N325" s="103" t="str">
        <f aca="false">IF(OR($B325="", $I325="", $J325="", $K325="", $L325="", $M325=""),"",ROUND(($I325*Lists!$AD$2)+($J325*Lists!$AD$3)+($K325*Lists!$AD$4)+($L325*Lists!$AD$5)+($M325*Lists!$AD$6),2))</f>
        <v/>
      </c>
      <c r="O325" s="103" t="str">
        <f aca="false">IF($A325="","",IFERROR(VLOOKUP($A325,'Risk Register'!$B$2:$I$1000,8,FALSE()),""))</f>
        <v/>
      </c>
      <c r="P325" s="106"/>
      <c r="Q325" s="106"/>
      <c r="R325" s="106"/>
      <c r="S325" s="106"/>
      <c r="T325" s="103" t="str">
        <f aca="false">IF(OR($B325="", $P325="", $Q325="", $R325="", $S325=""),"",ROUND(($P325*Lists!$AD$7)+($Q325*Lists!$AD$8)+($R325*Lists!$AD$9)+($S325*Lists!$AD$10),2))</f>
        <v/>
      </c>
      <c r="U325" s="106"/>
      <c r="V325" s="106"/>
      <c r="W325" s="106"/>
      <c r="X325" s="106"/>
      <c r="Y325" s="106"/>
      <c r="Z325" s="103" t="str">
        <f aca="false">IF(OR($B325="", $U325="", $V325="", $W325="", $X325="", $Y325=""),"",ROUND(($U325*Lists!$AD$11)+($V325*Lists!$AD$12)+($W325*Lists!$AD$13)+($X325*Lists!$AD$14)+($Y325*Lists!$AD$15),2))</f>
        <v/>
      </c>
      <c r="AA325" s="103" t="str">
        <f aca="false">IF(OR($B325="", $N325="", $O325="", $T325="", $Z325=""),"",ROUND(($N325*Lists!$AD$16)-($O325*Lists!$AD$17)-($T325*Lists!$AD$18)+($Z325*Lists!$AD$19),2))</f>
        <v/>
      </c>
      <c r="AB325" s="102" t="str">
        <f aca="false">IF(OR($B325="", $N325="", $Z325=""),"",IF($N325&gt;=Lists!$AG$2,IF($Z325&gt;=Lists!$AG$3,"Invest","Migrate"),IF($Z325&gt;=Lists!$AG$3,"Tolerate","Eliminate")))</f>
        <v/>
      </c>
      <c r="AC325" s="102" t="str">
        <f aca="false">IF($B325="","",IF($J325&gt;=4,"Yes",""))</f>
        <v/>
      </c>
      <c r="AD325" s="102" t="str">
        <f aca="false">IF($A325="","",IFERROR(IF(VLOOKUP($A325,'Risk Register'!$B$2:$H$1000,4,FALSE())&gt;=4,"Yes",""),""))</f>
        <v/>
      </c>
      <c r="AE325" s="102" t="str">
        <f aca="false">IF(OR($N325="", $O325=""),"",IF($N325&gt;=Lists!$AG$2,IF($O325&gt;=Lists!$AG$4,"High Value / High Risk","High Value / Low Risk"),IF($O325&gt;=Lists!$AG$4,"Low Value / High Risk","Low Value / Low Risk")))</f>
        <v/>
      </c>
      <c r="AF325" s="101"/>
      <c r="AG325" s="126"/>
      <c r="AH325" s="106" t="str">
        <f aca="false">IF($B325="","",COUNTIFS('Debt Backlog'!$AF$2:$AF$1000,$A325,'Debt Backlog'!$B$2:$B$1000,"&lt;&gt;",'Debt Backlog'!$N$2:$N$1000,"&lt;&gt;Done",'Debt Backlog'!$N$2:$N$1000,"&lt;&gt;Won't Fix",'Debt Backlog'!$N$2:$N$1000,"&lt;&gt;Duplicate"))</f>
        <v/>
      </c>
      <c r="AI325" s="103" t="str">
        <f aca="false">IF($B325="","",ROUND(SUMIFS('Debt Backlog'!$L$2:$L$1000,'Debt Backlog'!$AF$2:$AF$1000,$A325,'Debt Backlog'!$B$2:$B$1000,"&lt;&gt;",'Debt Backlog'!$N$2:$N$1000,"&lt;&gt;Done",'Debt Backlog'!$N$2:$N$1000,"&lt;&gt;Won't Fix",'Debt Backlog'!$N$2:$N$1000,"&lt;&gt;Duplicate"),2))</f>
        <v/>
      </c>
    </row>
    <row r="326" customFormat="false" ht="15.75" hidden="false" customHeight="true" outlineLevel="0" collapsed="false">
      <c r="A326" s="125"/>
      <c r="B326" s="101"/>
      <c r="C326" s="101"/>
      <c r="D326" s="101"/>
      <c r="E326" s="101"/>
      <c r="F326" s="101"/>
      <c r="G326" s="101"/>
      <c r="H326" s="101"/>
      <c r="I326" s="106"/>
      <c r="J326" s="106"/>
      <c r="K326" s="106"/>
      <c r="L326" s="106"/>
      <c r="M326" s="106"/>
      <c r="N326" s="103" t="str">
        <f aca="false">IF(OR($B326="", $I326="", $J326="", $K326="", $L326="", $M326=""),"",ROUND(($I326*Lists!$AD$2)+($J326*Lists!$AD$3)+($K326*Lists!$AD$4)+($L326*Lists!$AD$5)+($M326*Lists!$AD$6),2))</f>
        <v/>
      </c>
      <c r="O326" s="103" t="str">
        <f aca="false">IF($A326="","",IFERROR(VLOOKUP($A326,'Risk Register'!$B$2:$I$1000,8,FALSE()),""))</f>
        <v/>
      </c>
      <c r="P326" s="106"/>
      <c r="Q326" s="106"/>
      <c r="R326" s="106"/>
      <c r="S326" s="106"/>
      <c r="T326" s="103" t="str">
        <f aca="false">IF(OR($B326="", $P326="", $Q326="", $R326="", $S326=""),"",ROUND(($P326*Lists!$AD$7)+($Q326*Lists!$AD$8)+($R326*Lists!$AD$9)+($S326*Lists!$AD$10),2))</f>
        <v/>
      </c>
      <c r="U326" s="106"/>
      <c r="V326" s="106"/>
      <c r="W326" s="106"/>
      <c r="X326" s="106"/>
      <c r="Y326" s="106"/>
      <c r="Z326" s="103" t="str">
        <f aca="false">IF(OR($B326="", $U326="", $V326="", $W326="", $X326="", $Y326=""),"",ROUND(($U326*Lists!$AD$11)+($V326*Lists!$AD$12)+($W326*Lists!$AD$13)+($X326*Lists!$AD$14)+($Y326*Lists!$AD$15),2))</f>
        <v/>
      </c>
      <c r="AA326" s="103" t="str">
        <f aca="false">IF(OR($B326="", $N326="", $O326="", $T326="", $Z326=""),"",ROUND(($N326*Lists!$AD$16)-($O326*Lists!$AD$17)-($T326*Lists!$AD$18)+($Z326*Lists!$AD$19),2))</f>
        <v/>
      </c>
      <c r="AB326" s="102" t="str">
        <f aca="false">IF(OR($B326="", $N326="", $Z326=""),"",IF($N326&gt;=Lists!$AG$2,IF($Z326&gt;=Lists!$AG$3,"Invest","Migrate"),IF($Z326&gt;=Lists!$AG$3,"Tolerate","Eliminate")))</f>
        <v/>
      </c>
      <c r="AC326" s="102" t="str">
        <f aca="false">IF($B326="","",IF($J326&gt;=4,"Yes",""))</f>
        <v/>
      </c>
      <c r="AD326" s="102" t="str">
        <f aca="false">IF($A326="","",IFERROR(IF(VLOOKUP($A326,'Risk Register'!$B$2:$H$1000,4,FALSE())&gt;=4,"Yes",""),""))</f>
        <v/>
      </c>
      <c r="AE326" s="102" t="str">
        <f aca="false">IF(OR($N326="", $O326=""),"",IF($N326&gt;=Lists!$AG$2,IF($O326&gt;=Lists!$AG$4,"High Value / High Risk","High Value / Low Risk"),IF($O326&gt;=Lists!$AG$4,"Low Value / High Risk","Low Value / Low Risk")))</f>
        <v/>
      </c>
      <c r="AF326" s="101"/>
      <c r="AG326" s="126"/>
      <c r="AH326" s="106" t="str">
        <f aca="false">IF($B326="","",COUNTIFS('Debt Backlog'!$AF$2:$AF$1000,$A326,'Debt Backlog'!$B$2:$B$1000,"&lt;&gt;",'Debt Backlog'!$N$2:$N$1000,"&lt;&gt;Done",'Debt Backlog'!$N$2:$N$1000,"&lt;&gt;Won't Fix",'Debt Backlog'!$N$2:$N$1000,"&lt;&gt;Duplicate"))</f>
        <v/>
      </c>
      <c r="AI326" s="103" t="str">
        <f aca="false">IF($B326="","",ROUND(SUMIFS('Debt Backlog'!$L$2:$L$1000,'Debt Backlog'!$AF$2:$AF$1000,$A326,'Debt Backlog'!$B$2:$B$1000,"&lt;&gt;",'Debt Backlog'!$N$2:$N$1000,"&lt;&gt;Done",'Debt Backlog'!$N$2:$N$1000,"&lt;&gt;Won't Fix",'Debt Backlog'!$N$2:$N$1000,"&lt;&gt;Duplicate"),2))</f>
        <v/>
      </c>
    </row>
    <row r="327" customFormat="false" ht="15.75" hidden="false" customHeight="true" outlineLevel="0" collapsed="false">
      <c r="A327" s="125"/>
      <c r="B327" s="101"/>
      <c r="C327" s="101"/>
      <c r="D327" s="101"/>
      <c r="E327" s="101"/>
      <c r="F327" s="101"/>
      <c r="G327" s="101"/>
      <c r="H327" s="101"/>
      <c r="I327" s="106"/>
      <c r="J327" s="106"/>
      <c r="K327" s="106"/>
      <c r="L327" s="106"/>
      <c r="M327" s="106"/>
      <c r="N327" s="103" t="str">
        <f aca="false">IF(OR($B327="", $I327="", $J327="", $K327="", $L327="", $M327=""),"",ROUND(($I327*Lists!$AD$2)+($J327*Lists!$AD$3)+($K327*Lists!$AD$4)+($L327*Lists!$AD$5)+($M327*Lists!$AD$6),2))</f>
        <v/>
      </c>
      <c r="O327" s="103" t="str">
        <f aca="false">IF($A327="","",IFERROR(VLOOKUP($A327,'Risk Register'!$B$2:$I$1000,8,FALSE()),""))</f>
        <v/>
      </c>
      <c r="P327" s="106"/>
      <c r="Q327" s="106"/>
      <c r="R327" s="106"/>
      <c r="S327" s="106"/>
      <c r="T327" s="103" t="str">
        <f aca="false">IF(OR($B327="", $P327="", $Q327="", $R327="", $S327=""),"",ROUND(($P327*Lists!$AD$7)+($Q327*Lists!$AD$8)+($R327*Lists!$AD$9)+($S327*Lists!$AD$10),2))</f>
        <v/>
      </c>
      <c r="U327" s="106"/>
      <c r="V327" s="106"/>
      <c r="W327" s="106"/>
      <c r="X327" s="106"/>
      <c r="Y327" s="106"/>
      <c r="Z327" s="103" t="str">
        <f aca="false">IF(OR($B327="", $U327="", $V327="", $W327="", $X327="", $Y327=""),"",ROUND(($U327*Lists!$AD$11)+($V327*Lists!$AD$12)+($W327*Lists!$AD$13)+($X327*Lists!$AD$14)+($Y327*Lists!$AD$15),2))</f>
        <v/>
      </c>
      <c r="AA327" s="103" t="str">
        <f aca="false">IF(OR($B327="", $N327="", $O327="", $T327="", $Z327=""),"",ROUND(($N327*Lists!$AD$16)-($O327*Lists!$AD$17)-($T327*Lists!$AD$18)+($Z327*Lists!$AD$19),2))</f>
        <v/>
      </c>
      <c r="AB327" s="102" t="str">
        <f aca="false">IF(OR($B327="", $N327="", $Z327=""),"",IF($N327&gt;=Lists!$AG$2,IF($Z327&gt;=Lists!$AG$3,"Invest","Migrate"),IF($Z327&gt;=Lists!$AG$3,"Tolerate","Eliminate")))</f>
        <v/>
      </c>
      <c r="AC327" s="102" t="str">
        <f aca="false">IF($B327="","",IF($J327&gt;=4,"Yes",""))</f>
        <v/>
      </c>
      <c r="AD327" s="102" t="str">
        <f aca="false">IF($A327="","",IFERROR(IF(VLOOKUP($A327,'Risk Register'!$B$2:$H$1000,4,FALSE())&gt;=4,"Yes",""),""))</f>
        <v/>
      </c>
      <c r="AE327" s="102" t="str">
        <f aca="false">IF(OR($N327="", $O327=""),"",IF($N327&gt;=Lists!$AG$2,IF($O327&gt;=Lists!$AG$4,"High Value / High Risk","High Value / Low Risk"),IF($O327&gt;=Lists!$AG$4,"Low Value / High Risk","Low Value / Low Risk")))</f>
        <v/>
      </c>
      <c r="AF327" s="101"/>
      <c r="AG327" s="126"/>
      <c r="AH327" s="106" t="str">
        <f aca="false">IF($B327="","",COUNTIFS('Debt Backlog'!$AF$2:$AF$1000,$A327,'Debt Backlog'!$B$2:$B$1000,"&lt;&gt;",'Debt Backlog'!$N$2:$N$1000,"&lt;&gt;Done",'Debt Backlog'!$N$2:$N$1000,"&lt;&gt;Won't Fix",'Debt Backlog'!$N$2:$N$1000,"&lt;&gt;Duplicate"))</f>
        <v/>
      </c>
      <c r="AI327" s="103" t="str">
        <f aca="false">IF($B327="","",ROUND(SUMIFS('Debt Backlog'!$L$2:$L$1000,'Debt Backlog'!$AF$2:$AF$1000,$A327,'Debt Backlog'!$B$2:$B$1000,"&lt;&gt;",'Debt Backlog'!$N$2:$N$1000,"&lt;&gt;Done",'Debt Backlog'!$N$2:$N$1000,"&lt;&gt;Won't Fix",'Debt Backlog'!$N$2:$N$1000,"&lt;&gt;Duplicate"),2))</f>
        <v/>
      </c>
    </row>
    <row r="328" customFormat="false" ht="15.75" hidden="false" customHeight="true" outlineLevel="0" collapsed="false">
      <c r="A328" s="125"/>
      <c r="B328" s="101"/>
      <c r="C328" s="101"/>
      <c r="D328" s="101"/>
      <c r="E328" s="101"/>
      <c r="F328" s="101"/>
      <c r="G328" s="101"/>
      <c r="H328" s="101"/>
      <c r="I328" s="106"/>
      <c r="J328" s="106"/>
      <c r="K328" s="106"/>
      <c r="L328" s="106"/>
      <c r="M328" s="106"/>
      <c r="N328" s="103" t="str">
        <f aca="false">IF(OR($B328="", $I328="", $J328="", $K328="", $L328="", $M328=""),"",ROUND(($I328*Lists!$AD$2)+($J328*Lists!$AD$3)+($K328*Lists!$AD$4)+($L328*Lists!$AD$5)+($M328*Lists!$AD$6),2))</f>
        <v/>
      </c>
      <c r="O328" s="103" t="str">
        <f aca="false">IF($A328="","",IFERROR(VLOOKUP($A328,'Risk Register'!$B$2:$I$1000,8,FALSE()),""))</f>
        <v/>
      </c>
      <c r="P328" s="106"/>
      <c r="Q328" s="106"/>
      <c r="R328" s="106"/>
      <c r="S328" s="106"/>
      <c r="T328" s="103" t="str">
        <f aca="false">IF(OR($B328="", $P328="", $Q328="", $R328="", $S328=""),"",ROUND(($P328*Lists!$AD$7)+($Q328*Lists!$AD$8)+($R328*Lists!$AD$9)+($S328*Lists!$AD$10),2))</f>
        <v/>
      </c>
      <c r="U328" s="106"/>
      <c r="V328" s="106"/>
      <c r="W328" s="106"/>
      <c r="X328" s="106"/>
      <c r="Y328" s="106"/>
      <c r="Z328" s="103" t="str">
        <f aca="false">IF(OR($B328="", $U328="", $V328="", $W328="", $X328="", $Y328=""),"",ROUND(($U328*Lists!$AD$11)+($V328*Lists!$AD$12)+($W328*Lists!$AD$13)+($X328*Lists!$AD$14)+($Y328*Lists!$AD$15),2))</f>
        <v/>
      </c>
      <c r="AA328" s="103" t="str">
        <f aca="false">IF(OR($B328="", $N328="", $O328="", $T328="", $Z328=""),"",ROUND(($N328*Lists!$AD$16)-($O328*Lists!$AD$17)-($T328*Lists!$AD$18)+($Z328*Lists!$AD$19),2))</f>
        <v/>
      </c>
      <c r="AB328" s="102" t="str">
        <f aca="false">IF(OR($B328="", $N328="", $Z328=""),"",IF($N328&gt;=Lists!$AG$2,IF($Z328&gt;=Lists!$AG$3,"Invest","Migrate"),IF($Z328&gt;=Lists!$AG$3,"Tolerate","Eliminate")))</f>
        <v/>
      </c>
      <c r="AC328" s="102" t="str">
        <f aca="false">IF($B328="","",IF($J328&gt;=4,"Yes",""))</f>
        <v/>
      </c>
      <c r="AD328" s="102" t="str">
        <f aca="false">IF($A328="","",IFERROR(IF(VLOOKUP($A328,'Risk Register'!$B$2:$H$1000,4,FALSE())&gt;=4,"Yes",""),""))</f>
        <v/>
      </c>
      <c r="AE328" s="102" t="str">
        <f aca="false">IF(OR($N328="", $O328=""),"",IF($N328&gt;=Lists!$AG$2,IF($O328&gt;=Lists!$AG$4,"High Value / High Risk","High Value / Low Risk"),IF($O328&gt;=Lists!$AG$4,"Low Value / High Risk","Low Value / Low Risk")))</f>
        <v/>
      </c>
      <c r="AF328" s="101"/>
      <c r="AG328" s="126"/>
      <c r="AH328" s="106" t="str">
        <f aca="false">IF($B328="","",COUNTIFS('Debt Backlog'!$AF$2:$AF$1000,$A328,'Debt Backlog'!$B$2:$B$1000,"&lt;&gt;",'Debt Backlog'!$N$2:$N$1000,"&lt;&gt;Done",'Debt Backlog'!$N$2:$N$1000,"&lt;&gt;Won't Fix",'Debt Backlog'!$N$2:$N$1000,"&lt;&gt;Duplicate"))</f>
        <v/>
      </c>
      <c r="AI328" s="103" t="str">
        <f aca="false">IF($B328="","",ROUND(SUMIFS('Debt Backlog'!$L$2:$L$1000,'Debt Backlog'!$AF$2:$AF$1000,$A328,'Debt Backlog'!$B$2:$B$1000,"&lt;&gt;",'Debt Backlog'!$N$2:$N$1000,"&lt;&gt;Done",'Debt Backlog'!$N$2:$N$1000,"&lt;&gt;Won't Fix",'Debt Backlog'!$N$2:$N$1000,"&lt;&gt;Duplicate"),2))</f>
        <v/>
      </c>
    </row>
    <row r="329" customFormat="false" ht="15.75" hidden="false" customHeight="true" outlineLevel="0" collapsed="false">
      <c r="A329" s="125"/>
      <c r="B329" s="101"/>
      <c r="C329" s="101"/>
      <c r="D329" s="101"/>
      <c r="E329" s="101"/>
      <c r="F329" s="101"/>
      <c r="G329" s="101"/>
      <c r="H329" s="101"/>
      <c r="I329" s="106"/>
      <c r="J329" s="106"/>
      <c r="K329" s="106"/>
      <c r="L329" s="106"/>
      <c r="M329" s="106"/>
      <c r="N329" s="103" t="str">
        <f aca="false">IF(OR($B329="", $I329="", $J329="", $K329="", $L329="", $M329=""),"",ROUND(($I329*Lists!$AD$2)+($J329*Lists!$AD$3)+($K329*Lists!$AD$4)+($L329*Lists!$AD$5)+($M329*Lists!$AD$6),2))</f>
        <v/>
      </c>
      <c r="O329" s="103" t="str">
        <f aca="false">IF($A329="","",IFERROR(VLOOKUP($A329,'Risk Register'!$B$2:$I$1000,8,FALSE()),""))</f>
        <v/>
      </c>
      <c r="P329" s="106"/>
      <c r="Q329" s="106"/>
      <c r="R329" s="106"/>
      <c r="S329" s="106"/>
      <c r="T329" s="103" t="str">
        <f aca="false">IF(OR($B329="", $P329="", $Q329="", $R329="", $S329=""),"",ROUND(($P329*Lists!$AD$7)+($Q329*Lists!$AD$8)+($R329*Lists!$AD$9)+($S329*Lists!$AD$10),2))</f>
        <v/>
      </c>
      <c r="U329" s="106"/>
      <c r="V329" s="106"/>
      <c r="W329" s="106"/>
      <c r="X329" s="106"/>
      <c r="Y329" s="106"/>
      <c r="Z329" s="103" t="str">
        <f aca="false">IF(OR($B329="", $U329="", $V329="", $W329="", $X329="", $Y329=""),"",ROUND(($U329*Lists!$AD$11)+($V329*Lists!$AD$12)+($W329*Lists!$AD$13)+($X329*Lists!$AD$14)+($Y329*Lists!$AD$15),2))</f>
        <v/>
      </c>
      <c r="AA329" s="103" t="str">
        <f aca="false">IF(OR($B329="", $N329="", $O329="", $T329="", $Z329=""),"",ROUND(($N329*Lists!$AD$16)-($O329*Lists!$AD$17)-($T329*Lists!$AD$18)+($Z329*Lists!$AD$19),2))</f>
        <v/>
      </c>
      <c r="AB329" s="102" t="str">
        <f aca="false">IF(OR($B329="", $N329="", $Z329=""),"",IF($N329&gt;=Lists!$AG$2,IF($Z329&gt;=Lists!$AG$3,"Invest","Migrate"),IF($Z329&gt;=Lists!$AG$3,"Tolerate","Eliminate")))</f>
        <v/>
      </c>
      <c r="AC329" s="102" t="str">
        <f aca="false">IF($B329="","",IF($J329&gt;=4,"Yes",""))</f>
        <v/>
      </c>
      <c r="AD329" s="102" t="str">
        <f aca="false">IF($A329="","",IFERROR(IF(VLOOKUP($A329,'Risk Register'!$B$2:$H$1000,4,FALSE())&gt;=4,"Yes",""),""))</f>
        <v/>
      </c>
      <c r="AE329" s="102" t="str">
        <f aca="false">IF(OR($N329="", $O329=""),"",IF($N329&gt;=Lists!$AG$2,IF($O329&gt;=Lists!$AG$4,"High Value / High Risk","High Value / Low Risk"),IF($O329&gt;=Lists!$AG$4,"Low Value / High Risk","Low Value / Low Risk")))</f>
        <v/>
      </c>
      <c r="AF329" s="101"/>
      <c r="AG329" s="126"/>
      <c r="AH329" s="106" t="str">
        <f aca="false">IF($B329="","",COUNTIFS('Debt Backlog'!$AF$2:$AF$1000,$A329,'Debt Backlog'!$B$2:$B$1000,"&lt;&gt;",'Debt Backlog'!$N$2:$N$1000,"&lt;&gt;Done",'Debt Backlog'!$N$2:$N$1000,"&lt;&gt;Won't Fix",'Debt Backlog'!$N$2:$N$1000,"&lt;&gt;Duplicate"))</f>
        <v/>
      </c>
      <c r="AI329" s="103" t="str">
        <f aca="false">IF($B329="","",ROUND(SUMIFS('Debt Backlog'!$L$2:$L$1000,'Debt Backlog'!$AF$2:$AF$1000,$A329,'Debt Backlog'!$B$2:$B$1000,"&lt;&gt;",'Debt Backlog'!$N$2:$N$1000,"&lt;&gt;Done",'Debt Backlog'!$N$2:$N$1000,"&lt;&gt;Won't Fix",'Debt Backlog'!$N$2:$N$1000,"&lt;&gt;Duplicate"),2))</f>
        <v/>
      </c>
    </row>
    <row r="330" customFormat="false" ht="15.75" hidden="false" customHeight="true" outlineLevel="0" collapsed="false">
      <c r="A330" s="125"/>
      <c r="B330" s="101"/>
      <c r="C330" s="101"/>
      <c r="D330" s="101"/>
      <c r="E330" s="101"/>
      <c r="F330" s="101"/>
      <c r="G330" s="101"/>
      <c r="H330" s="101"/>
      <c r="I330" s="106"/>
      <c r="J330" s="106"/>
      <c r="K330" s="106"/>
      <c r="L330" s="106"/>
      <c r="M330" s="106"/>
      <c r="N330" s="103" t="str">
        <f aca="false">IF(OR($B330="", $I330="", $J330="", $K330="", $L330="", $M330=""),"",ROUND(($I330*Lists!$AD$2)+($J330*Lists!$AD$3)+($K330*Lists!$AD$4)+($L330*Lists!$AD$5)+($M330*Lists!$AD$6),2))</f>
        <v/>
      </c>
      <c r="O330" s="103" t="str">
        <f aca="false">IF($A330="","",IFERROR(VLOOKUP($A330,'Risk Register'!$B$2:$I$1000,8,FALSE()),""))</f>
        <v/>
      </c>
      <c r="P330" s="106"/>
      <c r="Q330" s="106"/>
      <c r="R330" s="106"/>
      <c r="S330" s="106"/>
      <c r="T330" s="103" t="str">
        <f aca="false">IF(OR($B330="", $P330="", $Q330="", $R330="", $S330=""),"",ROUND(($P330*Lists!$AD$7)+($Q330*Lists!$AD$8)+($R330*Lists!$AD$9)+($S330*Lists!$AD$10),2))</f>
        <v/>
      </c>
      <c r="U330" s="106"/>
      <c r="V330" s="106"/>
      <c r="W330" s="106"/>
      <c r="X330" s="106"/>
      <c r="Y330" s="106"/>
      <c r="Z330" s="103" t="str">
        <f aca="false">IF(OR($B330="", $U330="", $V330="", $W330="", $X330="", $Y330=""),"",ROUND(($U330*Lists!$AD$11)+($V330*Lists!$AD$12)+($W330*Lists!$AD$13)+($X330*Lists!$AD$14)+($Y330*Lists!$AD$15),2))</f>
        <v/>
      </c>
      <c r="AA330" s="103" t="str">
        <f aca="false">IF(OR($B330="", $N330="", $O330="", $T330="", $Z330=""),"",ROUND(($N330*Lists!$AD$16)-($O330*Lists!$AD$17)-($T330*Lists!$AD$18)+($Z330*Lists!$AD$19),2))</f>
        <v/>
      </c>
      <c r="AB330" s="102" t="str">
        <f aca="false">IF(OR($B330="", $N330="", $Z330=""),"",IF($N330&gt;=Lists!$AG$2,IF($Z330&gt;=Lists!$AG$3,"Invest","Migrate"),IF($Z330&gt;=Lists!$AG$3,"Tolerate","Eliminate")))</f>
        <v/>
      </c>
      <c r="AC330" s="102" t="str">
        <f aca="false">IF($B330="","",IF($J330&gt;=4,"Yes",""))</f>
        <v/>
      </c>
      <c r="AD330" s="102" t="str">
        <f aca="false">IF($A330="","",IFERROR(IF(VLOOKUP($A330,'Risk Register'!$B$2:$H$1000,4,FALSE())&gt;=4,"Yes",""),""))</f>
        <v/>
      </c>
      <c r="AE330" s="102" t="str">
        <f aca="false">IF(OR($N330="", $O330=""),"",IF($N330&gt;=Lists!$AG$2,IF($O330&gt;=Lists!$AG$4,"High Value / High Risk","High Value / Low Risk"),IF($O330&gt;=Lists!$AG$4,"Low Value / High Risk","Low Value / Low Risk")))</f>
        <v/>
      </c>
      <c r="AF330" s="101"/>
      <c r="AG330" s="126"/>
      <c r="AH330" s="106" t="str">
        <f aca="false">IF($B330="","",COUNTIFS('Debt Backlog'!$AF$2:$AF$1000,$A330,'Debt Backlog'!$B$2:$B$1000,"&lt;&gt;",'Debt Backlog'!$N$2:$N$1000,"&lt;&gt;Done",'Debt Backlog'!$N$2:$N$1000,"&lt;&gt;Won't Fix",'Debt Backlog'!$N$2:$N$1000,"&lt;&gt;Duplicate"))</f>
        <v/>
      </c>
      <c r="AI330" s="103" t="str">
        <f aca="false">IF($B330="","",ROUND(SUMIFS('Debt Backlog'!$L$2:$L$1000,'Debt Backlog'!$AF$2:$AF$1000,$A330,'Debt Backlog'!$B$2:$B$1000,"&lt;&gt;",'Debt Backlog'!$N$2:$N$1000,"&lt;&gt;Done",'Debt Backlog'!$N$2:$N$1000,"&lt;&gt;Won't Fix",'Debt Backlog'!$N$2:$N$1000,"&lt;&gt;Duplicate"),2))</f>
        <v/>
      </c>
    </row>
    <row r="331" customFormat="false" ht="15.75" hidden="false" customHeight="true" outlineLevel="0" collapsed="false">
      <c r="A331" s="125"/>
      <c r="B331" s="101"/>
      <c r="C331" s="101"/>
      <c r="D331" s="101"/>
      <c r="E331" s="101"/>
      <c r="F331" s="101"/>
      <c r="G331" s="101"/>
      <c r="H331" s="101"/>
      <c r="I331" s="106"/>
      <c r="J331" s="106"/>
      <c r="K331" s="106"/>
      <c r="L331" s="106"/>
      <c r="M331" s="106"/>
      <c r="N331" s="103" t="str">
        <f aca="false">IF(OR($B331="", $I331="", $J331="", $K331="", $L331="", $M331=""),"",ROUND(($I331*Lists!$AD$2)+($J331*Lists!$AD$3)+($K331*Lists!$AD$4)+($L331*Lists!$AD$5)+($M331*Lists!$AD$6),2))</f>
        <v/>
      </c>
      <c r="O331" s="103" t="str">
        <f aca="false">IF($A331="","",IFERROR(VLOOKUP($A331,'Risk Register'!$B$2:$I$1000,8,FALSE()),""))</f>
        <v/>
      </c>
      <c r="P331" s="106"/>
      <c r="Q331" s="106"/>
      <c r="R331" s="106"/>
      <c r="S331" s="106"/>
      <c r="T331" s="103" t="str">
        <f aca="false">IF(OR($B331="", $P331="", $Q331="", $R331="", $S331=""),"",ROUND(($P331*Lists!$AD$7)+($Q331*Lists!$AD$8)+($R331*Lists!$AD$9)+($S331*Lists!$AD$10),2))</f>
        <v/>
      </c>
      <c r="U331" s="106"/>
      <c r="V331" s="106"/>
      <c r="W331" s="106"/>
      <c r="X331" s="106"/>
      <c r="Y331" s="106"/>
      <c r="Z331" s="103" t="str">
        <f aca="false">IF(OR($B331="", $U331="", $V331="", $W331="", $X331="", $Y331=""),"",ROUND(($U331*Lists!$AD$11)+($V331*Lists!$AD$12)+($W331*Lists!$AD$13)+($X331*Lists!$AD$14)+($Y331*Lists!$AD$15),2))</f>
        <v/>
      </c>
      <c r="AA331" s="103" t="str">
        <f aca="false">IF(OR($B331="", $N331="", $O331="", $T331="", $Z331=""),"",ROUND(($N331*Lists!$AD$16)-($O331*Lists!$AD$17)-($T331*Lists!$AD$18)+($Z331*Lists!$AD$19),2))</f>
        <v/>
      </c>
      <c r="AB331" s="102" t="str">
        <f aca="false">IF(OR($B331="", $N331="", $Z331=""),"",IF($N331&gt;=Lists!$AG$2,IF($Z331&gt;=Lists!$AG$3,"Invest","Migrate"),IF($Z331&gt;=Lists!$AG$3,"Tolerate","Eliminate")))</f>
        <v/>
      </c>
      <c r="AC331" s="102" t="str">
        <f aca="false">IF($B331="","",IF($J331&gt;=4,"Yes",""))</f>
        <v/>
      </c>
      <c r="AD331" s="102" t="str">
        <f aca="false">IF($A331="","",IFERROR(IF(VLOOKUP($A331,'Risk Register'!$B$2:$H$1000,4,FALSE())&gt;=4,"Yes",""),""))</f>
        <v/>
      </c>
      <c r="AE331" s="102" t="str">
        <f aca="false">IF(OR($N331="", $O331=""),"",IF($N331&gt;=Lists!$AG$2,IF($O331&gt;=Lists!$AG$4,"High Value / High Risk","High Value / Low Risk"),IF($O331&gt;=Lists!$AG$4,"Low Value / High Risk","Low Value / Low Risk")))</f>
        <v/>
      </c>
      <c r="AF331" s="101"/>
      <c r="AG331" s="126"/>
      <c r="AH331" s="106" t="str">
        <f aca="false">IF($B331="","",COUNTIFS('Debt Backlog'!$AF$2:$AF$1000,$A331,'Debt Backlog'!$B$2:$B$1000,"&lt;&gt;",'Debt Backlog'!$N$2:$N$1000,"&lt;&gt;Done",'Debt Backlog'!$N$2:$N$1000,"&lt;&gt;Won't Fix",'Debt Backlog'!$N$2:$N$1000,"&lt;&gt;Duplicate"))</f>
        <v/>
      </c>
      <c r="AI331" s="103" t="str">
        <f aca="false">IF($B331="","",ROUND(SUMIFS('Debt Backlog'!$L$2:$L$1000,'Debt Backlog'!$AF$2:$AF$1000,$A331,'Debt Backlog'!$B$2:$B$1000,"&lt;&gt;",'Debt Backlog'!$N$2:$N$1000,"&lt;&gt;Done",'Debt Backlog'!$N$2:$N$1000,"&lt;&gt;Won't Fix",'Debt Backlog'!$N$2:$N$1000,"&lt;&gt;Duplicate"),2))</f>
        <v/>
      </c>
    </row>
    <row r="332" customFormat="false" ht="15.75" hidden="false" customHeight="true" outlineLevel="0" collapsed="false">
      <c r="A332" s="125"/>
      <c r="B332" s="101"/>
      <c r="C332" s="101"/>
      <c r="D332" s="101"/>
      <c r="E332" s="101"/>
      <c r="F332" s="101"/>
      <c r="G332" s="101"/>
      <c r="H332" s="101"/>
      <c r="I332" s="106"/>
      <c r="J332" s="106"/>
      <c r="K332" s="106"/>
      <c r="L332" s="106"/>
      <c r="M332" s="106"/>
      <c r="N332" s="103" t="str">
        <f aca="false">IF(OR($B332="", $I332="", $J332="", $K332="", $L332="", $M332=""),"",ROUND(($I332*Lists!$AD$2)+($J332*Lists!$AD$3)+($K332*Lists!$AD$4)+($L332*Lists!$AD$5)+($M332*Lists!$AD$6),2))</f>
        <v/>
      </c>
      <c r="O332" s="103" t="str">
        <f aca="false">IF($A332="","",IFERROR(VLOOKUP($A332,'Risk Register'!$B$2:$I$1000,8,FALSE()),""))</f>
        <v/>
      </c>
      <c r="P332" s="106"/>
      <c r="Q332" s="106"/>
      <c r="R332" s="106"/>
      <c r="S332" s="106"/>
      <c r="T332" s="103" t="str">
        <f aca="false">IF(OR($B332="", $P332="", $Q332="", $R332="", $S332=""),"",ROUND(($P332*Lists!$AD$7)+($Q332*Lists!$AD$8)+($R332*Lists!$AD$9)+($S332*Lists!$AD$10),2))</f>
        <v/>
      </c>
      <c r="U332" s="106"/>
      <c r="V332" s="106"/>
      <c r="W332" s="106"/>
      <c r="X332" s="106"/>
      <c r="Y332" s="106"/>
      <c r="Z332" s="103" t="str">
        <f aca="false">IF(OR($B332="", $U332="", $V332="", $W332="", $X332="", $Y332=""),"",ROUND(($U332*Lists!$AD$11)+($V332*Lists!$AD$12)+($W332*Lists!$AD$13)+($X332*Lists!$AD$14)+($Y332*Lists!$AD$15),2))</f>
        <v/>
      </c>
      <c r="AA332" s="103" t="str">
        <f aca="false">IF(OR($B332="", $N332="", $O332="", $T332="", $Z332=""),"",ROUND(($N332*Lists!$AD$16)-($O332*Lists!$AD$17)-($T332*Lists!$AD$18)+($Z332*Lists!$AD$19),2))</f>
        <v/>
      </c>
      <c r="AB332" s="102" t="str">
        <f aca="false">IF(OR($B332="", $N332="", $Z332=""),"",IF($N332&gt;=Lists!$AG$2,IF($Z332&gt;=Lists!$AG$3,"Invest","Migrate"),IF($Z332&gt;=Lists!$AG$3,"Tolerate","Eliminate")))</f>
        <v/>
      </c>
      <c r="AC332" s="102" t="str">
        <f aca="false">IF($B332="","",IF($J332&gt;=4,"Yes",""))</f>
        <v/>
      </c>
      <c r="AD332" s="102" t="str">
        <f aca="false">IF($A332="","",IFERROR(IF(VLOOKUP($A332,'Risk Register'!$B$2:$H$1000,4,FALSE())&gt;=4,"Yes",""),""))</f>
        <v/>
      </c>
      <c r="AE332" s="102" t="str">
        <f aca="false">IF(OR($N332="", $O332=""),"",IF($N332&gt;=Lists!$AG$2,IF($O332&gt;=Lists!$AG$4,"High Value / High Risk","High Value / Low Risk"),IF($O332&gt;=Lists!$AG$4,"Low Value / High Risk","Low Value / Low Risk")))</f>
        <v/>
      </c>
      <c r="AF332" s="101"/>
      <c r="AG332" s="126"/>
      <c r="AH332" s="106" t="str">
        <f aca="false">IF($B332="","",COUNTIFS('Debt Backlog'!$AF$2:$AF$1000,$A332,'Debt Backlog'!$B$2:$B$1000,"&lt;&gt;",'Debt Backlog'!$N$2:$N$1000,"&lt;&gt;Done",'Debt Backlog'!$N$2:$N$1000,"&lt;&gt;Won't Fix",'Debt Backlog'!$N$2:$N$1000,"&lt;&gt;Duplicate"))</f>
        <v/>
      </c>
      <c r="AI332" s="103" t="str">
        <f aca="false">IF($B332="","",ROUND(SUMIFS('Debt Backlog'!$L$2:$L$1000,'Debt Backlog'!$AF$2:$AF$1000,$A332,'Debt Backlog'!$B$2:$B$1000,"&lt;&gt;",'Debt Backlog'!$N$2:$N$1000,"&lt;&gt;Done",'Debt Backlog'!$N$2:$N$1000,"&lt;&gt;Won't Fix",'Debt Backlog'!$N$2:$N$1000,"&lt;&gt;Duplicate"),2))</f>
        <v/>
      </c>
    </row>
    <row r="333" customFormat="false" ht="15.75" hidden="false" customHeight="true" outlineLevel="0" collapsed="false">
      <c r="A333" s="125"/>
      <c r="B333" s="101"/>
      <c r="C333" s="101"/>
      <c r="D333" s="101"/>
      <c r="E333" s="101"/>
      <c r="F333" s="101"/>
      <c r="G333" s="101"/>
      <c r="H333" s="101"/>
      <c r="I333" s="106"/>
      <c r="J333" s="106"/>
      <c r="K333" s="106"/>
      <c r="L333" s="106"/>
      <c r="M333" s="106"/>
      <c r="N333" s="103" t="str">
        <f aca="false">IF(OR($B333="", $I333="", $J333="", $K333="", $L333="", $M333=""),"",ROUND(($I333*Lists!$AD$2)+($J333*Lists!$AD$3)+($K333*Lists!$AD$4)+($L333*Lists!$AD$5)+($M333*Lists!$AD$6),2))</f>
        <v/>
      </c>
      <c r="O333" s="103" t="str">
        <f aca="false">IF($A333="","",IFERROR(VLOOKUP($A333,'Risk Register'!$B$2:$I$1000,8,FALSE()),""))</f>
        <v/>
      </c>
      <c r="P333" s="106"/>
      <c r="Q333" s="106"/>
      <c r="R333" s="106"/>
      <c r="S333" s="106"/>
      <c r="T333" s="103" t="str">
        <f aca="false">IF(OR($B333="", $P333="", $Q333="", $R333="", $S333=""),"",ROUND(($P333*Lists!$AD$7)+($Q333*Lists!$AD$8)+($R333*Lists!$AD$9)+($S333*Lists!$AD$10),2))</f>
        <v/>
      </c>
      <c r="U333" s="106"/>
      <c r="V333" s="106"/>
      <c r="W333" s="106"/>
      <c r="X333" s="106"/>
      <c r="Y333" s="106"/>
      <c r="Z333" s="103" t="str">
        <f aca="false">IF(OR($B333="", $U333="", $V333="", $W333="", $X333="", $Y333=""),"",ROUND(($U333*Lists!$AD$11)+($V333*Lists!$AD$12)+($W333*Lists!$AD$13)+($X333*Lists!$AD$14)+($Y333*Lists!$AD$15),2))</f>
        <v/>
      </c>
      <c r="AA333" s="103" t="str">
        <f aca="false">IF(OR($B333="", $N333="", $O333="", $T333="", $Z333=""),"",ROUND(($N333*Lists!$AD$16)-($O333*Lists!$AD$17)-($T333*Lists!$AD$18)+($Z333*Lists!$AD$19),2))</f>
        <v/>
      </c>
      <c r="AB333" s="102" t="str">
        <f aca="false">IF(OR($B333="", $N333="", $Z333=""),"",IF($N333&gt;=Lists!$AG$2,IF($Z333&gt;=Lists!$AG$3,"Invest","Migrate"),IF($Z333&gt;=Lists!$AG$3,"Tolerate","Eliminate")))</f>
        <v/>
      </c>
      <c r="AC333" s="102" t="str">
        <f aca="false">IF($B333="","",IF($J333&gt;=4,"Yes",""))</f>
        <v/>
      </c>
      <c r="AD333" s="102" t="str">
        <f aca="false">IF($A333="","",IFERROR(IF(VLOOKUP($A333,'Risk Register'!$B$2:$H$1000,4,FALSE())&gt;=4,"Yes",""),""))</f>
        <v/>
      </c>
      <c r="AE333" s="102" t="str">
        <f aca="false">IF(OR($N333="", $O333=""),"",IF($N333&gt;=Lists!$AG$2,IF($O333&gt;=Lists!$AG$4,"High Value / High Risk","High Value / Low Risk"),IF($O333&gt;=Lists!$AG$4,"Low Value / High Risk","Low Value / Low Risk")))</f>
        <v/>
      </c>
      <c r="AF333" s="101"/>
      <c r="AG333" s="126"/>
      <c r="AH333" s="106" t="str">
        <f aca="false">IF($B333="","",COUNTIFS('Debt Backlog'!$AF$2:$AF$1000,$A333,'Debt Backlog'!$B$2:$B$1000,"&lt;&gt;",'Debt Backlog'!$N$2:$N$1000,"&lt;&gt;Done",'Debt Backlog'!$N$2:$N$1000,"&lt;&gt;Won't Fix",'Debt Backlog'!$N$2:$N$1000,"&lt;&gt;Duplicate"))</f>
        <v/>
      </c>
      <c r="AI333" s="103" t="str">
        <f aca="false">IF($B333="","",ROUND(SUMIFS('Debt Backlog'!$L$2:$L$1000,'Debt Backlog'!$AF$2:$AF$1000,$A333,'Debt Backlog'!$B$2:$B$1000,"&lt;&gt;",'Debt Backlog'!$N$2:$N$1000,"&lt;&gt;Done",'Debt Backlog'!$N$2:$N$1000,"&lt;&gt;Won't Fix",'Debt Backlog'!$N$2:$N$1000,"&lt;&gt;Duplicate"),2))</f>
        <v/>
      </c>
    </row>
    <row r="334" customFormat="false" ht="15.75" hidden="false" customHeight="true" outlineLevel="0" collapsed="false">
      <c r="A334" s="125"/>
      <c r="B334" s="101"/>
      <c r="C334" s="101"/>
      <c r="D334" s="101"/>
      <c r="E334" s="101"/>
      <c r="F334" s="101"/>
      <c r="G334" s="101"/>
      <c r="H334" s="101"/>
      <c r="I334" s="106"/>
      <c r="J334" s="106"/>
      <c r="K334" s="106"/>
      <c r="L334" s="106"/>
      <c r="M334" s="106"/>
      <c r="N334" s="103" t="str">
        <f aca="false">IF(OR($B334="", $I334="", $J334="", $K334="", $L334="", $M334=""),"",ROUND(($I334*Lists!$AD$2)+($J334*Lists!$AD$3)+($K334*Lists!$AD$4)+($L334*Lists!$AD$5)+($M334*Lists!$AD$6),2))</f>
        <v/>
      </c>
      <c r="O334" s="103" t="str">
        <f aca="false">IF($A334="","",IFERROR(VLOOKUP($A334,'Risk Register'!$B$2:$I$1000,8,FALSE()),""))</f>
        <v/>
      </c>
      <c r="P334" s="106"/>
      <c r="Q334" s="106"/>
      <c r="R334" s="106"/>
      <c r="S334" s="106"/>
      <c r="T334" s="103" t="str">
        <f aca="false">IF(OR($B334="", $P334="", $Q334="", $R334="", $S334=""),"",ROUND(($P334*Lists!$AD$7)+($Q334*Lists!$AD$8)+($R334*Lists!$AD$9)+($S334*Lists!$AD$10),2))</f>
        <v/>
      </c>
      <c r="U334" s="106"/>
      <c r="V334" s="106"/>
      <c r="W334" s="106"/>
      <c r="X334" s="106"/>
      <c r="Y334" s="106"/>
      <c r="Z334" s="103" t="str">
        <f aca="false">IF(OR($B334="", $U334="", $V334="", $W334="", $X334="", $Y334=""),"",ROUND(($U334*Lists!$AD$11)+($V334*Lists!$AD$12)+($W334*Lists!$AD$13)+($X334*Lists!$AD$14)+($Y334*Lists!$AD$15),2))</f>
        <v/>
      </c>
      <c r="AA334" s="103" t="str">
        <f aca="false">IF(OR($B334="", $N334="", $O334="", $T334="", $Z334=""),"",ROUND(($N334*Lists!$AD$16)-($O334*Lists!$AD$17)-($T334*Lists!$AD$18)+($Z334*Lists!$AD$19),2))</f>
        <v/>
      </c>
      <c r="AB334" s="102" t="str">
        <f aca="false">IF(OR($B334="", $N334="", $Z334=""),"",IF($N334&gt;=Lists!$AG$2,IF($Z334&gt;=Lists!$AG$3,"Invest","Migrate"),IF($Z334&gt;=Lists!$AG$3,"Tolerate","Eliminate")))</f>
        <v/>
      </c>
      <c r="AC334" s="102" t="str">
        <f aca="false">IF($B334="","",IF($J334&gt;=4,"Yes",""))</f>
        <v/>
      </c>
      <c r="AD334" s="102" t="str">
        <f aca="false">IF($A334="","",IFERROR(IF(VLOOKUP($A334,'Risk Register'!$B$2:$H$1000,4,FALSE())&gt;=4,"Yes",""),""))</f>
        <v/>
      </c>
      <c r="AE334" s="102" t="str">
        <f aca="false">IF(OR($N334="", $O334=""),"",IF($N334&gt;=Lists!$AG$2,IF($O334&gt;=Lists!$AG$4,"High Value / High Risk","High Value / Low Risk"),IF($O334&gt;=Lists!$AG$4,"Low Value / High Risk","Low Value / Low Risk")))</f>
        <v/>
      </c>
      <c r="AF334" s="101"/>
      <c r="AG334" s="126"/>
      <c r="AH334" s="106" t="str">
        <f aca="false">IF($B334="","",COUNTIFS('Debt Backlog'!$AF$2:$AF$1000,$A334,'Debt Backlog'!$B$2:$B$1000,"&lt;&gt;",'Debt Backlog'!$N$2:$N$1000,"&lt;&gt;Done",'Debt Backlog'!$N$2:$N$1000,"&lt;&gt;Won't Fix",'Debt Backlog'!$N$2:$N$1000,"&lt;&gt;Duplicate"))</f>
        <v/>
      </c>
      <c r="AI334" s="103" t="str">
        <f aca="false">IF($B334="","",ROUND(SUMIFS('Debt Backlog'!$L$2:$L$1000,'Debt Backlog'!$AF$2:$AF$1000,$A334,'Debt Backlog'!$B$2:$B$1000,"&lt;&gt;",'Debt Backlog'!$N$2:$N$1000,"&lt;&gt;Done",'Debt Backlog'!$N$2:$N$1000,"&lt;&gt;Won't Fix",'Debt Backlog'!$N$2:$N$1000,"&lt;&gt;Duplicate"),2))</f>
        <v/>
      </c>
    </row>
    <row r="335" customFormat="false" ht="15.75" hidden="false" customHeight="true" outlineLevel="0" collapsed="false">
      <c r="A335" s="125"/>
      <c r="B335" s="101"/>
      <c r="C335" s="101"/>
      <c r="D335" s="101"/>
      <c r="E335" s="101"/>
      <c r="F335" s="101"/>
      <c r="G335" s="101"/>
      <c r="H335" s="101"/>
      <c r="I335" s="106"/>
      <c r="J335" s="106"/>
      <c r="K335" s="106"/>
      <c r="L335" s="106"/>
      <c r="M335" s="106"/>
      <c r="N335" s="103" t="str">
        <f aca="false">IF(OR($B335="", $I335="", $J335="", $K335="", $L335="", $M335=""),"",ROUND(($I335*Lists!$AD$2)+($J335*Lists!$AD$3)+($K335*Lists!$AD$4)+($L335*Lists!$AD$5)+($M335*Lists!$AD$6),2))</f>
        <v/>
      </c>
      <c r="O335" s="103" t="str">
        <f aca="false">IF($A335="","",IFERROR(VLOOKUP($A335,'Risk Register'!$B$2:$I$1000,8,FALSE()),""))</f>
        <v/>
      </c>
      <c r="P335" s="106"/>
      <c r="Q335" s="106"/>
      <c r="R335" s="106"/>
      <c r="S335" s="106"/>
      <c r="T335" s="103" t="str">
        <f aca="false">IF(OR($B335="", $P335="", $Q335="", $R335="", $S335=""),"",ROUND(($P335*Lists!$AD$7)+($Q335*Lists!$AD$8)+($R335*Lists!$AD$9)+($S335*Lists!$AD$10),2))</f>
        <v/>
      </c>
      <c r="U335" s="106"/>
      <c r="V335" s="106"/>
      <c r="W335" s="106"/>
      <c r="X335" s="106"/>
      <c r="Y335" s="106"/>
      <c r="Z335" s="103" t="str">
        <f aca="false">IF(OR($B335="", $U335="", $V335="", $W335="", $X335="", $Y335=""),"",ROUND(($U335*Lists!$AD$11)+($V335*Lists!$AD$12)+($W335*Lists!$AD$13)+($X335*Lists!$AD$14)+($Y335*Lists!$AD$15),2))</f>
        <v/>
      </c>
      <c r="AA335" s="103" t="str">
        <f aca="false">IF(OR($B335="", $N335="", $O335="", $T335="", $Z335=""),"",ROUND(($N335*Lists!$AD$16)-($O335*Lists!$AD$17)-($T335*Lists!$AD$18)+($Z335*Lists!$AD$19),2))</f>
        <v/>
      </c>
      <c r="AB335" s="102" t="str">
        <f aca="false">IF(OR($B335="", $N335="", $Z335=""),"",IF($N335&gt;=Lists!$AG$2,IF($Z335&gt;=Lists!$AG$3,"Invest","Migrate"),IF($Z335&gt;=Lists!$AG$3,"Tolerate","Eliminate")))</f>
        <v/>
      </c>
      <c r="AC335" s="102" t="str">
        <f aca="false">IF($B335="","",IF($J335&gt;=4,"Yes",""))</f>
        <v/>
      </c>
      <c r="AD335" s="102" t="str">
        <f aca="false">IF($A335="","",IFERROR(IF(VLOOKUP($A335,'Risk Register'!$B$2:$H$1000,4,FALSE())&gt;=4,"Yes",""),""))</f>
        <v/>
      </c>
      <c r="AE335" s="102" t="str">
        <f aca="false">IF(OR($N335="", $O335=""),"",IF($N335&gt;=Lists!$AG$2,IF($O335&gt;=Lists!$AG$4,"High Value / High Risk","High Value / Low Risk"),IF($O335&gt;=Lists!$AG$4,"Low Value / High Risk","Low Value / Low Risk")))</f>
        <v/>
      </c>
      <c r="AF335" s="101"/>
      <c r="AG335" s="126"/>
      <c r="AH335" s="106" t="str">
        <f aca="false">IF($B335="","",COUNTIFS('Debt Backlog'!$AF$2:$AF$1000,$A335,'Debt Backlog'!$B$2:$B$1000,"&lt;&gt;",'Debt Backlog'!$N$2:$N$1000,"&lt;&gt;Done",'Debt Backlog'!$N$2:$N$1000,"&lt;&gt;Won't Fix",'Debt Backlog'!$N$2:$N$1000,"&lt;&gt;Duplicate"))</f>
        <v/>
      </c>
      <c r="AI335" s="103" t="str">
        <f aca="false">IF($B335="","",ROUND(SUMIFS('Debt Backlog'!$L$2:$L$1000,'Debt Backlog'!$AF$2:$AF$1000,$A335,'Debt Backlog'!$B$2:$B$1000,"&lt;&gt;",'Debt Backlog'!$N$2:$N$1000,"&lt;&gt;Done",'Debt Backlog'!$N$2:$N$1000,"&lt;&gt;Won't Fix",'Debt Backlog'!$N$2:$N$1000,"&lt;&gt;Duplicate"),2))</f>
        <v/>
      </c>
    </row>
    <row r="336" customFormat="false" ht="15.75" hidden="false" customHeight="true" outlineLevel="0" collapsed="false">
      <c r="A336" s="125"/>
      <c r="B336" s="101"/>
      <c r="C336" s="101"/>
      <c r="D336" s="101"/>
      <c r="E336" s="101"/>
      <c r="F336" s="101"/>
      <c r="G336" s="101"/>
      <c r="H336" s="101"/>
      <c r="I336" s="106"/>
      <c r="J336" s="106"/>
      <c r="K336" s="106"/>
      <c r="L336" s="106"/>
      <c r="M336" s="106"/>
      <c r="N336" s="103" t="str">
        <f aca="false">IF(OR($B336="", $I336="", $J336="", $K336="", $L336="", $M336=""),"",ROUND(($I336*Lists!$AD$2)+($J336*Lists!$AD$3)+($K336*Lists!$AD$4)+($L336*Lists!$AD$5)+($M336*Lists!$AD$6),2))</f>
        <v/>
      </c>
      <c r="O336" s="103" t="str">
        <f aca="false">IF($A336="","",IFERROR(VLOOKUP($A336,'Risk Register'!$B$2:$I$1000,8,FALSE()),""))</f>
        <v/>
      </c>
      <c r="P336" s="106"/>
      <c r="Q336" s="106"/>
      <c r="R336" s="106"/>
      <c r="S336" s="106"/>
      <c r="T336" s="103" t="str">
        <f aca="false">IF(OR($B336="", $P336="", $Q336="", $R336="", $S336=""),"",ROUND(($P336*Lists!$AD$7)+($Q336*Lists!$AD$8)+($R336*Lists!$AD$9)+($S336*Lists!$AD$10),2))</f>
        <v/>
      </c>
      <c r="U336" s="106"/>
      <c r="V336" s="106"/>
      <c r="W336" s="106"/>
      <c r="X336" s="106"/>
      <c r="Y336" s="106"/>
      <c r="Z336" s="103" t="str">
        <f aca="false">IF(OR($B336="", $U336="", $V336="", $W336="", $X336="", $Y336=""),"",ROUND(($U336*Lists!$AD$11)+($V336*Lists!$AD$12)+($W336*Lists!$AD$13)+($X336*Lists!$AD$14)+($Y336*Lists!$AD$15),2))</f>
        <v/>
      </c>
      <c r="AA336" s="103" t="str">
        <f aca="false">IF(OR($B336="", $N336="", $O336="", $T336="", $Z336=""),"",ROUND(($N336*Lists!$AD$16)-($O336*Lists!$AD$17)-($T336*Lists!$AD$18)+($Z336*Lists!$AD$19),2))</f>
        <v/>
      </c>
      <c r="AB336" s="102" t="str">
        <f aca="false">IF(OR($B336="", $N336="", $Z336=""),"",IF($N336&gt;=Lists!$AG$2,IF($Z336&gt;=Lists!$AG$3,"Invest","Migrate"),IF($Z336&gt;=Lists!$AG$3,"Tolerate","Eliminate")))</f>
        <v/>
      </c>
      <c r="AC336" s="102" t="str">
        <f aca="false">IF($B336="","",IF($J336&gt;=4,"Yes",""))</f>
        <v/>
      </c>
      <c r="AD336" s="102" t="str">
        <f aca="false">IF($A336="","",IFERROR(IF(VLOOKUP($A336,'Risk Register'!$B$2:$H$1000,4,FALSE())&gt;=4,"Yes",""),""))</f>
        <v/>
      </c>
      <c r="AE336" s="102" t="str">
        <f aca="false">IF(OR($N336="", $O336=""),"",IF($N336&gt;=Lists!$AG$2,IF($O336&gt;=Lists!$AG$4,"High Value / High Risk","High Value / Low Risk"),IF($O336&gt;=Lists!$AG$4,"Low Value / High Risk","Low Value / Low Risk")))</f>
        <v/>
      </c>
      <c r="AF336" s="101"/>
      <c r="AG336" s="126"/>
      <c r="AH336" s="106" t="str">
        <f aca="false">IF($B336="","",COUNTIFS('Debt Backlog'!$AF$2:$AF$1000,$A336,'Debt Backlog'!$B$2:$B$1000,"&lt;&gt;",'Debt Backlog'!$N$2:$N$1000,"&lt;&gt;Done",'Debt Backlog'!$N$2:$N$1000,"&lt;&gt;Won't Fix",'Debt Backlog'!$N$2:$N$1000,"&lt;&gt;Duplicate"))</f>
        <v/>
      </c>
      <c r="AI336" s="103" t="str">
        <f aca="false">IF($B336="","",ROUND(SUMIFS('Debt Backlog'!$L$2:$L$1000,'Debt Backlog'!$AF$2:$AF$1000,$A336,'Debt Backlog'!$B$2:$B$1000,"&lt;&gt;",'Debt Backlog'!$N$2:$N$1000,"&lt;&gt;Done",'Debt Backlog'!$N$2:$N$1000,"&lt;&gt;Won't Fix",'Debt Backlog'!$N$2:$N$1000,"&lt;&gt;Duplicate"),2))</f>
        <v/>
      </c>
    </row>
    <row r="337" customFormat="false" ht="15.75" hidden="false" customHeight="true" outlineLevel="0" collapsed="false">
      <c r="A337" s="125"/>
      <c r="B337" s="101"/>
      <c r="C337" s="101"/>
      <c r="D337" s="101"/>
      <c r="E337" s="101"/>
      <c r="F337" s="101"/>
      <c r="G337" s="101"/>
      <c r="H337" s="101"/>
      <c r="I337" s="106"/>
      <c r="J337" s="106"/>
      <c r="K337" s="106"/>
      <c r="L337" s="106"/>
      <c r="M337" s="106"/>
      <c r="N337" s="103" t="str">
        <f aca="false">IF(OR($B337="", $I337="", $J337="", $K337="", $L337="", $M337=""),"",ROUND(($I337*Lists!$AD$2)+($J337*Lists!$AD$3)+($K337*Lists!$AD$4)+($L337*Lists!$AD$5)+($M337*Lists!$AD$6),2))</f>
        <v/>
      </c>
      <c r="O337" s="103" t="str">
        <f aca="false">IF($A337="","",IFERROR(VLOOKUP($A337,'Risk Register'!$B$2:$I$1000,8,FALSE()),""))</f>
        <v/>
      </c>
      <c r="P337" s="106"/>
      <c r="Q337" s="106"/>
      <c r="R337" s="106"/>
      <c r="S337" s="106"/>
      <c r="T337" s="103" t="str">
        <f aca="false">IF(OR($B337="", $P337="", $Q337="", $R337="", $S337=""),"",ROUND(($P337*Lists!$AD$7)+($Q337*Lists!$AD$8)+($R337*Lists!$AD$9)+($S337*Lists!$AD$10),2))</f>
        <v/>
      </c>
      <c r="U337" s="106"/>
      <c r="V337" s="106"/>
      <c r="W337" s="106"/>
      <c r="X337" s="106"/>
      <c r="Y337" s="106"/>
      <c r="Z337" s="103" t="str">
        <f aca="false">IF(OR($B337="", $U337="", $V337="", $W337="", $X337="", $Y337=""),"",ROUND(($U337*Lists!$AD$11)+($V337*Lists!$AD$12)+($W337*Lists!$AD$13)+($X337*Lists!$AD$14)+($Y337*Lists!$AD$15),2))</f>
        <v/>
      </c>
      <c r="AA337" s="103" t="str">
        <f aca="false">IF(OR($B337="", $N337="", $O337="", $T337="", $Z337=""),"",ROUND(($N337*Lists!$AD$16)-($O337*Lists!$AD$17)-($T337*Lists!$AD$18)+($Z337*Lists!$AD$19),2))</f>
        <v/>
      </c>
      <c r="AB337" s="102" t="str">
        <f aca="false">IF(OR($B337="", $N337="", $Z337=""),"",IF($N337&gt;=Lists!$AG$2,IF($Z337&gt;=Lists!$AG$3,"Invest","Migrate"),IF($Z337&gt;=Lists!$AG$3,"Tolerate","Eliminate")))</f>
        <v/>
      </c>
      <c r="AC337" s="102" t="str">
        <f aca="false">IF($B337="","",IF($J337&gt;=4,"Yes",""))</f>
        <v/>
      </c>
      <c r="AD337" s="102" t="str">
        <f aca="false">IF($A337="","",IFERROR(IF(VLOOKUP($A337,'Risk Register'!$B$2:$H$1000,4,FALSE())&gt;=4,"Yes",""),""))</f>
        <v/>
      </c>
      <c r="AE337" s="102" t="str">
        <f aca="false">IF(OR($N337="", $O337=""),"",IF($N337&gt;=Lists!$AG$2,IF($O337&gt;=Lists!$AG$4,"High Value / High Risk","High Value / Low Risk"),IF($O337&gt;=Lists!$AG$4,"Low Value / High Risk","Low Value / Low Risk")))</f>
        <v/>
      </c>
      <c r="AF337" s="101"/>
      <c r="AG337" s="126"/>
      <c r="AH337" s="106" t="str">
        <f aca="false">IF($B337="","",COUNTIFS('Debt Backlog'!$AF$2:$AF$1000,$A337,'Debt Backlog'!$B$2:$B$1000,"&lt;&gt;",'Debt Backlog'!$N$2:$N$1000,"&lt;&gt;Done",'Debt Backlog'!$N$2:$N$1000,"&lt;&gt;Won't Fix",'Debt Backlog'!$N$2:$N$1000,"&lt;&gt;Duplicate"))</f>
        <v/>
      </c>
      <c r="AI337" s="103" t="str">
        <f aca="false">IF($B337="","",ROUND(SUMIFS('Debt Backlog'!$L$2:$L$1000,'Debt Backlog'!$AF$2:$AF$1000,$A337,'Debt Backlog'!$B$2:$B$1000,"&lt;&gt;",'Debt Backlog'!$N$2:$N$1000,"&lt;&gt;Done",'Debt Backlog'!$N$2:$N$1000,"&lt;&gt;Won't Fix",'Debt Backlog'!$N$2:$N$1000,"&lt;&gt;Duplicate"),2))</f>
        <v/>
      </c>
    </row>
    <row r="338" customFormat="false" ht="15.75" hidden="false" customHeight="true" outlineLevel="0" collapsed="false">
      <c r="A338" s="125"/>
      <c r="B338" s="101"/>
      <c r="C338" s="101"/>
      <c r="D338" s="101"/>
      <c r="E338" s="101"/>
      <c r="F338" s="101"/>
      <c r="G338" s="101"/>
      <c r="H338" s="101"/>
      <c r="I338" s="106"/>
      <c r="J338" s="106"/>
      <c r="K338" s="106"/>
      <c r="L338" s="106"/>
      <c r="M338" s="106"/>
      <c r="N338" s="103" t="str">
        <f aca="false">IF(OR($B338="", $I338="", $J338="", $K338="", $L338="", $M338=""),"",ROUND(($I338*Lists!$AD$2)+($J338*Lists!$AD$3)+($K338*Lists!$AD$4)+($L338*Lists!$AD$5)+($M338*Lists!$AD$6),2))</f>
        <v/>
      </c>
      <c r="O338" s="103" t="str">
        <f aca="false">IF($A338="","",IFERROR(VLOOKUP($A338,'Risk Register'!$B$2:$I$1000,8,FALSE()),""))</f>
        <v/>
      </c>
      <c r="P338" s="106"/>
      <c r="Q338" s="106"/>
      <c r="R338" s="106"/>
      <c r="S338" s="106"/>
      <c r="T338" s="103" t="str">
        <f aca="false">IF(OR($B338="", $P338="", $Q338="", $R338="", $S338=""),"",ROUND(($P338*Lists!$AD$7)+($Q338*Lists!$AD$8)+($R338*Lists!$AD$9)+($S338*Lists!$AD$10),2))</f>
        <v/>
      </c>
      <c r="U338" s="106"/>
      <c r="V338" s="106"/>
      <c r="W338" s="106"/>
      <c r="X338" s="106"/>
      <c r="Y338" s="106"/>
      <c r="Z338" s="103" t="str">
        <f aca="false">IF(OR($B338="", $U338="", $V338="", $W338="", $X338="", $Y338=""),"",ROUND(($U338*Lists!$AD$11)+($V338*Lists!$AD$12)+($W338*Lists!$AD$13)+($X338*Lists!$AD$14)+($Y338*Lists!$AD$15),2))</f>
        <v/>
      </c>
      <c r="AA338" s="103" t="str">
        <f aca="false">IF(OR($B338="", $N338="", $O338="", $T338="", $Z338=""),"",ROUND(($N338*Lists!$AD$16)-($O338*Lists!$AD$17)-($T338*Lists!$AD$18)+($Z338*Lists!$AD$19),2))</f>
        <v/>
      </c>
      <c r="AB338" s="102" t="str">
        <f aca="false">IF(OR($B338="", $N338="", $Z338=""),"",IF($N338&gt;=Lists!$AG$2,IF($Z338&gt;=Lists!$AG$3,"Invest","Migrate"),IF($Z338&gt;=Lists!$AG$3,"Tolerate","Eliminate")))</f>
        <v/>
      </c>
      <c r="AC338" s="102" t="str">
        <f aca="false">IF($B338="","",IF($J338&gt;=4,"Yes",""))</f>
        <v/>
      </c>
      <c r="AD338" s="102" t="str">
        <f aca="false">IF($A338="","",IFERROR(IF(VLOOKUP($A338,'Risk Register'!$B$2:$H$1000,4,FALSE())&gt;=4,"Yes",""),""))</f>
        <v/>
      </c>
      <c r="AE338" s="102" t="str">
        <f aca="false">IF(OR($N338="", $O338=""),"",IF($N338&gt;=Lists!$AG$2,IF($O338&gt;=Lists!$AG$4,"High Value / High Risk","High Value / Low Risk"),IF($O338&gt;=Lists!$AG$4,"Low Value / High Risk","Low Value / Low Risk")))</f>
        <v/>
      </c>
      <c r="AF338" s="101"/>
      <c r="AG338" s="126"/>
      <c r="AH338" s="106" t="str">
        <f aca="false">IF($B338="","",COUNTIFS('Debt Backlog'!$AF$2:$AF$1000,$A338,'Debt Backlog'!$B$2:$B$1000,"&lt;&gt;",'Debt Backlog'!$N$2:$N$1000,"&lt;&gt;Done",'Debt Backlog'!$N$2:$N$1000,"&lt;&gt;Won't Fix",'Debt Backlog'!$N$2:$N$1000,"&lt;&gt;Duplicate"))</f>
        <v/>
      </c>
      <c r="AI338" s="103" t="str">
        <f aca="false">IF($B338="","",ROUND(SUMIFS('Debt Backlog'!$L$2:$L$1000,'Debt Backlog'!$AF$2:$AF$1000,$A338,'Debt Backlog'!$B$2:$B$1000,"&lt;&gt;",'Debt Backlog'!$N$2:$N$1000,"&lt;&gt;Done",'Debt Backlog'!$N$2:$N$1000,"&lt;&gt;Won't Fix",'Debt Backlog'!$N$2:$N$1000,"&lt;&gt;Duplicate"),2))</f>
        <v/>
      </c>
    </row>
    <row r="339" customFormat="false" ht="15.75" hidden="false" customHeight="true" outlineLevel="0" collapsed="false">
      <c r="A339" s="125"/>
      <c r="B339" s="101"/>
      <c r="C339" s="101"/>
      <c r="D339" s="101"/>
      <c r="E339" s="101"/>
      <c r="F339" s="101"/>
      <c r="G339" s="101"/>
      <c r="H339" s="101"/>
      <c r="I339" s="106"/>
      <c r="J339" s="106"/>
      <c r="K339" s="106"/>
      <c r="L339" s="106"/>
      <c r="M339" s="106"/>
      <c r="N339" s="103" t="str">
        <f aca="false">IF(OR($B339="", $I339="", $J339="", $K339="", $L339="", $M339=""),"",ROUND(($I339*Lists!$AD$2)+($J339*Lists!$AD$3)+($K339*Lists!$AD$4)+($L339*Lists!$AD$5)+($M339*Lists!$AD$6),2))</f>
        <v/>
      </c>
      <c r="O339" s="103" t="str">
        <f aca="false">IF($A339="","",IFERROR(VLOOKUP($A339,'Risk Register'!$B$2:$I$1000,8,FALSE()),""))</f>
        <v/>
      </c>
      <c r="P339" s="106"/>
      <c r="Q339" s="106"/>
      <c r="R339" s="106"/>
      <c r="S339" s="106"/>
      <c r="T339" s="103" t="str">
        <f aca="false">IF(OR($B339="", $P339="", $Q339="", $R339="", $S339=""),"",ROUND(($P339*Lists!$AD$7)+($Q339*Lists!$AD$8)+($R339*Lists!$AD$9)+($S339*Lists!$AD$10),2))</f>
        <v/>
      </c>
      <c r="U339" s="106"/>
      <c r="V339" s="106"/>
      <c r="W339" s="106"/>
      <c r="X339" s="106"/>
      <c r="Y339" s="106"/>
      <c r="Z339" s="103" t="str">
        <f aca="false">IF(OR($B339="", $U339="", $V339="", $W339="", $X339="", $Y339=""),"",ROUND(($U339*Lists!$AD$11)+($V339*Lists!$AD$12)+($W339*Lists!$AD$13)+($X339*Lists!$AD$14)+($Y339*Lists!$AD$15),2))</f>
        <v/>
      </c>
      <c r="AA339" s="103" t="str">
        <f aca="false">IF(OR($B339="", $N339="", $O339="", $T339="", $Z339=""),"",ROUND(($N339*Lists!$AD$16)-($O339*Lists!$AD$17)-($T339*Lists!$AD$18)+($Z339*Lists!$AD$19),2))</f>
        <v/>
      </c>
      <c r="AB339" s="102" t="str">
        <f aca="false">IF(OR($B339="", $N339="", $Z339=""),"",IF($N339&gt;=Lists!$AG$2,IF($Z339&gt;=Lists!$AG$3,"Invest","Migrate"),IF($Z339&gt;=Lists!$AG$3,"Tolerate","Eliminate")))</f>
        <v/>
      </c>
      <c r="AC339" s="102" t="str">
        <f aca="false">IF($B339="","",IF($J339&gt;=4,"Yes",""))</f>
        <v/>
      </c>
      <c r="AD339" s="102" t="str">
        <f aca="false">IF($A339="","",IFERROR(IF(VLOOKUP($A339,'Risk Register'!$B$2:$H$1000,4,FALSE())&gt;=4,"Yes",""),""))</f>
        <v/>
      </c>
      <c r="AE339" s="102" t="str">
        <f aca="false">IF(OR($N339="", $O339=""),"",IF($N339&gt;=Lists!$AG$2,IF($O339&gt;=Lists!$AG$4,"High Value / High Risk","High Value / Low Risk"),IF($O339&gt;=Lists!$AG$4,"Low Value / High Risk","Low Value / Low Risk")))</f>
        <v/>
      </c>
      <c r="AF339" s="101"/>
      <c r="AG339" s="126"/>
      <c r="AH339" s="106" t="str">
        <f aca="false">IF($B339="","",COUNTIFS('Debt Backlog'!$AF$2:$AF$1000,$A339,'Debt Backlog'!$B$2:$B$1000,"&lt;&gt;",'Debt Backlog'!$N$2:$N$1000,"&lt;&gt;Done",'Debt Backlog'!$N$2:$N$1000,"&lt;&gt;Won't Fix",'Debt Backlog'!$N$2:$N$1000,"&lt;&gt;Duplicate"))</f>
        <v/>
      </c>
      <c r="AI339" s="103" t="str">
        <f aca="false">IF($B339="","",ROUND(SUMIFS('Debt Backlog'!$L$2:$L$1000,'Debt Backlog'!$AF$2:$AF$1000,$A339,'Debt Backlog'!$B$2:$B$1000,"&lt;&gt;",'Debt Backlog'!$N$2:$N$1000,"&lt;&gt;Done",'Debt Backlog'!$N$2:$N$1000,"&lt;&gt;Won't Fix",'Debt Backlog'!$N$2:$N$1000,"&lt;&gt;Duplicate"),2))</f>
        <v/>
      </c>
    </row>
    <row r="340" customFormat="false" ht="15.75" hidden="false" customHeight="true" outlineLevel="0" collapsed="false">
      <c r="A340" s="125"/>
      <c r="B340" s="101"/>
      <c r="C340" s="101"/>
      <c r="D340" s="101"/>
      <c r="E340" s="101"/>
      <c r="F340" s="101"/>
      <c r="G340" s="101"/>
      <c r="H340" s="101"/>
      <c r="I340" s="106"/>
      <c r="J340" s="106"/>
      <c r="K340" s="106"/>
      <c r="L340" s="106"/>
      <c r="M340" s="106"/>
      <c r="N340" s="103" t="str">
        <f aca="false">IF(OR($B340="", $I340="", $J340="", $K340="", $L340="", $M340=""),"",ROUND(($I340*Lists!$AD$2)+($J340*Lists!$AD$3)+($K340*Lists!$AD$4)+($L340*Lists!$AD$5)+($M340*Lists!$AD$6),2))</f>
        <v/>
      </c>
      <c r="O340" s="103" t="str">
        <f aca="false">IF($A340="","",IFERROR(VLOOKUP($A340,'Risk Register'!$B$2:$I$1000,8,FALSE()),""))</f>
        <v/>
      </c>
      <c r="P340" s="106"/>
      <c r="Q340" s="106"/>
      <c r="R340" s="106"/>
      <c r="S340" s="106"/>
      <c r="T340" s="103" t="str">
        <f aca="false">IF(OR($B340="", $P340="", $Q340="", $R340="", $S340=""),"",ROUND(($P340*Lists!$AD$7)+($Q340*Lists!$AD$8)+($R340*Lists!$AD$9)+($S340*Lists!$AD$10),2))</f>
        <v/>
      </c>
      <c r="U340" s="106"/>
      <c r="V340" s="106"/>
      <c r="W340" s="106"/>
      <c r="X340" s="106"/>
      <c r="Y340" s="106"/>
      <c r="Z340" s="103" t="str">
        <f aca="false">IF(OR($B340="", $U340="", $V340="", $W340="", $X340="", $Y340=""),"",ROUND(($U340*Lists!$AD$11)+($V340*Lists!$AD$12)+($W340*Lists!$AD$13)+($X340*Lists!$AD$14)+($Y340*Lists!$AD$15),2))</f>
        <v/>
      </c>
      <c r="AA340" s="103" t="str">
        <f aca="false">IF(OR($B340="", $N340="", $O340="", $T340="", $Z340=""),"",ROUND(($N340*Lists!$AD$16)-($O340*Lists!$AD$17)-($T340*Lists!$AD$18)+($Z340*Lists!$AD$19),2))</f>
        <v/>
      </c>
      <c r="AB340" s="102" t="str">
        <f aca="false">IF(OR($B340="", $N340="", $Z340=""),"",IF($N340&gt;=Lists!$AG$2,IF($Z340&gt;=Lists!$AG$3,"Invest","Migrate"),IF($Z340&gt;=Lists!$AG$3,"Tolerate","Eliminate")))</f>
        <v/>
      </c>
      <c r="AC340" s="102" t="str">
        <f aca="false">IF($B340="","",IF($J340&gt;=4,"Yes",""))</f>
        <v/>
      </c>
      <c r="AD340" s="102" t="str">
        <f aca="false">IF($A340="","",IFERROR(IF(VLOOKUP($A340,'Risk Register'!$B$2:$H$1000,4,FALSE())&gt;=4,"Yes",""),""))</f>
        <v/>
      </c>
      <c r="AE340" s="102" t="str">
        <f aca="false">IF(OR($N340="", $O340=""),"",IF($N340&gt;=Lists!$AG$2,IF($O340&gt;=Lists!$AG$4,"High Value / High Risk","High Value / Low Risk"),IF($O340&gt;=Lists!$AG$4,"Low Value / High Risk","Low Value / Low Risk")))</f>
        <v/>
      </c>
      <c r="AF340" s="101"/>
      <c r="AG340" s="126"/>
      <c r="AH340" s="106" t="str">
        <f aca="false">IF($B340="","",COUNTIFS('Debt Backlog'!$AF$2:$AF$1000,$A340,'Debt Backlog'!$B$2:$B$1000,"&lt;&gt;",'Debt Backlog'!$N$2:$N$1000,"&lt;&gt;Done",'Debt Backlog'!$N$2:$N$1000,"&lt;&gt;Won't Fix",'Debt Backlog'!$N$2:$N$1000,"&lt;&gt;Duplicate"))</f>
        <v/>
      </c>
      <c r="AI340" s="103" t="str">
        <f aca="false">IF($B340="","",ROUND(SUMIFS('Debt Backlog'!$L$2:$L$1000,'Debt Backlog'!$AF$2:$AF$1000,$A340,'Debt Backlog'!$B$2:$B$1000,"&lt;&gt;",'Debt Backlog'!$N$2:$N$1000,"&lt;&gt;Done",'Debt Backlog'!$N$2:$N$1000,"&lt;&gt;Won't Fix",'Debt Backlog'!$N$2:$N$1000,"&lt;&gt;Duplicate"),2))</f>
        <v/>
      </c>
    </row>
    <row r="341" customFormat="false" ht="15.75" hidden="false" customHeight="true" outlineLevel="0" collapsed="false">
      <c r="A341" s="125"/>
      <c r="B341" s="101"/>
      <c r="C341" s="101"/>
      <c r="D341" s="101"/>
      <c r="E341" s="101"/>
      <c r="F341" s="101"/>
      <c r="G341" s="101"/>
      <c r="H341" s="101"/>
      <c r="I341" s="106"/>
      <c r="J341" s="106"/>
      <c r="K341" s="106"/>
      <c r="L341" s="106"/>
      <c r="M341" s="106"/>
      <c r="N341" s="103" t="str">
        <f aca="false">IF(OR($B341="", $I341="", $J341="", $K341="", $L341="", $M341=""),"",ROUND(($I341*Lists!$AD$2)+($J341*Lists!$AD$3)+($K341*Lists!$AD$4)+($L341*Lists!$AD$5)+($M341*Lists!$AD$6),2))</f>
        <v/>
      </c>
      <c r="O341" s="103" t="str">
        <f aca="false">IF($A341="","",IFERROR(VLOOKUP($A341,'Risk Register'!$B$2:$I$1000,8,FALSE()),""))</f>
        <v/>
      </c>
      <c r="P341" s="106"/>
      <c r="Q341" s="106"/>
      <c r="R341" s="106"/>
      <c r="S341" s="106"/>
      <c r="T341" s="103" t="str">
        <f aca="false">IF(OR($B341="", $P341="", $Q341="", $R341="", $S341=""),"",ROUND(($P341*Lists!$AD$7)+($Q341*Lists!$AD$8)+($R341*Lists!$AD$9)+($S341*Lists!$AD$10),2))</f>
        <v/>
      </c>
      <c r="U341" s="106"/>
      <c r="V341" s="106"/>
      <c r="W341" s="106"/>
      <c r="X341" s="106"/>
      <c r="Y341" s="106"/>
      <c r="Z341" s="103" t="str">
        <f aca="false">IF(OR($B341="", $U341="", $V341="", $W341="", $X341="", $Y341=""),"",ROUND(($U341*Lists!$AD$11)+($V341*Lists!$AD$12)+($W341*Lists!$AD$13)+($X341*Lists!$AD$14)+($Y341*Lists!$AD$15),2))</f>
        <v/>
      </c>
      <c r="AA341" s="103" t="str">
        <f aca="false">IF(OR($B341="", $N341="", $O341="", $T341="", $Z341=""),"",ROUND(($N341*Lists!$AD$16)-($O341*Lists!$AD$17)-($T341*Lists!$AD$18)+($Z341*Lists!$AD$19),2))</f>
        <v/>
      </c>
      <c r="AB341" s="102" t="str">
        <f aca="false">IF(OR($B341="", $N341="", $Z341=""),"",IF($N341&gt;=Lists!$AG$2,IF($Z341&gt;=Lists!$AG$3,"Invest","Migrate"),IF($Z341&gt;=Lists!$AG$3,"Tolerate","Eliminate")))</f>
        <v/>
      </c>
      <c r="AC341" s="102" t="str">
        <f aca="false">IF($B341="","",IF($J341&gt;=4,"Yes",""))</f>
        <v/>
      </c>
      <c r="AD341" s="102" t="str">
        <f aca="false">IF($A341="","",IFERROR(IF(VLOOKUP($A341,'Risk Register'!$B$2:$H$1000,4,FALSE())&gt;=4,"Yes",""),""))</f>
        <v/>
      </c>
      <c r="AE341" s="102" t="str">
        <f aca="false">IF(OR($N341="", $O341=""),"",IF($N341&gt;=Lists!$AG$2,IF($O341&gt;=Lists!$AG$4,"High Value / High Risk","High Value / Low Risk"),IF($O341&gt;=Lists!$AG$4,"Low Value / High Risk","Low Value / Low Risk")))</f>
        <v/>
      </c>
      <c r="AF341" s="101"/>
      <c r="AG341" s="126"/>
      <c r="AH341" s="106" t="str">
        <f aca="false">IF($B341="","",COUNTIFS('Debt Backlog'!$AF$2:$AF$1000,$A341,'Debt Backlog'!$B$2:$B$1000,"&lt;&gt;",'Debt Backlog'!$N$2:$N$1000,"&lt;&gt;Done",'Debt Backlog'!$N$2:$N$1000,"&lt;&gt;Won't Fix",'Debt Backlog'!$N$2:$N$1000,"&lt;&gt;Duplicate"))</f>
        <v/>
      </c>
      <c r="AI341" s="103" t="str">
        <f aca="false">IF($B341="","",ROUND(SUMIFS('Debt Backlog'!$L$2:$L$1000,'Debt Backlog'!$AF$2:$AF$1000,$A341,'Debt Backlog'!$B$2:$B$1000,"&lt;&gt;",'Debt Backlog'!$N$2:$N$1000,"&lt;&gt;Done",'Debt Backlog'!$N$2:$N$1000,"&lt;&gt;Won't Fix",'Debt Backlog'!$N$2:$N$1000,"&lt;&gt;Duplicate"),2))</f>
        <v/>
      </c>
    </row>
    <row r="342" customFormat="false" ht="15.75" hidden="false" customHeight="true" outlineLevel="0" collapsed="false">
      <c r="A342" s="125"/>
      <c r="B342" s="101"/>
      <c r="C342" s="101"/>
      <c r="D342" s="101"/>
      <c r="E342" s="101"/>
      <c r="F342" s="101"/>
      <c r="G342" s="101"/>
      <c r="H342" s="101"/>
      <c r="I342" s="106"/>
      <c r="J342" s="106"/>
      <c r="K342" s="106"/>
      <c r="L342" s="106"/>
      <c r="M342" s="106"/>
      <c r="N342" s="103" t="str">
        <f aca="false">IF(OR($B342="", $I342="", $J342="", $K342="", $L342="", $M342=""),"",ROUND(($I342*Lists!$AD$2)+($J342*Lists!$AD$3)+($K342*Lists!$AD$4)+($L342*Lists!$AD$5)+($M342*Lists!$AD$6),2))</f>
        <v/>
      </c>
      <c r="O342" s="103" t="str">
        <f aca="false">IF($A342="","",IFERROR(VLOOKUP($A342,'Risk Register'!$B$2:$I$1000,8,FALSE()),""))</f>
        <v/>
      </c>
      <c r="P342" s="106"/>
      <c r="Q342" s="106"/>
      <c r="R342" s="106"/>
      <c r="S342" s="106"/>
      <c r="T342" s="103" t="str">
        <f aca="false">IF(OR($B342="", $P342="", $Q342="", $R342="", $S342=""),"",ROUND(($P342*Lists!$AD$7)+($Q342*Lists!$AD$8)+($R342*Lists!$AD$9)+($S342*Lists!$AD$10),2))</f>
        <v/>
      </c>
      <c r="U342" s="106"/>
      <c r="V342" s="106"/>
      <c r="W342" s="106"/>
      <c r="X342" s="106"/>
      <c r="Y342" s="106"/>
      <c r="Z342" s="103" t="str">
        <f aca="false">IF(OR($B342="", $U342="", $V342="", $W342="", $X342="", $Y342=""),"",ROUND(($U342*Lists!$AD$11)+($V342*Lists!$AD$12)+($W342*Lists!$AD$13)+($X342*Lists!$AD$14)+($Y342*Lists!$AD$15),2))</f>
        <v/>
      </c>
      <c r="AA342" s="103" t="str">
        <f aca="false">IF(OR($B342="", $N342="", $O342="", $T342="", $Z342=""),"",ROUND(($N342*Lists!$AD$16)-($O342*Lists!$AD$17)-($T342*Lists!$AD$18)+($Z342*Lists!$AD$19),2))</f>
        <v/>
      </c>
      <c r="AB342" s="102" t="str">
        <f aca="false">IF(OR($B342="", $N342="", $Z342=""),"",IF($N342&gt;=Lists!$AG$2,IF($Z342&gt;=Lists!$AG$3,"Invest","Migrate"),IF($Z342&gt;=Lists!$AG$3,"Tolerate","Eliminate")))</f>
        <v/>
      </c>
      <c r="AC342" s="102" t="str">
        <f aca="false">IF($B342="","",IF($J342&gt;=4,"Yes",""))</f>
        <v/>
      </c>
      <c r="AD342" s="102" t="str">
        <f aca="false">IF($A342="","",IFERROR(IF(VLOOKUP($A342,'Risk Register'!$B$2:$H$1000,4,FALSE())&gt;=4,"Yes",""),""))</f>
        <v/>
      </c>
      <c r="AE342" s="102" t="str">
        <f aca="false">IF(OR($N342="", $O342=""),"",IF($N342&gt;=Lists!$AG$2,IF($O342&gt;=Lists!$AG$4,"High Value / High Risk","High Value / Low Risk"),IF($O342&gt;=Lists!$AG$4,"Low Value / High Risk","Low Value / Low Risk")))</f>
        <v/>
      </c>
      <c r="AF342" s="101"/>
      <c r="AG342" s="126"/>
      <c r="AH342" s="106" t="str">
        <f aca="false">IF($B342="","",COUNTIFS('Debt Backlog'!$AF$2:$AF$1000,$A342,'Debt Backlog'!$B$2:$B$1000,"&lt;&gt;",'Debt Backlog'!$N$2:$N$1000,"&lt;&gt;Done",'Debt Backlog'!$N$2:$N$1000,"&lt;&gt;Won't Fix",'Debt Backlog'!$N$2:$N$1000,"&lt;&gt;Duplicate"))</f>
        <v/>
      </c>
      <c r="AI342" s="103" t="str">
        <f aca="false">IF($B342="","",ROUND(SUMIFS('Debt Backlog'!$L$2:$L$1000,'Debt Backlog'!$AF$2:$AF$1000,$A342,'Debt Backlog'!$B$2:$B$1000,"&lt;&gt;",'Debt Backlog'!$N$2:$N$1000,"&lt;&gt;Done",'Debt Backlog'!$N$2:$N$1000,"&lt;&gt;Won't Fix",'Debt Backlog'!$N$2:$N$1000,"&lt;&gt;Duplicate"),2))</f>
        <v/>
      </c>
    </row>
    <row r="343" customFormat="false" ht="15.75" hidden="false" customHeight="true" outlineLevel="0" collapsed="false">
      <c r="A343" s="125"/>
      <c r="B343" s="101"/>
      <c r="C343" s="101"/>
      <c r="D343" s="101"/>
      <c r="E343" s="101"/>
      <c r="F343" s="101"/>
      <c r="G343" s="101"/>
      <c r="H343" s="101"/>
      <c r="I343" s="106"/>
      <c r="J343" s="106"/>
      <c r="K343" s="106"/>
      <c r="L343" s="106"/>
      <c r="M343" s="106"/>
      <c r="N343" s="103" t="str">
        <f aca="false">IF(OR($B343="", $I343="", $J343="", $K343="", $L343="", $M343=""),"",ROUND(($I343*Lists!$AD$2)+($J343*Lists!$AD$3)+($K343*Lists!$AD$4)+($L343*Lists!$AD$5)+($M343*Lists!$AD$6),2))</f>
        <v/>
      </c>
      <c r="O343" s="103" t="str">
        <f aca="false">IF($A343="","",IFERROR(VLOOKUP($A343,'Risk Register'!$B$2:$I$1000,8,FALSE()),""))</f>
        <v/>
      </c>
      <c r="P343" s="106"/>
      <c r="Q343" s="106"/>
      <c r="R343" s="106"/>
      <c r="S343" s="106"/>
      <c r="T343" s="103" t="str">
        <f aca="false">IF(OR($B343="", $P343="", $Q343="", $R343="", $S343=""),"",ROUND(($P343*Lists!$AD$7)+($Q343*Lists!$AD$8)+($R343*Lists!$AD$9)+($S343*Lists!$AD$10),2))</f>
        <v/>
      </c>
      <c r="U343" s="106"/>
      <c r="V343" s="106"/>
      <c r="W343" s="106"/>
      <c r="X343" s="106"/>
      <c r="Y343" s="106"/>
      <c r="Z343" s="103" t="str">
        <f aca="false">IF(OR($B343="", $U343="", $V343="", $W343="", $X343="", $Y343=""),"",ROUND(($U343*Lists!$AD$11)+($V343*Lists!$AD$12)+($W343*Lists!$AD$13)+($X343*Lists!$AD$14)+($Y343*Lists!$AD$15),2))</f>
        <v/>
      </c>
      <c r="AA343" s="103" t="str">
        <f aca="false">IF(OR($B343="", $N343="", $O343="", $T343="", $Z343=""),"",ROUND(($N343*Lists!$AD$16)-($O343*Lists!$AD$17)-($T343*Lists!$AD$18)+($Z343*Lists!$AD$19),2))</f>
        <v/>
      </c>
      <c r="AB343" s="102" t="str">
        <f aca="false">IF(OR($B343="", $N343="", $Z343=""),"",IF($N343&gt;=Lists!$AG$2,IF($Z343&gt;=Lists!$AG$3,"Invest","Migrate"),IF($Z343&gt;=Lists!$AG$3,"Tolerate","Eliminate")))</f>
        <v/>
      </c>
      <c r="AC343" s="102" t="str">
        <f aca="false">IF($B343="","",IF($J343&gt;=4,"Yes",""))</f>
        <v/>
      </c>
      <c r="AD343" s="102" t="str">
        <f aca="false">IF($A343="","",IFERROR(IF(VLOOKUP($A343,'Risk Register'!$B$2:$H$1000,4,FALSE())&gt;=4,"Yes",""),""))</f>
        <v/>
      </c>
      <c r="AE343" s="102" t="str">
        <f aca="false">IF(OR($N343="", $O343=""),"",IF($N343&gt;=Lists!$AG$2,IF($O343&gt;=Lists!$AG$4,"High Value / High Risk","High Value / Low Risk"),IF($O343&gt;=Lists!$AG$4,"Low Value / High Risk","Low Value / Low Risk")))</f>
        <v/>
      </c>
      <c r="AF343" s="101"/>
      <c r="AG343" s="126"/>
      <c r="AH343" s="106" t="str">
        <f aca="false">IF($B343="","",COUNTIFS('Debt Backlog'!$AF$2:$AF$1000,$A343,'Debt Backlog'!$B$2:$B$1000,"&lt;&gt;",'Debt Backlog'!$N$2:$N$1000,"&lt;&gt;Done",'Debt Backlog'!$N$2:$N$1000,"&lt;&gt;Won't Fix",'Debt Backlog'!$N$2:$N$1000,"&lt;&gt;Duplicate"))</f>
        <v/>
      </c>
      <c r="AI343" s="103" t="str">
        <f aca="false">IF($B343="","",ROUND(SUMIFS('Debt Backlog'!$L$2:$L$1000,'Debt Backlog'!$AF$2:$AF$1000,$A343,'Debt Backlog'!$B$2:$B$1000,"&lt;&gt;",'Debt Backlog'!$N$2:$N$1000,"&lt;&gt;Done",'Debt Backlog'!$N$2:$N$1000,"&lt;&gt;Won't Fix",'Debt Backlog'!$N$2:$N$1000,"&lt;&gt;Duplicate"),2))</f>
        <v/>
      </c>
    </row>
    <row r="344" customFormat="false" ht="15.75" hidden="false" customHeight="true" outlineLevel="0" collapsed="false">
      <c r="A344" s="125"/>
      <c r="B344" s="101"/>
      <c r="C344" s="101"/>
      <c r="D344" s="101"/>
      <c r="E344" s="101"/>
      <c r="F344" s="101"/>
      <c r="G344" s="101"/>
      <c r="H344" s="101"/>
      <c r="I344" s="106"/>
      <c r="J344" s="106"/>
      <c r="K344" s="106"/>
      <c r="L344" s="106"/>
      <c r="M344" s="106"/>
      <c r="N344" s="103" t="str">
        <f aca="false">IF(OR($B344="", $I344="", $J344="", $K344="", $L344="", $M344=""),"",ROUND(($I344*Lists!$AD$2)+($J344*Lists!$AD$3)+($K344*Lists!$AD$4)+($L344*Lists!$AD$5)+($M344*Lists!$AD$6),2))</f>
        <v/>
      </c>
      <c r="O344" s="103" t="str">
        <f aca="false">IF($A344="","",IFERROR(VLOOKUP($A344,'Risk Register'!$B$2:$I$1000,8,FALSE()),""))</f>
        <v/>
      </c>
      <c r="P344" s="106"/>
      <c r="Q344" s="106"/>
      <c r="R344" s="106"/>
      <c r="S344" s="106"/>
      <c r="T344" s="103" t="str">
        <f aca="false">IF(OR($B344="", $P344="", $Q344="", $R344="", $S344=""),"",ROUND(($P344*Lists!$AD$7)+($Q344*Lists!$AD$8)+($R344*Lists!$AD$9)+($S344*Lists!$AD$10),2))</f>
        <v/>
      </c>
      <c r="U344" s="106"/>
      <c r="V344" s="106"/>
      <c r="W344" s="106"/>
      <c r="X344" s="106"/>
      <c r="Y344" s="106"/>
      <c r="Z344" s="103" t="str">
        <f aca="false">IF(OR($B344="", $U344="", $V344="", $W344="", $X344="", $Y344=""),"",ROUND(($U344*Lists!$AD$11)+($V344*Lists!$AD$12)+($W344*Lists!$AD$13)+($X344*Lists!$AD$14)+($Y344*Lists!$AD$15),2))</f>
        <v/>
      </c>
      <c r="AA344" s="103" t="str">
        <f aca="false">IF(OR($B344="", $N344="", $O344="", $T344="", $Z344=""),"",ROUND(($N344*Lists!$AD$16)-($O344*Lists!$AD$17)-($T344*Lists!$AD$18)+($Z344*Lists!$AD$19),2))</f>
        <v/>
      </c>
      <c r="AB344" s="102" t="str">
        <f aca="false">IF(OR($B344="", $N344="", $Z344=""),"",IF($N344&gt;=Lists!$AG$2,IF($Z344&gt;=Lists!$AG$3,"Invest","Migrate"),IF($Z344&gt;=Lists!$AG$3,"Tolerate","Eliminate")))</f>
        <v/>
      </c>
      <c r="AC344" s="102" t="str">
        <f aca="false">IF($B344="","",IF($J344&gt;=4,"Yes",""))</f>
        <v/>
      </c>
      <c r="AD344" s="102" t="str">
        <f aca="false">IF($A344="","",IFERROR(IF(VLOOKUP($A344,'Risk Register'!$B$2:$H$1000,4,FALSE())&gt;=4,"Yes",""),""))</f>
        <v/>
      </c>
      <c r="AE344" s="102" t="str">
        <f aca="false">IF(OR($N344="", $O344=""),"",IF($N344&gt;=Lists!$AG$2,IF($O344&gt;=Lists!$AG$4,"High Value / High Risk","High Value / Low Risk"),IF($O344&gt;=Lists!$AG$4,"Low Value / High Risk","Low Value / Low Risk")))</f>
        <v/>
      </c>
      <c r="AF344" s="101"/>
      <c r="AG344" s="126"/>
      <c r="AH344" s="106" t="str">
        <f aca="false">IF($B344="","",COUNTIFS('Debt Backlog'!$AF$2:$AF$1000,$A344,'Debt Backlog'!$B$2:$B$1000,"&lt;&gt;",'Debt Backlog'!$N$2:$N$1000,"&lt;&gt;Done",'Debt Backlog'!$N$2:$N$1000,"&lt;&gt;Won't Fix",'Debt Backlog'!$N$2:$N$1000,"&lt;&gt;Duplicate"))</f>
        <v/>
      </c>
      <c r="AI344" s="103" t="str">
        <f aca="false">IF($B344="","",ROUND(SUMIFS('Debt Backlog'!$L$2:$L$1000,'Debt Backlog'!$AF$2:$AF$1000,$A344,'Debt Backlog'!$B$2:$B$1000,"&lt;&gt;",'Debt Backlog'!$N$2:$N$1000,"&lt;&gt;Done",'Debt Backlog'!$N$2:$N$1000,"&lt;&gt;Won't Fix",'Debt Backlog'!$N$2:$N$1000,"&lt;&gt;Duplicate"),2))</f>
        <v/>
      </c>
    </row>
    <row r="345" customFormat="false" ht="15.75" hidden="false" customHeight="true" outlineLevel="0" collapsed="false">
      <c r="A345" s="125"/>
      <c r="B345" s="101"/>
      <c r="C345" s="101"/>
      <c r="D345" s="101"/>
      <c r="E345" s="101"/>
      <c r="F345" s="101"/>
      <c r="G345" s="101"/>
      <c r="H345" s="101"/>
      <c r="I345" s="106"/>
      <c r="J345" s="106"/>
      <c r="K345" s="106"/>
      <c r="L345" s="106"/>
      <c r="M345" s="106"/>
      <c r="N345" s="103" t="str">
        <f aca="false">IF(OR($B345="", $I345="", $J345="", $K345="", $L345="", $M345=""),"",ROUND(($I345*Lists!$AD$2)+($J345*Lists!$AD$3)+($K345*Lists!$AD$4)+($L345*Lists!$AD$5)+($M345*Lists!$AD$6),2))</f>
        <v/>
      </c>
      <c r="O345" s="103" t="str">
        <f aca="false">IF($A345="","",IFERROR(VLOOKUP($A345,'Risk Register'!$B$2:$I$1000,8,FALSE()),""))</f>
        <v/>
      </c>
      <c r="P345" s="106"/>
      <c r="Q345" s="106"/>
      <c r="R345" s="106"/>
      <c r="S345" s="106"/>
      <c r="T345" s="103" t="str">
        <f aca="false">IF(OR($B345="", $P345="", $Q345="", $R345="", $S345=""),"",ROUND(($P345*Lists!$AD$7)+($Q345*Lists!$AD$8)+($R345*Lists!$AD$9)+($S345*Lists!$AD$10),2))</f>
        <v/>
      </c>
      <c r="U345" s="106"/>
      <c r="V345" s="106"/>
      <c r="W345" s="106"/>
      <c r="X345" s="106"/>
      <c r="Y345" s="106"/>
      <c r="Z345" s="103" t="str">
        <f aca="false">IF(OR($B345="", $U345="", $V345="", $W345="", $X345="", $Y345=""),"",ROUND(($U345*Lists!$AD$11)+($V345*Lists!$AD$12)+($W345*Lists!$AD$13)+($X345*Lists!$AD$14)+($Y345*Lists!$AD$15),2))</f>
        <v/>
      </c>
      <c r="AA345" s="103" t="str">
        <f aca="false">IF(OR($B345="", $N345="", $O345="", $T345="", $Z345=""),"",ROUND(($N345*Lists!$AD$16)-($O345*Lists!$AD$17)-($T345*Lists!$AD$18)+($Z345*Lists!$AD$19),2))</f>
        <v/>
      </c>
      <c r="AB345" s="102" t="str">
        <f aca="false">IF(OR($B345="", $N345="", $Z345=""),"",IF($N345&gt;=Lists!$AG$2,IF($Z345&gt;=Lists!$AG$3,"Invest","Migrate"),IF($Z345&gt;=Lists!$AG$3,"Tolerate","Eliminate")))</f>
        <v/>
      </c>
      <c r="AC345" s="102" t="str">
        <f aca="false">IF($B345="","",IF($J345&gt;=4,"Yes",""))</f>
        <v/>
      </c>
      <c r="AD345" s="102" t="str">
        <f aca="false">IF($A345="","",IFERROR(IF(VLOOKUP($A345,'Risk Register'!$B$2:$H$1000,4,FALSE())&gt;=4,"Yes",""),""))</f>
        <v/>
      </c>
      <c r="AE345" s="102" t="str">
        <f aca="false">IF(OR($N345="", $O345=""),"",IF($N345&gt;=Lists!$AG$2,IF($O345&gt;=Lists!$AG$4,"High Value / High Risk","High Value / Low Risk"),IF($O345&gt;=Lists!$AG$4,"Low Value / High Risk","Low Value / Low Risk")))</f>
        <v/>
      </c>
      <c r="AF345" s="101"/>
      <c r="AG345" s="126"/>
      <c r="AH345" s="106" t="str">
        <f aca="false">IF($B345="","",COUNTIFS('Debt Backlog'!$AF$2:$AF$1000,$A345,'Debt Backlog'!$B$2:$B$1000,"&lt;&gt;",'Debt Backlog'!$N$2:$N$1000,"&lt;&gt;Done",'Debt Backlog'!$N$2:$N$1000,"&lt;&gt;Won't Fix",'Debt Backlog'!$N$2:$N$1000,"&lt;&gt;Duplicate"))</f>
        <v/>
      </c>
      <c r="AI345" s="103" t="str">
        <f aca="false">IF($B345="","",ROUND(SUMIFS('Debt Backlog'!$L$2:$L$1000,'Debt Backlog'!$AF$2:$AF$1000,$A345,'Debt Backlog'!$B$2:$B$1000,"&lt;&gt;",'Debt Backlog'!$N$2:$N$1000,"&lt;&gt;Done",'Debt Backlog'!$N$2:$N$1000,"&lt;&gt;Won't Fix",'Debt Backlog'!$N$2:$N$1000,"&lt;&gt;Duplicate"),2))</f>
        <v/>
      </c>
    </row>
    <row r="346" customFormat="false" ht="15.75" hidden="false" customHeight="true" outlineLevel="0" collapsed="false">
      <c r="A346" s="125"/>
      <c r="B346" s="101"/>
      <c r="C346" s="101"/>
      <c r="D346" s="101"/>
      <c r="E346" s="101"/>
      <c r="F346" s="101"/>
      <c r="G346" s="101"/>
      <c r="H346" s="101"/>
      <c r="I346" s="106"/>
      <c r="J346" s="106"/>
      <c r="K346" s="106"/>
      <c r="L346" s="106"/>
      <c r="M346" s="106"/>
      <c r="N346" s="103" t="str">
        <f aca="false">IF(OR($B346="", $I346="", $J346="", $K346="", $L346="", $M346=""),"",ROUND(($I346*Lists!$AD$2)+($J346*Lists!$AD$3)+($K346*Lists!$AD$4)+($L346*Lists!$AD$5)+($M346*Lists!$AD$6),2))</f>
        <v/>
      </c>
      <c r="O346" s="103" t="str">
        <f aca="false">IF($A346="","",IFERROR(VLOOKUP($A346,'Risk Register'!$B$2:$I$1000,8,FALSE()),""))</f>
        <v/>
      </c>
      <c r="P346" s="106"/>
      <c r="Q346" s="106"/>
      <c r="R346" s="106"/>
      <c r="S346" s="106"/>
      <c r="T346" s="103" t="str">
        <f aca="false">IF(OR($B346="", $P346="", $Q346="", $R346="", $S346=""),"",ROUND(($P346*Lists!$AD$7)+($Q346*Lists!$AD$8)+($R346*Lists!$AD$9)+($S346*Lists!$AD$10),2))</f>
        <v/>
      </c>
      <c r="U346" s="106"/>
      <c r="V346" s="106"/>
      <c r="W346" s="106"/>
      <c r="X346" s="106"/>
      <c r="Y346" s="106"/>
      <c r="Z346" s="103" t="str">
        <f aca="false">IF(OR($B346="", $U346="", $V346="", $W346="", $X346="", $Y346=""),"",ROUND(($U346*Lists!$AD$11)+($V346*Lists!$AD$12)+($W346*Lists!$AD$13)+($X346*Lists!$AD$14)+($Y346*Lists!$AD$15),2))</f>
        <v/>
      </c>
      <c r="AA346" s="103" t="str">
        <f aca="false">IF(OR($B346="", $N346="", $O346="", $T346="", $Z346=""),"",ROUND(($N346*Lists!$AD$16)-($O346*Lists!$AD$17)-($T346*Lists!$AD$18)+($Z346*Lists!$AD$19),2))</f>
        <v/>
      </c>
      <c r="AB346" s="102" t="str">
        <f aca="false">IF(OR($B346="", $N346="", $Z346=""),"",IF($N346&gt;=Lists!$AG$2,IF($Z346&gt;=Lists!$AG$3,"Invest","Migrate"),IF($Z346&gt;=Lists!$AG$3,"Tolerate","Eliminate")))</f>
        <v/>
      </c>
      <c r="AC346" s="102" t="str">
        <f aca="false">IF($B346="","",IF($J346&gt;=4,"Yes",""))</f>
        <v/>
      </c>
      <c r="AD346" s="102" t="str">
        <f aca="false">IF($A346="","",IFERROR(IF(VLOOKUP($A346,'Risk Register'!$B$2:$H$1000,4,FALSE())&gt;=4,"Yes",""),""))</f>
        <v/>
      </c>
      <c r="AE346" s="102" t="str">
        <f aca="false">IF(OR($N346="", $O346=""),"",IF($N346&gt;=Lists!$AG$2,IF($O346&gt;=Lists!$AG$4,"High Value / High Risk","High Value / Low Risk"),IF($O346&gt;=Lists!$AG$4,"Low Value / High Risk","Low Value / Low Risk")))</f>
        <v/>
      </c>
      <c r="AF346" s="101"/>
      <c r="AG346" s="126"/>
      <c r="AH346" s="106" t="str">
        <f aca="false">IF($B346="","",COUNTIFS('Debt Backlog'!$AF$2:$AF$1000,$A346,'Debt Backlog'!$B$2:$B$1000,"&lt;&gt;",'Debt Backlog'!$N$2:$N$1000,"&lt;&gt;Done",'Debt Backlog'!$N$2:$N$1000,"&lt;&gt;Won't Fix",'Debt Backlog'!$N$2:$N$1000,"&lt;&gt;Duplicate"))</f>
        <v/>
      </c>
      <c r="AI346" s="103" t="str">
        <f aca="false">IF($B346="","",ROUND(SUMIFS('Debt Backlog'!$L$2:$L$1000,'Debt Backlog'!$AF$2:$AF$1000,$A346,'Debt Backlog'!$B$2:$B$1000,"&lt;&gt;",'Debt Backlog'!$N$2:$N$1000,"&lt;&gt;Done",'Debt Backlog'!$N$2:$N$1000,"&lt;&gt;Won't Fix",'Debt Backlog'!$N$2:$N$1000,"&lt;&gt;Duplicate"),2))</f>
        <v/>
      </c>
    </row>
    <row r="347" customFormat="false" ht="15.75" hidden="false" customHeight="true" outlineLevel="0" collapsed="false">
      <c r="A347" s="125"/>
      <c r="B347" s="101"/>
      <c r="C347" s="101"/>
      <c r="D347" s="101"/>
      <c r="E347" s="101"/>
      <c r="F347" s="101"/>
      <c r="G347" s="101"/>
      <c r="H347" s="101"/>
      <c r="I347" s="106"/>
      <c r="J347" s="106"/>
      <c r="K347" s="106"/>
      <c r="L347" s="106"/>
      <c r="M347" s="106"/>
      <c r="N347" s="103" t="str">
        <f aca="false">IF(OR($B347="", $I347="", $J347="", $K347="", $L347="", $M347=""),"",ROUND(($I347*Lists!$AD$2)+($J347*Lists!$AD$3)+($K347*Lists!$AD$4)+($L347*Lists!$AD$5)+($M347*Lists!$AD$6),2))</f>
        <v/>
      </c>
      <c r="O347" s="103" t="str">
        <f aca="false">IF($A347="","",IFERROR(VLOOKUP($A347,'Risk Register'!$B$2:$I$1000,8,FALSE()),""))</f>
        <v/>
      </c>
      <c r="P347" s="106"/>
      <c r="Q347" s="106"/>
      <c r="R347" s="106"/>
      <c r="S347" s="106"/>
      <c r="T347" s="103" t="str">
        <f aca="false">IF(OR($B347="", $P347="", $Q347="", $R347="", $S347=""),"",ROUND(($P347*Lists!$AD$7)+($Q347*Lists!$AD$8)+($R347*Lists!$AD$9)+($S347*Lists!$AD$10),2))</f>
        <v/>
      </c>
      <c r="U347" s="106"/>
      <c r="V347" s="106"/>
      <c r="W347" s="106"/>
      <c r="X347" s="106"/>
      <c r="Y347" s="106"/>
      <c r="Z347" s="103" t="str">
        <f aca="false">IF(OR($B347="", $U347="", $V347="", $W347="", $X347="", $Y347=""),"",ROUND(($U347*Lists!$AD$11)+($V347*Lists!$AD$12)+($W347*Lists!$AD$13)+($X347*Lists!$AD$14)+($Y347*Lists!$AD$15),2))</f>
        <v/>
      </c>
      <c r="AA347" s="103" t="str">
        <f aca="false">IF(OR($B347="", $N347="", $O347="", $T347="", $Z347=""),"",ROUND(($N347*Lists!$AD$16)-($O347*Lists!$AD$17)-($T347*Lists!$AD$18)+($Z347*Lists!$AD$19),2))</f>
        <v/>
      </c>
      <c r="AB347" s="102" t="str">
        <f aca="false">IF(OR($B347="", $N347="", $Z347=""),"",IF($N347&gt;=Lists!$AG$2,IF($Z347&gt;=Lists!$AG$3,"Invest","Migrate"),IF($Z347&gt;=Lists!$AG$3,"Tolerate","Eliminate")))</f>
        <v/>
      </c>
      <c r="AC347" s="102" t="str">
        <f aca="false">IF($B347="","",IF($J347&gt;=4,"Yes",""))</f>
        <v/>
      </c>
      <c r="AD347" s="102" t="str">
        <f aca="false">IF($A347="","",IFERROR(IF(VLOOKUP($A347,'Risk Register'!$B$2:$H$1000,4,FALSE())&gt;=4,"Yes",""),""))</f>
        <v/>
      </c>
      <c r="AE347" s="102" t="str">
        <f aca="false">IF(OR($N347="", $O347=""),"",IF($N347&gt;=Lists!$AG$2,IF($O347&gt;=Lists!$AG$4,"High Value / High Risk","High Value / Low Risk"),IF($O347&gt;=Lists!$AG$4,"Low Value / High Risk","Low Value / Low Risk")))</f>
        <v/>
      </c>
      <c r="AF347" s="101"/>
      <c r="AG347" s="126"/>
      <c r="AH347" s="106" t="str">
        <f aca="false">IF($B347="","",COUNTIFS('Debt Backlog'!$AF$2:$AF$1000,$A347,'Debt Backlog'!$B$2:$B$1000,"&lt;&gt;",'Debt Backlog'!$N$2:$N$1000,"&lt;&gt;Done",'Debt Backlog'!$N$2:$N$1000,"&lt;&gt;Won't Fix",'Debt Backlog'!$N$2:$N$1000,"&lt;&gt;Duplicate"))</f>
        <v/>
      </c>
      <c r="AI347" s="103" t="str">
        <f aca="false">IF($B347="","",ROUND(SUMIFS('Debt Backlog'!$L$2:$L$1000,'Debt Backlog'!$AF$2:$AF$1000,$A347,'Debt Backlog'!$B$2:$B$1000,"&lt;&gt;",'Debt Backlog'!$N$2:$N$1000,"&lt;&gt;Done",'Debt Backlog'!$N$2:$N$1000,"&lt;&gt;Won't Fix",'Debt Backlog'!$N$2:$N$1000,"&lt;&gt;Duplicate"),2))</f>
        <v/>
      </c>
    </row>
    <row r="348" customFormat="false" ht="15.75" hidden="false" customHeight="true" outlineLevel="0" collapsed="false">
      <c r="A348" s="125"/>
      <c r="B348" s="101"/>
      <c r="C348" s="101"/>
      <c r="D348" s="101"/>
      <c r="E348" s="101"/>
      <c r="F348" s="101"/>
      <c r="G348" s="101"/>
      <c r="H348" s="101"/>
      <c r="I348" s="106"/>
      <c r="J348" s="106"/>
      <c r="K348" s="106"/>
      <c r="L348" s="106"/>
      <c r="M348" s="106"/>
      <c r="N348" s="103" t="str">
        <f aca="false">IF(OR($B348="", $I348="", $J348="", $K348="", $L348="", $M348=""),"",ROUND(($I348*Lists!$AD$2)+($J348*Lists!$AD$3)+($K348*Lists!$AD$4)+($L348*Lists!$AD$5)+($M348*Lists!$AD$6),2))</f>
        <v/>
      </c>
      <c r="O348" s="103" t="str">
        <f aca="false">IF($A348="","",IFERROR(VLOOKUP($A348,'Risk Register'!$B$2:$I$1000,8,FALSE()),""))</f>
        <v/>
      </c>
      <c r="P348" s="106"/>
      <c r="Q348" s="106"/>
      <c r="R348" s="106"/>
      <c r="S348" s="106"/>
      <c r="T348" s="103" t="str">
        <f aca="false">IF(OR($B348="", $P348="", $Q348="", $R348="", $S348=""),"",ROUND(($P348*Lists!$AD$7)+($Q348*Lists!$AD$8)+($R348*Lists!$AD$9)+($S348*Lists!$AD$10),2))</f>
        <v/>
      </c>
      <c r="U348" s="106"/>
      <c r="V348" s="106"/>
      <c r="W348" s="106"/>
      <c r="X348" s="106"/>
      <c r="Y348" s="106"/>
      <c r="Z348" s="103" t="str">
        <f aca="false">IF(OR($B348="", $U348="", $V348="", $W348="", $X348="", $Y348=""),"",ROUND(($U348*Lists!$AD$11)+($V348*Lists!$AD$12)+($W348*Lists!$AD$13)+($X348*Lists!$AD$14)+($Y348*Lists!$AD$15),2))</f>
        <v/>
      </c>
      <c r="AA348" s="103" t="str">
        <f aca="false">IF(OR($B348="", $N348="", $O348="", $T348="", $Z348=""),"",ROUND(($N348*Lists!$AD$16)-($O348*Lists!$AD$17)-($T348*Lists!$AD$18)+($Z348*Lists!$AD$19),2))</f>
        <v/>
      </c>
      <c r="AB348" s="102" t="str">
        <f aca="false">IF(OR($B348="", $N348="", $Z348=""),"",IF($N348&gt;=Lists!$AG$2,IF($Z348&gt;=Lists!$AG$3,"Invest","Migrate"),IF($Z348&gt;=Lists!$AG$3,"Tolerate","Eliminate")))</f>
        <v/>
      </c>
      <c r="AC348" s="102" t="str">
        <f aca="false">IF($B348="","",IF($J348&gt;=4,"Yes",""))</f>
        <v/>
      </c>
      <c r="AD348" s="102" t="str">
        <f aca="false">IF($A348="","",IFERROR(IF(VLOOKUP($A348,'Risk Register'!$B$2:$H$1000,4,FALSE())&gt;=4,"Yes",""),""))</f>
        <v/>
      </c>
      <c r="AE348" s="102" t="str">
        <f aca="false">IF(OR($N348="", $O348=""),"",IF($N348&gt;=Lists!$AG$2,IF($O348&gt;=Lists!$AG$4,"High Value / High Risk","High Value / Low Risk"),IF($O348&gt;=Lists!$AG$4,"Low Value / High Risk","Low Value / Low Risk")))</f>
        <v/>
      </c>
      <c r="AF348" s="101"/>
      <c r="AG348" s="126"/>
      <c r="AH348" s="106" t="str">
        <f aca="false">IF($B348="","",COUNTIFS('Debt Backlog'!$AF$2:$AF$1000,$A348,'Debt Backlog'!$B$2:$B$1000,"&lt;&gt;",'Debt Backlog'!$N$2:$N$1000,"&lt;&gt;Done",'Debt Backlog'!$N$2:$N$1000,"&lt;&gt;Won't Fix",'Debt Backlog'!$N$2:$N$1000,"&lt;&gt;Duplicate"))</f>
        <v/>
      </c>
      <c r="AI348" s="103" t="str">
        <f aca="false">IF($B348="","",ROUND(SUMIFS('Debt Backlog'!$L$2:$L$1000,'Debt Backlog'!$AF$2:$AF$1000,$A348,'Debt Backlog'!$B$2:$B$1000,"&lt;&gt;",'Debt Backlog'!$N$2:$N$1000,"&lt;&gt;Done",'Debt Backlog'!$N$2:$N$1000,"&lt;&gt;Won't Fix",'Debt Backlog'!$N$2:$N$1000,"&lt;&gt;Duplicate"),2))</f>
        <v/>
      </c>
    </row>
    <row r="349" customFormat="false" ht="15.75" hidden="false" customHeight="true" outlineLevel="0" collapsed="false">
      <c r="A349" s="125"/>
      <c r="B349" s="101"/>
      <c r="C349" s="101"/>
      <c r="D349" s="101"/>
      <c r="E349" s="101"/>
      <c r="F349" s="101"/>
      <c r="G349" s="101"/>
      <c r="H349" s="101"/>
      <c r="I349" s="106"/>
      <c r="J349" s="106"/>
      <c r="K349" s="106"/>
      <c r="L349" s="106"/>
      <c r="M349" s="106"/>
      <c r="N349" s="103" t="str">
        <f aca="false">IF(OR($B349="", $I349="", $J349="", $K349="", $L349="", $M349=""),"",ROUND(($I349*Lists!$AD$2)+($J349*Lists!$AD$3)+($K349*Lists!$AD$4)+($L349*Lists!$AD$5)+($M349*Lists!$AD$6),2))</f>
        <v/>
      </c>
      <c r="O349" s="103" t="str">
        <f aca="false">IF($A349="","",IFERROR(VLOOKUP($A349,'Risk Register'!$B$2:$I$1000,8,FALSE()),""))</f>
        <v/>
      </c>
      <c r="P349" s="106"/>
      <c r="Q349" s="106"/>
      <c r="R349" s="106"/>
      <c r="S349" s="106"/>
      <c r="T349" s="103" t="str">
        <f aca="false">IF(OR($B349="", $P349="", $Q349="", $R349="", $S349=""),"",ROUND(($P349*Lists!$AD$7)+($Q349*Lists!$AD$8)+($R349*Lists!$AD$9)+($S349*Lists!$AD$10),2))</f>
        <v/>
      </c>
      <c r="U349" s="106"/>
      <c r="V349" s="106"/>
      <c r="W349" s="106"/>
      <c r="X349" s="106"/>
      <c r="Y349" s="106"/>
      <c r="Z349" s="103" t="str">
        <f aca="false">IF(OR($B349="", $U349="", $V349="", $W349="", $X349="", $Y349=""),"",ROUND(($U349*Lists!$AD$11)+($V349*Lists!$AD$12)+($W349*Lists!$AD$13)+($X349*Lists!$AD$14)+($Y349*Lists!$AD$15),2))</f>
        <v/>
      </c>
      <c r="AA349" s="103" t="str">
        <f aca="false">IF(OR($B349="", $N349="", $O349="", $T349="", $Z349=""),"",ROUND(($N349*Lists!$AD$16)-($O349*Lists!$AD$17)-($T349*Lists!$AD$18)+($Z349*Lists!$AD$19),2))</f>
        <v/>
      </c>
      <c r="AB349" s="102" t="str">
        <f aca="false">IF(OR($B349="", $N349="", $Z349=""),"",IF($N349&gt;=Lists!$AG$2,IF($Z349&gt;=Lists!$AG$3,"Invest","Migrate"),IF($Z349&gt;=Lists!$AG$3,"Tolerate","Eliminate")))</f>
        <v/>
      </c>
      <c r="AC349" s="102" t="str">
        <f aca="false">IF($B349="","",IF($J349&gt;=4,"Yes",""))</f>
        <v/>
      </c>
      <c r="AD349" s="102" t="str">
        <f aca="false">IF($A349="","",IFERROR(IF(VLOOKUP($A349,'Risk Register'!$B$2:$H$1000,4,FALSE())&gt;=4,"Yes",""),""))</f>
        <v/>
      </c>
      <c r="AE349" s="102" t="str">
        <f aca="false">IF(OR($N349="", $O349=""),"",IF($N349&gt;=Lists!$AG$2,IF($O349&gt;=Lists!$AG$4,"High Value / High Risk","High Value / Low Risk"),IF($O349&gt;=Lists!$AG$4,"Low Value / High Risk","Low Value / Low Risk")))</f>
        <v/>
      </c>
      <c r="AF349" s="101"/>
      <c r="AG349" s="126"/>
      <c r="AH349" s="106" t="str">
        <f aca="false">IF($B349="","",COUNTIFS('Debt Backlog'!$AF$2:$AF$1000,$A349,'Debt Backlog'!$B$2:$B$1000,"&lt;&gt;",'Debt Backlog'!$N$2:$N$1000,"&lt;&gt;Done",'Debt Backlog'!$N$2:$N$1000,"&lt;&gt;Won't Fix",'Debt Backlog'!$N$2:$N$1000,"&lt;&gt;Duplicate"))</f>
        <v/>
      </c>
      <c r="AI349" s="103" t="str">
        <f aca="false">IF($B349="","",ROUND(SUMIFS('Debt Backlog'!$L$2:$L$1000,'Debt Backlog'!$AF$2:$AF$1000,$A349,'Debt Backlog'!$B$2:$B$1000,"&lt;&gt;",'Debt Backlog'!$N$2:$N$1000,"&lt;&gt;Done",'Debt Backlog'!$N$2:$N$1000,"&lt;&gt;Won't Fix",'Debt Backlog'!$N$2:$N$1000,"&lt;&gt;Duplicate"),2))</f>
        <v/>
      </c>
    </row>
    <row r="350" customFormat="false" ht="15.75" hidden="false" customHeight="true" outlineLevel="0" collapsed="false">
      <c r="A350" s="125"/>
      <c r="B350" s="101"/>
      <c r="C350" s="101"/>
      <c r="D350" s="101"/>
      <c r="E350" s="101"/>
      <c r="F350" s="101"/>
      <c r="G350" s="101"/>
      <c r="H350" s="101"/>
      <c r="I350" s="106"/>
      <c r="J350" s="106"/>
      <c r="K350" s="106"/>
      <c r="L350" s="106"/>
      <c r="M350" s="106"/>
      <c r="N350" s="103" t="str">
        <f aca="false">IF(OR($B350="", $I350="", $J350="", $K350="", $L350="", $M350=""),"",ROUND(($I350*Lists!$AD$2)+($J350*Lists!$AD$3)+($K350*Lists!$AD$4)+($L350*Lists!$AD$5)+($M350*Lists!$AD$6),2))</f>
        <v/>
      </c>
      <c r="O350" s="103" t="str">
        <f aca="false">IF($A350="","",IFERROR(VLOOKUP($A350,'Risk Register'!$B$2:$I$1000,8,FALSE()),""))</f>
        <v/>
      </c>
      <c r="P350" s="106"/>
      <c r="Q350" s="106"/>
      <c r="R350" s="106"/>
      <c r="S350" s="106"/>
      <c r="T350" s="103" t="str">
        <f aca="false">IF(OR($B350="", $P350="", $Q350="", $R350="", $S350=""),"",ROUND(($P350*Lists!$AD$7)+($Q350*Lists!$AD$8)+($R350*Lists!$AD$9)+($S350*Lists!$AD$10),2))</f>
        <v/>
      </c>
      <c r="U350" s="106"/>
      <c r="V350" s="106"/>
      <c r="W350" s="106"/>
      <c r="X350" s="106"/>
      <c r="Y350" s="106"/>
      <c r="Z350" s="103" t="str">
        <f aca="false">IF(OR($B350="", $U350="", $V350="", $W350="", $X350="", $Y350=""),"",ROUND(($U350*Lists!$AD$11)+($V350*Lists!$AD$12)+($W350*Lists!$AD$13)+($X350*Lists!$AD$14)+($Y350*Lists!$AD$15),2))</f>
        <v/>
      </c>
      <c r="AA350" s="103" t="str">
        <f aca="false">IF(OR($B350="", $N350="", $O350="", $T350="", $Z350=""),"",ROUND(($N350*Lists!$AD$16)-($O350*Lists!$AD$17)-($T350*Lists!$AD$18)+($Z350*Lists!$AD$19),2))</f>
        <v/>
      </c>
      <c r="AB350" s="102" t="str">
        <f aca="false">IF(OR($B350="", $N350="", $Z350=""),"",IF($N350&gt;=Lists!$AG$2,IF($Z350&gt;=Lists!$AG$3,"Invest","Migrate"),IF($Z350&gt;=Lists!$AG$3,"Tolerate","Eliminate")))</f>
        <v/>
      </c>
      <c r="AC350" s="102" t="str">
        <f aca="false">IF($B350="","",IF($J350&gt;=4,"Yes",""))</f>
        <v/>
      </c>
      <c r="AD350" s="102" t="str">
        <f aca="false">IF($A350="","",IFERROR(IF(VLOOKUP($A350,'Risk Register'!$B$2:$H$1000,4,FALSE())&gt;=4,"Yes",""),""))</f>
        <v/>
      </c>
      <c r="AE350" s="102" t="str">
        <f aca="false">IF(OR($N350="", $O350=""),"",IF($N350&gt;=Lists!$AG$2,IF($O350&gt;=Lists!$AG$4,"High Value / High Risk","High Value / Low Risk"),IF($O350&gt;=Lists!$AG$4,"Low Value / High Risk","Low Value / Low Risk")))</f>
        <v/>
      </c>
      <c r="AF350" s="101"/>
      <c r="AG350" s="126"/>
      <c r="AH350" s="106" t="str">
        <f aca="false">IF($B350="","",COUNTIFS('Debt Backlog'!$AF$2:$AF$1000,$A350,'Debt Backlog'!$B$2:$B$1000,"&lt;&gt;",'Debt Backlog'!$N$2:$N$1000,"&lt;&gt;Done",'Debt Backlog'!$N$2:$N$1000,"&lt;&gt;Won't Fix",'Debt Backlog'!$N$2:$N$1000,"&lt;&gt;Duplicate"))</f>
        <v/>
      </c>
      <c r="AI350" s="103" t="str">
        <f aca="false">IF($B350="","",ROUND(SUMIFS('Debt Backlog'!$L$2:$L$1000,'Debt Backlog'!$AF$2:$AF$1000,$A350,'Debt Backlog'!$B$2:$B$1000,"&lt;&gt;",'Debt Backlog'!$N$2:$N$1000,"&lt;&gt;Done",'Debt Backlog'!$N$2:$N$1000,"&lt;&gt;Won't Fix",'Debt Backlog'!$N$2:$N$1000,"&lt;&gt;Duplicate"),2))</f>
        <v/>
      </c>
    </row>
    <row r="351" customFormat="false" ht="15.75" hidden="false" customHeight="true" outlineLevel="0" collapsed="false">
      <c r="A351" s="125"/>
      <c r="B351" s="101"/>
      <c r="C351" s="101"/>
      <c r="D351" s="101"/>
      <c r="E351" s="101"/>
      <c r="F351" s="101"/>
      <c r="G351" s="101"/>
      <c r="H351" s="101"/>
      <c r="I351" s="106"/>
      <c r="J351" s="106"/>
      <c r="K351" s="106"/>
      <c r="L351" s="106"/>
      <c r="M351" s="106"/>
      <c r="N351" s="103" t="str">
        <f aca="false">IF(OR($B351="", $I351="", $J351="", $K351="", $L351="", $M351=""),"",ROUND(($I351*Lists!$AD$2)+($J351*Lists!$AD$3)+($K351*Lists!$AD$4)+($L351*Lists!$AD$5)+($M351*Lists!$AD$6),2))</f>
        <v/>
      </c>
      <c r="O351" s="103" t="str">
        <f aca="false">IF($A351="","",IFERROR(VLOOKUP($A351,'Risk Register'!$B$2:$I$1000,8,FALSE()),""))</f>
        <v/>
      </c>
      <c r="P351" s="106"/>
      <c r="Q351" s="106"/>
      <c r="R351" s="106"/>
      <c r="S351" s="106"/>
      <c r="T351" s="103" t="str">
        <f aca="false">IF(OR($B351="", $P351="", $Q351="", $R351="", $S351=""),"",ROUND(($P351*Lists!$AD$7)+($Q351*Lists!$AD$8)+($R351*Lists!$AD$9)+($S351*Lists!$AD$10),2))</f>
        <v/>
      </c>
      <c r="U351" s="106"/>
      <c r="V351" s="106"/>
      <c r="W351" s="106"/>
      <c r="X351" s="106"/>
      <c r="Y351" s="106"/>
      <c r="Z351" s="103" t="str">
        <f aca="false">IF(OR($B351="", $U351="", $V351="", $W351="", $X351="", $Y351=""),"",ROUND(($U351*Lists!$AD$11)+($V351*Lists!$AD$12)+($W351*Lists!$AD$13)+($X351*Lists!$AD$14)+($Y351*Lists!$AD$15),2))</f>
        <v/>
      </c>
      <c r="AA351" s="103" t="str">
        <f aca="false">IF(OR($B351="", $N351="", $O351="", $T351="", $Z351=""),"",ROUND(($N351*Lists!$AD$16)-($O351*Lists!$AD$17)-($T351*Lists!$AD$18)+($Z351*Lists!$AD$19),2))</f>
        <v/>
      </c>
      <c r="AB351" s="102" t="str">
        <f aca="false">IF(OR($B351="", $N351="", $Z351=""),"",IF($N351&gt;=Lists!$AG$2,IF($Z351&gt;=Lists!$AG$3,"Invest","Migrate"),IF($Z351&gt;=Lists!$AG$3,"Tolerate","Eliminate")))</f>
        <v/>
      </c>
      <c r="AC351" s="102" t="str">
        <f aca="false">IF($B351="","",IF($J351&gt;=4,"Yes",""))</f>
        <v/>
      </c>
      <c r="AD351" s="102" t="str">
        <f aca="false">IF($A351="","",IFERROR(IF(VLOOKUP($A351,'Risk Register'!$B$2:$H$1000,4,FALSE())&gt;=4,"Yes",""),""))</f>
        <v/>
      </c>
      <c r="AE351" s="102" t="str">
        <f aca="false">IF(OR($N351="", $O351=""),"",IF($N351&gt;=Lists!$AG$2,IF($O351&gt;=Lists!$AG$4,"High Value / High Risk","High Value / Low Risk"),IF($O351&gt;=Lists!$AG$4,"Low Value / High Risk","Low Value / Low Risk")))</f>
        <v/>
      </c>
      <c r="AF351" s="101"/>
      <c r="AG351" s="126"/>
      <c r="AH351" s="106" t="str">
        <f aca="false">IF($B351="","",COUNTIFS('Debt Backlog'!$AF$2:$AF$1000,$A351,'Debt Backlog'!$B$2:$B$1000,"&lt;&gt;",'Debt Backlog'!$N$2:$N$1000,"&lt;&gt;Done",'Debt Backlog'!$N$2:$N$1000,"&lt;&gt;Won't Fix",'Debt Backlog'!$N$2:$N$1000,"&lt;&gt;Duplicate"))</f>
        <v/>
      </c>
      <c r="AI351" s="103" t="str">
        <f aca="false">IF($B351="","",ROUND(SUMIFS('Debt Backlog'!$L$2:$L$1000,'Debt Backlog'!$AF$2:$AF$1000,$A351,'Debt Backlog'!$B$2:$B$1000,"&lt;&gt;",'Debt Backlog'!$N$2:$N$1000,"&lt;&gt;Done",'Debt Backlog'!$N$2:$N$1000,"&lt;&gt;Won't Fix",'Debt Backlog'!$N$2:$N$1000,"&lt;&gt;Duplicate"),2))</f>
        <v/>
      </c>
    </row>
    <row r="352" customFormat="false" ht="15.75" hidden="false" customHeight="true" outlineLevel="0" collapsed="false">
      <c r="A352" s="125"/>
      <c r="B352" s="101"/>
      <c r="C352" s="101"/>
      <c r="D352" s="101"/>
      <c r="E352" s="101"/>
      <c r="F352" s="101"/>
      <c r="G352" s="101"/>
      <c r="H352" s="101"/>
      <c r="I352" s="106"/>
      <c r="J352" s="106"/>
      <c r="K352" s="106"/>
      <c r="L352" s="106"/>
      <c r="M352" s="106"/>
      <c r="N352" s="103" t="str">
        <f aca="false">IF(OR($B352="", $I352="", $J352="", $K352="", $L352="", $M352=""),"",ROUND(($I352*Lists!$AD$2)+($J352*Lists!$AD$3)+($K352*Lists!$AD$4)+($L352*Lists!$AD$5)+($M352*Lists!$AD$6),2))</f>
        <v/>
      </c>
      <c r="O352" s="103" t="str">
        <f aca="false">IF($A352="","",IFERROR(VLOOKUP($A352,'Risk Register'!$B$2:$I$1000,8,FALSE()),""))</f>
        <v/>
      </c>
      <c r="P352" s="106"/>
      <c r="Q352" s="106"/>
      <c r="R352" s="106"/>
      <c r="S352" s="106"/>
      <c r="T352" s="103" t="str">
        <f aca="false">IF(OR($B352="", $P352="", $Q352="", $R352="", $S352=""),"",ROUND(($P352*Lists!$AD$7)+($Q352*Lists!$AD$8)+($R352*Lists!$AD$9)+($S352*Lists!$AD$10),2))</f>
        <v/>
      </c>
      <c r="U352" s="106"/>
      <c r="V352" s="106"/>
      <c r="W352" s="106"/>
      <c r="X352" s="106"/>
      <c r="Y352" s="106"/>
      <c r="Z352" s="103" t="str">
        <f aca="false">IF(OR($B352="", $U352="", $V352="", $W352="", $X352="", $Y352=""),"",ROUND(($U352*Lists!$AD$11)+($V352*Lists!$AD$12)+($W352*Lists!$AD$13)+($X352*Lists!$AD$14)+($Y352*Lists!$AD$15),2))</f>
        <v/>
      </c>
      <c r="AA352" s="103" t="str">
        <f aca="false">IF(OR($B352="", $N352="", $O352="", $T352="", $Z352=""),"",ROUND(($N352*Lists!$AD$16)-($O352*Lists!$AD$17)-($T352*Lists!$AD$18)+($Z352*Lists!$AD$19),2))</f>
        <v/>
      </c>
      <c r="AB352" s="102" t="str">
        <f aca="false">IF(OR($B352="", $N352="", $Z352=""),"",IF($N352&gt;=Lists!$AG$2,IF($Z352&gt;=Lists!$AG$3,"Invest","Migrate"),IF($Z352&gt;=Lists!$AG$3,"Tolerate","Eliminate")))</f>
        <v/>
      </c>
      <c r="AC352" s="102" t="str">
        <f aca="false">IF($B352="","",IF($J352&gt;=4,"Yes",""))</f>
        <v/>
      </c>
      <c r="AD352" s="102" t="str">
        <f aca="false">IF($A352="","",IFERROR(IF(VLOOKUP($A352,'Risk Register'!$B$2:$H$1000,4,FALSE())&gt;=4,"Yes",""),""))</f>
        <v/>
      </c>
      <c r="AE352" s="102" t="str">
        <f aca="false">IF(OR($N352="", $O352=""),"",IF($N352&gt;=Lists!$AG$2,IF($O352&gt;=Lists!$AG$4,"High Value / High Risk","High Value / Low Risk"),IF($O352&gt;=Lists!$AG$4,"Low Value / High Risk","Low Value / Low Risk")))</f>
        <v/>
      </c>
      <c r="AF352" s="101"/>
      <c r="AG352" s="126"/>
      <c r="AH352" s="106" t="str">
        <f aca="false">IF($B352="","",COUNTIFS('Debt Backlog'!$AF$2:$AF$1000,$A352,'Debt Backlog'!$B$2:$B$1000,"&lt;&gt;",'Debt Backlog'!$N$2:$N$1000,"&lt;&gt;Done",'Debt Backlog'!$N$2:$N$1000,"&lt;&gt;Won't Fix",'Debt Backlog'!$N$2:$N$1000,"&lt;&gt;Duplicate"))</f>
        <v/>
      </c>
      <c r="AI352" s="103" t="str">
        <f aca="false">IF($B352="","",ROUND(SUMIFS('Debt Backlog'!$L$2:$L$1000,'Debt Backlog'!$AF$2:$AF$1000,$A352,'Debt Backlog'!$B$2:$B$1000,"&lt;&gt;",'Debt Backlog'!$N$2:$N$1000,"&lt;&gt;Done",'Debt Backlog'!$N$2:$N$1000,"&lt;&gt;Won't Fix",'Debt Backlog'!$N$2:$N$1000,"&lt;&gt;Duplicate"),2))</f>
        <v/>
      </c>
    </row>
    <row r="353" customFormat="false" ht="15.75" hidden="false" customHeight="true" outlineLevel="0" collapsed="false">
      <c r="A353" s="125"/>
      <c r="B353" s="101"/>
      <c r="C353" s="101"/>
      <c r="D353" s="101"/>
      <c r="E353" s="101"/>
      <c r="F353" s="101"/>
      <c r="G353" s="101"/>
      <c r="H353" s="101"/>
      <c r="I353" s="106"/>
      <c r="J353" s="106"/>
      <c r="K353" s="106"/>
      <c r="L353" s="106"/>
      <c r="M353" s="106"/>
      <c r="N353" s="103" t="str">
        <f aca="false">IF(OR($B353="", $I353="", $J353="", $K353="", $L353="", $M353=""),"",ROUND(($I353*Lists!$AD$2)+($J353*Lists!$AD$3)+($K353*Lists!$AD$4)+($L353*Lists!$AD$5)+($M353*Lists!$AD$6),2))</f>
        <v/>
      </c>
      <c r="O353" s="103" t="str">
        <f aca="false">IF($A353="","",IFERROR(VLOOKUP($A353,'Risk Register'!$B$2:$I$1000,8,FALSE()),""))</f>
        <v/>
      </c>
      <c r="P353" s="106"/>
      <c r="Q353" s="106"/>
      <c r="R353" s="106"/>
      <c r="S353" s="106"/>
      <c r="T353" s="103" t="str">
        <f aca="false">IF(OR($B353="", $P353="", $Q353="", $R353="", $S353=""),"",ROUND(($P353*Lists!$AD$7)+($Q353*Lists!$AD$8)+($R353*Lists!$AD$9)+($S353*Lists!$AD$10),2))</f>
        <v/>
      </c>
      <c r="U353" s="106"/>
      <c r="V353" s="106"/>
      <c r="W353" s="106"/>
      <c r="X353" s="106"/>
      <c r="Y353" s="106"/>
      <c r="Z353" s="103" t="str">
        <f aca="false">IF(OR($B353="", $U353="", $V353="", $W353="", $X353="", $Y353=""),"",ROUND(($U353*Lists!$AD$11)+($V353*Lists!$AD$12)+($W353*Lists!$AD$13)+($X353*Lists!$AD$14)+($Y353*Lists!$AD$15),2))</f>
        <v/>
      </c>
      <c r="AA353" s="103" t="str">
        <f aca="false">IF(OR($B353="", $N353="", $O353="", $T353="", $Z353=""),"",ROUND(($N353*Lists!$AD$16)-($O353*Lists!$AD$17)-($T353*Lists!$AD$18)+($Z353*Lists!$AD$19),2))</f>
        <v/>
      </c>
      <c r="AB353" s="102" t="str">
        <f aca="false">IF(OR($B353="", $N353="", $Z353=""),"",IF($N353&gt;=Lists!$AG$2,IF($Z353&gt;=Lists!$AG$3,"Invest","Migrate"),IF($Z353&gt;=Lists!$AG$3,"Tolerate","Eliminate")))</f>
        <v/>
      </c>
      <c r="AC353" s="102" t="str">
        <f aca="false">IF($B353="","",IF($J353&gt;=4,"Yes",""))</f>
        <v/>
      </c>
      <c r="AD353" s="102" t="str">
        <f aca="false">IF($A353="","",IFERROR(IF(VLOOKUP($A353,'Risk Register'!$B$2:$H$1000,4,FALSE())&gt;=4,"Yes",""),""))</f>
        <v/>
      </c>
      <c r="AE353" s="102" t="str">
        <f aca="false">IF(OR($N353="", $O353=""),"",IF($N353&gt;=Lists!$AG$2,IF($O353&gt;=Lists!$AG$4,"High Value / High Risk","High Value / Low Risk"),IF($O353&gt;=Lists!$AG$4,"Low Value / High Risk","Low Value / Low Risk")))</f>
        <v/>
      </c>
      <c r="AF353" s="101"/>
      <c r="AG353" s="126"/>
      <c r="AH353" s="106" t="str">
        <f aca="false">IF($B353="","",COUNTIFS('Debt Backlog'!$AF$2:$AF$1000,$A353,'Debt Backlog'!$B$2:$B$1000,"&lt;&gt;",'Debt Backlog'!$N$2:$N$1000,"&lt;&gt;Done",'Debt Backlog'!$N$2:$N$1000,"&lt;&gt;Won't Fix",'Debt Backlog'!$N$2:$N$1000,"&lt;&gt;Duplicate"))</f>
        <v/>
      </c>
      <c r="AI353" s="103" t="str">
        <f aca="false">IF($B353="","",ROUND(SUMIFS('Debt Backlog'!$L$2:$L$1000,'Debt Backlog'!$AF$2:$AF$1000,$A353,'Debt Backlog'!$B$2:$B$1000,"&lt;&gt;",'Debt Backlog'!$N$2:$N$1000,"&lt;&gt;Done",'Debt Backlog'!$N$2:$N$1000,"&lt;&gt;Won't Fix",'Debt Backlog'!$N$2:$N$1000,"&lt;&gt;Duplicate"),2))</f>
        <v/>
      </c>
    </row>
    <row r="354" customFormat="false" ht="15.75" hidden="false" customHeight="true" outlineLevel="0" collapsed="false">
      <c r="A354" s="125"/>
      <c r="B354" s="101"/>
      <c r="C354" s="101"/>
      <c r="D354" s="101"/>
      <c r="E354" s="101"/>
      <c r="F354" s="101"/>
      <c r="G354" s="101"/>
      <c r="H354" s="101"/>
      <c r="I354" s="106"/>
      <c r="J354" s="106"/>
      <c r="K354" s="106"/>
      <c r="L354" s="106"/>
      <c r="M354" s="106"/>
      <c r="N354" s="103" t="str">
        <f aca="false">IF(OR($B354="", $I354="", $J354="", $K354="", $L354="", $M354=""),"",ROUND(($I354*Lists!$AD$2)+($J354*Lists!$AD$3)+($K354*Lists!$AD$4)+($L354*Lists!$AD$5)+($M354*Lists!$AD$6),2))</f>
        <v/>
      </c>
      <c r="O354" s="103" t="str">
        <f aca="false">IF($A354="","",IFERROR(VLOOKUP($A354,'Risk Register'!$B$2:$I$1000,8,FALSE()),""))</f>
        <v/>
      </c>
      <c r="P354" s="106"/>
      <c r="Q354" s="106"/>
      <c r="R354" s="106"/>
      <c r="S354" s="106"/>
      <c r="T354" s="103" t="str">
        <f aca="false">IF(OR($B354="", $P354="", $Q354="", $R354="", $S354=""),"",ROUND(($P354*Lists!$AD$7)+($Q354*Lists!$AD$8)+($R354*Lists!$AD$9)+($S354*Lists!$AD$10),2))</f>
        <v/>
      </c>
      <c r="U354" s="106"/>
      <c r="V354" s="106"/>
      <c r="W354" s="106"/>
      <c r="X354" s="106"/>
      <c r="Y354" s="106"/>
      <c r="Z354" s="103" t="str">
        <f aca="false">IF(OR($B354="", $U354="", $V354="", $W354="", $X354="", $Y354=""),"",ROUND(($U354*Lists!$AD$11)+($V354*Lists!$AD$12)+($W354*Lists!$AD$13)+($X354*Lists!$AD$14)+($Y354*Lists!$AD$15),2))</f>
        <v/>
      </c>
      <c r="AA354" s="103" t="str">
        <f aca="false">IF(OR($B354="", $N354="", $O354="", $T354="", $Z354=""),"",ROUND(($N354*Lists!$AD$16)-($O354*Lists!$AD$17)-($T354*Lists!$AD$18)+($Z354*Lists!$AD$19),2))</f>
        <v/>
      </c>
      <c r="AB354" s="102" t="str">
        <f aca="false">IF(OR($B354="", $N354="", $Z354=""),"",IF($N354&gt;=Lists!$AG$2,IF($Z354&gt;=Lists!$AG$3,"Invest","Migrate"),IF($Z354&gt;=Lists!$AG$3,"Tolerate","Eliminate")))</f>
        <v/>
      </c>
      <c r="AC354" s="102" t="str">
        <f aca="false">IF($B354="","",IF($J354&gt;=4,"Yes",""))</f>
        <v/>
      </c>
      <c r="AD354" s="102" t="str">
        <f aca="false">IF($A354="","",IFERROR(IF(VLOOKUP($A354,'Risk Register'!$B$2:$H$1000,4,FALSE())&gt;=4,"Yes",""),""))</f>
        <v/>
      </c>
      <c r="AE354" s="102" t="str">
        <f aca="false">IF(OR($N354="", $O354=""),"",IF($N354&gt;=Lists!$AG$2,IF($O354&gt;=Lists!$AG$4,"High Value / High Risk","High Value / Low Risk"),IF($O354&gt;=Lists!$AG$4,"Low Value / High Risk","Low Value / Low Risk")))</f>
        <v/>
      </c>
      <c r="AF354" s="101"/>
      <c r="AG354" s="126"/>
      <c r="AH354" s="106" t="str">
        <f aca="false">IF($B354="","",COUNTIFS('Debt Backlog'!$AF$2:$AF$1000,$A354,'Debt Backlog'!$B$2:$B$1000,"&lt;&gt;",'Debt Backlog'!$N$2:$N$1000,"&lt;&gt;Done",'Debt Backlog'!$N$2:$N$1000,"&lt;&gt;Won't Fix",'Debt Backlog'!$N$2:$N$1000,"&lt;&gt;Duplicate"))</f>
        <v/>
      </c>
      <c r="AI354" s="103" t="str">
        <f aca="false">IF($B354="","",ROUND(SUMIFS('Debt Backlog'!$L$2:$L$1000,'Debt Backlog'!$AF$2:$AF$1000,$A354,'Debt Backlog'!$B$2:$B$1000,"&lt;&gt;",'Debt Backlog'!$N$2:$N$1000,"&lt;&gt;Done",'Debt Backlog'!$N$2:$N$1000,"&lt;&gt;Won't Fix",'Debt Backlog'!$N$2:$N$1000,"&lt;&gt;Duplicate"),2))</f>
        <v/>
      </c>
    </row>
    <row r="355" customFormat="false" ht="15.75" hidden="false" customHeight="true" outlineLevel="0" collapsed="false">
      <c r="A355" s="125"/>
      <c r="B355" s="101"/>
      <c r="C355" s="101"/>
      <c r="D355" s="101"/>
      <c r="E355" s="101"/>
      <c r="F355" s="101"/>
      <c r="G355" s="101"/>
      <c r="H355" s="101"/>
      <c r="I355" s="106"/>
      <c r="J355" s="106"/>
      <c r="K355" s="106"/>
      <c r="L355" s="106"/>
      <c r="M355" s="106"/>
      <c r="N355" s="103" t="str">
        <f aca="false">IF(OR($B355="", $I355="", $J355="", $K355="", $L355="", $M355=""),"",ROUND(($I355*Lists!$AD$2)+($J355*Lists!$AD$3)+($K355*Lists!$AD$4)+($L355*Lists!$AD$5)+($M355*Lists!$AD$6),2))</f>
        <v/>
      </c>
      <c r="O355" s="103" t="str">
        <f aca="false">IF($A355="","",IFERROR(VLOOKUP($A355,'Risk Register'!$B$2:$I$1000,8,FALSE()),""))</f>
        <v/>
      </c>
      <c r="P355" s="106"/>
      <c r="Q355" s="106"/>
      <c r="R355" s="106"/>
      <c r="S355" s="106"/>
      <c r="T355" s="103" t="str">
        <f aca="false">IF(OR($B355="", $P355="", $Q355="", $R355="", $S355=""),"",ROUND(($P355*Lists!$AD$7)+($Q355*Lists!$AD$8)+($R355*Lists!$AD$9)+($S355*Lists!$AD$10),2))</f>
        <v/>
      </c>
      <c r="U355" s="106"/>
      <c r="V355" s="106"/>
      <c r="W355" s="106"/>
      <c r="X355" s="106"/>
      <c r="Y355" s="106"/>
      <c r="Z355" s="103" t="str">
        <f aca="false">IF(OR($B355="", $U355="", $V355="", $W355="", $X355="", $Y355=""),"",ROUND(($U355*Lists!$AD$11)+($V355*Lists!$AD$12)+($W355*Lists!$AD$13)+($X355*Lists!$AD$14)+($Y355*Lists!$AD$15),2))</f>
        <v/>
      </c>
      <c r="AA355" s="103" t="str">
        <f aca="false">IF(OR($B355="", $N355="", $O355="", $T355="", $Z355=""),"",ROUND(($N355*Lists!$AD$16)-($O355*Lists!$AD$17)-($T355*Lists!$AD$18)+($Z355*Lists!$AD$19),2))</f>
        <v/>
      </c>
      <c r="AB355" s="102" t="str">
        <f aca="false">IF(OR($B355="", $N355="", $Z355=""),"",IF($N355&gt;=Lists!$AG$2,IF($Z355&gt;=Lists!$AG$3,"Invest","Migrate"),IF($Z355&gt;=Lists!$AG$3,"Tolerate","Eliminate")))</f>
        <v/>
      </c>
      <c r="AC355" s="102" t="str">
        <f aca="false">IF($B355="","",IF($J355&gt;=4,"Yes",""))</f>
        <v/>
      </c>
      <c r="AD355" s="102" t="str">
        <f aca="false">IF($A355="","",IFERROR(IF(VLOOKUP($A355,'Risk Register'!$B$2:$H$1000,4,FALSE())&gt;=4,"Yes",""),""))</f>
        <v/>
      </c>
      <c r="AE355" s="102" t="str">
        <f aca="false">IF(OR($N355="", $O355=""),"",IF($N355&gt;=Lists!$AG$2,IF($O355&gt;=Lists!$AG$4,"High Value / High Risk","High Value / Low Risk"),IF($O355&gt;=Lists!$AG$4,"Low Value / High Risk","Low Value / Low Risk")))</f>
        <v/>
      </c>
      <c r="AF355" s="101"/>
      <c r="AG355" s="126"/>
      <c r="AH355" s="106" t="str">
        <f aca="false">IF($B355="","",COUNTIFS('Debt Backlog'!$AF$2:$AF$1000,$A355,'Debt Backlog'!$B$2:$B$1000,"&lt;&gt;",'Debt Backlog'!$N$2:$N$1000,"&lt;&gt;Done",'Debt Backlog'!$N$2:$N$1000,"&lt;&gt;Won't Fix",'Debt Backlog'!$N$2:$N$1000,"&lt;&gt;Duplicate"))</f>
        <v/>
      </c>
      <c r="AI355" s="103" t="str">
        <f aca="false">IF($B355="","",ROUND(SUMIFS('Debt Backlog'!$L$2:$L$1000,'Debt Backlog'!$AF$2:$AF$1000,$A355,'Debt Backlog'!$B$2:$B$1000,"&lt;&gt;",'Debt Backlog'!$N$2:$N$1000,"&lt;&gt;Done",'Debt Backlog'!$N$2:$N$1000,"&lt;&gt;Won't Fix",'Debt Backlog'!$N$2:$N$1000,"&lt;&gt;Duplicate"),2))</f>
        <v/>
      </c>
    </row>
    <row r="356" customFormat="false" ht="15.75" hidden="false" customHeight="true" outlineLevel="0" collapsed="false">
      <c r="A356" s="125"/>
      <c r="B356" s="101"/>
      <c r="C356" s="101"/>
      <c r="D356" s="101"/>
      <c r="E356" s="101"/>
      <c r="F356" s="101"/>
      <c r="G356" s="101"/>
      <c r="H356" s="101"/>
      <c r="I356" s="106"/>
      <c r="J356" s="106"/>
      <c r="K356" s="106"/>
      <c r="L356" s="106"/>
      <c r="M356" s="106"/>
      <c r="N356" s="103" t="str">
        <f aca="false">IF(OR($B356="", $I356="", $J356="", $K356="", $L356="", $M356=""),"",ROUND(($I356*Lists!$AD$2)+($J356*Lists!$AD$3)+($K356*Lists!$AD$4)+($L356*Lists!$AD$5)+($M356*Lists!$AD$6),2))</f>
        <v/>
      </c>
      <c r="O356" s="103" t="str">
        <f aca="false">IF($A356="","",IFERROR(VLOOKUP($A356,'Risk Register'!$B$2:$I$1000,8,FALSE()),""))</f>
        <v/>
      </c>
      <c r="P356" s="106"/>
      <c r="Q356" s="106"/>
      <c r="R356" s="106"/>
      <c r="S356" s="106"/>
      <c r="T356" s="103" t="str">
        <f aca="false">IF(OR($B356="", $P356="", $Q356="", $R356="", $S356=""),"",ROUND(($P356*Lists!$AD$7)+($Q356*Lists!$AD$8)+($R356*Lists!$AD$9)+($S356*Lists!$AD$10),2))</f>
        <v/>
      </c>
      <c r="U356" s="106"/>
      <c r="V356" s="106"/>
      <c r="W356" s="106"/>
      <c r="X356" s="106"/>
      <c r="Y356" s="106"/>
      <c r="Z356" s="103" t="str">
        <f aca="false">IF(OR($B356="", $U356="", $V356="", $W356="", $X356="", $Y356=""),"",ROUND(($U356*Lists!$AD$11)+($V356*Lists!$AD$12)+($W356*Lists!$AD$13)+($X356*Lists!$AD$14)+($Y356*Lists!$AD$15),2))</f>
        <v/>
      </c>
      <c r="AA356" s="103" t="str">
        <f aca="false">IF(OR($B356="", $N356="", $O356="", $T356="", $Z356=""),"",ROUND(($N356*Lists!$AD$16)-($O356*Lists!$AD$17)-($T356*Lists!$AD$18)+($Z356*Lists!$AD$19),2))</f>
        <v/>
      </c>
      <c r="AB356" s="102" t="str">
        <f aca="false">IF(OR($B356="", $N356="", $Z356=""),"",IF($N356&gt;=Lists!$AG$2,IF($Z356&gt;=Lists!$AG$3,"Invest","Migrate"),IF($Z356&gt;=Lists!$AG$3,"Tolerate","Eliminate")))</f>
        <v/>
      </c>
      <c r="AC356" s="102" t="str">
        <f aca="false">IF($B356="","",IF($J356&gt;=4,"Yes",""))</f>
        <v/>
      </c>
      <c r="AD356" s="102" t="str">
        <f aca="false">IF($A356="","",IFERROR(IF(VLOOKUP($A356,'Risk Register'!$B$2:$H$1000,4,FALSE())&gt;=4,"Yes",""),""))</f>
        <v/>
      </c>
      <c r="AE356" s="102" t="str">
        <f aca="false">IF(OR($N356="", $O356=""),"",IF($N356&gt;=Lists!$AG$2,IF($O356&gt;=Lists!$AG$4,"High Value / High Risk","High Value / Low Risk"),IF($O356&gt;=Lists!$AG$4,"Low Value / High Risk","Low Value / Low Risk")))</f>
        <v/>
      </c>
      <c r="AF356" s="101"/>
      <c r="AG356" s="126"/>
      <c r="AH356" s="106" t="str">
        <f aca="false">IF($B356="","",COUNTIFS('Debt Backlog'!$AF$2:$AF$1000,$A356,'Debt Backlog'!$B$2:$B$1000,"&lt;&gt;",'Debt Backlog'!$N$2:$N$1000,"&lt;&gt;Done",'Debt Backlog'!$N$2:$N$1000,"&lt;&gt;Won't Fix",'Debt Backlog'!$N$2:$N$1000,"&lt;&gt;Duplicate"))</f>
        <v/>
      </c>
      <c r="AI356" s="103" t="str">
        <f aca="false">IF($B356="","",ROUND(SUMIFS('Debt Backlog'!$L$2:$L$1000,'Debt Backlog'!$AF$2:$AF$1000,$A356,'Debt Backlog'!$B$2:$B$1000,"&lt;&gt;",'Debt Backlog'!$N$2:$N$1000,"&lt;&gt;Done",'Debt Backlog'!$N$2:$N$1000,"&lt;&gt;Won't Fix",'Debt Backlog'!$N$2:$N$1000,"&lt;&gt;Duplicate"),2))</f>
        <v/>
      </c>
    </row>
    <row r="357" customFormat="false" ht="15.75" hidden="false" customHeight="true" outlineLevel="0" collapsed="false">
      <c r="A357" s="125"/>
      <c r="B357" s="101"/>
      <c r="C357" s="101"/>
      <c r="D357" s="101"/>
      <c r="E357" s="101"/>
      <c r="F357" s="101"/>
      <c r="G357" s="101"/>
      <c r="H357" s="101"/>
      <c r="I357" s="106"/>
      <c r="J357" s="106"/>
      <c r="K357" s="106"/>
      <c r="L357" s="106"/>
      <c r="M357" s="106"/>
      <c r="N357" s="103" t="str">
        <f aca="false">IF(OR($B357="", $I357="", $J357="", $K357="", $L357="", $M357=""),"",ROUND(($I357*Lists!$AD$2)+($J357*Lists!$AD$3)+($K357*Lists!$AD$4)+($L357*Lists!$AD$5)+($M357*Lists!$AD$6),2))</f>
        <v/>
      </c>
      <c r="O357" s="103" t="str">
        <f aca="false">IF($A357="","",IFERROR(VLOOKUP($A357,'Risk Register'!$B$2:$I$1000,8,FALSE()),""))</f>
        <v/>
      </c>
      <c r="P357" s="106"/>
      <c r="Q357" s="106"/>
      <c r="R357" s="106"/>
      <c r="S357" s="106"/>
      <c r="T357" s="103" t="str">
        <f aca="false">IF(OR($B357="", $P357="", $Q357="", $R357="", $S357=""),"",ROUND(($P357*Lists!$AD$7)+($Q357*Lists!$AD$8)+($R357*Lists!$AD$9)+($S357*Lists!$AD$10),2))</f>
        <v/>
      </c>
      <c r="U357" s="106"/>
      <c r="V357" s="106"/>
      <c r="W357" s="106"/>
      <c r="X357" s="106"/>
      <c r="Y357" s="106"/>
      <c r="Z357" s="103" t="str">
        <f aca="false">IF(OR($B357="", $U357="", $V357="", $W357="", $X357="", $Y357=""),"",ROUND(($U357*Lists!$AD$11)+($V357*Lists!$AD$12)+($W357*Lists!$AD$13)+($X357*Lists!$AD$14)+($Y357*Lists!$AD$15),2))</f>
        <v/>
      </c>
      <c r="AA357" s="103" t="str">
        <f aca="false">IF(OR($B357="", $N357="", $O357="", $T357="", $Z357=""),"",ROUND(($N357*Lists!$AD$16)-($O357*Lists!$AD$17)-($T357*Lists!$AD$18)+($Z357*Lists!$AD$19),2))</f>
        <v/>
      </c>
      <c r="AB357" s="102" t="str">
        <f aca="false">IF(OR($B357="", $N357="", $Z357=""),"",IF($N357&gt;=Lists!$AG$2,IF($Z357&gt;=Lists!$AG$3,"Invest","Migrate"),IF($Z357&gt;=Lists!$AG$3,"Tolerate","Eliminate")))</f>
        <v/>
      </c>
      <c r="AC357" s="102" t="str">
        <f aca="false">IF($B357="","",IF($J357&gt;=4,"Yes",""))</f>
        <v/>
      </c>
      <c r="AD357" s="102" t="str">
        <f aca="false">IF($A357="","",IFERROR(IF(VLOOKUP($A357,'Risk Register'!$B$2:$H$1000,4,FALSE())&gt;=4,"Yes",""),""))</f>
        <v/>
      </c>
      <c r="AE357" s="102" t="str">
        <f aca="false">IF(OR($N357="", $O357=""),"",IF($N357&gt;=Lists!$AG$2,IF($O357&gt;=Lists!$AG$4,"High Value / High Risk","High Value / Low Risk"),IF($O357&gt;=Lists!$AG$4,"Low Value / High Risk","Low Value / Low Risk")))</f>
        <v/>
      </c>
      <c r="AF357" s="101"/>
      <c r="AG357" s="126"/>
      <c r="AH357" s="106" t="str">
        <f aca="false">IF($B357="","",COUNTIFS('Debt Backlog'!$AF$2:$AF$1000,$A357,'Debt Backlog'!$B$2:$B$1000,"&lt;&gt;",'Debt Backlog'!$N$2:$N$1000,"&lt;&gt;Done",'Debt Backlog'!$N$2:$N$1000,"&lt;&gt;Won't Fix",'Debt Backlog'!$N$2:$N$1000,"&lt;&gt;Duplicate"))</f>
        <v/>
      </c>
      <c r="AI357" s="103" t="str">
        <f aca="false">IF($B357="","",ROUND(SUMIFS('Debt Backlog'!$L$2:$L$1000,'Debt Backlog'!$AF$2:$AF$1000,$A357,'Debt Backlog'!$B$2:$B$1000,"&lt;&gt;",'Debt Backlog'!$N$2:$N$1000,"&lt;&gt;Done",'Debt Backlog'!$N$2:$N$1000,"&lt;&gt;Won't Fix",'Debt Backlog'!$N$2:$N$1000,"&lt;&gt;Duplicate"),2))</f>
        <v/>
      </c>
    </row>
    <row r="358" customFormat="false" ht="15.75" hidden="false" customHeight="true" outlineLevel="0" collapsed="false">
      <c r="A358" s="125"/>
      <c r="B358" s="101"/>
      <c r="C358" s="101"/>
      <c r="D358" s="101"/>
      <c r="E358" s="101"/>
      <c r="F358" s="101"/>
      <c r="G358" s="101"/>
      <c r="H358" s="101"/>
      <c r="I358" s="106"/>
      <c r="J358" s="106"/>
      <c r="K358" s="106"/>
      <c r="L358" s="106"/>
      <c r="M358" s="106"/>
      <c r="N358" s="103" t="str">
        <f aca="false">IF(OR($B358="", $I358="", $J358="", $K358="", $L358="", $M358=""),"",ROUND(($I358*Lists!$AD$2)+($J358*Lists!$AD$3)+($K358*Lists!$AD$4)+($L358*Lists!$AD$5)+($M358*Lists!$AD$6),2))</f>
        <v/>
      </c>
      <c r="O358" s="103" t="str">
        <f aca="false">IF($A358="","",IFERROR(VLOOKUP($A358,'Risk Register'!$B$2:$I$1000,8,FALSE()),""))</f>
        <v/>
      </c>
      <c r="P358" s="106"/>
      <c r="Q358" s="106"/>
      <c r="R358" s="106"/>
      <c r="S358" s="106"/>
      <c r="T358" s="103" t="str">
        <f aca="false">IF(OR($B358="", $P358="", $Q358="", $R358="", $S358=""),"",ROUND(($P358*Lists!$AD$7)+($Q358*Lists!$AD$8)+($R358*Lists!$AD$9)+($S358*Lists!$AD$10),2))</f>
        <v/>
      </c>
      <c r="U358" s="106"/>
      <c r="V358" s="106"/>
      <c r="W358" s="106"/>
      <c r="X358" s="106"/>
      <c r="Y358" s="106"/>
      <c r="Z358" s="103" t="str">
        <f aca="false">IF(OR($B358="", $U358="", $V358="", $W358="", $X358="", $Y358=""),"",ROUND(($U358*Lists!$AD$11)+($V358*Lists!$AD$12)+($W358*Lists!$AD$13)+($X358*Lists!$AD$14)+($Y358*Lists!$AD$15),2))</f>
        <v/>
      </c>
      <c r="AA358" s="103" t="str">
        <f aca="false">IF(OR($B358="", $N358="", $O358="", $T358="", $Z358=""),"",ROUND(($N358*Lists!$AD$16)-($O358*Lists!$AD$17)-($T358*Lists!$AD$18)+($Z358*Lists!$AD$19),2))</f>
        <v/>
      </c>
      <c r="AB358" s="102" t="str">
        <f aca="false">IF(OR($B358="", $N358="", $Z358=""),"",IF($N358&gt;=Lists!$AG$2,IF($Z358&gt;=Lists!$AG$3,"Invest","Migrate"),IF($Z358&gt;=Lists!$AG$3,"Tolerate","Eliminate")))</f>
        <v/>
      </c>
      <c r="AC358" s="102" t="str">
        <f aca="false">IF($B358="","",IF($J358&gt;=4,"Yes",""))</f>
        <v/>
      </c>
      <c r="AD358" s="102" t="str">
        <f aca="false">IF($A358="","",IFERROR(IF(VLOOKUP($A358,'Risk Register'!$B$2:$H$1000,4,FALSE())&gt;=4,"Yes",""),""))</f>
        <v/>
      </c>
      <c r="AE358" s="102" t="str">
        <f aca="false">IF(OR($N358="", $O358=""),"",IF($N358&gt;=Lists!$AG$2,IF($O358&gt;=Lists!$AG$4,"High Value / High Risk","High Value / Low Risk"),IF($O358&gt;=Lists!$AG$4,"Low Value / High Risk","Low Value / Low Risk")))</f>
        <v/>
      </c>
      <c r="AF358" s="101"/>
      <c r="AG358" s="126"/>
      <c r="AH358" s="106" t="str">
        <f aca="false">IF($B358="","",COUNTIFS('Debt Backlog'!$AF$2:$AF$1000,$A358,'Debt Backlog'!$B$2:$B$1000,"&lt;&gt;",'Debt Backlog'!$N$2:$N$1000,"&lt;&gt;Done",'Debt Backlog'!$N$2:$N$1000,"&lt;&gt;Won't Fix",'Debt Backlog'!$N$2:$N$1000,"&lt;&gt;Duplicate"))</f>
        <v/>
      </c>
      <c r="AI358" s="103" t="str">
        <f aca="false">IF($B358="","",ROUND(SUMIFS('Debt Backlog'!$L$2:$L$1000,'Debt Backlog'!$AF$2:$AF$1000,$A358,'Debt Backlog'!$B$2:$B$1000,"&lt;&gt;",'Debt Backlog'!$N$2:$N$1000,"&lt;&gt;Done",'Debt Backlog'!$N$2:$N$1000,"&lt;&gt;Won't Fix",'Debt Backlog'!$N$2:$N$1000,"&lt;&gt;Duplicate"),2))</f>
        <v/>
      </c>
    </row>
    <row r="359" customFormat="false" ht="15.75" hidden="false" customHeight="true" outlineLevel="0" collapsed="false">
      <c r="A359" s="125"/>
      <c r="B359" s="101"/>
      <c r="C359" s="101"/>
      <c r="D359" s="101"/>
      <c r="E359" s="101"/>
      <c r="F359" s="101"/>
      <c r="G359" s="101"/>
      <c r="H359" s="101"/>
      <c r="I359" s="106"/>
      <c r="J359" s="106"/>
      <c r="K359" s="106"/>
      <c r="L359" s="106"/>
      <c r="M359" s="106"/>
      <c r="N359" s="103" t="str">
        <f aca="false">IF(OR($B359="", $I359="", $J359="", $K359="", $L359="", $M359=""),"",ROUND(($I359*Lists!$AD$2)+($J359*Lists!$AD$3)+($K359*Lists!$AD$4)+($L359*Lists!$AD$5)+($M359*Lists!$AD$6),2))</f>
        <v/>
      </c>
      <c r="O359" s="103" t="str">
        <f aca="false">IF($A359="","",IFERROR(VLOOKUP($A359,'Risk Register'!$B$2:$I$1000,8,FALSE()),""))</f>
        <v/>
      </c>
      <c r="P359" s="106"/>
      <c r="Q359" s="106"/>
      <c r="R359" s="106"/>
      <c r="S359" s="106"/>
      <c r="T359" s="103" t="str">
        <f aca="false">IF(OR($B359="", $P359="", $Q359="", $R359="", $S359=""),"",ROUND(($P359*Lists!$AD$7)+($Q359*Lists!$AD$8)+($R359*Lists!$AD$9)+($S359*Lists!$AD$10),2))</f>
        <v/>
      </c>
      <c r="U359" s="106"/>
      <c r="V359" s="106"/>
      <c r="W359" s="106"/>
      <c r="X359" s="106"/>
      <c r="Y359" s="106"/>
      <c r="Z359" s="103" t="str">
        <f aca="false">IF(OR($B359="", $U359="", $V359="", $W359="", $X359="", $Y359=""),"",ROUND(($U359*Lists!$AD$11)+($V359*Lists!$AD$12)+($W359*Lists!$AD$13)+($X359*Lists!$AD$14)+($Y359*Lists!$AD$15),2))</f>
        <v/>
      </c>
      <c r="AA359" s="103" t="str">
        <f aca="false">IF(OR($B359="", $N359="", $O359="", $T359="", $Z359=""),"",ROUND(($N359*Lists!$AD$16)-($O359*Lists!$AD$17)-($T359*Lists!$AD$18)+($Z359*Lists!$AD$19),2))</f>
        <v/>
      </c>
      <c r="AB359" s="102" t="str">
        <f aca="false">IF(OR($B359="", $N359="", $Z359=""),"",IF($N359&gt;=Lists!$AG$2,IF($Z359&gt;=Lists!$AG$3,"Invest","Migrate"),IF($Z359&gt;=Lists!$AG$3,"Tolerate","Eliminate")))</f>
        <v/>
      </c>
      <c r="AC359" s="102" t="str">
        <f aca="false">IF($B359="","",IF($J359&gt;=4,"Yes",""))</f>
        <v/>
      </c>
      <c r="AD359" s="102" t="str">
        <f aca="false">IF($A359="","",IFERROR(IF(VLOOKUP($A359,'Risk Register'!$B$2:$H$1000,4,FALSE())&gt;=4,"Yes",""),""))</f>
        <v/>
      </c>
      <c r="AE359" s="102" t="str">
        <f aca="false">IF(OR($N359="", $O359=""),"",IF($N359&gt;=Lists!$AG$2,IF($O359&gt;=Lists!$AG$4,"High Value / High Risk","High Value / Low Risk"),IF($O359&gt;=Lists!$AG$4,"Low Value / High Risk","Low Value / Low Risk")))</f>
        <v/>
      </c>
      <c r="AF359" s="101"/>
      <c r="AG359" s="126"/>
      <c r="AH359" s="106" t="str">
        <f aca="false">IF($B359="","",COUNTIFS('Debt Backlog'!$AF$2:$AF$1000,$A359,'Debt Backlog'!$B$2:$B$1000,"&lt;&gt;",'Debt Backlog'!$N$2:$N$1000,"&lt;&gt;Done",'Debt Backlog'!$N$2:$N$1000,"&lt;&gt;Won't Fix",'Debt Backlog'!$N$2:$N$1000,"&lt;&gt;Duplicate"))</f>
        <v/>
      </c>
      <c r="AI359" s="103" t="str">
        <f aca="false">IF($B359="","",ROUND(SUMIFS('Debt Backlog'!$L$2:$L$1000,'Debt Backlog'!$AF$2:$AF$1000,$A359,'Debt Backlog'!$B$2:$B$1000,"&lt;&gt;",'Debt Backlog'!$N$2:$N$1000,"&lt;&gt;Done",'Debt Backlog'!$N$2:$N$1000,"&lt;&gt;Won't Fix",'Debt Backlog'!$N$2:$N$1000,"&lt;&gt;Duplicate"),2))</f>
        <v/>
      </c>
    </row>
    <row r="360" customFormat="false" ht="15.75" hidden="false" customHeight="true" outlineLevel="0" collapsed="false">
      <c r="A360" s="125"/>
      <c r="B360" s="101"/>
      <c r="C360" s="101"/>
      <c r="D360" s="101"/>
      <c r="E360" s="101"/>
      <c r="F360" s="101"/>
      <c r="G360" s="101"/>
      <c r="H360" s="101"/>
      <c r="I360" s="106"/>
      <c r="J360" s="106"/>
      <c r="K360" s="106"/>
      <c r="L360" s="106"/>
      <c r="M360" s="106"/>
      <c r="N360" s="103" t="str">
        <f aca="false">IF(OR($B360="", $I360="", $J360="", $K360="", $L360="", $M360=""),"",ROUND(($I360*Lists!$AD$2)+($J360*Lists!$AD$3)+($K360*Lists!$AD$4)+($L360*Lists!$AD$5)+($M360*Lists!$AD$6),2))</f>
        <v/>
      </c>
      <c r="O360" s="103" t="str">
        <f aca="false">IF($A360="","",IFERROR(VLOOKUP($A360,'Risk Register'!$B$2:$I$1000,8,FALSE()),""))</f>
        <v/>
      </c>
      <c r="P360" s="106"/>
      <c r="Q360" s="106"/>
      <c r="R360" s="106"/>
      <c r="S360" s="106"/>
      <c r="T360" s="103" t="str">
        <f aca="false">IF(OR($B360="", $P360="", $Q360="", $R360="", $S360=""),"",ROUND(($P360*Lists!$AD$7)+($Q360*Lists!$AD$8)+($R360*Lists!$AD$9)+($S360*Lists!$AD$10),2))</f>
        <v/>
      </c>
      <c r="U360" s="106"/>
      <c r="V360" s="106"/>
      <c r="W360" s="106"/>
      <c r="X360" s="106"/>
      <c r="Y360" s="106"/>
      <c r="Z360" s="103" t="str">
        <f aca="false">IF(OR($B360="", $U360="", $V360="", $W360="", $X360="", $Y360=""),"",ROUND(($U360*Lists!$AD$11)+($V360*Lists!$AD$12)+($W360*Lists!$AD$13)+($X360*Lists!$AD$14)+($Y360*Lists!$AD$15),2))</f>
        <v/>
      </c>
      <c r="AA360" s="103" t="str">
        <f aca="false">IF(OR($B360="", $N360="", $O360="", $T360="", $Z360=""),"",ROUND(($N360*Lists!$AD$16)-($O360*Lists!$AD$17)-($T360*Lists!$AD$18)+($Z360*Lists!$AD$19),2))</f>
        <v/>
      </c>
      <c r="AB360" s="102" t="str">
        <f aca="false">IF(OR($B360="", $N360="", $Z360=""),"",IF($N360&gt;=Lists!$AG$2,IF($Z360&gt;=Lists!$AG$3,"Invest","Migrate"),IF($Z360&gt;=Lists!$AG$3,"Tolerate","Eliminate")))</f>
        <v/>
      </c>
      <c r="AC360" s="102" t="str">
        <f aca="false">IF($B360="","",IF($J360&gt;=4,"Yes",""))</f>
        <v/>
      </c>
      <c r="AD360" s="102" t="str">
        <f aca="false">IF($A360="","",IFERROR(IF(VLOOKUP($A360,'Risk Register'!$B$2:$H$1000,4,FALSE())&gt;=4,"Yes",""),""))</f>
        <v/>
      </c>
      <c r="AE360" s="102" t="str">
        <f aca="false">IF(OR($N360="", $O360=""),"",IF($N360&gt;=Lists!$AG$2,IF($O360&gt;=Lists!$AG$4,"High Value / High Risk","High Value / Low Risk"),IF($O360&gt;=Lists!$AG$4,"Low Value / High Risk","Low Value / Low Risk")))</f>
        <v/>
      </c>
      <c r="AF360" s="101"/>
      <c r="AG360" s="126"/>
      <c r="AH360" s="106" t="str">
        <f aca="false">IF($B360="","",COUNTIFS('Debt Backlog'!$AF$2:$AF$1000,$A360,'Debt Backlog'!$B$2:$B$1000,"&lt;&gt;",'Debt Backlog'!$N$2:$N$1000,"&lt;&gt;Done",'Debt Backlog'!$N$2:$N$1000,"&lt;&gt;Won't Fix",'Debt Backlog'!$N$2:$N$1000,"&lt;&gt;Duplicate"))</f>
        <v/>
      </c>
      <c r="AI360" s="103" t="str">
        <f aca="false">IF($B360="","",ROUND(SUMIFS('Debt Backlog'!$L$2:$L$1000,'Debt Backlog'!$AF$2:$AF$1000,$A360,'Debt Backlog'!$B$2:$B$1000,"&lt;&gt;",'Debt Backlog'!$N$2:$N$1000,"&lt;&gt;Done",'Debt Backlog'!$N$2:$N$1000,"&lt;&gt;Won't Fix",'Debt Backlog'!$N$2:$N$1000,"&lt;&gt;Duplicate"),2))</f>
        <v/>
      </c>
    </row>
    <row r="361" customFormat="false" ht="15.75" hidden="false" customHeight="true" outlineLevel="0" collapsed="false">
      <c r="A361" s="125"/>
      <c r="B361" s="101"/>
      <c r="C361" s="101"/>
      <c r="D361" s="101"/>
      <c r="E361" s="101"/>
      <c r="F361" s="101"/>
      <c r="G361" s="101"/>
      <c r="H361" s="101"/>
      <c r="I361" s="106"/>
      <c r="J361" s="106"/>
      <c r="K361" s="106"/>
      <c r="L361" s="106"/>
      <c r="M361" s="106"/>
      <c r="N361" s="103" t="str">
        <f aca="false">IF(OR($B361="", $I361="", $J361="", $K361="", $L361="", $M361=""),"",ROUND(($I361*Lists!$AD$2)+($J361*Lists!$AD$3)+($K361*Lists!$AD$4)+($L361*Lists!$AD$5)+($M361*Lists!$AD$6),2))</f>
        <v/>
      </c>
      <c r="O361" s="103" t="str">
        <f aca="false">IF($A361="","",IFERROR(VLOOKUP($A361,'Risk Register'!$B$2:$I$1000,8,FALSE()),""))</f>
        <v/>
      </c>
      <c r="P361" s="106"/>
      <c r="Q361" s="106"/>
      <c r="R361" s="106"/>
      <c r="S361" s="106"/>
      <c r="T361" s="103" t="str">
        <f aca="false">IF(OR($B361="", $P361="", $Q361="", $R361="", $S361=""),"",ROUND(($P361*Lists!$AD$7)+($Q361*Lists!$AD$8)+($R361*Lists!$AD$9)+($S361*Lists!$AD$10),2))</f>
        <v/>
      </c>
      <c r="U361" s="106"/>
      <c r="V361" s="106"/>
      <c r="W361" s="106"/>
      <c r="X361" s="106"/>
      <c r="Y361" s="106"/>
      <c r="Z361" s="103" t="str">
        <f aca="false">IF(OR($B361="", $U361="", $V361="", $W361="", $X361="", $Y361=""),"",ROUND(($U361*Lists!$AD$11)+($V361*Lists!$AD$12)+($W361*Lists!$AD$13)+($X361*Lists!$AD$14)+($Y361*Lists!$AD$15),2))</f>
        <v/>
      </c>
      <c r="AA361" s="103" t="str">
        <f aca="false">IF(OR($B361="", $N361="", $O361="", $T361="", $Z361=""),"",ROUND(($N361*Lists!$AD$16)-($O361*Lists!$AD$17)-($T361*Lists!$AD$18)+($Z361*Lists!$AD$19),2))</f>
        <v/>
      </c>
      <c r="AB361" s="102" t="str">
        <f aca="false">IF(OR($B361="", $N361="", $Z361=""),"",IF($N361&gt;=Lists!$AG$2,IF($Z361&gt;=Lists!$AG$3,"Invest","Migrate"),IF($Z361&gt;=Lists!$AG$3,"Tolerate","Eliminate")))</f>
        <v/>
      </c>
      <c r="AC361" s="102" t="str">
        <f aca="false">IF($B361="","",IF($J361&gt;=4,"Yes",""))</f>
        <v/>
      </c>
      <c r="AD361" s="102" t="str">
        <f aca="false">IF($A361="","",IFERROR(IF(VLOOKUP($A361,'Risk Register'!$B$2:$H$1000,4,FALSE())&gt;=4,"Yes",""),""))</f>
        <v/>
      </c>
      <c r="AE361" s="102" t="str">
        <f aca="false">IF(OR($N361="", $O361=""),"",IF($N361&gt;=Lists!$AG$2,IF($O361&gt;=Lists!$AG$4,"High Value / High Risk","High Value / Low Risk"),IF($O361&gt;=Lists!$AG$4,"Low Value / High Risk","Low Value / Low Risk")))</f>
        <v/>
      </c>
      <c r="AF361" s="101"/>
      <c r="AG361" s="126"/>
      <c r="AH361" s="106" t="str">
        <f aca="false">IF($B361="","",COUNTIFS('Debt Backlog'!$AF$2:$AF$1000,$A361,'Debt Backlog'!$B$2:$B$1000,"&lt;&gt;",'Debt Backlog'!$N$2:$N$1000,"&lt;&gt;Done",'Debt Backlog'!$N$2:$N$1000,"&lt;&gt;Won't Fix",'Debt Backlog'!$N$2:$N$1000,"&lt;&gt;Duplicate"))</f>
        <v/>
      </c>
      <c r="AI361" s="103" t="str">
        <f aca="false">IF($B361="","",ROUND(SUMIFS('Debt Backlog'!$L$2:$L$1000,'Debt Backlog'!$AF$2:$AF$1000,$A361,'Debt Backlog'!$B$2:$B$1000,"&lt;&gt;",'Debt Backlog'!$N$2:$N$1000,"&lt;&gt;Done",'Debt Backlog'!$N$2:$N$1000,"&lt;&gt;Won't Fix",'Debt Backlog'!$N$2:$N$1000,"&lt;&gt;Duplicate"),2))</f>
        <v/>
      </c>
    </row>
    <row r="362" customFormat="false" ht="15.75" hidden="false" customHeight="true" outlineLevel="0" collapsed="false">
      <c r="A362" s="125"/>
      <c r="B362" s="101"/>
      <c r="C362" s="101"/>
      <c r="D362" s="101"/>
      <c r="E362" s="101"/>
      <c r="F362" s="101"/>
      <c r="G362" s="101"/>
      <c r="H362" s="101"/>
      <c r="I362" s="106"/>
      <c r="J362" s="106"/>
      <c r="K362" s="106"/>
      <c r="L362" s="106"/>
      <c r="M362" s="106"/>
      <c r="N362" s="103" t="str">
        <f aca="false">IF(OR($B362="", $I362="", $J362="", $K362="", $L362="", $M362=""),"",ROUND(($I362*Lists!$AD$2)+($J362*Lists!$AD$3)+($K362*Lists!$AD$4)+($L362*Lists!$AD$5)+($M362*Lists!$AD$6),2))</f>
        <v/>
      </c>
      <c r="O362" s="103" t="str">
        <f aca="false">IF($A362="","",IFERROR(VLOOKUP($A362,'Risk Register'!$B$2:$I$1000,8,FALSE()),""))</f>
        <v/>
      </c>
      <c r="P362" s="106"/>
      <c r="Q362" s="106"/>
      <c r="R362" s="106"/>
      <c r="S362" s="106"/>
      <c r="T362" s="103" t="str">
        <f aca="false">IF(OR($B362="", $P362="", $Q362="", $R362="", $S362=""),"",ROUND(($P362*Lists!$AD$7)+($Q362*Lists!$AD$8)+($R362*Lists!$AD$9)+($S362*Lists!$AD$10),2))</f>
        <v/>
      </c>
      <c r="U362" s="106"/>
      <c r="V362" s="106"/>
      <c r="W362" s="106"/>
      <c r="X362" s="106"/>
      <c r="Y362" s="106"/>
      <c r="Z362" s="103" t="str">
        <f aca="false">IF(OR($B362="", $U362="", $V362="", $W362="", $X362="", $Y362=""),"",ROUND(($U362*Lists!$AD$11)+($V362*Lists!$AD$12)+($W362*Lists!$AD$13)+($X362*Lists!$AD$14)+($Y362*Lists!$AD$15),2))</f>
        <v/>
      </c>
      <c r="AA362" s="103" t="str">
        <f aca="false">IF(OR($B362="", $N362="", $O362="", $T362="", $Z362=""),"",ROUND(($N362*Lists!$AD$16)-($O362*Lists!$AD$17)-($T362*Lists!$AD$18)+($Z362*Lists!$AD$19),2))</f>
        <v/>
      </c>
      <c r="AB362" s="102" t="str">
        <f aca="false">IF(OR($B362="", $N362="", $Z362=""),"",IF($N362&gt;=Lists!$AG$2,IF($Z362&gt;=Lists!$AG$3,"Invest","Migrate"),IF($Z362&gt;=Lists!$AG$3,"Tolerate","Eliminate")))</f>
        <v/>
      </c>
      <c r="AC362" s="102" t="str">
        <f aca="false">IF($B362="","",IF($J362&gt;=4,"Yes",""))</f>
        <v/>
      </c>
      <c r="AD362" s="102" t="str">
        <f aca="false">IF($A362="","",IFERROR(IF(VLOOKUP($A362,'Risk Register'!$B$2:$H$1000,4,FALSE())&gt;=4,"Yes",""),""))</f>
        <v/>
      </c>
      <c r="AE362" s="102" t="str">
        <f aca="false">IF(OR($N362="", $O362=""),"",IF($N362&gt;=Lists!$AG$2,IF($O362&gt;=Lists!$AG$4,"High Value / High Risk","High Value / Low Risk"),IF($O362&gt;=Lists!$AG$4,"Low Value / High Risk","Low Value / Low Risk")))</f>
        <v/>
      </c>
      <c r="AF362" s="101"/>
      <c r="AG362" s="126"/>
      <c r="AH362" s="106" t="str">
        <f aca="false">IF($B362="","",COUNTIFS('Debt Backlog'!$AF$2:$AF$1000,$A362,'Debt Backlog'!$B$2:$B$1000,"&lt;&gt;",'Debt Backlog'!$N$2:$N$1000,"&lt;&gt;Done",'Debt Backlog'!$N$2:$N$1000,"&lt;&gt;Won't Fix",'Debt Backlog'!$N$2:$N$1000,"&lt;&gt;Duplicate"))</f>
        <v/>
      </c>
      <c r="AI362" s="103" t="str">
        <f aca="false">IF($B362="","",ROUND(SUMIFS('Debt Backlog'!$L$2:$L$1000,'Debt Backlog'!$AF$2:$AF$1000,$A362,'Debt Backlog'!$B$2:$B$1000,"&lt;&gt;",'Debt Backlog'!$N$2:$N$1000,"&lt;&gt;Done",'Debt Backlog'!$N$2:$N$1000,"&lt;&gt;Won't Fix",'Debt Backlog'!$N$2:$N$1000,"&lt;&gt;Duplicate"),2))</f>
        <v/>
      </c>
    </row>
    <row r="363" customFormat="false" ht="15.75" hidden="false" customHeight="true" outlineLevel="0" collapsed="false">
      <c r="A363" s="125"/>
      <c r="B363" s="101"/>
      <c r="C363" s="101"/>
      <c r="D363" s="101"/>
      <c r="E363" s="101"/>
      <c r="F363" s="101"/>
      <c r="G363" s="101"/>
      <c r="H363" s="101"/>
      <c r="I363" s="106"/>
      <c r="J363" s="106"/>
      <c r="K363" s="106"/>
      <c r="L363" s="106"/>
      <c r="M363" s="106"/>
      <c r="N363" s="103" t="str">
        <f aca="false">IF(OR($B363="", $I363="", $J363="", $K363="", $L363="", $M363=""),"",ROUND(($I363*Lists!$AD$2)+($J363*Lists!$AD$3)+($K363*Lists!$AD$4)+($L363*Lists!$AD$5)+($M363*Lists!$AD$6),2))</f>
        <v/>
      </c>
      <c r="O363" s="103" t="str">
        <f aca="false">IF($A363="","",IFERROR(VLOOKUP($A363,'Risk Register'!$B$2:$I$1000,8,FALSE()),""))</f>
        <v/>
      </c>
      <c r="P363" s="106"/>
      <c r="Q363" s="106"/>
      <c r="R363" s="106"/>
      <c r="S363" s="106"/>
      <c r="T363" s="103" t="str">
        <f aca="false">IF(OR($B363="", $P363="", $Q363="", $R363="", $S363=""),"",ROUND(($P363*Lists!$AD$7)+($Q363*Lists!$AD$8)+($R363*Lists!$AD$9)+($S363*Lists!$AD$10),2))</f>
        <v/>
      </c>
      <c r="U363" s="106"/>
      <c r="V363" s="106"/>
      <c r="W363" s="106"/>
      <c r="X363" s="106"/>
      <c r="Y363" s="106"/>
      <c r="Z363" s="103" t="str">
        <f aca="false">IF(OR($B363="", $U363="", $V363="", $W363="", $X363="", $Y363=""),"",ROUND(($U363*Lists!$AD$11)+($V363*Lists!$AD$12)+($W363*Lists!$AD$13)+($X363*Lists!$AD$14)+($Y363*Lists!$AD$15),2))</f>
        <v/>
      </c>
      <c r="AA363" s="103" t="str">
        <f aca="false">IF(OR($B363="", $N363="", $O363="", $T363="", $Z363=""),"",ROUND(($N363*Lists!$AD$16)-($O363*Lists!$AD$17)-($T363*Lists!$AD$18)+($Z363*Lists!$AD$19),2))</f>
        <v/>
      </c>
      <c r="AB363" s="102" t="str">
        <f aca="false">IF(OR($B363="", $N363="", $Z363=""),"",IF($N363&gt;=Lists!$AG$2,IF($Z363&gt;=Lists!$AG$3,"Invest","Migrate"),IF($Z363&gt;=Lists!$AG$3,"Tolerate","Eliminate")))</f>
        <v/>
      </c>
      <c r="AC363" s="102" t="str">
        <f aca="false">IF($B363="","",IF($J363&gt;=4,"Yes",""))</f>
        <v/>
      </c>
      <c r="AD363" s="102" t="str">
        <f aca="false">IF($A363="","",IFERROR(IF(VLOOKUP($A363,'Risk Register'!$B$2:$H$1000,4,FALSE())&gt;=4,"Yes",""),""))</f>
        <v/>
      </c>
      <c r="AE363" s="102" t="str">
        <f aca="false">IF(OR($N363="", $O363=""),"",IF($N363&gt;=Lists!$AG$2,IF($O363&gt;=Lists!$AG$4,"High Value / High Risk","High Value / Low Risk"),IF($O363&gt;=Lists!$AG$4,"Low Value / High Risk","Low Value / Low Risk")))</f>
        <v/>
      </c>
      <c r="AF363" s="101"/>
      <c r="AG363" s="126"/>
      <c r="AH363" s="106" t="str">
        <f aca="false">IF($B363="","",COUNTIFS('Debt Backlog'!$AF$2:$AF$1000,$A363,'Debt Backlog'!$B$2:$B$1000,"&lt;&gt;",'Debt Backlog'!$N$2:$N$1000,"&lt;&gt;Done",'Debt Backlog'!$N$2:$N$1000,"&lt;&gt;Won't Fix",'Debt Backlog'!$N$2:$N$1000,"&lt;&gt;Duplicate"))</f>
        <v/>
      </c>
      <c r="AI363" s="103" t="str">
        <f aca="false">IF($B363="","",ROUND(SUMIFS('Debt Backlog'!$L$2:$L$1000,'Debt Backlog'!$AF$2:$AF$1000,$A363,'Debt Backlog'!$B$2:$B$1000,"&lt;&gt;",'Debt Backlog'!$N$2:$N$1000,"&lt;&gt;Done",'Debt Backlog'!$N$2:$N$1000,"&lt;&gt;Won't Fix",'Debt Backlog'!$N$2:$N$1000,"&lt;&gt;Duplicate"),2))</f>
        <v/>
      </c>
    </row>
    <row r="364" customFormat="false" ht="15.75" hidden="false" customHeight="true" outlineLevel="0" collapsed="false">
      <c r="A364" s="125"/>
      <c r="B364" s="101"/>
      <c r="C364" s="101"/>
      <c r="D364" s="101"/>
      <c r="E364" s="101"/>
      <c r="F364" s="101"/>
      <c r="G364" s="101"/>
      <c r="H364" s="101"/>
      <c r="I364" s="106"/>
      <c r="J364" s="106"/>
      <c r="K364" s="106"/>
      <c r="L364" s="106"/>
      <c r="M364" s="106"/>
      <c r="N364" s="103" t="str">
        <f aca="false">IF(OR($B364="", $I364="", $J364="", $K364="", $L364="", $M364=""),"",ROUND(($I364*Lists!$AD$2)+($J364*Lists!$AD$3)+($K364*Lists!$AD$4)+($L364*Lists!$AD$5)+($M364*Lists!$AD$6),2))</f>
        <v/>
      </c>
      <c r="O364" s="103" t="str">
        <f aca="false">IF($A364="","",IFERROR(VLOOKUP($A364,'Risk Register'!$B$2:$I$1000,8,FALSE()),""))</f>
        <v/>
      </c>
      <c r="P364" s="106"/>
      <c r="Q364" s="106"/>
      <c r="R364" s="106"/>
      <c r="S364" s="106"/>
      <c r="T364" s="103" t="str">
        <f aca="false">IF(OR($B364="", $P364="", $Q364="", $R364="", $S364=""),"",ROUND(($P364*Lists!$AD$7)+($Q364*Lists!$AD$8)+($R364*Lists!$AD$9)+($S364*Lists!$AD$10),2))</f>
        <v/>
      </c>
      <c r="U364" s="106"/>
      <c r="V364" s="106"/>
      <c r="W364" s="106"/>
      <c r="X364" s="106"/>
      <c r="Y364" s="106"/>
      <c r="Z364" s="103" t="str">
        <f aca="false">IF(OR($B364="", $U364="", $V364="", $W364="", $X364="", $Y364=""),"",ROUND(($U364*Lists!$AD$11)+($V364*Lists!$AD$12)+($W364*Lists!$AD$13)+($X364*Lists!$AD$14)+($Y364*Lists!$AD$15),2))</f>
        <v/>
      </c>
      <c r="AA364" s="103" t="str">
        <f aca="false">IF(OR($B364="", $N364="", $O364="", $T364="", $Z364=""),"",ROUND(($N364*Lists!$AD$16)-($O364*Lists!$AD$17)-($T364*Lists!$AD$18)+($Z364*Lists!$AD$19),2))</f>
        <v/>
      </c>
      <c r="AB364" s="102" t="str">
        <f aca="false">IF(OR($B364="", $N364="", $Z364=""),"",IF($N364&gt;=Lists!$AG$2,IF($Z364&gt;=Lists!$AG$3,"Invest","Migrate"),IF($Z364&gt;=Lists!$AG$3,"Tolerate","Eliminate")))</f>
        <v/>
      </c>
      <c r="AC364" s="102" t="str">
        <f aca="false">IF($B364="","",IF($J364&gt;=4,"Yes",""))</f>
        <v/>
      </c>
      <c r="AD364" s="102" t="str">
        <f aca="false">IF($A364="","",IFERROR(IF(VLOOKUP($A364,'Risk Register'!$B$2:$H$1000,4,FALSE())&gt;=4,"Yes",""),""))</f>
        <v/>
      </c>
      <c r="AE364" s="102" t="str">
        <f aca="false">IF(OR($N364="", $O364=""),"",IF($N364&gt;=Lists!$AG$2,IF($O364&gt;=Lists!$AG$4,"High Value / High Risk","High Value / Low Risk"),IF($O364&gt;=Lists!$AG$4,"Low Value / High Risk","Low Value / Low Risk")))</f>
        <v/>
      </c>
      <c r="AF364" s="101"/>
      <c r="AG364" s="126"/>
      <c r="AH364" s="106" t="str">
        <f aca="false">IF($B364="","",COUNTIFS('Debt Backlog'!$AF$2:$AF$1000,$A364,'Debt Backlog'!$B$2:$B$1000,"&lt;&gt;",'Debt Backlog'!$N$2:$N$1000,"&lt;&gt;Done",'Debt Backlog'!$N$2:$N$1000,"&lt;&gt;Won't Fix",'Debt Backlog'!$N$2:$N$1000,"&lt;&gt;Duplicate"))</f>
        <v/>
      </c>
      <c r="AI364" s="103" t="str">
        <f aca="false">IF($B364="","",ROUND(SUMIFS('Debt Backlog'!$L$2:$L$1000,'Debt Backlog'!$AF$2:$AF$1000,$A364,'Debt Backlog'!$B$2:$B$1000,"&lt;&gt;",'Debt Backlog'!$N$2:$N$1000,"&lt;&gt;Done",'Debt Backlog'!$N$2:$N$1000,"&lt;&gt;Won't Fix",'Debt Backlog'!$N$2:$N$1000,"&lt;&gt;Duplicate"),2))</f>
        <v/>
      </c>
    </row>
    <row r="365" customFormat="false" ht="15.75" hidden="false" customHeight="true" outlineLevel="0" collapsed="false">
      <c r="A365" s="125"/>
      <c r="B365" s="101"/>
      <c r="C365" s="101"/>
      <c r="D365" s="101"/>
      <c r="E365" s="101"/>
      <c r="F365" s="101"/>
      <c r="G365" s="101"/>
      <c r="H365" s="101"/>
      <c r="I365" s="106"/>
      <c r="J365" s="106"/>
      <c r="K365" s="106"/>
      <c r="L365" s="106"/>
      <c r="M365" s="106"/>
      <c r="N365" s="103" t="str">
        <f aca="false">IF(OR($B365="", $I365="", $J365="", $K365="", $L365="", $M365=""),"",ROUND(($I365*Lists!$AD$2)+($J365*Lists!$AD$3)+($K365*Lists!$AD$4)+($L365*Lists!$AD$5)+($M365*Lists!$AD$6),2))</f>
        <v/>
      </c>
      <c r="O365" s="103" t="str">
        <f aca="false">IF($A365="","",IFERROR(VLOOKUP($A365,'Risk Register'!$B$2:$I$1000,8,FALSE()),""))</f>
        <v/>
      </c>
      <c r="P365" s="106"/>
      <c r="Q365" s="106"/>
      <c r="R365" s="106"/>
      <c r="S365" s="106"/>
      <c r="T365" s="103" t="str">
        <f aca="false">IF(OR($B365="", $P365="", $Q365="", $R365="", $S365=""),"",ROUND(($P365*Lists!$AD$7)+($Q365*Lists!$AD$8)+($R365*Lists!$AD$9)+($S365*Lists!$AD$10),2))</f>
        <v/>
      </c>
      <c r="U365" s="106"/>
      <c r="V365" s="106"/>
      <c r="W365" s="106"/>
      <c r="X365" s="106"/>
      <c r="Y365" s="106"/>
      <c r="Z365" s="103" t="str">
        <f aca="false">IF(OR($B365="", $U365="", $V365="", $W365="", $X365="", $Y365=""),"",ROUND(($U365*Lists!$AD$11)+($V365*Lists!$AD$12)+($W365*Lists!$AD$13)+($X365*Lists!$AD$14)+($Y365*Lists!$AD$15),2))</f>
        <v/>
      </c>
      <c r="AA365" s="103" t="str">
        <f aca="false">IF(OR($B365="", $N365="", $O365="", $T365="", $Z365=""),"",ROUND(($N365*Lists!$AD$16)-($O365*Lists!$AD$17)-($T365*Lists!$AD$18)+($Z365*Lists!$AD$19),2))</f>
        <v/>
      </c>
      <c r="AB365" s="102" t="str">
        <f aca="false">IF(OR($B365="", $N365="", $Z365=""),"",IF($N365&gt;=Lists!$AG$2,IF($Z365&gt;=Lists!$AG$3,"Invest","Migrate"),IF($Z365&gt;=Lists!$AG$3,"Tolerate","Eliminate")))</f>
        <v/>
      </c>
      <c r="AC365" s="102" t="str">
        <f aca="false">IF($B365="","",IF($J365&gt;=4,"Yes",""))</f>
        <v/>
      </c>
      <c r="AD365" s="102" t="str">
        <f aca="false">IF($A365="","",IFERROR(IF(VLOOKUP($A365,'Risk Register'!$B$2:$H$1000,4,FALSE())&gt;=4,"Yes",""),""))</f>
        <v/>
      </c>
      <c r="AE365" s="102" t="str">
        <f aca="false">IF(OR($N365="", $O365=""),"",IF($N365&gt;=Lists!$AG$2,IF($O365&gt;=Lists!$AG$4,"High Value / High Risk","High Value / Low Risk"),IF($O365&gt;=Lists!$AG$4,"Low Value / High Risk","Low Value / Low Risk")))</f>
        <v/>
      </c>
      <c r="AF365" s="101"/>
      <c r="AG365" s="126"/>
      <c r="AH365" s="106" t="str">
        <f aca="false">IF($B365="","",COUNTIFS('Debt Backlog'!$AF$2:$AF$1000,$A365,'Debt Backlog'!$B$2:$B$1000,"&lt;&gt;",'Debt Backlog'!$N$2:$N$1000,"&lt;&gt;Done",'Debt Backlog'!$N$2:$N$1000,"&lt;&gt;Won't Fix",'Debt Backlog'!$N$2:$N$1000,"&lt;&gt;Duplicate"))</f>
        <v/>
      </c>
      <c r="AI365" s="103" t="str">
        <f aca="false">IF($B365="","",ROUND(SUMIFS('Debt Backlog'!$L$2:$L$1000,'Debt Backlog'!$AF$2:$AF$1000,$A365,'Debt Backlog'!$B$2:$B$1000,"&lt;&gt;",'Debt Backlog'!$N$2:$N$1000,"&lt;&gt;Done",'Debt Backlog'!$N$2:$N$1000,"&lt;&gt;Won't Fix",'Debt Backlog'!$N$2:$N$1000,"&lt;&gt;Duplicate"),2))</f>
        <v/>
      </c>
    </row>
    <row r="366" customFormat="false" ht="15.75" hidden="false" customHeight="true" outlineLevel="0" collapsed="false">
      <c r="A366" s="125"/>
      <c r="B366" s="101"/>
      <c r="C366" s="101"/>
      <c r="D366" s="101"/>
      <c r="E366" s="101"/>
      <c r="F366" s="101"/>
      <c r="G366" s="101"/>
      <c r="H366" s="101"/>
      <c r="I366" s="106"/>
      <c r="J366" s="106"/>
      <c r="K366" s="106"/>
      <c r="L366" s="106"/>
      <c r="M366" s="106"/>
      <c r="N366" s="103" t="str">
        <f aca="false">IF(OR($B366="", $I366="", $J366="", $K366="", $L366="", $M366=""),"",ROUND(($I366*Lists!$AD$2)+($J366*Lists!$AD$3)+($K366*Lists!$AD$4)+($L366*Lists!$AD$5)+($M366*Lists!$AD$6),2))</f>
        <v/>
      </c>
      <c r="O366" s="103" t="str">
        <f aca="false">IF($A366="","",IFERROR(VLOOKUP($A366,'Risk Register'!$B$2:$I$1000,8,FALSE()),""))</f>
        <v/>
      </c>
      <c r="P366" s="106"/>
      <c r="Q366" s="106"/>
      <c r="R366" s="106"/>
      <c r="S366" s="106"/>
      <c r="T366" s="103" t="str">
        <f aca="false">IF(OR($B366="", $P366="", $Q366="", $R366="", $S366=""),"",ROUND(($P366*Lists!$AD$7)+($Q366*Lists!$AD$8)+($R366*Lists!$AD$9)+($S366*Lists!$AD$10),2))</f>
        <v/>
      </c>
      <c r="U366" s="106"/>
      <c r="V366" s="106"/>
      <c r="W366" s="106"/>
      <c r="X366" s="106"/>
      <c r="Y366" s="106"/>
      <c r="Z366" s="103" t="str">
        <f aca="false">IF(OR($B366="", $U366="", $V366="", $W366="", $X366="", $Y366=""),"",ROUND(($U366*Lists!$AD$11)+($V366*Lists!$AD$12)+($W366*Lists!$AD$13)+($X366*Lists!$AD$14)+($Y366*Lists!$AD$15),2))</f>
        <v/>
      </c>
      <c r="AA366" s="103" t="str">
        <f aca="false">IF(OR($B366="", $N366="", $O366="", $T366="", $Z366=""),"",ROUND(($N366*Lists!$AD$16)-($O366*Lists!$AD$17)-($T366*Lists!$AD$18)+($Z366*Lists!$AD$19),2))</f>
        <v/>
      </c>
      <c r="AB366" s="102" t="str">
        <f aca="false">IF(OR($B366="", $N366="", $Z366=""),"",IF($N366&gt;=Lists!$AG$2,IF($Z366&gt;=Lists!$AG$3,"Invest","Migrate"),IF($Z366&gt;=Lists!$AG$3,"Tolerate","Eliminate")))</f>
        <v/>
      </c>
      <c r="AC366" s="102" t="str">
        <f aca="false">IF($B366="","",IF($J366&gt;=4,"Yes",""))</f>
        <v/>
      </c>
      <c r="AD366" s="102" t="str">
        <f aca="false">IF($A366="","",IFERROR(IF(VLOOKUP($A366,'Risk Register'!$B$2:$H$1000,4,FALSE())&gt;=4,"Yes",""),""))</f>
        <v/>
      </c>
      <c r="AE366" s="102" t="str">
        <f aca="false">IF(OR($N366="", $O366=""),"",IF($N366&gt;=Lists!$AG$2,IF($O366&gt;=Lists!$AG$4,"High Value / High Risk","High Value / Low Risk"),IF($O366&gt;=Lists!$AG$4,"Low Value / High Risk","Low Value / Low Risk")))</f>
        <v/>
      </c>
      <c r="AF366" s="101"/>
      <c r="AG366" s="126"/>
      <c r="AH366" s="106" t="str">
        <f aca="false">IF($B366="","",COUNTIFS('Debt Backlog'!$AF$2:$AF$1000,$A366,'Debt Backlog'!$B$2:$B$1000,"&lt;&gt;",'Debt Backlog'!$N$2:$N$1000,"&lt;&gt;Done",'Debt Backlog'!$N$2:$N$1000,"&lt;&gt;Won't Fix",'Debt Backlog'!$N$2:$N$1000,"&lt;&gt;Duplicate"))</f>
        <v/>
      </c>
      <c r="AI366" s="103" t="str">
        <f aca="false">IF($B366="","",ROUND(SUMIFS('Debt Backlog'!$L$2:$L$1000,'Debt Backlog'!$AF$2:$AF$1000,$A366,'Debt Backlog'!$B$2:$B$1000,"&lt;&gt;",'Debt Backlog'!$N$2:$N$1000,"&lt;&gt;Done",'Debt Backlog'!$N$2:$N$1000,"&lt;&gt;Won't Fix",'Debt Backlog'!$N$2:$N$1000,"&lt;&gt;Duplicate"),2))</f>
        <v/>
      </c>
    </row>
    <row r="367" customFormat="false" ht="15.75" hidden="false" customHeight="true" outlineLevel="0" collapsed="false">
      <c r="A367" s="125"/>
      <c r="B367" s="101"/>
      <c r="C367" s="101"/>
      <c r="D367" s="101"/>
      <c r="E367" s="101"/>
      <c r="F367" s="101"/>
      <c r="G367" s="101"/>
      <c r="H367" s="101"/>
      <c r="I367" s="106"/>
      <c r="J367" s="106"/>
      <c r="K367" s="106"/>
      <c r="L367" s="106"/>
      <c r="M367" s="106"/>
      <c r="N367" s="103" t="str">
        <f aca="false">IF(OR($B367="", $I367="", $J367="", $K367="", $L367="", $M367=""),"",ROUND(($I367*Lists!$AD$2)+($J367*Lists!$AD$3)+($K367*Lists!$AD$4)+($L367*Lists!$AD$5)+($M367*Lists!$AD$6),2))</f>
        <v/>
      </c>
      <c r="O367" s="103" t="str">
        <f aca="false">IF($A367="","",IFERROR(VLOOKUP($A367,'Risk Register'!$B$2:$I$1000,8,FALSE()),""))</f>
        <v/>
      </c>
      <c r="P367" s="106"/>
      <c r="Q367" s="106"/>
      <c r="R367" s="106"/>
      <c r="S367" s="106"/>
      <c r="T367" s="103" t="str">
        <f aca="false">IF(OR($B367="", $P367="", $Q367="", $R367="", $S367=""),"",ROUND(($P367*Lists!$AD$7)+($Q367*Lists!$AD$8)+($R367*Lists!$AD$9)+($S367*Lists!$AD$10),2))</f>
        <v/>
      </c>
      <c r="U367" s="106"/>
      <c r="V367" s="106"/>
      <c r="W367" s="106"/>
      <c r="X367" s="106"/>
      <c r="Y367" s="106"/>
      <c r="Z367" s="103" t="str">
        <f aca="false">IF(OR($B367="", $U367="", $V367="", $W367="", $X367="", $Y367=""),"",ROUND(($U367*Lists!$AD$11)+($V367*Lists!$AD$12)+($W367*Lists!$AD$13)+($X367*Lists!$AD$14)+($Y367*Lists!$AD$15),2))</f>
        <v/>
      </c>
      <c r="AA367" s="103" t="str">
        <f aca="false">IF(OR($B367="", $N367="", $O367="", $T367="", $Z367=""),"",ROUND(($N367*Lists!$AD$16)-($O367*Lists!$AD$17)-($T367*Lists!$AD$18)+($Z367*Lists!$AD$19),2))</f>
        <v/>
      </c>
      <c r="AB367" s="102" t="str">
        <f aca="false">IF(OR($B367="", $N367="", $Z367=""),"",IF($N367&gt;=Lists!$AG$2,IF($Z367&gt;=Lists!$AG$3,"Invest","Migrate"),IF($Z367&gt;=Lists!$AG$3,"Tolerate","Eliminate")))</f>
        <v/>
      </c>
      <c r="AC367" s="102" t="str">
        <f aca="false">IF($B367="","",IF($J367&gt;=4,"Yes",""))</f>
        <v/>
      </c>
      <c r="AD367" s="102" t="str">
        <f aca="false">IF($A367="","",IFERROR(IF(VLOOKUP($A367,'Risk Register'!$B$2:$H$1000,4,FALSE())&gt;=4,"Yes",""),""))</f>
        <v/>
      </c>
      <c r="AE367" s="102" t="str">
        <f aca="false">IF(OR($N367="", $O367=""),"",IF($N367&gt;=Lists!$AG$2,IF($O367&gt;=Lists!$AG$4,"High Value / High Risk","High Value / Low Risk"),IF($O367&gt;=Lists!$AG$4,"Low Value / High Risk","Low Value / Low Risk")))</f>
        <v/>
      </c>
      <c r="AF367" s="101"/>
      <c r="AG367" s="126"/>
      <c r="AH367" s="106" t="str">
        <f aca="false">IF($B367="","",COUNTIFS('Debt Backlog'!$AF$2:$AF$1000,$A367,'Debt Backlog'!$B$2:$B$1000,"&lt;&gt;",'Debt Backlog'!$N$2:$N$1000,"&lt;&gt;Done",'Debt Backlog'!$N$2:$N$1000,"&lt;&gt;Won't Fix",'Debt Backlog'!$N$2:$N$1000,"&lt;&gt;Duplicate"))</f>
        <v/>
      </c>
      <c r="AI367" s="103" t="str">
        <f aca="false">IF($B367="","",ROUND(SUMIFS('Debt Backlog'!$L$2:$L$1000,'Debt Backlog'!$AF$2:$AF$1000,$A367,'Debt Backlog'!$B$2:$B$1000,"&lt;&gt;",'Debt Backlog'!$N$2:$N$1000,"&lt;&gt;Done",'Debt Backlog'!$N$2:$N$1000,"&lt;&gt;Won't Fix",'Debt Backlog'!$N$2:$N$1000,"&lt;&gt;Duplicate"),2))</f>
        <v/>
      </c>
    </row>
    <row r="368" customFormat="false" ht="15.75" hidden="false" customHeight="true" outlineLevel="0" collapsed="false">
      <c r="A368" s="125"/>
      <c r="B368" s="101"/>
      <c r="C368" s="101"/>
      <c r="D368" s="101"/>
      <c r="E368" s="101"/>
      <c r="F368" s="101"/>
      <c r="G368" s="101"/>
      <c r="H368" s="101"/>
      <c r="I368" s="106"/>
      <c r="J368" s="106"/>
      <c r="K368" s="106"/>
      <c r="L368" s="106"/>
      <c r="M368" s="106"/>
      <c r="N368" s="103" t="str">
        <f aca="false">IF(OR($B368="", $I368="", $J368="", $K368="", $L368="", $M368=""),"",ROUND(($I368*Lists!$AD$2)+($J368*Lists!$AD$3)+($K368*Lists!$AD$4)+($L368*Lists!$AD$5)+($M368*Lists!$AD$6),2))</f>
        <v/>
      </c>
      <c r="O368" s="103" t="str">
        <f aca="false">IF($A368="","",IFERROR(VLOOKUP($A368,'Risk Register'!$B$2:$I$1000,8,FALSE()),""))</f>
        <v/>
      </c>
      <c r="P368" s="106"/>
      <c r="Q368" s="106"/>
      <c r="R368" s="106"/>
      <c r="S368" s="106"/>
      <c r="T368" s="103" t="str">
        <f aca="false">IF(OR($B368="", $P368="", $Q368="", $R368="", $S368=""),"",ROUND(($P368*Lists!$AD$7)+($Q368*Lists!$AD$8)+($R368*Lists!$AD$9)+($S368*Lists!$AD$10),2))</f>
        <v/>
      </c>
      <c r="U368" s="106"/>
      <c r="V368" s="106"/>
      <c r="W368" s="106"/>
      <c r="X368" s="106"/>
      <c r="Y368" s="106"/>
      <c r="Z368" s="103" t="str">
        <f aca="false">IF(OR($B368="", $U368="", $V368="", $W368="", $X368="", $Y368=""),"",ROUND(($U368*Lists!$AD$11)+($V368*Lists!$AD$12)+($W368*Lists!$AD$13)+($X368*Lists!$AD$14)+($Y368*Lists!$AD$15),2))</f>
        <v/>
      </c>
      <c r="AA368" s="103" t="str">
        <f aca="false">IF(OR($B368="", $N368="", $O368="", $T368="", $Z368=""),"",ROUND(($N368*Lists!$AD$16)-($O368*Lists!$AD$17)-($T368*Lists!$AD$18)+($Z368*Lists!$AD$19),2))</f>
        <v/>
      </c>
      <c r="AB368" s="102" t="str">
        <f aca="false">IF(OR($B368="", $N368="", $Z368=""),"",IF($N368&gt;=Lists!$AG$2,IF($Z368&gt;=Lists!$AG$3,"Invest","Migrate"),IF($Z368&gt;=Lists!$AG$3,"Tolerate","Eliminate")))</f>
        <v/>
      </c>
      <c r="AC368" s="102" t="str">
        <f aca="false">IF($B368="","",IF($J368&gt;=4,"Yes",""))</f>
        <v/>
      </c>
      <c r="AD368" s="102" t="str">
        <f aca="false">IF($A368="","",IFERROR(IF(VLOOKUP($A368,'Risk Register'!$B$2:$H$1000,4,FALSE())&gt;=4,"Yes",""),""))</f>
        <v/>
      </c>
      <c r="AE368" s="102" t="str">
        <f aca="false">IF(OR($N368="", $O368=""),"",IF($N368&gt;=Lists!$AG$2,IF($O368&gt;=Lists!$AG$4,"High Value / High Risk","High Value / Low Risk"),IF($O368&gt;=Lists!$AG$4,"Low Value / High Risk","Low Value / Low Risk")))</f>
        <v/>
      </c>
      <c r="AF368" s="101"/>
      <c r="AG368" s="126"/>
      <c r="AH368" s="106" t="str">
        <f aca="false">IF($B368="","",COUNTIFS('Debt Backlog'!$AF$2:$AF$1000,$A368,'Debt Backlog'!$B$2:$B$1000,"&lt;&gt;",'Debt Backlog'!$N$2:$N$1000,"&lt;&gt;Done",'Debt Backlog'!$N$2:$N$1000,"&lt;&gt;Won't Fix",'Debt Backlog'!$N$2:$N$1000,"&lt;&gt;Duplicate"))</f>
        <v/>
      </c>
      <c r="AI368" s="103" t="str">
        <f aca="false">IF($B368="","",ROUND(SUMIFS('Debt Backlog'!$L$2:$L$1000,'Debt Backlog'!$AF$2:$AF$1000,$A368,'Debt Backlog'!$B$2:$B$1000,"&lt;&gt;",'Debt Backlog'!$N$2:$N$1000,"&lt;&gt;Done",'Debt Backlog'!$N$2:$N$1000,"&lt;&gt;Won't Fix",'Debt Backlog'!$N$2:$N$1000,"&lt;&gt;Duplicate"),2))</f>
        <v/>
      </c>
    </row>
    <row r="369" customFormat="false" ht="15.75" hidden="false" customHeight="true" outlineLevel="0" collapsed="false">
      <c r="A369" s="125"/>
      <c r="B369" s="101"/>
      <c r="C369" s="101"/>
      <c r="D369" s="101"/>
      <c r="E369" s="101"/>
      <c r="F369" s="101"/>
      <c r="G369" s="101"/>
      <c r="H369" s="101"/>
      <c r="I369" s="106"/>
      <c r="J369" s="106"/>
      <c r="K369" s="106"/>
      <c r="L369" s="106"/>
      <c r="M369" s="106"/>
      <c r="N369" s="103" t="str">
        <f aca="false">IF(OR($B369="", $I369="", $J369="", $K369="", $L369="", $M369=""),"",ROUND(($I369*Lists!$AD$2)+($J369*Lists!$AD$3)+($K369*Lists!$AD$4)+($L369*Lists!$AD$5)+($M369*Lists!$AD$6),2))</f>
        <v/>
      </c>
      <c r="O369" s="103" t="str">
        <f aca="false">IF($A369="","",IFERROR(VLOOKUP($A369,'Risk Register'!$B$2:$I$1000,8,FALSE()),""))</f>
        <v/>
      </c>
      <c r="P369" s="106"/>
      <c r="Q369" s="106"/>
      <c r="R369" s="106"/>
      <c r="S369" s="106"/>
      <c r="T369" s="103" t="str">
        <f aca="false">IF(OR($B369="", $P369="", $Q369="", $R369="", $S369=""),"",ROUND(($P369*Lists!$AD$7)+($Q369*Lists!$AD$8)+($R369*Lists!$AD$9)+($S369*Lists!$AD$10),2))</f>
        <v/>
      </c>
      <c r="U369" s="106"/>
      <c r="V369" s="106"/>
      <c r="W369" s="106"/>
      <c r="X369" s="106"/>
      <c r="Y369" s="106"/>
      <c r="Z369" s="103" t="str">
        <f aca="false">IF(OR($B369="", $U369="", $V369="", $W369="", $X369="", $Y369=""),"",ROUND(($U369*Lists!$AD$11)+($V369*Lists!$AD$12)+($W369*Lists!$AD$13)+($X369*Lists!$AD$14)+($Y369*Lists!$AD$15),2))</f>
        <v/>
      </c>
      <c r="AA369" s="103" t="str">
        <f aca="false">IF(OR($B369="", $N369="", $O369="", $T369="", $Z369=""),"",ROUND(($N369*Lists!$AD$16)-($O369*Lists!$AD$17)-($T369*Lists!$AD$18)+($Z369*Lists!$AD$19),2))</f>
        <v/>
      </c>
      <c r="AB369" s="102" t="str">
        <f aca="false">IF(OR($B369="", $N369="", $Z369=""),"",IF($N369&gt;=Lists!$AG$2,IF($Z369&gt;=Lists!$AG$3,"Invest","Migrate"),IF($Z369&gt;=Lists!$AG$3,"Tolerate","Eliminate")))</f>
        <v/>
      </c>
      <c r="AC369" s="102" t="str">
        <f aca="false">IF($B369="","",IF($J369&gt;=4,"Yes",""))</f>
        <v/>
      </c>
      <c r="AD369" s="102" t="str">
        <f aca="false">IF($A369="","",IFERROR(IF(VLOOKUP($A369,'Risk Register'!$B$2:$H$1000,4,FALSE())&gt;=4,"Yes",""),""))</f>
        <v/>
      </c>
      <c r="AE369" s="102" t="str">
        <f aca="false">IF(OR($N369="", $O369=""),"",IF($N369&gt;=Lists!$AG$2,IF($O369&gt;=Lists!$AG$4,"High Value / High Risk","High Value / Low Risk"),IF($O369&gt;=Lists!$AG$4,"Low Value / High Risk","Low Value / Low Risk")))</f>
        <v/>
      </c>
      <c r="AF369" s="101"/>
      <c r="AG369" s="126"/>
      <c r="AH369" s="106" t="str">
        <f aca="false">IF($B369="","",COUNTIFS('Debt Backlog'!$AF$2:$AF$1000,$A369,'Debt Backlog'!$B$2:$B$1000,"&lt;&gt;",'Debt Backlog'!$N$2:$N$1000,"&lt;&gt;Done",'Debt Backlog'!$N$2:$N$1000,"&lt;&gt;Won't Fix",'Debt Backlog'!$N$2:$N$1000,"&lt;&gt;Duplicate"))</f>
        <v/>
      </c>
      <c r="AI369" s="103" t="str">
        <f aca="false">IF($B369="","",ROUND(SUMIFS('Debt Backlog'!$L$2:$L$1000,'Debt Backlog'!$AF$2:$AF$1000,$A369,'Debt Backlog'!$B$2:$B$1000,"&lt;&gt;",'Debt Backlog'!$N$2:$N$1000,"&lt;&gt;Done",'Debt Backlog'!$N$2:$N$1000,"&lt;&gt;Won't Fix",'Debt Backlog'!$N$2:$N$1000,"&lt;&gt;Duplicate"),2))</f>
        <v/>
      </c>
    </row>
    <row r="370" customFormat="false" ht="15.75" hidden="false" customHeight="true" outlineLevel="0" collapsed="false">
      <c r="A370" s="125"/>
      <c r="B370" s="101"/>
      <c r="C370" s="101"/>
      <c r="D370" s="101"/>
      <c r="E370" s="101"/>
      <c r="F370" s="101"/>
      <c r="G370" s="101"/>
      <c r="H370" s="101"/>
      <c r="I370" s="106"/>
      <c r="J370" s="106"/>
      <c r="K370" s="106"/>
      <c r="L370" s="106"/>
      <c r="M370" s="106"/>
      <c r="N370" s="103" t="str">
        <f aca="false">IF(OR($B370="", $I370="", $J370="", $K370="", $L370="", $M370=""),"",ROUND(($I370*Lists!$AD$2)+($J370*Lists!$AD$3)+($K370*Lists!$AD$4)+($L370*Lists!$AD$5)+($M370*Lists!$AD$6),2))</f>
        <v/>
      </c>
      <c r="O370" s="103" t="str">
        <f aca="false">IF($A370="","",IFERROR(VLOOKUP($A370,'Risk Register'!$B$2:$I$1000,8,FALSE()),""))</f>
        <v/>
      </c>
      <c r="P370" s="106"/>
      <c r="Q370" s="106"/>
      <c r="R370" s="106"/>
      <c r="S370" s="106"/>
      <c r="T370" s="103" t="str">
        <f aca="false">IF(OR($B370="", $P370="", $Q370="", $R370="", $S370=""),"",ROUND(($P370*Lists!$AD$7)+($Q370*Lists!$AD$8)+($R370*Lists!$AD$9)+($S370*Lists!$AD$10),2))</f>
        <v/>
      </c>
      <c r="U370" s="106"/>
      <c r="V370" s="106"/>
      <c r="W370" s="106"/>
      <c r="X370" s="106"/>
      <c r="Y370" s="106"/>
      <c r="Z370" s="103" t="str">
        <f aca="false">IF(OR($B370="", $U370="", $V370="", $W370="", $X370="", $Y370=""),"",ROUND(($U370*Lists!$AD$11)+($V370*Lists!$AD$12)+($W370*Lists!$AD$13)+($X370*Lists!$AD$14)+($Y370*Lists!$AD$15),2))</f>
        <v/>
      </c>
      <c r="AA370" s="103" t="str">
        <f aca="false">IF(OR($B370="", $N370="", $O370="", $T370="", $Z370=""),"",ROUND(($N370*Lists!$AD$16)-($O370*Lists!$AD$17)-($T370*Lists!$AD$18)+($Z370*Lists!$AD$19),2))</f>
        <v/>
      </c>
      <c r="AB370" s="102" t="str">
        <f aca="false">IF(OR($B370="", $N370="", $Z370=""),"",IF($N370&gt;=Lists!$AG$2,IF($Z370&gt;=Lists!$AG$3,"Invest","Migrate"),IF($Z370&gt;=Lists!$AG$3,"Tolerate","Eliminate")))</f>
        <v/>
      </c>
      <c r="AC370" s="102" t="str">
        <f aca="false">IF($B370="","",IF($J370&gt;=4,"Yes",""))</f>
        <v/>
      </c>
      <c r="AD370" s="102" t="str">
        <f aca="false">IF($A370="","",IFERROR(IF(VLOOKUP($A370,'Risk Register'!$B$2:$H$1000,4,FALSE())&gt;=4,"Yes",""),""))</f>
        <v/>
      </c>
      <c r="AE370" s="102" t="str">
        <f aca="false">IF(OR($N370="", $O370=""),"",IF($N370&gt;=Lists!$AG$2,IF($O370&gt;=Lists!$AG$4,"High Value / High Risk","High Value / Low Risk"),IF($O370&gt;=Lists!$AG$4,"Low Value / High Risk","Low Value / Low Risk")))</f>
        <v/>
      </c>
      <c r="AF370" s="101"/>
      <c r="AG370" s="126"/>
      <c r="AH370" s="106" t="str">
        <f aca="false">IF($B370="","",COUNTIFS('Debt Backlog'!$AF$2:$AF$1000,$A370,'Debt Backlog'!$B$2:$B$1000,"&lt;&gt;",'Debt Backlog'!$N$2:$N$1000,"&lt;&gt;Done",'Debt Backlog'!$N$2:$N$1000,"&lt;&gt;Won't Fix",'Debt Backlog'!$N$2:$N$1000,"&lt;&gt;Duplicate"))</f>
        <v/>
      </c>
      <c r="AI370" s="103" t="str">
        <f aca="false">IF($B370="","",ROUND(SUMIFS('Debt Backlog'!$L$2:$L$1000,'Debt Backlog'!$AF$2:$AF$1000,$A370,'Debt Backlog'!$B$2:$B$1000,"&lt;&gt;",'Debt Backlog'!$N$2:$N$1000,"&lt;&gt;Done",'Debt Backlog'!$N$2:$N$1000,"&lt;&gt;Won't Fix",'Debt Backlog'!$N$2:$N$1000,"&lt;&gt;Duplicate"),2))</f>
        <v/>
      </c>
    </row>
    <row r="371" customFormat="false" ht="15.75" hidden="false" customHeight="true" outlineLevel="0" collapsed="false">
      <c r="A371" s="125"/>
      <c r="B371" s="101"/>
      <c r="C371" s="101"/>
      <c r="D371" s="101"/>
      <c r="E371" s="101"/>
      <c r="F371" s="101"/>
      <c r="G371" s="101"/>
      <c r="H371" s="101"/>
      <c r="I371" s="106"/>
      <c r="J371" s="106"/>
      <c r="K371" s="106"/>
      <c r="L371" s="106"/>
      <c r="M371" s="106"/>
      <c r="N371" s="103" t="str">
        <f aca="false">IF(OR($B371="", $I371="", $J371="", $K371="", $L371="", $M371=""),"",ROUND(($I371*Lists!$AD$2)+($J371*Lists!$AD$3)+($K371*Lists!$AD$4)+($L371*Lists!$AD$5)+($M371*Lists!$AD$6),2))</f>
        <v/>
      </c>
      <c r="O371" s="103" t="str">
        <f aca="false">IF($A371="","",IFERROR(VLOOKUP($A371,'Risk Register'!$B$2:$I$1000,8,FALSE()),""))</f>
        <v/>
      </c>
      <c r="P371" s="106"/>
      <c r="Q371" s="106"/>
      <c r="R371" s="106"/>
      <c r="S371" s="106"/>
      <c r="T371" s="103" t="str">
        <f aca="false">IF(OR($B371="", $P371="", $Q371="", $R371="", $S371=""),"",ROUND(($P371*Lists!$AD$7)+($Q371*Lists!$AD$8)+($R371*Lists!$AD$9)+($S371*Lists!$AD$10),2))</f>
        <v/>
      </c>
      <c r="U371" s="106"/>
      <c r="V371" s="106"/>
      <c r="W371" s="106"/>
      <c r="X371" s="106"/>
      <c r="Y371" s="106"/>
      <c r="Z371" s="103" t="str">
        <f aca="false">IF(OR($B371="", $U371="", $V371="", $W371="", $X371="", $Y371=""),"",ROUND(($U371*Lists!$AD$11)+($V371*Lists!$AD$12)+($W371*Lists!$AD$13)+($X371*Lists!$AD$14)+($Y371*Lists!$AD$15),2))</f>
        <v/>
      </c>
      <c r="AA371" s="103" t="str">
        <f aca="false">IF(OR($B371="", $N371="", $O371="", $T371="", $Z371=""),"",ROUND(($N371*Lists!$AD$16)-($O371*Lists!$AD$17)-($T371*Lists!$AD$18)+($Z371*Lists!$AD$19),2))</f>
        <v/>
      </c>
      <c r="AB371" s="102" t="str">
        <f aca="false">IF(OR($B371="", $N371="", $Z371=""),"",IF($N371&gt;=Lists!$AG$2,IF($Z371&gt;=Lists!$AG$3,"Invest","Migrate"),IF($Z371&gt;=Lists!$AG$3,"Tolerate","Eliminate")))</f>
        <v/>
      </c>
      <c r="AC371" s="102" t="str">
        <f aca="false">IF($B371="","",IF($J371&gt;=4,"Yes",""))</f>
        <v/>
      </c>
      <c r="AD371" s="102" t="str">
        <f aca="false">IF($A371="","",IFERROR(IF(VLOOKUP($A371,'Risk Register'!$B$2:$H$1000,4,FALSE())&gt;=4,"Yes",""),""))</f>
        <v/>
      </c>
      <c r="AE371" s="102" t="str">
        <f aca="false">IF(OR($N371="", $O371=""),"",IF($N371&gt;=Lists!$AG$2,IF($O371&gt;=Lists!$AG$4,"High Value / High Risk","High Value / Low Risk"),IF($O371&gt;=Lists!$AG$4,"Low Value / High Risk","Low Value / Low Risk")))</f>
        <v/>
      </c>
      <c r="AF371" s="101"/>
      <c r="AG371" s="126"/>
      <c r="AH371" s="106" t="str">
        <f aca="false">IF($B371="","",COUNTIFS('Debt Backlog'!$AF$2:$AF$1000,$A371,'Debt Backlog'!$B$2:$B$1000,"&lt;&gt;",'Debt Backlog'!$N$2:$N$1000,"&lt;&gt;Done",'Debt Backlog'!$N$2:$N$1000,"&lt;&gt;Won't Fix",'Debt Backlog'!$N$2:$N$1000,"&lt;&gt;Duplicate"))</f>
        <v/>
      </c>
      <c r="AI371" s="103" t="str">
        <f aca="false">IF($B371="","",ROUND(SUMIFS('Debt Backlog'!$L$2:$L$1000,'Debt Backlog'!$AF$2:$AF$1000,$A371,'Debt Backlog'!$B$2:$B$1000,"&lt;&gt;",'Debt Backlog'!$N$2:$N$1000,"&lt;&gt;Done",'Debt Backlog'!$N$2:$N$1000,"&lt;&gt;Won't Fix",'Debt Backlog'!$N$2:$N$1000,"&lt;&gt;Duplicate"),2))</f>
        <v/>
      </c>
    </row>
    <row r="372" customFormat="false" ht="15.75" hidden="false" customHeight="true" outlineLevel="0" collapsed="false">
      <c r="A372" s="125"/>
      <c r="B372" s="101"/>
      <c r="C372" s="101"/>
      <c r="D372" s="101"/>
      <c r="E372" s="101"/>
      <c r="F372" s="101"/>
      <c r="G372" s="101"/>
      <c r="H372" s="101"/>
      <c r="I372" s="106"/>
      <c r="J372" s="106"/>
      <c r="K372" s="106"/>
      <c r="L372" s="106"/>
      <c r="M372" s="106"/>
      <c r="N372" s="103" t="str">
        <f aca="false">IF(OR($B372="", $I372="", $J372="", $K372="", $L372="", $M372=""),"",ROUND(($I372*Lists!$AD$2)+($J372*Lists!$AD$3)+($K372*Lists!$AD$4)+($L372*Lists!$AD$5)+($M372*Lists!$AD$6),2))</f>
        <v/>
      </c>
      <c r="O372" s="103" t="str">
        <f aca="false">IF($A372="","",IFERROR(VLOOKUP($A372,'Risk Register'!$B$2:$I$1000,8,FALSE()),""))</f>
        <v/>
      </c>
      <c r="P372" s="106"/>
      <c r="Q372" s="106"/>
      <c r="R372" s="106"/>
      <c r="S372" s="106"/>
      <c r="T372" s="103" t="str">
        <f aca="false">IF(OR($B372="", $P372="", $Q372="", $R372="", $S372=""),"",ROUND(($P372*Lists!$AD$7)+($Q372*Lists!$AD$8)+($R372*Lists!$AD$9)+($S372*Lists!$AD$10),2))</f>
        <v/>
      </c>
      <c r="U372" s="106"/>
      <c r="V372" s="106"/>
      <c r="W372" s="106"/>
      <c r="X372" s="106"/>
      <c r="Y372" s="106"/>
      <c r="Z372" s="103" t="str">
        <f aca="false">IF(OR($B372="", $U372="", $V372="", $W372="", $X372="", $Y372=""),"",ROUND(($U372*Lists!$AD$11)+($V372*Lists!$AD$12)+($W372*Lists!$AD$13)+($X372*Lists!$AD$14)+($Y372*Lists!$AD$15),2))</f>
        <v/>
      </c>
      <c r="AA372" s="103" t="str">
        <f aca="false">IF(OR($B372="", $N372="", $O372="", $T372="", $Z372=""),"",ROUND(($N372*Lists!$AD$16)-($O372*Lists!$AD$17)-($T372*Lists!$AD$18)+($Z372*Lists!$AD$19),2))</f>
        <v/>
      </c>
      <c r="AB372" s="102" t="str">
        <f aca="false">IF(OR($B372="", $N372="", $Z372=""),"",IF($N372&gt;=Lists!$AG$2,IF($Z372&gt;=Lists!$AG$3,"Invest","Migrate"),IF($Z372&gt;=Lists!$AG$3,"Tolerate","Eliminate")))</f>
        <v/>
      </c>
      <c r="AC372" s="102" t="str">
        <f aca="false">IF($B372="","",IF($J372&gt;=4,"Yes",""))</f>
        <v/>
      </c>
      <c r="AD372" s="102" t="str">
        <f aca="false">IF($A372="","",IFERROR(IF(VLOOKUP($A372,'Risk Register'!$B$2:$H$1000,4,FALSE())&gt;=4,"Yes",""),""))</f>
        <v/>
      </c>
      <c r="AE372" s="102" t="str">
        <f aca="false">IF(OR($N372="", $O372=""),"",IF($N372&gt;=Lists!$AG$2,IF($O372&gt;=Lists!$AG$4,"High Value / High Risk","High Value / Low Risk"),IF($O372&gt;=Lists!$AG$4,"Low Value / High Risk","Low Value / Low Risk")))</f>
        <v/>
      </c>
      <c r="AF372" s="101"/>
      <c r="AG372" s="126"/>
      <c r="AH372" s="106" t="str">
        <f aca="false">IF($B372="","",COUNTIFS('Debt Backlog'!$AF$2:$AF$1000,$A372,'Debt Backlog'!$B$2:$B$1000,"&lt;&gt;",'Debt Backlog'!$N$2:$N$1000,"&lt;&gt;Done",'Debt Backlog'!$N$2:$N$1000,"&lt;&gt;Won't Fix",'Debt Backlog'!$N$2:$N$1000,"&lt;&gt;Duplicate"))</f>
        <v/>
      </c>
      <c r="AI372" s="103" t="str">
        <f aca="false">IF($B372="","",ROUND(SUMIFS('Debt Backlog'!$L$2:$L$1000,'Debt Backlog'!$AF$2:$AF$1000,$A372,'Debt Backlog'!$B$2:$B$1000,"&lt;&gt;",'Debt Backlog'!$N$2:$N$1000,"&lt;&gt;Done",'Debt Backlog'!$N$2:$N$1000,"&lt;&gt;Won't Fix",'Debt Backlog'!$N$2:$N$1000,"&lt;&gt;Duplicate"),2))</f>
        <v/>
      </c>
    </row>
    <row r="373" customFormat="false" ht="15.75" hidden="false" customHeight="true" outlineLevel="0" collapsed="false">
      <c r="A373" s="125"/>
      <c r="B373" s="101"/>
      <c r="C373" s="101"/>
      <c r="D373" s="101"/>
      <c r="E373" s="101"/>
      <c r="F373" s="101"/>
      <c r="G373" s="101"/>
      <c r="H373" s="101"/>
      <c r="I373" s="106"/>
      <c r="J373" s="106"/>
      <c r="K373" s="106"/>
      <c r="L373" s="106"/>
      <c r="M373" s="106"/>
      <c r="N373" s="103" t="str">
        <f aca="false">IF(OR($B373="", $I373="", $J373="", $K373="", $L373="", $M373=""),"",ROUND(($I373*Lists!$AD$2)+($J373*Lists!$AD$3)+($K373*Lists!$AD$4)+($L373*Lists!$AD$5)+($M373*Lists!$AD$6),2))</f>
        <v/>
      </c>
      <c r="O373" s="103" t="str">
        <f aca="false">IF($A373="","",IFERROR(VLOOKUP($A373,'Risk Register'!$B$2:$I$1000,8,FALSE()),""))</f>
        <v/>
      </c>
      <c r="P373" s="106"/>
      <c r="Q373" s="106"/>
      <c r="R373" s="106"/>
      <c r="S373" s="106"/>
      <c r="T373" s="103" t="str">
        <f aca="false">IF(OR($B373="", $P373="", $Q373="", $R373="", $S373=""),"",ROUND(($P373*Lists!$AD$7)+($Q373*Lists!$AD$8)+($R373*Lists!$AD$9)+($S373*Lists!$AD$10),2))</f>
        <v/>
      </c>
      <c r="U373" s="106"/>
      <c r="V373" s="106"/>
      <c r="W373" s="106"/>
      <c r="X373" s="106"/>
      <c r="Y373" s="106"/>
      <c r="Z373" s="103" t="str">
        <f aca="false">IF(OR($B373="", $U373="", $V373="", $W373="", $X373="", $Y373=""),"",ROUND(($U373*Lists!$AD$11)+($V373*Lists!$AD$12)+($W373*Lists!$AD$13)+($X373*Lists!$AD$14)+($Y373*Lists!$AD$15),2))</f>
        <v/>
      </c>
      <c r="AA373" s="103" t="str">
        <f aca="false">IF(OR($B373="", $N373="", $O373="", $T373="", $Z373=""),"",ROUND(($N373*Lists!$AD$16)-($O373*Lists!$AD$17)-($T373*Lists!$AD$18)+($Z373*Lists!$AD$19),2))</f>
        <v/>
      </c>
      <c r="AB373" s="102" t="str">
        <f aca="false">IF(OR($B373="", $N373="", $Z373=""),"",IF($N373&gt;=Lists!$AG$2,IF($Z373&gt;=Lists!$AG$3,"Invest","Migrate"),IF($Z373&gt;=Lists!$AG$3,"Tolerate","Eliminate")))</f>
        <v/>
      </c>
      <c r="AC373" s="102" t="str">
        <f aca="false">IF($B373="","",IF($J373&gt;=4,"Yes",""))</f>
        <v/>
      </c>
      <c r="AD373" s="102" t="str">
        <f aca="false">IF($A373="","",IFERROR(IF(VLOOKUP($A373,'Risk Register'!$B$2:$H$1000,4,FALSE())&gt;=4,"Yes",""),""))</f>
        <v/>
      </c>
      <c r="AE373" s="102" t="str">
        <f aca="false">IF(OR($N373="", $O373=""),"",IF($N373&gt;=Lists!$AG$2,IF($O373&gt;=Lists!$AG$4,"High Value / High Risk","High Value / Low Risk"),IF($O373&gt;=Lists!$AG$4,"Low Value / High Risk","Low Value / Low Risk")))</f>
        <v/>
      </c>
      <c r="AF373" s="101"/>
      <c r="AG373" s="126"/>
      <c r="AH373" s="106" t="str">
        <f aca="false">IF($B373="","",COUNTIFS('Debt Backlog'!$AF$2:$AF$1000,$A373,'Debt Backlog'!$B$2:$B$1000,"&lt;&gt;",'Debt Backlog'!$N$2:$N$1000,"&lt;&gt;Done",'Debt Backlog'!$N$2:$N$1000,"&lt;&gt;Won't Fix",'Debt Backlog'!$N$2:$N$1000,"&lt;&gt;Duplicate"))</f>
        <v/>
      </c>
      <c r="AI373" s="103" t="str">
        <f aca="false">IF($B373="","",ROUND(SUMIFS('Debt Backlog'!$L$2:$L$1000,'Debt Backlog'!$AF$2:$AF$1000,$A373,'Debt Backlog'!$B$2:$B$1000,"&lt;&gt;",'Debt Backlog'!$N$2:$N$1000,"&lt;&gt;Done",'Debt Backlog'!$N$2:$N$1000,"&lt;&gt;Won't Fix",'Debt Backlog'!$N$2:$N$1000,"&lt;&gt;Duplicate"),2))</f>
        <v/>
      </c>
    </row>
    <row r="374" customFormat="false" ht="15.75" hidden="false" customHeight="true" outlineLevel="0" collapsed="false">
      <c r="A374" s="125"/>
      <c r="B374" s="101"/>
      <c r="C374" s="101"/>
      <c r="D374" s="101"/>
      <c r="E374" s="101"/>
      <c r="F374" s="101"/>
      <c r="G374" s="101"/>
      <c r="H374" s="101"/>
      <c r="I374" s="106"/>
      <c r="J374" s="106"/>
      <c r="K374" s="106"/>
      <c r="L374" s="106"/>
      <c r="M374" s="106"/>
      <c r="N374" s="103" t="str">
        <f aca="false">IF(OR($B374="", $I374="", $J374="", $K374="", $L374="", $M374=""),"",ROUND(($I374*Lists!$AD$2)+($J374*Lists!$AD$3)+($K374*Lists!$AD$4)+($L374*Lists!$AD$5)+($M374*Lists!$AD$6),2))</f>
        <v/>
      </c>
      <c r="O374" s="103" t="str">
        <f aca="false">IF($A374="","",IFERROR(VLOOKUP($A374,'Risk Register'!$B$2:$I$1000,8,FALSE()),""))</f>
        <v/>
      </c>
      <c r="P374" s="106"/>
      <c r="Q374" s="106"/>
      <c r="R374" s="106"/>
      <c r="S374" s="106"/>
      <c r="T374" s="103" t="str">
        <f aca="false">IF(OR($B374="", $P374="", $Q374="", $R374="", $S374=""),"",ROUND(($P374*Lists!$AD$7)+($Q374*Lists!$AD$8)+($R374*Lists!$AD$9)+($S374*Lists!$AD$10),2))</f>
        <v/>
      </c>
      <c r="U374" s="106"/>
      <c r="V374" s="106"/>
      <c r="W374" s="106"/>
      <c r="X374" s="106"/>
      <c r="Y374" s="106"/>
      <c r="Z374" s="103" t="str">
        <f aca="false">IF(OR($B374="", $U374="", $V374="", $W374="", $X374="", $Y374=""),"",ROUND(($U374*Lists!$AD$11)+($V374*Lists!$AD$12)+($W374*Lists!$AD$13)+($X374*Lists!$AD$14)+($Y374*Lists!$AD$15),2))</f>
        <v/>
      </c>
      <c r="AA374" s="103" t="str">
        <f aca="false">IF(OR($B374="", $N374="", $O374="", $T374="", $Z374=""),"",ROUND(($N374*Lists!$AD$16)-($O374*Lists!$AD$17)-($T374*Lists!$AD$18)+($Z374*Lists!$AD$19),2))</f>
        <v/>
      </c>
      <c r="AB374" s="102" t="str">
        <f aca="false">IF(OR($B374="", $N374="", $Z374=""),"",IF($N374&gt;=Lists!$AG$2,IF($Z374&gt;=Lists!$AG$3,"Invest","Migrate"),IF($Z374&gt;=Lists!$AG$3,"Tolerate","Eliminate")))</f>
        <v/>
      </c>
      <c r="AC374" s="102" t="str">
        <f aca="false">IF($B374="","",IF($J374&gt;=4,"Yes",""))</f>
        <v/>
      </c>
      <c r="AD374" s="102" t="str">
        <f aca="false">IF($A374="","",IFERROR(IF(VLOOKUP($A374,'Risk Register'!$B$2:$H$1000,4,FALSE())&gt;=4,"Yes",""),""))</f>
        <v/>
      </c>
      <c r="AE374" s="102" t="str">
        <f aca="false">IF(OR($N374="", $O374=""),"",IF($N374&gt;=Lists!$AG$2,IF($O374&gt;=Lists!$AG$4,"High Value / High Risk","High Value / Low Risk"),IF($O374&gt;=Lists!$AG$4,"Low Value / High Risk","Low Value / Low Risk")))</f>
        <v/>
      </c>
      <c r="AF374" s="101"/>
      <c r="AG374" s="126"/>
      <c r="AH374" s="106" t="str">
        <f aca="false">IF($B374="","",COUNTIFS('Debt Backlog'!$AF$2:$AF$1000,$A374,'Debt Backlog'!$B$2:$B$1000,"&lt;&gt;",'Debt Backlog'!$N$2:$N$1000,"&lt;&gt;Done",'Debt Backlog'!$N$2:$N$1000,"&lt;&gt;Won't Fix",'Debt Backlog'!$N$2:$N$1000,"&lt;&gt;Duplicate"))</f>
        <v/>
      </c>
      <c r="AI374" s="103" t="str">
        <f aca="false">IF($B374="","",ROUND(SUMIFS('Debt Backlog'!$L$2:$L$1000,'Debt Backlog'!$AF$2:$AF$1000,$A374,'Debt Backlog'!$B$2:$B$1000,"&lt;&gt;",'Debt Backlog'!$N$2:$N$1000,"&lt;&gt;Done",'Debt Backlog'!$N$2:$N$1000,"&lt;&gt;Won't Fix",'Debt Backlog'!$N$2:$N$1000,"&lt;&gt;Duplicate"),2))</f>
        <v/>
      </c>
    </row>
    <row r="375" customFormat="false" ht="15.75" hidden="false" customHeight="true" outlineLevel="0" collapsed="false">
      <c r="A375" s="125"/>
      <c r="B375" s="101"/>
      <c r="C375" s="101"/>
      <c r="D375" s="101"/>
      <c r="E375" s="101"/>
      <c r="F375" s="101"/>
      <c r="G375" s="101"/>
      <c r="H375" s="101"/>
      <c r="I375" s="106"/>
      <c r="J375" s="106"/>
      <c r="K375" s="106"/>
      <c r="L375" s="106"/>
      <c r="M375" s="106"/>
      <c r="N375" s="103" t="str">
        <f aca="false">IF(OR($B375="", $I375="", $J375="", $K375="", $L375="", $M375=""),"",ROUND(($I375*Lists!$AD$2)+($J375*Lists!$AD$3)+($K375*Lists!$AD$4)+($L375*Lists!$AD$5)+($M375*Lists!$AD$6),2))</f>
        <v/>
      </c>
      <c r="O375" s="103" t="str">
        <f aca="false">IF($A375="","",IFERROR(VLOOKUP($A375,'Risk Register'!$B$2:$I$1000,8,FALSE()),""))</f>
        <v/>
      </c>
      <c r="P375" s="106"/>
      <c r="Q375" s="106"/>
      <c r="R375" s="106"/>
      <c r="S375" s="106"/>
      <c r="T375" s="103" t="str">
        <f aca="false">IF(OR($B375="", $P375="", $Q375="", $R375="", $S375=""),"",ROUND(($P375*Lists!$AD$7)+($Q375*Lists!$AD$8)+($R375*Lists!$AD$9)+($S375*Lists!$AD$10),2))</f>
        <v/>
      </c>
      <c r="U375" s="106"/>
      <c r="V375" s="106"/>
      <c r="W375" s="106"/>
      <c r="X375" s="106"/>
      <c r="Y375" s="106"/>
      <c r="Z375" s="103" t="str">
        <f aca="false">IF(OR($B375="", $U375="", $V375="", $W375="", $X375="", $Y375=""),"",ROUND(($U375*Lists!$AD$11)+($V375*Lists!$AD$12)+($W375*Lists!$AD$13)+($X375*Lists!$AD$14)+($Y375*Lists!$AD$15),2))</f>
        <v/>
      </c>
      <c r="AA375" s="103" t="str">
        <f aca="false">IF(OR($B375="", $N375="", $O375="", $T375="", $Z375=""),"",ROUND(($N375*Lists!$AD$16)-($O375*Lists!$AD$17)-($T375*Lists!$AD$18)+($Z375*Lists!$AD$19),2))</f>
        <v/>
      </c>
      <c r="AB375" s="102" t="str">
        <f aca="false">IF(OR($B375="", $N375="", $Z375=""),"",IF($N375&gt;=Lists!$AG$2,IF($Z375&gt;=Lists!$AG$3,"Invest","Migrate"),IF($Z375&gt;=Lists!$AG$3,"Tolerate","Eliminate")))</f>
        <v/>
      </c>
      <c r="AC375" s="102" t="str">
        <f aca="false">IF($B375="","",IF($J375&gt;=4,"Yes",""))</f>
        <v/>
      </c>
      <c r="AD375" s="102" t="str">
        <f aca="false">IF($A375="","",IFERROR(IF(VLOOKUP($A375,'Risk Register'!$B$2:$H$1000,4,FALSE())&gt;=4,"Yes",""),""))</f>
        <v/>
      </c>
      <c r="AE375" s="102" t="str">
        <f aca="false">IF(OR($N375="", $O375=""),"",IF($N375&gt;=Lists!$AG$2,IF($O375&gt;=Lists!$AG$4,"High Value / High Risk","High Value / Low Risk"),IF($O375&gt;=Lists!$AG$4,"Low Value / High Risk","Low Value / Low Risk")))</f>
        <v/>
      </c>
      <c r="AF375" s="101"/>
      <c r="AG375" s="126"/>
      <c r="AH375" s="106" t="str">
        <f aca="false">IF($B375="","",COUNTIFS('Debt Backlog'!$AF$2:$AF$1000,$A375,'Debt Backlog'!$B$2:$B$1000,"&lt;&gt;",'Debt Backlog'!$N$2:$N$1000,"&lt;&gt;Done",'Debt Backlog'!$N$2:$N$1000,"&lt;&gt;Won't Fix",'Debt Backlog'!$N$2:$N$1000,"&lt;&gt;Duplicate"))</f>
        <v/>
      </c>
      <c r="AI375" s="103" t="str">
        <f aca="false">IF($B375="","",ROUND(SUMIFS('Debt Backlog'!$L$2:$L$1000,'Debt Backlog'!$AF$2:$AF$1000,$A375,'Debt Backlog'!$B$2:$B$1000,"&lt;&gt;",'Debt Backlog'!$N$2:$N$1000,"&lt;&gt;Done",'Debt Backlog'!$N$2:$N$1000,"&lt;&gt;Won't Fix",'Debt Backlog'!$N$2:$N$1000,"&lt;&gt;Duplicate"),2))</f>
        <v/>
      </c>
    </row>
    <row r="376" customFormat="false" ht="15.75" hidden="false" customHeight="true" outlineLevel="0" collapsed="false">
      <c r="A376" s="125"/>
      <c r="B376" s="101"/>
      <c r="C376" s="101"/>
      <c r="D376" s="101"/>
      <c r="E376" s="101"/>
      <c r="F376" s="101"/>
      <c r="G376" s="101"/>
      <c r="H376" s="101"/>
      <c r="I376" s="106"/>
      <c r="J376" s="106"/>
      <c r="K376" s="106"/>
      <c r="L376" s="106"/>
      <c r="M376" s="106"/>
      <c r="N376" s="103" t="str">
        <f aca="false">IF(OR($B376="", $I376="", $J376="", $K376="", $L376="", $M376=""),"",ROUND(($I376*Lists!$AD$2)+($J376*Lists!$AD$3)+($K376*Lists!$AD$4)+($L376*Lists!$AD$5)+($M376*Lists!$AD$6),2))</f>
        <v/>
      </c>
      <c r="O376" s="103" t="str">
        <f aca="false">IF($A376="","",IFERROR(VLOOKUP($A376,'Risk Register'!$B$2:$I$1000,8,FALSE()),""))</f>
        <v/>
      </c>
      <c r="P376" s="106"/>
      <c r="Q376" s="106"/>
      <c r="R376" s="106"/>
      <c r="S376" s="106"/>
      <c r="T376" s="103" t="str">
        <f aca="false">IF(OR($B376="", $P376="", $Q376="", $R376="", $S376=""),"",ROUND(($P376*Lists!$AD$7)+($Q376*Lists!$AD$8)+($R376*Lists!$AD$9)+($S376*Lists!$AD$10),2))</f>
        <v/>
      </c>
      <c r="U376" s="106"/>
      <c r="V376" s="106"/>
      <c r="W376" s="106"/>
      <c r="X376" s="106"/>
      <c r="Y376" s="106"/>
      <c r="Z376" s="103" t="str">
        <f aca="false">IF(OR($B376="", $U376="", $V376="", $W376="", $X376="", $Y376=""),"",ROUND(($U376*Lists!$AD$11)+($V376*Lists!$AD$12)+($W376*Lists!$AD$13)+($X376*Lists!$AD$14)+($Y376*Lists!$AD$15),2))</f>
        <v/>
      </c>
      <c r="AA376" s="103" t="str">
        <f aca="false">IF(OR($B376="", $N376="", $O376="", $T376="", $Z376=""),"",ROUND(($N376*Lists!$AD$16)-($O376*Lists!$AD$17)-($T376*Lists!$AD$18)+($Z376*Lists!$AD$19),2))</f>
        <v/>
      </c>
      <c r="AB376" s="102" t="str">
        <f aca="false">IF(OR($B376="", $N376="", $Z376=""),"",IF($N376&gt;=Lists!$AG$2,IF($Z376&gt;=Lists!$AG$3,"Invest","Migrate"),IF($Z376&gt;=Lists!$AG$3,"Tolerate","Eliminate")))</f>
        <v/>
      </c>
      <c r="AC376" s="102" t="str">
        <f aca="false">IF($B376="","",IF($J376&gt;=4,"Yes",""))</f>
        <v/>
      </c>
      <c r="AD376" s="102" t="str">
        <f aca="false">IF($A376="","",IFERROR(IF(VLOOKUP($A376,'Risk Register'!$B$2:$H$1000,4,FALSE())&gt;=4,"Yes",""),""))</f>
        <v/>
      </c>
      <c r="AE376" s="102" t="str">
        <f aca="false">IF(OR($N376="", $O376=""),"",IF($N376&gt;=Lists!$AG$2,IF($O376&gt;=Lists!$AG$4,"High Value / High Risk","High Value / Low Risk"),IF($O376&gt;=Lists!$AG$4,"Low Value / High Risk","Low Value / Low Risk")))</f>
        <v/>
      </c>
      <c r="AF376" s="101"/>
      <c r="AG376" s="126"/>
      <c r="AH376" s="106" t="str">
        <f aca="false">IF($B376="","",COUNTIFS('Debt Backlog'!$AF$2:$AF$1000,$A376,'Debt Backlog'!$B$2:$B$1000,"&lt;&gt;",'Debt Backlog'!$N$2:$N$1000,"&lt;&gt;Done",'Debt Backlog'!$N$2:$N$1000,"&lt;&gt;Won't Fix",'Debt Backlog'!$N$2:$N$1000,"&lt;&gt;Duplicate"))</f>
        <v/>
      </c>
      <c r="AI376" s="103" t="str">
        <f aca="false">IF($B376="","",ROUND(SUMIFS('Debt Backlog'!$L$2:$L$1000,'Debt Backlog'!$AF$2:$AF$1000,$A376,'Debt Backlog'!$B$2:$B$1000,"&lt;&gt;",'Debt Backlog'!$N$2:$N$1000,"&lt;&gt;Done",'Debt Backlog'!$N$2:$N$1000,"&lt;&gt;Won't Fix",'Debt Backlog'!$N$2:$N$1000,"&lt;&gt;Duplicate"),2))</f>
        <v/>
      </c>
    </row>
    <row r="377" customFormat="false" ht="15.75" hidden="false" customHeight="true" outlineLevel="0" collapsed="false">
      <c r="A377" s="125"/>
      <c r="B377" s="101"/>
      <c r="C377" s="101"/>
      <c r="D377" s="101"/>
      <c r="E377" s="101"/>
      <c r="F377" s="101"/>
      <c r="G377" s="101"/>
      <c r="H377" s="101"/>
      <c r="I377" s="106"/>
      <c r="J377" s="106"/>
      <c r="K377" s="106"/>
      <c r="L377" s="106"/>
      <c r="M377" s="106"/>
      <c r="N377" s="103" t="str">
        <f aca="false">IF(OR($B377="", $I377="", $J377="", $K377="", $L377="", $M377=""),"",ROUND(($I377*Lists!$AD$2)+($J377*Lists!$AD$3)+($K377*Lists!$AD$4)+($L377*Lists!$AD$5)+($M377*Lists!$AD$6),2))</f>
        <v/>
      </c>
      <c r="O377" s="103" t="str">
        <f aca="false">IF($A377="","",IFERROR(VLOOKUP($A377,'Risk Register'!$B$2:$I$1000,8,FALSE()),""))</f>
        <v/>
      </c>
      <c r="P377" s="106"/>
      <c r="Q377" s="106"/>
      <c r="R377" s="106"/>
      <c r="S377" s="106"/>
      <c r="T377" s="103" t="str">
        <f aca="false">IF(OR($B377="", $P377="", $Q377="", $R377="", $S377=""),"",ROUND(($P377*Lists!$AD$7)+($Q377*Lists!$AD$8)+($R377*Lists!$AD$9)+($S377*Lists!$AD$10),2))</f>
        <v/>
      </c>
      <c r="U377" s="106"/>
      <c r="V377" s="106"/>
      <c r="W377" s="106"/>
      <c r="X377" s="106"/>
      <c r="Y377" s="106"/>
      <c r="Z377" s="103" t="str">
        <f aca="false">IF(OR($B377="", $U377="", $V377="", $W377="", $X377="", $Y377=""),"",ROUND(($U377*Lists!$AD$11)+($V377*Lists!$AD$12)+($W377*Lists!$AD$13)+($X377*Lists!$AD$14)+($Y377*Lists!$AD$15),2))</f>
        <v/>
      </c>
      <c r="AA377" s="103" t="str">
        <f aca="false">IF(OR($B377="", $N377="", $O377="", $T377="", $Z377=""),"",ROUND(($N377*Lists!$AD$16)-($O377*Lists!$AD$17)-($T377*Lists!$AD$18)+($Z377*Lists!$AD$19),2))</f>
        <v/>
      </c>
      <c r="AB377" s="102" t="str">
        <f aca="false">IF(OR($B377="", $N377="", $Z377=""),"",IF($N377&gt;=Lists!$AG$2,IF($Z377&gt;=Lists!$AG$3,"Invest","Migrate"),IF($Z377&gt;=Lists!$AG$3,"Tolerate","Eliminate")))</f>
        <v/>
      </c>
      <c r="AC377" s="102" t="str">
        <f aca="false">IF($B377="","",IF($J377&gt;=4,"Yes",""))</f>
        <v/>
      </c>
      <c r="AD377" s="102" t="str">
        <f aca="false">IF($A377="","",IFERROR(IF(VLOOKUP($A377,'Risk Register'!$B$2:$H$1000,4,FALSE())&gt;=4,"Yes",""),""))</f>
        <v/>
      </c>
      <c r="AE377" s="102" t="str">
        <f aca="false">IF(OR($N377="", $O377=""),"",IF($N377&gt;=Lists!$AG$2,IF($O377&gt;=Lists!$AG$4,"High Value / High Risk","High Value / Low Risk"),IF($O377&gt;=Lists!$AG$4,"Low Value / High Risk","Low Value / Low Risk")))</f>
        <v/>
      </c>
      <c r="AF377" s="101"/>
      <c r="AG377" s="126"/>
      <c r="AH377" s="106" t="str">
        <f aca="false">IF($B377="","",COUNTIFS('Debt Backlog'!$AF$2:$AF$1000,$A377,'Debt Backlog'!$B$2:$B$1000,"&lt;&gt;",'Debt Backlog'!$N$2:$N$1000,"&lt;&gt;Done",'Debt Backlog'!$N$2:$N$1000,"&lt;&gt;Won't Fix",'Debt Backlog'!$N$2:$N$1000,"&lt;&gt;Duplicate"))</f>
        <v/>
      </c>
      <c r="AI377" s="103" t="str">
        <f aca="false">IF($B377="","",ROUND(SUMIFS('Debt Backlog'!$L$2:$L$1000,'Debt Backlog'!$AF$2:$AF$1000,$A377,'Debt Backlog'!$B$2:$B$1000,"&lt;&gt;",'Debt Backlog'!$N$2:$N$1000,"&lt;&gt;Done",'Debt Backlog'!$N$2:$N$1000,"&lt;&gt;Won't Fix",'Debt Backlog'!$N$2:$N$1000,"&lt;&gt;Duplicate"),2))</f>
        <v/>
      </c>
    </row>
    <row r="378" customFormat="false" ht="15.75" hidden="false" customHeight="true" outlineLevel="0" collapsed="false">
      <c r="A378" s="125"/>
      <c r="B378" s="101"/>
      <c r="C378" s="101"/>
      <c r="D378" s="101"/>
      <c r="E378" s="101"/>
      <c r="F378" s="101"/>
      <c r="G378" s="101"/>
      <c r="H378" s="101"/>
      <c r="I378" s="106"/>
      <c r="J378" s="106"/>
      <c r="K378" s="106"/>
      <c r="L378" s="106"/>
      <c r="M378" s="106"/>
      <c r="N378" s="103" t="str">
        <f aca="false">IF(OR($B378="", $I378="", $J378="", $K378="", $L378="", $M378=""),"",ROUND(($I378*Lists!$AD$2)+($J378*Lists!$AD$3)+($K378*Lists!$AD$4)+($L378*Lists!$AD$5)+($M378*Lists!$AD$6),2))</f>
        <v/>
      </c>
      <c r="O378" s="103" t="str">
        <f aca="false">IF($A378="","",IFERROR(VLOOKUP($A378,'Risk Register'!$B$2:$I$1000,8,FALSE()),""))</f>
        <v/>
      </c>
      <c r="P378" s="106"/>
      <c r="Q378" s="106"/>
      <c r="R378" s="106"/>
      <c r="S378" s="106"/>
      <c r="T378" s="103" t="str">
        <f aca="false">IF(OR($B378="", $P378="", $Q378="", $R378="", $S378=""),"",ROUND(($P378*Lists!$AD$7)+($Q378*Lists!$AD$8)+($R378*Lists!$AD$9)+($S378*Lists!$AD$10),2))</f>
        <v/>
      </c>
      <c r="U378" s="106"/>
      <c r="V378" s="106"/>
      <c r="W378" s="106"/>
      <c r="X378" s="106"/>
      <c r="Y378" s="106"/>
      <c r="Z378" s="103" t="str">
        <f aca="false">IF(OR($B378="", $U378="", $V378="", $W378="", $X378="", $Y378=""),"",ROUND(($U378*Lists!$AD$11)+($V378*Lists!$AD$12)+($W378*Lists!$AD$13)+($X378*Lists!$AD$14)+($Y378*Lists!$AD$15),2))</f>
        <v/>
      </c>
      <c r="AA378" s="103" t="str">
        <f aca="false">IF(OR($B378="", $N378="", $O378="", $T378="", $Z378=""),"",ROUND(($N378*Lists!$AD$16)-($O378*Lists!$AD$17)-($T378*Lists!$AD$18)+($Z378*Lists!$AD$19),2))</f>
        <v/>
      </c>
      <c r="AB378" s="102" t="str">
        <f aca="false">IF(OR($B378="", $N378="", $Z378=""),"",IF($N378&gt;=Lists!$AG$2,IF($Z378&gt;=Lists!$AG$3,"Invest","Migrate"),IF($Z378&gt;=Lists!$AG$3,"Tolerate","Eliminate")))</f>
        <v/>
      </c>
      <c r="AC378" s="102" t="str">
        <f aca="false">IF($B378="","",IF($J378&gt;=4,"Yes",""))</f>
        <v/>
      </c>
      <c r="AD378" s="102" t="str">
        <f aca="false">IF($A378="","",IFERROR(IF(VLOOKUP($A378,'Risk Register'!$B$2:$H$1000,4,FALSE())&gt;=4,"Yes",""),""))</f>
        <v/>
      </c>
      <c r="AE378" s="102" t="str">
        <f aca="false">IF(OR($N378="", $O378=""),"",IF($N378&gt;=Lists!$AG$2,IF($O378&gt;=Lists!$AG$4,"High Value / High Risk","High Value / Low Risk"),IF($O378&gt;=Lists!$AG$4,"Low Value / High Risk","Low Value / Low Risk")))</f>
        <v/>
      </c>
      <c r="AF378" s="101"/>
      <c r="AG378" s="126"/>
      <c r="AH378" s="106" t="str">
        <f aca="false">IF($B378="","",COUNTIFS('Debt Backlog'!$AF$2:$AF$1000,$A378,'Debt Backlog'!$B$2:$B$1000,"&lt;&gt;",'Debt Backlog'!$N$2:$N$1000,"&lt;&gt;Done",'Debt Backlog'!$N$2:$N$1000,"&lt;&gt;Won't Fix",'Debt Backlog'!$N$2:$N$1000,"&lt;&gt;Duplicate"))</f>
        <v/>
      </c>
      <c r="AI378" s="103" t="str">
        <f aca="false">IF($B378="","",ROUND(SUMIFS('Debt Backlog'!$L$2:$L$1000,'Debt Backlog'!$AF$2:$AF$1000,$A378,'Debt Backlog'!$B$2:$B$1000,"&lt;&gt;",'Debt Backlog'!$N$2:$N$1000,"&lt;&gt;Done",'Debt Backlog'!$N$2:$N$1000,"&lt;&gt;Won't Fix",'Debt Backlog'!$N$2:$N$1000,"&lt;&gt;Duplicate"),2))</f>
        <v/>
      </c>
    </row>
    <row r="379" customFormat="false" ht="15.75" hidden="false" customHeight="true" outlineLevel="0" collapsed="false">
      <c r="A379" s="125"/>
      <c r="B379" s="101"/>
      <c r="C379" s="101"/>
      <c r="D379" s="101"/>
      <c r="E379" s="101"/>
      <c r="F379" s="101"/>
      <c r="G379" s="101"/>
      <c r="H379" s="101"/>
      <c r="I379" s="106"/>
      <c r="J379" s="106"/>
      <c r="K379" s="106"/>
      <c r="L379" s="106"/>
      <c r="M379" s="106"/>
      <c r="N379" s="103" t="str">
        <f aca="false">IF(OR($B379="", $I379="", $J379="", $K379="", $L379="", $M379=""),"",ROUND(($I379*Lists!$AD$2)+($J379*Lists!$AD$3)+($K379*Lists!$AD$4)+($L379*Lists!$AD$5)+($M379*Lists!$AD$6),2))</f>
        <v/>
      </c>
      <c r="O379" s="103" t="str">
        <f aca="false">IF($A379="","",IFERROR(VLOOKUP($A379,'Risk Register'!$B$2:$I$1000,8,FALSE()),""))</f>
        <v/>
      </c>
      <c r="P379" s="106"/>
      <c r="Q379" s="106"/>
      <c r="R379" s="106"/>
      <c r="S379" s="106"/>
      <c r="T379" s="103" t="str">
        <f aca="false">IF(OR($B379="", $P379="", $Q379="", $R379="", $S379=""),"",ROUND(($P379*Lists!$AD$7)+($Q379*Lists!$AD$8)+($R379*Lists!$AD$9)+($S379*Lists!$AD$10),2))</f>
        <v/>
      </c>
      <c r="U379" s="106"/>
      <c r="V379" s="106"/>
      <c r="W379" s="106"/>
      <c r="X379" s="106"/>
      <c r="Y379" s="106"/>
      <c r="Z379" s="103" t="str">
        <f aca="false">IF(OR($B379="", $U379="", $V379="", $W379="", $X379="", $Y379=""),"",ROUND(($U379*Lists!$AD$11)+($V379*Lists!$AD$12)+($W379*Lists!$AD$13)+($X379*Lists!$AD$14)+($Y379*Lists!$AD$15),2))</f>
        <v/>
      </c>
      <c r="AA379" s="103" t="str">
        <f aca="false">IF(OR($B379="", $N379="", $O379="", $T379="", $Z379=""),"",ROUND(($N379*Lists!$AD$16)-($O379*Lists!$AD$17)-($T379*Lists!$AD$18)+($Z379*Lists!$AD$19),2))</f>
        <v/>
      </c>
      <c r="AB379" s="102" t="str">
        <f aca="false">IF(OR($B379="", $N379="", $Z379=""),"",IF($N379&gt;=Lists!$AG$2,IF($Z379&gt;=Lists!$AG$3,"Invest","Migrate"),IF($Z379&gt;=Lists!$AG$3,"Tolerate","Eliminate")))</f>
        <v/>
      </c>
      <c r="AC379" s="102" t="str">
        <f aca="false">IF($B379="","",IF($J379&gt;=4,"Yes",""))</f>
        <v/>
      </c>
      <c r="AD379" s="102" t="str">
        <f aca="false">IF($A379="","",IFERROR(IF(VLOOKUP($A379,'Risk Register'!$B$2:$H$1000,4,FALSE())&gt;=4,"Yes",""),""))</f>
        <v/>
      </c>
      <c r="AE379" s="102" t="str">
        <f aca="false">IF(OR($N379="", $O379=""),"",IF($N379&gt;=Lists!$AG$2,IF($O379&gt;=Lists!$AG$4,"High Value / High Risk","High Value / Low Risk"),IF($O379&gt;=Lists!$AG$4,"Low Value / High Risk","Low Value / Low Risk")))</f>
        <v/>
      </c>
      <c r="AF379" s="101"/>
      <c r="AG379" s="126"/>
      <c r="AH379" s="106" t="str">
        <f aca="false">IF($B379="","",COUNTIFS('Debt Backlog'!$AF$2:$AF$1000,$A379,'Debt Backlog'!$B$2:$B$1000,"&lt;&gt;",'Debt Backlog'!$N$2:$N$1000,"&lt;&gt;Done",'Debt Backlog'!$N$2:$N$1000,"&lt;&gt;Won't Fix",'Debt Backlog'!$N$2:$N$1000,"&lt;&gt;Duplicate"))</f>
        <v/>
      </c>
      <c r="AI379" s="103" t="str">
        <f aca="false">IF($B379="","",ROUND(SUMIFS('Debt Backlog'!$L$2:$L$1000,'Debt Backlog'!$AF$2:$AF$1000,$A379,'Debt Backlog'!$B$2:$B$1000,"&lt;&gt;",'Debt Backlog'!$N$2:$N$1000,"&lt;&gt;Done",'Debt Backlog'!$N$2:$N$1000,"&lt;&gt;Won't Fix",'Debt Backlog'!$N$2:$N$1000,"&lt;&gt;Duplicate"),2))</f>
        <v/>
      </c>
    </row>
    <row r="380" customFormat="false" ht="15.75" hidden="false" customHeight="true" outlineLevel="0" collapsed="false">
      <c r="A380" s="125"/>
      <c r="B380" s="101"/>
      <c r="C380" s="101"/>
      <c r="D380" s="101"/>
      <c r="E380" s="101"/>
      <c r="F380" s="101"/>
      <c r="G380" s="101"/>
      <c r="H380" s="101"/>
      <c r="I380" s="106"/>
      <c r="J380" s="106"/>
      <c r="K380" s="106"/>
      <c r="L380" s="106"/>
      <c r="M380" s="106"/>
      <c r="N380" s="103" t="str">
        <f aca="false">IF(OR($B380="", $I380="", $J380="", $K380="", $L380="", $M380=""),"",ROUND(($I380*Lists!$AD$2)+($J380*Lists!$AD$3)+($K380*Lists!$AD$4)+($L380*Lists!$AD$5)+($M380*Lists!$AD$6),2))</f>
        <v/>
      </c>
      <c r="O380" s="103" t="str">
        <f aca="false">IF($A380="","",IFERROR(VLOOKUP($A380,'Risk Register'!$B$2:$I$1000,8,FALSE()),""))</f>
        <v/>
      </c>
      <c r="P380" s="106"/>
      <c r="Q380" s="106"/>
      <c r="R380" s="106"/>
      <c r="S380" s="106"/>
      <c r="T380" s="103" t="str">
        <f aca="false">IF(OR($B380="", $P380="", $Q380="", $R380="", $S380=""),"",ROUND(($P380*Lists!$AD$7)+($Q380*Lists!$AD$8)+($R380*Lists!$AD$9)+($S380*Lists!$AD$10),2))</f>
        <v/>
      </c>
      <c r="U380" s="106"/>
      <c r="V380" s="106"/>
      <c r="W380" s="106"/>
      <c r="X380" s="106"/>
      <c r="Y380" s="106"/>
      <c r="Z380" s="103" t="str">
        <f aca="false">IF(OR($B380="", $U380="", $V380="", $W380="", $X380="", $Y380=""),"",ROUND(($U380*Lists!$AD$11)+($V380*Lists!$AD$12)+($W380*Lists!$AD$13)+($X380*Lists!$AD$14)+($Y380*Lists!$AD$15),2))</f>
        <v/>
      </c>
      <c r="AA380" s="103" t="str">
        <f aca="false">IF(OR($B380="", $N380="", $O380="", $T380="", $Z380=""),"",ROUND(($N380*Lists!$AD$16)-($O380*Lists!$AD$17)-($T380*Lists!$AD$18)+($Z380*Lists!$AD$19),2))</f>
        <v/>
      </c>
      <c r="AB380" s="102" t="str">
        <f aca="false">IF(OR($B380="", $N380="", $Z380=""),"",IF($N380&gt;=Lists!$AG$2,IF($Z380&gt;=Lists!$AG$3,"Invest","Migrate"),IF($Z380&gt;=Lists!$AG$3,"Tolerate","Eliminate")))</f>
        <v/>
      </c>
      <c r="AC380" s="102" t="str">
        <f aca="false">IF($B380="","",IF($J380&gt;=4,"Yes",""))</f>
        <v/>
      </c>
      <c r="AD380" s="102" t="str">
        <f aca="false">IF($A380="","",IFERROR(IF(VLOOKUP($A380,'Risk Register'!$B$2:$H$1000,4,FALSE())&gt;=4,"Yes",""),""))</f>
        <v/>
      </c>
      <c r="AE380" s="102" t="str">
        <f aca="false">IF(OR($N380="", $O380=""),"",IF($N380&gt;=Lists!$AG$2,IF($O380&gt;=Lists!$AG$4,"High Value / High Risk","High Value / Low Risk"),IF($O380&gt;=Lists!$AG$4,"Low Value / High Risk","Low Value / Low Risk")))</f>
        <v/>
      </c>
      <c r="AF380" s="101"/>
      <c r="AG380" s="126"/>
      <c r="AH380" s="106" t="str">
        <f aca="false">IF($B380="","",COUNTIFS('Debt Backlog'!$AF$2:$AF$1000,$A380,'Debt Backlog'!$B$2:$B$1000,"&lt;&gt;",'Debt Backlog'!$N$2:$N$1000,"&lt;&gt;Done",'Debt Backlog'!$N$2:$N$1000,"&lt;&gt;Won't Fix",'Debt Backlog'!$N$2:$N$1000,"&lt;&gt;Duplicate"))</f>
        <v/>
      </c>
      <c r="AI380" s="103" t="str">
        <f aca="false">IF($B380="","",ROUND(SUMIFS('Debt Backlog'!$L$2:$L$1000,'Debt Backlog'!$AF$2:$AF$1000,$A380,'Debt Backlog'!$B$2:$B$1000,"&lt;&gt;",'Debt Backlog'!$N$2:$N$1000,"&lt;&gt;Done",'Debt Backlog'!$N$2:$N$1000,"&lt;&gt;Won't Fix",'Debt Backlog'!$N$2:$N$1000,"&lt;&gt;Duplicate"),2))</f>
        <v/>
      </c>
    </row>
    <row r="381" customFormat="false" ht="15.75" hidden="false" customHeight="true" outlineLevel="0" collapsed="false">
      <c r="A381" s="125"/>
      <c r="B381" s="101"/>
      <c r="C381" s="101"/>
      <c r="D381" s="101"/>
      <c r="E381" s="101"/>
      <c r="F381" s="101"/>
      <c r="G381" s="101"/>
      <c r="H381" s="101"/>
      <c r="I381" s="106"/>
      <c r="J381" s="106"/>
      <c r="K381" s="106"/>
      <c r="L381" s="106"/>
      <c r="M381" s="106"/>
      <c r="N381" s="103" t="str">
        <f aca="false">IF(OR($B381="", $I381="", $J381="", $K381="", $L381="", $M381=""),"",ROUND(($I381*Lists!$AD$2)+($J381*Lists!$AD$3)+($K381*Lists!$AD$4)+($L381*Lists!$AD$5)+($M381*Lists!$AD$6),2))</f>
        <v/>
      </c>
      <c r="O381" s="103" t="str">
        <f aca="false">IF($A381="","",IFERROR(VLOOKUP($A381,'Risk Register'!$B$2:$I$1000,8,FALSE()),""))</f>
        <v/>
      </c>
      <c r="P381" s="106"/>
      <c r="Q381" s="106"/>
      <c r="R381" s="106"/>
      <c r="S381" s="106"/>
      <c r="T381" s="103" t="str">
        <f aca="false">IF(OR($B381="", $P381="", $Q381="", $R381="", $S381=""),"",ROUND(($P381*Lists!$AD$7)+($Q381*Lists!$AD$8)+($R381*Lists!$AD$9)+($S381*Lists!$AD$10),2))</f>
        <v/>
      </c>
      <c r="U381" s="106"/>
      <c r="V381" s="106"/>
      <c r="W381" s="106"/>
      <c r="X381" s="106"/>
      <c r="Y381" s="106"/>
      <c r="Z381" s="103" t="str">
        <f aca="false">IF(OR($B381="", $U381="", $V381="", $W381="", $X381="", $Y381=""),"",ROUND(($U381*Lists!$AD$11)+($V381*Lists!$AD$12)+($W381*Lists!$AD$13)+($X381*Lists!$AD$14)+($Y381*Lists!$AD$15),2))</f>
        <v/>
      </c>
      <c r="AA381" s="103" t="str">
        <f aca="false">IF(OR($B381="", $N381="", $O381="", $T381="", $Z381=""),"",ROUND(($N381*Lists!$AD$16)-($O381*Lists!$AD$17)-($T381*Lists!$AD$18)+($Z381*Lists!$AD$19),2))</f>
        <v/>
      </c>
      <c r="AB381" s="102" t="str">
        <f aca="false">IF(OR($B381="", $N381="", $Z381=""),"",IF($N381&gt;=Lists!$AG$2,IF($Z381&gt;=Lists!$AG$3,"Invest","Migrate"),IF($Z381&gt;=Lists!$AG$3,"Tolerate","Eliminate")))</f>
        <v/>
      </c>
      <c r="AC381" s="102" t="str">
        <f aca="false">IF($B381="","",IF($J381&gt;=4,"Yes",""))</f>
        <v/>
      </c>
      <c r="AD381" s="102" t="str">
        <f aca="false">IF($A381="","",IFERROR(IF(VLOOKUP($A381,'Risk Register'!$B$2:$H$1000,4,FALSE())&gt;=4,"Yes",""),""))</f>
        <v/>
      </c>
      <c r="AE381" s="102" t="str">
        <f aca="false">IF(OR($N381="", $O381=""),"",IF($N381&gt;=Lists!$AG$2,IF($O381&gt;=Lists!$AG$4,"High Value / High Risk","High Value / Low Risk"),IF($O381&gt;=Lists!$AG$4,"Low Value / High Risk","Low Value / Low Risk")))</f>
        <v/>
      </c>
      <c r="AF381" s="101"/>
      <c r="AG381" s="126"/>
      <c r="AH381" s="106" t="str">
        <f aca="false">IF($B381="","",COUNTIFS('Debt Backlog'!$AF$2:$AF$1000,$A381,'Debt Backlog'!$B$2:$B$1000,"&lt;&gt;",'Debt Backlog'!$N$2:$N$1000,"&lt;&gt;Done",'Debt Backlog'!$N$2:$N$1000,"&lt;&gt;Won't Fix",'Debt Backlog'!$N$2:$N$1000,"&lt;&gt;Duplicate"))</f>
        <v/>
      </c>
      <c r="AI381" s="103" t="str">
        <f aca="false">IF($B381="","",ROUND(SUMIFS('Debt Backlog'!$L$2:$L$1000,'Debt Backlog'!$AF$2:$AF$1000,$A381,'Debt Backlog'!$B$2:$B$1000,"&lt;&gt;",'Debt Backlog'!$N$2:$N$1000,"&lt;&gt;Done",'Debt Backlog'!$N$2:$N$1000,"&lt;&gt;Won't Fix",'Debt Backlog'!$N$2:$N$1000,"&lt;&gt;Duplicate"),2))</f>
        <v/>
      </c>
    </row>
    <row r="382" customFormat="false" ht="15.75" hidden="false" customHeight="true" outlineLevel="0" collapsed="false">
      <c r="A382" s="125"/>
      <c r="B382" s="101"/>
      <c r="C382" s="101"/>
      <c r="D382" s="101"/>
      <c r="E382" s="101"/>
      <c r="F382" s="101"/>
      <c r="G382" s="101"/>
      <c r="H382" s="101"/>
      <c r="I382" s="106"/>
      <c r="J382" s="106"/>
      <c r="K382" s="106"/>
      <c r="L382" s="106"/>
      <c r="M382" s="106"/>
      <c r="N382" s="103" t="str">
        <f aca="false">IF(OR($B382="", $I382="", $J382="", $K382="", $L382="", $M382=""),"",ROUND(($I382*Lists!$AD$2)+($J382*Lists!$AD$3)+($K382*Lists!$AD$4)+($L382*Lists!$AD$5)+($M382*Lists!$AD$6),2))</f>
        <v/>
      </c>
      <c r="O382" s="103" t="str">
        <f aca="false">IF($A382="","",IFERROR(VLOOKUP($A382,'Risk Register'!$B$2:$I$1000,8,FALSE()),""))</f>
        <v/>
      </c>
      <c r="P382" s="106"/>
      <c r="Q382" s="106"/>
      <c r="R382" s="106"/>
      <c r="S382" s="106"/>
      <c r="T382" s="103" t="str">
        <f aca="false">IF(OR($B382="", $P382="", $Q382="", $R382="", $S382=""),"",ROUND(($P382*Lists!$AD$7)+($Q382*Lists!$AD$8)+($R382*Lists!$AD$9)+($S382*Lists!$AD$10),2))</f>
        <v/>
      </c>
      <c r="U382" s="106"/>
      <c r="V382" s="106"/>
      <c r="W382" s="106"/>
      <c r="X382" s="106"/>
      <c r="Y382" s="106"/>
      <c r="Z382" s="103" t="str">
        <f aca="false">IF(OR($B382="", $U382="", $V382="", $W382="", $X382="", $Y382=""),"",ROUND(($U382*Lists!$AD$11)+($V382*Lists!$AD$12)+($W382*Lists!$AD$13)+($X382*Lists!$AD$14)+($Y382*Lists!$AD$15),2))</f>
        <v/>
      </c>
      <c r="AA382" s="103" t="str">
        <f aca="false">IF(OR($B382="", $N382="", $O382="", $T382="", $Z382=""),"",ROUND(($N382*Lists!$AD$16)-($O382*Lists!$AD$17)-($T382*Lists!$AD$18)+($Z382*Lists!$AD$19),2))</f>
        <v/>
      </c>
      <c r="AB382" s="102" t="str">
        <f aca="false">IF(OR($B382="", $N382="", $Z382=""),"",IF($N382&gt;=Lists!$AG$2,IF($Z382&gt;=Lists!$AG$3,"Invest","Migrate"),IF($Z382&gt;=Lists!$AG$3,"Tolerate","Eliminate")))</f>
        <v/>
      </c>
      <c r="AC382" s="102" t="str">
        <f aca="false">IF($B382="","",IF($J382&gt;=4,"Yes",""))</f>
        <v/>
      </c>
      <c r="AD382" s="102" t="str">
        <f aca="false">IF($A382="","",IFERROR(IF(VLOOKUP($A382,'Risk Register'!$B$2:$H$1000,4,FALSE())&gt;=4,"Yes",""),""))</f>
        <v/>
      </c>
      <c r="AE382" s="102" t="str">
        <f aca="false">IF(OR($N382="", $O382=""),"",IF($N382&gt;=Lists!$AG$2,IF($O382&gt;=Lists!$AG$4,"High Value / High Risk","High Value / Low Risk"),IF($O382&gt;=Lists!$AG$4,"Low Value / High Risk","Low Value / Low Risk")))</f>
        <v/>
      </c>
      <c r="AF382" s="101"/>
      <c r="AG382" s="126"/>
      <c r="AH382" s="106" t="str">
        <f aca="false">IF($B382="","",COUNTIFS('Debt Backlog'!$AF$2:$AF$1000,$A382,'Debt Backlog'!$B$2:$B$1000,"&lt;&gt;",'Debt Backlog'!$N$2:$N$1000,"&lt;&gt;Done",'Debt Backlog'!$N$2:$N$1000,"&lt;&gt;Won't Fix",'Debt Backlog'!$N$2:$N$1000,"&lt;&gt;Duplicate"))</f>
        <v/>
      </c>
      <c r="AI382" s="103" t="str">
        <f aca="false">IF($B382="","",ROUND(SUMIFS('Debt Backlog'!$L$2:$L$1000,'Debt Backlog'!$AF$2:$AF$1000,$A382,'Debt Backlog'!$B$2:$B$1000,"&lt;&gt;",'Debt Backlog'!$N$2:$N$1000,"&lt;&gt;Done",'Debt Backlog'!$N$2:$N$1000,"&lt;&gt;Won't Fix",'Debt Backlog'!$N$2:$N$1000,"&lt;&gt;Duplicate"),2))</f>
        <v/>
      </c>
    </row>
    <row r="383" customFormat="false" ht="15.75" hidden="false" customHeight="true" outlineLevel="0" collapsed="false">
      <c r="A383" s="125"/>
      <c r="B383" s="101"/>
      <c r="C383" s="101"/>
      <c r="D383" s="101"/>
      <c r="E383" s="101"/>
      <c r="F383" s="101"/>
      <c r="G383" s="101"/>
      <c r="H383" s="101"/>
      <c r="I383" s="106"/>
      <c r="J383" s="106"/>
      <c r="K383" s="106"/>
      <c r="L383" s="106"/>
      <c r="M383" s="106"/>
      <c r="N383" s="103" t="str">
        <f aca="false">IF(OR($B383="", $I383="", $J383="", $K383="", $L383="", $M383=""),"",ROUND(($I383*Lists!$AD$2)+($J383*Lists!$AD$3)+($K383*Lists!$AD$4)+($L383*Lists!$AD$5)+($M383*Lists!$AD$6),2))</f>
        <v/>
      </c>
      <c r="O383" s="103" t="str">
        <f aca="false">IF($A383="","",IFERROR(VLOOKUP($A383,'Risk Register'!$B$2:$I$1000,8,FALSE()),""))</f>
        <v/>
      </c>
      <c r="P383" s="106"/>
      <c r="Q383" s="106"/>
      <c r="R383" s="106"/>
      <c r="S383" s="106"/>
      <c r="T383" s="103" t="str">
        <f aca="false">IF(OR($B383="", $P383="", $Q383="", $R383="", $S383=""),"",ROUND(($P383*Lists!$AD$7)+($Q383*Lists!$AD$8)+($R383*Lists!$AD$9)+($S383*Lists!$AD$10),2))</f>
        <v/>
      </c>
      <c r="U383" s="106"/>
      <c r="V383" s="106"/>
      <c r="W383" s="106"/>
      <c r="X383" s="106"/>
      <c r="Y383" s="106"/>
      <c r="Z383" s="103" t="str">
        <f aca="false">IF(OR($B383="", $U383="", $V383="", $W383="", $X383="", $Y383=""),"",ROUND(($U383*Lists!$AD$11)+($V383*Lists!$AD$12)+($W383*Lists!$AD$13)+($X383*Lists!$AD$14)+($Y383*Lists!$AD$15),2))</f>
        <v/>
      </c>
      <c r="AA383" s="103" t="str">
        <f aca="false">IF(OR($B383="", $N383="", $O383="", $T383="", $Z383=""),"",ROUND(($N383*Lists!$AD$16)-($O383*Lists!$AD$17)-($T383*Lists!$AD$18)+($Z383*Lists!$AD$19),2))</f>
        <v/>
      </c>
      <c r="AB383" s="102" t="str">
        <f aca="false">IF(OR($B383="", $N383="", $Z383=""),"",IF($N383&gt;=Lists!$AG$2,IF($Z383&gt;=Lists!$AG$3,"Invest","Migrate"),IF($Z383&gt;=Lists!$AG$3,"Tolerate","Eliminate")))</f>
        <v/>
      </c>
      <c r="AC383" s="102" t="str">
        <f aca="false">IF($B383="","",IF($J383&gt;=4,"Yes",""))</f>
        <v/>
      </c>
      <c r="AD383" s="102" t="str">
        <f aca="false">IF($A383="","",IFERROR(IF(VLOOKUP($A383,'Risk Register'!$B$2:$H$1000,4,FALSE())&gt;=4,"Yes",""),""))</f>
        <v/>
      </c>
      <c r="AE383" s="102" t="str">
        <f aca="false">IF(OR($N383="", $O383=""),"",IF($N383&gt;=Lists!$AG$2,IF($O383&gt;=Lists!$AG$4,"High Value / High Risk","High Value / Low Risk"),IF($O383&gt;=Lists!$AG$4,"Low Value / High Risk","Low Value / Low Risk")))</f>
        <v/>
      </c>
      <c r="AF383" s="101"/>
      <c r="AG383" s="126"/>
      <c r="AH383" s="106" t="str">
        <f aca="false">IF($B383="","",COUNTIFS('Debt Backlog'!$AF$2:$AF$1000,$A383,'Debt Backlog'!$B$2:$B$1000,"&lt;&gt;",'Debt Backlog'!$N$2:$N$1000,"&lt;&gt;Done",'Debt Backlog'!$N$2:$N$1000,"&lt;&gt;Won't Fix",'Debt Backlog'!$N$2:$N$1000,"&lt;&gt;Duplicate"))</f>
        <v/>
      </c>
      <c r="AI383" s="103" t="str">
        <f aca="false">IF($B383="","",ROUND(SUMIFS('Debt Backlog'!$L$2:$L$1000,'Debt Backlog'!$AF$2:$AF$1000,$A383,'Debt Backlog'!$B$2:$B$1000,"&lt;&gt;",'Debt Backlog'!$N$2:$N$1000,"&lt;&gt;Done",'Debt Backlog'!$N$2:$N$1000,"&lt;&gt;Won't Fix",'Debt Backlog'!$N$2:$N$1000,"&lt;&gt;Duplicate"),2))</f>
        <v/>
      </c>
    </row>
    <row r="384" customFormat="false" ht="15.75" hidden="false" customHeight="true" outlineLevel="0" collapsed="false">
      <c r="A384" s="125"/>
      <c r="B384" s="101"/>
      <c r="C384" s="101"/>
      <c r="D384" s="101"/>
      <c r="E384" s="101"/>
      <c r="F384" s="101"/>
      <c r="G384" s="101"/>
      <c r="H384" s="101"/>
      <c r="I384" s="106"/>
      <c r="J384" s="106"/>
      <c r="K384" s="106"/>
      <c r="L384" s="106"/>
      <c r="M384" s="106"/>
      <c r="N384" s="103" t="str">
        <f aca="false">IF(OR($B384="", $I384="", $J384="", $K384="", $L384="", $M384=""),"",ROUND(($I384*Lists!$AD$2)+($J384*Lists!$AD$3)+($K384*Lists!$AD$4)+($L384*Lists!$AD$5)+($M384*Lists!$AD$6),2))</f>
        <v/>
      </c>
      <c r="O384" s="103" t="str">
        <f aca="false">IF($A384="","",IFERROR(VLOOKUP($A384,'Risk Register'!$B$2:$I$1000,8,FALSE()),""))</f>
        <v/>
      </c>
      <c r="P384" s="106"/>
      <c r="Q384" s="106"/>
      <c r="R384" s="106"/>
      <c r="S384" s="106"/>
      <c r="T384" s="103" t="str">
        <f aca="false">IF(OR($B384="", $P384="", $Q384="", $R384="", $S384=""),"",ROUND(($P384*Lists!$AD$7)+($Q384*Lists!$AD$8)+($R384*Lists!$AD$9)+($S384*Lists!$AD$10),2))</f>
        <v/>
      </c>
      <c r="U384" s="106"/>
      <c r="V384" s="106"/>
      <c r="W384" s="106"/>
      <c r="X384" s="106"/>
      <c r="Y384" s="106"/>
      <c r="Z384" s="103" t="str">
        <f aca="false">IF(OR($B384="", $U384="", $V384="", $W384="", $X384="", $Y384=""),"",ROUND(($U384*Lists!$AD$11)+($V384*Lists!$AD$12)+($W384*Lists!$AD$13)+($X384*Lists!$AD$14)+($Y384*Lists!$AD$15),2))</f>
        <v/>
      </c>
      <c r="AA384" s="103" t="str">
        <f aca="false">IF(OR($B384="", $N384="", $O384="", $T384="", $Z384=""),"",ROUND(($N384*Lists!$AD$16)-($O384*Lists!$AD$17)-($T384*Lists!$AD$18)+($Z384*Lists!$AD$19),2))</f>
        <v/>
      </c>
      <c r="AB384" s="102" t="str">
        <f aca="false">IF(OR($B384="", $N384="", $Z384=""),"",IF($N384&gt;=Lists!$AG$2,IF($Z384&gt;=Lists!$AG$3,"Invest","Migrate"),IF($Z384&gt;=Lists!$AG$3,"Tolerate","Eliminate")))</f>
        <v/>
      </c>
      <c r="AC384" s="102" t="str">
        <f aca="false">IF($B384="","",IF($J384&gt;=4,"Yes",""))</f>
        <v/>
      </c>
      <c r="AD384" s="102" t="str">
        <f aca="false">IF($A384="","",IFERROR(IF(VLOOKUP($A384,'Risk Register'!$B$2:$H$1000,4,FALSE())&gt;=4,"Yes",""),""))</f>
        <v/>
      </c>
      <c r="AE384" s="102" t="str">
        <f aca="false">IF(OR($N384="", $O384=""),"",IF($N384&gt;=Lists!$AG$2,IF($O384&gt;=Lists!$AG$4,"High Value / High Risk","High Value / Low Risk"),IF($O384&gt;=Lists!$AG$4,"Low Value / High Risk","Low Value / Low Risk")))</f>
        <v/>
      </c>
      <c r="AF384" s="101"/>
      <c r="AG384" s="126"/>
      <c r="AH384" s="106" t="str">
        <f aca="false">IF($B384="","",COUNTIFS('Debt Backlog'!$AF$2:$AF$1000,$A384,'Debt Backlog'!$B$2:$B$1000,"&lt;&gt;",'Debt Backlog'!$N$2:$N$1000,"&lt;&gt;Done",'Debt Backlog'!$N$2:$N$1000,"&lt;&gt;Won't Fix",'Debt Backlog'!$N$2:$N$1000,"&lt;&gt;Duplicate"))</f>
        <v/>
      </c>
      <c r="AI384" s="103" t="str">
        <f aca="false">IF($B384="","",ROUND(SUMIFS('Debt Backlog'!$L$2:$L$1000,'Debt Backlog'!$AF$2:$AF$1000,$A384,'Debt Backlog'!$B$2:$B$1000,"&lt;&gt;",'Debt Backlog'!$N$2:$N$1000,"&lt;&gt;Done",'Debt Backlog'!$N$2:$N$1000,"&lt;&gt;Won't Fix",'Debt Backlog'!$N$2:$N$1000,"&lt;&gt;Duplicate"),2))</f>
        <v/>
      </c>
    </row>
    <row r="385" customFormat="false" ht="15.75" hidden="false" customHeight="true" outlineLevel="0" collapsed="false">
      <c r="A385" s="125"/>
      <c r="B385" s="101"/>
      <c r="C385" s="101"/>
      <c r="D385" s="101"/>
      <c r="E385" s="101"/>
      <c r="F385" s="101"/>
      <c r="G385" s="101"/>
      <c r="H385" s="101"/>
      <c r="I385" s="106"/>
      <c r="J385" s="106"/>
      <c r="K385" s="106"/>
      <c r="L385" s="106"/>
      <c r="M385" s="106"/>
      <c r="N385" s="103" t="str">
        <f aca="false">IF(OR($B385="", $I385="", $J385="", $K385="", $L385="", $M385=""),"",ROUND(($I385*Lists!$AD$2)+($J385*Lists!$AD$3)+($K385*Lists!$AD$4)+($L385*Lists!$AD$5)+($M385*Lists!$AD$6),2))</f>
        <v/>
      </c>
      <c r="O385" s="103" t="str">
        <f aca="false">IF($A385="","",IFERROR(VLOOKUP($A385,'Risk Register'!$B$2:$I$1000,8,FALSE()),""))</f>
        <v/>
      </c>
      <c r="P385" s="106"/>
      <c r="Q385" s="106"/>
      <c r="R385" s="106"/>
      <c r="S385" s="106"/>
      <c r="T385" s="103" t="str">
        <f aca="false">IF(OR($B385="", $P385="", $Q385="", $R385="", $S385=""),"",ROUND(($P385*Lists!$AD$7)+($Q385*Lists!$AD$8)+($R385*Lists!$AD$9)+($S385*Lists!$AD$10),2))</f>
        <v/>
      </c>
      <c r="U385" s="106"/>
      <c r="V385" s="106"/>
      <c r="W385" s="106"/>
      <c r="X385" s="106"/>
      <c r="Y385" s="106"/>
      <c r="Z385" s="103" t="str">
        <f aca="false">IF(OR($B385="", $U385="", $V385="", $W385="", $X385="", $Y385=""),"",ROUND(($U385*Lists!$AD$11)+($V385*Lists!$AD$12)+($W385*Lists!$AD$13)+($X385*Lists!$AD$14)+($Y385*Lists!$AD$15),2))</f>
        <v/>
      </c>
      <c r="AA385" s="103" t="str">
        <f aca="false">IF(OR($B385="", $N385="", $O385="", $T385="", $Z385=""),"",ROUND(($N385*Lists!$AD$16)-($O385*Lists!$AD$17)-($T385*Lists!$AD$18)+($Z385*Lists!$AD$19),2))</f>
        <v/>
      </c>
      <c r="AB385" s="102" t="str">
        <f aca="false">IF(OR($B385="", $N385="", $Z385=""),"",IF($N385&gt;=Lists!$AG$2,IF($Z385&gt;=Lists!$AG$3,"Invest","Migrate"),IF($Z385&gt;=Lists!$AG$3,"Tolerate","Eliminate")))</f>
        <v/>
      </c>
      <c r="AC385" s="102" t="str">
        <f aca="false">IF($B385="","",IF($J385&gt;=4,"Yes",""))</f>
        <v/>
      </c>
      <c r="AD385" s="102" t="str">
        <f aca="false">IF($A385="","",IFERROR(IF(VLOOKUP($A385,'Risk Register'!$B$2:$H$1000,4,FALSE())&gt;=4,"Yes",""),""))</f>
        <v/>
      </c>
      <c r="AE385" s="102" t="str">
        <f aca="false">IF(OR($N385="", $O385=""),"",IF($N385&gt;=Lists!$AG$2,IF($O385&gt;=Lists!$AG$4,"High Value / High Risk","High Value / Low Risk"),IF($O385&gt;=Lists!$AG$4,"Low Value / High Risk","Low Value / Low Risk")))</f>
        <v/>
      </c>
      <c r="AF385" s="101"/>
      <c r="AG385" s="126"/>
      <c r="AH385" s="106" t="str">
        <f aca="false">IF($B385="","",COUNTIFS('Debt Backlog'!$AF$2:$AF$1000,$A385,'Debt Backlog'!$B$2:$B$1000,"&lt;&gt;",'Debt Backlog'!$N$2:$N$1000,"&lt;&gt;Done",'Debt Backlog'!$N$2:$N$1000,"&lt;&gt;Won't Fix",'Debt Backlog'!$N$2:$N$1000,"&lt;&gt;Duplicate"))</f>
        <v/>
      </c>
      <c r="AI385" s="103" t="str">
        <f aca="false">IF($B385="","",ROUND(SUMIFS('Debt Backlog'!$L$2:$L$1000,'Debt Backlog'!$AF$2:$AF$1000,$A385,'Debt Backlog'!$B$2:$B$1000,"&lt;&gt;",'Debt Backlog'!$N$2:$N$1000,"&lt;&gt;Done",'Debt Backlog'!$N$2:$N$1000,"&lt;&gt;Won't Fix",'Debt Backlog'!$N$2:$N$1000,"&lt;&gt;Duplicate"),2))</f>
        <v/>
      </c>
    </row>
    <row r="386" customFormat="false" ht="15.75" hidden="false" customHeight="true" outlineLevel="0" collapsed="false">
      <c r="A386" s="125"/>
      <c r="B386" s="101"/>
      <c r="C386" s="101"/>
      <c r="D386" s="101"/>
      <c r="E386" s="101"/>
      <c r="F386" s="101"/>
      <c r="G386" s="101"/>
      <c r="H386" s="101"/>
      <c r="I386" s="106"/>
      <c r="J386" s="106"/>
      <c r="K386" s="106"/>
      <c r="L386" s="106"/>
      <c r="M386" s="106"/>
      <c r="N386" s="103" t="str">
        <f aca="false">IF(OR($B386="", $I386="", $J386="", $K386="", $L386="", $M386=""),"",ROUND(($I386*Lists!$AD$2)+($J386*Lists!$AD$3)+($K386*Lists!$AD$4)+($L386*Lists!$AD$5)+($M386*Lists!$AD$6),2))</f>
        <v/>
      </c>
      <c r="O386" s="103" t="str">
        <f aca="false">IF($A386="","",IFERROR(VLOOKUP($A386,'Risk Register'!$B$2:$I$1000,8,FALSE()),""))</f>
        <v/>
      </c>
      <c r="P386" s="106"/>
      <c r="Q386" s="106"/>
      <c r="R386" s="106"/>
      <c r="S386" s="106"/>
      <c r="T386" s="103" t="str">
        <f aca="false">IF(OR($B386="", $P386="", $Q386="", $R386="", $S386=""),"",ROUND(($P386*Lists!$AD$7)+($Q386*Lists!$AD$8)+($R386*Lists!$AD$9)+($S386*Lists!$AD$10),2))</f>
        <v/>
      </c>
      <c r="U386" s="106"/>
      <c r="V386" s="106"/>
      <c r="W386" s="106"/>
      <c r="X386" s="106"/>
      <c r="Y386" s="106"/>
      <c r="Z386" s="103" t="str">
        <f aca="false">IF(OR($B386="", $U386="", $V386="", $W386="", $X386="", $Y386=""),"",ROUND(($U386*Lists!$AD$11)+($V386*Lists!$AD$12)+($W386*Lists!$AD$13)+($X386*Lists!$AD$14)+($Y386*Lists!$AD$15),2))</f>
        <v/>
      </c>
      <c r="AA386" s="103" t="str">
        <f aca="false">IF(OR($B386="", $N386="", $O386="", $T386="", $Z386=""),"",ROUND(($N386*Lists!$AD$16)-($O386*Lists!$AD$17)-($T386*Lists!$AD$18)+($Z386*Lists!$AD$19),2))</f>
        <v/>
      </c>
      <c r="AB386" s="102" t="str">
        <f aca="false">IF(OR($B386="", $N386="", $Z386=""),"",IF($N386&gt;=Lists!$AG$2,IF($Z386&gt;=Lists!$AG$3,"Invest","Migrate"),IF($Z386&gt;=Lists!$AG$3,"Tolerate","Eliminate")))</f>
        <v/>
      </c>
      <c r="AC386" s="102" t="str">
        <f aca="false">IF($B386="","",IF($J386&gt;=4,"Yes",""))</f>
        <v/>
      </c>
      <c r="AD386" s="102" t="str">
        <f aca="false">IF($A386="","",IFERROR(IF(VLOOKUP($A386,'Risk Register'!$B$2:$H$1000,4,FALSE())&gt;=4,"Yes",""),""))</f>
        <v/>
      </c>
      <c r="AE386" s="102" t="str">
        <f aca="false">IF(OR($N386="", $O386=""),"",IF($N386&gt;=Lists!$AG$2,IF($O386&gt;=Lists!$AG$4,"High Value / High Risk","High Value / Low Risk"),IF($O386&gt;=Lists!$AG$4,"Low Value / High Risk","Low Value / Low Risk")))</f>
        <v/>
      </c>
      <c r="AF386" s="101"/>
      <c r="AG386" s="126"/>
      <c r="AH386" s="106" t="str">
        <f aca="false">IF($B386="","",COUNTIFS('Debt Backlog'!$AF$2:$AF$1000,$A386,'Debt Backlog'!$B$2:$B$1000,"&lt;&gt;",'Debt Backlog'!$N$2:$N$1000,"&lt;&gt;Done",'Debt Backlog'!$N$2:$N$1000,"&lt;&gt;Won't Fix",'Debt Backlog'!$N$2:$N$1000,"&lt;&gt;Duplicate"))</f>
        <v/>
      </c>
      <c r="AI386" s="103" t="str">
        <f aca="false">IF($B386="","",ROUND(SUMIFS('Debt Backlog'!$L$2:$L$1000,'Debt Backlog'!$AF$2:$AF$1000,$A386,'Debt Backlog'!$B$2:$B$1000,"&lt;&gt;",'Debt Backlog'!$N$2:$N$1000,"&lt;&gt;Done",'Debt Backlog'!$N$2:$N$1000,"&lt;&gt;Won't Fix",'Debt Backlog'!$N$2:$N$1000,"&lt;&gt;Duplicate"),2))</f>
        <v/>
      </c>
    </row>
    <row r="387" customFormat="false" ht="15.75" hidden="false" customHeight="true" outlineLevel="0" collapsed="false">
      <c r="A387" s="125"/>
      <c r="B387" s="101"/>
      <c r="C387" s="101"/>
      <c r="D387" s="101"/>
      <c r="E387" s="101"/>
      <c r="F387" s="101"/>
      <c r="G387" s="101"/>
      <c r="H387" s="101"/>
      <c r="I387" s="106"/>
      <c r="J387" s="106"/>
      <c r="K387" s="106"/>
      <c r="L387" s="106"/>
      <c r="M387" s="106"/>
      <c r="N387" s="103" t="str">
        <f aca="false">IF(OR($B387="", $I387="", $J387="", $K387="", $L387="", $M387=""),"",ROUND(($I387*Lists!$AD$2)+($J387*Lists!$AD$3)+($K387*Lists!$AD$4)+($L387*Lists!$AD$5)+($M387*Lists!$AD$6),2))</f>
        <v/>
      </c>
      <c r="O387" s="103" t="str">
        <f aca="false">IF($A387="","",IFERROR(VLOOKUP($A387,'Risk Register'!$B$2:$I$1000,8,FALSE()),""))</f>
        <v/>
      </c>
      <c r="P387" s="106"/>
      <c r="Q387" s="106"/>
      <c r="R387" s="106"/>
      <c r="S387" s="106"/>
      <c r="T387" s="103" t="str">
        <f aca="false">IF(OR($B387="", $P387="", $Q387="", $R387="", $S387=""),"",ROUND(($P387*Lists!$AD$7)+($Q387*Lists!$AD$8)+($R387*Lists!$AD$9)+($S387*Lists!$AD$10),2))</f>
        <v/>
      </c>
      <c r="U387" s="106"/>
      <c r="V387" s="106"/>
      <c r="W387" s="106"/>
      <c r="X387" s="106"/>
      <c r="Y387" s="106"/>
      <c r="Z387" s="103" t="str">
        <f aca="false">IF(OR($B387="", $U387="", $V387="", $W387="", $X387="", $Y387=""),"",ROUND(($U387*Lists!$AD$11)+($V387*Lists!$AD$12)+($W387*Lists!$AD$13)+($X387*Lists!$AD$14)+($Y387*Lists!$AD$15),2))</f>
        <v/>
      </c>
      <c r="AA387" s="103" t="str">
        <f aca="false">IF(OR($B387="", $N387="", $O387="", $T387="", $Z387=""),"",ROUND(($N387*Lists!$AD$16)-($O387*Lists!$AD$17)-($T387*Lists!$AD$18)+($Z387*Lists!$AD$19),2))</f>
        <v/>
      </c>
      <c r="AB387" s="102" t="str">
        <f aca="false">IF(OR($B387="", $N387="", $Z387=""),"",IF($N387&gt;=Lists!$AG$2,IF($Z387&gt;=Lists!$AG$3,"Invest","Migrate"),IF($Z387&gt;=Lists!$AG$3,"Tolerate","Eliminate")))</f>
        <v/>
      </c>
      <c r="AC387" s="102" t="str">
        <f aca="false">IF($B387="","",IF($J387&gt;=4,"Yes",""))</f>
        <v/>
      </c>
      <c r="AD387" s="102" t="str">
        <f aca="false">IF($A387="","",IFERROR(IF(VLOOKUP($A387,'Risk Register'!$B$2:$H$1000,4,FALSE())&gt;=4,"Yes",""),""))</f>
        <v/>
      </c>
      <c r="AE387" s="102" t="str">
        <f aca="false">IF(OR($N387="", $O387=""),"",IF($N387&gt;=Lists!$AG$2,IF($O387&gt;=Lists!$AG$4,"High Value / High Risk","High Value / Low Risk"),IF($O387&gt;=Lists!$AG$4,"Low Value / High Risk","Low Value / Low Risk")))</f>
        <v/>
      </c>
      <c r="AF387" s="101"/>
      <c r="AG387" s="126"/>
      <c r="AH387" s="106" t="str">
        <f aca="false">IF($B387="","",COUNTIFS('Debt Backlog'!$AF$2:$AF$1000,$A387,'Debt Backlog'!$B$2:$B$1000,"&lt;&gt;",'Debt Backlog'!$N$2:$N$1000,"&lt;&gt;Done",'Debt Backlog'!$N$2:$N$1000,"&lt;&gt;Won't Fix",'Debt Backlog'!$N$2:$N$1000,"&lt;&gt;Duplicate"))</f>
        <v/>
      </c>
      <c r="AI387" s="103" t="str">
        <f aca="false">IF($B387="","",ROUND(SUMIFS('Debt Backlog'!$L$2:$L$1000,'Debt Backlog'!$AF$2:$AF$1000,$A387,'Debt Backlog'!$B$2:$B$1000,"&lt;&gt;",'Debt Backlog'!$N$2:$N$1000,"&lt;&gt;Done",'Debt Backlog'!$N$2:$N$1000,"&lt;&gt;Won't Fix",'Debt Backlog'!$N$2:$N$1000,"&lt;&gt;Duplicate"),2))</f>
        <v/>
      </c>
    </row>
    <row r="388" customFormat="false" ht="15.75" hidden="false" customHeight="true" outlineLevel="0" collapsed="false">
      <c r="A388" s="125"/>
      <c r="B388" s="101"/>
      <c r="C388" s="101"/>
      <c r="D388" s="101"/>
      <c r="E388" s="101"/>
      <c r="F388" s="101"/>
      <c r="G388" s="101"/>
      <c r="H388" s="101"/>
      <c r="I388" s="106"/>
      <c r="J388" s="106"/>
      <c r="K388" s="106"/>
      <c r="L388" s="106"/>
      <c r="M388" s="106"/>
      <c r="N388" s="103" t="str">
        <f aca="false">IF(OR($B388="", $I388="", $J388="", $K388="", $L388="", $M388=""),"",ROUND(($I388*Lists!$AD$2)+($J388*Lists!$AD$3)+($K388*Lists!$AD$4)+($L388*Lists!$AD$5)+($M388*Lists!$AD$6),2))</f>
        <v/>
      </c>
      <c r="O388" s="103" t="str">
        <f aca="false">IF($A388="","",IFERROR(VLOOKUP($A388,'Risk Register'!$B$2:$I$1000,8,FALSE()),""))</f>
        <v/>
      </c>
      <c r="P388" s="106"/>
      <c r="Q388" s="106"/>
      <c r="R388" s="106"/>
      <c r="S388" s="106"/>
      <c r="T388" s="103" t="str">
        <f aca="false">IF(OR($B388="", $P388="", $Q388="", $R388="", $S388=""),"",ROUND(($P388*Lists!$AD$7)+($Q388*Lists!$AD$8)+($R388*Lists!$AD$9)+($S388*Lists!$AD$10),2))</f>
        <v/>
      </c>
      <c r="U388" s="106"/>
      <c r="V388" s="106"/>
      <c r="W388" s="106"/>
      <c r="X388" s="106"/>
      <c r="Y388" s="106"/>
      <c r="Z388" s="103" t="str">
        <f aca="false">IF(OR($B388="", $U388="", $V388="", $W388="", $X388="", $Y388=""),"",ROUND(($U388*Lists!$AD$11)+($V388*Lists!$AD$12)+($W388*Lists!$AD$13)+($X388*Lists!$AD$14)+($Y388*Lists!$AD$15),2))</f>
        <v/>
      </c>
      <c r="AA388" s="103" t="str">
        <f aca="false">IF(OR($B388="", $N388="", $O388="", $T388="", $Z388=""),"",ROUND(($N388*Lists!$AD$16)-($O388*Lists!$AD$17)-($T388*Lists!$AD$18)+($Z388*Lists!$AD$19),2))</f>
        <v/>
      </c>
      <c r="AB388" s="102" t="str">
        <f aca="false">IF(OR($B388="", $N388="", $Z388=""),"",IF($N388&gt;=Lists!$AG$2,IF($Z388&gt;=Lists!$AG$3,"Invest","Migrate"),IF($Z388&gt;=Lists!$AG$3,"Tolerate","Eliminate")))</f>
        <v/>
      </c>
      <c r="AC388" s="102" t="str">
        <f aca="false">IF($B388="","",IF($J388&gt;=4,"Yes",""))</f>
        <v/>
      </c>
      <c r="AD388" s="102" t="str">
        <f aca="false">IF($A388="","",IFERROR(IF(VLOOKUP($A388,'Risk Register'!$B$2:$H$1000,4,FALSE())&gt;=4,"Yes",""),""))</f>
        <v/>
      </c>
      <c r="AE388" s="102" t="str">
        <f aca="false">IF(OR($N388="", $O388=""),"",IF($N388&gt;=Lists!$AG$2,IF($O388&gt;=Lists!$AG$4,"High Value / High Risk","High Value / Low Risk"),IF($O388&gt;=Lists!$AG$4,"Low Value / High Risk","Low Value / Low Risk")))</f>
        <v/>
      </c>
      <c r="AF388" s="101"/>
      <c r="AG388" s="126"/>
      <c r="AH388" s="106" t="str">
        <f aca="false">IF($B388="","",COUNTIFS('Debt Backlog'!$AF$2:$AF$1000,$A388,'Debt Backlog'!$B$2:$B$1000,"&lt;&gt;",'Debt Backlog'!$N$2:$N$1000,"&lt;&gt;Done",'Debt Backlog'!$N$2:$N$1000,"&lt;&gt;Won't Fix",'Debt Backlog'!$N$2:$N$1000,"&lt;&gt;Duplicate"))</f>
        <v/>
      </c>
      <c r="AI388" s="103" t="str">
        <f aca="false">IF($B388="","",ROUND(SUMIFS('Debt Backlog'!$L$2:$L$1000,'Debt Backlog'!$AF$2:$AF$1000,$A388,'Debt Backlog'!$B$2:$B$1000,"&lt;&gt;",'Debt Backlog'!$N$2:$N$1000,"&lt;&gt;Done",'Debt Backlog'!$N$2:$N$1000,"&lt;&gt;Won't Fix",'Debt Backlog'!$N$2:$N$1000,"&lt;&gt;Duplicate"),2))</f>
        <v/>
      </c>
    </row>
    <row r="389" customFormat="false" ht="15.75" hidden="false" customHeight="true" outlineLevel="0" collapsed="false">
      <c r="A389" s="125"/>
      <c r="B389" s="101"/>
      <c r="C389" s="101"/>
      <c r="D389" s="101"/>
      <c r="E389" s="101"/>
      <c r="F389" s="101"/>
      <c r="G389" s="101"/>
      <c r="H389" s="101"/>
      <c r="I389" s="106"/>
      <c r="J389" s="106"/>
      <c r="K389" s="106"/>
      <c r="L389" s="106"/>
      <c r="M389" s="106"/>
      <c r="N389" s="103" t="str">
        <f aca="false">IF(OR($B389="", $I389="", $J389="", $K389="", $L389="", $M389=""),"",ROUND(($I389*Lists!$AD$2)+($J389*Lists!$AD$3)+($K389*Lists!$AD$4)+($L389*Lists!$AD$5)+($M389*Lists!$AD$6),2))</f>
        <v/>
      </c>
      <c r="O389" s="103" t="str">
        <f aca="false">IF($A389="","",IFERROR(VLOOKUP($A389,'Risk Register'!$B$2:$I$1000,8,FALSE()),""))</f>
        <v/>
      </c>
      <c r="P389" s="106"/>
      <c r="Q389" s="106"/>
      <c r="R389" s="106"/>
      <c r="S389" s="106"/>
      <c r="T389" s="103" t="str">
        <f aca="false">IF(OR($B389="", $P389="", $Q389="", $R389="", $S389=""),"",ROUND(($P389*Lists!$AD$7)+($Q389*Lists!$AD$8)+($R389*Lists!$AD$9)+($S389*Lists!$AD$10),2))</f>
        <v/>
      </c>
      <c r="U389" s="106"/>
      <c r="V389" s="106"/>
      <c r="W389" s="106"/>
      <c r="X389" s="106"/>
      <c r="Y389" s="106"/>
      <c r="Z389" s="103" t="str">
        <f aca="false">IF(OR($B389="", $U389="", $V389="", $W389="", $X389="", $Y389=""),"",ROUND(($U389*Lists!$AD$11)+($V389*Lists!$AD$12)+($W389*Lists!$AD$13)+($X389*Lists!$AD$14)+($Y389*Lists!$AD$15),2))</f>
        <v/>
      </c>
      <c r="AA389" s="103" t="str">
        <f aca="false">IF(OR($B389="", $N389="", $O389="", $T389="", $Z389=""),"",ROUND(($N389*Lists!$AD$16)-($O389*Lists!$AD$17)-($T389*Lists!$AD$18)+($Z389*Lists!$AD$19),2))</f>
        <v/>
      </c>
      <c r="AB389" s="102" t="str">
        <f aca="false">IF(OR($B389="", $N389="", $Z389=""),"",IF($N389&gt;=Lists!$AG$2,IF($Z389&gt;=Lists!$AG$3,"Invest","Migrate"),IF($Z389&gt;=Lists!$AG$3,"Tolerate","Eliminate")))</f>
        <v/>
      </c>
      <c r="AC389" s="102" t="str">
        <f aca="false">IF($B389="","",IF($J389&gt;=4,"Yes",""))</f>
        <v/>
      </c>
      <c r="AD389" s="102" t="str">
        <f aca="false">IF($A389="","",IFERROR(IF(VLOOKUP($A389,'Risk Register'!$B$2:$H$1000,4,FALSE())&gt;=4,"Yes",""),""))</f>
        <v/>
      </c>
      <c r="AE389" s="102" t="str">
        <f aca="false">IF(OR($N389="", $O389=""),"",IF($N389&gt;=Lists!$AG$2,IF($O389&gt;=Lists!$AG$4,"High Value / High Risk","High Value / Low Risk"),IF($O389&gt;=Lists!$AG$4,"Low Value / High Risk","Low Value / Low Risk")))</f>
        <v/>
      </c>
      <c r="AF389" s="101"/>
      <c r="AG389" s="126"/>
      <c r="AH389" s="106" t="str">
        <f aca="false">IF($B389="","",COUNTIFS('Debt Backlog'!$AF$2:$AF$1000,$A389,'Debt Backlog'!$B$2:$B$1000,"&lt;&gt;",'Debt Backlog'!$N$2:$N$1000,"&lt;&gt;Done",'Debt Backlog'!$N$2:$N$1000,"&lt;&gt;Won't Fix",'Debt Backlog'!$N$2:$N$1000,"&lt;&gt;Duplicate"))</f>
        <v/>
      </c>
      <c r="AI389" s="103" t="str">
        <f aca="false">IF($B389="","",ROUND(SUMIFS('Debt Backlog'!$L$2:$L$1000,'Debt Backlog'!$AF$2:$AF$1000,$A389,'Debt Backlog'!$B$2:$B$1000,"&lt;&gt;",'Debt Backlog'!$N$2:$N$1000,"&lt;&gt;Done",'Debt Backlog'!$N$2:$N$1000,"&lt;&gt;Won't Fix",'Debt Backlog'!$N$2:$N$1000,"&lt;&gt;Duplicate"),2))</f>
        <v/>
      </c>
    </row>
    <row r="390" customFormat="false" ht="15.75" hidden="false" customHeight="true" outlineLevel="0" collapsed="false">
      <c r="A390" s="125"/>
      <c r="B390" s="101"/>
      <c r="C390" s="101"/>
      <c r="D390" s="101"/>
      <c r="E390" s="101"/>
      <c r="F390" s="101"/>
      <c r="G390" s="101"/>
      <c r="H390" s="101"/>
      <c r="I390" s="106"/>
      <c r="J390" s="106"/>
      <c r="K390" s="106"/>
      <c r="L390" s="106"/>
      <c r="M390" s="106"/>
      <c r="N390" s="103" t="str">
        <f aca="false">IF(OR($B390="", $I390="", $J390="", $K390="", $L390="", $M390=""),"",ROUND(($I390*Lists!$AD$2)+($J390*Lists!$AD$3)+($K390*Lists!$AD$4)+($L390*Lists!$AD$5)+($M390*Lists!$AD$6),2))</f>
        <v/>
      </c>
      <c r="O390" s="103" t="str">
        <f aca="false">IF($A390="","",IFERROR(VLOOKUP($A390,'Risk Register'!$B$2:$I$1000,8,FALSE()),""))</f>
        <v/>
      </c>
      <c r="P390" s="106"/>
      <c r="Q390" s="106"/>
      <c r="R390" s="106"/>
      <c r="S390" s="106"/>
      <c r="T390" s="103" t="str">
        <f aca="false">IF(OR($B390="", $P390="", $Q390="", $R390="", $S390=""),"",ROUND(($P390*Lists!$AD$7)+($Q390*Lists!$AD$8)+($R390*Lists!$AD$9)+($S390*Lists!$AD$10),2))</f>
        <v/>
      </c>
      <c r="U390" s="106"/>
      <c r="V390" s="106"/>
      <c r="W390" s="106"/>
      <c r="X390" s="106"/>
      <c r="Y390" s="106"/>
      <c r="Z390" s="103" t="str">
        <f aca="false">IF(OR($B390="", $U390="", $V390="", $W390="", $X390="", $Y390=""),"",ROUND(($U390*Lists!$AD$11)+($V390*Lists!$AD$12)+($W390*Lists!$AD$13)+($X390*Lists!$AD$14)+($Y390*Lists!$AD$15),2))</f>
        <v/>
      </c>
      <c r="AA390" s="103" t="str">
        <f aca="false">IF(OR($B390="", $N390="", $O390="", $T390="", $Z390=""),"",ROUND(($N390*Lists!$AD$16)-($O390*Lists!$AD$17)-($T390*Lists!$AD$18)+($Z390*Lists!$AD$19),2))</f>
        <v/>
      </c>
      <c r="AB390" s="102" t="str">
        <f aca="false">IF(OR($B390="", $N390="", $Z390=""),"",IF($N390&gt;=Lists!$AG$2,IF($Z390&gt;=Lists!$AG$3,"Invest","Migrate"),IF($Z390&gt;=Lists!$AG$3,"Tolerate","Eliminate")))</f>
        <v/>
      </c>
      <c r="AC390" s="102" t="str">
        <f aca="false">IF($B390="","",IF($J390&gt;=4,"Yes",""))</f>
        <v/>
      </c>
      <c r="AD390" s="102" t="str">
        <f aca="false">IF($A390="","",IFERROR(IF(VLOOKUP($A390,'Risk Register'!$B$2:$H$1000,4,FALSE())&gt;=4,"Yes",""),""))</f>
        <v/>
      </c>
      <c r="AE390" s="102" t="str">
        <f aca="false">IF(OR($N390="", $O390=""),"",IF($N390&gt;=Lists!$AG$2,IF($O390&gt;=Lists!$AG$4,"High Value / High Risk","High Value / Low Risk"),IF($O390&gt;=Lists!$AG$4,"Low Value / High Risk","Low Value / Low Risk")))</f>
        <v/>
      </c>
      <c r="AF390" s="101"/>
      <c r="AG390" s="126"/>
      <c r="AH390" s="106" t="str">
        <f aca="false">IF($B390="","",COUNTIFS('Debt Backlog'!$AF$2:$AF$1000,$A390,'Debt Backlog'!$B$2:$B$1000,"&lt;&gt;",'Debt Backlog'!$N$2:$N$1000,"&lt;&gt;Done",'Debt Backlog'!$N$2:$N$1000,"&lt;&gt;Won't Fix",'Debt Backlog'!$N$2:$N$1000,"&lt;&gt;Duplicate"))</f>
        <v/>
      </c>
      <c r="AI390" s="103" t="str">
        <f aca="false">IF($B390="","",ROUND(SUMIFS('Debt Backlog'!$L$2:$L$1000,'Debt Backlog'!$AF$2:$AF$1000,$A390,'Debt Backlog'!$B$2:$B$1000,"&lt;&gt;",'Debt Backlog'!$N$2:$N$1000,"&lt;&gt;Done",'Debt Backlog'!$N$2:$N$1000,"&lt;&gt;Won't Fix",'Debt Backlog'!$N$2:$N$1000,"&lt;&gt;Duplicate"),2))</f>
        <v/>
      </c>
    </row>
    <row r="391" customFormat="false" ht="15.75" hidden="false" customHeight="true" outlineLevel="0" collapsed="false">
      <c r="A391" s="125"/>
      <c r="B391" s="101"/>
      <c r="C391" s="101"/>
      <c r="D391" s="101"/>
      <c r="E391" s="101"/>
      <c r="F391" s="101"/>
      <c r="G391" s="101"/>
      <c r="H391" s="101"/>
      <c r="I391" s="106"/>
      <c r="J391" s="106"/>
      <c r="K391" s="106"/>
      <c r="L391" s="106"/>
      <c r="M391" s="106"/>
      <c r="N391" s="103" t="str">
        <f aca="false">IF(OR($B391="", $I391="", $J391="", $K391="", $L391="", $M391=""),"",ROUND(($I391*Lists!$AD$2)+($J391*Lists!$AD$3)+($K391*Lists!$AD$4)+($L391*Lists!$AD$5)+($M391*Lists!$AD$6),2))</f>
        <v/>
      </c>
      <c r="O391" s="103" t="str">
        <f aca="false">IF($A391="","",IFERROR(VLOOKUP($A391,'Risk Register'!$B$2:$I$1000,8,FALSE()),""))</f>
        <v/>
      </c>
      <c r="P391" s="106"/>
      <c r="Q391" s="106"/>
      <c r="R391" s="106"/>
      <c r="S391" s="106"/>
      <c r="T391" s="103" t="str">
        <f aca="false">IF(OR($B391="", $P391="", $Q391="", $R391="", $S391=""),"",ROUND(($P391*Lists!$AD$7)+($Q391*Lists!$AD$8)+($R391*Lists!$AD$9)+($S391*Lists!$AD$10),2))</f>
        <v/>
      </c>
      <c r="U391" s="106"/>
      <c r="V391" s="106"/>
      <c r="W391" s="106"/>
      <c r="X391" s="106"/>
      <c r="Y391" s="106"/>
      <c r="Z391" s="103" t="str">
        <f aca="false">IF(OR($B391="", $U391="", $V391="", $W391="", $X391="", $Y391=""),"",ROUND(($U391*Lists!$AD$11)+($V391*Lists!$AD$12)+($W391*Lists!$AD$13)+($X391*Lists!$AD$14)+($Y391*Lists!$AD$15),2))</f>
        <v/>
      </c>
      <c r="AA391" s="103" t="str">
        <f aca="false">IF(OR($B391="", $N391="", $O391="", $T391="", $Z391=""),"",ROUND(($N391*Lists!$AD$16)-($O391*Lists!$AD$17)-($T391*Lists!$AD$18)+($Z391*Lists!$AD$19),2))</f>
        <v/>
      </c>
      <c r="AB391" s="102" t="str">
        <f aca="false">IF(OR($B391="", $N391="", $Z391=""),"",IF($N391&gt;=Lists!$AG$2,IF($Z391&gt;=Lists!$AG$3,"Invest","Migrate"),IF($Z391&gt;=Lists!$AG$3,"Tolerate","Eliminate")))</f>
        <v/>
      </c>
      <c r="AC391" s="102" t="str">
        <f aca="false">IF($B391="","",IF($J391&gt;=4,"Yes",""))</f>
        <v/>
      </c>
      <c r="AD391" s="102" t="str">
        <f aca="false">IF($A391="","",IFERROR(IF(VLOOKUP($A391,'Risk Register'!$B$2:$H$1000,4,FALSE())&gt;=4,"Yes",""),""))</f>
        <v/>
      </c>
      <c r="AE391" s="102" t="str">
        <f aca="false">IF(OR($N391="", $O391=""),"",IF($N391&gt;=Lists!$AG$2,IF($O391&gt;=Lists!$AG$4,"High Value / High Risk","High Value / Low Risk"),IF($O391&gt;=Lists!$AG$4,"Low Value / High Risk","Low Value / Low Risk")))</f>
        <v/>
      </c>
      <c r="AF391" s="101"/>
      <c r="AG391" s="126"/>
      <c r="AH391" s="106" t="str">
        <f aca="false">IF($B391="","",COUNTIFS('Debt Backlog'!$AF$2:$AF$1000,$A391,'Debt Backlog'!$B$2:$B$1000,"&lt;&gt;",'Debt Backlog'!$N$2:$N$1000,"&lt;&gt;Done",'Debt Backlog'!$N$2:$N$1000,"&lt;&gt;Won't Fix",'Debt Backlog'!$N$2:$N$1000,"&lt;&gt;Duplicate"))</f>
        <v/>
      </c>
      <c r="AI391" s="103" t="str">
        <f aca="false">IF($B391="","",ROUND(SUMIFS('Debt Backlog'!$L$2:$L$1000,'Debt Backlog'!$AF$2:$AF$1000,$A391,'Debt Backlog'!$B$2:$B$1000,"&lt;&gt;",'Debt Backlog'!$N$2:$N$1000,"&lt;&gt;Done",'Debt Backlog'!$N$2:$N$1000,"&lt;&gt;Won't Fix",'Debt Backlog'!$N$2:$N$1000,"&lt;&gt;Duplicate"),2))</f>
        <v/>
      </c>
    </row>
    <row r="392" customFormat="false" ht="15.75" hidden="false" customHeight="true" outlineLevel="0" collapsed="false">
      <c r="A392" s="125"/>
      <c r="B392" s="101"/>
      <c r="C392" s="101"/>
      <c r="D392" s="101"/>
      <c r="E392" s="101"/>
      <c r="F392" s="101"/>
      <c r="G392" s="101"/>
      <c r="H392" s="101"/>
      <c r="I392" s="106"/>
      <c r="J392" s="106"/>
      <c r="K392" s="106"/>
      <c r="L392" s="106"/>
      <c r="M392" s="106"/>
      <c r="N392" s="103" t="str">
        <f aca="false">IF(OR($B392="", $I392="", $J392="", $K392="", $L392="", $M392=""),"",ROUND(($I392*Lists!$AD$2)+($J392*Lists!$AD$3)+($K392*Lists!$AD$4)+($L392*Lists!$AD$5)+($M392*Lists!$AD$6),2))</f>
        <v/>
      </c>
      <c r="O392" s="103" t="str">
        <f aca="false">IF($A392="","",IFERROR(VLOOKUP($A392,'Risk Register'!$B$2:$I$1000,8,FALSE()),""))</f>
        <v/>
      </c>
      <c r="P392" s="106"/>
      <c r="Q392" s="106"/>
      <c r="R392" s="106"/>
      <c r="S392" s="106"/>
      <c r="T392" s="103" t="str">
        <f aca="false">IF(OR($B392="", $P392="", $Q392="", $R392="", $S392=""),"",ROUND(($P392*Lists!$AD$7)+($Q392*Lists!$AD$8)+($R392*Lists!$AD$9)+($S392*Lists!$AD$10),2))</f>
        <v/>
      </c>
      <c r="U392" s="106"/>
      <c r="V392" s="106"/>
      <c r="W392" s="106"/>
      <c r="X392" s="106"/>
      <c r="Y392" s="106"/>
      <c r="Z392" s="103" t="str">
        <f aca="false">IF(OR($B392="", $U392="", $V392="", $W392="", $X392="", $Y392=""),"",ROUND(($U392*Lists!$AD$11)+($V392*Lists!$AD$12)+($W392*Lists!$AD$13)+($X392*Lists!$AD$14)+($Y392*Lists!$AD$15),2))</f>
        <v/>
      </c>
      <c r="AA392" s="103" t="str">
        <f aca="false">IF(OR($B392="", $N392="", $O392="", $T392="", $Z392=""),"",ROUND(($N392*Lists!$AD$16)-($O392*Lists!$AD$17)-($T392*Lists!$AD$18)+($Z392*Lists!$AD$19),2))</f>
        <v/>
      </c>
      <c r="AB392" s="102" t="str">
        <f aca="false">IF(OR($B392="", $N392="", $Z392=""),"",IF($N392&gt;=Lists!$AG$2,IF($Z392&gt;=Lists!$AG$3,"Invest","Migrate"),IF($Z392&gt;=Lists!$AG$3,"Tolerate","Eliminate")))</f>
        <v/>
      </c>
      <c r="AC392" s="102" t="str">
        <f aca="false">IF($B392="","",IF($J392&gt;=4,"Yes",""))</f>
        <v/>
      </c>
      <c r="AD392" s="102" t="str">
        <f aca="false">IF($A392="","",IFERROR(IF(VLOOKUP($A392,'Risk Register'!$B$2:$H$1000,4,FALSE())&gt;=4,"Yes",""),""))</f>
        <v/>
      </c>
      <c r="AE392" s="102" t="str">
        <f aca="false">IF(OR($N392="", $O392=""),"",IF($N392&gt;=Lists!$AG$2,IF($O392&gt;=Lists!$AG$4,"High Value / High Risk","High Value / Low Risk"),IF($O392&gt;=Lists!$AG$4,"Low Value / High Risk","Low Value / Low Risk")))</f>
        <v/>
      </c>
      <c r="AF392" s="101"/>
      <c r="AG392" s="126"/>
      <c r="AH392" s="106" t="str">
        <f aca="false">IF($B392="","",COUNTIFS('Debt Backlog'!$AF$2:$AF$1000,$A392,'Debt Backlog'!$B$2:$B$1000,"&lt;&gt;",'Debt Backlog'!$N$2:$N$1000,"&lt;&gt;Done",'Debt Backlog'!$N$2:$N$1000,"&lt;&gt;Won't Fix",'Debt Backlog'!$N$2:$N$1000,"&lt;&gt;Duplicate"))</f>
        <v/>
      </c>
      <c r="AI392" s="103" t="str">
        <f aca="false">IF($B392="","",ROUND(SUMIFS('Debt Backlog'!$L$2:$L$1000,'Debt Backlog'!$AF$2:$AF$1000,$A392,'Debt Backlog'!$B$2:$B$1000,"&lt;&gt;",'Debt Backlog'!$N$2:$N$1000,"&lt;&gt;Done",'Debt Backlog'!$N$2:$N$1000,"&lt;&gt;Won't Fix",'Debt Backlog'!$N$2:$N$1000,"&lt;&gt;Duplicate"),2))</f>
        <v/>
      </c>
    </row>
    <row r="393" customFormat="false" ht="15.75" hidden="false" customHeight="true" outlineLevel="0" collapsed="false">
      <c r="A393" s="125"/>
      <c r="B393" s="101"/>
      <c r="C393" s="101"/>
      <c r="D393" s="101"/>
      <c r="E393" s="101"/>
      <c r="F393" s="101"/>
      <c r="G393" s="101"/>
      <c r="H393" s="101"/>
      <c r="I393" s="106"/>
      <c r="J393" s="106"/>
      <c r="K393" s="106"/>
      <c r="L393" s="106"/>
      <c r="M393" s="106"/>
      <c r="N393" s="103" t="str">
        <f aca="false">IF(OR($B393="", $I393="", $J393="", $K393="", $L393="", $M393=""),"",ROUND(($I393*Lists!$AD$2)+($J393*Lists!$AD$3)+($K393*Lists!$AD$4)+($L393*Lists!$AD$5)+($M393*Lists!$AD$6),2))</f>
        <v/>
      </c>
      <c r="O393" s="103" t="str">
        <f aca="false">IF($A393="","",IFERROR(VLOOKUP($A393,'Risk Register'!$B$2:$I$1000,8,FALSE()),""))</f>
        <v/>
      </c>
      <c r="P393" s="106"/>
      <c r="Q393" s="106"/>
      <c r="R393" s="106"/>
      <c r="S393" s="106"/>
      <c r="T393" s="103" t="str">
        <f aca="false">IF(OR($B393="", $P393="", $Q393="", $R393="", $S393=""),"",ROUND(($P393*Lists!$AD$7)+($Q393*Lists!$AD$8)+($R393*Lists!$AD$9)+($S393*Lists!$AD$10),2))</f>
        <v/>
      </c>
      <c r="U393" s="106"/>
      <c r="V393" s="106"/>
      <c r="W393" s="106"/>
      <c r="X393" s="106"/>
      <c r="Y393" s="106"/>
      <c r="Z393" s="103" t="str">
        <f aca="false">IF(OR($B393="", $U393="", $V393="", $W393="", $X393="", $Y393=""),"",ROUND(($U393*Lists!$AD$11)+($V393*Lists!$AD$12)+($W393*Lists!$AD$13)+($X393*Lists!$AD$14)+($Y393*Lists!$AD$15),2))</f>
        <v/>
      </c>
      <c r="AA393" s="103" t="str">
        <f aca="false">IF(OR($B393="", $N393="", $O393="", $T393="", $Z393=""),"",ROUND(($N393*Lists!$AD$16)-($O393*Lists!$AD$17)-($T393*Lists!$AD$18)+($Z393*Lists!$AD$19),2))</f>
        <v/>
      </c>
      <c r="AB393" s="102" t="str">
        <f aca="false">IF(OR($B393="", $N393="", $Z393=""),"",IF($N393&gt;=Lists!$AG$2,IF($Z393&gt;=Lists!$AG$3,"Invest","Migrate"),IF($Z393&gt;=Lists!$AG$3,"Tolerate","Eliminate")))</f>
        <v/>
      </c>
      <c r="AC393" s="102" t="str">
        <f aca="false">IF($B393="","",IF($J393&gt;=4,"Yes",""))</f>
        <v/>
      </c>
      <c r="AD393" s="102" t="str">
        <f aca="false">IF($A393="","",IFERROR(IF(VLOOKUP($A393,'Risk Register'!$B$2:$H$1000,4,FALSE())&gt;=4,"Yes",""),""))</f>
        <v/>
      </c>
      <c r="AE393" s="102" t="str">
        <f aca="false">IF(OR($N393="", $O393=""),"",IF($N393&gt;=Lists!$AG$2,IF($O393&gt;=Lists!$AG$4,"High Value / High Risk","High Value / Low Risk"),IF($O393&gt;=Lists!$AG$4,"Low Value / High Risk","Low Value / Low Risk")))</f>
        <v/>
      </c>
      <c r="AF393" s="101"/>
      <c r="AG393" s="126"/>
      <c r="AH393" s="106" t="str">
        <f aca="false">IF($B393="","",COUNTIFS('Debt Backlog'!$AF$2:$AF$1000,$A393,'Debt Backlog'!$B$2:$B$1000,"&lt;&gt;",'Debt Backlog'!$N$2:$N$1000,"&lt;&gt;Done",'Debt Backlog'!$N$2:$N$1000,"&lt;&gt;Won't Fix",'Debt Backlog'!$N$2:$N$1000,"&lt;&gt;Duplicate"))</f>
        <v/>
      </c>
      <c r="AI393" s="103" t="str">
        <f aca="false">IF($B393="","",ROUND(SUMIFS('Debt Backlog'!$L$2:$L$1000,'Debt Backlog'!$AF$2:$AF$1000,$A393,'Debt Backlog'!$B$2:$B$1000,"&lt;&gt;",'Debt Backlog'!$N$2:$N$1000,"&lt;&gt;Done",'Debt Backlog'!$N$2:$N$1000,"&lt;&gt;Won't Fix",'Debt Backlog'!$N$2:$N$1000,"&lt;&gt;Duplicate"),2))</f>
        <v/>
      </c>
    </row>
    <row r="394" customFormat="false" ht="15.75" hidden="false" customHeight="true" outlineLevel="0" collapsed="false">
      <c r="A394" s="125"/>
      <c r="B394" s="101"/>
      <c r="C394" s="101"/>
      <c r="D394" s="101"/>
      <c r="E394" s="101"/>
      <c r="F394" s="101"/>
      <c r="G394" s="101"/>
      <c r="H394" s="101"/>
      <c r="I394" s="106"/>
      <c r="J394" s="106"/>
      <c r="K394" s="106"/>
      <c r="L394" s="106"/>
      <c r="M394" s="106"/>
      <c r="N394" s="103" t="str">
        <f aca="false">IF(OR($B394="", $I394="", $J394="", $K394="", $L394="", $M394=""),"",ROUND(($I394*Lists!$AD$2)+($J394*Lists!$AD$3)+($K394*Lists!$AD$4)+($L394*Lists!$AD$5)+($M394*Lists!$AD$6),2))</f>
        <v/>
      </c>
      <c r="O394" s="103" t="str">
        <f aca="false">IF($A394="","",IFERROR(VLOOKUP($A394,'Risk Register'!$B$2:$I$1000,8,FALSE()),""))</f>
        <v/>
      </c>
      <c r="P394" s="106"/>
      <c r="Q394" s="106"/>
      <c r="R394" s="106"/>
      <c r="S394" s="106"/>
      <c r="T394" s="103" t="str">
        <f aca="false">IF(OR($B394="", $P394="", $Q394="", $R394="", $S394=""),"",ROUND(($P394*Lists!$AD$7)+($Q394*Lists!$AD$8)+($R394*Lists!$AD$9)+($S394*Lists!$AD$10),2))</f>
        <v/>
      </c>
      <c r="U394" s="106"/>
      <c r="V394" s="106"/>
      <c r="W394" s="106"/>
      <c r="X394" s="106"/>
      <c r="Y394" s="106"/>
      <c r="Z394" s="103" t="str">
        <f aca="false">IF(OR($B394="", $U394="", $V394="", $W394="", $X394="", $Y394=""),"",ROUND(($U394*Lists!$AD$11)+($V394*Lists!$AD$12)+($W394*Lists!$AD$13)+($X394*Lists!$AD$14)+($Y394*Lists!$AD$15),2))</f>
        <v/>
      </c>
      <c r="AA394" s="103" t="str">
        <f aca="false">IF(OR($B394="", $N394="", $O394="", $T394="", $Z394=""),"",ROUND(($N394*Lists!$AD$16)-($O394*Lists!$AD$17)-($T394*Lists!$AD$18)+($Z394*Lists!$AD$19),2))</f>
        <v/>
      </c>
      <c r="AB394" s="102" t="str">
        <f aca="false">IF(OR($B394="", $N394="", $Z394=""),"",IF($N394&gt;=Lists!$AG$2,IF($Z394&gt;=Lists!$AG$3,"Invest","Migrate"),IF($Z394&gt;=Lists!$AG$3,"Tolerate","Eliminate")))</f>
        <v/>
      </c>
      <c r="AC394" s="102" t="str">
        <f aca="false">IF($B394="","",IF($J394&gt;=4,"Yes",""))</f>
        <v/>
      </c>
      <c r="AD394" s="102" t="str">
        <f aca="false">IF($A394="","",IFERROR(IF(VLOOKUP($A394,'Risk Register'!$B$2:$H$1000,4,FALSE())&gt;=4,"Yes",""),""))</f>
        <v/>
      </c>
      <c r="AE394" s="102" t="str">
        <f aca="false">IF(OR($N394="", $O394=""),"",IF($N394&gt;=Lists!$AG$2,IF($O394&gt;=Lists!$AG$4,"High Value / High Risk","High Value / Low Risk"),IF($O394&gt;=Lists!$AG$4,"Low Value / High Risk","Low Value / Low Risk")))</f>
        <v/>
      </c>
      <c r="AF394" s="101"/>
      <c r="AG394" s="126"/>
      <c r="AH394" s="106" t="str">
        <f aca="false">IF($B394="","",COUNTIFS('Debt Backlog'!$AF$2:$AF$1000,$A394,'Debt Backlog'!$B$2:$B$1000,"&lt;&gt;",'Debt Backlog'!$N$2:$N$1000,"&lt;&gt;Done",'Debt Backlog'!$N$2:$N$1000,"&lt;&gt;Won't Fix",'Debt Backlog'!$N$2:$N$1000,"&lt;&gt;Duplicate"))</f>
        <v/>
      </c>
      <c r="AI394" s="103" t="str">
        <f aca="false">IF($B394="","",ROUND(SUMIFS('Debt Backlog'!$L$2:$L$1000,'Debt Backlog'!$AF$2:$AF$1000,$A394,'Debt Backlog'!$B$2:$B$1000,"&lt;&gt;",'Debt Backlog'!$N$2:$N$1000,"&lt;&gt;Done",'Debt Backlog'!$N$2:$N$1000,"&lt;&gt;Won't Fix",'Debt Backlog'!$N$2:$N$1000,"&lt;&gt;Duplicate"),2))</f>
        <v/>
      </c>
    </row>
    <row r="395" customFormat="false" ht="15.75" hidden="false" customHeight="true" outlineLevel="0" collapsed="false">
      <c r="A395" s="125"/>
      <c r="B395" s="101"/>
      <c r="C395" s="101"/>
      <c r="D395" s="101"/>
      <c r="E395" s="101"/>
      <c r="F395" s="101"/>
      <c r="G395" s="101"/>
      <c r="H395" s="101"/>
      <c r="I395" s="106"/>
      <c r="J395" s="106"/>
      <c r="K395" s="106"/>
      <c r="L395" s="106"/>
      <c r="M395" s="106"/>
      <c r="N395" s="103" t="str">
        <f aca="false">IF(OR($B395="", $I395="", $J395="", $K395="", $L395="", $M395=""),"",ROUND(($I395*Lists!$AD$2)+($J395*Lists!$AD$3)+($K395*Lists!$AD$4)+($L395*Lists!$AD$5)+($M395*Lists!$AD$6),2))</f>
        <v/>
      </c>
      <c r="O395" s="103" t="str">
        <f aca="false">IF($A395="","",IFERROR(VLOOKUP($A395,'Risk Register'!$B$2:$I$1000,8,FALSE()),""))</f>
        <v/>
      </c>
      <c r="P395" s="106"/>
      <c r="Q395" s="106"/>
      <c r="R395" s="106"/>
      <c r="S395" s="106"/>
      <c r="T395" s="103" t="str">
        <f aca="false">IF(OR($B395="", $P395="", $Q395="", $R395="", $S395=""),"",ROUND(($P395*Lists!$AD$7)+($Q395*Lists!$AD$8)+($R395*Lists!$AD$9)+($S395*Lists!$AD$10),2))</f>
        <v/>
      </c>
      <c r="U395" s="106"/>
      <c r="V395" s="106"/>
      <c r="W395" s="106"/>
      <c r="X395" s="106"/>
      <c r="Y395" s="106"/>
      <c r="Z395" s="103" t="str">
        <f aca="false">IF(OR($B395="", $U395="", $V395="", $W395="", $X395="", $Y395=""),"",ROUND(($U395*Lists!$AD$11)+($V395*Lists!$AD$12)+($W395*Lists!$AD$13)+($X395*Lists!$AD$14)+($Y395*Lists!$AD$15),2))</f>
        <v/>
      </c>
      <c r="AA395" s="103" t="str">
        <f aca="false">IF(OR($B395="", $N395="", $O395="", $T395="", $Z395=""),"",ROUND(($N395*Lists!$AD$16)-($O395*Lists!$AD$17)-($T395*Lists!$AD$18)+($Z395*Lists!$AD$19),2))</f>
        <v/>
      </c>
      <c r="AB395" s="102" t="str">
        <f aca="false">IF(OR($B395="", $N395="", $Z395=""),"",IF($N395&gt;=Lists!$AG$2,IF($Z395&gt;=Lists!$AG$3,"Invest","Migrate"),IF($Z395&gt;=Lists!$AG$3,"Tolerate","Eliminate")))</f>
        <v/>
      </c>
      <c r="AC395" s="102" t="str">
        <f aca="false">IF($B395="","",IF($J395&gt;=4,"Yes",""))</f>
        <v/>
      </c>
      <c r="AD395" s="102" t="str">
        <f aca="false">IF($A395="","",IFERROR(IF(VLOOKUP($A395,'Risk Register'!$B$2:$H$1000,4,FALSE())&gt;=4,"Yes",""),""))</f>
        <v/>
      </c>
      <c r="AE395" s="102" t="str">
        <f aca="false">IF(OR($N395="", $O395=""),"",IF($N395&gt;=Lists!$AG$2,IF($O395&gt;=Lists!$AG$4,"High Value / High Risk","High Value / Low Risk"),IF($O395&gt;=Lists!$AG$4,"Low Value / High Risk","Low Value / Low Risk")))</f>
        <v/>
      </c>
      <c r="AF395" s="101"/>
      <c r="AG395" s="126"/>
      <c r="AH395" s="106" t="str">
        <f aca="false">IF($B395="","",COUNTIFS('Debt Backlog'!$AF$2:$AF$1000,$A395,'Debt Backlog'!$B$2:$B$1000,"&lt;&gt;",'Debt Backlog'!$N$2:$N$1000,"&lt;&gt;Done",'Debt Backlog'!$N$2:$N$1000,"&lt;&gt;Won't Fix",'Debt Backlog'!$N$2:$N$1000,"&lt;&gt;Duplicate"))</f>
        <v/>
      </c>
      <c r="AI395" s="103" t="str">
        <f aca="false">IF($B395="","",ROUND(SUMIFS('Debt Backlog'!$L$2:$L$1000,'Debt Backlog'!$AF$2:$AF$1000,$A395,'Debt Backlog'!$B$2:$B$1000,"&lt;&gt;",'Debt Backlog'!$N$2:$N$1000,"&lt;&gt;Done",'Debt Backlog'!$N$2:$N$1000,"&lt;&gt;Won't Fix",'Debt Backlog'!$N$2:$N$1000,"&lt;&gt;Duplicate"),2))</f>
        <v/>
      </c>
    </row>
    <row r="396" customFormat="false" ht="15.75" hidden="false" customHeight="true" outlineLevel="0" collapsed="false">
      <c r="A396" s="125"/>
      <c r="B396" s="101"/>
      <c r="C396" s="101"/>
      <c r="D396" s="101"/>
      <c r="E396" s="101"/>
      <c r="F396" s="101"/>
      <c r="G396" s="101"/>
      <c r="H396" s="101"/>
      <c r="I396" s="106"/>
      <c r="J396" s="106"/>
      <c r="K396" s="106"/>
      <c r="L396" s="106"/>
      <c r="M396" s="106"/>
      <c r="N396" s="103" t="str">
        <f aca="false">IF(OR($B396="", $I396="", $J396="", $K396="", $L396="", $M396=""),"",ROUND(($I396*Lists!$AD$2)+($J396*Lists!$AD$3)+($K396*Lists!$AD$4)+($L396*Lists!$AD$5)+($M396*Lists!$AD$6),2))</f>
        <v/>
      </c>
      <c r="O396" s="103" t="str">
        <f aca="false">IF($A396="","",IFERROR(VLOOKUP($A396,'Risk Register'!$B$2:$I$1000,8,FALSE()),""))</f>
        <v/>
      </c>
      <c r="P396" s="106"/>
      <c r="Q396" s="106"/>
      <c r="R396" s="106"/>
      <c r="S396" s="106"/>
      <c r="T396" s="103" t="str">
        <f aca="false">IF(OR($B396="", $P396="", $Q396="", $R396="", $S396=""),"",ROUND(($P396*Lists!$AD$7)+($Q396*Lists!$AD$8)+($R396*Lists!$AD$9)+($S396*Lists!$AD$10),2))</f>
        <v/>
      </c>
      <c r="U396" s="106"/>
      <c r="V396" s="106"/>
      <c r="W396" s="106"/>
      <c r="X396" s="106"/>
      <c r="Y396" s="106"/>
      <c r="Z396" s="103" t="str">
        <f aca="false">IF(OR($B396="", $U396="", $V396="", $W396="", $X396="", $Y396=""),"",ROUND(($U396*Lists!$AD$11)+($V396*Lists!$AD$12)+($W396*Lists!$AD$13)+($X396*Lists!$AD$14)+($Y396*Lists!$AD$15),2))</f>
        <v/>
      </c>
      <c r="AA396" s="103" t="str">
        <f aca="false">IF(OR($B396="", $N396="", $O396="", $T396="", $Z396=""),"",ROUND(($N396*Lists!$AD$16)-($O396*Lists!$AD$17)-($T396*Lists!$AD$18)+($Z396*Lists!$AD$19),2))</f>
        <v/>
      </c>
      <c r="AB396" s="102" t="str">
        <f aca="false">IF(OR($B396="", $N396="", $Z396=""),"",IF($N396&gt;=Lists!$AG$2,IF($Z396&gt;=Lists!$AG$3,"Invest","Migrate"),IF($Z396&gt;=Lists!$AG$3,"Tolerate","Eliminate")))</f>
        <v/>
      </c>
      <c r="AC396" s="102" t="str">
        <f aca="false">IF($B396="","",IF($J396&gt;=4,"Yes",""))</f>
        <v/>
      </c>
      <c r="AD396" s="102" t="str">
        <f aca="false">IF($A396="","",IFERROR(IF(VLOOKUP($A396,'Risk Register'!$B$2:$H$1000,4,FALSE())&gt;=4,"Yes",""),""))</f>
        <v/>
      </c>
      <c r="AE396" s="102" t="str">
        <f aca="false">IF(OR($N396="", $O396=""),"",IF($N396&gt;=Lists!$AG$2,IF($O396&gt;=Lists!$AG$4,"High Value / High Risk","High Value / Low Risk"),IF($O396&gt;=Lists!$AG$4,"Low Value / High Risk","Low Value / Low Risk")))</f>
        <v/>
      </c>
      <c r="AF396" s="101"/>
      <c r="AG396" s="126"/>
      <c r="AH396" s="106" t="str">
        <f aca="false">IF($B396="","",COUNTIFS('Debt Backlog'!$AF$2:$AF$1000,$A396,'Debt Backlog'!$B$2:$B$1000,"&lt;&gt;",'Debt Backlog'!$N$2:$N$1000,"&lt;&gt;Done",'Debt Backlog'!$N$2:$N$1000,"&lt;&gt;Won't Fix",'Debt Backlog'!$N$2:$N$1000,"&lt;&gt;Duplicate"))</f>
        <v/>
      </c>
      <c r="AI396" s="103" t="str">
        <f aca="false">IF($B396="","",ROUND(SUMIFS('Debt Backlog'!$L$2:$L$1000,'Debt Backlog'!$AF$2:$AF$1000,$A396,'Debt Backlog'!$B$2:$B$1000,"&lt;&gt;",'Debt Backlog'!$N$2:$N$1000,"&lt;&gt;Done",'Debt Backlog'!$N$2:$N$1000,"&lt;&gt;Won't Fix",'Debt Backlog'!$N$2:$N$1000,"&lt;&gt;Duplicate"),2))</f>
        <v/>
      </c>
    </row>
    <row r="397" customFormat="false" ht="15.75" hidden="false" customHeight="true" outlineLevel="0" collapsed="false">
      <c r="A397" s="125"/>
      <c r="B397" s="101"/>
      <c r="C397" s="101"/>
      <c r="D397" s="101"/>
      <c r="E397" s="101"/>
      <c r="F397" s="101"/>
      <c r="G397" s="101"/>
      <c r="H397" s="101"/>
      <c r="I397" s="106"/>
      <c r="J397" s="106"/>
      <c r="K397" s="106"/>
      <c r="L397" s="106"/>
      <c r="M397" s="106"/>
      <c r="N397" s="103" t="str">
        <f aca="false">IF(OR($B397="", $I397="", $J397="", $K397="", $L397="", $M397=""),"",ROUND(($I397*Lists!$AD$2)+($J397*Lists!$AD$3)+($K397*Lists!$AD$4)+($L397*Lists!$AD$5)+($M397*Lists!$AD$6),2))</f>
        <v/>
      </c>
      <c r="O397" s="103" t="str">
        <f aca="false">IF($A397="","",IFERROR(VLOOKUP($A397,'Risk Register'!$B$2:$I$1000,8,FALSE()),""))</f>
        <v/>
      </c>
      <c r="P397" s="106"/>
      <c r="Q397" s="106"/>
      <c r="R397" s="106"/>
      <c r="S397" s="106"/>
      <c r="T397" s="103" t="str">
        <f aca="false">IF(OR($B397="", $P397="", $Q397="", $R397="", $S397=""),"",ROUND(($P397*Lists!$AD$7)+($Q397*Lists!$AD$8)+($R397*Lists!$AD$9)+($S397*Lists!$AD$10),2))</f>
        <v/>
      </c>
      <c r="U397" s="106"/>
      <c r="V397" s="106"/>
      <c r="W397" s="106"/>
      <c r="X397" s="106"/>
      <c r="Y397" s="106"/>
      <c r="Z397" s="103" t="str">
        <f aca="false">IF(OR($B397="", $U397="", $V397="", $W397="", $X397="", $Y397=""),"",ROUND(($U397*Lists!$AD$11)+($V397*Lists!$AD$12)+($W397*Lists!$AD$13)+($X397*Lists!$AD$14)+($Y397*Lists!$AD$15),2))</f>
        <v/>
      </c>
      <c r="AA397" s="103" t="str">
        <f aca="false">IF(OR($B397="", $N397="", $O397="", $T397="", $Z397=""),"",ROUND(($N397*Lists!$AD$16)-($O397*Lists!$AD$17)-($T397*Lists!$AD$18)+($Z397*Lists!$AD$19),2))</f>
        <v/>
      </c>
      <c r="AB397" s="102" t="str">
        <f aca="false">IF(OR($B397="", $N397="", $Z397=""),"",IF($N397&gt;=Lists!$AG$2,IF($Z397&gt;=Lists!$AG$3,"Invest","Migrate"),IF($Z397&gt;=Lists!$AG$3,"Tolerate","Eliminate")))</f>
        <v/>
      </c>
      <c r="AC397" s="102" t="str">
        <f aca="false">IF($B397="","",IF($J397&gt;=4,"Yes",""))</f>
        <v/>
      </c>
      <c r="AD397" s="102" t="str">
        <f aca="false">IF($A397="","",IFERROR(IF(VLOOKUP($A397,'Risk Register'!$B$2:$H$1000,4,FALSE())&gt;=4,"Yes",""),""))</f>
        <v/>
      </c>
      <c r="AE397" s="102" t="str">
        <f aca="false">IF(OR($N397="", $O397=""),"",IF($N397&gt;=Lists!$AG$2,IF($O397&gt;=Lists!$AG$4,"High Value / High Risk","High Value / Low Risk"),IF($O397&gt;=Lists!$AG$4,"Low Value / High Risk","Low Value / Low Risk")))</f>
        <v/>
      </c>
      <c r="AF397" s="101"/>
      <c r="AG397" s="126"/>
      <c r="AH397" s="106" t="str">
        <f aca="false">IF($B397="","",COUNTIFS('Debt Backlog'!$AF$2:$AF$1000,$A397,'Debt Backlog'!$B$2:$B$1000,"&lt;&gt;",'Debt Backlog'!$N$2:$N$1000,"&lt;&gt;Done",'Debt Backlog'!$N$2:$N$1000,"&lt;&gt;Won't Fix",'Debt Backlog'!$N$2:$N$1000,"&lt;&gt;Duplicate"))</f>
        <v/>
      </c>
      <c r="AI397" s="103" t="str">
        <f aca="false">IF($B397="","",ROUND(SUMIFS('Debt Backlog'!$L$2:$L$1000,'Debt Backlog'!$AF$2:$AF$1000,$A397,'Debt Backlog'!$B$2:$B$1000,"&lt;&gt;",'Debt Backlog'!$N$2:$N$1000,"&lt;&gt;Done",'Debt Backlog'!$N$2:$N$1000,"&lt;&gt;Won't Fix",'Debt Backlog'!$N$2:$N$1000,"&lt;&gt;Duplicate"),2))</f>
        <v/>
      </c>
    </row>
    <row r="398" customFormat="false" ht="15.75" hidden="false" customHeight="true" outlineLevel="0" collapsed="false">
      <c r="A398" s="125"/>
      <c r="B398" s="101"/>
      <c r="C398" s="101"/>
      <c r="D398" s="101"/>
      <c r="E398" s="101"/>
      <c r="F398" s="101"/>
      <c r="G398" s="101"/>
      <c r="H398" s="101"/>
      <c r="I398" s="106"/>
      <c r="J398" s="106"/>
      <c r="K398" s="106"/>
      <c r="L398" s="106"/>
      <c r="M398" s="106"/>
      <c r="N398" s="103" t="str">
        <f aca="false">IF(OR($B398="", $I398="", $J398="", $K398="", $L398="", $M398=""),"",ROUND(($I398*Lists!$AD$2)+($J398*Lists!$AD$3)+($K398*Lists!$AD$4)+($L398*Lists!$AD$5)+($M398*Lists!$AD$6),2))</f>
        <v/>
      </c>
      <c r="O398" s="103" t="str">
        <f aca="false">IF($A398="","",IFERROR(VLOOKUP($A398,'Risk Register'!$B$2:$I$1000,8,FALSE()),""))</f>
        <v/>
      </c>
      <c r="P398" s="106"/>
      <c r="Q398" s="106"/>
      <c r="R398" s="106"/>
      <c r="S398" s="106"/>
      <c r="T398" s="103" t="str">
        <f aca="false">IF(OR($B398="", $P398="", $Q398="", $R398="", $S398=""),"",ROUND(($P398*Lists!$AD$7)+($Q398*Lists!$AD$8)+($R398*Lists!$AD$9)+($S398*Lists!$AD$10),2))</f>
        <v/>
      </c>
      <c r="U398" s="106"/>
      <c r="V398" s="106"/>
      <c r="W398" s="106"/>
      <c r="X398" s="106"/>
      <c r="Y398" s="106"/>
      <c r="Z398" s="103" t="str">
        <f aca="false">IF(OR($B398="", $U398="", $V398="", $W398="", $X398="", $Y398=""),"",ROUND(($U398*Lists!$AD$11)+($V398*Lists!$AD$12)+($W398*Lists!$AD$13)+($X398*Lists!$AD$14)+($Y398*Lists!$AD$15),2))</f>
        <v/>
      </c>
      <c r="AA398" s="103" t="str">
        <f aca="false">IF(OR($B398="", $N398="", $O398="", $T398="", $Z398=""),"",ROUND(($N398*Lists!$AD$16)-($O398*Lists!$AD$17)-($T398*Lists!$AD$18)+($Z398*Lists!$AD$19),2))</f>
        <v/>
      </c>
      <c r="AB398" s="102" t="str">
        <f aca="false">IF(OR($B398="", $N398="", $Z398=""),"",IF($N398&gt;=Lists!$AG$2,IF($Z398&gt;=Lists!$AG$3,"Invest","Migrate"),IF($Z398&gt;=Lists!$AG$3,"Tolerate","Eliminate")))</f>
        <v/>
      </c>
      <c r="AC398" s="102" t="str">
        <f aca="false">IF($B398="","",IF($J398&gt;=4,"Yes",""))</f>
        <v/>
      </c>
      <c r="AD398" s="102" t="str">
        <f aca="false">IF($A398="","",IFERROR(IF(VLOOKUP($A398,'Risk Register'!$B$2:$H$1000,4,FALSE())&gt;=4,"Yes",""),""))</f>
        <v/>
      </c>
      <c r="AE398" s="102" t="str">
        <f aca="false">IF(OR($N398="", $O398=""),"",IF($N398&gt;=Lists!$AG$2,IF($O398&gt;=Lists!$AG$4,"High Value / High Risk","High Value / Low Risk"),IF($O398&gt;=Lists!$AG$4,"Low Value / High Risk","Low Value / Low Risk")))</f>
        <v/>
      </c>
      <c r="AF398" s="101"/>
      <c r="AG398" s="126"/>
      <c r="AH398" s="106" t="str">
        <f aca="false">IF($B398="","",COUNTIFS('Debt Backlog'!$AF$2:$AF$1000,$A398,'Debt Backlog'!$B$2:$B$1000,"&lt;&gt;",'Debt Backlog'!$N$2:$N$1000,"&lt;&gt;Done",'Debt Backlog'!$N$2:$N$1000,"&lt;&gt;Won't Fix",'Debt Backlog'!$N$2:$N$1000,"&lt;&gt;Duplicate"))</f>
        <v/>
      </c>
      <c r="AI398" s="103" t="str">
        <f aca="false">IF($B398="","",ROUND(SUMIFS('Debt Backlog'!$L$2:$L$1000,'Debt Backlog'!$AF$2:$AF$1000,$A398,'Debt Backlog'!$B$2:$B$1000,"&lt;&gt;",'Debt Backlog'!$N$2:$N$1000,"&lt;&gt;Done",'Debt Backlog'!$N$2:$N$1000,"&lt;&gt;Won't Fix",'Debt Backlog'!$N$2:$N$1000,"&lt;&gt;Duplicate"),2))</f>
        <v/>
      </c>
    </row>
    <row r="399" customFormat="false" ht="15.75" hidden="false" customHeight="true" outlineLevel="0" collapsed="false">
      <c r="A399" s="125"/>
      <c r="B399" s="101"/>
      <c r="C399" s="101"/>
      <c r="D399" s="101"/>
      <c r="E399" s="101"/>
      <c r="F399" s="101"/>
      <c r="G399" s="101"/>
      <c r="H399" s="101"/>
      <c r="I399" s="106"/>
      <c r="J399" s="106"/>
      <c r="K399" s="106"/>
      <c r="L399" s="106"/>
      <c r="M399" s="106"/>
      <c r="N399" s="103" t="str">
        <f aca="false">IF(OR($B399="", $I399="", $J399="", $K399="", $L399="", $M399=""),"",ROUND(($I399*Lists!$AD$2)+($J399*Lists!$AD$3)+($K399*Lists!$AD$4)+($L399*Lists!$AD$5)+($M399*Lists!$AD$6),2))</f>
        <v/>
      </c>
      <c r="O399" s="103" t="str">
        <f aca="false">IF($A399="","",IFERROR(VLOOKUP($A399,'Risk Register'!$B$2:$I$1000,8,FALSE()),""))</f>
        <v/>
      </c>
      <c r="P399" s="106"/>
      <c r="Q399" s="106"/>
      <c r="R399" s="106"/>
      <c r="S399" s="106"/>
      <c r="T399" s="103" t="str">
        <f aca="false">IF(OR($B399="", $P399="", $Q399="", $R399="", $S399=""),"",ROUND(($P399*Lists!$AD$7)+($Q399*Lists!$AD$8)+($R399*Lists!$AD$9)+($S399*Lists!$AD$10),2))</f>
        <v/>
      </c>
      <c r="U399" s="106"/>
      <c r="V399" s="106"/>
      <c r="W399" s="106"/>
      <c r="X399" s="106"/>
      <c r="Y399" s="106"/>
      <c r="Z399" s="103" t="str">
        <f aca="false">IF(OR($B399="", $U399="", $V399="", $W399="", $X399="", $Y399=""),"",ROUND(($U399*Lists!$AD$11)+($V399*Lists!$AD$12)+($W399*Lists!$AD$13)+($X399*Lists!$AD$14)+($Y399*Lists!$AD$15),2))</f>
        <v/>
      </c>
      <c r="AA399" s="103" t="str">
        <f aca="false">IF(OR($B399="", $N399="", $O399="", $T399="", $Z399=""),"",ROUND(($N399*Lists!$AD$16)-($O399*Lists!$AD$17)-($T399*Lists!$AD$18)+($Z399*Lists!$AD$19),2))</f>
        <v/>
      </c>
      <c r="AB399" s="102" t="str">
        <f aca="false">IF(OR($B399="", $N399="", $Z399=""),"",IF($N399&gt;=Lists!$AG$2,IF($Z399&gt;=Lists!$AG$3,"Invest","Migrate"),IF($Z399&gt;=Lists!$AG$3,"Tolerate","Eliminate")))</f>
        <v/>
      </c>
      <c r="AC399" s="102" t="str">
        <f aca="false">IF($B399="","",IF($J399&gt;=4,"Yes",""))</f>
        <v/>
      </c>
      <c r="AD399" s="102" t="str">
        <f aca="false">IF($A399="","",IFERROR(IF(VLOOKUP($A399,'Risk Register'!$B$2:$H$1000,4,FALSE())&gt;=4,"Yes",""),""))</f>
        <v/>
      </c>
      <c r="AE399" s="102" t="str">
        <f aca="false">IF(OR($N399="", $O399=""),"",IF($N399&gt;=Lists!$AG$2,IF($O399&gt;=Lists!$AG$4,"High Value / High Risk","High Value / Low Risk"),IF($O399&gt;=Lists!$AG$4,"Low Value / High Risk","Low Value / Low Risk")))</f>
        <v/>
      </c>
      <c r="AF399" s="101"/>
      <c r="AG399" s="126"/>
      <c r="AH399" s="106" t="str">
        <f aca="false">IF($B399="","",COUNTIFS('Debt Backlog'!$AF$2:$AF$1000,$A399,'Debt Backlog'!$B$2:$B$1000,"&lt;&gt;",'Debt Backlog'!$N$2:$N$1000,"&lt;&gt;Done",'Debt Backlog'!$N$2:$N$1000,"&lt;&gt;Won't Fix",'Debt Backlog'!$N$2:$N$1000,"&lt;&gt;Duplicate"))</f>
        <v/>
      </c>
      <c r="AI399" s="103" t="str">
        <f aca="false">IF($B399="","",ROUND(SUMIFS('Debt Backlog'!$L$2:$L$1000,'Debt Backlog'!$AF$2:$AF$1000,$A399,'Debt Backlog'!$B$2:$B$1000,"&lt;&gt;",'Debt Backlog'!$N$2:$N$1000,"&lt;&gt;Done",'Debt Backlog'!$N$2:$N$1000,"&lt;&gt;Won't Fix",'Debt Backlog'!$N$2:$N$1000,"&lt;&gt;Duplicate"),2))</f>
        <v/>
      </c>
    </row>
    <row r="400" customFormat="false" ht="15.75" hidden="false" customHeight="true" outlineLevel="0" collapsed="false">
      <c r="A400" s="125"/>
      <c r="B400" s="101"/>
      <c r="C400" s="101"/>
      <c r="D400" s="101"/>
      <c r="E400" s="101"/>
      <c r="F400" s="101"/>
      <c r="G400" s="101"/>
      <c r="H400" s="101"/>
      <c r="I400" s="106"/>
      <c r="J400" s="106"/>
      <c r="K400" s="106"/>
      <c r="L400" s="106"/>
      <c r="M400" s="106"/>
      <c r="N400" s="103" t="str">
        <f aca="false">IF(OR($B400="", $I400="", $J400="", $K400="", $L400="", $M400=""),"",ROUND(($I400*Lists!$AD$2)+($J400*Lists!$AD$3)+($K400*Lists!$AD$4)+($L400*Lists!$AD$5)+($M400*Lists!$AD$6),2))</f>
        <v/>
      </c>
      <c r="O400" s="103" t="str">
        <f aca="false">IF($A400="","",IFERROR(VLOOKUP($A400,'Risk Register'!$B$2:$I$1000,8,FALSE()),""))</f>
        <v/>
      </c>
      <c r="P400" s="106"/>
      <c r="Q400" s="106"/>
      <c r="R400" s="106"/>
      <c r="S400" s="106"/>
      <c r="T400" s="103" t="str">
        <f aca="false">IF(OR($B400="", $P400="", $Q400="", $R400="", $S400=""),"",ROUND(($P400*Lists!$AD$7)+($Q400*Lists!$AD$8)+($R400*Lists!$AD$9)+($S400*Lists!$AD$10),2))</f>
        <v/>
      </c>
      <c r="U400" s="106"/>
      <c r="V400" s="106"/>
      <c r="W400" s="106"/>
      <c r="X400" s="106"/>
      <c r="Y400" s="106"/>
      <c r="Z400" s="103" t="str">
        <f aca="false">IF(OR($B400="", $U400="", $V400="", $W400="", $X400="", $Y400=""),"",ROUND(($U400*Lists!$AD$11)+($V400*Lists!$AD$12)+($W400*Lists!$AD$13)+($X400*Lists!$AD$14)+($Y400*Lists!$AD$15),2))</f>
        <v/>
      </c>
      <c r="AA400" s="103" t="str">
        <f aca="false">IF(OR($B400="", $N400="", $O400="", $T400="", $Z400=""),"",ROUND(($N400*Lists!$AD$16)-($O400*Lists!$AD$17)-($T400*Lists!$AD$18)+($Z400*Lists!$AD$19),2))</f>
        <v/>
      </c>
      <c r="AB400" s="102" t="str">
        <f aca="false">IF(OR($B400="", $N400="", $Z400=""),"",IF($N400&gt;=Lists!$AG$2,IF($Z400&gt;=Lists!$AG$3,"Invest","Migrate"),IF($Z400&gt;=Lists!$AG$3,"Tolerate","Eliminate")))</f>
        <v/>
      </c>
      <c r="AC400" s="102" t="str">
        <f aca="false">IF($B400="","",IF($J400&gt;=4,"Yes",""))</f>
        <v/>
      </c>
      <c r="AD400" s="102" t="str">
        <f aca="false">IF($A400="","",IFERROR(IF(VLOOKUP($A400,'Risk Register'!$B$2:$H$1000,4,FALSE())&gt;=4,"Yes",""),""))</f>
        <v/>
      </c>
      <c r="AE400" s="102" t="str">
        <f aca="false">IF(OR($N400="", $O400=""),"",IF($N400&gt;=Lists!$AG$2,IF($O400&gt;=Lists!$AG$4,"High Value / High Risk","High Value / Low Risk"),IF($O400&gt;=Lists!$AG$4,"Low Value / High Risk","Low Value / Low Risk")))</f>
        <v/>
      </c>
      <c r="AF400" s="101"/>
      <c r="AG400" s="126"/>
      <c r="AH400" s="106" t="str">
        <f aca="false">IF($B400="","",COUNTIFS('Debt Backlog'!$AF$2:$AF$1000,$A400,'Debt Backlog'!$B$2:$B$1000,"&lt;&gt;",'Debt Backlog'!$N$2:$N$1000,"&lt;&gt;Done",'Debt Backlog'!$N$2:$N$1000,"&lt;&gt;Won't Fix",'Debt Backlog'!$N$2:$N$1000,"&lt;&gt;Duplicate"))</f>
        <v/>
      </c>
      <c r="AI400" s="103" t="str">
        <f aca="false">IF($B400="","",ROUND(SUMIFS('Debt Backlog'!$L$2:$L$1000,'Debt Backlog'!$AF$2:$AF$1000,$A400,'Debt Backlog'!$B$2:$B$1000,"&lt;&gt;",'Debt Backlog'!$N$2:$N$1000,"&lt;&gt;Done",'Debt Backlog'!$N$2:$N$1000,"&lt;&gt;Won't Fix",'Debt Backlog'!$N$2:$N$1000,"&lt;&gt;Duplicate"),2))</f>
        <v/>
      </c>
    </row>
    <row r="401" customFormat="false" ht="15.75" hidden="false" customHeight="true" outlineLevel="0" collapsed="false">
      <c r="A401" s="125"/>
      <c r="B401" s="101"/>
      <c r="C401" s="101"/>
      <c r="D401" s="101"/>
      <c r="E401" s="101"/>
      <c r="F401" s="101"/>
      <c r="G401" s="101"/>
      <c r="H401" s="101"/>
      <c r="I401" s="106"/>
      <c r="J401" s="106"/>
      <c r="K401" s="106"/>
      <c r="L401" s="106"/>
      <c r="M401" s="106"/>
      <c r="N401" s="103" t="str">
        <f aca="false">IF(OR($B401="", $I401="", $J401="", $K401="", $L401="", $M401=""),"",ROUND(($I401*Lists!$AD$2)+($J401*Lists!$AD$3)+($K401*Lists!$AD$4)+($L401*Lists!$AD$5)+($M401*Lists!$AD$6),2))</f>
        <v/>
      </c>
      <c r="O401" s="103" t="str">
        <f aca="false">IF($A401="","",IFERROR(VLOOKUP($A401,'Risk Register'!$B$2:$I$1000,8,FALSE()),""))</f>
        <v/>
      </c>
      <c r="P401" s="106"/>
      <c r="Q401" s="106"/>
      <c r="R401" s="106"/>
      <c r="S401" s="106"/>
      <c r="T401" s="103" t="str">
        <f aca="false">IF(OR($B401="", $P401="", $Q401="", $R401="", $S401=""),"",ROUND(($P401*Lists!$AD$7)+($Q401*Lists!$AD$8)+($R401*Lists!$AD$9)+($S401*Lists!$AD$10),2))</f>
        <v/>
      </c>
      <c r="U401" s="106"/>
      <c r="V401" s="106"/>
      <c r="W401" s="106"/>
      <c r="X401" s="106"/>
      <c r="Y401" s="106"/>
      <c r="Z401" s="103" t="str">
        <f aca="false">IF(OR($B401="", $U401="", $V401="", $W401="", $X401="", $Y401=""),"",ROUND(($U401*Lists!$AD$11)+($V401*Lists!$AD$12)+($W401*Lists!$AD$13)+($X401*Lists!$AD$14)+($Y401*Lists!$AD$15),2))</f>
        <v/>
      </c>
      <c r="AA401" s="103" t="str">
        <f aca="false">IF(OR($B401="", $N401="", $O401="", $T401="", $Z401=""),"",ROUND(($N401*Lists!$AD$16)-($O401*Lists!$AD$17)-($T401*Lists!$AD$18)+($Z401*Lists!$AD$19),2))</f>
        <v/>
      </c>
      <c r="AB401" s="102" t="str">
        <f aca="false">IF(OR($B401="", $N401="", $Z401=""),"",IF($N401&gt;=Lists!$AG$2,IF($Z401&gt;=Lists!$AG$3,"Invest","Migrate"),IF($Z401&gt;=Lists!$AG$3,"Tolerate","Eliminate")))</f>
        <v/>
      </c>
      <c r="AC401" s="102" t="str">
        <f aca="false">IF($B401="","",IF($J401&gt;=4,"Yes",""))</f>
        <v/>
      </c>
      <c r="AD401" s="102" t="str">
        <f aca="false">IF($A401="","",IFERROR(IF(VLOOKUP($A401,'Risk Register'!$B$2:$H$1000,4,FALSE())&gt;=4,"Yes",""),""))</f>
        <v/>
      </c>
      <c r="AE401" s="102" t="str">
        <f aca="false">IF(OR($N401="", $O401=""),"",IF($N401&gt;=Lists!$AG$2,IF($O401&gt;=Lists!$AG$4,"High Value / High Risk","High Value / Low Risk"),IF($O401&gt;=Lists!$AG$4,"Low Value / High Risk","Low Value / Low Risk")))</f>
        <v/>
      </c>
      <c r="AF401" s="101"/>
      <c r="AG401" s="126"/>
      <c r="AH401" s="106" t="str">
        <f aca="false">IF($B401="","",COUNTIFS('Debt Backlog'!$AF$2:$AF$1000,$A401,'Debt Backlog'!$B$2:$B$1000,"&lt;&gt;",'Debt Backlog'!$N$2:$N$1000,"&lt;&gt;Done",'Debt Backlog'!$N$2:$N$1000,"&lt;&gt;Won't Fix",'Debt Backlog'!$N$2:$N$1000,"&lt;&gt;Duplicate"))</f>
        <v/>
      </c>
      <c r="AI401" s="103" t="str">
        <f aca="false">IF($B401="","",ROUND(SUMIFS('Debt Backlog'!$L$2:$L$1000,'Debt Backlog'!$AF$2:$AF$1000,$A401,'Debt Backlog'!$B$2:$B$1000,"&lt;&gt;",'Debt Backlog'!$N$2:$N$1000,"&lt;&gt;Done",'Debt Backlog'!$N$2:$N$1000,"&lt;&gt;Won't Fix",'Debt Backlog'!$N$2:$N$1000,"&lt;&gt;Duplicate"),2))</f>
        <v/>
      </c>
    </row>
    <row r="402" customFormat="false" ht="15.75" hidden="false" customHeight="true" outlineLevel="0" collapsed="false">
      <c r="A402" s="125"/>
      <c r="B402" s="101"/>
      <c r="C402" s="101"/>
      <c r="D402" s="101"/>
      <c r="E402" s="101"/>
      <c r="F402" s="101"/>
      <c r="G402" s="101"/>
      <c r="H402" s="101"/>
      <c r="I402" s="106"/>
      <c r="J402" s="106"/>
      <c r="K402" s="106"/>
      <c r="L402" s="106"/>
      <c r="M402" s="106"/>
      <c r="N402" s="103" t="str">
        <f aca="false">IF(OR($B402="", $I402="", $J402="", $K402="", $L402="", $M402=""),"",ROUND(($I402*Lists!$AD$2)+($J402*Lists!$AD$3)+($K402*Lists!$AD$4)+($L402*Lists!$AD$5)+($M402*Lists!$AD$6),2))</f>
        <v/>
      </c>
      <c r="O402" s="103" t="str">
        <f aca="false">IF($A402="","",IFERROR(VLOOKUP($A402,'Risk Register'!$B$2:$I$1000,8,FALSE()),""))</f>
        <v/>
      </c>
      <c r="P402" s="106"/>
      <c r="Q402" s="106"/>
      <c r="R402" s="106"/>
      <c r="S402" s="106"/>
      <c r="T402" s="103" t="str">
        <f aca="false">IF(OR($B402="", $P402="", $Q402="", $R402="", $S402=""),"",ROUND(($P402*Lists!$AD$7)+($Q402*Lists!$AD$8)+($R402*Lists!$AD$9)+($S402*Lists!$AD$10),2))</f>
        <v/>
      </c>
      <c r="U402" s="106"/>
      <c r="V402" s="106"/>
      <c r="W402" s="106"/>
      <c r="X402" s="106"/>
      <c r="Y402" s="106"/>
      <c r="Z402" s="103" t="str">
        <f aca="false">IF(OR($B402="", $U402="", $V402="", $W402="", $X402="", $Y402=""),"",ROUND(($U402*Lists!$AD$11)+($V402*Lists!$AD$12)+($W402*Lists!$AD$13)+($X402*Lists!$AD$14)+($Y402*Lists!$AD$15),2))</f>
        <v/>
      </c>
      <c r="AA402" s="103" t="str">
        <f aca="false">IF(OR($B402="", $N402="", $O402="", $T402="", $Z402=""),"",ROUND(($N402*Lists!$AD$16)-($O402*Lists!$AD$17)-($T402*Lists!$AD$18)+($Z402*Lists!$AD$19),2))</f>
        <v/>
      </c>
      <c r="AB402" s="102" t="str">
        <f aca="false">IF(OR($B402="", $N402="", $Z402=""),"",IF($N402&gt;=Lists!$AG$2,IF($Z402&gt;=Lists!$AG$3,"Invest","Migrate"),IF($Z402&gt;=Lists!$AG$3,"Tolerate","Eliminate")))</f>
        <v/>
      </c>
      <c r="AC402" s="102" t="str">
        <f aca="false">IF($B402="","",IF($J402&gt;=4,"Yes",""))</f>
        <v/>
      </c>
      <c r="AD402" s="102" t="str">
        <f aca="false">IF($A402="","",IFERROR(IF(VLOOKUP($A402,'Risk Register'!$B$2:$H$1000,4,FALSE())&gt;=4,"Yes",""),""))</f>
        <v/>
      </c>
      <c r="AE402" s="102" t="str">
        <f aca="false">IF(OR($N402="", $O402=""),"",IF($N402&gt;=Lists!$AG$2,IF($O402&gt;=Lists!$AG$4,"High Value / High Risk","High Value / Low Risk"),IF($O402&gt;=Lists!$AG$4,"Low Value / High Risk","Low Value / Low Risk")))</f>
        <v/>
      </c>
      <c r="AF402" s="101"/>
      <c r="AG402" s="126"/>
      <c r="AH402" s="106" t="str">
        <f aca="false">IF($B402="","",COUNTIFS('Debt Backlog'!$AF$2:$AF$1000,$A402,'Debt Backlog'!$B$2:$B$1000,"&lt;&gt;",'Debt Backlog'!$N$2:$N$1000,"&lt;&gt;Done",'Debt Backlog'!$N$2:$N$1000,"&lt;&gt;Won't Fix",'Debt Backlog'!$N$2:$N$1000,"&lt;&gt;Duplicate"))</f>
        <v/>
      </c>
      <c r="AI402" s="103" t="str">
        <f aca="false">IF($B402="","",ROUND(SUMIFS('Debt Backlog'!$L$2:$L$1000,'Debt Backlog'!$AF$2:$AF$1000,$A402,'Debt Backlog'!$B$2:$B$1000,"&lt;&gt;",'Debt Backlog'!$N$2:$N$1000,"&lt;&gt;Done",'Debt Backlog'!$N$2:$N$1000,"&lt;&gt;Won't Fix",'Debt Backlog'!$N$2:$N$1000,"&lt;&gt;Duplicate"),2))</f>
        <v/>
      </c>
    </row>
    <row r="403" customFormat="false" ht="15.75" hidden="false" customHeight="true" outlineLevel="0" collapsed="false">
      <c r="A403" s="125"/>
      <c r="B403" s="101"/>
      <c r="C403" s="101"/>
      <c r="D403" s="101"/>
      <c r="E403" s="101"/>
      <c r="F403" s="101"/>
      <c r="G403" s="101"/>
      <c r="H403" s="101"/>
      <c r="I403" s="106"/>
      <c r="J403" s="106"/>
      <c r="K403" s="106"/>
      <c r="L403" s="106"/>
      <c r="M403" s="106"/>
      <c r="N403" s="103" t="str">
        <f aca="false">IF(OR($B403="", $I403="", $J403="", $K403="", $L403="", $M403=""),"",ROUND(($I403*Lists!$AD$2)+($J403*Lists!$AD$3)+($K403*Lists!$AD$4)+($L403*Lists!$AD$5)+($M403*Lists!$AD$6),2))</f>
        <v/>
      </c>
      <c r="O403" s="103" t="str">
        <f aca="false">IF($A403="","",IFERROR(VLOOKUP($A403,'Risk Register'!$B$2:$I$1000,8,FALSE()),""))</f>
        <v/>
      </c>
      <c r="P403" s="106"/>
      <c r="Q403" s="106"/>
      <c r="R403" s="106"/>
      <c r="S403" s="106"/>
      <c r="T403" s="103" t="str">
        <f aca="false">IF(OR($B403="", $P403="", $Q403="", $R403="", $S403=""),"",ROUND(($P403*Lists!$AD$7)+($Q403*Lists!$AD$8)+($R403*Lists!$AD$9)+($S403*Lists!$AD$10),2))</f>
        <v/>
      </c>
      <c r="U403" s="106"/>
      <c r="V403" s="106"/>
      <c r="W403" s="106"/>
      <c r="X403" s="106"/>
      <c r="Y403" s="106"/>
      <c r="Z403" s="103" t="str">
        <f aca="false">IF(OR($B403="", $U403="", $V403="", $W403="", $X403="", $Y403=""),"",ROUND(($U403*Lists!$AD$11)+($V403*Lists!$AD$12)+($W403*Lists!$AD$13)+($X403*Lists!$AD$14)+($Y403*Lists!$AD$15),2))</f>
        <v/>
      </c>
      <c r="AA403" s="103" t="str">
        <f aca="false">IF(OR($B403="", $N403="", $O403="", $T403="", $Z403=""),"",ROUND(($N403*Lists!$AD$16)-($O403*Lists!$AD$17)-($T403*Lists!$AD$18)+($Z403*Lists!$AD$19),2))</f>
        <v/>
      </c>
      <c r="AB403" s="102" t="str">
        <f aca="false">IF(OR($B403="", $N403="", $Z403=""),"",IF($N403&gt;=Lists!$AG$2,IF($Z403&gt;=Lists!$AG$3,"Invest","Migrate"),IF($Z403&gt;=Lists!$AG$3,"Tolerate","Eliminate")))</f>
        <v/>
      </c>
      <c r="AC403" s="102" t="str">
        <f aca="false">IF($B403="","",IF($J403&gt;=4,"Yes",""))</f>
        <v/>
      </c>
      <c r="AD403" s="102" t="str">
        <f aca="false">IF($A403="","",IFERROR(IF(VLOOKUP($A403,'Risk Register'!$B$2:$H$1000,4,FALSE())&gt;=4,"Yes",""),""))</f>
        <v/>
      </c>
      <c r="AE403" s="102" t="str">
        <f aca="false">IF(OR($N403="", $O403=""),"",IF($N403&gt;=Lists!$AG$2,IF($O403&gt;=Lists!$AG$4,"High Value / High Risk","High Value / Low Risk"),IF($O403&gt;=Lists!$AG$4,"Low Value / High Risk","Low Value / Low Risk")))</f>
        <v/>
      </c>
      <c r="AF403" s="101"/>
      <c r="AG403" s="126"/>
      <c r="AH403" s="106" t="str">
        <f aca="false">IF($B403="","",COUNTIFS('Debt Backlog'!$AF$2:$AF$1000,$A403,'Debt Backlog'!$B$2:$B$1000,"&lt;&gt;",'Debt Backlog'!$N$2:$N$1000,"&lt;&gt;Done",'Debt Backlog'!$N$2:$N$1000,"&lt;&gt;Won't Fix",'Debt Backlog'!$N$2:$N$1000,"&lt;&gt;Duplicate"))</f>
        <v/>
      </c>
      <c r="AI403" s="103" t="str">
        <f aca="false">IF($B403="","",ROUND(SUMIFS('Debt Backlog'!$L$2:$L$1000,'Debt Backlog'!$AF$2:$AF$1000,$A403,'Debt Backlog'!$B$2:$B$1000,"&lt;&gt;",'Debt Backlog'!$N$2:$N$1000,"&lt;&gt;Done",'Debt Backlog'!$N$2:$N$1000,"&lt;&gt;Won't Fix",'Debt Backlog'!$N$2:$N$1000,"&lt;&gt;Duplicate"),2))</f>
        <v/>
      </c>
    </row>
    <row r="404" customFormat="false" ht="15.75" hidden="false" customHeight="true" outlineLevel="0" collapsed="false">
      <c r="A404" s="125"/>
      <c r="B404" s="101"/>
      <c r="C404" s="101"/>
      <c r="D404" s="101"/>
      <c r="E404" s="101"/>
      <c r="F404" s="101"/>
      <c r="G404" s="101"/>
      <c r="H404" s="101"/>
      <c r="I404" s="106"/>
      <c r="J404" s="106"/>
      <c r="K404" s="106"/>
      <c r="L404" s="106"/>
      <c r="M404" s="106"/>
      <c r="N404" s="103" t="str">
        <f aca="false">IF(OR($B404="", $I404="", $J404="", $K404="", $L404="", $M404=""),"",ROUND(($I404*Lists!$AD$2)+($J404*Lists!$AD$3)+($K404*Lists!$AD$4)+($L404*Lists!$AD$5)+($M404*Lists!$AD$6),2))</f>
        <v/>
      </c>
      <c r="O404" s="103" t="str">
        <f aca="false">IF($A404="","",IFERROR(VLOOKUP($A404,'Risk Register'!$B$2:$I$1000,8,FALSE()),""))</f>
        <v/>
      </c>
      <c r="P404" s="106"/>
      <c r="Q404" s="106"/>
      <c r="R404" s="106"/>
      <c r="S404" s="106"/>
      <c r="T404" s="103" t="str">
        <f aca="false">IF(OR($B404="", $P404="", $Q404="", $R404="", $S404=""),"",ROUND(($P404*Lists!$AD$7)+($Q404*Lists!$AD$8)+($R404*Lists!$AD$9)+($S404*Lists!$AD$10),2))</f>
        <v/>
      </c>
      <c r="U404" s="106"/>
      <c r="V404" s="106"/>
      <c r="W404" s="106"/>
      <c r="X404" s="106"/>
      <c r="Y404" s="106"/>
      <c r="Z404" s="103" t="str">
        <f aca="false">IF(OR($B404="", $U404="", $V404="", $W404="", $X404="", $Y404=""),"",ROUND(($U404*Lists!$AD$11)+($V404*Lists!$AD$12)+($W404*Lists!$AD$13)+($X404*Lists!$AD$14)+($Y404*Lists!$AD$15),2))</f>
        <v/>
      </c>
      <c r="AA404" s="103" t="str">
        <f aca="false">IF(OR($B404="", $N404="", $O404="", $T404="", $Z404=""),"",ROUND(($N404*Lists!$AD$16)-($O404*Lists!$AD$17)-($T404*Lists!$AD$18)+($Z404*Lists!$AD$19),2))</f>
        <v/>
      </c>
      <c r="AB404" s="102" t="str">
        <f aca="false">IF(OR($B404="", $N404="", $Z404=""),"",IF($N404&gt;=Lists!$AG$2,IF($Z404&gt;=Lists!$AG$3,"Invest","Migrate"),IF($Z404&gt;=Lists!$AG$3,"Tolerate","Eliminate")))</f>
        <v/>
      </c>
      <c r="AC404" s="102" t="str">
        <f aca="false">IF($B404="","",IF($J404&gt;=4,"Yes",""))</f>
        <v/>
      </c>
      <c r="AD404" s="102" t="str">
        <f aca="false">IF($A404="","",IFERROR(IF(VLOOKUP($A404,'Risk Register'!$B$2:$H$1000,4,FALSE())&gt;=4,"Yes",""),""))</f>
        <v/>
      </c>
      <c r="AE404" s="102" t="str">
        <f aca="false">IF(OR($N404="", $O404=""),"",IF($N404&gt;=Lists!$AG$2,IF($O404&gt;=Lists!$AG$4,"High Value / High Risk","High Value / Low Risk"),IF($O404&gt;=Lists!$AG$4,"Low Value / High Risk","Low Value / Low Risk")))</f>
        <v/>
      </c>
      <c r="AF404" s="101"/>
      <c r="AG404" s="126"/>
      <c r="AH404" s="106" t="str">
        <f aca="false">IF($B404="","",COUNTIFS('Debt Backlog'!$AF$2:$AF$1000,$A404,'Debt Backlog'!$B$2:$B$1000,"&lt;&gt;",'Debt Backlog'!$N$2:$N$1000,"&lt;&gt;Done",'Debt Backlog'!$N$2:$N$1000,"&lt;&gt;Won't Fix",'Debt Backlog'!$N$2:$N$1000,"&lt;&gt;Duplicate"))</f>
        <v/>
      </c>
      <c r="AI404" s="103" t="str">
        <f aca="false">IF($B404="","",ROUND(SUMIFS('Debt Backlog'!$L$2:$L$1000,'Debt Backlog'!$AF$2:$AF$1000,$A404,'Debt Backlog'!$B$2:$B$1000,"&lt;&gt;",'Debt Backlog'!$N$2:$N$1000,"&lt;&gt;Done",'Debt Backlog'!$N$2:$N$1000,"&lt;&gt;Won't Fix",'Debt Backlog'!$N$2:$N$1000,"&lt;&gt;Duplicate"),2))</f>
        <v/>
      </c>
    </row>
    <row r="405" customFormat="false" ht="15.75" hidden="false" customHeight="true" outlineLevel="0" collapsed="false">
      <c r="A405" s="125"/>
      <c r="B405" s="101"/>
      <c r="C405" s="101"/>
      <c r="D405" s="101"/>
      <c r="E405" s="101"/>
      <c r="F405" s="101"/>
      <c r="G405" s="101"/>
      <c r="H405" s="101"/>
      <c r="I405" s="106"/>
      <c r="J405" s="106"/>
      <c r="K405" s="106"/>
      <c r="L405" s="106"/>
      <c r="M405" s="106"/>
      <c r="N405" s="103" t="str">
        <f aca="false">IF(OR($B405="", $I405="", $J405="", $K405="", $L405="", $M405=""),"",ROUND(($I405*Lists!$AD$2)+($J405*Lists!$AD$3)+($K405*Lists!$AD$4)+($L405*Lists!$AD$5)+($M405*Lists!$AD$6),2))</f>
        <v/>
      </c>
      <c r="O405" s="103" t="str">
        <f aca="false">IF($A405="","",IFERROR(VLOOKUP($A405,'Risk Register'!$B$2:$I$1000,8,FALSE()),""))</f>
        <v/>
      </c>
      <c r="P405" s="106"/>
      <c r="Q405" s="106"/>
      <c r="R405" s="106"/>
      <c r="S405" s="106"/>
      <c r="T405" s="103" t="str">
        <f aca="false">IF(OR($B405="", $P405="", $Q405="", $R405="", $S405=""),"",ROUND(($P405*Lists!$AD$7)+($Q405*Lists!$AD$8)+($R405*Lists!$AD$9)+($S405*Lists!$AD$10),2))</f>
        <v/>
      </c>
      <c r="U405" s="106"/>
      <c r="V405" s="106"/>
      <c r="W405" s="106"/>
      <c r="X405" s="106"/>
      <c r="Y405" s="106"/>
      <c r="Z405" s="103" t="str">
        <f aca="false">IF(OR($B405="", $U405="", $V405="", $W405="", $X405="", $Y405=""),"",ROUND(($U405*Lists!$AD$11)+($V405*Lists!$AD$12)+($W405*Lists!$AD$13)+($X405*Lists!$AD$14)+($Y405*Lists!$AD$15),2))</f>
        <v/>
      </c>
      <c r="AA405" s="103" t="str">
        <f aca="false">IF(OR($B405="", $N405="", $O405="", $T405="", $Z405=""),"",ROUND(($N405*Lists!$AD$16)-($O405*Lists!$AD$17)-($T405*Lists!$AD$18)+($Z405*Lists!$AD$19),2))</f>
        <v/>
      </c>
      <c r="AB405" s="102" t="str">
        <f aca="false">IF(OR($B405="", $N405="", $Z405=""),"",IF($N405&gt;=Lists!$AG$2,IF($Z405&gt;=Lists!$AG$3,"Invest","Migrate"),IF($Z405&gt;=Lists!$AG$3,"Tolerate","Eliminate")))</f>
        <v/>
      </c>
      <c r="AC405" s="102" t="str">
        <f aca="false">IF($B405="","",IF($J405&gt;=4,"Yes",""))</f>
        <v/>
      </c>
      <c r="AD405" s="102" t="str">
        <f aca="false">IF($A405="","",IFERROR(IF(VLOOKUP($A405,'Risk Register'!$B$2:$H$1000,4,FALSE())&gt;=4,"Yes",""),""))</f>
        <v/>
      </c>
      <c r="AE405" s="102" t="str">
        <f aca="false">IF(OR($N405="", $O405=""),"",IF($N405&gt;=Lists!$AG$2,IF($O405&gt;=Lists!$AG$4,"High Value / High Risk","High Value / Low Risk"),IF($O405&gt;=Lists!$AG$4,"Low Value / High Risk","Low Value / Low Risk")))</f>
        <v/>
      </c>
      <c r="AF405" s="101"/>
      <c r="AG405" s="126"/>
      <c r="AH405" s="106" t="str">
        <f aca="false">IF($B405="","",COUNTIFS('Debt Backlog'!$AF$2:$AF$1000,$A405,'Debt Backlog'!$B$2:$B$1000,"&lt;&gt;",'Debt Backlog'!$N$2:$N$1000,"&lt;&gt;Done",'Debt Backlog'!$N$2:$N$1000,"&lt;&gt;Won't Fix",'Debt Backlog'!$N$2:$N$1000,"&lt;&gt;Duplicate"))</f>
        <v/>
      </c>
      <c r="AI405" s="103" t="str">
        <f aca="false">IF($B405="","",ROUND(SUMIFS('Debt Backlog'!$L$2:$L$1000,'Debt Backlog'!$AF$2:$AF$1000,$A405,'Debt Backlog'!$B$2:$B$1000,"&lt;&gt;",'Debt Backlog'!$N$2:$N$1000,"&lt;&gt;Done",'Debt Backlog'!$N$2:$N$1000,"&lt;&gt;Won't Fix",'Debt Backlog'!$N$2:$N$1000,"&lt;&gt;Duplicate"),2))</f>
        <v/>
      </c>
    </row>
    <row r="406" customFormat="false" ht="15.75" hidden="false" customHeight="true" outlineLevel="0" collapsed="false">
      <c r="A406" s="125"/>
      <c r="B406" s="101"/>
      <c r="C406" s="101"/>
      <c r="D406" s="101"/>
      <c r="E406" s="101"/>
      <c r="F406" s="101"/>
      <c r="G406" s="101"/>
      <c r="H406" s="101"/>
      <c r="I406" s="106"/>
      <c r="J406" s="106"/>
      <c r="K406" s="106"/>
      <c r="L406" s="106"/>
      <c r="M406" s="106"/>
      <c r="N406" s="103" t="str">
        <f aca="false">IF(OR($B406="", $I406="", $J406="", $K406="", $L406="", $M406=""),"",ROUND(($I406*Lists!$AD$2)+($J406*Lists!$AD$3)+($K406*Lists!$AD$4)+($L406*Lists!$AD$5)+($M406*Lists!$AD$6),2))</f>
        <v/>
      </c>
      <c r="O406" s="103" t="str">
        <f aca="false">IF($A406="","",IFERROR(VLOOKUP($A406,'Risk Register'!$B$2:$I$1000,8,FALSE()),""))</f>
        <v/>
      </c>
      <c r="P406" s="106"/>
      <c r="Q406" s="106"/>
      <c r="R406" s="106"/>
      <c r="S406" s="106"/>
      <c r="T406" s="103" t="str">
        <f aca="false">IF(OR($B406="", $P406="", $Q406="", $R406="", $S406=""),"",ROUND(($P406*Lists!$AD$7)+($Q406*Lists!$AD$8)+($R406*Lists!$AD$9)+($S406*Lists!$AD$10),2))</f>
        <v/>
      </c>
      <c r="U406" s="106"/>
      <c r="V406" s="106"/>
      <c r="W406" s="106"/>
      <c r="X406" s="106"/>
      <c r="Y406" s="106"/>
      <c r="Z406" s="103" t="str">
        <f aca="false">IF(OR($B406="", $U406="", $V406="", $W406="", $X406="", $Y406=""),"",ROUND(($U406*Lists!$AD$11)+($V406*Lists!$AD$12)+($W406*Lists!$AD$13)+($X406*Lists!$AD$14)+($Y406*Lists!$AD$15),2))</f>
        <v/>
      </c>
      <c r="AA406" s="103" t="str">
        <f aca="false">IF(OR($B406="", $N406="", $O406="", $T406="", $Z406=""),"",ROUND(($N406*Lists!$AD$16)-($O406*Lists!$AD$17)-($T406*Lists!$AD$18)+($Z406*Lists!$AD$19),2))</f>
        <v/>
      </c>
      <c r="AB406" s="102" t="str">
        <f aca="false">IF(OR($B406="", $N406="", $Z406=""),"",IF($N406&gt;=Lists!$AG$2,IF($Z406&gt;=Lists!$AG$3,"Invest","Migrate"),IF($Z406&gt;=Lists!$AG$3,"Tolerate","Eliminate")))</f>
        <v/>
      </c>
      <c r="AC406" s="102" t="str">
        <f aca="false">IF($B406="","",IF($J406&gt;=4,"Yes",""))</f>
        <v/>
      </c>
      <c r="AD406" s="102" t="str">
        <f aca="false">IF($A406="","",IFERROR(IF(VLOOKUP($A406,'Risk Register'!$B$2:$H$1000,4,FALSE())&gt;=4,"Yes",""),""))</f>
        <v/>
      </c>
      <c r="AE406" s="102" t="str">
        <f aca="false">IF(OR($N406="", $O406=""),"",IF($N406&gt;=Lists!$AG$2,IF($O406&gt;=Lists!$AG$4,"High Value / High Risk","High Value / Low Risk"),IF($O406&gt;=Lists!$AG$4,"Low Value / High Risk","Low Value / Low Risk")))</f>
        <v/>
      </c>
      <c r="AF406" s="101"/>
      <c r="AG406" s="126"/>
      <c r="AH406" s="106" t="str">
        <f aca="false">IF($B406="","",COUNTIFS('Debt Backlog'!$AF$2:$AF$1000,$A406,'Debt Backlog'!$B$2:$B$1000,"&lt;&gt;",'Debt Backlog'!$N$2:$N$1000,"&lt;&gt;Done",'Debt Backlog'!$N$2:$N$1000,"&lt;&gt;Won't Fix",'Debt Backlog'!$N$2:$N$1000,"&lt;&gt;Duplicate"))</f>
        <v/>
      </c>
      <c r="AI406" s="103" t="str">
        <f aca="false">IF($B406="","",ROUND(SUMIFS('Debt Backlog'!$L$2:$L$1000,'Debt Backlog'!$AF$2:$AF$1000,$A406,'Debt Backlog'!$B$2:$B$1000,"&lt;&gt;",'Debt Backlog'!$N$2:$N$1000,"&lt;&gt;Done",'Debt Backlog'!$N$2:$N$1000,"&lt;&gt;Won't Fix",'Debt Backlog'!$N$2:$N$1000,"&lt;&gt;Duplicate"),2))</f>
        <v/>
      </c>
    </row>
    <row r="407" customFormat="false" ht="15.75" hidden="false" customHeight="true" outlineLevel="0" collapsed="false">
      <c r="A407" s="125"/>
      <c r="B407" s="101"/>
      <c r="C407" s="101"/>
      <c r="D407" s="101"/>
      <c r="E407" s="101"/>
      <c r="F407" s="101"/>
      <c r="G407" s="101"/>
      <c r="H407" s="101"/>
      <c r="I407" s="106"/>
      <c r="J407" s="106"/>
      <c r="K407" s="106"/>
      <c r="L407" s="106"/>
      <c r="M407" s="106"/>
      <c r="N407" s="103" t="str">
        <f aca="false">IF(OR($B407="", $I407="", $J407="", $K407="", $L407="", $M407=""),"",ROUND(($I407*Lists!$AD$2)+($J407*Lists!$AD$3)+($K407*Lists!$AD$4)+($L407*Lists!$AD$5)+($M407*Lists!$AD$6),2))</f>
        <v/>
      </c>
      <c r="O407" s="103" t="str">
        <f aca="false">IF($A407="","",IFERROR(VLOOKUP($A407,'Risk Register'!$B$2:$I$1000,8,FALSE()),""))</f>
        <v/>
      </c>
      <c r="P407" s="106"/>
      <c r="Q407" s="106"/>
      <c r="R407" s="106"/>
      <c r="S407" s="106"/>
      <c r="T407" s="103" t="str">
        <f aca="false">IF(OR($B407="", $P407="", $Q407="", $R407="", $S407=""),"",ROUND(($P407*Lists!$AD$7)+($Q407*Lists!$AD$8)+($R407*Lists!$AD$9)+($S407*Lists!$AD$10),2))</f>
        <v/>
      </c>
      <c r="U407" s="106"/>
      <c r="V407" s="106"/>
      <c r="W407" s="106"/>
      <c r="X407" s="106"/>
      <c r="Y407" s="106"/>
      <c r="Z407" s="103" t="str">
        <f aca="false">IF(OR($B407="", $U407="", $V407="", $W407="", $X407="", $Y407=""),"",ROUND(($U407*Lists!$AD$11)+($V407*Lists!$AD$12)+($W407*Lists!$AD$13)+($X407*Lists!$AD$14)+($Y407*Lists!$AD$15),2))</f>
        <v/>
      </c>
      <c r="AA407" s="103" t="str">
        <f aca="false">IF(OR($B407="", $N407="", $O407="", $T407="", $Z407=""),"",ROUND(($N407*Lists!$AD$16)-($O407*Lists!$AD$17)-($T407*Lists!$AD$18)+($Z407*Lists!$AD$19),2))</f>
        <v/>
      </c>
      <c r="AB407" s="102" t="str">
        <f aca="false">IF(OR($B407="", $N407="", $Z407=""),"",IF($N407&gt;=Lists!$AG$2,IF($Z407&gt;=Lists!$AG$3,"Invest","Migrate"),IF($Z407&gt;=Lists!$AG$3,"Tolerate","Eliminate")))</f>
        <v/>
      </c>
      <c r="AC407" s="102" t="str">
        <f aca="false">IF($B407="","",IF($J407&gt;=4,"Yes",""))</f>
        <v/>
      </c>
      <c r="AD407" s="102" t="str">
        <f aca="false">IF($A407="","",IFERROR(IF(VLOOKUP($A407,'Risk Register'!$B$2:$H$1000,4,FALSE())&gt;=4,"Yes",""),""))</f>
        <v/>
      </c>
      <c r="AE407" s="102" t="str">
        <f aca="false">IF(OR($N407="", $O407=""),"",IF($N407&gt;=Lists!$AG$2,IF($O407&gt;=Lists!$AG$4,"High Value / High Risk","High Value / Low Risk"),IF($O407&gt;=Lists!$AG$4,"Low Value / High Risk","Low Value / Low Risk")))</f>
        <v/>
      </c>
      <c r="AF407" s="101"/>
      <c r="AG407" s="126"/>
      <c r="AH407" s="106" t="str">
        <f aca="false">IF($B407="","",COUNTIFS('Debt Backlog'!$AF$2:$AF$1000,$A407,'Debt Backlog'!$B$2:$B$1000,"&lt;&gt;",'Debt Backlog'!$N$2:$N$1000,"&lt;&gt;Done",'Debt Backlog'!$N$2:$N$1000,"&lt;&gt;Won't Fix",'Debt Backlog'!$N$2:$N$1000,"&lt;&gt;Duplicate"))</f>
        <v/>
      </c>
      <c r="AI407" s="103" t="str">
        <f aca="false">IF($B407="","",ROUND(SUMIFS('Debt Backlog'!$L$2:$L$1000,'Debt Backlog'!$AF$2:$AF$1000,$A407,'Debt Backlog'!$B$2:$B$1000,"&lt;&gt;",'Debt Backlog'!$N$2:$N$1000,"&lt;&gt;Done",'Debt Backlog'!$N$2:$N$1000,"&lt;&gt;Won't Fix",'Debt Backlog'!$N$2:$N$1000,"&lt;&gt;Duplicate"),2))</f>
        <v/>
      </c>
    </row>
    <row r="408" customFormat="false" ht="15.75" hidden="false" customHeight="true" outlineLevel="0" collapsed="false">
      <c r="A408" s="125"/>
      <c r="B408" s="101"/>
      <c r="C408" s="101"/>
      <c r="D408" s="101"/>
      <c r="E408" s="101"/>
      <c r="F408" s="101"/>
      <c r="G408" s="101"/>
      <c r="H408" s="101"/>
      <c r="I408" s="106"/>
      <c r="J408" s="106"/>
      <c r="K408" s="106"/>
      <c r="L408" s="106"/>
      <c r="M408" s="106"/>
      <c r="N408" s="103" t="str">
        <f aca="false">IF(OR($B408="", $I408="", $J408="", $K408="", $L408="", $M408=""),"",ROUND(($I408*Lists!$AD$2)+($J408*Lists!$AD$3)+($K408*Lists!$AD$4)+($L408*Lists!$AD$5)+($M408*Lists!$AD$6),2))</f>
        <v/>
      </c>
      <c r="O408" s="103" t="str">
        <f aca="false">IF($A408="","",IFERROR(VLOOKUP($A408,'Risk Register'!$B$2:$I$1000,8,FALSE()),""))</f>
        <v/>
      </c>
      <c r="P408" s="106"/>
      <c r="Q408" s="106"/>
      <c r="R408" s="106"/>
      <c r="S408" s="106"/>
      <c r="T408" s="103" t="str">
        <f aca="false">IF(OR($B408="", $P408="", $Q408="", $R408="", $S408=""),"",ROUND(($P408*Lists!$AD$7)+($Q408*Lists!$AD$8)+($R408*Lists!$AD$9)+($S408*Lists!$AD$10),2))</f>
        <v/>
      </c>
      <c r="U408" s="106"/>
      <c r="V408" s="106"/>
      <c r="W408" s="106"/>
      <c r="X408" s="106"/>
      <c r="Y408" s="106"/>
      <c r="Z408" s="103" t="str">
        <f aca="false">IF(OR($B408="", $U408="", $V408="", $W408="", $X408="", $Y408=""),"",ROUND(($U408*Lists!$AD$11)+($V408*Lists!$AD$12)+($W408*Lists!$AD$13)+($X408*Lists!$AD$14)+($Y408*Lists!$AD$15),2))</f>
        <v/>
      </c>
      <c r="AA408" s="103" t="str">
        <f aca="false">IF(OR($B408="", $N408="", $O408="", $T408="", $Z408=""),"",ROUND(($N408*Lists!$AD$16)-($O408*Lists!$AD$17)-($T408*Lists!$AD$18)+($Z408*Lists!$AD$19),2))</f>
        <v/>
      </c>
      <c r="AB408" s="102" t="str">
        <f aca="false">IF(OR($B408="", $N408="", $Z408=""),"",IF($N408&gt;=Lists!$AG$2,IF($Z408&gt;=Lists!$AG$3,"Invest","Migrate"),IF($Z408&gt;=Lists!$AG$3,"Tolerate","Eliminate")))</f>
        <v/>
      </c>
      <c r="AC408" s="102" t="str">
        <f aca="false">IF($B408="","",IF($J408&gt;=4,"Yes",""))</f>
        <v/>
      </c>
      <c r="AD408" s="102" t="str">
        <f aca="false">IF($A408="","",IFERROR(IF(VLOOKUP($A408,'Risk Register'!$B$2:$H$1000,4,FALSE())&gt;=4,"Yes",""),""))</f>
        <v/>
      </c>
      <c r="AE408" s="102" t="str">
        <f aca="false">IF(OR($N408="", $O408=""),"",IF($N408&gt;=Lists!$AG$2,IF($O408&gt;=Lists!$AG$4,"High Value / High Risk","High Value / Low Risk"),IF($O408&gt;=Lists!$AG$4,"Low Value / High Risk","Low Value / Low Risk")))</f>
        <v/>
      </c>
      <c r="AF408" s="101"/>
      <c r="AG408" s="126"/>
      <c r="AH408" s="106" t="str">
        <f aca="false">IF($B408="","",COUNTIFS('Debt Backlog'!$AF$2:$AF$1000,$A408,'Debt Backlog'!$B$2:$B$1000,"&lt;&gt;",'Debt Backlog'!$N$2:$N$1000,"&lt;&gt;Done",'Debt Backlog'!$N$2:$N$1000,"&lt;&gt;Won't Fix",'Debt Backlog'!$N$2:$N$1000,"&lt;&gt;Duplicate"))</f>
        <v/>
      </c>
      <c r="AI408" s="103" t="str">
        <f aca="false">IF($B408="","",ROUND(SUMIFS('Debt Backlog'!$L$2:$L$1000,'Debt Backlog'!$AF$2:$AF$1000,$A408,'Debt Backlog'!$B$2:$B$1000,"&lt;&gt;",'Debt Backlog'!$N$2:$N$1000,"&lt;&gt;Done",'Debt Backlog'!$N$2:$N$1000,"&lt;&gt;Won't Fix",'Debt Backlog'!$N$2:$N$1000,"&lt;&gt;Duplicate"),2))</f>
        <v/>
      </c>
    </row>
    <row r="409" customFormat="false" ht="15.75" hidden="false" customHeight="true" outlineLevel="0" collapsed="false">
      <c r="A409" s="125"/>
      <c r="B409" s="101"/>
      <c r="C409" s="101"/>
      <c r="D409" s="101"/>
      <c r="E409" s="101"/>
      <c r="F409" s="101"/>
      <c r="G409" s="101"/>
      <c r="H409" s="101"/>
      <c r="I409" s="106"/>
      <c r="J409" s="106"/>
      <c r="K409" s="106"/>
      <c r="L409" s="106"/>
      <c r="M409" s="106"/>
      <c r="N409" s="103" t="str">
        <f aca="false">IF(OR($B409="", $I409="", $J409="", $K409="", $L409="", $M409=""),"",ROUND(($I409*Lists!$AD$2)+($J409*Lists!$AD$3)+($K409*Lists!$AD$4)+($L409*Lists!$AD$5)+($M409*Lists!$AD$6),2))</f>
        <v/>
      </c>
      <c r="O409" s="103" t="str">
        <f aca="false">IF($A409="","",IFERROR(VLOOKUP($A409,'Risk Register'!$B$2:$I$1000,8,FALSE()),""))</f>
        <v/>
      </c>
      <c r="P409" s="106"/>
      <c r="Q409" s="106"/>
      <c r="R409" s="106"/>
      <c r="S409" s="106"/>
      <c r="T409" s="103" t="str">
        <f aca="false">IF(OR($B409="", $P409="", $Q409="", $R409="", $S409=""),"",ROUND(($P409*Lists!$AD$7)+($Q409*Lists!$AD$8)+($R409*Lists!$AD$9)+($S409*Lists!$AD$10),2))</f>
        <v/>
      </c>
      <c r="U409" s="106"/>
      <c r="V409" s="106"/>
      <c r="W409" s="106"/>
      <c r="X409" s="106"/>
      <c r="Y409" s="106"/>
      <c r="Z409" s="103" t="str">
        <f aca="false">IF(OR($B409="", $U409="", $V409="", $W409="", $X409="", $Y409=""),"",ROUND(($U409*Lists!$AD$11)+($V409*Lists!$AD$12)+($W409*Lists!$AD$13)+($X409*Lists!$AD$14)+($Y409*Lists!$AD$15),2))</f>
        <v/>
      </c>
      <c r="AA409" s="103" t="str">
        <f aca="false">IF(OR($B409="", $N409="", $O409="", $T409="", $Z409=""),"",ROUND(($N409*Lists!$AD$16)-($O409*Lists!$AD$17)-($T409*Lists!$AD$18)+($Z409*Lists!$AD$19),2))</f>
        <v/>
      </c>
      <c r="AB409" s="102" t="str">
        <f aca="false">IF(OR($B409="", $N409="", $Z409=""),"",IF($N409&gt;=Lists!$AG$2,IF($Z409&gt;=Lists!$AG$3,"Invest","Migrate"),IF($Z409&gt;=Lists!$AG$3,"Tolerate","Eliminate")))</f>
        <v/>
      </c>
      <c r="AC409" s="102" t="str">
        <f aca="false">IF($B409="","",IF($J409&gt;=4,"Yes",""))</f>
        <v/>
      </c>
      <c r="AD409" s="102" t="str">
        <f aca="false">IF($A409="","",IFERROR(IF(VLOOKUP($A409,'Risk Register'!$B$2:$H$1000,4,FALSE())&gt;=4,"Yes",""),""))</f>
        <v/>
      </c>
      <c r="AE409" s="102" t="str">
        <f aca="false">IF(OR($N409="", $O409=""),"",IF($N409&gt;=Lists!$AG$2,IF($O409&gt;=Lists!$AG$4,"High Value / High Risk","High Value / Low Risk"),IF($O409&gt;=Lists!$AG$4,"Low Value / High Risk","Low Value / Low Risk")))</f>
        <v/>
      </c>
      <c r="AF409" s="101"/>
      <c r="AG409" s="126"/>
      <c r="AH409" s="106" t="str">
        <f aca="false">IF($B409="","",COUNTIFS('Debt Backlog'!$AF$2:$AF$1000,$A409,'Debt Backlog'!$B$2:$B$1000,"&lt;&gt;",'Debt Backlog'!$N$2:$N$1000,"&lt;&gt;Done",'Debt Backlog'!$N$2:$N$1000,"&lt;&gt;Won't Fix",'Debt Backlog'!$N$2:$N$1000,"&lt;&gt;Duplicate"))</f>
        <v/>
      </c>
      <c r="AI409" s="103" t="str">
        <f aca="false">IF($B409="","",ROUND(SUMIFS('Debt Backlog'!$L$2:$L$1000,'Debt Backlog'!$AF$2:$AF$1000,$A409,'Debt Backlog'!$B$2:$B$1000,"&lt;&gt;",'Debt Backlog'!$N$2:$N$1000,"&lt;&gt;Done",'Debt Backlog'!$N$2:$N$1000,"&lt;&gt;Won't Fix",'Debt Backlog'!$N$2:$N$1000,"&lt;&gt;Duplicate"),2))</f>
        <v/>
      </c>
    </row>
    <row r="410" customFormat="false" ht="15.75" hidden="false" customHeight="true" outlineLevel="0" collapsed="false">
      <c r="A410" s="125"/>
      <c r="B410" s="101"/>
      <c r="C410" s="101"/>
      <c r="D410" s="101"/>
      <c r="E410" s="101"/>
      <c r="F410" s="101"/>
      <c r="G410" s="101"/>
      <c r="H410" s="101"/>
      <c r="I410" s="106"/>
      <c r="J410" s="106"/>
      <c r="K410" s="106"/>
      <c r="L410" s="106"/>
      <c r="M410" s="106"/>
      <c r="N410" s="103" t="str">
        <f aca="false">IF(OR($B410="", $I410="", $J410="", $K410="", $L410="", $M410=""),"",ROUND(($I410*Lists!$AD$2)+($J410*Lists!$AD$3)+($K410*Lists!$AD$4)+($L410*Lists!$AD$5)+($M410*Lists!$AD$6),2))</f>
        <v/>
      </c>
      <c r="O410" s="103" t="str">
        <f aca="false">IF($A410="","",IFERROR(VLOOKUP($A410,'Risk Register'!$B$2:$I$1000,8,FALSE()),""))</f>
        <v/>
      </c>
      <c r="P410" s="106"/>
      <c r="Q410" s="106"/>
      <c r="R410" s="106"/>
      <c r="S410" s="106"/>
      <c r="T410" s="103" t="str">
        <f aca="false">IF(OR($B410="", $P410="", $Q410="", $R410="", $S410=""),"",ROUND(($P410*Lists!$AD$7)+($Q410*Lists!$AD$8)+($R410*Lists!$AD$9)+($S410*Lists!$AD$10),2))</f>
        <v/>
      </c>
      <c r="U410" s="106"/>
      <c r="V410" s="106"/>
      <c r="W410" s="106"/>
      <c r="X410" s="106"/>
      <c r="Y410" s="106"/>
      <c r="Z410" s="103" t="str">
        <f aca="false">IF(OR($B410="", $U410="", $V410="", $W410="", $X410="", $Y410=""),"",ROUND(($U410*Lists!$AD$11)+($V410*Lists!$AD$12)+($W410*Lists!$AD$13)+($X410*Lists!$AD$14)+($Y410*Lists!$AD$15),2))</f>
        <v/>
      </c>
      <c r="AA410" s="103" t="str">
        <f aca="false">IF(OR($B410="", $N410="", $O410="", $T410="", $Z410=""),"",ROUND(($N410*Lists!$AD$16)-($O410*Lists!$AD$17)-($T410*Lists!$AD$18)+($Z410*Lists!$AD$19),2))</f>
        <v/>
      </c>
      <c r="AB410" s="102" t="str">
        <f aca="false">IF(OR($B410="", $N410="", $Z410=""),"",IF($N410&gt;=Lists!$AG$2,IF($Z410&gt;=Lists!$AG$3,"Invest","Migrate"),IF($Z410&gt;=Lists!$AG$3,"Tolerate","Eliminate")))</f>
        <v/>
      </c>
      <c r="AC410" s="102" t="str">
        <f aca="false">IF($B410="","",IF($J410&gt;=4,"Yes",""))</f>
        <v/>
      </c>
      <c r="AD410" s="102" t="str">
        <f aca="false">IF($A410="","",IFERROR(IF(VLOOKUP($A410,'Risk Register'!$B$2:$H$1000,4,FALSE())&gt;=4,"Yes",""),""))</f>
        <v/>
      </c>
      <c r="AE410" s="102" t="str">
        <f aca="false">IF(OR($N410="", $O410=""),"",IF($N410&gt;=Lists!$AG$2,IF($O410&gt;=Lists!$AG$4,"High Value / High Risk","High Value / Low Risk"),IF($O410&gt;=Lists!$AG$4,"Low Value / High Risk","Low Value / Low Risk")))</f>
        <v/>
      </c>
      <c r="AF410" s="101"/>
      <c r="AG410" s="126"/>
      <c r="AH410" s="106" t="str">
        <f aca="false">IF($B410="","",COUNTIFS('Debt Backlog'!$AF$2:$AF$1000,$A410,'Debt Backlog'!$B$2:$B$1000,"&lt;&gt;",'Debt Backlog'!$N$2:$N$1000,"&lt;&gt;Done",'Debt Backlog'!$N$2:$N$1000,"&lt;&gt;Won't Fix",'Debt Backlog'!$N$2:$N$1000,"&lt;&gt;Duplicate"))</f>
        <v/>
      </c>
      <c r="AI410" s="103" t="str">
        <f aca="false">IF($B410="","",ROUND(SUMIFS('Debt Backlog'!$L$2:$L$1000,'Debt Backlog'!$AF$2:$AF$1000,$A410,'Debt Backlog'!$B$2:$B$1000,"&lt;&gt;",'Debt Backlog'!$N$2:$N$1000,"&lt;&gt;Done",'Debt Backlog'!$N$2:$N$1000,"&lt;&gt;Won't Fix",'Debt Backlog'!$N$2:$N$1000,"&lt;&gt;Duplicate"),2))</f>
        <v/>
      </c>
    </row>
    <row r="411" customFormat="false" ht="15.75" hidden="false" customHeight="true" outlineLevel="0" collapsed="false">
      <c r="A411" s="125"/>
      <c r="B411" s="101"/>
      <c r="C411" s="101"/>
      <c r="D411" s="101"/>
      <c r="E411" s="101"/>
      <c r="F411" s="101"/>
      <c r="G411" s="101"/>
      <c r="H411" s="101"/>
      <c r="I411" s="106"/>
      <c r="J411" s="106"/>
      <c r="K411" s="106"/>
      <c r="L411" s="106"/>
      <c r="M411" s="106"/>
      <c r="N411" s="103" t="str">
        <f aca="false">IF(OR($B411="", $I411="", $J411="", $K411="", $L411="", $M411=""),"",ROUND(($I411*Lists!$AD$2)+($J411*Lists!$AD$3)+($K411*Lists!$AD$4)+($L411*Lists!$AD$5)+($M411*Lists!$AD$6),2))</f>
        <v/>
      </c>
      <c r="O411" s="103" t="str">
        <f aca="false">IF($A411="","",IFERROR(VLOOKUP($A411,'Risk Register'!$B$2:$I$1000,8,FALSE()),""))</f>
        <v/>
      </c>
      <c r="P411" s="106"/>
      <c r="Q411" s="106"/>
      <c r="R411" s="106"/>
      <c r="S411" s="106"/>
      <c r="T411" s="103" t="str">
        <f aca="false">IF(OR($B411="", $P411="", $Q411="", $R411="", $S411=""),"",ROUND(($P411*Lists!$AD$7)+($Q411*Lists!$AD$8)+($R411*Lists!$AD$9)+($S411*Lists!$AD$10),2))</f>
        <v/>
      </c>
      <c r="U411" s="106"/>
      <c r="V411" s="106"/>
      <c r="W411" s="106"/>
      <c r="X411" s="106"/>
      <c r="Y411" s="106"/>
      <c r="Z411" s="103" t="str">
        <f aca="false">IF(OR($B411="", $U411="", $V411="", $W411="", $X411="", $Y411=""),"",ROUND(($U411*Lists!$AD$11)+($V411*Lists!$AD$12)+($W411*Lists!$AD$13)+($X411*Lists!$AD$14)+($Y411*Lists!$AD$15),2))</f>
        <v/>
      </c>
      <c r="AA411" s="103" t="str">
        <f aca="false">IF(OR($B411="", $N411="", $O411="", $T411="", $Z411=""),"",ROUND(($N411*Lists!$AD$16)-($O411*Lists!$AD$17)-($T411*Lists!$AD$18)+($Z411*Lists!$AD$19),2))</f>
        <v/>
      </c>
      <c r="AB411" s="102" t="str">
        <f aca="false">IF(OR($B411="", $N411="", $Z411=""),"",IF($N411&gt;=Lists!$AG$2,IF($Z411&gt;=Lists!$AG$3,"Invest","Migrate"),IF($Z411&gt;=Lists!$AG$3,"Tolerate","Eliminate")))</f>
        <v/>
      </c>
      <c r="AC411" s="102" t="str">
        <f aca="false">IF($B411="","",IF($J411&gt;=4,"Yes",""))</f>
        <v/>
      </c>
      <c r="AD411" s="102" t="str">
        <f aca="false">IF($A411="","",IFERROR(IF(VLOOKUP($A411,'Risk Register'!$B$2:$H$1000,4,FALSE())&gt;=4,"Yes",""),""))</f>
        <v/>
      </c>
      <c r="AE411" s="102" t="str">
        <f aca="false">IF(OR($N411="", $O411=""),"",IF($N411&gt;=Lists!$AG$2,IF($O411&gt;=Lists!$AG$4,"High Value / High Risk","High Value / Low Risk"),IF($O411&gt;=Lists!$AG$4,"Low Value / High Risk","Low Value / Low Risk")))</f>
        <v/>
      </c>
      <c r="AF411" s="101"/>
      <c r="AG411" s="126"/>
      <c r="AH411" s="106" t="str">
        <f aca="false">IF($B411="","",COUNTIFS('Debt Backlog'!$AF$2:$AF$1000,$A411,'Debt Backlog'!$B$2:$B$1000,"&lt;&gt;",'Debt Backlog'!$N$2:$N$1000,"&lt;&gt;Done",'Debt Backlog'!$N$2:$N$1000,"&lt;&gt;Won't Fix",'Debt Backlog'!$N$2:$N$1000,"&lt;&gt;Duplicate"))</f>
        <v/>
      </c>
      <c r="AI411" s="103" t="str">
        <f aca="false">IF($B411="","",ROUND(SUMIFS('Debt Backlog'!$L$2:$L$1000,'Debt Backlog'!$AF$2:$AF$1000,$A411,'Debt Backlog'!$B$2:$B$1000,"&lt;&gt;",'Debt Backlog'!$N$2:$N$1000,"&lt;&gt;Done",'Debt Backlog'!$N$2:$N$1000,"&lt;&gt;Won't Fix",'Debt Backlog'!$N$2:$N$1000,"&lt;&gt;Duplicate"),2))</f>
        <v/>
      </c>
    </row>
    <row r="412" customFormat="false" ht="15.75" hidden="false" customHeight="true" outlineLevel="0" collapsed="false">
      <c r="A412" s="125"/>
      <c r="B412" s="101"/>
      <c r="C412" s="101"/>
      <c r="D412" s="101"/>
      <c r="E412" s="101"/>
      <c r="F412" s="101"/>
      <c r="G412" s="101"/>
      <c r="H412" s="101"/>
      <c r="I412" s="106"/>
      <c r="J412" s="106"/>
      <c r="K412" s="106"/>
      <c r="L412" s="106"/>
      <c r="M412" s="106"/>
      <c r="N412" s="103" t="str">
        <f aca="false">IF(OR($B412="", $I412="", $J412="", $K412="", $L412="", $M412=""),"",ROUND(($I412*Lists!$AD$2)+($J412*Lists!$AD$3)+($K412*Lists!$AD$4)+($L412*Lists!$AD$5)+($M412*Lists!$AD$6),2))</f>
        <v/>
      </c>
      <c r="O412" s="103" t="str">
        <f aca="false">IF($A412="","",IFERROR(VLOOKUP($A412,'Risk Register'!$B$2:$I$1000,8,FALSE()),""))</f>
        <v/>
      </c>
      <c r="P412" s="106"/>
      <c r="Q412" s="106"/>
      <c r="R412" s="106"/>
      <c r="S412" s="106"/>
      <c r="T412" s="103" t="str">
        <f aca="false">IF(OR($B412="", $P412="", $Q412="", $R412="", $S412=""),"",ROUND(($P412*Lists!$AD$7)+($Q412*Lists!$AD$8)+($R412*Lists!$AD$9)+($S412*Lists!$AD$10),2))</f>
        <v/>
      </c>
      <c r="U412" s="106"/>
      <c r="V412" s="106"/>
      <c r="W412" s="106"/>
      <c r="X412" s="106"/>
      <c r="Y412" s="106"/>
      <c r="Z412" s="103" t="str">
        <f aca="false">IF(OR($B412="", $U412="", $V412="", $W412="", $X412="", $Y412=""),"",ROUND(($U412*Lists!$AD$11)+($V412*Lists!$AD$12)+($W412*Lists!$AD$13)+($X412*Lists!$AD$14)+($Y412*Lists!$AD$15),2))</f>
        <v/>
      </c>
      <c r="AA412" s="103" t="str">
        <f aca="false">IF(OR($B412="", $N412="", $O412="", $T412="", $Z412=""),"",ROUND(($N412*Lists!$AD$16)-($O412*Lists!$AD$17)-($T412*Lists!$AD$18)+($Z412*Lists!$AD$19),2))</f>
        <v/>
      </c>
      <c r="AB412" s="102" t="str">
        <f aca="false">IF(OR($B412="", $N412="", $Z412=""),"",IF($N412&gt;=Lists!$AG$2,IF($Z412&gt;=Lists!$AG$3,"Invest","Migrate"),IF($Z412&gt;=Lists!$AG$3,"Tolerate","Eliminate")))</f>
        <v/>
      </c>
      <c r="AC412" s="102" t="str">
        <f aca="false">IF($B412="","",IF($J412&gt;=4,"Yes",""))</f>
        <v/>
      </c>
      <c r="AD412" s="102" t="str">
        <f aca="false">IF($A412="","",IFERROR(IF(VLOOKUP($A412,'Risk Register'!$B$2:$H$1000,4,FALSE())&gt;=4,"Yes",""),""))</f>
        <v/>
      </c>
      <c r="AE412" s="102" t="str">
        <f aca="false">IF(OR($N412="", $O412=""),"",IF($N412&gt;=Lists!$AG$2,IF($O412&gt;=Lists!$AG$4,"High Value / High Risk","High Value / Low Risk"),IF($O412&gt;=Lists!$AG$4,"Low Value / High Risk","Low Value / Low Risk")))</f>
        <v/>
      </c>
      <c r="AF412" s="101"/>
      <c r="AG412" s="126"/>
      <c r="AH412" s="106" t="str">
        <f aca="false">IF($B412="","",COUNTIFS('Debt Backlog'!$AF$2:$AF$1000,$A412,'Debt Backlog'!$B$2:$B$1000,"&lt;&gt;",'Debt Backlog'!$N$2:$N$1000,"&lt;&gt;Done",'Debt Backlog'!$N$2:$N$1000,"&lt;&gt;Won't Fix",'Debt Backlog'!$N$2:$N$1000,"&lt;&gt;Duplicate"))</f>
        <v/>
      </c>
      <c r="AI412" s="103" t="str">
        <f aca="false">IF($B412="","",ROUND(SUMIFS('Debt Backlog'!$L$2:$L$1000,'Debt Backlog'!$AF$2:$AF$1000,$A412,'Debt Backlog'!$B$2:$B$1000,"&lt;&gt;",'Debt Backlog'!$N$2:$N$1000,"&lt;&gt;Done",'Debt Backlog'!$N$2:$N$1000,"&lt;&gt;Won't Fix",'Debt Backlog'!$N$2:$N$1000,"&lt;&gt;Duplicate"),2))</f>
        <v/>
      </c>
    </row>
    <row r="413" customFormat="false" ht="15.75" hidden="false" customHeight="true" outlineLevel="0" collapsed="false">
      <c r="A413" s="125"/>
      <c r="B413" s="101"/>
      <c r="C413" s="101"/>
      <c r="D413" s="101"/>
      <c r="E413" s="101"/>
      <c r="F413" s="101"/>
      <c r="G413" s="101"/>
      <c r="H413" s="101"/>
      <c r="I413" s="106"/>
      <c r="J413" s="106"/>
      <c r="K413" s="106"/>
      <c r="L413" s="106"/>
      <c r="M413" s="106"/>
      <c r="N413" s="103" t="str">
        <f aca="false">IF(OR($B413="", $I413="", $J413="", $K413="", $L413="", $M413=""),"",ROUND(($I413*Lists!$AD$2)+($J413*Lists!$AD$3)+($K413*Lists!$AD$4)+($L413*Lists!$AD$5)+($M413*Lists!$AD$6),2))</f>
        <v/>
      </c>
      <c r="O413" s="103" t="str">
        <f aca="false">IF($A413="","",IFERROR(VLOOKUP($A413,'Risk Register'!$B$2:$I$1000,8,FALSE()),""))</f>
        <v/>
      </c>
      <c r="P413" s="106"/>
      <c r="Q413" s="106"/>
      <c r="R413" s="106"/>
      <c r="S413" s="106"/>
      <c r="T413" s="103" t="str">
        <f aca="false">IF(OR($B413="", $P413="", $Q413="", $R413="", $S413=""),"",ROUND(($P413*Lists!$AD$7)+($Q413*Lists!$AD$8)+($R413*Lists!$AD$9)+($S413*Lists!$AD$10),2))</f>
        <v/>
      </c>
      <c r="U413" s="106"/>
      <c r="V413" s="106"/>
      <c r="W413" s="106"/>
      <c r="X413" s="106"/>
      <c r="Y413" s="106"/>
      <c r="Z413" s="103" t="str">
        <f aca="false">IF(OR($B413="", $U413="", $V413="", $W413="", $X413="", $Y413=""),"",ROUND(($U413*Lists!$AD$11)+($V413*Lists!$AD$12)+($W413*Lists!$AD$13)+($X413*Lists!$AD$14)+($Y413*Lists!$AD$15),2))</f>
        <v/>
      </c>
      <c r="AA413" s="103" t="str">
        <f aca="false">IF(OR($B413="", $N413="", $O413="", $T413="", $Z413=""),"",ROUND(($N413*Lists!$AD$16)-($O413*Lists!$AD$17)-($T413*Lists!$AD$18)+($Z413*Lists!$AD$19),2))</f>
        <v/>
      </c>
      <c r="AB413" s="102" t="str">
        <f aca="false">IF(OR($B413="", $N413="", $Z413=""),"",IF($N413&gt;=Lists!$AG$2,IF($Z413&gt;=Lists!$AG$3,"Invest","Migrate"),IF($Z413&gt;=Lists!$AG$3,"Tolerate","Eliminate")))</f>
        <v/>
      </c>
      <c r="AC413" s="102" t="str">
        <f aca="false">IF($B413="","",IF($J413&gt;=4,"Yes",""))</f>
        <v/>
      </c>
      <c r="AD413" s="102" t="str">
        <f aca="false">IF($A413="","",IFERROR(IF(VLOOKUP($A413,'Risk Register'!$B$2:$H$1000,4,FALSE())&gt;=4,"Yes",""),""))</f>
        <v/>
      </c>
      <c r="AE413" s="102" t="str">
        <f aca="false">IF(OR($N413="", $O413=""),"",IF($N413&gt;=Lists!$AG$2,IF($O413&gt;=Lists!$AG$4,"High Value / High Risk","High Value / Low Risk"),IF($O413&gt;=Lists!$AG$4,"Low Value / High Risk","Low Value / Low Risk")))</f>
        <v/>
      </c>
      <c r="AF413" s="101"/>
      <c r="AG413" s="126"/>
      <c r="AH413" s="106" t="str">
        <f aca="false">IF($B413="","",COUNTIFS('Debt Backlog'!$AF$2:$AF$1000,$A413,'Debt Backlog'!$B$2:$B$1000,"&lt;&gt;",'Debt Backlog'!$N$2:$N$1000,"&lt;&gt;Done",'Debt Backlog'!$N$2:$N$1000,"&lt;&gt;Won't Fix",'Debt Backlog'!$N$2:$N$1000,"&lt;&gt;Duplicate"))</f>
        <v/>
      </c>
      <c r="AI413" s="103" t="str">
        <f aca="false">IF($B413="","",ROUND(SUMIFS('Debt Backlog'!$L$2:$L$1000,'Debt Backlog'!$AF$2:$AF$1000,$A413,'Debt Backlog'!$B$2:$B$1000,"&lt;&gt;",'Debt Backlog'!$N$2:$N$1000,"&lt;&gt;Done",'Debt Backlog'!$N$2:$N$1000,"&lt;&gt;Won't Fix",'Debt Backlog'!$N$2:$N$1000,"&lt;&gt;Duplicate"),2))</f>
        <v/>
      </c>
    </row>
    <row r="414" customFormat="false" ht="15.75" hidden="false" customHeight="true" outlineLevel="0" collapsed="false">
      <c r="A414" s="125"/>
      <c r="B414" s="101"/>
      <c r="C414" s="101"/>
      <c r="D414" s="101"/>
      <c r="E414" s="101"/>
      <c r="F414" s="101"/>
      <c r="G414" s="101"/>
      <c r="H414" s="101"/>
      <c r="I414" s="106"/>
      <c r="J414" s="106"/>
      <c r="K414" s="106"/>
      <c r="L414" s="106"/>
      <c r="M414" s="106"/>
      <c r="N414" s="103" t="str">
        <f aca="false">IF(OR($B414="", $I414="", $J414="", $K414="", $L414="", $M414=""),"",ROUND(($I414*Lists!$AD$2)+($J414*Lists!$AD$3)+($K414*Lists!$AD$4)+($L414*Lists!$AD$5)+($M414*Lists!$AD$6),2))</f>
        <v/>
      </c>
      <c r="O414" s="103" t="str">
        <f aca="false">IF($A414="","",IFERROR(VLOOKUP($A414,'Risk Register'!$B$2:$I$1000,8,FALSE()),""))</f>
        <v/>
      </c>
      <c r="P414" s="106"/>
      <c r="Q414" s="106"/>
      <c r="R414" s="106"/>
      <c r="S414" s="106"/>
      <c r="T414" s="103" t="str">
        <f aca="false">IF(OR($B414="", $P414="", $Q414="", $R414="", $S414=""),"",ROUND(($P414*Lists!$AD$7)+($Q414*Lists!$AD$8)+($R414*Lists!$AD$9)+($S414*Lists!$AD$10),2))</f>
        <v/>
      </c>
      <c r="U414" s="106"/>
      <c r="V414" s="106"/>
      <c r="W414" s="106"/>
      <c r="X414" s="106"/>
      <c r="Y414" s="106"/>
      <c r="Z414" s="103" t="str">
        <f aca="false">IF(OR($B414="", $U414="", $V414="", $W414="", $X414="", $Y414=""),"",ROUND(($U414*Lists!$AD$11)+($V414*Lists!$AD$12)+($W414*Lists!$AD$13)+($X414*Lists!$AD$14)+($Y414*Lists!$AD$15),2))</f>
        <v/>
      </c>
      <c r="AA414" s="103" t="str">
        <f aca="false">IF(OR($B414="", $N414="", $O414="", $T414="", $Z414=""),"",ROUND(($N414*Lists!$AD$16)-($O414*Lists!$AD$17)-($T414*Lists!$AD$18)+($Z414*Lists!$AD$19),2))</f>
        <v/>
      </c>
      <c r="AB414" s="102" t="str">
        <f aca="false">IF(OR($B414="", $N414="", $Z414=""),"",IF($N414&gt;=Lists!$AG$2,IF($Z414&gt;=Lists!$AG$3,"Invest","Migrate"),IF($Z414&gt;=Lists!$AG$3,"Tolerate","Eliminate")))</f>
        <v/>
      </c>
      <c r="AC414" s="102" t="str">
        <f aca="false">IF($B414="","",IF($J414&gt;=4,"Yes",""))</f>
        <v/>
      </c>
      <c r="AD414" s="102" t="str">
        <f aca="false">IF($A414="","",IFERROR(IF(VLOOKUP($A414,'Risk Register'!$B$2:$H$1000,4,FALSE())&gt;=4,"Yes",""),""))</f>
        <v/>
      </c>
      <c r="AE414" s="102" t="str">
        <f aca="false">IF(OR($N414="", $O414=""),"",IF($N414&gt;=Lists!$AG$2,IF($O414&gt;=Lists!$AG$4,"High Value / High Risk","High Value / Low Risk"),IF($O414&gt;=Lists!$AG$4,"Low Value / High Risk","Low Value / Low Risk")))</f>
        <v/>
      </c>
      <c r="AF414" s="101"/>
      <c r="AG414" s="126"/>
      <c r="AH414" s="106" t="str">
        <f aca="false">IF($B414="","",COUNTIFS('Debt Backlog'!$AF$2:$AF$1000,$A414,'Debt Backlog'!$B$2:$B$1000,"&lt;&gt;",'Debt Backlog'!$N$2:$N$1000,"&lt;&gt;Done",'Debt Backlog'!$N$2:$N$1000,"&lt;&gt;Won't Fix",'Debt Backlog'!$N$2:$N$1000,"&lt;&gt;Duplicate"))</f>
        <v/>
      </c>
      <c r="AI414" s="103" t="str">
        <f aca="false">IF($B414="","",ROUND(SUMIFS('Debt Backlog'!$L$2:$L$1000,'Debt Backlog'!$AF$2:$AF$1000,$A414,'Debt Backlog'!$B$2:$B$1000,"&lt;&gt;",'Debt Backlog'!$N$2:$N$1000,"&lt;&gt;Done",'Debt Backlog'!$N$2:$N$1000,"&lt;&gt;Won't Fix",'Debt Backlog'!$N$2:$N$1000,"&lt;&gt;Duplicate"),2))</f>
        <v/>
      </c>
    </row>
    <row r="415" customFormat="false" ht="15.75" hidden="false" customHeight="true" outlineLevel="0" collapsed="false">
      <c r="A415" s="125"/>
      <c r="B415" s="101"/>
      <c r="C415" s="101"/>
      <c r="D415" s="101"/>
      <c r="E415" s="101"/>
      <c r="F415" s="101"/>
      <c r="G415" s="101"/>
      <c r="H415" s="101"/>
      <c r="I415" s="106"/>
      <c r="J415" s="106"/>
      <c r="K415" s="106"/>
      <c r="L415" s="106"/>
      <c r="M415" s="106"/>
      <c r="N415" s="103" t="str">
        <f aca="false">IF(OR($B415="", $I415="", $J415="", $K415="", $L415="", $M415=""),"",ROUND(($I415*Lists!$AD$2)+($J415*Lists!$AD$3)+($K415*Lists!$AD$4)+($L415*Lists!$AD$5)+($M415*Lists!$AD$6),2))</f>
        <v/>
      </c>
      <c r="O415" s="103" t="str">
        <f aca="false">IF($A415="","",IFERROR(VLOOKUP($A415,'Risk Register'!$B$2:$I$1000,8,FALSE()),""))</f>
        <v/>
      </c>
      <c r="P415" s="106"/>
      <c r="Q415" s="106"/>
      <c r="R415" s="106"/>
      <c r="S415" s="106"/>
      <c r="T415" s="103" t="str">
        <f aca="false">IF(OR($B415="", $P415="", $Q415="", $R415="", $S415=""),"",ROUND(($P415*Lists!$AD$7)+($Q415*Lists!$AD$8)+($R415*Lists!$AD$9)+($S415*Lists!$AD$10),2))</f>
        <v/>
      </c>
      <c r="U415" s="106"/>
      <c r="V415" s="106"/>
      <c r="W415" s="106"/>
      <c r="X415" s="106"/>
      <c r="Y415" s="106"/>
      <c r="Z415" s="103" t="str">
        <f aca="false">IF(OR($B415="", $U415="", $V415="", $W415="", $X415="", $Y415=""),"",ROUND(($U415*Lists!$AD$11)+($V415*Lists!$AD$12)+($W415*Lists!$AD$13)+($X415*Lists!$AD$14)+($Y415*Lists!$AD$15),2))</f>
        <v/>
      </c>
      <c r="AA415" s="103" t="str">
        <f aca="false">IF(OR($B415="", $N415="", $O415="", $T415="", $Z415=""),"",ROUND(($N415*Lists!$AD$16)-($O415*Lists!$AD$17)-($T415*Lists!$AD$18)+($Z415*Lists!$AD$19),2))</f>
        <v/>
      </c>
      <c r="AB415" s="102" t="str">
        <f aca="false">IF(OR($B415="", $N415="", $Z415=""),"",IF($N415&gt;=Lists!$AG$2,IF($Z415&gt;=Lists!$AG$3,"Invest","Migrate"),IF($Z415&gt;=Lists!$AG$3,"Tolerate","Eliminate")))</f>
        <v/>
      </c>
      <c r="AC415" s="102" t="str">
        <f aca="false">IF($B415="","",IF($J415&gt;=4,"Yes",""))</f>
        <v/>
      </c>
      <c r="AD415" s="102" t="str">
        <f aca="false">IF($A415="","",IFERROR(IF(VLOOKUP($A415,'Risk Register'!$B$2:$H$1000,4,FALSE())&gt;=4,"Yes",""),""))</f>
        <v/>
      </c>
      <c r="AE415" s="102" t="str">
        <f aca="false">IF(OR($N415="", $O415=""),"",IF($N415&gt;=Lists!$AG$2,IF($O415&gt;=Lists!$AG$4,"High Value / High Risk","High Value / Low Risk"),IF($O415&gt;=Lists!$AG$4,"Low Value / High Risk","Low Value / Low Risk")))</f>
        <v/>
      </c>
      <c r="AF415" s="101"/>
      <c r="AG415" s="126"/>
      <c r="AH415" s="106" t="str">
        <f aca="false">IF($B415="","",COUNTIFS('Debt Backlog'!$AF$2:$AF$1000,$A415,'Debt Backlog'!$B$2:$B$1000,"&lt;&gt;",'Debt Backlog'!$N$2:$N$1000,"&lt;&gt;Done",'Debt Backlog'!$N$2:$N$1000,"&lt;&gt;Won't Fix",'Debt Backlog'!$N$2:$N$1000,"&lt;&gt;Duplicate"))</f>
        <v/>
      </c>
      <c r="AI415" s="103" t="str">
        <f aca="false">IF($B415="","",ROUND(SUMIFS('Debt Backlog'!$L$2:$L$1000,'Debt Backlog'!$AF$2:$AF$1000,$A415,'Debt Backlog'!$B$2:$B$1000,"&lt;&gt;",'Debt Backlog'!$N$2:$N$1000,"&lt;&gt;Done",'Debt Backlog'!$N$2:$N$1000,"&lt;&gt;Won't Fix",'Debt Backlog'!$N$2:$N$1000,"&lt;&gt;Duplicate"),2))</f>
        <v/>
      </c>
    </row>
    <row r="416" customFormat="false" ht="15.75" hidden="false" customHeight="true" outlineLevel="0" collapsed="false">
      <c r="A416" s="125"/>
      <c r="B416" s="101"/>
      <c r="C416" s="101"/>
      <c r="D416" s="101"/>
      <c r="E416" s="101"/>
      <c r="F416" s="101"/>
      <c r="G416" s="101"/>
      <c r="H416" s="101"/>
      <c r="I416" s="106"/>
      <c r="J416" s="106"/>
      <c r="K416" s="106"/>
      <c r="L416" s="106"/>
      <c r="M416" s="106"/>
      <c r="N416" s="103" t="str">
        <f aca="false">IF(OR($B416="", $I416="", $J416="", $K416="", $L416="", $M416=""),"",ROUND(($I416*Lists!$AD$2)+($J416*Lists!$AD$3)+($K416*Lists!$AD$4)+($L416*Lists!$AD$5)+($M416*Lists!$AD$6),2))</f>
        <v/>
      </c>
      <c r="O416" s="103" t="str">
        <f aca="false">IF($A416="","",IFERROR(VLOOKUP($A416,'Risk Register'!$B$2:$I$1000,8,FALSE()),""))</f>
        <v/>
      </c>
      <c r="P416" s="106"/>
      <c r="Q416" s="106"/>
      <c r="R416" s="106"/>
      <c r="S416" s="106"/>
      <c r="T416" s="103" t="str">
        <f aca="false">IF(OR($B416="", $P416="", $Q416="", $R416="", $S416=""),"",ROUND(($P416*Lists!$AD$7)+($Q416*Lists!$AD$8)+($R416*Lists!$AD$9)+($S416*Lists!$AD$10),2))</f>
        <v/>
      </c>
      <c r="U416" s="106"/>
      <c r="V416" s="106"/>
      <c r="W416" s="106"/>
      <c r="X416" s="106"/>
      <c r="Y416" s="106"/>
      <c r="Z416" s="103" t="str">
        <f aca="false">IF(OR($B416="", $U416="", $V416="", $W416="", $X416="", $Y416=""),"",ROUND(($U416*Lists!$AD$11)+($V416*Lists!$AD$12)+($W416*Lists!$AD$13)+($X416*Lists!$AD$14)+($Y416*Lists!$AD$15),2))</f>
        <v/>
      </c>
      <c r="AA416" s="103" t="str">
        <f aca="false">IF(OR($B416="", $N416="", $O416="", $T416="", $Z416=""),"",ROUND(($N416*Lists!$AD$16)-($O416*Lists!$AD$17)-($T416*Lists!$AD$18)+($Z416*Lists!$AD$19),2))</f>
        <v/>
      </c>
      <c r="AB416" s="102" t="str">
        <f aca="false">IF(OR($B416="", $N416="", $Z416=""),"",IF($N416&gt;=Lists!$AG$2,IF($Z416&gt;=Lists!$AG$3,"Invest","Migrate"),IF($Z416&gt;=Lists!$AG$3,"Tolerate","Eliminate")))</f>
        <v/>
      </c>
      <c r="AC416" s="102" t="str">
        <f aca="false">IF($B416="","",IF($J416&gt;=4,"Yes",""))</f>
        <v/>
      </c>
      <c r="AD416" s="102" t="str">
        <f aca="false">IF($A416="","",IFERROR(IF(VLOOKUP($A416,'Risk Register'!$B$2:$H$1000,4,FALSE())&gt;=4,"Yes",""),""))</f>
        <v/>
      </c>
      <c r="AE416" s="102" t="str">
        <f aca="false">IF(OR($N416="", $O416=""),"",IF($N416&gt;=Lists!$AG$2,IF($O416&gt;=Lists!$AG$4,"High Value / High Risk","High Value / Low Risk"),IF($O416&gt;=Lists!$AG$4,"Low Value / High Risk","Low Value / Low Risk")))</f>
        <v/>
      </c>
      <c r="AF416" s="101"/>
      <c r="AG416" s="126"/>
      <c r="AH416" s="106" t="str">
        <f aca="false">IF($B416="","",COUNTIFS('Debt Backlog'!$AF$2:$AF$1000,$A416,'Debt Backlog'!$B$2:$B$1000,"&lt;&gt;",'Debt Backlog'!$N$2:$N$1000,"&lt;&gt;Done",'Debt Backlog'!$N$2:$N$1000,"&lt;&gt;Won't Fix",'Debt Backlog'!$N$2:$N$1000,"&lt;&gt;Duplicate"))</f>
        <v/>
      </c>
      <c r="AI416" s="103" t="str">
        <f aca="false">IF($B416="","",ROUND(SUMIFS('Debt Backlog'!$L$2:$L$1000,'Debt Backlog'!$AF$2:$AF$1000,$A416,'Debt Backlog'!$B$2:$B$1000,"&lt;&gt;",'Debt Backlog'!$N$2:$N$1000,"&lt;&gt;Done",'Debt Backlog'!$N$2:$N$1000,"&lt;&gt;Won't Fix",'Debt Backlog'!$N$2:$N$1000,"&lt;&gt;Duplicate"),2))</f>
        <v/>
      </c>
    </row>
    <row r="417" customFormat="false" ht="15.75" hidden="false" customHeight="true" outlineLevel="0" collapsed="false">
      <c r="A417" s="125"/>
      <c r="B417" s="101"/>
      <c r="C417" s="101"/>
      <c r="D417" s="101"/>
      <c r="E417" s="101"/>
      <c r="F417" s="101"/>
      <c r="G417" s="101"/>
      <c r="H417" s="101"/>
      <c r="I417" s="106"/>
      <c r="J417" s="106"/>
      <c r="K417" s="106"/>
      <c r="L417" s="106"/>
      <c r="M417" s="106"/>
      <c r="N417" s="103" t="str">
        <f aca="false">IF(OR($B417="", $I417="", $J417="", $K417="", $L417="", $M417=""),"",ROUND(($I417*Lists!$AD$2)+($J417*Lists!$AD$3)+($K417*Lists!$AD$4)+($L417*Lists!$AD$5)+($M417*Lists!$AD$6),2))</f>
        <v/>
      </c>
      <c r="O417" s="103" t="str">
        <f aca="false">IF($A417="","",IFERROR(VLOOKUP($A417,'Risk Register'!$B$2:$I$1000,8,FALSE()),""))</f>
        <v/>
      </c>
      <c r="P417" s="106"/>
      <c r="Q417" s="106"/>
      <c r="R417" s="106"/>
      <c r="S417" s="106"/>
      <c r="T417" s="103" t="str">
        <f aca="false">IF(OR($B417="", $P417="", $Q417="", $R417="", $S417=""),"",ROUND(($P417*Lists!$AD$7)+($Q417*Lists!$AD$8)+($R417*Lists!$AD$9)+($S417*Lists!$AD$10),2))</f>
        <v/>
      </c>
      <c r="U417" s="106"/>
      <c r="V417" s="106"/>
      <c r="W417" s="106"/>
      <c r="X417" s="106"/>
      <c r="Y417" s="106"/>
      <c r="Z417" s="103" t="str">
        <f aca="false">IF(OR($B417="", $U417="", $V417="", $W417="", $X417="", $Y417=""),"",ROUND(($U417*Lists!$AD$11)+($V417*Lists!$AD$12)+($W417*Lists!$AD$13)+($X417*Lists!$AD$14)+($Y417*Lists!$AD$15),2))</f>
        <v/>
      </c>
      <c r="AA417" s="103" t="str">
        <f aca="false">IF(OR($B417="", $N417="", $O417="", $T417="", $Z417=""),"",ROUND(($N417*Lists!$AD$16)-($O417*Lists!$AD$17)-($T417*Lists!$AD$18)+($Z417*Lists!$AD$19),2))</f>
        <v/>
      </c>
      <c r="AB417" s="102" t="str">
        <f aca="false">IF(OR($B417="", $N417="", $Z417=""),"",IF($N417&gt;=Lists!$AG$2,IF($Z417&gt;=Lists!$AG$3,"Invest","Migrate"),IF($Z417&gt;=Lists!$AG$3,"Tolerate","Eliminate")))</f>
        <v/>
      </c>
      <c r="AC417" s="102" t="str">
        <f aca="false">IF($B417="","",IF($J417&gt;=4,"Yes",""))</f>
        <v/>
      </c>
      <c r="AD417" s="102" t="str">
        <f aca="false">IF($A417="","",IFERROR(IF(VLOOKUP($A417,'Risk Register'!$B$2:$H$1000,4,FALSE())&gt;=4,"Yes",""),""))</f>
        <v/>
      </c>
      <c r="AE417" s="102" t="str">
        <f aca="false">IF(OR($N417="", $O417=""),"",IF($N417&gt;=Lists!$AG$2,IF($O417&gt;=Lists!$AG$4,"High Value / High Risk","High Value / Low Risk"),IF($O417&gt;=Lists!$AG$4,"Low Value / High Risk","Low Value / Low Risk")))</f>
        <v/>
      </c>
      <c r="AF417" s="101"/>
      <c r="AG417" s="126"/>
      <c r="AH417" s="106" t="str">
        <f aca="false">IF($B417="","",COUNTIFS('Debt Backlog'!$AF$2:$AF$1000,$A417,'Debt Backlog'!$B$2:$B$1000,"&lt;&gt;",'Debt Backlog'!$N$2:$N$1000,"&lt;&gt;Done",'Debt Backlog'!$N$2:$N$1000,"&lt;&gt;Won't Fix",'Debt Backlog'!$N$2:$N$1000,"&lt;&gt;Duplicate"))</f>
        <v/>
      </c>
      <c r="AI417" s="103" t="str">
        <f aca="false">IF($B417="","",ROUND(SUMIFS('Debt Backlog'!$L$2:$L$1000,'Debt Backlog'!$AF$2:$AF$1000,$A417,'Debt Backlog'!$B$2:$B$1000,"&lt;&gt;",'Debt Backlog'!$N$2:$N$1000,"&lt;&gt;Done",'Debt Backlog'!$N$2:$N$1000,"&lt;&gt;Won't Fix",'Debt Backlog'!$N$2:$N$1000,"&lt;&gt;Duplicate"),2))</f>
        <v/>
      </c>
    </row>
    <row r="418" customFormat="false" ht="15.75" hidden="false" customHeight="true" outlineLevel="0" collapsed="false">
      <c r="A418" s="125"/>
      <c r="B418" s="101"/>
      <c r="C418" s="101"/>
      <c r="D418" s="101"/>
      <c r="E418" s="101"/>
      <c r="F418" s="101"/>
      <c r="G418" s="101"/>
      <c r="H418" s="101"/>
      <c r="I418" s="106"/>
      <c r="J418" s="106"/>
      <c r="K418" s="106"/>
      <c r="L418" s="106"/>
      <c r="M418" s="106"/>
      <c r="N418" s="103" t="str">
        <f aca="false">IF(OR($B418="", $I418="", $J418="", $K418="", $L418="", $M418=""),"",ROUND(($I418*Lists!$AD$2)+($J418*Lists!$AD$3)+($K418*Lists!$AD$4)+($L418*Lists!$AD$5)+($M418*Lists!$AD$6),2))</f>
        <v/>
      </c>
      <c r="O418" s="103" t="str">
        <f aca="false">IF($A418="","",IFERROR(VLOOKUP($A418,'Risk Register'!$B$2:$I$1000,8,FALSE()),""))</f>
        <v/>
      </c>
      <c r="P418" s="106"/>
      <c r="Q418" s="106"/>
      <c r="R418" s="106"/>
      <c r="S418" s="106"/>
      <c r="T418" s="103" t="str">
        <f aca="false">IF(OR($B418="", $P418="", $Q418="", $R418="", $S418=""),"",ROUND(($P418*Lists!$AD$7)+($Q418*Lists!$AD$8)+($R418*Lists!$AD$9)+($S418*Lists!$AD$10),2))</f>
        <v/>
      </c>
      <c r="U418" s="106"/>
      <c r="V418" s="106"/>
      <c r="W418" s="106"/>
      <c r="X418" s="106"/>
      <c r="Y418" s="106"/>
      <c r="Z418" s="103" t="str">
        <f aca="false">IF(OR($B418="", $U418="", $V418="", $W418="", $X418="", $Y418=""),"",ROUND(($U418*Lists!$AD$11)+($V418*Lists!$AD$12)+($W418*Lists!$AD$13)+($X418*Lists!$AD$14)+($Y418*Lists!$AD$15),2))</f>
        <v/>
      </c>
      <c r="AA418" s="103" t="str">
        <f aca="false">IF(OR($B418="", $N418="", $O418="", $T418="", $Z418=""),"",ROUND(($N418*Lists!$AD$16)-($O418*Lists!$AD$17)-($T418*Lists!$AD$18)+($Z418*Lists!$AD$19),2))</f>
        <v/>
      </c>
      <c r="AB418" s="102" t="str">
        <f aca="false">IF(OR($B418="", $N418="", $Z418=""),"",IF($N418&gt;=Lists!$AG$2,IF($Z418&gt;=Lists!$AG$3,"Invest","Migrate"),IF($Z418&gt;=Lists!$AG$3,"Tolerate","Eliminate")))</f>
        <v/>
      </c>
      <c r="AC418" s="102" t="str">
        <f aca="false">IF($B418="","",IF($J418&gt;=4,"Yes",""))</f>
        <v/>
      </c>
      <c r="AD418" s="102" t="str">
        <f aca="false">IF($A418="","",IFERROR(IF(VLOOKUP($A418,'Risk Register'!$B$2:$H$1000,4,FALSE())&gt;=4,"Yes",""),""))</f>
        <v/>
      </c>
      <c r="AE418" s="102" t="str">
        <f aca="false">IF(OR($N418="", $O418=""),"",IF($N418&gt;=Lists!$AG$2,IF($O418&gt;=Lists!$AG$4,"High Value / High Risk","High Value / Low Risk"),IF($O418&gt;=Lists!$AG$4,"Low Value / High Risk","Low Value / Low Risk")))</f>
        <v/>
      </c>
      <c r="AF418" s="101"/>
      <c r="AG418" s="126"/>
      <c r="AH418" s="106" t="str">
        <f aca="false">IF($B418="","",COUNTIFS('Debt Backlog'!$AF$2:$AF$1000,$A418,'Debt Backlog'!$B$2:$B$1000,"&lt;&gt;",'Debt Backlog'!$N$2:$N$1000,"&lt;&gt;Done",'Debt Backlog'!$N$2:$N$1000,"&lt;&gt;Won't Fix",'Debt Backlog'!$N$2:$N$1000,"&lt;&gt;Duplicate"))</f>
        <v/>
      </c>
      <c r="AI418" s="103" t="str">
        <f aca="false">IF($B418="","",ROUND(SUMIFS('Debt Backlog'!$L$2:$L$1000,'Debt Backlog'!$AF$2:$AF$1000,$A418,'Debt Backlog'!$B$2:$B$1000,"&lt;&gt;",'Debt Backlog'!$N$2:$N$1000,"&lt;&gt;Done",'Debt Backlog'!$N$2:$N$1000,"&lt;&gt;Won't Fix",'Debt Backlog'!$N$2:$N$1000,"&lt;&gt;Duplicate"),2))</f>
        <v/>
      </c>
    </row>
    <row r="419" customFormat="false" ht="15.75" hidden="false" customHeight="true" outlineLevel="0" collapsed="false">
      <c r="A419" s="125"/>
      <c r="B419" s="101"/>
      <c r="C419" s="101"/>
      <c r="D419" s="101"/>
      <c r="E419" s="101"/>
      <c r="F419" s="101"/>
      <c r="G419" s="101"/>
      <c r="H419" s="101"/>
      <c r="I419" s="106"/>
      <c r="J419" s="106"/>
      <c r="K419" s="106"/>
      <c r="L419" s="106"/>
      <c r="M419" s="106"/>
      <c r="N419" s="103" t="str">
        <f aca="false">IF(OR($B419="", $I419="", $J419="", $K419="", $L419="", $M419=""),"",ROUND(($I419*Lists!$AD$2)+($J419*Lists!$AD$3)+($K419*Lists!$AD$4)+($L419*Lists!$AD$5)+($M419*Lists!$AD$6),2))</f>
        <v/>
      </c>
      <c r="O419" s="103" t="str">
        <f aca="false">IF($A419="","",IFERROR(VLOOKUP($A419,'Risk Register'!$B$2:$I$1000,8,FALSE()),""))</f>
        <v/>
      </c>
      <c r="P419" s="106"/>
      <c r="Q419" s="106"/>
      <c r="R419" s="106"/>
      <c r="S419" s="106"/>
      <c r="T419" s="103" t="str">
        <f aca="false">IF(OR($B419="", $P419="", $Q419="", $R419="", $S419=""),"",ROUND(($P419*Lists!$AD$7)+($Q419*Lists!$AD$8)+($R419*Lists!$AD$9)+($S419*Lists!$AD$10),2))</f>
        <v/>
      </c>
      <c r="U419" s="106"/>
      <c r="V419" s="106"/>
      <c r="W419" s="106"/>
      <c r="X419" s="106"/>
      <c r="Y419" s="106"/>
      <c r="Z419" s="103" t="str">
        <f aca="false">IF(OR($B419="", $U419="", $V419="", $W419="", $X419="", $Y419=""),"",ROUND(($U419*Lists!$AD$11)+($V419*Lists!$AD$12)+($W419*Lists!$AD$13)+($X419*Lists!$AD$14)+($Y419*Lists!$AD$15),2))</f>
        <v/>
      </c>
      <c r="AA419" s="103" t="str">
        <f aca="false">IF(OR($B419="", $N419="", $O419="", $T419="", $Z419=""),"",ROUND(($N419*Lists!$AD$16)-($O419*Lists!$AD$17)-($T419*Lists!$AD$18)+($Z419*Lists!$AD$19),2))</f>
        <v/>
      </c>
      <c r="AB419" s="102" t="str">
        <f aca="false">IF(OR($B419="", $N419="", $Z419=""),"",IF($N419&gt;=Lists!$AG$2,IF($Z419&gt;=Lists!$AG$3,"Invest","Migrate"),IF($Z419&gt;=Lists!$AG$3,"Tolerate","Eliminate")))</f>
        <v/>
      </c>
      <c r="AC419" s="102" t="str">
        <f aca="false">IF($B419="","",IF($J419&gt;=4,"Yes",""))</f>
        <v/>
      </c>
      <c r="AD419" s="102" t="str">
        <f aca="false">IF($A419="","",IFERROR(IF(VLOOKUP($A419,'Risk Register'!$B$2:$H$1000,4,FALSE())&gt;=4,"Yes",""),""))</f>
        <v/>
      </c>
      <c r="AE419" s="102" t="str">
        <f aca="false">IF(OR($N419="", $O419=""),"",IF($N419&gt;=Lists!$AG$2,IF($O419&gt;=Lists!$AG$4,"High Value / High Risk","High Value / Low Risk"),IF($O419&gt;=Lists!$AG$4,"Low Value / High Risk","Low Value / Low Risk")))</f>
        <v/>
      </c>
      <c r="AF419" s="101"/>
      <c r="AG419" s="126"/>
      <c r="AH419" s="106" t="str">
        <f aca="false">IF($B419="","",COUNTIFS('Debt Backlog'!$AF$2:$AF$1000,$A419,'Debt Backlog'!$B$2:$B$1000,"&lt;&gt;",'Debt Backlog'!$N$2:$N$1000,"&lt;&gt;Done",'Debt Backlog'!$N$2:$N$1000,"&lt;&gt;Won't Fix",'Debt Backlog'!$N$2:$N$1000,"&lt;&gt;Duplicate"))</f>
        <v/>
      </c>
      <c r="AI419" s="103" t="str">
        <f aca="false">IF($B419="","",ROUND(SUMIFS('Debt Backlog'!$L$2:$L$1000,'Debt Backlog'!$AF$2:$AF$1000,$A419,'Debt Backlog'!$B$2:$B$1000,"&lt;&gt;",'Debt Backlog'!$N$2:$N$1000,"&lt;&gt;Done",'Debt Backlog'!$N$2:$N$1000,"&lt;&gt;Won't Fix",'Debt Backlog'!$N$2:$N$1000,"&lt;&gt;Duplicate"),2))</f>
        <v/>
      </c>
    </row>
    <row r="420" customFormat="false" ht="15.75" hidden="false" customHeight="true" outlineLevel="0" collapsed="false">
      <c r="A420" s="125"/>
      <c r="B420" s="101"/>
      <c r="C420" s="101"/>
      <c r="D420" s="101"/>
      <c r="E420" s="101"/>
      <c r="F420" s="101"/>
      <c r="G420" s="101"/>
      <c r="H420" s="101"/>
      <c r="I420" s="106"/>
      <c r="J420" s="106"/>
      <c r="K420" s="106"/>
      <c r="L420" s="106"/>
      <c r="M420" s="106"/>
      <c r="N420" s="103" t="str">
        <f aca="false">IF(OR($B420="", $I420="", $J420="", $K420="", $L420="", $M420=""),"",ROUND(($I420*Lists!$AD$2)+($J420*Lists!$AD$3)+($K420*Lists!$AD$4)+($L420*Lists!$AD$5)+($M420*Lists!$AD$6),2))</f>
        <v/>
      </c>
      <c r="O420" s="103" t="str">
        <f aca="false">IF($A420="","",IFERROR(VLOOKUP($A420,'Risk Register'!$B$2:$I$1000,8,FALSE()),""))</f>
        <v/>
      </c>
      <c r="P420" s="106"/>
      <c r="Q420" s="106"/>
      <c r="R420" s="106"/>
      <c r="S420" s="106"/>
      <c r="T420" s="103" t="str">
        <f aca="false">IF(OR($B420="", $P420="", $Q420="", $R420="", $S420=""),"",ROUND(($P420*Lists!$AD$7)+($Q420*Lists!$AD$8)+($R420*Lists!$AD$9)+($S420*Lists!$AD$10),2))</f>
        <v/>
      </c>
      <c r="U420" s="106"/>
      <c r="V420" s="106"/>
      <c r="W420" s="106"/>
      <c r="X420" s="106"/>
      <c r="Y420" s="106"/>
      <c r="Z420" s="103" t="str">
        <f aca="false">IF(OR($B420="", $U420="", $V420="", $W420="", $X420="", $Y420=""),"",ROUND(($U420*Lists!$AD$11)+($V420*Lists!$AD$12)+($W420*Lists!$AD$13)+($X420*Lists!$AD$14)+($Y420*Lists!$AD$15),2))</f>
        <v/>
      </c>
      <c r="AA420" s="103" t="str">
        <f aca="false">IF(OR($B420="", $N420="", $O420="", $T420="", $Z420=""),"",ROUND(($N420*Lists!$AD$16)-($O420*Lists!$AD$17)-($T420*Lists!$AD$18)+($Z420*Lists!$AD$19),2))</f>
        <v/>
      </c>
      <c r="AB420" s="102" t="str">
        <f aca="false">IF(OR($B420="", $N420="", $Z420=""),"",IF($N420&gt;=Lists!$AG$2,IF($Z420&gt;=Lists!$AG$3,"Invest","Migrate"),IF($Z420&gt;=Lists!$AG$3,"Tolerate","Eliminate")))</f>
        <v/>
      </c>
      <c r="AC420" s="102" t="str">
        <f aca="false">IF($B420="","",IF($J420&gt;=4,"Yes",""))</f>
        <v/>
      </c>
      <c r="AD420" s="102" t="str">
        <f aca="false">IF($A420="","",IFERROR(IF(VLOOKUP($A420,'Risk Register'!$B$2:$H$1000,4,FALSE())&gt;=4,"Yes",""),""))</f>
        <v/>
      </c>
      <c r="AE420" s="102" t="str">
        <f aca="false">IF(OR($N420="", $O420=""),"",IF($N420&gt;=Lists!$AG$2,IF($O420&gt;=Lists!$AG$4,"High Value / High Risk","High Value / Low Risk"),IF($O420&gt;=Lists!$AG$4,"Low Value / High Risk","Low Value / Low Risk")))</f>
        <v/>
      </c>
      <c r="AF420" s="101"/>
      <c r="AG420" s="126"/>
      <c r="AH420" s="106" t="str">
        <f aca="false">IF($B420="","",COUNTIFS('Debt Backlog'!$AF$2:$AF$1000,$A420,'Debt Backlog'!$B$2:$B$1000,"&lt;&gt;",'Debt Backlog'!$N$2:$N$1000,"&lt;&gt;Done",'Debt Backlog'!$N$2:$N$1000,"&lt;&gt;Won't Fix",'Debt Backlog'!$N$2:$N$1000,"&lt;&gt;Duplicate"))</f>
        <v/>
      </c>
      <c r="AI420" s="103" t="str">
        <f aca="false">IF($B420="","",ROUND(SUMIFS('Debt Backlog'!$L$2:$L$1000,'Debt Backlog'!$AF$2:$AF$1000,$A420,'Debt Backlog'!$B$2:$B$1000,"&lt;&gt;",'Debt Backlog'!$N$2:$N$1000,"&lt;&gt;Done",'Debt Backlog'!$N$2:$N$1000,"&lt;&gt;Won't Fix",'Debt Backlog'!$N$2:$N$1000,"&lt;&gt;Duplicate"),2))</f>
        <v/>
      </c>
    </row>
    <row r="421" customFormat="false" ht="15.75" hidden="false" customHeight="true" outlineLevel="0" collapsed="false">
      <c r="A421" s="125"/>
      <c r="B421" s="101"/>
      <c r="C421" s="101"/>
      <c r="D421" s="101"/>
      <c r="E421" s="101"/>
      <c r="F421" s="101"/>
      <c r="G421" s="101"/>
      <c r="H421" s="101"/>
      <c r="I421" s="106"/>
      <c r="J421" s="106"/>
      <c r="K421" s="106"/>
      <c r="L421" s="106"/>
      <c r="M421" s="106"/>
      <c r="N421" s="103" t="str">
        <f aca="false">IF(OR($B421="", $I421="", $J421="", $K421="", $L421="", $M421=""),"",ROUND(($I421*Lists!$AD$2)+($J421*Lists!$AD$3)+($K421*Lists!$AD$4)+($L421*Lists!$AD$5)+($M421*Lists!$AD$6),2))</f>
        <v/>
      </c>
      <c r="O421" s="103" t="str">
        <f aca="false">IF($A421="","",IFERROR(VLOOKUP($A421,'Risk Register'!$B$2:$I$1000,8,FALSE()),""))</f>
        <v/>
      </c>
      <c r="P421" s="106"/>
      <c r="Q421" s="106"/>
      <c r="R421" s="106"/>
      <c r="S421" s="106"/>
      <c r="T421" s="103" t="str">
        <f aca="false">IF(OR($B421="", $P421="", $Q421="", $R421="", $S421=""),"",ROUND(($P421*Lists!$AD$7)+($Q421*Lists!$AD$8)+($R421*Lists!$AD$9)+($S421*Lists!$AD$10),2))</f>
        <v/>
      </c>
      <c r="U421" s="106"/>
      <c r="V421" s="106"/>
      <c r="W421" s="106"/>
      <c r="X421" s="106"/>
      <c r="Y421" s="106"/>
      <c r="Z421" s="103" t="str">
        <f aca="false">IF(OR($B421="", $U421="", $V421="", $W421="", $X421="", $Y421=""),"",ROUND(($U421*Lists!$AD$11)+($V421*Lists!$AD$12)+($W421*Lists!$AD$13)+($X421*Lists!$AD$14)+($Y421*Lists!$AD$15),2))</f>
        <v/>
      </c>
      <c r="AA421" s="103" t="str">
        <f aca="false">IF(OR($B421="", $N421="", $O421="", $T421="", $Z421=""),"",ROUND(($N421*Lists!$AD$16)-($O421*Lists!$AD$17)-($T421*Lists!$AD$18)+($Z421*Lists!$AD$19),2))</f>
        <v/>
      </c>
      <c r="AB421" s="102" t="str">
        <f aca="false">IF(OR($B421="", $N421="", $Z421=""),"",IF($N421&gt;=Lists!$AG$2,IF($Z421&gt;=Lists!$AG$3,"Invest","Migrate"),IF($Z421&gt;=Lists!$AG$3,"Tolerate","Eliminate")))</f>
        <v/>
      </c>
      <c r="AC421" s="102" t="str">
        <f aca="false">IF($B421="","",IF($J421&gt;=4,"Yes",""))</f>
        <v/>
      </c>
      <c r="AD421" s="102" t="str">
        <f aca="false">IF($A421="","",IFERROR(IF(VLOOKUP($A421,'Risk Register'!$B$2:$H$1000,4,FALSE())&gt;=4,"Yes",""),""))</f>
        <v/>
      </c>
      <c r="AE421" s="102" t="str">
        <f aca="false">IF(OR($N421="", $O421=""),"",IF($N421&gt;=Lists!$AG$2,IF($O421&gt;=Lists!$AG$4,"High Value / High Risk","High Value / Low Risk"),IF($O421&gt;=Lists!$AG$4,"Low Value / High Risk","Low Value / Low Risk")))</f>
        <v/>
      </c>
      <c r="AF421" s="101"/>
      <c r="AG421" s="126"/>
      <c r="AH421" s="106" t="str">
        <f aca="false">IF($B421="","",COUNTIFS('Debt Backlog'!$AF$2:$AF$1000,$A421,'Debt Backlog'!$B$2:$B$1000,"&lt;&gt;",'Debt Backlog'!$N$2:$N$1000,"&lt;&gt;Done",'Debt Backlog'!$N$2:$N$1000,"&lt;&gt;Won't Fix",'Debt Backlog'!$N$2:$N$1000,"&lt;&gt;Duplicate"))</f>
        <v/>
      </c>
      <c r="AI421" s="103" t="str">
        <f aca="false">IF($B421="","",ROUND(SUMIFS('Debt Backlog'!$L$2:$L$1000,'Debt Backlog'!$AF$2:$AF$1000,$A421,'Debt Backlog'!$B$2:$B$1000,"&lt;&gt;",'Debt Backlog'!$N$2:$N$1000,"&lt;&gt;Done",'Debt Backlog'!$N$2:$N$1000,"&lt;&gt;Won't Fix",'Debt Backlog'!$N$2:$N$1000,"&lt;&gt;Duplicate"),2))</f>
        <v/>
      </c>
    </row>
    <row r="422" customFormat="false" ht="15.75" hidden="false" customHeight="true" outlineLevel="0" collapsed="false">
      <c r="A422" s="125"/>
      <c r="B422" s="101"/>
      <c r="C422" s="101"/>
      <c r="D422" s="101"/>
      <c r="E422" s="101"/>
      <c r="F422" s="101"/>
      <c r="G422" s="101"/>
      <c r="H422" s="101"/>
      <c r="I422" s="106"/>
      <c r="J422" s="106"/>
      <c r="K422" s="106"/>
      <c r="L422" s="106"/>
      <c r="M422" s="106"/>
      <c r="N422" s="103" t="str">
        <f aca="false">IF(OR($B422="", $I422="", $J422="", $K422="", $L422="", $M422=""),"",ROUND(($I422*Lists!$AD$2)+($J422*Lists!$AD$3)+($K422*Lists!$AD$4)+($L422*Lists!$AD$5)+($M422*Lists!$AD$6),2))</f>
        <v/>
      </c>
      <c r="O422" s="103" t="str">
        <f aca="false">IF($A422="","",IFERROR(VLOOKUP($A422,'Risk Register'!$B$2:$I$1000,8,FALSE()),""))</f>
        <v/>
      </c>
      <c r="P422" s="106"/>
      <c r="Q422" s="106"/>
      <c r="R422" s="106"/>
      <c r="S422" s="106"/>
      <c r="T422" s="103" t="str">
        <f aca="false">IF(OR($B422="", $P422="", $Q422="", $R422="", $S422=""),"",ROUND(($P422*Lists!$AD$7)+($Q422*Lists!$AD$8)+($R422*Lists!$AD$9)+($S422*Lists!$AD$10),2))</f>
        <v/>
      </c>
      <c r="U422" s="106"/>
      <c r="V422" s="106"/>
      <c r="W422" s="106"/>
      <c r="X422" s="106"/>
      <c r="Y422" s="106"/>
      <c r="Z422" s="103" t="str">
        <f aca="false">IF(OR($B422="", $U422="", $V422="", $W422="", $X422="", $Y422=""),"",ROUND(($U422*Lists!$AD$11)+($V422*Lists!$AD$12)+($W422*Lists!$AD$13)+($X422*Lists!$AD$14)+($Y422*Lists!$AD$15),2))</f>
        <v/>
      </c>
      <c r="AA422" s="103" t="str">
        <f aca="false">IF(OR($B422="", $N422="", $O422="", $T422="", $Z422=""),"",ROUND(($N422*Lists!$AD$16)-($O422*Lists!$AD$17)-($T422*Lists!$AD$18)+($Z422*Lists!$AD$19),2))</f>
        <v/>
      </c>
      <c r="AB422" s="102" t="str">
        <f aca="false">IF(OR($B422="", $N422="", $Z422=""),"",IF($N422&gt;=Lists!$AG$2,IF($Z422&gt;=Lists!$AG$3,"Invest","Migrate"),IF($Z422&gt;=Lists!$AG$3,"Tolerate","Eliminate")))</f>
        <v/>
      </c>
      <c r="AC422" s="102" t="str">
        <f aca="false">IF($B422="","",IF($J422&gt;=4,"Yes",""))</f>
        <v/>
      </c>
      <c r="AD422" s="102" t="str">
        <f aca="false">IF($A422="","",IFERROR(IF(VLOOKUP($A422,'Risk Register'!$B$2:$H$1000,4,FALSE())&gt;=4,"Yes",""),""))</f>
        <v/>
      </c>
      <c r="AE422" s="102" t="str">
        <f aca="false">IF(OR($N422="", $O422=""),"",IF($N422&gt;=Lists!$AG$2,IF($O422&gt;=Lists!$AG$4,"High Value / High Risk","High Value / Low Risk"),IF($O422&gt;=Lists!$AG$4,"Low Value / High Risk","Low Value / Low Risk")))</f>
        <v/>
      </c>
      <c r="AF422" s="101"/>
      <c r="AG422" s="126"/>
      <c r="AH422" s="106" t="str">
        <f aca="false">IF($B422="","",COUNTIFS('Debt Backlog'!$AF$2:$AF$1000,$A422,'Debt Backlog'!$B$2:$B$1000,"&lt;&gt;",'Debt Backlog'!$N$2:$N$1000,"&lt;&gt;Done",'Debt Backlog'!$N$2:$N$1000,"&lt;&gt;Won't Fix",'Debt Backlog'!$N$2:$N$1000,"&lt;&gt;Duplicate"))</f>
        <v/>
      </c>
      <c r="AI422" s="103" t="str">
        <f aca="false">IF($B422="","",ROUND(SUMIFS('Debt Backlog'!$L$2:$L$1000,'Debt Backlog'!$AF$2:$AF$1000,$A422,'Debt Backlog'!$B$2:$B$1000,"&lt;&gt;",'Debt Backlog'!$N$2:$N$1000,"&lt;&gt;Done",'Debt Backlog'!$N$2:$N$1000,"&lt;&gt;Won't Fix",'Debt Backlog'!$N$2:$N$1000,"&lt;&gt;Duplicate"),2))</f>
        <v/>
      </c>
    </row>
    <row r="423" customFormat="false" ht="15.75" hidden="false" customHeight="true" outlineLevel="0" collapsed="false">
      <c r="A423" s="125"/>
      <c r="B423" s="101"/>
      <c r="C423" s="101"/>
      <c r="D423" s="101"/>
      <c r="E423" s="101"/>
      <c r="F423" s="101"/>
      <c r="G423" s="101"/>
      <c r="H423" s="101"/>
      <c r="I423" s="106"/>
      <c r="J423" s="106"/>
      <c r="K423" s="106"/>
      <c r="L423" s="106"/>
      <c r="M423" s="106"/>
      <c r="N423" s="103" t="str">
        <f aca="false">IF(OR($B423="", $I423="", $J423="", $K423="", $L423="", $M423=""),"",ROUND(($I423*Lists!$AD$2)+($J423*Lists!$AD$3)+($K423*Lists!$AD$4)+($L423*Lists!$AD$5)+($M423*Lists!$AD$6),2))</f>
        <v/>
      </c>
      <c r="O423" s="103" t="str">
        <f aca="false">IF($A423="","",IFERROR(VLOOKUP($A423,'Risk Register'!$B$2:$I$1000,8,FALSE()),""))</f>
        <v/>
      </c>
      <c r="P423" s="106"/>
      <c r="Q423" s="106"/>
      <c r="R423" s="106"/>
      <c r="S423" s="106"/>
      <c r="T423" s="103" t="str">
        <f aca="false">IF(OR($B423="", $P423="", $Q423="", $R423="", $S423=""),"",ROUND(($P423*Lists!$AD$7)+($Q423*Lists!$AD$8)+($R423*Lists!$AD$9)+($S423*Lists!$AD$10),2))</f>
        <v/>
      </c>
      <c r="U423" s="106"/>
      <c r="V423" s="106"/>
      <c r="W423" s="106"/>
      <c r="X423" s="106"/>
      <c r="Y423" s="106"/>
      <c r="Z423" s="103" t="str">
        <f aca="false">IF(OR($B423="", $U423="", $V423="", $W423="", $X423="", $Y423=""),"",ROUND(($U423*Lists!$AD$11)+($V423*Lists!$AD$12)+($W423*Lists!$AD$13)+($X423*Lists!$AD$14)+($Y423*Lists!$AD$15),2))</f>
        <v/>
      </c>
      <c r="AA423" s="103" t="str">
        <f aca="false">IF(OR($B423="", $N423="", $O423="", $T423="", $Z423=""),"",ROUND(($N423*Lists!$AD$16)-($O423*Lists!$AD$17)-($T423*Lists!$AD$18)+($Z423*Lists!$AD$19),2))</f>
        <v/>
      </c>
      <c r="AB423" s="102" t="str">
        <f aca="false">IF(OR($B423="", $N423="", $Z423=""),"",IF($N423&gt;=Lists!$AG$2,IF($Z423&gt;=Lists!$AG$3,"Invest","Migrate"),IF($Z423&gt;=Lists!$AG$3,"Tolerate","Eliminate")))</f>
        <v/>
      </c>
      <c r="AC423" s="102" t="str">
        <f aca="false">IF($B423="","",IF($J423&gt;=4,"Yes",""))</f>
        <v/>
      </c>
      <c r="AD423" s="102" t="str">
        <f aca="false">IF($A423="","",IFERROR(IF(VLOOKUP($A423,'Risk Register'!$B$2:$H$1000,4,FALSE())&gt;=4,"Yes",""),""))</f>
        <v/>
      </c>
      <c r="AE423" s="102" t="str">
        <f aca="false">IF(OR($N423="", $O423=""),"",IF($N423&gt;=Lists!$AG$2,IF($O423&gt;=Lists!$AG$4,"High Value / High Risk","High Value / Low Risk"),IF($O423&gt;=Lists!$AG$4,"Low Value / High Risk","Low Value / Low Risk")))</f>
        <v/>
      </c>
      <c r="AF423" s="101"/>
      <c r="AG423" s="126"/>
      <c r="AH423" s="106" t="str">
        <f aca="false">IF($B423="","",COUNTIFS('Debt Backlog'!$AF$2:$AF$1000,$A423,'Debt Backlog'!$B$2:$B$1000,"&lt;&gt;",'Debt Backlog'!$N$2:$N$1000,"&lt;&gt;Done",'Debt Backlog'!$N$2:$N$1000,"&lt;&gt;Won't Fix",'Debt Backlog'!$N$2:$N$1000,"&lt;&gt;Duplicate"))</f>
        <v/>
      </c>
      <c r="AI423" s="103" t="str">
        <f aca="false">IF($B423="","",ROUND(SUMIFS('Debt Backlog'!$L$2:$L$1000,'Debt Backlog'!$AF$2:$AF$1000,$A423,'Debt Backlog'!$B$2:$B$1000,"&lt;&gt;",'Debt Backlog'!$N$2:$N$1000,"&lt;&gt;Done",'Debt Backlog'!$N$2:$N$1000,"&lt;&gt;Won't Fix",'Debt Backlog'!$N$2:$N$1000,"&lt;&gt;Duplicate"),2))</f>
        <v/>
      </c>
    </row>
    <row r="424" customFormat="false" ht="15.75" hidden="false" customHeight="true" outlineLevel="0" collapsed="false">
      <c r="A424" s="125"/>
      <c r="B424" s="101"/>
      <c r="C424" s="101"/>
      <c r="D424" s="101"/>
      <c r="E424" s="101"/>
      <c r="F424" s="101"/>
      <c r="G424" s="101"/>
      <c r="H424" s="101"/>
      <c r="I424" s="106"/>
      <c r="J424" s="106"/>
      <c r="K424" s="106"/>
      <c r="L424" s="106"/>
      <c r="M424" s="106"/>
      <c r="N424" s="103" t="str">
        <f aca="false">IF(OR($B424="", $I424="", $J424="", $K424="", $L424="", $M424=""),"",ROUND(($I424*Lists!$AD$2)+($J424*Lists!$AD$3)+($K424*Lists!$AD$4)+($L424*Lists!$AD$5)+($M424*Lists!$AD$6),2))</f>
        <v/>
      </c>
      <c r="O424" s="103" t="str">
        <f aca="false">IF($A424="","",IFERROR(VLOOKUP($A424,'Risk Register'!$B$2:$I$1000,8,FALSE()),""))</f>
        <v/>
      </c>
      <c r="P424" s="106"/>
      <c r="Q424" s="106"/>
      <c r="R424" s="106"/>
      <c r="S424" s="106"/>
      <c r="T424" s="103" t="str">
        <f aca="false">IF(OR($B424="", $P424="", $Q424="", $R424="", $S424=""),"",ROUND(($P424*Lists!$AD$7)+($Q424*Lists!$AD$8)+($R424*Lists!$AD$9)+($S424*Lists!$AD$10),2))</f>
        <v/>
      </c>
      <c r="U424" s="106"/>
      <c r="V424" s="106"/>
      <c r="W424" s="106"/>
      <c r="X424" s="106"/>
      <c r="Y424" s="106"/>
      <c r="Z424" s="103" t="str">
        <f aca="false">IF(OR($B424="", $U424="", $V424="", $W424="", $X424="", $Y424=""),"",ROUND(($U424*Lists!$AD$11)+($V424*Lists!$AD$12)+($W424*Lists!$AD$13)+($X424*Lists!$AD$14)+($Y424*Lists!$AD$15),2))</f>
        <v/>
      </c>
      <c r="AA424" s="103" t="str">
        <f aca="false">IF(OR($B424="", $N424="", $O424="", $T424="", $Z424=""),"",ROUND(($N424*Lists!$AD$16)-($O424*Lists!$AD$17)-($T424*Lists!$AD$18)+($Z424*Lists!$AD$19),2))</f>
        <v/>
      </c>
      <c r="AB424" s="102" t="str">
        <f aca="false">IF(OR($B424="", $N424="", $Z424=""),"",IF($N424&gt;=Lists!$AG$2,IF($Z424&gt;=Lists!$AG$3,"Invest","Migrate"),IF($Z424&gt;=Lists!$AG$3,"Tolerate","Eliminate")))</f>
        <v/>
      </c>
      <c r="AC424" s="102" t="str">
        <f aca="false">IF($B424="","",IF($J424&gt;=4,"Yes",""))</f>
        <v/>
      </c>
      <c r="AD424" s="102" t="str">
        <f aca="false">IF($A424="","",IFERROR(IF(VLOOKUP($A424,'Risk Register'!$B$2:$H$1000,4,FALSE())&gt;=4,"Yes",""),""))</f>
        <v/>
      </c>
      <c r="AE424" s="102" t="str">
        <f aca="false">IF(OR($N424="", $O424=""),"",IF($N424&gt;=Lists!$AG$2,IF($O424&gt;=Lists!$AG$4,"High Value / High Risk","High Value / Low Risk"),IF($O424&gt;=Lists!$AG$4,"Low Value / High Risk","Low Value / Low Risk")))</f>
        <v/>
      </c>
      <c r="AF424" s="101"/>
      <c r="AG424" s="126"/>
      <c r="AH424" s="106" t="str">
        <f aca="false">IF($B424="","",COUNTIFS('Debt Backlog'!$AF$2:$AF$1000,$A424,'Debt Backlog'!$B$2:$B$1000,"&lt;&gt;",'Debt Backlog'!$N$2:$N$1000,"&lt;&gt;Done",'Debt Backlog'!$N$2:$N$1000,"&lt;&gt;Won't Fix",'Debt Backlog'!$N$2:$N$1000,"&lt;&gt;Duplicate"))</f>
        <v/>
      </c>
      <c r="AI424" s="103" t="str">
        <f aca="false">IF($B424="","",ROUND(SUMIFS('Debt Backlog'!$L$2:$L$1000,'Debt Backlog'!$AF$2:$AF$1000,$A424,'Debt Backlog'!$B$2:$B$1000,"&lt;&gt;",'Debt Backlog'!$N$2:$N$1000,"&lt;&gt;Done",'Debt Backlog'!$N$2:$N$1000,"&lt;&gt;Won't Fix",'Debt Backlog'!$N$2:$N$1000,"&lt;&gt;Duplicate"),2))</f>
        <v/>
      </c>
    </row>
    <row r="425" customFormat="false" ht="15.75" hidden="false" customHeight="true" outlineLevel="0" collapsed="false">
      <c r="A425" s="125"/>
      <c r="B425" s="101"/>
      <c r="C425" s="101"/>
      <c r="D425" s="101"/>
      <c r="E425" s="101"/>
      <c r="F425" s="101"/>
      <c r="G425" s="101"/>
      <c r="H425" s="101"/>
      <c r="I425" s="106"/>
      <c r="J425" s="106"/>
      <c r="K425" s="106"/>
      <c r="L425" s="106"/>
      <c r="M425" s="106"/>
      <c r="N425" s="103" t="str">
        <f aca="false">IF(OR($B425="", $I425="", $J425="", $K425="", $L425="", $M425=""),"",ROUND(($I425*Lists!$AD$2)+($J425*Lists!$AD$3)+($K425*Lists!$AD$4)+($L425*Lists!$AD$5)+($M425*Lists!$AD$6),2))</f>
        <v/>
      </c>
      <c r="O425" s="103" t="str">
        <f aca="false">IF($A425="","",IFERROR(VLOOKUP($A425,'Risk Register'!$B$2:$I$1000,8,FALSE()),""))</f>
        <v/>
      </c>
      <c r="P425" s="106"/>
      <c r="Q425" s="106"/>
      <c r="R425" s="106"/>
      <c r="S425" s="106"/>
      <c r="T425" s="103" t="str">
        <f aca="false">IF(OR($B425="", $P425="", $Q425="", $R425="", $S425=""),"",ROUND(($P425*Lists!$AD$7)+($Q425*Lists!$AD$8)+($R425*Lists!$AD$9)+($S425*Lists!$AD$10),2))</f>
        <v/>
      </c>
      <c r="U425" s="106"/>
      <c r="V425" s="106"/>
      <c r="W425" s="106"/>
      <c r="X425" s="106"/>
      <c r="Y425" s="106"/>
      <c r="Z425" s="103" t="str">
        <f aca="false">IF(OR($B425="", $U425="", $V425="", $W425="", $X425="", $Y425=""),"",ROUND(($U425*Lists!$AD$11)+($V425*Lists!$AD$12)+($W425*Lists!$AD$13)+($X425*Lists!$AD$14)+($Y425*Lists!$AD$15),2))</f>
        <v/>
      </c>
      <c r="AA425" s="103" t="str">
        <f aca="false">IF(OR($B425="", $N425="", $O425="", $T425="", $Z425=""),"",ROUND(($N425*Lists!$AD$16)-($O425*Lists!$AD$17)-($T425*Lists!$AD$18)+($Z425*Lists!$AD$19),2))</f>
        <v/>
      </c>
      <c r="AB425" s="102" t="str">
        <f aca="false">IF(OR($B425="", $N425="", $Z425=""),"",IF($N425&gt;=Lists!$AG$2,IF($Z425&gt;=Lists!$AG$3,"Invest","Migrate"),IF($Z425&gt;=Lists!$AG$3,"Tolerate","Eliminate")))</f>
        <v/>
      </c>
      <c r="AC425" s="102" t="str">
        <f aca="false">IF($B425="","",IF($J425&gt;=4,"Yes",""))</f>
        <v/>
      </c>
      <c r="AD425" s="102" t="str">
        <f aca="false">IF($A425="","",IFERROR(IF(VLOOKUP($A425,'Risk Register'!$B$2:$H$1000,4,FALSE())&gt;=4,"Yes",""),""))</f>
        <v/>
      </c>
      <c r="AE425" s="102" t="str">
        <f aca="false">IF(OR($N425="", $O425=""),"",IF($N425&gt;=Lists!$AG$2,IF($O425&gt;=Lists!$AG$4,"High Value / High Risk","High Value / Low Risk"),IF($O425&gt;=Lists!$AG$4,"Low Value / High Risk","Low Value / Low Risk")))</f>
        <v/>
      </c>
      <c r="AF425" s="101"/>
      <c r="AG425" s="126"/>
      <c r="AH425" s="106" t="str">
        <f aca="false">IF($B425="","",COUNTIFS('Debt Backlog'!$AF$2:$AF$1000,$A425,'Debt Backlog'!$B$2:$B$1000,"&lt;&gt;",'Debt Backlog'!$N$2:$N$1000,"&lt;&gt;Done",'Debt Backlog'!$N$2:$N$1000,"&lt;&gt;Won't Fix",'Debt Backlog'!$N$2:$N$1000,"&lt;&gt;Duplicate"))</f>
        <v/>
      </c>
      <c r="AI425" s="103" t="str">
        <f aca="false">IF($B425="","",ROUND(SUMIFS('Debt Backlog'!$L$2:$L$1000,'Debt Backlog'!$AF$2:$AF$1000,$A425,'Debt Backlog'!$B$2:$B$1000,"&lt;&gt;",'Debt Backlog'!$N$2:$N$1000,"&lt;&gt;Done",'Debt Backlog'!$N$2:$N$1000,"&lt;&gt;Won't Fix",'Debt Backlog'!$N$2:$N$1000,"&lt;&gt;Duplicate"),2))</f>
        <v/>
      </c>
    </row>
    <row r="426" customFormat="false" ht="15.75" hidden="false" customHeight="true" outlineLevel="0" collapsed="false">
      <c r="A426" s="125"/>
      <c r="B426" s="101"/>
      <c r="C426" s="101"/>
      <c r="D426" s="101"/>
      <c r="E426" s="101"/>
      <c r="F426" s="101"/>
      <c r="G426" s="101"/>
      <c r="H426" s="101"/>
      <c r="I426" s="106"/>
      <c r="J426" s="106"/>
      <c r="K426" s="106"/>
      <c r="L426" s="106"/>
      <c r="M426" s="106"/>
      <c r="N426" s="103" t="str">
        <f aca="false">IF(OR($B426="", $I426="", $J426="", $K426="", $L426="", $M426=""),"",ROUND(($I426*Lists!$AD$2)+($J426*Lists!$AD$3)+($K426*Lists!$AD$4)+($L426*Lists!$AD$5)+($M426*Lists!$AD$6),2))</f>
        <v/>
      </c>
      <c r="O426" s="103" t="str">
        <f aca="false">IF($A426="","",IFERROR(VLOOKUP($A426,'Risk Register'!$B$2:$I$1000,8,FALSE()),""))</f>
        <v/>
      </c>
      <c r="P426" s="106"/>
      <c r="Q426" s="106"/>
      <c r="R426" s="106"/>
      <c r="S426" s="106"/>
      <c r="T426" s="103" t="str">
        <f aca="false">IF(OR($B426="", $P426="", $Q426="", $R426="", $S426=""),"",ROUND(($P426*Lists!$AD$7)+($Q426*Lists!$AD$8)+($R426*Lists!$AD$9)+($S426*Lists!$AD$10),2))</f>
        <v/>
      </c>
      <c r="U426" s="106"/>
      <c r="V426" s="106"/>
      <c r="W426" s="106"/>
      <c r="X426" s="106"/>
      <c r="Y426" s="106"/>
      <c r="Z426" s="103" t="str">
        <f aca="false">IF(OR($B426="", $U426="", $V426="", $W426="", $X426="", $Y426=""),"",ROUND(($U426*Lists!$AD$11)+($V426*Lists!$AD$12)+($W426*Lists!$AD$13)+($X426*Lists!$AD$14)+($Y426*Lists!$AD$15),2))</f>
        <v/>
      </c>
      <c r="AA426" s="103" t="str">
        <f aca="false">IF(OR($B426="", $N426="", $O426="", $T426="", $Z426=""),"",ROUND(($N426*Lists!$AD$16)-($O426*Lists!$AD$17)-($T426*Lists!$AD$18)+($Z426*Lists!$AD$19),2))</f>
        <v/>
      </c>
      <c r="AB426" s="102" t="str">
        <f aca="false">IF(OR($B426="", $N426="", $Z426=""),"",IF($N426&gt;=Lists!$AG$2,IF($Z426&gt;=Lists!$AG$3,"Invest","Migrate"),IF($Z426&gt;=Lists!$AG$3,"Tolerate","Eliminate")))</f>
        <v/>
      </c>
      <c r="AC426" s="102" t="str">
        <f aca="false">IF($B426="","",IF($J426&gt;=4,"Yes",""))</f>
        <v/>
      </c>
      <c r="AD426" s="102" t="str">
        <f aca="false">IF($A426="","",IFERROR(IF(VLOOKUP($A426,'Risk Register'!$B$2:$H$1000,4,FALSE())&gt;=4,"Yes",""),""))</f>
        <v/>
      </c>
      <c r="AE426" s="102" t="str">
        <f aca="false">IF(OR($N426="", $O426=""),"",IF($N426&gt;=Lists!$AG$2,IF($O426&gt;=Lists!$AG$4,"High Value / High Risk","High Value / Low Risk"),IF($O426&gt;=Lists!$AG$4,"Low Value / High Risk","Low Value / Low Risk")))</f>
        <v/>
      </c>
      <c r="AF426" s="101"/>
      <c r="AG426" s="126"/>
      <c r="AH426" s="106" t="str">
        <f aca="false">IF($B426="","",COUNTIFS('Debt Backlog'!$AF$2:$AF$1000,$A426,'Debt Backlog'!$B$2:$B$1000,"&lt;&gt;",'Debt Backlog'!$N$2:$N$1000,"&lt;&gt;Done",'Debt Backlog'!$N$2:$N$1000,"&lt;&gt;Won't Fix",'Debt Backlog'!$N$2:$N$1000,"&lt;&gt;Duplicate"))</f>
        <v/>
      </c>
      <c r="AI426" s="103" t="str">
        <f aca="false">IF($B426="","",ROUND(SUMIFS('Debt Backlog'!$L$2:$L$1000,'Debt Backlog'!$AF$2:$AF$1000,$A426,'Debt Backlog'!$B$2:$B$1000,"&lt;&gt;",'Debt Backlog'!$N$2:$N$1000,"&lt;&gt;Done",'Debt Backlog'!$N$2:$N$1000,"&lt;&gt;Won't Fix",'Debt Backlog'!$N$2:$N$1000,"&lt;&gt;Duplicate"),2))</f>
        <v/>
      </c>
    </row>
    <row r="427" customFormat="false" ht="15.75" hidden="false" customHeight="true" outlineLevel="0" collapsed="false">
      <c r="A427" s="125"/>
      <c r="B427" s="101"/>
      <c r="C427" s="101"/>
      <c r="D427" s="101"/>
      <c r="E427" s="101"/>
      <c r="F427" s="101"/>
      <c r="G427" s="101"/>
      <c r="H427" s="101"/>
      <c r="I427" s="106"/>
      <c r="J427" s="106"/>
      <c r="K427" s="106"/>
      <c r="L427" s="106"/>
      <c r="M427" s="106"/>
      <c r="N427" s="103" t="str">
        <f aca="false">IF(OR($B427="", $I427="", $J427="", $K427="", $L427="", $M427=""),"",ROUND(($I427*Lists!$AD$2)+($J427*Lists!$AD$3)+($K427*Lists!$AD$4)+($L427*Lists!$AD$5)+($M427*Lists!$AD$6),2))</f>
        <v/>
      </c>
      <c r="O427" s="103" t="str">
        <f aca="false">IF($A427="","",IFERROR(VLOOKUP($A427,'Risk Register'!$B$2:$I$1000,8,FALSE()),""))</f>
        <v/>
      </c>
      <c r="P427" s="106"/>
      <c r="Q427" s="106"/>
      <c r="R427" s="106"/>
      <c r="S427" s="106"/>
      <c r="T427" s="103" t="str">
        <f aca="false">IF(OR($B427="", $P427="", $Q427="", $R427="", $S427=""),"",ROUND(($P427*Lists!$AD$7)+($Q427*Lists!$AD$8)+($R427*Lists!$AD$9)+($S427*Lists!$AD$10),2))</f>
        <v/>
      </c>
      <c r="U427" s="106"/>
      <c r="V427" s="106"/>
      <c r="W427" s="106"/>
      <c r="X427" s="106"/>
      <c r="Y427" s="106"/>
      <c r="Z427" s="103" t="str">
        <f aca="false">IF(OR($B427="", $U427="", $V427="", $W427="", $X427="", $Y427=""),"",ROUND(($U427*Lists!$AD$11)+($V427*Lists!$AD$12)+($W427*Lists!$AD$13)+($X427*Lists!$AD$14)+($Y427*Lists!$AD$15),2))</f>
        <v/>
      </c>
      <c r="AA427" s="103" t="str">
        <f aca="false">IF(OR($B427="", $N427="", $O427="", $T427="", $Z427=""),"",ROUND(($N427*Lists!$AD$16)-($O427*Lists!$AD$17)-($T427*Lists!$AD$18)+($Z427*Lists!$AD$19),2))</f>
        <v/>
      </c>
      <c r="AB427" s="102" t="str">
        <f aca="false">IF(OR($B427="", $N427="", $Z427=""),"",IF($N427&gt;=Lists!$AG$2,IF($Z427&gt;=Lists!$AG$3,"Invest","Migrate"),IF($Z427&gt;=Lists!$AG$3,"Tolerate","Eliminate")))</f>
        <v/>
      </c>
      <c r="AC427" s="102" t="str">
        <f aca="false">IF($B427="","",IF($J427&gt;=4,"Yes",""))</f>
        <v/>
      </c>
      <c r="AD427" s="102" t="str">
        <f aca="false">IF($A427="","",IFERROR(IF(VLOOKUP($A427,'Risk Register'!$B$2:$H$1000,4,FALSE())&gt;=4,"Yes",""),""))</f>
        <v/>
      </c>
      <c r="AE427" s="102" t="str">
        <f aca="false">IF(OR($N427="", $O427=""),"",IF($N427&gt;=Lists!$AG$2,IF($O427&gt;=Lists!$AG$4,"High Value / High Risk","High Value / Low Risk"),IF($O427&gt;=Lists!$AG$4,"Low Value / High Risk","Low Value / Low Risk")))</f>
        <v/>
      </c>
      <c r="AF427" s="101"/>
      <c r="AG427" s="126"/>
      <c r="AH427" s="106" t="str">
        <f aca="false">IF($B427="","",COUNTIFS('Debt Backlog'!$AF$2:$AF$1000,$A427,'Debt Backlog'!$B$2:$B$1000,"&lt;&gt;",'Debt Backlog'!$N$2:$N$1000,"&lt;&gt;Done",'Debt Backlog'!$N$2:$N$1000,"&lt;&gt;Won't Fix",'Debt Backlog'!$N$2:$N$1000,"&lt;&gt;Duplicate"))</f>
        <v/>
      </c>
      <c r="AI427" s="103" t="str">
        <f aca="false">IF($B427="","",ROUND(SUMIFS('Debt Backlog'!$L$2:$L$1000,'Debt Backlog'!$AF$2:$AF$1000,$A427,'Debt Backlog'!$B$2:$B$1000,"&lt;&gt;",'Debt Backlog'!$N$2:$N$1000,"&lt;&gt;Done",'Debt Backlog'!$N$2:$N$1000,"&lt;&gt;Won't Fix",'Debt Backlog'!$N$2:$N$1000,"&lt;&gt;Duplicate"),2))</f>
        <v/>
      </c>
    </row>
    <row r="428" customFormat="false" ht="15.75" hidden="false" customHeight="true" outlineLevel="0" collapsed="false">
      <c r="A428" s="125"/>
      <c r="B428" s="101"/>
      <c r="C428" s="101"/>
      <c r="D428" s="101"/>
      <c r="E428" s="101"/>
      <c r="F428" s="101"/>
      <c r="G428" s="101"/>
      <c r="H428" s="101"/>
      <c r="I428" s="106"/>
      <c r="J428" s="106"/>
      <c r="K428" s="106"/>
      <c r="L428" s="106"/>
      <c r="M428" s="106"/>
      <c r="N428" s="103" t="str">
        <f aca="false">IF(OR($B428="", $I428="", $J428="", $K428="", $L428="", $M428=""),"",ROUND(($I428*Lists!$AD$2)+($J428*Lists!$AD$3)+($K428*Lists!$AD$4)+($L428*Lists!$AD$5)+($M428*Lists!$AD$6),2))</f>
        <v/>
      </c>
      <c r="O428" s="103" t="str">
        <f aca="false">IF($A428="","",IFERROR(VLOOKUP($A428,'Risk Register'!$B$2:$I$1000,8,FALSE()),""))</f>
        <v/>
      </c>
      <c r="P428" s="106"/>
      <c r="Q428" s="106"/>
      <c r="R428" s="106"/>
      <c r="S428" s="106"/>
      <c r="T428" s="103" t="str">
        <f aca="false">IF(OR($B428="", $P428="", $Q428="", $R428="", $S428=""),"",ROUND(($P428*Lists!$AD$7)+($Q428*Lists!$AD$8)+($R428*Lists!$AD$9)+($S428*Lists!$AD$10),2))</f>
        <v/>
      </c>
      <c r="U428" s="106"/>
      <c r="V428" s="106"/>
      <c r="W428" s="106"/>
      <c r="X428" s="106"/>
      <c r="Y428" s="106"/>
      <c r="Z428" s="103" t="str">
        <f aca="false">IF(OR($B428="", $U428="", $V428="", $W428="", $X428="", $Y428=""),"",ROUND(($U428*Lists!$AD$11)+($V428*Lists!$AD$12)+($W428*Lists!$AD$13)+($X428*Lists!$AD$14)+($Y428*Lists!$AD$15),2))</f>
        <v/>
      </c>
      <c r="AA428" s="103" t="str">
        <f aca="false">IF(OR($B428="", $N428="", $O428="", $T428="", $Z428=""),"",ROUND(($N428*Lists!$AD$16)-($O428*Lists!$AD$17)-($T428*Lists!$AD$18)+($Z428*Lists!$AD$19),2))</f>
        <v/>
      </c>
      <c r="AB428" s="102" t="str">
        <f aca="false">IF(OR($B428="", $N428="", $Z428=""),"",IF($N428&gt;=Lists!$AG$2,IF($Z428&gt;=Lists!$AG$3,"Invest","Migrate"),IF($Z428&gt;=Lists!$AG$3,"Tolerate","Eliminate")))</f>
        <v/>
      </c>
      <c r="AC428" s="102" t="str">
        <f aca="false">IF($B428="","",IF($J428&gt;=4,"Yes",""))</f>
        <v/>
      </c>
      <c r="AD428" s="102" t="str">
        <f aca="false">IF($A428="","",IFERROR(IF(VLOOKUP($A428,'Risk Register'!$B$2:$H$1000,4,FALSE())&gt;=4,"Yes",""),""))</f>
        <v/>
      </c>
      <c r="AE428" s="102" t="str">
        <f aca="false">IF(OR($N428="", $O428=""),"",IF($N428&gt;=Lists!$AG$2,IF($O428&gt;=Lists!$AG$4,"High Value / High Risk","High Value / Low Risk"),IF($O428&gt;=Lists!$AG$4,"Low Value / High Risk","Low Value / Low Risk")))</f>
        <v/>
      </c>
      <c r="AF428" s="101"/>
      <c r="AG428" s="126"/>
      <c r="AH428" s="106" t="str">
        <f aca="false">IF($B428="","",COUNTIFS('Debt Backlog'!$AF$2:$AF$1000,$A428,'Debt Backlog'!$B$2:$B$1000,"&lt;&gt;",'Debt Backlog'!$N$2:$N$1000,"&lt;&gt;Done",'Debt Backlog'!$N$2:$N$1000,"&lt;&gt;Won't Fix",'Debt Backlog'!$N$2:$N$1000,"&lt;&gt;Duplicate"))</f>
        <v/>
      </c>
      <c r="AI428" s="103" t="str">
        <f aca="false">IF($B428="","",ROUND(SUMIFS('Debt Backlog'!$L$2:$L$1000,'Debt Backlog'!$AF$2:$AF$1000,$A428,'Debt Backlog'!$B$2:$B$1000,"&lt;&gt;",'Debt Backlog'!$N$2:$N$1000,"&lt;&gt;Done",'Debt Backlog'!$N$2:$N$1000,"&lt;&gt;Won't Fix",'Debt Backlog'!$N$2:$N$1000,"&lt;&gt;Duplicate"),2))</f>
        <v/>
      </c>
    </row>
    <row r="429" customFormat="false" ht="15.75" hidden="false" customHeight="true" outlineLevel="0" collapsed="false">
      <c r="A429" s="125"/>
      <c r="B429" s="101"/>
      <c r="C429" s="101"/>
      <c r="D429" s="101"/>
      <c r="E429" s="101"/>
      <c r="F429" s="101"/>
      <c r="G429" s="101"/>
      <c r="H429" s="101"/>
      <c r="I429" s="106"/>
      <c r="J429" s="106"/>
      <c r="K429" s="106"/>
      <c r="L429" s="106"/>
      <c r="M429" s="106"/>
      <c r="N429" s="103" t="str">
        <f aca="false">IF(OR($B429="", $I429="", $J429="", $K429="", $L429="", $M429=""),"",ROUND(($I429*Lists!$AD$2)+($J429*Lists!$AD$3)+($K429*Lists!$AD$4)+($L429*Lists!$AD$5)+($M429*Lists!$AD$6),2))</f>
        <v/>
      </c>
      <c r="O429" s="103" t="str">
        <f aca="false">IF($A429="","",IFERROR(VLOOKUP($A429,'Risk Register'!$B$2:$I$1000,8,FALSE()),""))</f>
        <v/>
      </c>
      <c r="P429" s="106"/>
      <c r="Q429" s="106"/>
      <c r="R429" s="106"/>
      <c r="S429" s="106"/>
      <c r="T429" s="103" t="str">
        <f aca="false">IF(OR($B429="", $P429="", $Q429="", $R429="", $S429=""),"",ROUND(($P429*Lists!$AD$7)+($Q429*Lists!$AD$8)+($R429*Lists!$AD$9)+($S429*Lists!$AD$10),2))</f>
        <v/>
      </c>
      <c r="U429" s="106"/>
      <c r="V429" s="106"/>
      <c r="W429" s="106"/>
      <c r="X429" s="106"/>
      <c r="Y429" s="106"/>
      <c r="Z429" s="103" t="str">
        <f aca="false">IF(OR($B429="", $U429="", $V429="", $W429="", $X429="", $Y429=""),"",ROUND(($U429*Lists!$AD$11)+($V429*Lists!$AD$12)+($W429*Lists!$AD$13)+($X429*Lists!$AD$14)+($Y429*Lists!$AD$15),2))</f>
        <v/>
      </c>
      <c r="AA429" s="103" t="str">
        <f aca="false">IF(OR($B429="", $N429="", $O429="", $T429="", $Z429=""),"",ROUND(($N429*Lists!$AD$16)-($O429*Lists!$AD$17)-($T429*Lists!$AD$18)+($Z429*Lists!$AD$19),2))</f>
        <v/>
      </c>
      <c r="AB429" s="102" t="str">
        <f aca="false">IF(OR($B429="", $N429="", $Z429=""),"",IF($N429&gt;=Lists!$AG$2,IF($Z429&gt;=Lists!$AG$3,"Invest","Migrate"),IF($Z429&gt;=Lists!$AG$3,"Tolerate","Eliminate")))</f>
        <v/>
      </c>
      <c r="AC429" s="102" t="str">
        <f aca="false">IF($B429="","",IF($J429&gt;=4,"Yes",""))</f>
        <v/>
      </c>
      <c r="AD429" s="102" t="str">
        <f aca="false">IF($A429="","",IFERROR(IF(VLOOKUP($A429,'Risk Register'!$B$2:$H$1000,4,FALSE())&gt;=4,"Yes",""),""))</f>
        <v/>
      </c>
      <c r="AE429" s="102" t="str">
        <f aca="false">IF(OR($N429="", $O429=""),"",IF($N429&gt;=Lists!$AG$2,IF($O429&gt;=Lists!$AG$4,"High Value / High Risk","High Value / Low Risk"),IF($O429&gt;=Lists!$AG$4,"Low Value / High Risk","Low Value / Low Risk")))</f>
        <v/>
      </c>
      <c r="AF429" s="101"/>
      <c r="AG429" s="126"/>
      <c r="AH429" s="106" t="str">
        <f aca="false">IF($B429="","",COUNTIFS('Debt Backlog'!$AF$2:$AF$1000,$A429,'Debt Backlog'!$B$2:$B$1000,"&lt;&gt;",'Debt Backlog'!$N$2:$N$1000,"&lt;&gt;Done",'Debt Backlog'!$N$2:$N$1000,"&lt;&gt;Won't Fix",'Debt Backlog'!$N$2:$N$1000,"&lt;&gt;Duplicate"))</f>
        <v/>
      </c>
      <c r="AI429" s="103" t="str">
        <f aca="false">IF($B429="","",ROUND(SUMIFS('Debt Backlog'!$L$2:$L$1000,'Debt Backlog'!$AF$2:$AF$1000,$A429,'Debt Backlog'!$B$2:$B$1000,"&lt;&gt;",'Debt Backlog'!$N$2:$N$1000,"&lt;&gt;Done",'Debt Backlog'!$N$2:$N$1000,"&lt;&gt;Won't Fix",'Debt Backlog'!$N$2:$N$1000,"&lt;&gt;Duplicate"),2))</f>
        <v/>
      </c>
    </row>
    <row r="430" customFormat="false" ht="15.75" hidden="false" customHeight="true" outlineLevel="0" collapsed="false">
      <c r="A430" s="125"/>
      <c r="B430" s="101"/>
      <c r="C430" s="101"/>
      <c r="D430" s="101"/>
      <c r="E430" s="101"/>
      <c r="F430" s="101"/>
      <c r="G430" s="101"/>
      <c r="H430" s="101"/>
      <c r="I430" s="106"/>
      <c r="J430" s="106"/>
      <c r="K430" s="106"/>
      <c r="L430" s="106"/>
      <c r="M430" s="106"/>
      <c r="N430" s="103" t="str">
        <f aca="false">IF(OR($B430="", $I430="", $J430="", $K430="", $L430="", $M430=""),"",ROUND(($I430*Lists!$AD$2)+($J430*Lists!$AD$3)+($K430*Lists!$AD$4)+($L430*Lists!$AD$5)+($M430*Lists!$AD$6),2))</f>
        <v/>
      </c>
      <c r="O430" s="103" t="str">
        <f aca="false">IF($A430="","",IFERROR(VLOOKUP($A430,'Risk Register'!$B$2:$I$1000,8,FALSE()),""))</f>
        <v/>
      </c>
      <c r="P430" s="106"/>
      <c r="Q430" s="106"/>
      <c r="R430" s="106"/>
      <c r="S430" s="106"/>
      <c r="T430" s="103" t="str">
        <f aca="false">IF(OR($B430="", $P430="", $Q430="", $R430="", $S430=""),"",ROUND(($P430*Lists!$AD$7)+($Q430*Lists!$AD$8)+($R430*Lists!$AD$9)+($S430*Lists!$AD$10),2))</f>
        <v/>
      </c>
      <c r="U430" s="106"/>
      <c r="V430" s="106"/>
      <c r="W430" s="106"/>
      <c r="X430" s="106"/>
      <c r="Y430" s="106"/>
      <c r="Z430" s="103" t="str">
        <f aca="false">IF(OR($B430="", $U430="", $V430="", $W430="", $X430="", $Y430=""),"",ROUND(($U430*Lists!$AD$11)+($V430*Lists!$AD$12)+($W430*Lists!$AD$13)+($X430*Lists!$AD$14)+($Y430*Lists!$AD$15),2))</f>
        <v/>
      </c>
      <c r="AA430" s="103" t="str">
        <f aca="false">IF(OR($B430="", $N430="", $O430="", $T430="", $Z430=""),"",ROUND(($N430*Lists!$AD$16)-($O430*Lists!$AD$17)-($T430*Lists!$AD$18)+($Z430*Lists!$AD$19),2))</f>
        <v/>
      </c>
      <c r="AB430" s="102" t="str">
        <f aca="false">IF(OR($B430="", $N430="", $Z430=""),"",IF($N430&gt;=Lists!$AG$2,IF($Z430&gt;=Lists!$AG$3,"Invest","Migrate"),IF($Z430&gt;=Lists!$AG$3,"Tolerate","Eliminate")))</f>
        <v/>
      </c>
      <c r="AC430" s="102" t="str">
        <f aca="false">IF($B430="","",IF($J430&gt;=4,"Yes",""))</f>
        <v/>
      </c>
      <c r="AD430" s="102" t="str">
        <f aca="false">IF($A430="","",IFERROR(IF(VLOOKUP($A430,'Risk Register'!$B$2:$H$1000,4,FALSE())&gt;=4,"Yes",""),""))</f>
        <v/>
      </c>
      <c r="AE430" s="102" t="str">
        <f aca="false">IF(OR($N430="", $O430=""),"",IF($N430&gt;=Lists!$AG$2,IF($O430&gt;=Lists!$AG$4,"High Value / High Risk","High Value / Low Risk"),IF($O430&gt;=Lists!$AG$4,"Low Value / High Risk","Low Value / Low Risk")))</f>
        <v/>
      </c>
      <c r="AF430" s="101"/>
      <c r="AG430" s="126"/>
      <c r="AH430" s="106" t="str">
        <f aca="false">IF($B430="","",COUNTIFS('Debt Backlog'!$AF$2:$AF$1000,$A430,'Debt Backlog'!$B$2:$B$1000,"&lt;&gt;",'Debt Backlog'!$N$2:$N$1000,"&lt;&gt;Done",'Debt Backlog'!$N$2:$N$1000,"&lt;&gt;Won't Fix",'Debt Backlog'!$N$2:$N$1000,"&lt;&gt;Duplicate"))</f>
        <v/>
      </c>
      <c r="AI430" s="103" t="str">
        <f aca="false">IF($B430="","",ROUND(SUMIFS('Debt Backlog'!$L$2:$L$1000,'Debt Backlog'!$AF$2:$AF$1000,$A430,'Debt Backlog'!$B$2:$B$1000,"&lt;&gt;",'Debt Backlog'!$N$2:$N$1000,"&lt;&gt;Done",'Debt Backlog'!$N$2:$N$1000,"&lt;&gt;Won't Fix",'Debt Backlog'!$N$2:$N$1000,"&lt;&gt;Duplicate"),2))</f>
        <v/>
      </c>
    </row>
    <row r="431" customFormat="false" ht="15.75" hidden="false" customHeight="true" outlineLevel="0" collapsed="false">
      <c r="A431" s="125"/>
      <c r="B431" s="101"/>
      <c r="C431" s="101"/>
      <c r="D431" s="101"/>
      <c r="E431" s="101"/>
      <c r="F431" s="101"/>
      <c r="G431" s="101"/>
      <c r="H431" s="101"/>
      <c r="I431" s="106"/>
      <c r="J431" s="106"/>
      <c r="K431" s="106"/>
      <c r="L431" s="106"/>
      <c r="M431" s="106"/>
      <c r="N431" s="103" t="str">
        <f aca="false">IF(OR($B431="", $I431="", $J431="", $K431="", $L431="", $M431=""),"",ROUND(($I431*Lists!$AD$2)+($J431*Lists!$AD$3)+($K431*Lists!$AD$4)+($L431*Lists!$AD$5)+($M431*Lists!$AD$6),2))</f>
        <v/>
      </c>
      <c r="O431" s="103" t="str">
        <f aca="false">IF($A431="","",IFERROR(VLOOKUP($A431,'Risk Register'!$B$2:$I$1000,8,FALSE()),""))</f>
        <v/>
      </c>
      <c r="P431" s="106"/>
      <c r="Q431" s="106"/>
      <c r="R431" s="106"/>
      <c r="S431" s="106"/>
      <c r="T431" s="103" t="str">
        <f aca="false">IF(OR($B431="", $P431="", $Q431="", $R431="", $S431=""),"",ROUND(($P431*Lists!$AD$7)+($Q431*Lists!$AD$8)+($R431*Lists!$AD$9)+($S431*Lists!$AD$10),2))</f>
        <v/>
      </c>
      <c r="U431" s="106"/>
      <c r="V431" s="106"/>
      <c r="W431" s="106"/>
      <c r="X431" s="106"/>
      <c r="Y431" s="106"/>
      <c r="Z431" s="103" t="str">
        <f aca="false">IF(OR($B431="", $U431="", $V431="", $W431="", $X431="", $Y431=""),"",ROUND(($U431*Lists!$AD$11)+($V431*Lists!$AD$12)+($W431*Lists!$AD$13)+($X431*Lists!$AD$14)+($Y431*Lists!$AD$15),2))</f>
        <v/>
      </c>
      <c r="AA431" s="103" t="str">
        <f aca="false">IF(OR($B431="", $N431="", $O431="", $T431="", $Z431=""),"",ROUND(($N431*Lists!$AD$16)-($O431*Lists!$AD$17)-($T431*Lists!$AD$18)+($Z431*Lists!$AD$19),2))</f>
        <v/>
      </c>
      <c r="AB431" s="102" t="str">
        <f aca="false">IF(OR($B431="", $N431="", $Z431=""),"",IF($N431&gt;=Lists!$AG$2,IF($Z431&gt;=Lists!$AG$3,"Invest","Migrate"),IF($Z431&gt;=Lists!$AG$3,"Tolerate","Eliminate")))</f>
        <v/>
      </c>
      <c r="AC431" s="102" t="str">
        <f aca="false">IF($B431="","",IF($J431&gt;=4,"Yes",""))</f>
        <v/>
      </c>
      <c r="AD431" s="102" t="str">
        <f aca="false">IF($A431="","",IFERROR(IF(VLOOKUP($A431,'Risk Register'!$B$2:$H$1000,4,FALSE())&gt;=4,"Yes",""),""))</f>
        <v/>
      </c>
      <c r="AE431" s="102" t="str">
        <f aca="false">IF(OR($N431="", $O431=""),"",IF($N431&gt;=Lists!$AG$2,IF($O431&gt;=Lists!$AG$4,"High Value / High Risk","High Value / Low Risk"),IF($O431&gt;=Lists!$AG$4,"Low Value / High Risk","Low Value / Low Risk")))</f>
        <v/>
      </c>
      <c r="AF431" s="101"/>
      <c r="AG431" s="126"/>
      <c r="AH431" s="106" t="str">
        <f aca="false">IF($B431="","",COUNTIFS('Debt Backlog'!$AF$2:$AF$1000,$A431,'Debt Backlog'!$B$2:$B$1000,"&lt;&gt;",'Debt Backlog'!$N$2:$N$1000,"&lt;&gt;Done",'Debt Backlog'!$N$2:$N$1000,"&lt;&gt;Won't Fix",'Debt Backlog'!$N$2:$N$1000,"&lt;&gt;Duplicate"))</f>
        <v/>
      </c>
      <c r="AI431" s="103" t="str">
        <f aca="false">IF($B431="","",ROUND(SUMIFS('Debt Backlog'!$L$2:$L$1000,'Debt Backlog'!$AF$2:$AF$1000,$A431,'Debt Backlog'!$B$2:$B$1000,"&lt;&gt;",'Debt Backlog'!$N$2:$N$1000,"&lt;&gt;Done",'Debt Backlog'!$N$2:$N$1000,"&lt;&gt;Won't Fix",'Debt Backlog'!$N$2:$N$1000,"&lt;&gt;Duplicate"),2))</f>
        <v/>
      </c>
    </row>
    <row r="432" customFormat="false" ht="15.75" hidden="false" customHeight="true" outlineLevel="0" collapsed="false">
      <c r="A432" s="125"/>
      <c r="B432" s="101"/>
      <c r="C432" s="101"/>
      <c r="D432" s="101"/>
      <c r="E432" s="101"/>
      <c r="F432" s="101"/>
      <c r="G432" s="101"/>
      <c r="H432" s="101"/>
      <c r="I432" s="106"/>
      <c r="J432" s="106"/>
      <c r="K432" s="106"/>
      <c r="L432" s="106"/>
      <c r="M432" s="106"/>
      <c r="N432" s="103" t="str">
        <f aca="false">IF(OR($B432="", $I432="", $J432="", $K432="", $L432="", $M432=""),"",ROUND(($I432*Lists!$AD$2)+($J432*Lists!$AD$3)+($K432*Lists!$AD$4)+($L432*Lists!$AD$5)+($M432*Lists!$AD$6),2))</f>
        <v/>
      </c>
      <c r="O432" s="103" t="str">
        <f aca="false">IF($A432="","",IFERROR(VLOOKUP($A432,'Risk Register'!$B$2:$I$1000,8,FALSE()),""))</f>
        <v/>
      </c>
      <c r="P432" s="106"/>
      <c r="Q432" s="106"/>
      <c r="R432" s="106"/>
      <c r="S432" s="106"/>
      <c r="T432" s="103" t="str">
        <f aca="false">IF(OR($B432="", $P432="", $Q432="", $R432="", $S432=""),"",ROUND(($P432*Lists!$AD$7)+($Q432*Lists!$AD$8)+($R432*Lists!$AD$9)+($S432*Lists!$AD$10),2))</f>
        <v/>
      </c>
      <c r="U432" s="106"/>
      <c r="V432" s="106"/>
      <c r="W432" s="106"/>
      <c r="X432" s="106"/>
      <c r="Y432" s="106"/>
      <c r="Z432" s="103" t="str">
        <f aca="false">IF(OR($B432="", $U432="", $V432="", $W432="", $X432="", $Y432=""),"",ROUND(($U432*Lists!$AD$11)+($V432*Lists!$AD$12)+($W432*Lists!$AD$13)+($X432*Lists!$AD$14)+($Y432*Lists!$AD$15),2))</f>
        <v/>
      </c>
      <c r="AA432" s="103" t="str">
        <f aca="false">IF(OR($B432="", $N432="", $O432="", $T432="", $Z432=""),"",ROUND(($N432*Lists!$AD$16)-($O432*Lists!$AD$17)-($T432*Lists!$AD$18)+($Z432*Lists!$AD$19),2))</f>
        <v/>
      </c>
      <c r="AB432" s="102" t="str">
        <f aca="false">IF(OR($B432="", $N432="", $Z432=""),"",IF($N432&gt;=Lists!$AG$2,IF($Z432&gt;=Lists!$AG$3,"Invest","Migrate"),IF($Z432&gt;=Lists!$AG$3,"Tolerate","Eliminate")))</f>
        <v/>
      </c>
      <c r="AC432" s="102" t="str">
        <f aca="false">IF($B432="","",IF($J432&gt;=4,"Yes",""))</f>
        <v/>
      </c>
      <c r="AD432" s="102" t="str">
        <f aca="false">IF($A432="","",IFERROR(IF(VLOOKUP($A432,'Risk Register'!$B$2:$H$1000,4,FALSE())&gt;=4,"Yes",""),""))</f>
        <v/>
      </c>
      <c r="AE432" s="102" t="str">
        <f aca="false">IF(OR($N432="", $O432=""),"",IF($N432&gt;=Lists!$AG$2,IF($O432&gt;=Lists!$AG$4,"High Value / High Risk","High Value / Low Risk"),IF($O432&gt;=Lists!$AG$4,"Low Value / High Risk","Low Value / Low Risk")))</f>
        <v/>
      </c>
      <c r="AF432" s="101"/>
      <c r="AG432" s="126"/>
      <c r="AH432" s="106" t="str">
        <f aca="false">IF($B432="","",COUNTIFS('Debt Backlog'!$AF$2:$AF$1000,$A432,'Debt Backlog'!$B$2:$B$1000,"&lt;&gt;",'Debt Backlog'!$N$2:$N$1000,"&lt;&gt;Done",'Debt Backlog'!$N$2:$N$1000,"&lt;&gt;Won't Fix",'Debt Backlog'!$N$2:$N$1000,"&lt;&gt;Duplicate"))</f>
        <v/>
      </c>
      <c r="AI432" s="103" t="str">
        <f aca="false">IF($B432="","",ROUND(SUMIFS('Debt Backlog'!$L$2:$L$1000,'Debt Backlog'!$AF$2:$AF$1000,$A432,'Debt Backlog'!$B$2:$B$1000,"&lt;&gt;",'Debt Backlog'!$N$2:$N$1000,"&lt;&gt;Done",'Debt Backlog'!$N$2:$N$1000,"&lt;&gt;Won't Fix",'Debt Backlog'!$N$2:$N$1000,"&lt;&gt;Duplicate"),2))</f>
        <v/>
      </c>
    </row>
    <row r="433" customFormat="false" ht="15.75" hidden="false" customHeight="true" outlineLevel="0" collapsed="false">
      <c r="A433" s="125"/>
      <c r="B433" s="101"/>
      <c r="C433" s="101"/>
      <c r="D433" s="101"/>
      <c r="E433" s="101"/>
      <c r="F433" s="101"/>
      <c r="G433" s="101"/>
      <c r="H433" s="101"/>
      <c r="I433" s="106"/>
      <c r="J433" s="106"/>
      <c r="K433" s="106"/>
      <c r="L433" s="106"/>
      <c r="M433" s="106"/>
      <c r="N433" s="103" t="str">
        <f aca="false">IF(OR($B433="", $I433="", $J433="", $K433="", $L433="", $M433=""),"",ROUND(($I433*Lists!$AD$2)+($J433*Lists!$AD$3)+($K433*Lists!$AD$4)+($L433*Lists!$AD$5)+($M433*Lists!$AD$6),2))</f>
        <v/>
      </c>
      <c r="O433" s="103" t="str">
        <f aca="false">IF($A433="","",IFERROR(VLOOKUP($A433,'Risk Register'!$B$2:$I$1000,8,FALSE()),""))</f>
        <v/>
      </c>
      <c r="P433" s="106"/>
      <c r="Q433" s="106"/>
      <c r="R433" s="106"/>
      <c r="S433" s="106"/>
      <c r="T433" s="103" t="str">
        <f aca="false">IF(OR($B433="", $P433="", $Q433="", $R433="", $S433=""),"",ROUND(($P433*Lists!$AD$7)+($Q433*Lists!$AD$8)+($R433*Lists!$AD$9)+($S433*Lists!$AD$10),2))</f>
        <v/>
      </c>
      <c r="U433" s="106"/>
      <c r="V433" s="106"/>
      <c r="W433" s="106"/>
      <c r="X433" s="106"/>
      <c r="Y433" s="106"/>
      <c r="Z433" s="103" t="str">
        <f aca="false">IF(OR($B433="", $U433="", $V433="", $W433="", $X433="", $Y433=""),"",ROUND(($U433*Lists!$AD$11)+($V433*Lists!$AD$12)+($W433*Lists!$AD$13)+($X433*Lists!$AD$14)+($Y433*Lists!$AD$15),2))</f>
        <v/>
      </c>
      <c r="AA433" s="103" t="str">
        <f aca="false">IF(OR($B433="", $N433="", $O433="", $T433="", $Z433=""),"",ROUND(($N433*Lists!$AD$16)-($O433*Lists!$AD$17)-($T433*Lists!$AD$18)+($Z433*Lists!$AD$19),2))</f>
        <v/>
      </c>
      <c r="AB433" s="102" t="str">
        <f aca="false">IF(OR($B433="", $N433="", $Z433=""),"",IF($N433&gt;=Lists!$AG$2,IF($Z433&gt;=Lists!$AG$3,"Invest","Migrate"),IF($Z433&gt;=Lists!$AG$3,"Tolerate","Eliminate")))</f>
        <v/>
      </c>
      <c r="AC433" s="102" t="str">
        <f aca="false">IF($B433="","",IF($J433&gt;=4,"Yes",""))</f>
        <v/>
      </c>
      <c r="AD433" s="102" t="str">
        <f aca="false">IF($A433="","",IFERROR(IF(VLOOKUP($A433,'Risk Register'!$B$2:$H$1000,4,FALSE())&gt;=4,"Yes",""),""))</f>
        <v/>
      </c>
      <c r="AE433" s="102" t="str">
        <f aca="false">IF(OR($N433="", $O433=""),"",IF($N433&gt;=Lists!$AG$2,IF($O433&gt;=Lists!$AG$4,"High Value / High Risk","High Value / Low Risk"),IF($O433&gt;=Lists!$AG$4,"Low Value / High Risk","Low Value / Low Risk")))</f>
        <v/>
      </c>
      <c r="AF433" s="101"/>
      <c r="AG433" s="126"/>
      <c r="AH433" s="106" t="str">
        <f aca="false">IF($B433="","",COUNTIFS('Debt Backlog'!$AF$2:$AF$1000,$A433,'Debt Backlog'!$B$2:$B$1000,"&lt;&gt;",'Debt Backlog'!$N$2:$N$1000,"&lt;&gt;Done",'Debt Backlog'!$N$2:$N$1000,"&lt;&gt;Won't Fix",'Debt Backlog'!$N$2:$N$1000,"&lt;&gt;Duplicate"))</f>
        <v/>
      </c>
      <c r="AI433" s="103" t="str">
        <f aca="false">IF($B433="","",ROUND(SUMIFS('Debt Backlog'!$L$2:$L$1000,'Debt Backlog'!$AF$2:$AF$1000,$A433,'Debt Backlog'!$B$2:$B$1000,"&lt;&gt;",'Debt Backlog'!$N$2:$N$1000,"&lt;&gt;Done",'Debt Backlog'!$N$2:$N$1000,"&lt;&gt;Won't Fix",'Debt Backlog'!$N$2:$N$1000,"&lt;&gt;Duplicate"),2))</f>
        <v/>
      </c>
    </row>
    <row r="434" customFormat="false" ht="15.75" hidden="false" customHeight="true" outlineLevel="0" collapsed="false">
      <c r="A434" s="125"/>
      <c r="B434" s="101"/>
      <c r="C434" s="101"/>
      <c r="D434" s="101"/>
      <c r="E434" s="101"/>
      <c r="F434" s="101"/>
      <c r="G434" s="101"/>
      <c r="H434" s="101"/>
      <c r="I434" s="106"/>
      <c r="J434" s="106"/>
      <c r="K434" s="106"/>
      <c r="L434" s="106"/>
      <c r="M434" s="106"/>
      <c r="N434" s="103" t="str">
        <f aca="false">IF(OR($B434="", $I434="", $J434="", $K434="", $L434="", $M434=""),"",ROUND(($I434*Lists!$AD$2)+($J434*Lists!$AD$3)+($K434*Lists!$AD$4)+($L434*Lists!$AD$5)+($M434*Lists!$AD$6),2))</f>
        <v/>
      </c>
      <c r="O434" s="103" t="str">
        <f aca="false">IF($A434="","",IFERROR(VLOOKUP($A434,'Risk Register'!$B$2:$I$1000,8,FALSE()),""))</f>
        <v/>
      </c>
      <c r="P434" s="106"/>
      <c r="Q434" s="106"/>
      <c r="R434" s="106"/>
      <c r="S434" s="106"/>
      <c r="T434" s="103" t="str">
        <f aca="false">IF(OR($B434="", $P434="", $Q434="", $R434="", $S434=""),"",ROUND(($P434*Lists!$AD$7)+($Q434*Lists!$AD$8)+($R434*Lists!$AD$9)+($S434*Lists!$AD$10),2))</f>
        <v/>
      </c>
      <c r="U434" s="106"/>
      <c r="V434" s="106"/>
      <c r="W434" s="106"/>
      <c r="X434" s="106"/>
      <c r="Y434" s="106"/>
      <c r="Z434" s="103" t="str">
        <f aca="false">IF(OR($B434="", $U434="", $V434="", $W434="", $X434="", $Y434=""),"",ROUND(($U434*Lists!$AD$11)+($V434*Lists!$AD$12)+($W434*Lists!$AD$13)+($X434*Lists!$AD$14)+($Y434*Lists!$AD$15),2))</f>
        <v/>
      </c>
      <c r="AA434" s="103" t="str">
        <f aca="false">IF(OR($B434="", $N434="", $O434="", $T434="", $Z434=""),"",ROUND(($N434*Lists!$AD$16)-($O434*Lists!$AD$17)-($T434*Lists!$AD$18)+($Z434*Lists!$AD$19),2))</f>
        <v/>
      </c>
      <c r="AB434" s="102" t="str">
        <f aca="false">IF(OR($B434="", $N434="", $Z434=""),"",IF($N434&gt;=Lists!$AG$2,IF($Z434&gt;=Lists!$AG$3,"Invest","Migrate"),IF($Z434&gt;=Lists!$AG$3,"Tolerate","Eliminate")))</f>
        <v/>
      </c>
      <c r="AC434" s="102" t="str">
        <f aca="false">IF($B434="","",IF($J434&gt;=4,"Yes",""))</f>
        <v/>
      </c>
      <c r="AD434" s="102" t="str">
        <f aca="false">IF($A434="","",IFERROR(IF(VLOOKUP($A434,'Risk Register'!$B$2:$H$1000,4,FALSE())&gt;=4,"Yes",""),""))</f>
        <v/>
      </c>
      <c r="AE434" s="102" t="str">
        <f aca="false">IF(OR($N434="", $O434=""),"",IF($N434&gt;=Lists!$AG$2,IF($O434&gt;=Lists!$AG$4,"High Value / High Risk","High Value / Low Risk"),IF($O434&gt;=Lists!$AG$4,"Low Value / High Risk","Low Value / Low Risk")))</f>
        <v/>
      </c>
      <c r="AF434" s="101"/>
      <c r="AG434" s="126"/>
      <c r="AH434" s="106" t="str">
        <f aca="false">IF($B434="","",COUNTIFS('Debt Backlog'!$AF$2:$AF$1000,$A434,'Debt Backlog'!$B$2:$B$1000,"&lt;&gt;",'Debt Backlog'!$N$2:$N$1000,"&lt;&gt;Done",'Debt Backlog'!$N$2:$N$1000,"&lt;&gt;Won't Fix",'Debt Backlog'!$N$2:$N$1000,"&lt;&gt;Duplicate"))</f>
        <v/>
      </c>
      <c r="AI434" s="103" t="str">
        <f aca="false">IF($B434="","",ROUND(SUMIFS('Debt Backlog'!$L$2:$L$1000,'Debt Backlog'!$AF$2:$AF$1000,$A434,'Debt Backlog'!$B$2:$B$1000,"&lt;&gt;",'Debt Backlog'!$N$2:$N$1000,"&lt;&gt;Done",'Debt Backlog'!$N$2:$N$1000,"&lt;&gt;Won't Fix",'Debt Backlog'!$N$2:$N$1000,"&lt;&gt;Duplicate"),2))</f>
        <v/>
      </c>
    </row>
    <row r="435" customFormat="false" ht="15.75" hidden="false" customHeight="true" outlineLevel="0" collapsed="false">
      <c r="A435" s="125"/>
      <c r="B435" s="101"/>
      <c r="C435" s="101"/>
      <c r="D435" s="101"/>
      <c r="E435" s="101"/>
      <c r="F435" s="101"/>
      <c r="G435" s="101"/>
      <c r="H435" s="101"/>
      <c r="I435" s="106"/>
      <c r="J435" s="106"/>
      <c r="K435" s="106"/>
      <c r="L435" s="106"/>
      <c r="M435" s="106"/>
      <c r="N435" s="103" t="str">
        <f aca="false">IF(OR($B435="", $I435="", $J435="", $K435="", $L435="", $M435=""),"",ROUND(($I435*Lists!$AD$2)+($J435*Lists!$AD$3)+($K435*Lists!$AD$4)+($L435*Lists!$AD$5)+($M435*Lists!$AD$6),2))</f>
        <v/>
      </c>
      <c r="O435" s="103" t="str">
        <f aca="false">IF($A435="","",IFERROR(VLOOKUP($A435,'Risk Register'!$B$2:$I$1000,8,FALSE()),""))</f>
        <v/>
      </c>
      <c r="P435" s="106"/>
      <c r="Q435" s="106"/>
      <c r="R435" s="106"/>
      <c r="S435" s="106"/>
      <c r="T435" s="103" t="str">
        <f aca="false">IF(OR($B435="", $P435="", $Q435="", $R435="", $S435=""),"",ROUND(($P435*Lists!$AD$7)+($Q435*Lists!$AD$8)+($R435*Lists!$AD$9)+($S435*Lists!$AD$10),2))</f>
        <v/>
      </c>
      <c r="U435" s="106"/>
      <c r="V435" s="106"/>
      <c r="W435" s="106"/>
      <c r="X435" s="106"/>
      <c r="Y435" s="106"/>
      <c r="Z435" s="103" t="str">
        <f aca="false">IF(OR($B435="", $U435="", $V435="", $W435="", $X435="", $Y435=""),"",ROUND(($U435*Lists!$AD$11)+($V435*Lists!$AD$12)+($W435*Lists!$AD$13)+($X435*Lists!$AD$14)+($Y435*Lists!$AD$15),2))</f>
        <v/>
      </c>
      <c r="AA435" s="103" t="str">
        <f aca="false">IF(OR($B435="", $N435="", $O435="", $T435="", $Z435=""),"",ROUND(($N435*Lists!$AD$16)-($O435*Lists!$AD$17)-($T435*Lists!$AD$18)+($Z435*Lists!$AD$19),2))</f>
        <v/>
      </c>
      <c r="AB435" s="102" t="str">
        <f aca="false">IF(OR($B435="", $N435="", $Z435=""),"",IF($N435&gt;=Lists!$AG$2,IF($Z435&gt;=Lists!$AG$3,"Invest","Migrate"),IF($Z435&gt;=Lists!$AG$3,"Tolerate","Eliminate")))</f>
        <v/>
      </c>
      <c r="AC435" s="102" t="str">
        <f aca="false">IF($B435="","",IF($J435&gt;=4,"Yes",""))</f>
        <v/>
      </c>
      <c r="AD435" s="102" t="str">
        <f aca="false">IF($A435="","",IFERROR(IF(VLOOKUP($A435,'Risk Register'!$B$2:$H$1000,4,FALSE())&gt;=4,"Yes",""),""))</f>
        <v/>
      </c>
      <c r="AE435" s="102" t="str">
        <f aca="false">IF(OR($N435="", $O435=""),"",IF($N435&gt;=Lists!$AG$2,IF($O435&gt;=Lists!$AG$4,"High Value / High Risk","High Value / Low Risk"),IF($O435&gt;=Lists!$AG$4,"Low Value / High Risk","Low Value / Low Risk")))</f>
        <v/>
      </c>
      <c r="AF435" s="101"/>
      <c r="AG435" s="126"/>
      <c r="AH435" s="106" t="str">
        <f aca="false">IF($B435="","",COUNTIFS('Debt Backlog'!$AF$2:$AF$1000,$A435,'Debt Backlog'!$B$2:$B$1000,"&lt;&gt;",'Debt Backlog'!$N$2:$N$1000,"&lt;&gt;Done",'Debt Backlog'!$N$2:$N$1000,"&lt;&gt;Won't Fix",'Debt Backlog'!$N$2:$N$1000,"&lt;&gt;Duplicate"))</f>
        <v/>
      </c>
      <c r="AI435" s="103" t="str">
        <f aca="false">IF($B435="","",ROUND(SUMIFS('Debt Backlog'!$L$2:$L$1000,'Debt Backlog'!$AF$2:$AF$1000,$A435,'Debt Backlog'!$B$2:$B$1000,"&lt;&gt;",'Debt Backlog'!$N$2:$N$1000,"&lt;&gt;Done",'Debt Backlog'!$N$2:$N$1000,"&lt;&gt;Won't Fix",'Debt Backlog'!$N$2:$N$1000,"&lt;&gt;Duplicate"),2))</f>
        <v/>
      </c>
    </row>
    <row r="436" customFormat="false" ht="15.75" hidden="false" customHeight="true" outlineLevel="0" collapsed="false">
      <c r="A436" s="125"/>
      <c r="B436" s="101"/>
      <c r="C436" s="101"/>
      <c r="D436" s="101"/>
      <c r="E436" s="101"/>
      <c r="F436" s="101"/>
      <c r="G436" s="101"/>
      <c r="H436" s="101"/>
      <c r="I436" s="106"/>
      <c r="J436" s="106"/>
      <c r="K436" s="106"/>
      <c r="L436" s="106"/>
      <c r="M436" s="106"/>
      <c r="N436" s="103" t="str">
        <f aca="false">IF(OR($B436="", $I436="", $J436="", $K436="", $L436="", $M436=""),"",ROUND(($I436*Lists!$AD$2)+($J436*Lists!$AD$3)+($K436*Lists!$AD$4)+($L436*Lists!$AD$5)+($M436*Lists!$AD$6),2))</f>
        <v/>
      </c>
      <c r="O436" s="103" t="str">
        <f aca="false">IF($A436="","",IFERROR(VLOOKUP($A436,'Risk Register'!$B$2:$I$1000,8,FALSE()),""))</f>
        <v/>
      </c>
      <c r="P436" s="106"/>
      <c r="Q436" s="106"/>
      <c r="R436" s="106"/>
      <c r="S436" s="106"/>
      <c r="T436" s="103" t="str">
        <f aca="false">IF(OR($B436="", $P436="", $Q436="", $R436="", $S436=""),"",ROUND(($P436*Lists!$AD$7)+($Q436*Lists!$AD$8)+($R436*Lists!$AD$9)+($S436*Lists!$AD$10),2))</f>
        <v/>
      </c>
      <c r="U436" s="106"/>
      <c r="V436" s="106"/>
      <c r="W436" s="106"/>
      <c r="X436" s="106"/>
      <c r="Y436" s="106"/>
      <c r="Z436" s="103" t="str">
        <f aca="false">IF(OR($B436="", $U436="", $V436="", $W436="", $X436="", $Y436=""),"",ROUND(($U436*Lists!$AD$11)+($V436*Lists!$AD$12)+($W436*Lists!$AD$13)+($X436*Lists!$AD$14)+($Y436*Lists!$AD$15),2))</f>
        <v/>
      </c>
      <c r="AA436" s="103" t="str">
        <f aca="false">IF(OR($B436="", $N436="", $O436="", $T436="", $Z436=""),"",ROUND(($N436*Lists!$AD$16)-($O436*Lists!$AD$17)-($T436*Lists!$AD$18)+($Z436*Lists!$AD$19),2))</f>
        <v/>
      </c>
      <c r="AB436" s="102" t="str">
        <f aca="false">IF(OR($B436="", $N436="", $Z436=""),"",IF($N436&gt;=Lists!$AG$2,IF($Z436&gt;=Lists!$AG$3,"Invest","Migrate"),IF($Z436&gt;=Lists!$AG$3,"Tolerate","Eliminate")))</f>
        <v/>
      </c>
      <c r="AC436" s="102" t="str">
        <f aca="false">IF($B436="","",IF($J436&gt;=4,"Yes",""))</f>
        <v/>
      </c>
      <c r="AD436" s="102" t="str">
        <f aca="false">IF($A436="","",IFERROR(IF(VLOOKUP($A436,'Risk Register'!$B$2:$H$1000,4,FALSE())&gt;=4,"Yes",""),""))</f>
        <v/>
      </c>
      <c r="AE436" s="102" t="str">
        <f aca="false">IF(OR($N436="", $O436=""),"",IF($N436&gt;=Lists!$AG$2,IF($O436&gt;=Lists!$AG$4,"High Value / High Risk","High Value / Low Risk"),IF($O436&gt;=Lists!$AG$4,"Low Value / High Risk","Low Value / Low Risk")))</f>
        <v/>
      </c>
      <c r="AF436" s="101"/>
      <c r="AG436" s="126"/>
      <c r="AH436" s="106" t="str">
        <f aca="false">IF($B436="","",COUNTIFS('Debt Backlog'!$AF$2:$AF$1000,$A436,'Debt Backlog'!$B$2:$B$1000,"&lt;&gt;",'Debt Backlog'!$N$2:$N$1000,"&lt;&gt;Done",'Debt Backlog'!$N$2:$N$1000,"&lt;&gt;Won't Fix",'Debt Backlog'!$N$2:$N$1000,"&lt;&gt;Duplicate"))</f>
        <v/>
      </c>
      <c r="AI436" s="103" t="str">
        <f aca="false">IF($B436="","",ROUND(SUMIFS('Debt Backlog'!$L$2:$L$1000,'Debt Backlog'!$AF$2:$AF$1000,$A436,'Debt Backlog'!$B$2:$B$1000,"&lt;&gt;",'Debt Backlog'!$N$2:$N$1000,"&lt;&gt;Done",'Debt Backlog'!$N$2:$N$1000,"&lt;&gt;Won't Fix",'Debt Backlog'!$N$2:$N$1000,"&lt;&gt;Duplicate"),2))</f>
        <v/>
      </c>
    </row>
    <row r="437" customFormat="false" ht="15.75" hidden="false" customHeight="true" outlineLevel="0" collapsed="false">
      <c r="A437" s="125"/>
      <c r="B437" s="101"/>
      <c r="C437" s="101"/>
      <c r="D437" s="101"/>
      <c r="E437" s="101"/>
      <c r="F437" s="101"/>
      <c r="G437" s="101"/>
      <c r="H437" s="101"/>
      <c r="I437" s="106"/>
      <c r="J437" s="106"/>
      <c r="K437" s="106"/>
      <c r="L437" s="106"/>
      <c r="M437" s="106"/>
      <c r="N437" s="103" t="str">
        <f aca="false">IF(OR($B437="", $I437="", $J437="", $K437="", $L437="", $M437=""),"",ROUND(($I437*Lists!$AD$2)+($J437*Lists!$AD$3)+($K437*Lists!$AD$4)+($L437*Lists!$AD$5)+($M437*Lists!$AD$6),2))</f>
        <v/>
      </c>
      <c r="O437" s="103" t="str">
        <f aca="false">IF($A437="","",IFERROR(VLOOKUP($A437,'Risk Register'!$B$2:$I$1000,8,FALSE()),""))</f>
        <v/>
      </c>
      <c r="P437" s="106"/>
      <c r="Q437" s="106"/>
      <c r="R437" s="106"/>
      <c r="S437" s="106"/>
      <c r="T437" s="103" t="str">
        <f aca="false">IF(OR($B437="", $P437="", $Q437="", $R437="", $S437=""),"",ROUND(($P437*Lists!$AD$7)+($Q437*Lists!$AD$8)+($R437*Lists!$AD$9)+($S437*Lists!$AD$10),2))</f>
        <v/>
      </c>
      <c r="U437" s="106"/>
      <c r="V437" s="106"/>
      <c r="W437" s="106"/>
      <c r="X437" s="106"/>
      <c r="Y437" s="106"/>
      <c r="Z437" s="103" t="str">
        <f aca="false">IF(OR($B437="", $U437="", $V437="", $W437="", $X437="", $Y437=""),"",ROUND(($U437*Lists!$AD$11)+($V437*Lists!$AD$12)+($W437*Lists!$AD$13)+($X437*Lists!$AD$14)+($Y437*Lists!$AD$15),2))</f>
        <v/>
      </c>
      <c r="AA437" s="103" t="str">
        <f aca="false">IF(OR($B437="", $N437="", $O437="", $T437="", $Z437=""),"",ROUND(($N437*Lists!$AD$16)-($O437*Lists!$AD$17)-($T437*Lists!$AD$18)+($Z437*Lists!$AD$19),2))</f>
        <v/>
      </c>
      <c r="AB437" s="102" t="str">
        <f aca="false">IF(OR($B437="", $N437="", $Z437=""),"",IF($N437&gt;=Lists!$AG$2,IF($Z437&gt;=Lists!$AG$3,"Invest","Migrate"),IF($Z437&gt;=Lists!$AG$3,"Tolerate","Eliminate")))</f>
        <v/>
      </c>
      <c r="AC437" s="102" t="str">
        <f aca="false">IF($B437="","",IF($J437&gt;=4,"Yes",""))</f>
        <v/>
      </c>
      <c r="AD437" s="102" t="str">
        <f aca="false">IF($A437="","",IFERROR(IF(VLOOKUP($A437,'Risk Register'!$B$2:$H$1000,4,FALSE())&gt;=4,"Yes",""),""))</f>
        <v/>
      </c>
      <c r="AE437" s="102" t="str">
        <f aca="false">IF(OR($N437="", $O437=""),"",IF($N437&gt;=Lists!$AG$2,IF($O437&gt;=Lists!$AG$4,"High Value / High Risk","High Value / Low Risk"),IF($O437&gt;=Lists!$AG$4,"Low Value / High Risk","Low Value / Low Risk")))</f>
        <v/>
      </c>
      <c r="AF437" s="101"/>
      <c r="AG437" s="126"/>
      <c r="AH437" s="106" t="str">
        <f aca="false">IF($B437="","",COUNTIFS('Debt Backlog'!$AF$2:$AF$1000,$A437,'Debt Backlog'!$B$2:$B$1000,"&lt;&gt;",'Debt Backlog'!$N$2:$N$1000,"&lt;&gt;Done",'Debt Backlog'!$N$2:$N$1000,"&lt;&gt;Won't Fix",'Debt Backlog'!$N$2:$N$1000,"&lt;&gt;Duplicate"))</f>
        <v/>
      </c>
      <c r="AI437" s="103" t="str">
        <f aca="false">IF($B437="","",ROUND(SUMIFS('Debt Backlog'!$L$2:$L$1000,'Debt Backlog'!$AF$2:$AF$1000,$A437,'Debt Backlog'!$B$2:$B$1000,"&lt;&gt;",'Debt Backlog'!$N$2:$N$1000,"&lt;&gt;Done",'Debt Backlog'!$N$2:$N$1000,"&lt;&gt;Won't Fix",'Debt Backlog'!$N$2:$N$1000,"&lt;&gt;Duplicate"),2))</f>
        <v/>
      </c>
    </row>
    <row r="438" customFormat="false" ht="15.75" hidden="false" customHeight="true" outlineLevel="0" collapsed="false">
      <c r="A438" s="125"/>
      <c r="B438" s="101"/>
      <c r="C438" s="101"/>
      <c r="D438" s="101"/>
      <c r="E438" s="101"/>
      <c r="F438" s="101"/>
      <c r="G438" s="101"/>
      <c r="H438" s="101"/>
      <c r="I438" s="106"/>
      <c r="J438" s="106"/>
      <c r="K438" s="106"/>
      <c r="L438" s="106"/>
      <c r="M438" s="106"/>
      <c r="N438" s="103" t="str">
        <f aca="false">IF(OR($B438="", $I438="", $J438="", $K438="", $L438="", $M438=""),"",ROUND(($I438*Lists!$AD$2)+($J438*Lists!$AD$3)+($K438*Lists!$AD$4)+($L438*Lists!$AD$5)+($M438*Lists!$AD$6),2))</f>
        <v/>
      </c>
      <c r="O438" s="103" t="str">
        <f aca="false">IF($A438="","",IFERROR(VLOOKUP($A438,'Risk Register'!$B$2:$I$1000,8,FALSE()),""))</f>
        <v/>
      </c>
      <c r="P438" s="106"/>
      <c r="Q438" s="106"/>
      <c r="R438" s="106"/>
      <c r="S438" s="106"/>
      <c r="T438" s="103" t="str">
        <f aca="false">IF(OR($B438="", $P438="", $Q438="", $R438="", $S438=""),"",ROUND(($P438*Lists!$AD$7)+($Q438*Lists!$AD$8)+($R438*Lists!$AD$9)+($S438*Lists!$AD$10),2))</f>
        <v/>
      </c>
      <c r="U438" s="106"/>
      <c r="V438" s="106"/>
      <c r="W438" s="106"/>
      <c r="X438" s="106"/>
      <c r="Y438" s="106"/>
      <c r="Z438" s="103" t="str">
        <f aca="false">IF(OR($B438="", $U438="", $V438="", $W438="", $X438="", $Y438=""),"",ROUND(($U438*Lists!$AD$11)+($V438*Lists!$AD$12)+($W438*Lists!$AD$13)+($X438*Lists!$AD$14)+($Y438*Lists!$AD$15),2))</f>
        <v/>
      </c>
      <c r="AA438" s="103" t="str">
        <f aca="false">IF(OR($B438="", $N438="", $O438="", $T438="", $Z438=""),"",ROUND(($N438*Lists!$AD$16)-($O438*Lists!$AD$17)-($T438*Lists!$AD$18)+($Z438*Lists!$AD$19),2))</f>
        <v/>
      </c>
      <c r="AB438" s="102" t="str">
        <f aca="false">IF(OR($B438="", $N438="", $Z438=""),"",IF($N438&gt;=Lists!$AG$2,IF($Z438&gt;=Lists!$AG$3,"Invest","Migrate"),IF($Z438&gt;=Lists!$AG$3,"Tolerate","Eliminate")))</f>
        <v/>
      </c>
      <c r="AC438" s="102" t="str">
        <f aca="false">IF($B438="","",IF($J438&gt;=4,"Yes",""))</f>
        <v/>
      </c>
      <c r="AD438" s="102" t="str">
        <f aca="false">IF($A438="","",IFERROR(IF(VLOOKUP($A438,'Risk Register'!$B$2:$H$1000,4,FALSE())&gt;=4,"Yes",""),""))</f>
        <v/>
      </c>
      <c r="AE438" s="102" t="str">
        <f aca="false">IF(OR($N438="", $O438=""),"",IF($N438&gt;=Lists!$AG$2,IF($O438&gt;=Lists!$AG$4,"High Value / High Risk","High Value / Low Risk"),IF($O438&gt;=Lists!$AG$4,"Low Value / High Risk","Low Value / Low Risk")))</f>
        <v/>
      </c>
      <c r="AF438" s="101"/>
      <c r="AG438" s="126"/>
      <c r="AH438" s="106" t="str">
        <f aca="false">IF($B438="","",COUNTIFS('Debt Backlog'!$AF$2:$AF$1000,$A438,'Debt Backlog'!$B$2:$B$1000,"&lt;&gt;",'Debt Backlog'!$N$2:$N$1000,"&lt;&gt;Done",'Debt Backlog'!$N$2:$N$1000,"&lt;&gt;Won't Fix",'Debt Backlog'!$N$2:$N$1000,"&lt;&gt;Duplicate"))</f>
        <v/>
      </c>
      <c r="AI438" s="103" t="str">
        <f aca="false">IF($B438="","",ROUND(SUMIFS('Debt Backlog'!$L$2:$L$1000,'Debt Backlog'!$AF$2:$AF$1000,$A438,'Debt Backlog'!$B$2:$B$1000,"&lt;&gt;",'Debt Backlog'!$N$2:$N$1000,"&lt;&gt;Done",'Debt Backlog'!$N$2:$N$1000,"&lt;&gt;Won't Fix",'Debt Backlog'!$N$2:$N$1000,"&lt;&gt;Duplicate"),2))</f>
        <v/>
      </c>
    </row>
    <row r="439" customFormat="false" ht="15.75" hidden="false" customHeight="true" outlineLevel="0" collapsed="false">
      <c r="A439" s="125"/>
      <c r="B439" s="101"/>
      <c r="C439" s="101"/>
      <c r="D439" s="101"/>
      <c r="E439" s="101"/>
      <c r="F439" s="101"/>
      <c r="G439" s="101"/>
      <c r="H439" s="101"/>
      <c r="I439" s="106"/>
      <c r="J439" s="106"/>
      <c r="K439" s="106"/>
      <c r="L439" s="106"/>
      <c r="M439" s="106"/>
      <c r="N439" s="103" t="str">
        <f aca="false">IF(OR($B439="", $I439="", $J439="", $K439="", $L439="", $M439=""),"",ROUND(($I439*Lists!$AD$2)+($J439*Lists!$AD$3)+($K439*Lists!$AD$4)+($L439*Lists!$AD$5)+($M439*Lists!$AD$6),2))</f>
        <v/>
      </c>
      <c r="O439" s="103" t="str">
        <f aca="false">IF($A439="","",IFERROR(VLOOKUP($A439,'Risk Register'!$B$2:$I$1000,8,FALSE()),""))</f>
        <v/>
      </c>
      <c r="P439" s="106"/>
      <c r="Q439" s="106"/>
      <c r="R439" s="106"/>
      <c r="S439" s="106"/>
      <c r="T439" s="103" t="str">
        <f aca="false">IF(OR($B439="", $P439="", $Q439="", $R439="", $S439=""),"",ROUND(($P439*Lists!$AD$7)+($Q439*Lists!$AD$8)+($R439*Lists!$AD$9)+($S439*Lists!$AD$10),2))</f>
        <v/>
      </c>
      <c r="U439" s="106"/>
      <c r="V439" s="106"/>
      <c r="W439" s="106"/>
      <c r="X439" s="106"/>
      <c r="Y439" s="106"/>
      <c r="Z439" s="103" t="str">
        <f aca="false">IF(OR($B439="", $U439="", $V439="", $W439="", $X439="", $Y439=""),"",ROUND(($U439*Lists!$AD$11)+($V439*Lists!$AD$12)+($W439*Lists!$AD$13)+($X439*Lists!$AD$14)+($Y439*Lists!$AD$15),2))</f>
        <v/>
      </c>
      <c r="AA439" s="103" t="str">
        <f aca="false">IF(OR($B439="", $N439="", $O439="", $T439="", $Z439=""),"",ROUND(($N439*Lists!$AD$16)-($O439*Lists!$AD$17)-($T439*Lists!$AD$18)+($Z439*Lists!$AD$19),2))</f>
        <v/>
      </c>
      <c r="AB439" s="102" t="str">
        <f aca="false">IF(OR($B439="", $N439="", $Z439=""),"",IF($N439&gt;=Lists!$AG$2,IF($Z439&gt;=Lists!$AG$3,"Invest","Migrate"),IF($Z439&gt;=Lists!$AG$3,"Tolerate","Eliminate")))</f>
        <v/>
      </c>
      <c r="AC439" s="102" t="str">
        <f aca="false">IF($B439="","",IF($J439&gt;=4,"Yes",""))</f>
        <v/>
      </c>
      <c r="AD439" s="102" t="str">
        <f aca="false">IF($A439="","",IFERROR(IF(VLOOKUP($A439,'Risk Register'!$B$2:$H$1000,4,FALSE())&gt;=4,"Yes",""),""))</f>
        <v/>
      </c>
      <c r="AE439" s="102" t="str">
        <f aca="false">IF(OR($N439="", $O439=""),"",IF($N439&gt;=Lists!$AG$2,IF($O439&gt;=Lists!$AG$4,"High Value / High Risk","High Value / Low Risk"),IF($O439&gt;=Lists!$AG$4,"Low Value / High Risk","Low Value / Low Risk")))</f>
        <v/>
      </c>
      <c r="AF439" s="101"/>
      <c r="AG439" s="126"/>
      <c r="AH439" s="106" t="str">
        <f aca="false">IF($B439="","",COUNTIFS('Debt Backlog'!$AF$2:$AF$1000,$A439,'Debt Backlog'!$B$2:$B$1000,"&lt;&gt;",'Debt Backlog'!$N$2:$N$1000,"&lt;&gt;Done",'Debt Backlog'!$N$2:$N$1000,"&lt;&gt;Won't Fix",'Debt Backlog'!$N$2:$N$1000,"&lt;&gt;Duplicate"))</f>
        <v/>
      </c>
      <c r="AI439" s="103" t="str">
        <f aca="false">IF($B439="","",ROUND(SUMIFS('Debt Backlog'!$L$2:$L$1000,'Debt Backlog'!$AF$2:$AF$1000,$A439,'Debt Backlog'!$B$2:$B$1000,"&lt;&gt;",'Debt Backlog'!$N$2:$N$1000,"&lt;&gt;Done",'Debt Backlog'!$N$2:$N$1000,"&lt;&gt;Won't Fix",'Debt Backlog'!$N$2:$N$1000,"&lt;&gt;Duplicate"),2))</f>
        <v/>
      </c>
    </row>
    <row r="440" customFormat="false" ht="15.75" hidden="false" customHeight="true" outlineLevel="0" collapsed="false">
      <c r="A440" s="125"/>
      <c r="B440" s="101"/>
      <c r="C440" s="101"/>
      <c r="D440" s="101"/>
      <c r="E440" s="101"/>
      <c r="F440" s="101"/>
      <c r="G440" s="101"/>
      <c r="H440" s="101"/>
      <c r="I440" s="106"/>
      <c r="J440" s="106"/>
      <c r="K440" s="106"/>
      <c r="L440" s="106"/>
      <c r="M440" s="106"/>
      <c r="N440" s="103" t="str">
        <f aca="false">IF(OR($B440="", $I440="", $J440="", $K440="", $L440="", $M440=""),"",ROUND(($I440*Lists!$AD$2)+($J440*Lists!$AD$3)+($K440*Lists!$AD$4)+($L440*Lists!$AD$5)+($M440*Lists!$AD$6),2))</f>
        <v/>
      </c>
      <c r="O440" s="103" t="str">
        <f aca="false">IF($A440="","",IFERROR(VLOOKUP($A440,'Risk Register'!$B$2:$I$1000,8,FALSE()),""))</f>
        <v/>
      </c>
      <c r="P440" s="106"/>
      <c r="Q440" s="106"/>
      <c r="R440" s="106"/>
      <c r="S440" s="106"/>
      <c r="T440" s="103" t="str">
        <f aca="false">IF(OR($B440="", $P440="", $Q440="", $R440="", $S440=""),"",ROUND(($P440*Lists!$AD$7)+($Q440*Lists!$AD$8)+($R440*Lists!$AD$9)+($S440*Lists!$AD$10),2))</f>
        <v/>
      </c>
      <c r="U440" s="106"/>
      <c r="V440" s="106"/>
      <c r="W440" s="106"/>
      <c r="X440" s="106"/>
      <c r="Y440" s="106"/>
      <c r="Z440" s="103" t="str">
        <f aca="false">IF(OR($B440="", $U440="", $V440="", $W440="", $X440="", $Y440=""),"",ROUND(($U440*Lists!$AD$11)+($V440*Lists!$AD$12)+($W440*Lists!$AD$13)+($X440*Lists!$AD$14)+($Y440*Lists!$AD$15),2))</f>
        <v/>
      </c>
      <c r="AA440" s="103" t="str">
        <f aca="false">IF(OR($B440="", $N440="", $O440="", $T440="", $Z440=""),"",ROUND(($N440*Lists!$AD$16)-($O440*Lists!$AD$17)-($T440*Lists!$AD$18)+($Z440*Lists!$AD$19),2))</f>
        <v/>
      </c>
      <c r="AB440" s="102" t="str">
        <f aca="false">IF(OR($B440="", $N440="", $Z440=""),"",IF($N440&gt;=Lists!$AG$2,IF($Z440&gt;=Lists!$AG$3,"Invest","Migrate"),IF($Z440&gt;=Lists!$AG$3,"Tolerate","Eliminate")))</f>
        <v/>
      </c>
      <c r="AC440" s="102" t="str">
        <f aca="false">IF($B440="","",IF($J440&gt;=4,"Yes",""))</f>
        <v/>
      </c>
      <c r="AD440" s="102" t="str">
        <f aca="false">IF($A440="","",IFERROR(IF(VLOOKUP($A440,'Risk Register'!$B$2:$H$1000,4,FALSE())&gt;=4,"Yes",""),""))</f>
        <v/>
      </c>
      <c r="AE440" s="102" t="str">
        <f aca="false">IF(OR($N440="", $O440=""),"",IF($N440&gt;=Lists!$AG$2,IF($O440&gt;=Lists!$AG$4,"High Value / High Risk","High Value / Low Risk"),IF($O440&gt;=Lists!$AG$4,"Low Value / High Risk","Low Value / Low Risk")))</f>
        <v/>
      </c>
      <c r="AF440" s="101"/>
      <c r="AG440" s="126"/>
      <c r="AH440" s="106" t="str">
        <f aca="false">IF($B440="","",COUNTIFS('Debt Backlog'!$AF$2:$AF$1000,$A440,'Debt Backlog'!$B$2:$B$1000,"&lt;&gt;",'Debt Backlog'!$N$2:$N$1000,"&lt;&gt;Done",'Debt Backlog'!$N$2:$N$1000,"&lt;&gt;Won't Fix",'Debt Backlog'!$N$2:$N$1000,"&lt;&gt;Duplicate"))</f>
        <v/>
      </c>
      <c r="AI440" s="103" t="str">
        <f aca="false">IF($B440="","",ROUND(SUMIFS('Debt Backlog'!$L$2:$L$1000,'Debt Backlog'!$AF$2:$AF$1000,$A440,'Debt Backlog'!$B$2:$B$1000,"&lt;&gt;",'Debt Backlog'!$N$2:$N$1000,"&lt;&gt;Done",'Debt Backlog'!$N$2:$N$1000,"&lt;&gt;Won't Fix",'Debt Backlog'!$N$2:$N$1000,"&lt;&gt;Duplicate"),2))</f>
        <v/>
      </c>
    </row>
    <row r="441" customFormat="false" ht="15.75" hidden="false" customHeight="true" outlineLevel="0" collapsed="false">
      <c r="A441" s="125"/>
      <c r="B441" s="101"/>
      <c r="C441" s="101"/>
      <c r="D441" s="101"/>
      <c r="E441" s="101"/>
      <c r="F441" s="101"/>
      <c r="G441" s="101"/>
      <c r="H441" s="101"/>
      <c r="I441" s="106"/>
      <c r="J441" s="106"/>
      <c r="K441" s="106"/>
      <c r="L441" s="106"/>
      <c r="M441" s="106"/>
      <c r="N441" s="103" t="str">
        <f aca="false">IF(OR($B441="", $I441="", $J441="", $K441="", $L441="", $M441=""),"",ROUND(($I441*Lists!$AD$2)+($J441*Lists!$AD$3)+($K441*Lists!$AD$4)+($L441*Lists!$AD$5)+($M441*Lists!$AD$6),2))</f>
        <v/>
      </c>
      <c r="O441" s="103" t="str">
        <f aca="false">IF($A441="","",IFERROR(VLOOKUP($A441,'Risk Register'!$B$2:$I$1000,8,FALSE()),""))</f>
        <v/>
      </c>
      <c r="P441" s="106"/>
      <c r="Q441" s="106"/>
      <c r="R441" s="106"/>
      <c r="S441" s="106"/>
      <c r="T441" s="103" t="str">
        <f aca="false">IF(OR($B441="", $P441="", $Q441="", $R441="", $S441=""),"",ROUND(($P441*Lists!$AD$7)+($Q441*Lists!$AD$8)+($R441*Lists!$AD$9)+($S441*Lists!$AD$10),2))</f>
        <v/>
      </c>
      <c r="U441" s="106"/>
      <c r="V441" s="106"/>
      <c r="W441" s="106"/>
      <c r="X441" s="106"/>
      <c r="Y441" s="106"/>
      <c r="Z441" s="103" t="str">
        <f aca="false">IF(OR($B441="", $U441="", $V441="", $W441="", $X441="", $Y441=""),"",ROUND(($U441*Lists!$AD$11)+($V441*Lists!$AD$12)+($W441*Lists!$AD$13)+($X441*Lists!$AD$14)+($Y441*Lists!$AD$15),2))</f>
        <v/>
      </c>
      <c r="AA441" s="103" t="str">
        <f aca="false">IF(OR($B441="", $N441="", $O441="", $T441="", $Z441=""),"",ROUND(($N441*Lists!$AD$16)-($O441*Lists!$AD$17)-($T441*Lists!$AD$18)+($Z441*Lists!$AD$19),2))</f>
        <v/>
      </c>
      <c r="AB441" s="102" t="str">
        <f aca="false">IF(OR($B441="", $N441="", $Z441=""),"",IF($N441&gt;=Lists!$AG$2,IF($Z441&gt;=Lists!$AG$3,"Invest","Migrate"),IF($Z441&gt;=Lists!$AG$3,"Tolerate","Eliminate")))</f>
        <v/>
      </c>
      <c r="AC441" s="102" t="str">
        <f aca="false">IF($B441="","",IF($J441&gt;=4,"Yes",""))</f>
        <v/>
      </c>
      <c r="AD441" s="102" t="str">
        <f aca="false">IF($A441="","",IFERROR(IF(VLOOKUP($A441,'Risk Register'!$B$2:$H$1000,4,FALSE())&gt;=4,"Yes",""),""))</f>
        <v/>
      </c>
      <c r="AE441" s="102" t="str">
        <f aca="false">IF(OR($N441="", $O441=""),"",IF($N441&gt;=Lists!$AG$2,IF($O441&gt;=Lists!$AG$4,"High Value / High Risk","High Value / Low Risk"),IF($O441&gt;=Lists!$AG$4,"Low Value / High Risk","Low Value / Low Risk")))</f>
        <v/>
      </c>
      <c r="AF441" s="101"/>
      <c r="AG441" s="126"/>
      <c r="AH441" s="106" t="str">
        <f aca="false">IF($B441="","",COUNTIFS('Debt Backlog'!$AF$2:$AF$1000,$A441,'Debt Backlog'!$B$2:$B$1000,"&lt;&gt;",'Debt Backlog'!$N$2:$N$1000,"&lt;&gt;Done",'Debt Backlog'!$N$2:$N$1000,"&lt;&gt;Won't Fix",'Debt Backlog'!$N$2:$N$1000,"&lt;&gt;Duplicate"))</f>
        <v/>
      </c>
      <c r="AI441" s="103" t="str">
        <f aca="false">IF($B441="","",ROUND(SUMIFS('Debt Backlog'!$L$2:$L$1000,'Debt Backlog'!$AF$2:$AF$1000,$A441,'Debt Backlog'!$B$2:$B$1000,"&lt;&gt;",'Debt Backlog'!$N$2:$N$1000,"&lt;&gt;Done",'Debt Backlog'!$N$2:$N$1000,"&lt;&gt;Won't Fix",'Debt Backlog'!$N$2:$N$1000,"&lt;&gt;Duplicate"),2))</f>
        <v/>
      </c>
    </row>
    <row r="442" customFormat="false" ht="15.75" hidden="false" customHeight="true" outlineLevel="0" collapsed="false">
      <c r="A442" s="125"/>
      <c r="B442" s="101"/>
      <c r="C442" s="101"/>
      <c r="D442" s="101"/>
      <c r="E442" s="101"/>
      <c r="F442" s="101"/>
      <c r="G442" s="101"/>
      <c r="H442" s="101"/>
      <c r="I442" s="106"/>
      <c r="J442" s="106"/>
      <c r="K442" s="106"/>
      <c r="L442" s="106"/>
      <c r="M442" s="106"/>
      <c r="N442" s="103" t="str">
        <f aca="false">IF(OR($B442="", $I442="", $J442="", $K442="", $L442="", $M442=""),"",ROUND(($I442*Lists!$AD$2)+($J442*Lists!$AD$3)+($K442*Lists!$AD$4)+($L442*Lists!$AD$5)+($M442*Lists!$AD$6),2))</f>
        <v/>
      </c>
      <c r="O442" s="103" t="str">
        <f aca="false">IF($A442="","",IFERROR(VLOOKUP($A442,'Risk Register'!$B$2:$I$1000,8,FALSE()),""))</f>
        <v/>
      </c>
      <c r="P442" s="106"/>
      <c r="Q442" s="106"/>
      <c r="R442" s="106"/>
      <c r="S442" s="106"/>
      <c r="T442" s="103" t="str">
        <f aca="false">IF(OR($B442="", $P442="", $Q442="", $R442="", $S442=""),"",ROUND(($P442*Lists!$AD$7)+($Q442*Lists!$AD$8)+($R442*Lists!$AD$9)+($S442*Lists!$AD$10),2))</f>
        <v/>
      </c>
      <c r="U442" s="106"/>
      <c r="V442" s="106"/>
      <c r="W442" s="106"/>
      <c r="X442" s="106"/>
      <c r="Y442" s="106"/>
      <c r="Z442" s="103" t="str">
        <f aca="false">IF(OR($B442="", $U442="", $V442="", $W442="", $X442="", $Y442=""),"",ROUND(($U442*Lists!$AD$11)+($V442*Lists!$AD$12)+($W442*Lists!$AD$13)+($X442*Lists!$AD$14)+($Y442*Lists!$AD$15),2))</f>
        <v/>
      </c>
      <c r="AA442" s="103" t="str">
        <f aca="false">IF(OR($B442="", $N442="", $O442="", $T442="", $Z442=""),"",ROUND(($N442*Lists!$AD$16)-($O442*Lists!$AD$17)-($T442*Lists!$AD$18)+($Z442*Lists!$AD$19),2))</f>
        <v/>
      </c>
      <c r="AB442" s="102" t="str">
        <f aca="false">IF(OR($B442="", $N442="", $Z442=""),"",IF($N442&gt;=Lists!$AG$2,IF($Z442&gt;=Lists!$AG$3,"Invest","Migrate"),IF($Z442&gt;=Lists!$AG$3,"Tolerate","Eliminate")))</f>
        <v/>
      </c>
      <c r="AC442" s="102" t="str">
        <f aca="false">IF($B442="","",IF($J442&gt;=4,"Yes",""))</f>
        <v/>
      </c>
      <c r="AD442" s="102" t="str">
        <f aca="false">IF($A442="","",IFERROR(IF(VLOOKUP($A442,'Risk Register'!$B$2:$H$1000,4,FALSE())&gt;=4,"Yes",""),""))</f>
        <v/>
      </c>
      <c r="AE442" s="102" t="str">
        <f aca="false">IF(OR($N442="", $O442=""),"",IF($N442&gt;=Lists!$AG$2,IF($O442&gt;=Lists!$AG$4,"High Value / High Risk","High Value / Low Risk"),IF($O442&gt;=Lists!$AG$4,"Low Value / High Risk","Low Value / Low Risk")))</f>
        <v/>
      </c>
      <c r="AF442" s="101"/>
      <c r="AG442" s="126"/>
      <c r="AH442" s="106" t="str">
        <f aca="false">IF($B442="","",COUNTIFS('Debt Backlog'!$AF$2:$AF$1000,$A442,'Debt Backlog'!$B$2:$B$1000,"&lt;&gt;",'Debt Backlog'!$N$2:$N$1000,"&lt;&gt;Done",'Debt Backlog'!$N$2:$N$1000,"&lt;&gt;Won't Fix",'Debt Backlog'!$N$2:$N$1000,"&lt;&gt;Duplicate"))</f>
        <v/>
      </c>
      <c r="AI442" s="103" t="str">
        <f aca="false">IF($B442="","",ROUND(SUMIFS('Debt Backlog'!$L$2:$L$1000,'Debt Backlog'!$AF$2:$AF$1000,$A442,'Debt Backlog'!$B$2:$B$1000,"&lt;&gt;",'Debt Backlog'!$N$2:$N$1000,"&lt;&gt;Done",'Debt Backlog'!$N$2:$N$1000,"&lt;&gt;Won't Fix",'Debt Backlog'!$N$2:$N$1000,"&lt;&gt;Duplicate"),2))</f>
        <v/>
      </c>
    </row>
    <row r="443" customFormat="false" ht="15.75" hidden="false" customHeight="true" outlineLevel="0" collapsed="false">
      <c r="A443" s="125"/>
      <c r="B443" s="101"/>
      <c r="C443" s="101"/>
      <c r="D443" s="101"/>
      <c r="E443" s="101"/>
      <c r="F443" s="101"/>
      <c r="G443" s="101"/>
      <c r="H443" s="101"/>
      <c r="I443" s="106"/>
      <c r="J443" s="106"/>
      <c r="K443" s="106"/>
      <c r="L443" s="106"/>
      <c r="M443" s="106"/>
      <c r="N443" s="103" t="str">
        <f aca="false">IF(OR($B443="", $I443="", $J443="", $K443="", $L443="", $M443=""),"",ROUND(($I443*Lists!$AD$2)+($J443*Lists!$AD$3)+($K443*Lists!$AD$4)+($L443*Lists!$AD$5)+($M443*Lists!$AD$6),2))</f>
        <v/>
      </c>
      <c r="O443" s="103" t="str">
        <f aca="false">IF($A443="","",IFERROR(VLOOKUP($A443,'Risk Register'!$B$2:$I$1000,8,FALSE()),""))</f>
        <v/>
      </c>
      <c r="P443" s="106"/>
      <c r="Q443" s="106"/>
      <c r="R443" s="106"/>
      <c r="S443" s="106"/>
      <c r="T443" s="103" t="str">
        <f aca="false">IF(OR($B443="", $P443="", $Q443="", $R443="", $S443=""),"",ROUND(($P443*Lists!$AD$7)+($Q443*Lists!$AD$8)+($R443*Lists!$AD$9)+($S443*Lists!$AD$10),2))</f>
        <v/>
      </c>
      <c r="U443" s="106"/>
      <c r="V443" s="106"/>
      <c r="W443" s="106"/>
      <c r="X443" s="106"/>
      <c r="Y443" s="106"/>
      <c r="Z443" s="103" t="str">
        <f aca="false">IF(OR($B443="", $U443="", $V443="", $W443="", $X443="", $Y443=""),"",ROUND(($U443*Lists!$AD$11)+($V443*Lists!$AD$12)+($W443*Lists!$AD$13)+($X443*Lists!$AD$14)+($Y443*Lists!$AD$15),2))</f>
        <v/>
      </c>
      <c r="AA443" s="103" t="str">
        <f aca="false">IF(OR($B443="", $N443="", $O443="", $T443="", $Z443=""),"",ROUND(($N443*Lists!$AD$16)-($O443*Lists!$AD$17)-($T443*Lists!$AD$18)+($Z443*Lists!$AD$19),2))</f>
        <v/>
      </c>
      <c r="AB443" s="102" t="str">
        <f aca="false">IF(OR($B443="", $N443="", $Z443=""),"",IF($N443&gt;=Lists!$AG$2,IF($Z443&gt;=Lists!$AG$3,"Invest","Migrate"),IF($Z443&gt;=Lists!$AG$3,"Tolerate","Eliminate")))</f>
        <v/>
      </c>
      <c r="AC443" s="102" t="str">
        <f aca="false">IF($B443="","",IF($J443&gt;=4,"Yes",""))</f>
        <v/>
      </c>
      <c r="AD443" s="102" t="str">
        <f aca="false">IF($A443="","",IFERROR(IF(VLOOKUP($A443,'Risk Register'!$B$2:$H$1000,4,FALSE())&gt;=4,"Yes",""),""))</f>
        <v/>
      </c>
      <c r="AE443" s="102" t="str">
        <f aca="false">IF(OR($N443="", $O443=""),"",IF($N443&gt;=Lists!$AG$2,IF($O443&gt;=Lists!$AG$4,"High Value / High Risk","High Value / Low Risk"),IF($O443&gt;=Lists!$AG$4,"Low Value / High Risk","Low Value / Low Risk")))</f>
        <v/>
      </c>
      <c r="AF443" s="101"/>
      <c r="AG443" s="126"/>
      <c r="AH443" s="106" t="str">
        <f aca="false">IF($B443="","",COUNTIFS('Debt Backlog'!$AF$2:$AF$1000,$A443,'Debt Backlog'!$B$2:$B$1000,"&lt;&gt;",'Debt Backlog'!$N$2:$N$1000,"&lt;&gt;Done",'Debt Backlog'!$N$2:$N$1000,"&lt;&gt;Won't Fix",'Debt Backlog'!$N$2:$N$1000,"&lt;&gt;Duplicate"))</f>
        <v/>
      </c>
      <c r="AI443" s="103" t="str">
        <f aca="false">IF($B443="","",ROUND(SUMIFS('Debt Backlog'!$L$2:$L$1000,'Debt Backlog'!$AF$2:$AF$1000,$A443,'Debt Backlog'!$B$2:$B$1000,"&lt;&gt;",'Debt Backlog'!$N$2:$N$1000,"&lt;&gt;Done",'Debt Backlog'!$N$2:$N$1000,"&lt;&gt;Won't Fix",'Debt Backlog'!$N$2:$N$1000,"&lt;&gt;Duplicate"),2))</f>
        <v/>
      </c>
    </row>
    <row r="444" customFormat="false" ht="15.75" hidden="false" customHeight="true" outlineLevel="0" collapsed="false">
      <c r="A444" s="125"/>
      <c r="B444" s="101"/>
      <c r="C444" s="101"/>
      <c r="D444" s="101"/>
      <c r="E444" s="101"/>
      <c r="F444" s="101"/>
      <c r="G444" s="101"/>
      <c r="H444" s="101"/>
      <c r="I444" s="106"/>
      <c r="J444" s="106"/>
      <c r="K444" s="106"/>
      <c r="L444" s="106"/>
      <c r="M444" s="106"/>
      <c r="N444" s="103" t="str">
        <f aca="false">IF(OR($B444="", $I444="", $J444="", $K444="", $L444="", $M444=""),"",ROUND(($I444*Lists!$AD$2)+($J444*Lists!$AD$3)+($K444*Lists!$AD$4)+($L444*Lists!$AD$5)+($M444*Lists!$AD$6),2))</f>
        <v/>
      </c>
      <c r="O444" s="103" t="str">
        <f aca="false">IF($A444="","",IFERROR(VLOOKUP($A444,'Risk Register'!$B$2:$I$1000,8,FALSE()),""))</f>
        <v/>
      </c>
      <c r="P444" s="106"/>
      <c r="Q444" s="106"/>
      <c r="R444" s="106"/>
      <c r="S444" s="106"/>
      <c r="T444" s="103" t="str">
        <f aca="false">IF(OR($B444="", $P444="", $Q444="", $R444="", $S444=""),"",ROUND(($P444*Lists!$AD$7)+($Q444*Lists!$AD$8)+($R444*Lists!$AD$9)+($S444*Lists!$AD$10),2))</f>
        <v/>
      </c>
      <c r="U444" s="106"/>
      <c r="V444" s="106"/>
      <c r="W444" s="106"/>
      <c r="X444" s="106"/>
      <c r="Y444" s="106"/>
      <c r="Z444" s="103" t="str">
        <f aca="false">IF(OR($B444="", $U444="", $V444="", $W444="", $X444="", $Y444=""),"",ROUND(($U444*Lists!$AD$11)+($V444*Lists!$AD$12)+($W444*Lists!$AD$13)+($X444*Lists!$AD$14)+($Y444*Lists!$AD$15),2))</f>
        <v/>
      </c>
      <c r="AA444" s="103" t="str">
        <f aca="false">IF(OR($B444="", $N444="", $O444="", $T444="", $Z444=""),"",ROUND(($N444*Lists!$AD$16)-($O444*Lists!$AD$17)-($T444*Lists!$AD$18)+($Z444*Lists!$AD$19),2))</f>
        <v/>
      </c>
      <c r="AB444" s="102" t="str">
        <f aca="false">IF(OR($B444="", $N444="", $Z444=""),"",IF($N444&gt;=Lists!$AG$2,IF($Z444&gt;=Lists!$AG$3,"Invest","Migrate"),IF($Z444&gt;=Lists!$AG$3,"Tolerate","Eliminate")))</f>
        <v/>
      </c>
      <c r="AC444" s="102" t="str">
        <f aca="false">IF($B444="","",IF($J444&gt;=4,"Yes",""))</f>
        <v/>
      </c>
      <c r="AD444" s="102" t="str">
        <f aca="false">IF($A444="","",IFERROR(IF(VLOOKUP($A444,'Risk Register'!$B$2:$H$1000,4,FALSE())&gt;=4,"Yes",""),""))</f>
        <v/>
      </c>
      <c r="AE444" s="102" t="str">
        <f aca="false">IF(OR($N444="", $O444=""),"",IF($N444&gt;=Lists!$AG$2,IF($O444&gt;=Lists!$AG$4,"High Value / High Risk","High Value / Low Risk"),IF($O444&gt;=Lists!$AG$4,"Low Value / High Risk","Low Value / Low Risk")))</f>
        <v/>
      </c>
      <c r="AF444" s="101"/>
      <c r="AG444" s="126"/>
      <c r="AH444" s="106" t="str">
        <f aca="false">IF($B444="","",COUNTIFS('Debt Backlog'!$AF$2:$AF$1000,$A444,'Debt Backlog'!$B$2:$B$1000,"&lt;&gt;",'Debt Backlog'!$N$2:$N$1000,"&lt;&gt;Done",'Debt Backlog'!$N$2:$N$1000,"&lt;&gt;Won't Fix",'Debt Backlog'!$N$2:$N$1000,"&lt;&gt;Duplicate"))</f>
        <v/>
      </c>
      <c r="AI444" s="103" t="str">
        <f aca="false">IF($B444="","",ROUND(SUMIFS('Debt Backlog'!$L$2:$L$1000,'Debt Backlog'!$AF$2:$AF$1000,$A444,'Debt Backlog'!$B$2:$B$1000,"&lt;&gt;",'Debt Backlog'!$N$2:$N$1000,"&lt;&gt;Done",'Debt Backlog'!$N$2:$N$1000,"&lt;&gt;Won't Fix",'Debt Backlog'!$N$2:$N$1000,"&lt;&gt;Duplicate"),2))</f>
        <v/>
      </c>
    </row>
    <row r="445" customFormat="false" ht="15.75" hidden="false" customHeight="true" outlineLevel="0" collapsed="false">
      <c r="A445" s="125"/>
      <c r="B445" s="101"/>
      <c r="C445" s="101"/>
      <c r="D445" s="101"/>
      <c r="E445" s="101"/>
      <c r="F445" s="101"/>
      <c r="G445" s="101"/>
      <c r="H445" s="101"/>
      <c r="I445" s="106"/>
      <c r="J445" s="106"/>
      <c r="K445" s="106"/>
      <c r="L445" s="106"/>
      <c r="M445" s="106"/>
      <c r="N445" s="103" t="str">
        <f aca="false">IF(OR($B445="", $I445="", $J445="", $K445="", $L445="", $M445=""),"",ROUND(($I445*Lists!$AD$2)+($J445*Lists!$AD$3)+($K445*Lists!$AD$4)+($L445*Lists!$AD$5)+($M445*Lists!$AD$6),2))</f>
        <v/>
      </c>
      <c r="O445" s="103" t="str">
        <f aca="false">IF($A445="","",IFERROR(VLOOKUP($A445,'Risk Register'!$B$2:$I$1000,8,FALSE()),""))</f>
        <v/>
      </c>
      <c r="P445" s="106"/>
      <c r="Q445" s="106"/>
      <c r="R445" s="106"/>
      <c r="S445" s="106"/>
      <c r="T445" s="103" t="str">
        <f aca="false">IF(OR($B445="", $P445="", $Q445="", $R445="", $S445=""),"",ROUND(($P445*Lists!$AD$7)+($Q445*Lists!$AD$8)+($R445*Lists!$AD$9)+($S445*Lists!$AD$10),2))</f>
        <v/>
      </c>
      <c r="U445" s="106"/>
      <c r="V445" s="106"/>
      <c r="W445" s="106"/>
      <c r="X445" s="106"/>
      <c r="Y445" s="106"/>
      <c r="Z445" s="103" t="str">
        <f aca="false">IF(OR($B445="", $U445="", $V445="", $W445="", $X445="", $Y445=""),"",ROUND(($U445*Lists!$AD$11)+($V445*Lists!$AD$12)+($W445*Lists!$AD$13)+($X445*Lists!$AD$14)+($Y445*Lists!$AD$15),2))</f>
        <v/>
      </c>
      <c r="AA445" s="103" t="str">
        <f aca="false">IF(OR($B445="", $N445="", $O445="", $T445="", $Z445=""),"",ROUND(($N445*Lists!$AD$16)-($O445*Lists!$AD$17)-($T445*Lists!$AD$18)+($Z445*Lists!$AD$19),2))</f>
        <v/>
      </c>
      <c r="AB445" s="102" t="str">
        <f aca="false">IF(OR($B445="", $N445="", $Z445=""),"",IF($N445&gt;=Lists!$AG$2,IF($Z445&gt;=Lists!$AG$3,"Invest","Migrate"),IF($Z445&gt;=Lists!$AG$3,"Tolerate","Eliminate")))</f>
        <v/>
      </c>
      <c r="AC445" s="102" t="str">
        <f aca="false">IF($B445="","",IF($J445&gt;=4,"Yes",""))</f>
        <v/>
      </c>
      <c r="AD445" s="102" t="str">
        <f aca="false">IF($A445="","",IFERROR(IF(VLOOKUP($A445,'Risk Register'!$B$2:$H$1000,4,FALSE())&gt;=4,"Yes",""),""))</f>
        <v/>
      </c>
      <c r="AE445" s="102" t="str">
        <f aca="false">IF(OR($N445="", $O445=""),"",IF($N445&gt;=Lists!$AG$2,IF($O445&gt;=Lists!$AG$4,"High Value / High Risk","High Value / Low Risk"),IF($O445&gt;=Lists!$AG$4,"Low Value / High Risk","Low Value / Low Risk")))</f>
        <v/>
      </c>
      <c r="AF445" s="101"/>
      <c r="AG445" s="126"/>
      <c r="AH445" s="106" t="str">
        <f aca="false">IF($B445="","",COUNTIFS('Debt Backlog'!$AF$2:$AF$1000,$A445,'Debt Backlog'!$B$2:$B$1000,"&lt;&gt;",'Debt Backlog'!$N$2:$N$1000,"&lt;&gt;Done",'Debt Backlog'!$N$2:$N$1000,"&lt;&gt;Won't Fix",'Debt Backlog'!$N$2:$N$1000,"&lt;&gt;Duplicate"))</f>
        <v/>
      </c>
      <c r="AI445" s="103" t="str">
        <f aca="false">IF($B445="","",ROUND(SUMIFS('Debt Backlog'!$L$2:$L$1000,'Debt Backlog'!$AF$2:$AF$1000,$A445,'Debt Backlog'!$B$2:$B$1000,"&lt;&gt;",'Debt Backlog'!$N$2:$N$1000,"&lt;&gt;Done",'Debt Backlog'!$N$2:$N$1000,"&lt;&gt;Won't Fix",'Debt Backlog'!$N$2:$N$1000,"&lt;&gt;Duplicate"),2))</f>
        <v/>
      </c>
    </row>
    <row r="446" customFormat="false" ht="15.75" hidden="false" customHeight="true" outlineLevel="0" collapsed="false">
      <c r="A446" s="125"/>
      <c r="B446" s="101"/>
      <c r="C446" s="101"/>
      <c r="D446" s="101"/>
      <c r="E446" s="101"/>
      <c r="F446" s="101"/>
      <c r="G446" s="101"/>
      <c r="H446" s="101"/>
      <c r="I446" s="106"/>
      <c r="J446" s="106"/>
      <c r="K446" s="106"/>
      <c r="L446" s="106"/>
      <c r="M446" s="106"/>
      <c r="N446" s="103" t="str">
        <f aca="false">IF(OR($B446="", $I446="", $J446="", $K446="", $L446="", $M446=""),"",ROUND(($I446*Lists!$AD$2)+($J446*Lists!$AD$3)+($K446*Lists!$AD$4)+($L446*Lists!$AD$5)+($M446*Lists!$AD$6),2))</f>
        <v/>
      </c>
      <c r="O446" s="103" t="str">
        <f aca="false">IF($A446="","",IFERROR(VLOOKUP($A446,'Risk Register'!$B$2:$I$1000,8,FALSE()),""))</f>
        <v/>
      </c>
      <c r="P446" s="106"/>
      <c r="Q446" s="106"/>
      <c r="R446" s="106"/>
      <c r="S446" s="106"/>
      <c r="T446" s="103" t="str">
        <f aca="false">IF(OR($B446="", $P446="", $Q446="", $R446="", $S446=""),"",ROUND(($P446*Lists!$AD$7)+($Q446*Lists!$AD$8)+($R446*Lists!$AD$9)+($S446*Lists!$AD$10),2))</f>
        <v/>
      </c>
      <c r="U446" s="106"/>
      <c r="V446" s="106"/>
      <c r="W446" s="106"/>
      <c r="X446" s="106"/>
      <c r="Y446" s="106"/>
      <c r="Z446" s="103" t="str">
        <f aca="false">IF(OR($B446="", $U446="", $V446="", $W446="", $X446="", $Y446=""),"",ROUND(($U446*Lists!$AD$11)+($V446*Lists!$AD$12)+($W446*Lists!$AD$13)+($X446*Lists!$AD$14)+($Y446*Lists!$AD$15),2))</f>
        <v/>
      </c>
      <c r="AA446" s="103" t="str">
        <f aca="false">IF(OR($B446="", $N446="", $O446="", $T446="", $Z446=""),"",ROUND(($N446*Lists!$AD$16)-($O446*Lists!$AD$17)-($T446*Lists!$AD$18)+($Z446*Lists!$AD$19),2))</f>
        <v/>
      </c>
      <c r="AB446" s="102" t="str">
        <f aca="false">IF(OR($B446="", $N446="", $Z446=""),"",IF($N446&gt;=Lists!$AG$2,IF($Z446&gt;=Lists!$AG$3,"Invest","Migrate"),IF($Z446&gt;=Lists!$AG$3,"Tolerate","Eliminate")))</f>
        <v/>
      </c>
      <c r="AC446" s="102" t="str">
        <f aca="false">IF($B446="","",IF($J446&gt;=4,"Yes",""))</f>
        <v/>
      </c>
      <c r="AD446" s="102" t="str">
        <f aca="false">IF($A446="","",IFERROR(IF(VLOOKUP($A446,'Risk Register'!$B$2:$H$1000,4,FALSE())&gt;=4,"Yes",""),""))</f>
        <v/>
      </c>
      <c r="AE446" s="102" t="str">
        <f aca="false">IF(OR($N446="", $O446=""),"",IF($N446&gt;=Lists!$AG$2,IF($O446&gt;=Lists!$AG$4,"High Value / High Risk","High Value / Low Risk"),IF($O446&gt;=Lists!$AG$4,"Low Value / High Risk","Low Value / Low Risk")))</f>
        <v/>
      </c>
      <c r="AF446" s="101"/>
      <c r="AG446" s="126"/>
      <c r="AH446" s="106" t="str">
        <f aca="false">IF($B446="","",COUNTIFS('Debt Backlog'!$AF$2:$AF$1000,$A446,'Debt Backlog'!$B$2:$B$1000,"&lt;&gt;",'Debt Backlog'!$N$2:$N$1000,"&lt;&gt;Done",'Debt Backlog'!$N$2:$N$1000,"&lt;&gt;Won't Fix",'Debt Backlog'!$N$2:$N$1000,"&lt;&gt;Duplicate"))</f>
        <v/>
      </c>
      <c r="AI446" s="103" t="str">
        <f aca="false">IF($B446="","",ROUND(SUMIFS('Debt Backlog'!$L$2:$L$1000,'Debt Backlog'!$AF$2:$AF$1000,$A446,'Debt Backlog'!$B$2:$B$1000,"&lt;&gt;",'Debt Backlog'!$N$2:$N$1000,"&lt;&gt;Done",'Debt Backlog'!$N$2:$N$1000,"&lt;&gt;Won't Fix",'Debt Backlog'!$N$2:$N$1000,"&lt;&gt;Duplicate"),2))</f>
        <v/>
      </c>
    </row>
    <row r="447" customFormat="false" ht="15.75" hidden="false" customHeight="true" outlineLevel="0" collapsed="false">
      <c r="A447" s="125"/>
      <c r="B447" s="101"/>
      <c r="C447" s="101"/>
      <c r="D447" s="101"/>
      <c r="E447" s="101"/>
      <c r="F447" s="101"/>
      <c r="G447" s="101"/>
      <c r="H447" s="101"/>
      <c r="I447" s="106"/>
      <c r="J447" s="106"/>
      <c r="K447" s="106"/>
      <c r="L447" s="106"/>
      <c r="M447" s="106"/>
      <c r="N447" s="103" t="str">
        <f aca="false">IF(OR($B447="", $I447="", $J447="", $K447="", $L447="", $M447=""),"",ROUND(($I447*Lists!$AD$2)+($J447*Lists!$AD$3)+($K447*Lists!$AD$4)+($L447*Lists!$AD$5)+($M447*Lists!$AD$6),2))</f>
        <v/>
      </c>
      <c r="O447" s="103" t="str">
        <f aca="false">IF($A447="","",IFERROR(VLOOKUP($A447,'Risk Register'!$B$2:$I$1000,8,FALSE()),""))</f>
        <v/>
      </c>
      <c r="P447" s="106"/>
      <c r="Q447" s="106"/>
      <c r="R447" s="106"/>
      <c r="S447" s="106"/>
      <c r="T447" s="103" t="str">
        <f aca="false">IF(OR($B447="", $P447="", $Q447="", $R447="", $S447=""),"",ROUND(($P447*Lists!$AD$7)+($Q447*Lists!$AD$8)+($R447*Lists!$AD$9)+($S447*Lists!$AD$10),2))</f>
        <v/>
      </c>
      <c r="U447" s="106"/>
      <c r="V447" s="106"/>
      <c r="W447" s="106"/>
      <c r="X447" s="106"/>
      <c r="Y447" s="106"/>
      <c r="Z447" s="103" t="str">
        <f aca="false">IF(OR($B447="", $U447="", $V447="", $W447="", $X447="", $Y447=""),"",ROUND(($U447*Lists!$AD$11)+($V447*Lists!$AD$12)+($W447*Lists!$AD$13)+($X447*Lists!$AD$14)+($Y447*Lists!$AD$15),2))</f>
        <v/>
      </c>
      <c r="AA447" s="103" t="str">
        <f aca="false">IF(OR($B447="", $N447="", $O447="", $T447="", $Z447=""),"",ROUND(($N447*Lists!$AD$16)-($O447*Lists!$AD$17)-($T447*Lists!$AD$18)+($Z447*Lists!$AD$19),2))</f>
        <v/>
      </c>
      <c r="AB447" s="102" t="str">
        <f aca="false">IF(OR($B447="", $N447="", $Z447=""),"",IF($N447&gt;=Lists!$AG$2,IF($Z447&gt;=Lists!$AG$3,"Invest","Migrate"),IF($Z447&gt;=Lists!$AG$3,"Tolerate","Eliminate")))</f>
        <v/>
      </c>
      <c r="AC447" s="102" t="str">
        <f aca="false">IF($B447="","",IF($J447&gt;=4,"Yes",""))</f>
        <v/>
      </c>
      <c r="AD447" s="102" t="str">
        <f aca="false">IF($A447="","",IFERROR(IF(VLOOKUP($A447,'Risk Register'!$B$2:$H$1000,4,FALSE())&gt;=4,"Yes",""),""))</f>
        <v/>
      </c>
      <c r="AE447" s="102" t="str">
        <f aca="false">IF(OR($N447="", $O447=""),"",IF($N447&gt;=Lists!$AG$2,IF($O447&gt;=Lists!$AG$4,"High Value / High Risk","High Value / Low Risk"),IF($O447&gt;=Lists!$AG$4,"Low Value / High Risk","Low Value / Low Risk")))</f>
        <v/>
      </c>
      <c r="AF447" s="101"/>
      <c r="AG447" s="126"/>
      <c r="AH447" s="106" t="str">
        <f aca="false">IF($B447="","",COUNTIFS('Debt Backlog'!$AF$2:$AF$1000,$A447,'Debt Backlog'!$B$2:$B$1000,"&lt;&gt;",'Debt Backlog'!$N$2:$N$1000,"&lt;&gt;Done",'Debt Backlog'!$N$2:$N$1000,"&lt;&gt;Won't Fix",'Debt Backlog'!$N$2:$N$1000,"&lt;&gt;Duplicate"))</f>
        <v/>
      </c>
      <c r="AI447" s="103" t="str">
        <f aca="false">IF($B447="","",ROUND(SUMIFS('Debt Backlog'!$L$2:$L$1000,'Debt Backlog'!$AF$2:$AF$1000,$A447,'Debt Backlog'!$B$2:$B$1000,"&lt;&gt;",'Debt Backlog'!$N$2:$N$1000,"&lt;&gt;Done",'Debt Backlog'!$N$2:$N$1000,"&lt;&gt;Won't Fix",'Debt Backlog'!$N$2:$N$1000,"&lt;&gt;Duplicate"),2))</f>
        <v/>
      </c>
    </row>
    <row r="448" customFormat="false" ht="15.75" hidden="false" customHeight="true" outlineLevel="0" collapsed="false">
      <c r="A448" s="125"/>
      <c r="B448" s="101"/>
      <c r="C448" s="101"/>
      <c r="D448" s="101"/>
      <c r="E448" s="101"/>
      <c r="F448" s="101"/>
      <c r="G448" s="101"/>
      <c r="H448" s="101"/>
      <c r="I448" s="106"/>
      <c r="J448" s="106"/>
      <c r="K448" s="106"/>
      <c r="L448" s="106"/>
      <c r="M448" s="106"/>
      <c r="N448" s="103" t="str">
        <f aca="false">IF(OR($B448="", $I448="", $J448="", $K448="", $L448="", $M448=""),"",ROUND(($I448*Lists!$AD$2)+($J448*Lists!$AD$3)+($K448*Lists!$AD$4)+($L448*Lists!$AD$5)+($M448*Lists!$AD$6),2))</f>
        <v/>
      </c>
      <c r="O448" s="103" t="str">
        <f aca="false">IF($A448="","",IFERROR(VLOOKUP($A448,'Risk Register'!$B$2:$I$1000,8,FALSE()),""))</f>
        <v/>
      </c>
      <c r="P448" s="106"/>
      <c r="Q448" s="106"/>
      <c r="R448" s="106"/>
      <c r="S448" s="106"/>
      <c r="T448" s="103" t="str">
        <f aca="false">IF(OR($B448="", $P448="", $Q448="", $R448="", $S448=""),"",ROUND(($P448*Lists!$AD$7)+($Q448*Lists!$AD$8)+($R448*Lists!$AD$9)+($S448*Lists!$AD$10),2))</f>
        <v/>
      </c>
      <c r="U448" s="106"/>
      <c r="V448" s="106"/>
      <c r="W448" s="106"/>
      <c r="X448" s="106"/>
      <c r="Y448" s="106"/>
      <c r="Z448" s="103" t="str">
        <f aca="false">IF(OR($B448="", $U448="", $V448="", $W448="", $X448="", $Y448=""),"",ROUND(($U448*Lists!$AD$11)+($V448*Lists!$AD$12)+($W448*Lists!$AD$13)+($X448*Lists!$AD$14)+($Y448*Lists!$AD$15),2))</f>
        <v/>
      </c>
      <c r="AA448" s="103" t="str">
        <f aca="false">IF(OR($B448="", $N448="", $O448="", $T448="", $Z448=""),"",ROUND(($N448*Lists!$AD$16)-($O448*Lists!$AD$17)-($T448*Lists!$AD$18)+($Z448*Lists!$AD$19),2))</f>
        <v/>
      </c>
      <c r="AB448" s="102" t="str">
        <f aca="false">IF(OR($B448="", $N448="", $Z448=""),"",IF($N448&gt;=Lists!$AG$2,IF($Z448&gt;=Lists!$AG$3,"Invest","Migrate"),IF($Z448&gt;=Lists!$AG$3,"Tolerate","Eliminate")))</f>
        <v/>
      </c>
      <c r="AC448" s="102" t="str">
        <f aca="false">IF($B448="","",IF($J448&gt;=4,"Yes",""))</f>
        <v/>
      </c>
      <c r="AD448" s="102" t="str">
        <f aca="false">IF($A448="","",IFERROR(IF(VLOOKUP($A448,'Risk Register'!$B$2:$H$1000,4,FALSE())&gt;=4,"Yes",""),""))</f>
        <v/>
      </c>
      <c r="AE448" s="102" t="str">
        <f aca="false">IF(OR($N448="", $O448=""),"",IF($N448&gt;=Lists!$AG$2,IF($O448&gt;=Lists!$AG$4,"High Value / High Risk","High Value / Low Risk"),IF($O448&gt;=Lists!$AG$4,"Low Value / High Risk","Low Value / Low Risk")))</f>
        <v/>
      </c>
      <c r="AF448" s="101"/>
      <c r="AG448" s="126"/>
      <c r="AH448" s="106" t="str">
        <f aca="false">IF($B448="","",COUNTIFS('Debt Backlog'!$AF$2:$AF$1000,$A448,'Debt Backlog'!$B$2:$B$1000,"&lt;&gt;",'Debt Backlog'!$N$2:$N$1000,"&lt;&gt;Done",'Debt Backlog'!$N$2:$N$1000,"&lt;&gt;Won't Fix",'Debt Backlog'!$N$2:$N$1000,"&lt;&gt;Duplicate"))</f>
        <v/>
      </c>
      <c r="AI448" s="103" t="str">
        <f aca="false">IF($B448="","",ROUND(SUMIFS('Debt Backlog'!$L$2:$L$1000,'Debt Backlog'!$AF$2:$AF$1000,$A448,'Debt Backlog'!$B$2:$B$1000,"&lt;&gt;",'Debt Backlog'!$N$2:$N$1000,"&lt;&gt;Done",'Debt Backlog'!$N$2:$N$1000,"&lt;&gt;Won't Fix",'Debt Backlog'!$N$2:$N$1000,"&lt;&gt;Duplicate"),2))</f>
        <v/>
      </c>
    </row>
    <row r="449" customFormat="false" ht="15.75" hidden="false" customHeight="true" outlineLevel="0" collapsed="false">
      <c r="A449" s="125"/>
      <c r="B449" s="101"/>
      <c r="C449" s="101"/>
      <c r="D449" s="101"/>
      <c r="E449" s="101"/>
      <c r="F449" s="101"/>
      <c r="G449" s="101"/>
      <c r="H449" s="101"/>
      <c r="I449" s="106"/>
      <c r="J449" s="106"/>
      <c r="K449" s="106"/>
      <c r="L449" s="106"/>
      <c r="M449" s="106"/>
      <c r="N449" s="103" t="str">
        <f aca="false">IF(OR($B449="", $I449="", $J449="", $K449="", $L449="", $M449=""),"",ROUND(($I449*Lists!$AD$2)+($J449*Lists!$AD$3)+($K449*Lists!$AD$4)+($L449*Lists!$AD$5)+($M449*Lists!$AD$6),2))</f>
        <v/>
      </c>
      <c r="O449" s="103" t="str">
        <f aca="false">IF($A449="","",IFERROR(VLOOKUP($A449,'Risk Register'!$B$2:$I$1000,8,FALSE()),""))</f>
        <v/>
      </c>
      <c r="P449" s="106"/>
      <c r="Q449" s="106"/>
      <c r="R449" s="106"/>
      <c r="S449" s="106"/>
      <c r="T449" s="103" t="str">
        <f aca="false">IF(OR($B449="", $P449="", $Q449="", $R449="", $S449=""),"",ROUND(($P449*Lists!$AD$7)+($Q449*Lists!$AD$8)+($R449*Lists!$AD$9)+($S449*Lists!$AD$10),2))</f>
        <v/>
      </c>
      <c r="U449" s="106"/>
      <c r="V449" s="106"/>
      <c r="W449" s="106"/>
      <c r="X449" s="106"/>
      <c r="Y449" s="106"/>
      <c r="Z449" s="103" t="str">
        <f aca="false">IF(OR($B449="", $U449="", $V449="", $W449="", $X449="", $Y449=""),"",ROUND(($U449*Lists!$AD$11)+($V449*Lists!$AD$12)+($W449*Lists!$AD$13)+($X449*Lists!$AD$14)+($Y449*Lists!$AD$15),2))</f>
        <v/>
      </c>
      <c r="AA449" s="103" t="str">
        <f aca="false">IF(OR($B449="", $N449="", $O449="", $T449="", $Z449=""),"",ROUND(($N449*Lists!$AD$16)-($O449*Lists!$AD$17)-($T449*Lists!$AD$18)+($Z449*Lists!$AD$19),2))</f>
        <v/>
      </c>
      <c r="AB449" s="102" t="str">
        <f aca="false">IF(OR($B449="", $N449="", $Z449=""),"",IF($N449&gt;=Lists!$AG$2,IF($Z449&gt;=Lists!$AG$3,"Invest","Migrate"),IF($Z449&gt;=Lists!$AG$3,"Tolerate","Eliminate")))</f>
        <v/>
      </c>
      <c r="AC449" s="102" t="str">
        <f aca="false">IF($B449="","",IF($J449&gt;=4,"Yes",""))</f>
        <v/>
      </c>
      <c r="AD449" s="102" t="str">
        <f aca="false">IF($A449="","",IFERROR(IF(VLOOKUP($A449,'Risk Register'!$B$2:$H$1000,4,FALSE())&gt;=4,"Yes",""),""))</f>
        <v/>
      </c>
      <c r="AE449" s="102" t="str">
        <f aca="false">IF(OR($N449="", $O449=""),"",IF($N449&gt;=Lists!$AG$2,IF($O449&gt;=Lists!$AG$4,"High Value / High Risk","High Value / Low Risk"),IF($O449&gt;=Lists!$AG$4,"Low Value / High Risk","Low Value / Low Risk")))</f>
        <v/>
      </c>
      <c r="AF449" s="101"/>
      <c r="AG449" s="126"/>
      <c r="AH449" s="106" t="str">
        <f aca="false">IF($B449="","",COUNTIFS('Debt Backlog'!$AF$2:$AF$1000,$A449,'Debt Backlog'!$B$2:$B$1000,"&lt;&gt;",'Debt Backlog'!$N$2:$N$1000,"&lt;&gt;Done",'Debt Backlog'!$N$2:$N$1000,"&lt;&gt;Won't Fix",'Debt Backlog'!$N$2:$N$1000,"&lt;&gt;Duplicate"))</f>
        <v/>
      </c>
      <c r="AI449" s="103" t="str">
        <f aca="false">IF($B449="","",ROUND(SUMIFS('Debt Backlog'!$L$2:$L$1000,'Debt Backlog'!$AF$2:$AF$1000,$A449,'Debt Backlog'!$B$2:$B$1000,"&lt;&gt;",'Debt Backlog'!$N$2:$N$1000,"&lt;&gt;Done",'Debt Backlog'!$N$2:$N$1000,"&lt;&gt;Won't Fix",'Debt Backlog'!$N$2:$N$1000,"&lt;&gt;Duplicate"),2))</f>
        <v/>
      </c>
    </row>
    <row r="450" customFormat="false" ht="15.75" hidden="false" customHeight="true" outlineLevel="0" collapsed="false">
      <c r="A450" s="125"/>
      <c r="B450" s="101"/>
      <c r="C450" s="101"/>
      <c r="D450" s="101"/>
      <c r="E450" s="101"/>
      <c r="F450" s="101"/>
      <c r="G450" s="101"/>
      <c r="H450" s="101"/>
      <c r="I450" s="106"/>
      <c r="J450" s="106"/>
      <c r="K450" s="106"/>
      <c r="L450" s="106"/>
      <c r="M450" s="106"/>
      <c r="N450" s="103" t="str">
        <f aca="false">IF(OR($B450="", $I450="", $J450="", $K450="", $L450="", $M450=""),"",ROUND(($I450*Lists!$AD$2)+($J450*Lists!$AD$3)+($K450*Lists!$AD$4)+($L450*Lists!$AD$5)+($M450*Lists!$AD$6),2))</f>
        <v/>
      </c>
      <c r="O450" s="103" t="str">
        <f aca="false">IF($A450="","",IFERROR(VLOOKUP($A450,'Risk Register'!$B$2:$I$1000,8,FALSE()),""))</f>
        <v/>
      </c>
      <c r="P450" s="106"/>
      <c r="Q450" s="106"/>
      <c r="R450" s="106"/>
      <c r="S450" s="106"/>
      <c r="T450" s="103" t="str">
        <f aca="false">IF(OR($B450="", $P450="", $Q450="", $R450="", $S450=""),"",ROUND(($P450*Lists!$AD$7)+($Q450*Lists!$AD$8)+($R450*Lists!$AD$9)+($S450*Lists!$AD$10),2))</f>
        <v/>
      </c>
      <c r="U450" s="106"/>
      <c r="V450" s="106"/>
      <c r="W450" s="106"/>
      <c r="X450" s="106"/>
      <c r="Y450" s="106"/>
      <c r="Z450" s="103" t="str">
        <f aca="false">IF(OR($B450="", $U450="", $V450="", $W450="", $X450="", $Y450=""),"",ROUND(($U450*Lists!$AD$11)+($V450*Lists!$AD$12)+($W450*Lists!$AD$13)+($X450*Lists!$AD$14)+($Y450*Lists!$AD$15),2))</f>
        <v/>
      </c>
      <c r="AA450" s="103" t="str">
        <f aca="false">IF(OR($B450="", $N450="", $O450="", $T450="", $Z450=""),"",ROUND(($N450*Lists!$AD$16)-($O450*Lists!$AD$17)-($T450*Lists!$AD$18)+($Z450*Lists!$AD$19),2))</f>
        <v/>
      </c>
      <c r="AB450" s="102" t="str">
        <f aca="false">IF(OR($B450="", $N450="", $Z450=""),"",IF($N450&gt;=Lists!$AG$2,IF($Z450&gt;=Lists!$AG$3,"Invest","Migrate"),IF($Z450&gt;=Lists!$AG$3,"Tolerate","Eliminate")))</f>
        <v/>
      </c>
      <c r="AC450" s="102" t="str">
        <f aca="false">IF($B450="","",IF($J450&gt;=4,"Yes",""))</f>
        <v/>
      </c>
      <c r="AD450" s="102" t="str">
        <f aca="false">IF($A450="","",IFERROR(IF(VLOOKUP($A450,'Risk Register'!$B$2:$H$1000,4,FALSE())&gt;=4,"Yes",""),""))</f>
        <v/>
      </c>
      <c r="AE450" s="102" t="str">
        <f aca="false">IF(OR($N450="", $O450=""),"",IF($N450&gt;=Lists!$AG$2,IF($O450&gt;=Lists!$AG$4,"High Value / High Risk","High Value / Low Risk"),IF($O450&gt;=Lists!$AG$4,"Low Value / High Risk","Low Value / Low Risk")))</f>
        <v/>
      </c>
      <c r="AF450" s="101"/>
      <c r="AG450" s="126"/>
      <c r="AH450" s="106" t="str">
        <f aca="false">IF($B450="","",COUNTIFS('Debt Backlog'!$AF$2:$AF$1000,$A450,'Debt Backlog'!$B$2:$B$1000,"&lt;&gt;",'Debt Backlog'!$N$2:$N$1000,"&lt;&gt;Done",'Debt Backlog'!$N$2:$N$1000,"&lt;&gt;Won't Fix",'Debt Backlog'!$N$2:$N$1000,"&lt;&gt;Duplicate"))</f>
        <v/>
      </c>
      <c r="AI450" s="103" t="str">
        <f aca="false">IF($B450="","",ROUND(SUMIFS('Debt Backlog'!$L$2:$L$1000,'Debt Backlog'!$AF$2:$AF$1000,$A450,'Debt Backlog'!$B$2:$B$1000,"&lt;&gt;",'Debt Backlog'!$N$2:$N$1000,"&lt;&gt;Done",'Debt Backlog'!$N$2:$N$1000,"&lt;&gt;Won't Fix",'Debt Backlog'!$N$2:$N$1000,"&lt;&gt;Duplicate"),2))</f>
        <v/>
      </c>
    </row>
    <row r="451" customFormat="false" ht="15.75" hidden="false" customHeight="true" outlineLevel="0" collapsed="false">
      <c r="A451" s="125"/>
      <c r="B451" s="101"/>
      <c r="C451" s="101"/>
      <c r="D451" s="101"/>
      <c r="E451" s="101"/>
      <c r="F451" s="101"/>
      <c r="G451" s="101"/>
      <c r="H451" s="101"/>
      <c r="I451" s="106"/>
      <c r="J451" s="106"/>
      <c r="K451" s="106"/>
      <c r="L451" s="106"/>
      <c r="M451" s="106"/>
      <c r="N451" s="103" t="str">
        <f aca="false">IF(OR($B451="", $I451="", $J451="", $K451="", $L451="", $M451=""),"",ROUND(($I451*Lists!$AD$2)+($J451*Lists!$AD$3)+($K451*Lists!$AD$4)+($L451*Lists!$AD$5)+($M451*Lists!$AD$6),2))</f>
        <v/>
      </c>
      <c r="O451" s="103" t="str">
        <f aca="false">IF($A451="","",IFERROR(VLOOKUP($A451,'Risk Register'!$B$2:$I$1000,8,FALSE()),""))</f>
        <v/>
      </c>
      <c r="P451" s="106"/>
      <c r="Q451" s="106"/>
      <c r="R451" s="106"/>
      <c r="S451" s="106"/>
      <c r="T451" s="103" t="str">
        <f aca="false">IF(OR($B451="", $P451="", $Q451="", $R451="", $S451=""),"",ROUND(($P451*Lists!$AD$7)+($Q451*Lists!$AD$8)+($R451*Lists!$AD$9)+($S451*Lists!$AD$10),2))</f>
        <v/>
      </c>
      <c r="U451" s="106"/>
      <c r="V451" s="106"/>
      <c r="W451" s="106"/>
      <c r="X451" s="106"/>
      <c r="Y451" s="106"/>
      <c r="Z451" s="103" t="str">
        <f aca="false">IF(OR($B451="", $U451="", $V451="", $W451="", $X451="", $Y451=""),"",ROUND(($U451*Lists!$AD$11)+($V451*Lists!$AD$12)+($W451*Lists!$AD$13)+($X451*Lists!$AD$14)+($Y451*Lists!$AD$15),2))</f>
        <v/>
      </c>
      <c r="AA451" s="103" t="str">
        <f aca="false">IF(OR($B451="", $N451="", $O451="", $T451="", $Z451=""),"",ROUND(($N451*Lists!$AD$16)-($O451*Lists!$AD$17)-($T451*Lists!$AD$18)+($Z451*Lists!$AD$19),2))</f>
        <v/>
      </c>
      <c r="AB451" s="102" t="str">
        <f aca="false">IF(OR($B451="", $N451="", $Z451=""),"",IF($N451&gt;=Lists!$AG$2,IF($Z451&gt;=Lists!$AG$3,"Invest","Migrate"),IF($Z451&gt;=Lists!$AG$3,"Tolerate","Eliminate")))</f>
        <v/>
      </c>
      <c r="AC451" s="102" t="str">
        <f aca="false">IF($B451="","",IF($J451&gt;=4,"Yes",""))</f>
        <v/>
      </c>
      <c r="AD451" s="102" t="str">
        <f aca="false">IF($A451="","",IFERROR(IF(VLOOKUP($A451,'Risk Register'!$B$2:$H$1000,4,FALSE())&gt;=4,"Yes",""),""))</f>
        <v/>
      </c>
      <c r="AE451" s="102" t="str">
        <f aca="false">IF(OR($N451="", $O451=""),"",IF($N451&gt;=Lists!$AG$2,IF($O451&gt;=Lists!$AG$4,"High Value / High Risk","High Value / Low Risk"),IF($O451&gt;=Lists!$AG$4,"Low Value / High Risk","Low Value / Low Risk")))</f>
        <v/>
      </c>
      <c r="AF451" s="101"/>
      <c r="AG451" s="126"/>
      <c r="AH451" s="106" t="str">
        <f aca="false">IF($B451="","",COUNTIFS('Debt Backlog'!$AF$2:$AF$1000,$A451,'Debt Backlog'!$B$2:$B$1000,"&lt;&gt;",'Debt Backlog'!$N$2:$N$1000,"&lt;&gt;Done",'Debt Backlog'!$N$2:$N$1000,"&lt;&gt;Won't Fix",'Debt Backlog'!$N$2:$N$1000,"&lt;&gt;Duplicate"))</f>
        <v/>
      </c>
      <c r="AI451" s="103" t="str">
        <f aca="false">IF($B451="","",ROUND(SUMIFS('Debt Backlog'!$L$2:$L$1000,'Debt Backlog'!$AF$2:$AF$1000,$A451,'Debt Backlog'!$B$2:$B$1000,"&lt;&gt;",'Debt Backlog'!$N$2:$N$1000,"&lt;&gt;Done",'Debt Backlog'!$N$2:$N$1000,"&lt;&gt;Won't Fix",'Debt Backlog'!$N$2:$N$1000,"&lt;&gt;Duplicate"),2))</f>
        <v/>
      </c>
    </row>
    <row r="452" customFormat="false" ht="15.75" hidden="false" customHeight="true" outlineLevel="0" collapsed="false">
      <c r="A452" s="125"/>
      <c r="B452" s="101"/>
      <c r="C452" s="101"/>
      <c r="D452" s="101"/>
      <c r="E452" s="101"/>
      <c r="F452" s="101"/>
      <c r="G452" s="101"/>
      <c r="H452" s="101"/>
      <c r="I452" s="106"/>
      <c r="J452" s="106"/>
      <c r="K452" s="106"/>
      <c r="L452" s="106"/>
      <c r="M452" s="106"/>
      <c r="N452" s="103" t="str">
        <f aca="false">IF(OR($B452="", $I452="", $J452="", $K452="", $L452="", $M452=""),"",ROUND(($I452*Lists!$AD$2)+($J452*Lists!$AD$3)+($K452*Lists!$AD$4)+($L452*Lists!$AD$5)+($M452*Lists!$AD$6),2))</f>
        <v/>
      </c>
      <c r="O452" s="103" t="str">
        <f aca="false">IF($A452="","",IFERROR(VLOOKUP($A452,'Risk Register'!$B$2:$I$1000,8,FALSE()),""))</f>
        <v/>
      </c>
      <c r="P452" s="106"/>
      <c r="Q452" s="106"/>
      <c r="R452" s="106"/>
      <c r="S452" s="106"/>
      <c r="T452" s="103" t="str">
        <f aca="false">IF(OR($B452="", $P452="", $Q452="", $R452="", $S452=""),"",ROUND(($P452*Lists!$AD$7)+($Q452*Lists!$AD$8)+($R452*Lists!$AD$9)+($S452*Lists!$AD$10),2))</f>
        <v/>
      </c>
      <c r="U452" s="106"/>
      <c r="V452" s="106"/>
      <c r="W452" s="106"/>
      <c r="X452" s="106"/>
      <c r="Y452" s="106"/>
      <c r="Z452" s="103" t="str">
        <f aca="false">IF(OR($B452="", $U452="", $V452="", $W452="", $X452="", $Y452=""),"",ROUND(($U452*Lists!$AD$11)+($V452*Lists!$AD$12)+($W452*Lists!$AD$13)+($X452*Lists!$AD$14)+($Y452*Lists!$AD$15),2))</f>
        <v/>
      </c>
      <c r="AA452" s="103" t="str">
        <f aca="false">IF(OR($B452="", $N452="", $O452="", $T452="", $Z452=""),"",ROUND(($N452*Lists!$AD$16)-($O452*Lists!$AD$17)-($T452*Lists!$AD$18)+($Z452*Lists!$AD$19),2))</f>
        <v/>
      </c>
      <c r="AB452" s="102" t="str">
        <f aca="false">IF(OR($B452="", $N452="", $Z452=""),"",IF($N452&gt;=Lists!$AG$2,IF($Z452&gt;=Lists!$AG$3,"Invest","Migrate"),IF($Z452&gt;=Lists!$AG$3,"Tolerate","Eliminate")))</f>
        <v/>
      </c>
      <c r="AC452" s="102" t="str">
        <f aca="false">IF($B452="","",IF($J452&gt;=4,"Yes",""))</f>
        <v/>
      </c>
      <c r="AD452" s="102" t="str">
        <f aca="false">IF($A452="","",IFERROR(IF(VLOOKUP($A452,'Risk Register'!$B$2:$H$1000,4,FALSE())&gt;=4,"Yes",""),""))</f>
        <v/>
      </c>
      <c r="AE452" s="102" t="str">
        <f aca="false">IF(OR($N452="", $O452=""),"",IF($N452&gt;=Lists!$AG$2,IF($O452&gt;=Lists!$AG$4,"High Value / High Risk","High Value / Low Risk"),IF($O452&gt;=Lists!$AG$4,"Low Value / High Risk","Low Value / Low Risk")))</f>
        <v/>
      </c>
      <c r="AF452" s="101"/>
      <c r="AG452" s="126"/>
      <c r="AH452" s="106" t="str">
        <f aca="false">IF($B452="","",COUNTIFS('Debt Backlog'!$AF$2:$AF$1000,$A452,'Debt Backlog'!$B$2:$B$1000,"&lt;&gt;",'Debt Backlog'!$N$2:$N$1000,"&lt;&gt;Done",'Debt Backlog'!$N$2:$N$1000,"&lt;&gt;Won't Fix",'Debt Backlog'!$N$2:$N$1000,"&lt;&gt;Duplicate"))</f>
        <v/>
      </c>
      <c r="AI452" s="103" t="str">
        <f aca="false">IF($B452="","",ROUND(SUMIFS('Debt Backlog'!$L$2:$L$1000,'Debt Backlog'!$AF$2:$AF$1000,$A452,'Debt Backlog'!$B$2:$B$1000,"&lt;&gt;",'Debt Backlog'!$N$2:$N$1000,"&lt;&gt;Done",'Debt Backlog'!$N$2:$N$1000,"&lt;&gt;Won't Fix",'Debt Backlog'!$N$2:$N$1000,"&lt;&gt;Duplicate"),2))</f>
        <v/>
      </c>
    </row>
    <row r="453" customFormat="false" ht="15.75" hidden="false" customHeight="true" outlineLevel="0" collapsed="false">
      <c r="A453" s="125"/>
      <c r="B453" s="101"/>
      <c r="C453" s="101"/>
      <c r="D453" s="101"/>
      <c r="E453" s="101"/>
      <c r="F453" s="101"/>
      <c r="G453" s="101"/>
      <c r="H453" s="101"/>
      <c r="I453" s="106"/>
      <c r="J453" s="106"/>
      <c r="K453" s="106"/>
      <c r="L453" s="106"/>
      <c r="M453" s="106"/>
      <c r="N453" s="103" t="str">
        <f aca="false">IF(OR($B453="", $I453="", $J453="", $K453="", $L453="", $M453=""),"",ROUND(($I453*Lists!$AD$2)+($J453*Lists!$AD$3)+($K453*Lists!$AD$4)+($L453*Lists!$AD$5)+($M453*Lists!$AD$6),2))</f>
        <v/>
      </c>
      <c r="O453" s="103" t="str">
        <f aca="false">IF($A453="","",IFERROR(VLOOKUP($A453,'Risk Register'!$B$2:$I$1000,8,FALSE()),""))</f>
        <v/>
      </c>
      <c r="P453" s="106"/>
      <c r="Q453" s="106"/>
      <c r="R453" s="106"/>
      <c r="S453" s="106"/>
      <c r="T453" s="103" t="str">
        <f aca="false">IF(OR($B453="", $P453="", $Q453="", $R453="", $S453=""),"",ROUND(($P453*Lists!$AD$7)+($Q453*Lists!$AD$8)+($R453*Lists!$AD$9)+($S453*Lists!$AD$10),2))</f>
        <v/>
      </c>
      <c r="U453" s="106"/>
      <c r="V453" s="106"/>
      <c r="W453" s="106"/>
      <c r="X453" s="106"/>
      <c r="Y453" s="106"/>
      <c r="Z453" s="103" t="str">
        <f aca="false">IF(OR($B453="", $U453="", $V453="", $W453="", $X453="", $Y453=""),"",ROUND(($U453*Lists!$AD$11)+($V453*Lists!$AD$12)+($W453*Lists!$AD$13)+($X453*Lists!$AD$14)+($Y453*Lists!$AD$15),2))</f>
        <v/>
      </c>
      <c r="AA453" s="103" t="str">
        <f aca="false">IF(OR($B453="", $N453="", $O453="", $T453="", $Z453=""),"",ROUND(($N453*Lists!$AD$16)-($O453*Lists!$AD$17)-($T453*Lists!$AD$18)+($Z453*Lists!$AD$19),2))</f>
        <v/>
      </c>
      <c r="AB453" s="102" t="str">
        <f aca="false">IF(OR($B453="", $N453="", $Z453=""),"",IF($N453&gt;=Lists!$AG$2,IF($Z453&gt;=Lists!$AG$3,"Invest","Migrate"),IF($Z453&gt;=Lists!$AG$3,"Tolerate","Eliminate")))</f>
        <v/>
      </c>
      <c r="AC453" s="102" t="str">
        <f aca="false">IF($B453="","",IF($J453&gt;=4,"Yes",""))</f>
        <v/>
      </c>
      <c r="AD453" s="102" t="str">
        <f aca="false">IF($A453="","",IFERROR(IF(VLOOKUP($A453,'Risk Register'!$B$2:$H$1000,4,FALSE())&gt;=4,"Yes",""),""))</f>
        <v/>
      </c>
      <c r="AE453" s="102" t="str">
        <f aca="false">IF(OR($N453="", $O453=""),"",IF($N453&gt;=Lists!$AG$2,IF($O453&gt;=Lists!$AG$4,"High Value / High Risk","High Value / Low Risk"),IF($O453&gt;=Lists!$AG$4,"Low Value / High Risk","Low Value / Low Risk")))</f>
        <v/>
      </c>
      <c r="AF453" s="101"/>
      <c r="AG453" s="126"/>
      <c r="AH453" s="106" t="str">
        <f aca="false">IF($B453="","",COUNTIFS('Debt Backlog'!$AF$2:$AF$1000,$A453,'Debt Backlog'!$B$2:$B$1000,"&lt;&gt;",'Debt Backlog'!$N$2:$N$1000,"&lt;&gt;Done",'Debt Backlog'!$N$2:$N$1000,"&lt;&gt;Won't Fix",'Debt Backlog'!$N$2:$N$1000,"&lt;&gt;Duplicate"))</f>
        <v/>
      </c>
      <c r="AI453" s="103" t="str">
        <f aca="false">IF($B453="","",ROUND(SUMIFS('Debt Backlog'!$L$2:$L$1000,'Debt Backlog'!$AF$2:$AF$1000,$A453,'Debt Backlog'!$B$2:$B$1000,"&lt;&gt;",'Debt Backlog'!$N$2:$N$1000,"&lt;&gt;Done",'Debt Backlog'!$N$2:$N$1000,"&lt;&gt;Won't Fix",'Debt Backlog'!$N$2:$N$1000,"&lt;&gt;Duplicate"),2))</f>
        <v/>
      </c>
    </row>
    <row r="454" customFormat="false" ht="15.75" hidden="false" customHeight="true" outlineLevel="0" collapsed="false">
      <c r="A454" s="125"/>
      <c r="B454" s="101"/>
      <c r="C454" s="101"/>
      <c r="D454" s="101"/>
      <c r="E454" s="101"/>
      <c r="F454" s="101"/>
      <c r="G454" s="101"/>
      <c r="H454" s="101"/>
      <c r="I454" s="106"/>
      <c r="J454" s="106"/>
      <c r="K454" s="106"/>
      <c r="L454" s="106"/>
      <c r="M454" s="106"/>
      <c r="N454" s="103" t="str">
        <f aca="false">IF(OR($B454="", $I454="", $J454="", $K454="", $L454="", $M454=""),"",ROUND(($I454*Lists!$AD$2)+($J454*Lists!$AD$3)+($K454*Lists!$AD$4)+($L454*Lists!$AD$5)+($M454*Lists!$AD$6),2))</f>
        <v/>
      </c>
      <c r="O454" s="103" t="str">
        <f aca="false">IF($A454="","",IFERROR(VLOOKUP($A454,'Risk Register'!$B$2:$I$1000,8,FALSE()),""))</f>
        <v/>
      </c>
      <c r="P454" s="106"/>
      <c r="Q454" s="106"/>
      <c r="R454" s="106"/>
      <c r="S454" s="106"/>
      <c r="T454" s="103" t="str">
        <f aca="false">IF(OR($B454="", $P454="", $Q454="", $R454="", $S454=""),"",ROUND(($P454*Lists!$AD$7)+($Q454*Lists!$AD$8)+($R454*Lists!$AD$9)+($S454*Lists!$AD$10),2))</f>
        <v/>
      </c>
      <c r="U454" s="106"/>
      <c r="V454" s="106"/>
      <c r="W454" s="106"/>
      <c r="X454" s="106"/>
      <c r="Y454" s="106"/>
      <c r="Z454" s="103" t="str">
        <f aca="false">IF(OR($B454="", $U454="", $V454="", $W454="", $X454="", $Y454=""),"",ROUND(($U454*Lists!$AD$11)+($V454*Lists!$AD$12)+($W454*Lists!$AD$13)+($X454*Lists!$AD$14)+($Y454*Lists!$AD$15),2))</f>
        <v/>
      </c>
      <c r="AA454" s="103" t="str">
        <f aca="false">IF(OR($B454="", $N454="", $O454="", $T454="", $Z454=""),"",ROUND(($N454*Lists!$AD$16)-($O454*Lists!$AD$17)-($T454*Lists!$AD$18)+($Z454*Lists!$AD$19),2))</f>
        <v/>
      </c>
      <c r="AB454" s="102" t="str">
        <f aca="false">IF(OR($B454="", $N454="", $Z454=""),"",IF($N454&gt;=Lists!$AG$2,IF($Z454&gt;=Lists!$AG$3,"Invest","Migrate"),IF($Z454&gt;=Lists!$AG$3,"Tolerate","Eliminate")))</f>
        <v/>
      </c>
      <c r="AC454" s="102" t="str">
        <f aca="false">IF($B454="","",IF($J454&gt;=4,"Yes",""))</f>
        <v/>
      </c>
      <c r="AD454" s="102" t="str">
        <f aca="false">IF($A454="","",IFERROR(IF(VLOOKUP($A454,'Risk Register'!$B$2:$H$1000,4,FALSE())&gt;=4,"Yes",""),""))</f>
        <v/>
      </c>
      <c r="AE454" s="102" t="str">
        <f aca="false">IF(OR($N454="", $O454=""),"",IF($N454&gt;=Lists!$AG$2,IF($O454&gt;=Lists!$AG$4,"High Value / High Risk","High Value / Low Risk"),IF($O454&gt;=Lists!$AG$4,"Low Value / High Risk","Low Value / Low Risk")))</f>
        <v/>
      </c>
      <c r="AF454" s="101"/>
      <c r="AG454" s="126"/>
      <c r="AH454" s="106" t="str">
        <f aca="false">IF($B454="","",COUNTIFS('Debt Backlog'!$AF$2:$AF$1000,$A454,'Debt Backlog'!$B$2:$B$1000,"&lt;&gt;",'Debt Backlog'!$N$2:$N$1000,"&lt;&gt;Done",'Debt Backlog'!$N$2:$N$1000,"&lt;&gt;Won't Fix",'Debt Backlog'!$N$2:$N$1000,"&lt;&gt;Duplicate"))</f>
        <v/>
      </c>
      <c r="AI454" s="103" t="str">
        <f aca="false">IF($B454="","",ROUND(SUMIFS('Debt Backlog'!$L$2:$L$1000,'Debt Backlog'!$AF$2:$AF$1000,$A454,'Debt Backlog'!$B$2:$B$1000,"&lt;&gt;",'Debt Backlog'!$N$2:$N$1000,"&lt;&gt;Done",'Debt Backlog'!$N$2:$N$1000,"&lt;&gt;Won't Fix",'Debt Backlog'!$N$2:$N$1000,"&lt;&gt;Duplicate"),2))</f>
        <v/>
      </c>
    </row>
    <row r="455" customFormat="false" ht="15.75" hidden="false" customHeight="true" outlineLevel="0" collapsed="false">
      <c r="A455" s="125"/>
      <c r="B455" s="101"/>
      <c r="C455" s="101"/>
      <c r="D455" s="101"/>
      <c r="E455" s="101"/>
      <c r="F455" s="101"/>
      <c r="G455" s="101"/>
      <c r="H455" s="101"/>
      <c r="I455" s="106"/>
      <c r="J455" s="106"/>
      <c r="K455" s="106"/>
      <c r="L455" s="106"/>
      <c r="M455" s="106"/>
      <c r="N455" s="103" t="str">
        <f aca="false">IF(OR($B455="", $I455="", $J455="", $K455="", $L455="", $M455=""),"",ROUND(($I455*Lists!$AD$2)+($J455*Lists!$AD$3)+($K455*Lists!$AD$4)+($L455*Lists!$AD$5)+($M455*Lists!$AD$6),2))</f>
        <v/>
      </c>
      <c r="O455" s="103" t="str">
        <f aca="false">IF($A455="","",IFERROR(VLOOKUP($A455,'Risk Register'!$B$2:$I$1000,8,FALSE()),""))</f>
        <v/>
      </c>
      <c r="P455" s="106"/>
      <c r="Q455" s="106"/>
      <c r="R455" s="106"/>
      <c r="S455" s="106"/>
      <c r="T455" s="103" t="str">
        <f aca="false">IF(OR($B455="", $P455="", $Q455="", $R455="", $S455=""),"",ROUND(($P455*Lists!$AD$7)+($Q455*Lists!$AD$8)+($R455*Lists!$AD$9)+($S455*Lists!$AD$10),2))</f>
        <v/>
      </c>
      <c r="U455" s="106"/>
      <c r="V455" s="106"/>
      <c r="W455" s="106"/>
      <c r="X455" s="106"/>
      <c r="Y455" s="106"/>
      <c r="Z455" s="103" t="str">
        <f aca="false">IF(OR($B455="", $U455="", $V455="", $W455="", $X455="", $Y455=""),"",ROUND(($U455*Lists!$AD$11)+($V455*Lists!$AD$12)+($W455*Lists!$AD$13)+($X455*Lists!$AD$14)+($Y455*Lists!$AD$15),2))</f>
        <v/>
      </c>
      <c r="AA455" s="103" t="str">
        <f aca="false">IF(OR($B455="", $N455="", $O455="", $T455="", $Z455=""),"",ROUND(($N455*Lists!$AD$16)-($O455*Lists!$AD$17)-($T455*Lists!$AD$18)+($Z455*Lists!$AD$19),2))</f>
        <v/>
      </c>
      <c r="AB455" s="102" t="str">
        <f aca="false">IF(OR($B455="", $N455="", $Z455=""),"",IF($N455&gt;=Lists!$AG$2,IF($Z455&gt;=Lists!$AG$3,"Invest","Migrate"),IF($Z455&gt;=Lists!$AG$3,"Tolerate","Eliminate")))</f>
        <v/>
      </c>
      <c r="AC455" s="102" t="str">
        <f aca="false">IF($B455="","",IF($J455&gt;=4,"Yes",""))</f>
        <v/>
      </c>
      <c r="AD455" s="102" t="str">
        <f aca="false">IF($A455="","",IFERROR(IF(VLOOKUP($A455,'Risk Register'!$B$2:$H$1000,4,FALSE())&gt;=4,"Yes",""),""))</f>
        <v/>
      </c>
      <c r="AE455" s="102" t="str">
        <f aca="false">IF(OR($N455="", $O455=""),"",IF($N455&gt;=Lists!$AG$2,IF($O455&gt;=Lists!$AG$4,"High Value / High Risk","High Value / Low Risk"),IF($O455&gt;=Lists!$AG$4,"Low Value / High Risk","Low Value / Low Risk")))</f>
        <v/>
      </c>
      <c r="AF455" s="101"/>
      <c r="AG455" s="126"/>
      <c r="AH455" s="106" t="str">
        <f aca="false">IF($B455="","",COUNTIFS('Debt Backlog'!$AF$2:$AF$1000,$A455,'Debt Backlog'!$B$2:$B$1000,"&lt;&gt;",'Debt Backlog'!$N$2:$N$1000,"&lt;&gt;Done",'Debt Backlog'!$N$2:$N$1000,"&lt;&gt;Won't Fix",'Debt Backlog'!$N$2:$N$1000,"&lt;&gt;Duplicate"))</f>
        <v/>
      </c>
      <c r="AI455" s="103" t="str">
        <f aca="false">IF($B455="","",ROUND(SUMIFS('Debt Backlog'!$L$2:$L$1000,'Debt Backlog'!$AF$2:$AF$1000,$A455,'Debt Backlog'!$B$2:$B$1000,"&lt;&gt;",'Debt Backlog'!$N$2:$N$1000,"&lt;&gt;Done",'Debt Backlog'!$N$2:$N$1000,"&lt;&gt;Won't Fix",'Debt Backlog'!$N$2:$N$1000,"&lt;&gt;Duplicate"),2))</f>
        <v/>
      </c>
    </row>
    <row r="456" customFormat="false" ht="15.75" hidden="false" customHeight="true" outlineLevel="0" collapsed="false">
      <c r="A456" s="125"/>
      <c r="B456" s="101"/>
      <c r="C456" s="101"/>
      <c r="D456" s="101"/>
      <c r="E456" s="101"/>
      <c r="F456" s="101"/>
      <c r="G456" s="101"/>
      <c r="H456" s="101"/>
      <c r="I456" s="106"/>
      <c r="J456" s="106"/>
      <c r="K456" s="106"/>
      <c r="L456" s="106"/>
      <c r="M456" s="106"/>
      <c r="N456" s="103" t="str">
        <f aca="false">IF(OR($B456="", $I456="", $J456="", $K456="", $L456="", $M456=""),"",ROUND(($I456*Lists!$AD$2)+($J456*Lists!$AD$3)+($K456*Lists!$AD$4)+($L456*Lists!$AD$5)+($M456*Lists!$AD$6),2))</f>
        <v/>
      </c>
      <c r="O456" s="103" t="str">
        <f aca="false">IF($A456="","",IFERROR(VLOOKUP($A456,'Risk Register'!$B$2:$I$1000,8,FALSE()),""))</f>
        <v/>
      </c>
      <c r="P456" s="106"/>
      <c r="Q456" s="106"/>
      <c r="R456" s="106"/>
      <c r="S456" s="106"/>
      <c r="T456" s="103" t="str">
        <f aca="false">IF(OR($B456="", $P456="", $Q456="", $R456="", $S456=""),"",ROUND(($P456*Lists!$AD$7)+($Q456*Lists!$AD$8)+($R456*Lists!$AD$9)+($S456*Lists!$AD$10),2))</f>
        <v/>
      </c>
      <c r="U456" s="106"/>
      <c r="V456" s="106"/>
      <c r="W456" s="106"/>
      <c r="X456" s="106"/>
      <c r="Y456" s="106"/>
      <c r="Z456" s="103" t="str">
        <f aca="false">IF(OR($B456="", $U456="", $V456="", $W456="", $X456="", $Y456=""),"",ROUND(($U456*Lists!$AD$11)+($V456*Lists!$AD$12)+($W456*Lists!$AD$13)+($X456*Lists!$AD$14)+($Y456*Lists!$AD$15),2))</f>
        <v/>
      </c>
      <c r="AA456" s="103" t="str">
        <f aca="false">IF(OR($B456="", $N456="", $O456="", $T456="", $Z456=""),"",ROUND(($N456*Lists!$AD$16)-($O456*Lists!$AD$17)-($T456*Lists!$AD$18)+($Z456*Lists!$AD$19),2))</f>
        <v/>
      </c>
      <c r="AB456" s="102" t="str">
        <f aca="false">IF(OR($B456="", $N456="", $Z456=""),"",IF($N456&gt;=Lists!$AG$2,IF($Z456&gt;=Lists!$AG$3,"Invest","Migrate"),IF($Z456&gt;=Lists!$AG$3,"Tolerate","Eliminate")))</f>
        <v/>
      </c>
      <c r="AC456" s="102" t="str">
        <f aca="false">IF($B456="","",IF($J456&gt;=4,"Yes",""))</f>
        <v/>
      </c>
      <c r="AD456" s="102" t="str">
        <f aca="false">IF($A456="","",IFERROR(IF(VLOOKUP($A456,'Risk Register'!$B$2:$H$1000,4,FALSE())&gt;=4,"Yes",""),""))</f>
        <v/>
      </c>
      <c r="AE456" s="102" t="str">
        <f aca="false">IF(OR($N456="", $O456=""),"",IF($N456&gt;=Lists!$AG$2,IF($O456&gt;=Lists!$AG$4,"High Value / High Risk","High Value / Low Risk"),IF($O456&gt;=Lists!$AG$4,"Low Value / High Risk","Low Value / Low Risk")))</f>
        <v/>
      </c>
      <c r="AF456" s="101"/>
      <c r="AG456" s="126"/>
      <c r="AH456" s="106" t="str">
        <f aca="false">IF($B456="","",COUNTIFS('Debt Backlog'!$AF$2:$AF$1000,$A456,'Debt Backlog'!$B$2:$B$1000,"&lt;&gt;",'Debt Backlog'!$N$2:$N$1000,"&lt;&gt;Done",'Debt Backlog'!$N$2:$N$1000,"&lt;&gt;Won't Fix",'Debt Backlog'!$N$2:$N$1000,"&lt;&gt;Duplicate"))</f>
        <v/>
      </c>
      <c r="AI456" s="103" t="str">
        <f aca="false">IF($B456="","",ROUND(SUMIFS('Debt Backlog'!$L$2:$L$1000,'Debt Backlog'!$AF$2:$AF$1000,$A456,'Debt Backlog'!$B$2:$B$1000,"&lt;&gt;",'Debt Backlog'!$N$2:$N$1000,"&lt;&gt;Done",'Debt Backlog'!$N$2:$N$1000,"&lt;&gt;Won't Fix",'Debt Backlog'!$N$2:$N$1000,"&lt;&gt;Duplicate"),2))</f>
        <v/>
      </c>
    </row>
    <row r="457" customFormat="false" ht="15.75" hidden="false" customHeight="true" outlineLevel="0" collapsed="false">
      <c r="A457" s="125"/>
      <c r="B457" s="101"/>
      <c r="C457" s="101"/>
      <c r="D457" s="101"/>
      <c r="E457" s="101"/>
      <c r="F457" s="101"/>
      <c r="G457" s="101"/>
      <c r="H457" s="101"/>
      <c r="I457" s="106"/>
      <c r="J457" s="106"/>
      <c r="K457" s="106"/>
      <c r="L457" s="106"/>
      <c r="M457" s="106"/>
      <c r="N457" s="103" t="str">
        <f aca="false">IF(OR($B457="", $I457="", $J457="", $K457="", $L457="", $M457=""),"",ROUND(($I457*Lists!$AD$2)+($J457*Lists!$AD$3)+($K457*Lists!$AD$4)+($L457*Lists!$AD$5)+($M457*Lists!$AD$6),2))</f>
        <v/>
      </c>
      <c r="O457" s="103" t="str">
        <f aca="false">IF($A457="","",IFERROR(VLOOKUP($A457,'Risk Register'!$B$2:$I$1000,8,FALSE()),""))</f>
        <v/>
      </c>
      <c r="P457" s="106"/>
      <c r="Q457" s="106"/>
      <c r="R457" s="106"/>
      <c r="S457" s="106"/>
      <c r="T457" s="103" t="str">
        <f aca="false">IF(OR($B457="", $P457="", $Q457="", $R457="", $S457=""),"",ROUND(($P457*Lists!$AD$7)+($Q457*Lists!$AD$8)+($R457*Lists!$AD$9)+($S457*Lists!$AD$10),2))</f>
        <v/>
      </c>
      <c r="U457" s="106"/>
      <c r="V457" s="106"/>
      <c r="W457" s="106"/>
      <c r="X457" s="106"/>
      <c r="Y457" s="106"/>
      <c r="Z457" s="103" t="str">
        <f aca="false">IF(OR($B457="", $U457="", $V457="", $W457="", $X457="", $Y457=""),"",ROUND(($U457*Lists!$AD$11)+($V457*Lists!$AD$12)+($W457*Lists!$AD$13)+($X457*Lists!$AD$14)+($Y457*Lists!$AD$15),2))</f>
        <v/>
      </c>
      <c r="AA457" s="103" t="str">
        <f aca="false">IF(OR($B457="", $N457="", $O457="", $T457="", $Z457=""),"",ROUND(($N457*Lists!$AD$16)-($O457*Lists!$AD$17)-($T457*Lists!$AD$18)+($Z457*Lists!$AD$19),2))</f>
        <v/>
      </c>
      <c r="AB457" s="102" t="str">
        <f aca="false">IF(OR($B457="", $N457="", $Z457=""),"",IF($N457&gt;=Lists!$AG$2,IF($Z457&gt;=Lists!$AG$3,"Invest","Migrate"),IF($Z457&gt;=Lists!$AG$3,"Tolerate","Eliminate")))</f>
        <v/>
      </c>
      <c r="AC457" s="102" t="str">
        <f aca="false">IF($B457="","",IF($J457&gt;=4,"Yes",""))</f>
        <v/>
      </c>
      <c r="AD457" s="102" t="str">
        <f aca="false">IF($A457="","",IFERROR(IF(VLOOKUP($A457,'Risk Register'!$B$2:$H$1000,4,FALSE())&gt;=4,"Yes",""),""))</f>
        <v/>
      </c>
      <c r="AE457" s="102" t="str">
        <f aca="false">IF(OR($N457="", $O457=""),"",IF($N457&gt;=Lists!$AG$2,IF($O457&gt;=Lists!$AG$4,"High Value / High Risk","High Value / Low Risk"),IF($O457&gt;=Lists!$AG$4,"Low Value / High Risk","Low Value / Low Risk")))</f>
        <v/>
      </c>
      <c r="AF457" s="101"/>
      <c r="AG457" s="126"/>
      <c r="AH457" s="106" t="str">
        <f aca="false">IF($B457="","",COUNTIFS('Debt Backlog'!$AF$2:$AF$1000,$A457,'Debt Backlog'!$B$2:$B$1000,"&lt;&gt;",'Debt Backlog'!$N$2:$N$1000,"&lt;&gt;Done",'Debt Backlog'!$N$2:$N$1000,"&lt;&gt;Won't Fix",'Debt Backlog'!$N$2:$N$1000,"&lt;&gt;Duplicate"))</f>
        <v/>
      </c>
      <c r="AI457" s="103" t="str">
        <f aca="false">IF($B457="","",ROUND(SUMIFS('Debt Backlog'!$L$2:$L$1000,'Debt Backlog'!$AF$2:$AF$1000,$A457,'Debt Backlog'!$B$2:$B$1000,"&lt;&gt;",'Debt Backlog'!$N$2:$N$1000,"&lt;&gt;Done",'Debt Backlog'!$N$2:$N$1000,"&lt;&gt;Won't Fix",'Debt Backlog'!$N$2:$N$1000,"&lt;&gt;Duplicate"),2))</f>
        <v/>
      </c>
    </row>
    <row r="458" customFormat="false" ht="15.75" hidden="false" customHeight="true" outlineLevel="0" collapsed="false">
      <c r="A458" s="125"/>
      <c r="B458" s="101"/>
      <c r="C458" s="101"/>
      <c r="D458" s="101"/>
      <c r="E458" s="101"/>
      <c r="F458" s="101"/>
      <c r="G458" s="101"/>
      <c r="H458" s="101"/>
      <c r="I458" s="106"/>
      <c r="J458" s="106"/>
      <c r="K458" s="106"/>
      <c r="L458" s="106"/>
      <c r="M458" s="106"/>
      <c r="N458" s="103" t="str">
        <f aca="false">IF(OR($B458="", $I458="", $J458="", $K458="", $L458="", $M458=""),"",ROUND(($I458*Lists!$AD$2)+($J458*Lists!$AD$3)+($K458*Lists!$AD$4)+($L458*Lists!$AD$5)+($M458*Lists!$AD$6),2))</f>
        <v/>
      </c>
      <c r="O458" s="103" t="str">
        <f aca="false">IF($A458="","",IFERROR(VLOOKUP($A458,'Risk Register'!$B$2:$I$1000,8,FALSE()),""))</f>
        <v/>
      </c>
      <c r="P458" s="106"/>
      <c r="Q458" s="106"/>
      <c r="R458" s="106"/>
      <c r="S458" s="106"/>
      <c r="T458" s="103" t="str">
        <f aca="false">IF(OR($B458="", $P458="", $Q458="", $R458="", $S458=""),"",ROUND(($P458*Lists!$AD$7)+($Q458*Lists!$AD$8)+($R458*Lists!$AD$9)+($S458*Lists!$AD$10),2))</f>
        <v/>
      </c>
      <c r="U458" s="106"/>
      <c r="V458" s="106"/>
      <c r="W458" s="106"/>
      <c r="X458" s="106"/>
      <c r="Y458" s="106"/>
      <c r="Z458" s="103" t="str">
        <f aca="false">IF(OR($B458="", $U458="", $V458="", $W458="", $X458="", $Y458=""),"",ROUND(($U458*Lists!$AD$11)+($V458*Lists!$AD$12)+($W458*Lists!$AD$13)+($X458*Lists!$AD$14)+($Y458*Lists!$AD$15),2))</f>
        <v/>
      </c>
      <c r="AA458" s="103" t="str">
        <f aca="false">IF(OR($B458="", $N458="", $O458="", $T458="", $Z458=""),"",ROUND(($N458*Lists!$AD$16)-($O458*Lists!$AD$17)-($T458*Lists!$AD$18)+($Z458*Lists!$AD$19),2))</f>
        <v/>
      </c>
      <c r="AB458" s="102" t="str">
        <f aca="false">IF(OR($B458="", $N458="", $Z458=""),"",IF($N458&gt;=Lists!$AG$2,IF($Z458&gt;=Lists!$AG$3,"Invest","Migrate"),IF($Z458&gt;=Lists!$AG$3,"Tolerate","Eliminate")))</f>
        <v/>
      </c>
      <c r="AC458" s="102" t="str">
        <f aca="false">IF($B458="","",IF($J458&gt;=4,"Yes",""))</f>
        <v/>
      </c>
      <c r="AD458" s="102" t="str">
        <f aca="false">IF($A458="","",IFERROR(IF(VLOOKUP($A458,'Risk Register'!$B$2:$H$1000,4,FALSE())&gt;=4,"Yes",""),""))</f>
        <v/>
      </c>
      <c r="AE458" s="102" t="str">
        <f aca="false">IF(OR($N458="", $O458=""),"",IF($N458&gt;=Lists!$AG$2,IF($O458&gt;=Lists!$AG$4,"High Value / High Risk","High Value / Low Risk"),IF($O458&gt;=Lists!$AG$4,"Low Value / High Risk","Low Value / Low Risk")))</f>
        <v/>
      </c>
      <c r="AF458" s="101"/>
      <c r="AG458" s="126"/>
      <c r="AH458" s="106" t="str">
        <f aca="false">IF($B458="","",COUNTIFS('Debt Backlog'!$AF$2:$AF$1000,$A458,'Debt Backlog'!$B$2:$B$1000,"&lt;&gt;",'Debt Backlog'!$N$2:$N$1000,"&lt;&gt;Done",'Debt Backlog'!$N$2:$N$1000,"&lt;&gt;Won't Fix",'Debt Backlog'!$N$2:$N$1000,"&lt;&gt;Duplicate"))</f>
        <v/>
      </c>
      <c r="AI458" s="103" t="str">
        <f aca="false">IF($B458="","",ROUND(SUMIFS('Debt Backlog'!$L$2:$L$1000,'Debt Backlog'!$AF$2:$AF$1000,$A458,'Debt Backlog'!$B$2:$B$1000,"&lt;&gt;",'Debt Backlog'!$N$2:$N$1000,"&lt;&gt;Done",'Debt Backlog'!$N$2:$N$1000,"&lt;&gt;Won't Fix",'Debt Backlog'!$N$2:$N$1000,"&lt;&gt;Duplicate"),2))</f>
        <v/>
      </c>
    </row>
    <row r="459" customFormat="false" ht="15.75" hidden="false" customHeight="true" outlineLevel="0" collapsed="false">
      <c r="A459" s="125"/>
      <c r="B459" s="101"/>
      <c r="C459" s="101"/>
      <c r="D459" s="101"/>
      <c r="E459" s="101"/>
      <c r="F459" s="101"/>
      <c r="G459" s="101"/>
      <c r="H459" s="101"/>
      <c r="I459" s="106"/>
      <c r="J459" s="106"/>
      <c r="K459" s="106"/>
      <c r="L459" s="106"/>
      <c r="M459" s="106"/>
      <c r="N459" s="103" t="str">
        <f aca="false">IF(OR($B459="", $I459="", $J459="", $K459="", $L459="", $M459=""),"",ROUND(($I459*Lists!$AD$2)+($J459*Lists!$AD$3)+($K459*Lists!$AD$4)+($L459*Lists!$AD$5)+($M459*Lists!$AD$6),2))</f>
        <v/>
      </c>
      <c r="O459" s="103" t="str">
        <f aca="false">IF($A459="","",IFERROR(VLOOKUP($A459,'Risk Register'!$B$2:$I$1000,8,FALSE()),""))</f>
        <v/>
      </c>
      <c r="P459" s="106"/>
      <c r="Q459" s="106"/>
      <c r="R459" s="106"/>
      <c r="S459" s="106"/>
      <c r="T459" s="103" t="str">
        <f aca="false">IF(OR($B459="", $P459="", $Q459="", $R459="", $S459=""),"",ROUND(($P459*Lists!$AD$7)+($Q459*Lists!$AD$8)+($R459*Lists!$AD$9)+($S459*Lists!$AD$10),2))</f>
        <v/>
      </c>
      <c r="U459" s="106"/>
      <c r="V459" s="106"/>
      <c r="W459" s="106"/>
      <c r="X459" s="106"/>
      <c r="Y459" s="106"/>
      <c r="Z459" s="103" t="str">
        <f aca="false">IF(OR($B459="", $U459="", $V459="", $W459="", $X459="", $Y459=""),"",ROUND(($U459*Lists!$AD$11)+($V459*Lists!$AD$12)+($W459*Lists!$AD$13)+($X459*Lists!$AD$14)+($Y459*Lists!$AD$15),2))</f>
        <v/>
      </c>
      <c r="AA459" s="103" t="str">
        <f aca="false">IF(OR($B459="", $N459="", $O459="", $T459="", $Z459=""),"",ROUND(($N459*Lists!$AD$16)-($O459*Lists!$AD$17)-($T459*Lists!$AD$18)+($Z459*Lists!$AD$19),2))</f>
        <v/>
      </c>
      <c r="AB459" s="102" t="str">
        <f aca="false">IF(OR($B459="", $N459="", $Z459=""),"",IF($N459&gt;=Lists!$AG$2,IF($Z459&gt;=Lists!$AG$3,"Invest","Migrate"),IF($Z459&gt;=Lists!$AG$3,"Tolerate","Eliminate")))</f>
        <v/>
      </c>
      <c r="AC459" s="102" t="str">
        <f aca="false">IF($B459="","",IF($J459&gt;=4,"Yes",""))</f>
        <v/>
      </c>
      <c r="AD459" s="102" t="str">
        <f aca="false">IF($A459="","",IFERROR(IF(VLOOKUP($A459,'Risk Register'!$B$2:$H$1000,4,FALSE())&gt;=4,"Yes",""),""))</f>
        <v/>
      </c>
      <c r="AE459" s="102" t="str">
        <f aca="false">IF(OR($N459="", $O459=""),"",IF($N459&gt;=Lists!$AG$2,IF($O459&gt;=Lists!$AG$4,"High Value / High Risk","High Value / Low Risk"),IF($O459&gt;=Lists!$AG$4,"Low Value / High Risk","Low Value / Low Risk")))</f>
        <v/>
      </c>
      <c r="AF459" s="101"/>
      <c r="AG459" s="126"/>
      <c r="AH459" s="106" t="str">
        <f aca="false">IF($B459="","",COUNTIFS('Debt Backlog'!$AF$2:$AF$1000,$A459,'Debt Backlog'!$B$2:$B$1000,"&lt;&gt;",'Debt Backlog'!$N$2:$N$1000,"&lt;&gt;Done",'Debt Backlog'!$N$2:$N$1000,"&lt;&gt;Won't Fix",'Debt Backlog'!$N$2:$N$1000,"&lt;&gt;Duplicate"))</f>
        <v/>
      </c>
      <c r="AI459" s="103" t="str">
        <f aca="false">IF($B459="","",ROUND(SUMIFS('Debt Backlog'!$L$2:$L$1000,'Debt Backlog'!$AF$2:$AF$1000,$A459,'Debt Backlog'!$B$2:$B$1000,"&lt;&gt;",'Debt Backlog'!$N$2:$N$1000,"&lt;&gt;Done",'Debt Backlog'!$N$2:$N$1000,"&lt;&gt;Won't Fix",'Debt Backlog'!$N$2:$N$1000,"&lt;&gt;Duplicate"),2))</f>
        <v/>
      </c>
    </row>
    <row r="460" customFormat="false" ht="15.75" hidden="false" customHeight="true" outlineLevel="0" collapsed="false">
      <c r="A460" s="125"/>
      <c r="B460" s="101"/>
      <c r="C460" s="101"/>
      <c r="D460" s="101"/>
      <c r="E460" s="101"/>
      <c r="F460" s="101"/>
      <c r="G460" s="101"/>
      <c r="H460" s="101"/>
      <c r="I460" s="106"/>
      <c r="J460" s="106"/>
      <c r="K460" s="106"/>
      <c r="L460" s="106"/>
      <c r="M460" s="106"/>
      <c r="N460" s="103" t="str">
        <f aca="false">IF(OR($B460="", $I460="", $J460="", $K460="", $L460="", $M460=""),"",ROUND(($I460*Lists!$AD$2)+($J460*Lists!$AD$3)+($K460*Lists!$AD$4)+($L460*Lists!$AD$5)+($M460*Lists!$AD$6),2))</f>
        <v/>
      </c>
      <c r="O460" s="103" t="str">
        <f aca="false">IF($A460="","",IFERROR(VLOOKUP($A460,'Risk Register'!$B$2:$I$1000,8,FALSE()),""))</f>
        <v/>
      </c>
      <c r="P460" s="106"/>
      <c r="Q460" s="106"/>
      <c r="R460" s="106"/>
      <c r="S460" s="106"/>
      <c r="T460" s="103" t="str">
        <f aca="false">IF(OR($B460="", $P460="", $Q460="", $R460="", $S460=""),"",ROUND(($P460*Lists!$AD$7)+($Q460*Lists!$AD$8)+($R460*Lists!$AD$9)+($S460*Lists!$AD$10),2))</f>
        <v/>
      </c>
      <c r="U460" s="106"/>
      <c r="V460" s="106"/>
      <c r="W460" s="106"/>
      <c r="X460" s="106"/>
      <c r="Y460" s="106"/>
      <c r="Z460" s="103" t="str">
        <f aca="false">IF(OR($B460="", $U460="", $V460="", $W460="", $X460="", $Y460=""),"",ROUND(($U460*Lists!$AD$11)+($V460*Lists!$AD$12)+($W460*Lists!$AD$13)+($X460*Lists!$AD$14)+($Y460*Lists!$AD$15),2))</f>
        <v/>
      </c>
      <c r="AA460" s="103" t="str">
        <f aca="false">IF(OR($B460="", $N460="", $O460="", $T460="", $Z460=""),"",ROUND(($N460*Lists!$AD$16)-($O460*Lists!$AD$17)-($T460*Lists!$AD$18)+($Z460*Lists!$AD$19),2))</f>
        <v/>
      </c>
      <c r="AB460" s="102" t="str">
        <f aca="false">IF(OR($B460="", $N460="", $Z460=""),"",IF($N460&gt;=Lists!$AG$2,IF($Z460&gt;=Lists!$AG$3,"Invest","Migrate"),IF($Z460&gt;=Lists!$AG$3,"Tolerate","Eliminate")))</f>
        <v/>
      </c>
      <c r="AC460" s="102" t="str">
        <f aca="false">IF($B460="","",IF($J460&gt;=4,"Yes",""))</f>
        <v/>
      </c>
      <c r="AD460" s="102" t="str">
        <f aca="false">IF($A460="","",IFERROR(IF(VLOOKUP($A460,'Risk Register'!$B$2:$H$1000,4,FALSE())&gt;=4,"Yes",""),""))</f>
        <v/>
      </c>
      <c r="AE460" s="102" t="str">
        <f aca="false">IF(OR($N460="", $O460=""),"",IF($N460&gt;=Lists!$AG$2,IF($O460&gt;=Lists!$AG$4,"High Value / High Risk","High Value / Low Risk"),IF($O460&gt;=Lists!$AG$4,"Low Value / High Risk","Low Value / Low Risk")))</f>
        <v/>
      </c>
      <c r="AF460" s="101"/>
      <c r="AG460" s="126"/>
      <c r="AH460" s="106" t="str">
        <f aca="false">IF($B460="","",COUNTIFS('Debt Backlog'!$AF$2:$AF$1000,$A460,'Debt Backlog'!$B$2:$B$1000,"&lt;&gt;",'Debt Backlog'!$N$2:$N$1000,"&lt;&gt;Done",'Debt Backlog'!$N$2:$N$1000,"&lt;&gt;Won't Fix",'Debt Backlog'!$N$2:$N$1000,"&lt;&gt;Duplicate"))</f>
        <v/>
      </c>
      <c r="AI460" s="103" t="str">
        <f aca="false">IF($B460="","",ROUND(SUMIFS('Debt Backlog'!$L$2:$L$1000,'Debt Backlog'!$AF$2:$AF$1000,$A460,'Debt Backlog'!$B$2:$B$1000,"&lt;&gt;",'Debt Backlog'!$N$2:$N$1000,"&lt;&gt;Done",'Debt Backlog'!$N$2:$N$1000,"&lt;&gt;Won't Fix",'Debt Backlog'!$N$2:$N$1000,"&lt;&gt;Duplicate"),2))</f>
        <v/>
      </c>
    </row>
    <row r="461" customFormat="false" ht="15.75" hidden="false" customHeight="true" outlineLevel="0" collapsed="false">
      <c r="A461" s="125"/>
      <c r="B461" s="101"/>
      <c r="C461" s="101"/>
      <c r="D461" s="101"/>
      <c r="E461" s="101"/>
      <c r="F461" s="101"/>
      <c r="G461" s="101"/>
      <c r="H461" s="101"/>
      <c r="I461" s="106"/>
      <c r="J461" s="106"/>
      <c r="K461" s="106"/>
      <c r="L461" s="106"/>
      <c r="M461" s="106"/>
      <c r="N461" s="103" t="str">
        <f aca="false">IF(OR($B461="", $I461="", $J461="", $K461="", $L461="", $M461=""),"",ROUND(($I461*Lists!$AD$2)+($J461*Lists!$AD$3)+($K461*Lists!$AD$4)+($L461*Lists!$AD$5)+($M461*Lists!$AD$6),2))</f>
        <v/>
      </c>
      <c r="O461" s="103" t="str">
        <f aca="false">IF($A461="","",IFERROR(VLOOKUP($A461,'Risk Register'!$B$2:$I$1000,8,FALSE()),""))</f>
        <v/>
      </c>
      <c r="P461" s="106"/>
      <c r="Q461" s="106"/>
      <c r="R461" s="106"/>
      <c r="S461" s="106"/>
      <c r="T461" s="103" t="str">
        <f aca="false">IF(OR($B461="", $P461="", $Q461="", $R461="", $S461=""),"",ROUND(($P461*Lists!$AD$7)+($Q461*Lists!$AD$8)+($R461*Lists!$AD$9)+($S461*Lists!$AD$10),2))</f>
        <v/>
      </c>
      <c r="U461" s="106"/>
      <c r="V461" s="106"/>
      <c r="W461" s="106"/>
      <c r="X461" s="106"/>
      <c r="Y461" s="106"/>
      <c r="Z461" s="103" t="str">
        <f aca="false">IF(OR($B461="", $U461="", $V461="", $W461="", $X461="", $Y461=""),"",ROUND(($U461*Lists!$AD$11)+($V461*Lists!$AD$12)+($W461*Lists!$AD$13)+($X461*Lists!$AD$14)+($Y461*Lists!$AD$15),2))</f>
        <v/>
      </c>
      <c r="AA461" s="103" t="str">
        <f aca="false">IF(OR($B461="", $N461="", $O461="", $T461="", $Z461=""),"",ROUND(($N461*Lists!$AD$16)-($O461*Lists!$AD$17)-($T461*Lists!$AD$18)+($Z461*Lists!$AD$19),2))</f>
        <v/>
      </c>
      <c r="AB461" s="102" t="str">
        <f aca="false">IF(OR($B461="", $N461="", $Z461=""),"",IF($N461&gt;=Lists!$AG$2,IF($Z461&gt;=Lists!$AG$3,"Invest","Migrate"),IF($Z461&gt;=Lists!$AG$3,"Tolerate","Eliminate")))</f>
        <v/>
      </c>
      <c r="AC461" s="102" t="str">
        <f aca="false">IF($B461="","",IF($J461&gt;=4,"Yes",""))</f>
        <v/>
      </c>
      <c r="AD461" s="102" t="str">
        <f aca="false">IF($A461="","",IFERROR(IF(VLOOKUP($A461,'Risk Register'!$B$2:$H$1000,4,FALSE())&gt;=4,"Yes",""),""))</f>
        <v/>
      </c>
      <c r="AE461" s="102" t="str">
        <f aca="false">IF(OR($N461="", $O461=""),"",IF($N461&gt;=Lists!$AG$2,IF($O461&gt;=Lists!$AG$4,"High Value / High Risk","High Value / Low Risk"),IF($O461&gt;=Lists!$AG$4,"Low Value / High Risk","Low Value / Low Risk")))</f>
        <v/>
      </c>
      <c r="AF461" s="101"/>
      <c r="AG461" s="126"/>
      <c r="AH461" s="106" t="str">
        <f aca="false">IF($B461="","",COUNTIFS('Debt Backlog'!$AF$2:$AF$1000,$A461,'Debt Backlog'!$B$2:$B$1000,"&lt;&gt;",'Debt Backlog'!$N$2:$N$1000,"&lt;&gt;Done",'Debt Backlog'!$N$2:$N$1000,"&lt;&gt;Won't Fix",'Debt Backlog'!$N$2:$N$1000,"&lt;&gt;Duplicate"))</f>
        <v/>
      </c>
      <c r="AI461" s="103" t="str">
        <f aca="false">IF($B461="","",ROUND(SUMIFS('Debt Backlog'!$L$2:$L$1000,'Debt Backlog'!$AF$2:$AF$1000,$A461,'Debt Backlog'!$B$2:$B$1000,"&lt;&gt;",'Debt Backlog'!$N$2:$N$1000,"&lt;&gt;Done",'Debt Backlog'!$N$2:$N$1000,"&lt;&gt;Won't Fix",'Debt Backlog'!$N$2:$N$1000,"&lt;&gt;Duplicate"),2))</f>
        <v/>
      </c>
    </row>
    <row r="462" customFormat="false" ht="15.75" hidden="false" customHeight="true" outlineLevel="0" collapsed="false">
      <c r="A462" s="125"/>
      <c r="B462" s="101"/>
      <c r="C462" s="101"/>
      <c r="D462" s="101"/>
      <c r="E462" s="101"/>
      <c r="F462" s="101"/>
      <c r="G462" s="101"/>
      <c r="H462" s="101"/>
      <c r="I462" s="106"/>
      <c r="J462" s="106"/>
      <c r="K462" s="106"/>
      <c r="L462" s="106"/>
      <c r="M462" s="106"/>
      <c r="N462" s="103" t="str">
        <f aca="false">IF(OR($B462="", $I462="", $J462="", $K462="", $L462="", $M462=""),"",ROUND(($I462*Lists!$AD$2)+($J462*Lists!$AD$3)+($K462*Lists!$AD$4)+($L462*Lists!$AD$5)+($M462*Lists!$AD$6),2))</f>
        <v/>
      </c>
      <c r="O462" s="103" t="str">
        <f aca="false">IF($A462="","",IFERROR(VLOOKUP($A462,'Risk Register'!$B$2:$I$1000,8,FALSE()),""))</f>
        <v/>
      </c>
      <c r="P462" s="106"/>
      <c r="Q462" s="106"/>
      <c r="R462" s="106"/>
      <c r="S462" s="106"/>
      <c r="T462" s="103" t="str">
        <f aca="false">IF(OR($B462="", $P462="", $Q462="", $R462="", $S462=""),"",ROUND(($P462*Lists!$AD$7)+($Q462*Lists!$AD$8)+($R462*Lists!$AD$9)+($S462*Lists!$AD$10),2))</f>
        <v/>
      </c>
      <c r="U462" s="106"/>
      <c r="V462" s="106"/>
      <c r="W462" s="106"/>
      <c r="X462" s="106"/>
      <c r="Y462" s="106"/>
      <c r="Z462" s="103" t="str">
        <f aca="false">IF(OR($B462="", $U462="", $V462="", $W462="", $X462="", $Y462=""),"",ROUND(($U462*Lists!$AD$11)+($V462*Lists!$AD$12)+($W462*Lists!$AD$13)+($X462*Lists!$AD$14)+($Y462*Lists!$AD$15),2))</f>
        <v/>
      </c>
      <c r="AA462" s="103" t="str">
        <f aca="false">IF(OR($B462="", $N462="", $O462="", $T462="", $Z462=""),"",ROUND(($N462*Lists!$AD$16)-($O462*Lists!$AD$17)-($T462*Lists!$AD$18)+($Z462*Lists!$AD$19),2))</f>
        <v/>
      </c>
      <c r="AB462" s="102" t="str">
        <f aca="false">IF(OR($B462="", $N462="", $Z462=""),"",IF($N462&gt;=Lists!$AG$2,IF($Z462&gt;=Lists!$AG$3,"Invest","Migrate"),IF($Z462&gt;=Lists!$AG$3,"Tolerate","Eliminate")))</f>
        <v/>
      </c>
      <c r="AC462" s="102" t="str">
        <f aca="false">IF($B462="","",IF($J462&gt;=4,"Yes",""))</f>
        <v/>
      </c>
      <c r="AD462" s="102" t="str">
        <f aca="false">IF($A462="","",IFERROR(IF(VLOOKUP($A462,'Risk Register'!$B$2:$H$1000,4,FALSE())&gt;=4,"Yes",""),""))</f>
        <v/>
      </c>
      <c r="AE462" s="102" t="str">
        <f aca="false">IF(OR($N462="", $O462=""),"",IF($N462&gt;=Lists!$AG$2,IF($O462&gt;=Lists!$AG$4,"High Value / High Risk","High Value / Low Risk"),IF($O462&gt;=Lists!$AG$4,"Low Value / High Risk","Low Value / Low Risk")))</f>
        <v/>
      </c>
      <c r="AF462" s="101"/>
      <c r="AG462" s="126"/>
      <c r="AH462" s="106" t="str">
        <f aca="false">IF($B462="","",COUNTIFS('Debt Backlog'!$AF$2:$AF$1000,$A462,'Debt Backlog'!$B$2:$B$1000,"&lt;&gt;",'Debt Backlog'!$N$2:$N$1000,"&lt;&gt;Done",'Debt Backlog'!$N$2:$N$1000,"&lt;&gt;Won't Fix",'Debt Backlog'!$N$2:$N$1000,"&lt;&gt;Duplicate"))</f>
        <v/>
      </c>
      <c r="AI462" s="103" t="str">
        <f aca="false">IF($B462="","",ROUND(SUMIFS('Debt Backlog'!$L$2:$L$1000,'Debt Backlog'!$AF$2:$AF$1000,$A462,'Debt Backlog'!$B$2:$B$1000,"&lt;&gt;",'Debt Backlog'!$N$2:$N$1000,"&lt;&gt;Done",'Debt Backlog'!$N$2:$N$1000,"&lt;&gt;Won't Fix",'Debt Backlog'!$N$2:$N$1000,"&lt;&gt;Duplicate"),2))</f>
        <v/>
      </c>
    </row>
    <row r="463" customFormat="false" ht="15.75" hidden="false" customHeight="true" outlineLevel="0" collapsed="false">
      <c r="A463" s="125"/>
      <c r="B463" s="101"/>
      <c r="C463" s="101"/>
      <c r="D463" s="101"/>
      <c r="E463" s="101"/>
      <c r="F463" s="101"/>
      <c r="G463" s="101"/>
      <c r="H463" s="101"/>
      <c r="I463" s="106"/>
      <c r="J463" s="106"/>
      <c r="K463" s="106"/>
      <c r="L463" s="106"/>
      <c r="M463" s="106"/>
      <c r="N463" s="103" t="str">
        <f aca="false">IF(OR($B463="", $I463="", $J463="", $K463="", $L463="", $M463=""),"",ROUND(($I463*Lists!$AD$2)+($J463*Lists!$AD$3)+($K463*Lists!$AD$4)+($L463*Lists!$AD$5)+($M463*Lists!$AD$6),2))</f>
        <v/>
      </c>
      <c r="O463" s="103" t="str">
        <f aca="false">IF($A463="","",IFERROR(VLOOKUP($A463,'Risk Register'!$B$2:$I$1000,8,FALSE()),""))</f>
        <v/>
      </c>
      <c r="P463" s="106"/>
      <c r="Q463" s="106"/>
      <c r="R463" s="106"/>
      <c r="S463" s="106"/>
      <c r="T463" s="103" t="str">
        <f aca="false">IF(OR($B463="", $P463="", $Q463="", $R463="", $S463=""),"",ROUND(($P463*Lists!$AD$7)+($Q463*Lists!$AD$8)+($R463*Lists!$AD$9)+($S463*Lists!$AD$10),2))</f>
        <v/>
      </c>
      <c r="U463" s="106"/>
      <c r="V463" s="106"/>
      <c r="W463" s="106"/>
      <c r="X463" s="106"/>
      <c r="Y463" s="106"/>
      <c r="Z463" s="103" t="str">
        <f aca="false">IF(OR($B463="", $U463="", $V463="", $W463="", $X463="", $Y463=""),"",ROUND(($U463*Lists!$AD$11)+($V463*Lists!$AD$12)+($W463*Lists!$AD$13)+($X463*Lists!$AD$14)+($Y463*Lists!$AD$15),2))</f>
        <v/>
      </c>
      <c r="AA463" s="103" t="str">
        <f aca="false">IF(OR($B463="", $N463="", $O463="", $T463="", $Z463=""),"",ROUND(($N463*Lists!$AD$16)-($O463*Lists!$AD$17)-($T463*Lists!$AD$18)+($Z463*Lists!$AD$19),2))</f>
        <v/>
      </c>
      <c r="AB463" s="102" t="str">
        <f aca="false">IF(OR($B463="", $N463="", $Z463=""),"",IF($N463&gt;=Lists!$AG$2,IF($Z463&gt;=Lists!$AG$3,"Invest","Migrate"),IF($Z463&gt;=Lists!$AG$3,"Tolerate","Eliminate")))</f>
        <v/>
      </c>
      <c r="AC463" s="102" t="str">
        <f aca="false">IF($B463="","",IF($J463&gt;=4,"Yes",""))</f>
        <v/>
      </c>
      <c r="AD463" s="102" t="str">
        <f aca="false">IF($A463="","",IFERROR(IF(VLOOKUP($A463,'Risk Register'!$B$2:$H$1000,4,FALSE())&gt;=4,"Yes",""),""))</f>
        <v/>
      </c>
      <c r="AE463" s="102" t="str">
        <f aca="false">IF(OR($N463="", $O463=""),"",IF($N463&gt;=Lists!$AG$2,IF($O463&gt;=Lists!$AG$4,"High Value / High Risk","High Value / Low Risk"),IF($O463&gt;=Lists!$AG$4,"Low Value / High Risk","Low Value / Low Risk")))</f>
        <v/>
      </c>
      <c r="AF463" s="101"/>
      <c r="AG463" s="126"/>
      <c r="AH463" s="106" t="str">
        <f aca="false">IF($B463="","",COUNTIFS('Debt Backlog'!$AF$2:$AF$1000,$A463,'Debt Backlog'!$B$2:$B$1000,"&lt;&gt;",'Debt Backlog'!$N$2:$N$1000,"&lt;&gt;Done",'Debt Backlog'!$N$2:$N$1000,"&lt;&gt;Won't Fix",'Debt Backlog'!$N$2:$N$1000,"&lt;&gt;Duplicate"))</f>
        <v/>
      </c>
      <c r="AI463" s="103" t="str">
        <f aca="false">IF($B463="","",ROUND(SUMIFS('Debt Backlog'!$L$2:$L$1000,'Debt Backlog'!$AF$2:$AF$1000,$A463,'Debt Backlog'!$B$2:$B$1000,"&lt;&gt;",'Debt Backlog'!$N$2:$N$1000,"&lt;&gt;Done",'Debt Backlog'!$N$2:$N$1000,"&lt;&gt;Won't Fix",'Debt Backlog'!$N$2:$N$1000,"&lt;&gt;Duplicate"),2))</f>
        <v/>
      </c>
    </row>
    <row r="464" customFormat="false" ht="15.75" hidden="false" customHeight="true" outlineLevel="0" collapsed="false">
      <c r="A464" s="125"/>
      <c r="B464" s="101"/>
      <c r="C464" s="101"/>
      <c r="D464" s="101"/>
      <c r="E464" s="101"/>
      <c r="F464" s="101"/>
      <c r="G464" s="101"/>
      <c r="H464" s="101"/>
      <c r="I464" s="106"/>
      <c r="J464" s="106"/>
      <c r="K464" s="106"/>
      <c r="L464" s="106"/>
      <c r="M464" s="106"/>
      <c r="N464" s="103" t="str">
        <f aca="false">IF(OR($B464="", $I464="", $J464="", $K464="", $L464="", $M464=""),"",ROUND(($I464*Lists!$AD$2)+($J464*Lists!$AD$3)+($K464*Lists!$AD$4)+($L464*Lists!$AD$5)+($M464*Lists!$AD$6),2))</f>
        <v/>
      </c>
      <c r="O464" s="103" t="str">
        <f aca="false">IF($A464="","",IFERROR(VLOOKUP($A464,'Risk Register'!$B$2:$I$1000,8,FALSE()),""))</f>
        <v/>
      </c>
      <c r="P464" s="106"/>
      <c r="Q464" s="106"/>
      <c r="R464" s="106"/>
      <c r="S464" s="106"/>
      <c r="T464" s="103" t="str">
        <f aca="false">IF(OR($B464="", $P464="", $Q464="", $R464="", $S464=""),"",ROUND(($P464*Lists!$AD$7)+($Q464*Lists!$AD$8)+($R464*Lists!$AD$9)+($S464*Lists!$AD$10),2))</f>
        <v/>
      </c>
      <c r="U464" s="106"/>
      <c r="V464" s="106"/>
      <c r="W464" s="106"/>
      <c r="X464" s="106"/>
      <c r="Y464" s="106"/>
      <c r="Z464" s="103" t="str">
        <f aca="false">IF(OR($B464="", $U464="", $V464="", $W464="", $X464="", $Y464=""),"",ROUND(($U464*Lists!$AD$11)+($V464*Lists!$AD$12)+($W464*Lists!$AD$13)+($X464*Lists!$AD$14)+($Y464*Lists!$AD$15),2))</f>
        <v/>
      </c>
      <c r="AA464" s="103" t="str">
        <f aca="false">IF(OR($B464="", $N464="", $O464="", $T464="", $Z464=""),"",ROUND(($N464*Lists!$AD$16)-($O464*Lists!$AD$17)-($T464*Lists!$AD$18)+($Z464*Lists!$AD$19),2))</f>
        <v/>
      </c>
      <c r="AB464" s="102" t="str">
        <f aca="false">IF(OR($B464="", $N464="", $Z464=""),"",IF($N464&gt;=Lists!$AG$2,IF($Z464&gt;=Lists!$AG$3,"Invest","Migrate"),IF($Z464&gt;=Lists!$AG$3,"Tolerate","Eliminate")))</f>
        <v/>
      </c>
      <c r="AC464" s="102" t="str">
        <f aca="false">IF($B464="","",IF($J464&gt;=4,"Yes",""))</f>
        <v/>
      </c>
      <c r="AD464" s="102" t="str">
        <f aca="false">IF($A464="","",IFERROR(IF(VLOOKUP($A464,'Risk Register'!$B$2:$H$1000,4,FALSE())&gt;=4,"Yes",""),""))</f>
        <v/>
      </c>
      <c r="AE464" s="102" t="str">
        <f aca="false">IF(OR($N464="", $O464=""),"",IF($N464&gt;=Lists!$AG$2,IF($O464&gt;=Lists!$AG$4,"High Value / High Risk","High Value / Low Risk"),IF($O464&gt;=Lists!$AG$4,"Low Value / High Risk","Low Value / Low Risk")))</f>
        <v/>
      </c>
      <c r="AF464" s="101"/>
      <c r="AG464" s="126"/>
      <c r="AH464" s="106" t="str">
        <f aca="false">IF($B464="","",COUNTIFS('Debt Backlog'!$AF$2:$AF$1000,$A464,'Debt Backlog'!$B$2:$B$1000,"&lt;&gt;",'Debt Backlog'!$N$2:$N$1000,"&lt;&gt;Done",'Debt Backlog'!$N$2:$N$1000,"&lt;&gt;Won't Fix",'Debt Backlog'!$N$2:$N$1000,"&lt;&gt;Duplicate"))</f>
        <v/>
      </c>
      <c r="AI464" s="103" t="str">
        <f aca="false">IF($B464="","",ROUND(SUMIFS('Debt Backlog'!$L$2:$L$1000,'Debt Backlog'!$AF$2:$AF$1000,$A464,'Debt Backlog'!$B$2:$B$1000,"&lt;&gt;",'Debt Backlog'!$N$2:$N$1000,"&lt;&gt;Done",'Debt Backlog'!$N$2:$N$1000,"&lt;&gt;Won't Fix",'Debt Backlog'!$N$2:$N$1000,"&lt;&gt;Duplicate"),2))</f>
        <v/>
      </c>
    </row>
    <row r="465" customFormat="false" ht="15.75" hidden="false" customHeight="true" outlineLevel="0" collapsed="false">
      <c r="A465" s="125"/>
      <c r="B465" s="101"/>
      <c r="C465" s="101"/>
      <c r="D465" s="101"/>
      <c r="E465" s="101"/>
      <c r="F465" s="101"/>
      <c r="G465" s="101"/>
      <c r="H465" s="101"/>
      <c r="I465" s="106"/>
      <c r="J465" s="106"/>
      <c r="K465" s="106"/>
      <c r="L465" s="106"/>
      <c r="M465" s="106"/>
      <c r="N465" s="103" t="str">
        <f aca="false">IF(OR($B465="", $I465="", $J465="", $K465="", $L465="", $M465=""),"",ROUND(($I465*Lists!$AD$2)+($J465*Lists!$AD$3)+($K465*Lists!$AD$4)+($L465*Lists!$AD$5)+($M465*Lists!$AD$6),2))</f>
        <v/>
      </c>
      <c r="O465" s="103" t="str">
        <f aca="false">IF($A465="","",IFERROR(VLOOKUP($A465,'Risk Register'!$B$2:$I$1000,8,FALSE()),""))</f>
        <v/>
      </c>
      <c r="P465" s="106"/>
      <c r="Q465" s="106"/>
      <c r="R465" s="106"/>
      <c r="S465" s="106"/>
      <c r="T465" s="103" t="str">
        <f aca="false">IF(OR($B465="", $P465="", $Q465="", $R465="", $S465=""),"",ROUND(($P465*Lists!$AD$7)+($Q465*Lists!$AD$8)+($R465*Lists!$AD$9)+($S465*Lists!$AD$10),2))</f>
        <v/>
      </c>
      <c r="U465" s="106"/>
      <c r="V465" s="106"/>
      <c r="W465" s="106"/>
      <c r="X465" s="106"/>
      <c r="Y465" s="106"/>
      <c r="Z465" s="103" t="str">
        <f aca="false">IF(OR($B465="", $U465="", $V465="", $W465="", $X465="", $Y465=""),"",ROUND(($U465*Lists!$AD$11)+($V465*Lists!$AD$12)+($W465*Lists!$AD$13)+($X465*Lists!$AD$14)+($Y465*Lists!$AD$15),2))</f>
        <v/>
      </c>
      <c r="AA465" s="103" t="str">
        <f aca="false">IF(OR($B465="", $N465="", $O465="", $T465="", $Z465=""),"",ROUND(($N465*Lists!$AD$16)-($O465*Lists!$AD$17)-($T465*Lists!$AD$18)+($Z465*Lists!$AD$19),2))</f>
        <v/>
      </c>
      <c r="AB465" s="102" t="str">
        <f aca="false">IF(OR($B465="", $N465="", $Z465=""),"",IF($N465&gt;=Lists!$AG$2,IF($Z465&gt;=Lists!$AG$3,"Invest","Migrate"),IF($Z465&gt;=Lists!$AG$3,"Tolerate","Eliminate")))</f>
        <v/>
      </c>
      <c r="AC465" s="102" t="str">
        <f aca="false">IF($B465="","",IF($J465&gt;=4,"Yes",""))</f>
        <v/>
      </c>
      <c r="AD465" s="102" t="str">
        <f aca="false">IF($A465="","",IFERROR(IF(VLOOKUP($A465,'Risk Register'!$B$2:$H$1000,4,FALSE())&gt;=4,"Yes",""),""))</f>
        <v/>
      </c>
      <c r="AE465" s="102" t="str">
        <f aca="false">IF(OR($N465="", $O465=""),"",IF($N465&gt;=Lists!$AG$2,IF($O465&gt;=Lists!$AG$4,"High Value / High Risk","High Value / Low Risk"),IF($O465&gt;=Lists!$AG$4,"Low Value / High Risk","Low Value / Low Risk")))</f>
        <v/>
      </c>
      <c r="AF465" s="101"/>
      <c r="AG465" s="126"/>
      <c r="AH465" s="106" t="str">
        <f aca="false">IF($B465="","",COUNTIFS('Debt Backlog'!$AF$2:$AF$1000,$A465,'Debt Backlog'!$B$2:$B$1000,"&lt;&gt;",'Debt Backlog'!$N$2:$N$1000,"&lt;&gt;Done",'Debt Backlog'!$N$2:$N$1000,"&lt;&gt;Won't Fix",'Debt Backlog'!$N$2:$N$1000,"&lt;&gt;Duplicate"))</f>
        <v/>
      </c>
      <c r="AI465" s="103" t="str">
        <f aca="false">IF($B465="","",ROUND(SUMIFS('Debt Backlog'!$L$2:$L$1000,'Debt Backlog'!$AF$2:$AF$1000,$A465,'Debt Backlog'!$B$2:$B$1000,"&lt;&gt;",'Debt Backlog'!$N$2:$N$1000,"&lt;&gt;Done",'Debt Backlog'!$N$2:$N$1000,"&lt;&gt;Won't Fix",'Debt Backlog'!$N$2:$N$1000,"&lt;&gt;Duplicate"),2))</f>
        <v/>
      </c>
    </row>
    <row r="466" customFormat="false" ht="15.75" hidden="false" customHeight="true" outlineLevel="0" collapsed="false">
      <c r="A466" s="125"/>
      <c r="B466" s="101"/>
      <c r="C466" s="101"/>
      <c r="D466" s="101"/>
      <c r="E466" s="101"/>
      <c r="F466" s="101"/>
      <c r="G466" s="101"/>
      <c r="H466" s="101"/>
      <c r="I466" s="106"/>
      <c r="J466" s="106"/>
      <c r="K466" s="106"/>
      <c r="L466" s="106"/>
      <c r="M466" s="106"/>
      <c r="N466" s="103" t="str">
        <f aca="false">IF(OR($B466="", $I466="", $J466="", $K466="", $L466="", $M466=""),"",ROUND(($I466*Lists!$AD$2)+($J466*Lists!$AD$3)+($K466*Lists!$AD$4)+($L466*Lists!$AD$5)+($M466*Lists!$AD$6),2))</f>
        <v/>
      </c>
      <c r="O466" s="103" t="str">
        <f aca="false">IF($A466="","",IFERROR(VLOOKUP($A466,'Risk Register'!$B$2:$I$1000,8,FALSE()),""))</f>
        <v/>
      </c>
      <c r="P466" s="106"/>
      <c r="Q466" s="106"/>
      <c r="R466" s="106"/>
      <c r="S466" s="106"/>
      <c r="T466" s="103" t="str">
        <f aca="false">IF(OR($B466="", $P466="", $Q466="", $R466="", $S466=""),"",ROUND(($P466*Lists!$AD$7)+($Q466*Lists!$AD$8)+($R466*Lists!$AD$9)+($S466*Lists!$AD$10),2))</f>
        <v/>
      </c>
      <c r="U466" s="106"/>
      <c r="V466" s="106"/>
      <c r="W466" s="106"/>
      <c r="X466" s="106"/>
      <c r="Y466" s="106"/>
      <c r="Z466" s="103" t="str">
        <f aca="false">IF(OR($B466="", $U466="", $V466="", $W466="", $X466="", $Y466=""),"",ROUND(($U466*Lists!$AD$11)+($V466*Lists!$AD$12)+($W466*Lists!$AD$13)+($X466*Lists!$AD$14)+($Y466*Lists!$AD$15),2))</f>
        <v/>
      </c>
      <c r="AA466" s="103" t="str">
        <f aca="false">IF(OR($B466="", $N466="", $O466="", $T466="", $Z466=""),"",ROUND(($N466*Lists!$AD$16)-($O466*Lists!$AD$17)-($T466*Lists!$AD$18)+($Z466*Lists!$AD$19),2))</f>
        <v/>
      </c>
      <c r="AB466" s="102" t="str">
        <f aca="false">IF(OR($B466="", $N466="", $Z466=""),"",IF($N466&gt;=Lists!$AG$2,IF($Z466&gt;=Lists!$AG$3,"Invest","Migrate"),IF($Z466&gt;=Lists!$AG$3,"Tolerate","Eliminate")))</f>
        <v/>
      </c>
      <c r="AC466" s="102" t="str">
        <f aca="false">IF($B466="","",IF($J466&gt;=4,"Yes",""))</f>
        <v/>
      </c>
      <c r="AD466" s="102" t="str">
        <f aca="false">IF($A466="","",IFERROR(IF(VLOOKUP($A466,'Risk Register'!$B$2:$H$1000,4,FALSE())&gt;=4,"Yes",""),""))</f>
        <v/>
      </c>
      <c r="AE466" s="102" t="str">
        <f aca="false">IF(OR($N466="", $O466=""),"",IF($N466&gt;=Lists!$AG$2,IF($O466&gt;=Lists!$AG$4,"High Value / High Risk","High Value / Low Risk"),IF($O466&gt;=Lists!$AG$4,"Low Value / High Risk","Low Value / Low Risk")))</f>
        <v/>
      </c>
      <c r="AF466" s="101"/>
      <c r="AG466" s="126"/>
      <c r="AH466" s="106" t="str">
        <f aca="false">IF($B466="","",COUNTIFS('Debt Backlog'!$AF$2:$AF$1000,$A466,'Debt Backlog'!$B$2:$B$1000,"&lt;&gt;",'Debt Backlog'!$N$2:$N$1000,"&lt;&gt;Done",'Debt Backlog'!$N$2:$N$1000,"&lt;&gt;Won't Fix",'Debt Backlog'!$N$2:$N$1000,"&lt;&gt;Duplicate"))</f>
        <v/>
      </c>
      <c r="AI466" s="103" t="str">
        <f aca="false">IF($B466="","",ROUND(SUMIFS('Debt Backlog'!$L$2:$L$1000,'Debt Backlog'!$AF$2:$AF$1000,$A466,'Debt Backlog'!$B$2:$B$1000,"&lt;&gt;",'Debt Backlog'!$N$2:$N$1000,"&lt;&gt;Done",'Debt Backlog'!$N$2:$N$1000,"&lt;&gt;Won't Fix",'Debt Backlog'!$N$2:$N$1000,"&lt;&gt;Duplicate"),2))</f>
        <v/>
      </c>
    </row>
    <row r="467" customFormat="false" ht="15.75" hidden="false" customHeight="true" outlineLevel="0" collapsed="false">
      <c r="A467" s="125"/>
      <c r="B467" s="101"/>
      <c r="C467" s="101"/>
      <c r="D467" s="101"/>
      <c r="E467" s="101"/>
      <c r="F467" s="101"/>
      <c r="G467" s="101"/>
      <c r="H467" s="101"/>
      <c r="I467" s="106"/>
      <c r="J467" s="106"/>
      <c r="K467" s="106"/>
      <c r="L467" s="106"/>
      <c r="M467" s="106"/>
      <c r="N467" s="103" t="str">
        <f aca="false">IF(OR($B467="", $I467="", $J467="", $K467="", $L467="", $M467=""),"",ROUND(($I467*Lists!$AD$2)+($J467*Lists!$AD$3)+($K467*Lists!$AD$4)+($L467*Lists!$AD$5)+($M467*Lists!$AD$6),2))</f>
        <v/>
      </c>
      <c r="O467" s="103" t="str">
        <f aca="false">IF($A467="","",IFERROR(VLOOKUP($A467,'Risk Register'!$B$2:$I$1000,8,FALSE()),""))</f>
        <v/>
      </c>
      <c r="P467" s="106"/>
      <c r="Q467" s="106"/>
      <c r="R467" s="106"/>
      <c r="S467" s="106"/>
      <c r="T467" s="103" t="str">
        <f aca="false">IF(OR($B467="", $P467="", $Q467="", $R467="", $S467=""),"",ROUND(($P467*Lists!$AD$7)+($Q467*Lists!$AD$8)+($R467*Lists!$AD$9)+($S467*Lists!$AD$10),2))</f>
        <v/>
      </c>
      <c r="U467" s="106"/>
      <c r="V467" s="106"/>
      <c r="W467" s="106"/>
      <c r="X467" s="106"/>
      <c r="Y467" s="106"/>
      <c r="Z467" s="103" t="str">
        <f aca="false">IF(OR($B467="", $U467="", $V467="", $W467="", $X467="", $Y467=""),"",ROUND(($U467*Lists!$AD$11)+($V467*Lists!$AD$12)+($W467*Lists!$AD$13)+($X467*Lists!$AD$14)+($Y467*Lists!$AD$15),2))</f>
        <v/>
      </c>
      <c r="AA467" s="103" t="str">
        <f aca="false">IF(OR($B467="", $N467="", $O467="", $T467="", $Z467=""),"",ROUND(($N467*Lists!$AD$16)-($O467*Lists!$AD$17)-($T467*Lists!$AD$18)+($Z467*Lists!$AD$19),2))</f>
        <v/>
      </c>
      <c r="AB467" s="102" t="str">
        <f aca="false">IF(OR($B467="", $N467="", $Z467=""),"",IF($N467&gt;=Lists!$AG$2,IF($Z467&gt;=Lists!$AG$3,"Invest","Migrate"),IF($Z467&gt;=Lists!$AG$3,"Tolerate","Eliminate")))</f>
        <v/>
      </c>
      <c r="AC467" s="102" t="str">
        <f aca="false">IF($B467="","",IF($J467&gt;=4,"Yes",""))</f>
        <v/>
      </c>
      <c r="AD467" s="102" t="str">
        <f aca="false">IF($A467="","",IFERROR(IF(VLOOKUP($A467,'Risk Register'!$B$2:$H$1000,4,FALSE())&gt;=4,"Yes",""),""))</f>
        <v/>
      </c>
      <c r="AE467" s="102" t="str">
        <f aca="false">IF(OR($N467="", $O467=""),"",IF($N467&gt;=Lists!$AG$2,IF($O467&gt;=Lists!$AG$4,"High Value / High Risk","High Value / Low Risk"),IF($O467&gt;=Lists!$AG$4,"Low Value / High Risk","Low Value / Low Risk")))</f>
        <v/>
      </c>
      <c r="AF467" s="101"/>
      <c r="AG467" s="126"/>
      <c r="AH467" s="106" t="str">
        <f aca="false">IF($B467="","",COUNTIFS('Debt Backlog'!$AF$2:$AF$1000,$A467,'Debt Backlog'!$B$2:$B$1000,"&lt;&gt;",'Debt Backlog'!$N$2:$N$1000,"&lt;&gt;Done",'Debt Backlog'!$N$2:$N$1000,"&lt;&gt;Won't Fix",'Debt Backlog'!$N$2:$N$1000,"&lt;&gt;Duplicate"))</f>
        <v/>
      </c>
      <c r="AI467" s="103" t="str">
        <f aca="false">IF($B467="","",ROUND(SUMIFS('Debt Backlog'!$L$2:$L$1000,'Debt Backlog'!$AF$2:$AF$1000,$A467,'Debt Backlog'!$B$2:$B$1000,"&lt;&gt;",'Debt Backlog'!$N$2:$N$1000,"&lt;&gt;Done",'Debt Backlog'!$N$2:$N$1000,"&lt;&gt;Won't Fix",'Debt Backlog'!$N$2:$N$1000,"&lt;&gt;Duplicate"),2))</f>
        <v/>
      </c>
    </row>
    <row r="468" customFormat="false" ht="15.75" hidden="false" customHeight="true" outlineLevel="0" collapsed="false">
      <c r="A468" s="125"/>
      <c r="B468" s="101"/>
      <c r="C468" s="101"/>
      <c r="D468" s="101"/>
      <c r="E468" s="101"/>
      <c r="F468" s="101"/>
      <c r="G468" s="101"/>
      <c r="H468" s="101"/>
      <c r="I468" s="106"/>
      <c r="J468" s="106"/>
      <c r="K468" s="106"/>
      <c r="L468" s="106"/>
      <c r="M468" s="106"/>
      <c r="N468" s="103" t="str">
        <f aca="false">IF(OR($B468="", $I468="", $J468="", $K468="", $L468="", $M468=""),"",ROUND(($I468*Lists!$AD$2)+($J468*Lists!$AD$3)+($K468*Lists!$AD$4)+($L468*Lists!$AD$5)+($M468*Lists!$AD$6),2))</f>
        <v/>
      </c>
      <c r="O468" s="103" t="str">
        <f aca="false">IF($A468="","",IFERROR(VLOOKUP($A468,'Risk Register'!$B$2:$I$1000,8,FALSE()),""))</f>
        <v/>
      </c>
      <c r="P468" s="106"/>
      <c r="Q468" s="106"/>
      <c r="R468" s="106"/>
      <c r="S468" s="106"/>
      <c r="T468" s="103" t="str">
        <f aca="false">IF(OR($B468="", $P468="", $Q468="", $R468="", $S468=""),"",ROUND(($P468*Lists!$AD$7)+($Q468*Lists!$AD$8)+($R468*Lists!$AD$9)+($S468*Lists!$AD$10),2))</f>
        <v/>
      </c>
      <c r="U468" s="106"/>
      <c r="V468" s="106"/>
      <c r="W468" s="106"/>
      <c r="X468" s="106"/>
      <c r="Y468" s="106"/>
      <c r="Z468" s="103" t="str">
        <f aca="false">IF(OR($B468="", $U468="", $V468="", $W468="", $X468="", $Y468=""),"",ROUND(($U468*Lists!$AD$11)+($V468*Lists!$AD$12)+($W468*Lists!$AD$13)+($X468*Lists!$AD$14)+($Y468*Lists!$AD$15),2))</f>
        <v/>
      </c>
      <c r="AA468" s="103" t="str">
        <f aca="false">IF(OR($B468="", $N468="", $O468="", $T468="", $Z468=""),"",ROUND(($N468*Lists!$AD$16)-($O468*Lists!$AD$17)-($T468*Lists!$AD$18)+($Z468*Lists!$AD$19),2))</f>
        <v/>
      </c>
      <c r="AB468" s="102" t="str">
        <f aca="false">IF(OR($B468="", $N468="", $Z468=""),"",IF($N468&gt;=Lists!$AG$2,IF($Z468&gt;=Lists!$AG$3,"Invest","Migrate"),IF($Z468&gt;=Lists!$AG$3,"Tolerate","Eliminate")))</f>
        <v/>
      </c>
      <c r="AC468" s="102" t="str">
        <f aca="false">IF($B468="","",IF($J468&gt;=4,"Yes",""))</f>
        <v/>
      </c>
      <c r="AD468" s="102" t="str">
        <f aca="false">IF($A468="","",IFERROR(IF(VLOOKUP($A468,'Risk Register'!$B$2:$H$1000,4,FALSE())&gt;=4,"Yes",""),""))</f>
        <v/>
      </c>
      <c r="AE468" s="102" t="str">
        <f aca="false">IF(OR($N468="", $O468=""),"",IF($N468&gt;=Lists!$AG$2,IF($O468&gt;=Lists!$AG$4,"High Value / High Risk","High Value / Low Risk"),IF($O468&gt;=Lists!$AG$4,"Low Value / High Risk","Low Value / Low Risk")))</f>
        <v/>
      </c>
      <c r="AF468" s="101"/>
      <c r="AG468" s="126"/>
      <c r="AH468" s="106" t="str">
        <f aca="false">IF($B468="","",COUNTIFS('Debt Backlog'!$AF$2:$AF$1000,$A468,'Debt Backlog'!$B$2:$B$1000,"&lt;&gt;",'Debt Backlog'!$N$2:$N$1000,"&lt;&gt;Done",'Debt Backlog'!$N$2:$N$1000,"&lt;&gt;Won't Fix",'Debt Backlog'!$N$2:$N$1000,"&lt;&gt;Duplicate"))</f>
        <v/>
      </c>
      <c r="AI468" s="103" t="str">
        <f aca="false">IF($B468="","",ROUND(SUMIFS('Debt Backlog'!$L$2:$L$1000,'Debt Backlog'!$AF$2:$AF$1000,$A468,'Debt Backlog'!$B$2:$B$1000,"&lt;&gt;",'Debt Backlog'!$N$2:$N$1000,"&lt;&gt;Done",'Debt Backlog'!$N$2:$N$1000,"&lt;&gt;Won't Fix",'Debt Backlog'!$N$2:$N$1000,"&lt;&gt;Duplicate"),2))</f>
        <v/>
      </c>
    </row>
    <row r="469" customFormat="false" ht="15.75" hidden="false" customHeight="true" outlineLevel="0" collapsed="false">
      <c r="A469" s="125"/>
      <c r="B469" s="101"/>
      <c r="C469" s="101"/>
      <c r="D469" s="101"/>
      <c r="E469" s="101"/>
      <c r="F469" s="101"/>
      <c r="G469" s="101"/>
      <c r="H469" s="101"/>
      <c r="I469" s="106"/>
      <c r="J469" s="106"/>
      <c r="K469" s="106"/>
      <c r="L469" s="106"/>
      <c r="M469" s="106"/>
      <c r="N469" s="103" t="str">
        <f aca="false">IF(OR($B469="", $I469="", $J469="", $K469="", $L469="", $M469=""),"",ROUND(($I469*Lists!$AD$2)+($J469*Lists!$AD$3)+($K469*Lists!$AD$4)+($L469*Lists!$AD$5)+($M469*Lists!$AD$6),2))</f>
        <v/>
      </c>
      <c r="O469" s="103" t="str">
        <f aca="false">IF($A469="","",IFERROR(VLOOKUP($A469,'Risk Register'!$B$2:$I$1000,8,FALSE()),""))</f>
        <v/>
      </c>
      <c r="P469" s="106"/>
      <c r="Q469" s="106"/>
      <c r="R469" s="106"/>
      <c r="S469" s="106"/>
      <c r="T469" s="103" t="str">
        <f aca="false">IF(OR($B469="", $P469="", $Q469="", $R469="", $S469=""),"",ROUND(($P469*Lists!$AD$7)+($Q469*Lists!$AD$8)+($R469*Lists!$AD$9)+($S469*Lists!$AD$10),2))</f>
        <v/>
      </c>
      <c r="U469" s="106"/>
      <c r="V469" s="106"/>
      <c r="W469" s="106"/>
      <c r="X469" s="106"/>
      <c r="Y469" s="106"/>
      <c r="Z469" s="103" t="str">
        <f aca="false">IF(OR($B469="", $U469="", $V469="", $W469="", $X469="", $Y469=""),"",ROUND(($U469*Lists!$AD$11)+($V469*Lists!$AD$12)+($W469*Lists!$AD$13)+($X469*Lists!$AD$14)+($Y469*Lists!$AD$15),2))</f>
        <v/>
      </c>
      <c r="AA469" s="103" t="str">
        <f aca="false">IF(OR($B469="", $N469="", $O469="", $T469="", $Z469=""),"",ROUND(($N469*Lists!$AD$16)-($O469*Lists!$AD$17)-($T469*Lists!$AD$18)+($Z469*Lists!$AD$19),2))</f>
        <v/>
      </c>
      <c r="AB469" s="102" t="str">
        <f aca="false">IF(OR($B469="", $N469="", $Z469=""),"",IF($N469&gt;=Lists!$AG$2,IF($Z469&gt;=Lists!$AG$3,"Invest","Migrate"),IF($Z469&gt;=Lists!$AG$3,"Tolerate","Eliminate")))</f>
        <v/>
      </c>
      <c r="AC469" s="102" t="str">
        <f aca="false">IF($B469="","",IF($J469&gt;=4,"Yes",""))</f>
        <v/>
      </c>
      <c r="AD469" s="102" t="str">
        <f aca="false">IF($A469="","",IFERROR(IF(VLOOKUP($A469,'Risk Register'!$B$2:$H$1000,4,FALSE())&gt;=4,"Yes",""),""))</f>
        <v/>
      </c>
      <c r="AE469" s="102" t="str">
        <f aca="false">IF(OR($N469="", $O469=""),"",IF($N469&gt;=Lists!$AG$2,IF($O469&gt;=Lists!$AG$4,"High Value / High Risk","High Value / Low Risk"),IF($O469&gt;=Lists!$AG$4,"Low Value / High Risk","Low Value / Low Risk")))</f>
        <v/>
      </c>
      <c r="AF469" s="101"/>
      <c r="AG469" s="126"/>
      <c r="AH469" s="106" t="str">
        <f aca="false">IF($B469="","",COUNTIFS('Debt Backlog'!$AF$2:$AF$1000,$A469,'Debt Backlog'!$B$2:$B$1000,"&lt;&gt;",'Debt Backlog'!$N$2:$N$1000,"&lt;&gt;Done",'Debt Backlog'!$N$2:$N$1000,"&lt;&gt;Won't Fix",'Debt Backlog'!$N$2:$N$1000,"&lt;&gt;Duplicate"))</f>
        <v/>
      </c>
      <c r="AI469" s="103" t="str">
        <f aca="false">IF($B469="","",ROUND(SUMIFS('Debt Backlog'!$L$2:$L$1000,'Debt Backlog'!$AF$2:$AF$1000,$A469,'Debt Backlog'!$B$2:$B$1000,"&lt;&gt;",'Debt Backlog'!$N$2:$N$1000,"&lt;&gt;Done",'Debt Backlog'!$N$2:$N$1000,"&lt;&gt;Won't Fix",'Debt Backlog'!$N$2:$N$1000,"&lt;&gt;Duplicate"),2))</f>
        <v/>
      </c>
    </row>
    <row r="470" customFormat="false" ht="15.75" hidden="false" customHeight="true" outlineLevel="0" collapsed="false">
      <c r="A470" s="125"/>
      <c r="B470" s="101"/>
      <c r="C470" s="101"/>
      <c r="D470" s="101"/>
      <c r="E470" s="101"/>
      <c r="F470" s="101"/>
      <c r="G470" s="101"/>
      <c r="H470" s="101"/>
      <c r="I470" s="106"/>
      <c r="J470" s="106"/>
      <c r="K470" s="106"/>
      <c r="L470" s="106"/>
      <c r="M470" s="106"/>
      <c r="N470" s="103" t="str">
        <f aca="false">IF(OR($B470="", $I470="", $J470="", $K470="", $L470="", $M470=""),"",ROUND(($I470*Lists!$AD$2)+($J470*Lists!$AD$3)+($K470*Lists!$AD$4)+($L470*Lists!$AD$5)+($M470*Lists!$AD$6),2))</f>
        <v/>
      </c>
      <c r="O470" s="103" t="str">
        <f aca="false">IF($A470="","",IFERROR(VLOOKUP($A470,'Risk Register'!$B$2:$I$1000,8,FALSE()),""))</f>
        <v/>
      </c>
      <c r="P470" s="106"/>
      <c r="Q470" s="106"/>
      <c r="R470" s="106"/>
      <c r="S470" s="106"/>
      <c r="T470" s="103" t="str">
        <f aca="false">IF(OR($B470="", $P470="", $Q470="", $R470="", $S470=""),"",ROUND(($P470*Lists!$AD$7)+($Q470*Lists!$AD$8)+($R470*Lists!$AD$9)+($S470*Lists!$AD$10),2))</f>
        <v/>
      </c>
      <c r="U470" s="106"/>
      <c r="V470" s="106"/>
      <c r="W470" s="106"/>
      <c r="X470" s="106"/>
      <c r="Y470" s="106"/>
      <c r="Z470" s="103" t="str">
        <f aca="false">IF(OR($B470="", $U470="", $V470="", $W470="", $X470="", $Y470=""),"",ROUND(($U470*Lists!$AD$11)+($V470*Lists!$AD$12)+($W470*Lists!$AD$13)+($X470*Lists!$AD$14)+($Y470*Lists!$AD$15),2))</f>
        <v/>
      </c>
      <c r="AA470" s="103" t="str">
        <f aca="false">IF(OR($B470="", $N470="", $O470="", $T470="", $Z470=""),"",ROUND(($N470*Lists!$AD$16)-($O470*Lists!$AD$17)-($T470*Lists!$AD$18)+($Z470*Lists!$AD$19),2))</f>
        <v/>
      </c>
      <c r="AB470" s="102" t="str">
        <f aca="false">IF(OR($B470="", $N470="", $Z470=""),"",IF($N470&gt;=Lists!$AG$2,IF($Z470&gt;=Lists!$AG$3,"Invest","Migrate"),IF($Z470&gt;=Lists!$AG$3,"Tolerate","Eliminate")))</f>
        <v/>
      </c>
      <c r="AC470" s="102" t="str">
        <f aca="false">IF($B470="","",IF($J470&gt;=4,"Yes",""))</f>
        <v/>
      </c>
      <c r="AD470" s="102" t="str">
        <f aca="false">IF($A470="","",IFERROR(IF(VLOOKUP($A470,'Risk Register'!$B$2:$H$1000,4,FALSE())&gt;=4,"Yes",""),""))</f>
        <v/>
      </c>
      <c r="AE470" s="102" t="str">
        <f aca="false">IF(OR($N470="", $O470=""),"",IF($N470&gt;=Lists!$AG$2,IF($O470&gt;=Lists!$AG$4,"High Value / High Risk","High Value / Low Risk"),IF($O470&gt;=Lists!$AG$4,"Low Value / High Risk","Low Value / Low Risk")))</f>
        <v/>
      </c>
      <c r="AF470" s="101"/>
      <c r="AG470" s="126"/>
      <c r="AH470" s="106" t="str">
        <f aca="false">IF($B470="","",COUNTIFS('Debt Backlog'!$AF$2:$AF$1000,$A470,'Debt Backlog'!$B$2:$B$1000,"&lt;&gt;",'Debt Backlog'!$N$2:$N$1000,"&lt;&gt;Done",'Debt Backlog'!$N$2:$N$1000,"&lt;&gt;Won't Fix",'Debt Backlog'!$N$2:$N$1000,"&lt;&gt;Duplicate"))</f>
        <v/>
      </c>
      <c r="AI470" s="103" t="str">
        <f aca="false">IF($B470="","",ROUND(SUMIFS('Debt Backlog'!$L$2:$L$1000,'Debt Backlog'!$AF$2:$AF$1000,$A470,'Debt Backlog'!$B$2:$B$1000,"&lt;&gt;",'Debt Backlog'!$N$2:$N$1000,"&lt;&gt;Done",'Debt Backlog'!$N$2:$N$1000,"&lt;&gt;Won't Fix",'Debt Backlog'!$N$2:$N$1000,"&lt;&gt;Duplicate"),2))</f>
        <v/>
      </c>
    </row>
    <row r="471" customFormat="false" ht="15.75" hidden="false" customHeight="true" outlineLevel="0" collapsed="false">
      <c r="A471" s="125"/>
      <c r="B471" s="101"/>
      <c r="C471" s="101"/>
      <c r="D471" s="101"/>
      <c r="E471" s="101"/>
      <c r="F471" s="101"/>
      <c r="G471" s="101"/>
      <c r="H471" s="101"/>
      <c r="I471" s="106"/>
      <c r="J471" s="106"/>
      <c r="K471" s="106"/>
      <c r="L471" s="106"/>
      <c r="M471" s="106"/>
      <c r="N471" s="103" t="str">
        <f aca="false">IF(OR($B471="", $I471="", $J471="", $K471="", $L471="", $M471=""),"",ROUND(($I471*Lists!$AD$2)+($J471*Lists!$AD$3)+($K471*Lists!$AD$4)+($L471*Lists!$AD$5)+($M471*Lists!$AD$6),2))</f>
        <v/>
      </c>
      <c r="O471" s="103" t="str">
        <f aca="false">IF($A471="","",IFERROR(VLOOKUP($A471,'Risk Register'!$B$2:$I$1000,8,FALSE()),""))</f>
        <v/>
      </c>
      <c r="P471" s="106"/>
      <c r="Q471" s="106"/>
      <c r="R471" s="106"/>
      <c r="S471" s="106"/>
      <c r="T471" s="103" t="str">
        <f aca="false">IF(OR($B471="", $P471="", $Q471="", $R471="", $S471=""),"",ROUND(($P471*Lists!$AD$7)+($Q471*Lists!$AD$8)+($R471*Lists!$AD$9)+($S471*Lists!$AD$10),2))</f>
        <v/>
      </c>
      <c r="U471" s="106"/>
      <c r="V471" s="106"/>
      <c r="W471" s="106"/>
      <c r="X471" s="106"/>
      <c r="Y471" s="106"/>
      <c r="Z471" s="103" t="str">
        <f aca="false">IF(OR($B471="", $U471="", $V471="", $W471="", $X471="", $Y471=""),"",ROUND(($U471*Lists!$AD$11)+($V471*Lists!$AD$12)+($W471*Lists!$AD$13)+($X471*Lists!$AD$14)+($Y471*Lists!$AD$15),2))</f>
        <v/>
      </c>
      <c r="AA471" s="103" t="str">
        <f aca="false">IF(OR($B471="", $N471="", $O471="", $T471="", $Z471=""),"",ROUND(($N471*Lists!$AD$16)-($O471*Lists!$AD$17)-($T471*Lists!$AD$18)+($Z471*Lists!$AD$19),2))</f>
        <v/>
      </c>
      <c r="AB471" s="102" t="str">
        <f aca="false">IF(OR($B471="", $N471="", $Z471=""),"",IF($N471&gt;=Lists!$AG$2,IF($Z471&gt;=Lists!$AG$3,"Invest","Migrate"),IF($Z471&gt;=Lists!$AG$3,"Tolerate","Eliminate")))</f>
        <v/>
      </c>
      <c r="AC471" s="102" t="str">
        <f aca="false">IF($B471="","",IF($J471&gt;=4,"Yes",""))</f>
        <v/>
      </c>
      <c r="AD471" s="102" t="str">
        <f aca="false">IF($A471="","",IFERROR(IF(VLOOKUP($A471,'Risk Register'!$B$2:$H$1000,4,FALSE())&gt;=4,"Yes",""),""))</f>
        <v/>
      </c>
      <c r="AE471" s="102" t="str">
        <f aca="false">IF(OR($N471="", $O471=""),"",IF($N471&gt;=Lists!$AG$2,IF($O471&gt;=Lists!$AG$4,"High Value / High Risk","High Value / Low Risk"),IF($O471&gt;=Lists!$AG$4,"Low Value / High Risk","Low Value / Low Risk")))</f>
        <v/>
      </c>
      <c r="AF471" s="101"/>
      <c r="AG471" s="126"/>
      <c r="AH471" s="106" t="str">
        <f aca="false">IF($B471="","",COUNTIFS('Debt Backlog'!$AF$2:$AF$1000,$A471,'Debt Backlog'!$B$2:$B$1000,"&lt;&gt;",'Debt Backlog'!$N$2:$N$1000,"&lt;&gt;Done",'Debt Backlog'!$N$2:$N$1000,"&lt;&gt;Won't Fix",'Debt Backlog'!$N$2:$N$1000,"&lt;&gt;Duplicate"))</f>
        <v/>
      </c>
      <c r="AI471" s="103" t="str">
        <f aca="false">IF($B471="","",ROUND(SUMIFS('Debt Backlog'!$L$2:$L$1000,'Debt Backlog'!$AF$2:$AF$1000,$A471,'Debt Backlog'!$B$2:$B$1000,"&lt;&gt;",'Debt Backlog'!$N$2:$N$1000,"&lt;&gt;Done",'Debt Backlog'!$N$2:$N$1000,"&lt;&gt;Won't Fix",'Debt Backlog'!$N$2:$N$1000,"&lt;&gt;Duplicate"),2))</f>
        <v/>
      </c>
    </row>
    <row r="472" customFormat="false" ht="15.75" hidden="false" customHeight="true" outlineLevel="0" collapsed="false">
      <c r="A472" s="125"/>
      <c r="B472" s="101"/>
      <c r="C472" s="101"/>
      <c r="D472" s="101"/>
      <c r="E472" s="101"/>
      <c r="F472" s="101"/>
      <c r="G472" s="101"/>
      <c r="H472" s="101"/>
      <c r="I472" s="106"/>
      <c r="J472" s="106"/>
      <c r="K472" s="106"/>
      <c r="L472" s="106"/>
      <c r="M472" s="106"/>
      <c r="N472" s="103" t="str">
        <f aca="false">IF(OR($B472="", $I472="", $J472="", $K472="", $L472="", $M472=""),"",ROUND(($I472*Lists!$AD$2)+($J472*Lists!$AD$3)+($K472*Lists!$AD$4)+($L472*Lists!$AD$5)+($M472*Lists!$AD$6),2))</f>
        <v/>
      </c>
      <c r="O472" s="103" t="str">
        <f aca="false">IF($A472="","",IFERROR(VLOOKUP($A472,'Risk Register'!$B$2:$I$1000,8,FALSE()),""))</f>
        <v/>
      </c>
      <c r="P472" s="106"/>
      <c r="Q472" s="106"/>
      <c r="R472" s="106"/>
      <c r="S472" s="106"/>
      <c r="T472" s="103" t="str">
        <f aca="false">IF(OR($B472="", $P472="", $Q472="", $R472="", $S472=""),"",ROUND(($P472*Lists!$AD$7)+($Q472*Lists!$AD$8)+($R472*Lists!$AD$9)+($S472*Lists!$AD$10),2))</f>
        <v/>
      </c>
      <c r="U472" s="106"/>
      <c r="V472" s="106"/>
      <c r="W472" s="106"/>
      <c r="X472" s="106"/>
      <c r="Y472" s="106"/>
      <c r="Z472" s="103" t="str">
        <f aca="false">IF(OR($B472="", $U472="", $V472="", $W472="", $X472="", $Y472=""),"",ROUND(($U472*Lists!$AD$11)+($V472*Lists!$AD$12)+($W472*Lists!$AD$13)+($X472*Lists!$AD$14)+($Y472*Lists!$AD$15),2))</f>
        <v/>
      </c>
      <c r="AA472" s="103" t="str">
        <f aca="false">IF(OR($B472="", $N472="", $O472="", $T472="", $Z472=""),"",ROUND(($N472*Lists!$AD$16)-($O472*Lists!$AD$17)-($T472*Lists!$AD$18)+($Z472*Lists!$AD$19),2))</f>
        <v/>
      </c>
      <c r="AB472" s="102" t="str">
        <f aca="false">IF(OR($B472="", $N472="", $Z472=""),"",IF($N472&gt;=Lists!$AG$2,IF($Z472&gt;=Lists!$AG$3,"Invest","Migrate"),IF($Z472&gt;=Lists!$AG$3,"Tolerate","Eliminate")))</f>
        <v/>
      </c>
      <c r="AC472" s="102" t="str">
        <f aca="false">IF($B472="","",IF($J472&gt;=4,"Yes",""))</f>
        <v/>
      </c>
      <c r="AD472" s="102" t="str">
        <f aca="false">IF($A472="","",IFERROR(IF(VLOOKUP($A472,'Risk Register'!$B$2:$H$1000,4,FALSE())&gt;=4,"Yes",""),""))</f>
        <v/>
      </c>
      <c r="AE472" s="102" t="str">
        <f aca="false">IF(OR($N472="", $O472=""),"",IF($N472&gt;=Lists!$AG$2,IF($O472&gt;=Lists!$AG$4,"High Value / High Risk","High Value / Low Risk"),IF($O472&gt;=Lists!$AG$4,"Low Value / High Risk","Low Value / Low Risk")))</f>
        <v/>
      </c>
      <c r="AF472" s="101"/>
      <c r="AG472" s="126"/>
      <c r="AH472" s="106" t="str">
        <f aca="false">IF($B472="","",COUNTIFS('Debt Backlog'!$AF$2:$AF$1000,$A472,'Debt Backlog'!$B$2:$B$1000,"&lt;&gt;",'Debt Backlog'!$N$2:$N$1000,"&lt;&gt;Done",'Debt Backlog'!$N$2:$N$1000,"&lt;&gt;Won't Fix",'Debt Backlog'!$N$2:$N$1000,"&lt;&gt;Duplicate"))</f>
        <v/>
      </c>
      <c r="AI472" s="103" t="str">
        <f aca="false">IF($B472="","",ROUND(SUMIFS('Debt Backlog'!$L$2:$L$1000,'Debt Backlog'!$AF$2:$AF$1000,$A472,'Debt Backlog'!$B$2:$B$1000,"&lt;&gt;",'Debt Backlog'!$N$2:$N$1000,"&lt;&gt;Done",'Debt Backlog'!$N$2:$N$1000,"&lt;&gt;Won't Fix",'Debt Backlog'!$N$2:$N$1000,"&lt;&gt;Duplicate"),2))</f>
        <v/>
      </c>
    </row>
    <row r="473" customFormat="false" ht="15.75" hidden="false" customHeight="true" outlineLevel="0" collapsed="false">
      <c r="A473" s="125"/>
      <c r="B473" s="101"/>
      <c r="C473" s="101"/>
      <c r="D473" s="101"/>
      <c r="E473" s="101"/>
      <c r="F473" s="101"/>
      <c r="G473" s="101"/>
      <c r="H473" s="101"/>
      <c r="I473" s="106"/>
      <c r="J473" s="106"/>
      <c r="K473" s="106"/>
      <c r="L473" s="106"/>
      <c r="M473" s="106"/>
      <c r="N473" s="103" t="str">
        <f aca="false">IF(OR($B473="", $I473="", $J473="", $K473="", $L473="", $M473=""),"",ROUND(($I473*Lists!$AD$2)+($J473*Lists!$AD$3)+($K473*Lists!$AD$4)+($L473*Lists!$AD$5)+($M473*Lists!$AD$6),2))</f>
        <v/>
      </c>
      <c r="O473" s="103" t="str">
        <f aca="false">IF($A473="","",IFERROR(VLOOKUP($A473,'Risk Register'!$B$2:$I$1000,8,FALSE()),""))</f>
        <v/>
      </c>
      <c r="P473" s="106"/>
      <c r="Q473" s="106"/>
      <c r="R473" s="106"/>
      <c r="S473" s="106"/>
      <c r="T473" s="103" t="str">
        <f aca="false">IF(OR($B473="", $P473="", $Q473="", $R473="", $S473=""),"",ROUND(($P473*Lists!$AD$7)+($Q473*Lists!$AD$8)+($R473*Lists!$AD$9)+($S473*Lists!$AD$10),2))</f>
        <v/>
      </c>
      <c r="U473" s="106"/>
      <c r="V473" s="106"/>
      <c r="W473" s="106"/>
      <c r="X473" s="106"/>
      <c r="Y473" s="106"/>
      <c r="Z473" s="103" t="str">
        <f aca="false">IF(OR($B473="", $U473="", $V473="", $W473="", $X473="", $Y473=""),"",ROUND(($U473*Lists!$AD$11)+($V473*Lists!$AD$12)+($W473*Lists!$AD$13)+($X473*Lists!$AD$14)+($Y473*Lists!$AD$15),2))</f>
        <v/>
      </c>
      <c r="AA473" s="103" t="str">
        <f aca="false">IF(OR($B473="", $N473="", $O473="", $T473="", $Z473=""),"",ROUND(($N473*Lists!$AD$16)-($O473*Lists!$AD$17)-($T473*Lists!$AD$18)+($Z473*Lists!$AD$19),2))</f>
        <v/>
      </c>
      <c r="AB473" s="102" t="str">
        <f aca="false">IF(OR($B473="", $N473="", $Z473=""),"",IF($N473&gt;=Lists!$AG$2,IF($Z473&gt;=Lists!$AG$3,"Invest","Migrate"),IF($Z473&gt;=Lists!$AG$3,"Tolerate","Eliminate")))</f>
        <v/>
      </c>
      <c r="AC473" s="102" t="str">
        <f aca="false">IF($B473="","",IF($J473&gt;=4,"Yes",""))</f>
        <v/>
      </c>
      <c r="AD473" s="102" t="str">
        <f aca="false">IF($A473="","",IFERROR(IF(VLOOKUP($A473,'Risk Register'!$B$2:$H$1000,4,FALSE())&gt;=4,"Yes",""),""))</f>
        <v/>
      </c>
      <c r="AE473" s="102" t="str">
        <f aca="false">IF(OR($N473="", $O473=""),"",IF($N473&gt;=Lists!$AG$2,IF($O473&gt;=Lists!$AG$4,"High Value / High Risk","High Value / Low Risk"),IF($O473&gt;=Lists!$AG$4,"Low Value / High Risk","Low Value / Low Risk")))</f>
        <v/>
      </c>
      <c r="AF473" s="101"/>
      <c r="AG473" s="126"/>
      <c r="AH473" s="106" t="str">
        <f aca="false">IF($B473="","",COUNTIFS('Debt Backlog'!$AF$2:$AF$1000,$A473,'Debt Backlog'!$B$2:$B$1000,"&lt;&gt;",'Debt Backlog'!$N$2:$N$1000,"&lt;&gt;Done",'Debt Backlog'!$N$2:$N$1000,"&lt;&gt;Won't Fix",'Debt Backlog'!$N$2:$N$1000,"&lt;&gt;Duplicate"))</f>
        <v/>
      </c>
      <c r="AI473" s="103" t="str">
        <f aca="false">IF($B473="","",ROUND(SUMIFS('Debt Backlog'!$L$2:$L$1000,'Debt Backlog'!$AF$2:$AF$1000,$A473,'Debt Backlog'!$B$2:$B$1000,"&lt;&gt;",'Debt Backlog'!$N$2:$N$1000,"&lt;&gt;Done",'Debt Backlog'!$N$2:$N$1000,"&lt;&gt;Won't Fix",'Debt Backlog'!$N$2:$N$1000,"&lt;&gt;Duplicate"),2))</f>
        <v/>
      </c>
    </row>
    <row r="474" customFormat="false" ht="15.75" hidden="false" customHeight="true" outlineLevel="0" collapsed="false">
      <c r="A474" s="125"/>
      <c r="B474" s="101"/>
      <c r="C474" s="101"/>
      <c r="D474" s="101"/>
      <c r="E474" s="101"/>
      <c r="F474" s="101"/>
      <c r="G474" s="101"/>
      <c r="H474" s="101"/>
      <c r="I474" s="106"/>
      <c r="J474" s="106"/>
      <c r="K474" s="106"/>
      <c r="L474" s="106"/>
      <c r="M474" s="106"/>
      <c r="N474" s="103" t="str">
        <f aca="false">IF(OR($B474="", $I474="", $J474="", $K474="", $L474="", $M474=""),"",ROUND(($I474*Lists!$AD$2)+($J474*Lists!$AD$3)+($K474*Lists!$AD$4)+($L474*Lists!$AD$5)+($M474*Lists!$AD$6),2))</f>
        <v/>
      </c>
      <c r="O474" s="103" t="str">
        <f aca="false">IF($A474="","",IFERROR(VLOOKUP($A474,'Risk Register'!$B$2:$I$1000,8,FALSE()),""))</f>
        <v/>
      </c>
      <c r="P474" s="106"/>
      <c r="Q474" s="106"/>
      <c r="R474" s="106"/>
      <c r="S474" s="106"/>
      <c r="T474" s="103" t="str">
        <f aca="false">IF(OR($B474="", $P474="", $Q474="", $R474="", $S474=""),"",ROUND(($P474*Lists!$AD$7)+($Q474*Lists!$AD$8)+($R474*Lists!$AD$9)+($S474*Lists!$AD$10),2))</f>
        <v/>
      </c>
      <c r="U474" s="106"/>
      <c r="V474" s="106"/>
      <c r="W474" s="106"/>
      <c r="X474" s="106"/>
      <c r="Y474" s="106"/>
      <c r="Z474" s="103" t="str">
        <f aca="false">IF(OR($B474="", $U474="", $V474="", $W474="", $X474="", $Y474=""),"",ROUND(($U474*Lists!$AD$11)+($V474*Lists!$AD$12)+($W474*Lists!$AD$13)+($X474*Lists!$AD$14)+($Y474*Lists!$AD$15),2))</f>
        <v/>
      </c>
      <c r="AA474" s="103" t="str">
        <f aca="false">IF(OR($B474="", $N474="", $O474="", $T474="", $Z474=""),"",ROUND(($N474*Lists!$AD$16)-($O474*Lists!$AD$17)-($T474*Lists!$AD$18)+($Z474*Lists!$AD$19),2))</f>
        <v/>
      </c>
      <c r="AB474" s="102" t="str">
        <f aca="false">IF(OR($B474="", $N474="", $Z474=""),"",IF($N474&gt;=Lists!$AG$2,IF($Z474&gt;=Lists!$AG$3,"Invest","Migrate"),IF($Z474&gt;=Lists!$AG$3,"Tolerate","Eliminate")))</f>
        <v/>
      </c>
      <c r="AC474" s="102" t="str">
        <f aca="false">IF($B474="","",IF($J474&gt;=4,"Yes",""))</f>
        <v/>
      </c>
      <c r="AD474" s="102" t="str">
        <f aca="false">IF($A474="","",IFERROR(IF(VLOOKUP($A474,'Risk Register'!$B$2:$H$1000,4,FALSE())&gt;=4,"Yes",""),""))</f>
        <v/>
      </c>
      <c r="AE474" s="102" t="str">
        <f aca="false">IF(OR($N474="", $O474=""),"",IF($N474&gt;=Lists!$AG$2,IF($O474&gt;=Lists!$AG$4,"High Value / High Risk","High Value / Low Risk"),IF($O474&gt;=Lists!$AG$4,"Low Value / High Risk","Low Value / Low Risk")))</f>
        <v/>
      </c>
      <c r="AF474" s="101"/>
      <c r="AG474" s="126"/>
      <c r="AH474" s="106" t="str">
        <f aca="false">IF($B474="","",COUNTIFS('Debt Backlog'!$AF$2:$AF$1000,$A474,'Debt Backlog'!$B$2:$B$1000,"&lt;&gt;",'Debt Backlog'!$N$2:$N$1000,"&lt;&gt;Done",'Debt Backlog'!$N$2:$N$1000,"&lt;&gt;Won't Fix",'Debt Backlog'!$N$2:$N$1000,"&lt;&gt;Duplicate"))</f>
        <v/>
      </c>
      <c r="AI474" s="103" t="str">
        <f aca="false">IF($B474="","",ROUND(SUMIFS('Debt Backlog'!$L$2:$L$1000,'Debt Backlog'!$AF$2:$AF$1000,$A474,'Debt Backlog'!$B$2:$B$1000,"&lt;&gt;",'Debt Backlog'!$N$2:$N$1000,"&lt;&gt;Done",'Debt Backlog'!$N$2:$N$1000,"&lt;&gt;Won't Fix",'Debt Backlog'!$N$2:$N$1000,"&lt;&gt;Duplicate"),2))</f>
        <v/>
      </c>
    </row>
    <row r="475" customFormat="false" ht="15.75" hidden="false" customHeight="true" outlineLevel="0" collapsed="false">
      <c r="A475" s="125"/>
      <c r="B475" s="101"/>
      <c r="C475" s="101"/>
      <c r="D475" s="101"/>
      <c r="E475" s="101"/>
      <c r="F475" s="101"/>
      <c r="G475" s="101"/>
      <c r="H475" s="101"/>
      <c r="I475" s="106"/>
      <c r="J475" s="106"/>
      <c r="K475" s="106"/>
      <c r="L475" s="106"/>
      <c r="M475" s="106"/>
      <c r="N475" s="103" t="str">
        <f aca="false">IF(OR($B475="", $I475="", $J475="", $K475="", $L475="", $M475=""),"",ROUND(($I475*Lists!$AD$2)+($J475*Lists!$AD$3)+($K475*Lists!$AD$4)+($L475*Lists!$AD$5)+($M475*Lists!$AD$6),2))</f>
        <v/>
      </c>
      <c r="O475" s="103" t="str">
        <f aca="false">IF($A475="","",IFERROR(VLOOKUP($A475,'Risk Register'!$B$2:$I$1000,8,FALSE()),""))</f>
        <v/>
      </c>
      <c r="P475" s="106"/>
      <c r="Q475" s="106"/>
      <c r="R475" s="106"/>
      <c r="S475" s="106"/>
      <c r="T475" s="103" t="str">
        <f aca="false">IF(OR($B475="", $P475="", $Q475="", $R475="", $S475=""),"",ROUND(($P475*Lists!$AD$7)+($Q475*Lists!$AD$8)+($R475*Lists!$AD$9)+($S475*Lists!$AD$10),2))</f>
        <v/>
      </c>
      <c r="U475" s="106"/>
      <c r="V475" s="106"/>
      <c r="W475" s="106"/>
      <c r="X475" s="106"/>
      <c r="Y475" s="106"/>
      <c r="Z475" s="103" t="str">
        <f aca="false">IF(OR($B475="", $U475="", $V475="", $W475="", $X475="", $Y475=""),"",ROUND(($U475*Lists!$AD$11)+($V475*Lists!$AD$12)+($W475*Lists!$AD$13)+($X475*Lists!$AD$14)+($Y475*Lists!$AD$15),2))</f>
        <v/>
      </c>
      <c r="AA475" s="103" t="str">
        <f aca="false">IF(OR($B475="", $N475="", $O475="", $T475="", $Z475=""),"",ROUND(($N475*Lists!$AD$16)-($O475*Lists!$AD$17)-($T475*Lists!$AD$18)+($Z475*Lists!$AD$19),2))</f>
        <v/>
      </c>
      <c r="AB475" s="102" t="str">
        <f aca="false">IF(OR($B475="", $N475="", $Z475=""),"",IF($N475&gt;=Lists!$AG$2,IF($Z475&gt;=Lists!$AG$3,"Invest","Migrate"),IF($Z475&gt;=Lists!$AG$3,"Tolerate","Eliminate")))</f>
        <v/>
      </c>
      <c r="AC475" s="102" t="str">
        <f aca="false">IF($B475="","",IF($J475&gt;=4,"Yes",""))</f>
        <v/>
      </c>
      <c r="AD475" s="102" t="str">
        <f aca="false">IF($A475="","",IFERROR(IF(VLOOKUP($A475,'Risk Register'!$B$2:$H$1000,4,FALSE())&gt;=4,"Yes",""),""))</f>
        <v/>
      </c>
      <c r="AE475" s="102" t="str">
        <f aca="false">IF(OR($N475="", $O475=""),"",IF($N475&gt;=Lists!$AG$2,IF($O475&gt;=Lists!$AG$4,"High Value / High Risk","High Value / Low Risk"),IF($O475&gt;=Lists!$AG$4,"Low Value / High Risk","Low Value / Low Risk")))</f>
        <v/>
      </c>
      <c r="AF475" s="101"/>
      <c r="AG475" s="126"/>
      <c r="AH475" s="106" t="str">
        <f aca="false">IF($B475="","",COUNTIFS('Debt Backlog'!$AF$2:$AF$1000,$A475,'Debt Backlog'!$B$2:$B$1000,"&lt;&gt;",'Debt Backlog'!$N$2:$N$1000,"&lt;&gt;Done",'Debt Backlog'!$N$2:$N$1000,"&lt;&gt;Won't Fix",'Debt Backlog'!$N$2:$N$1000,"&lt;&gt;Duplicate"))</f>
        <v/>
      </c>
      <c r="AI475" s="103" t="str">
        <f aca="false">IF($B475="","",ROUND(SUMIFS('Debt Backlog'!$L$2:$L$1000,'Debt Backlog'!$AF$2:$AF$1000,$A475,'Debt Backlog'!$B$2:$B$1000,"&lt;&gt;",'Debt Backlog'!$N$2:$N$1000,"&lt;&gt;Done",'Debt Backlog'!$N$2:$N$1000,"&lt;&gt;Won't Fix",'Debt Backlog'!$N$2:$N$1000,"&lt;&gt;Duplicate"),2))</f>
        <v/>
      </c>
    </row>
    <row r="476" customFormat="false" ht="15.75" hidden="false" customHeight="true" outlineLevel="0" collapsed="false">
      <c r="A476" s="125"/>
      <c r="B476" s="101"/>
      <c r="C476" s="101"/>
      <c r="D476" s="101"/>
      <c r="E476" s="101"/>
      <c r="F476" s="101"/>
      <c r="G476" s="101"/>
      <c r="H476" s="101"/>
      <c r="I476" s="106"/>
      <c r="J476" s="106"/>
      <c r="K476" s="106"/>
      <c r="L476" s="106"/>
      <c r="M476" s="106"/>
      <c r="N476" s="103" t="str">
        <f aca="false">IF(OR($B476="", $I476="", $J476="", $K476="", $L476="", $M476=""),"",ROUND(($I476*Lists!$AD$2)+($J476*Lists!$AD$3)+($K476*Lists!$AD$4)+($L476*Lists!$AD$5)+($M476*Lists!$AD$6),2))</f>
        <v/>
      </c>
      <c r="O476" s="103" t="str">
        <f aca="false">IF($A476="","",IFERROR(VLOOKUP($A476,'Risk Register'!$B$2:$I$1000,8,FALSE()),""))</f>
        <v/>
      </c>
      <c r="P476" s="106"/>
      <c r="Q476" s="106"/>
      <c r="R476" s="106"/>
      <c r="S476" s="106"/>
      <c r="T476" s="103" t="str">
        <f aca="false">IF(OR($B476="", $P476="", $Q476="", $R476="", $S476=""),"",ROUND(($P476*Lists!$AD$7)+($Q476*Lists!$AD$8)+($R476*Lists!$AD$9)+($S476*Lists!$AD$10),2))</f>
        <v/>
      </c>
      <c r="U476" s="106"/>
      <c r="V476" s="106"/>
      <c r="W476" s="106"/>
      <c r="X476" s="106"/>
      <c r="Y476" s="106"/>
      <c r="Z476" s="103" t="str">
        <f aca="false">IF(OR($B476="", $U476="", $V476="", $W476="", $X476="", $Y476=""),"",ROUND(($U476*Lists!$AD$11)+($V476*Lists!$AD$12)+($W476*Lists!$AD$13)+($X476*Lists!$AD$14)+($Y476*Lists!$AD$15),2))</f>
        <v/>
      </c>
      <c r="AA476" s="103" t="str">
        <f aca="false">IF(OR($B476="", $N476="", $O476="", $T476="", $Z476=""),"",ROUND(($N476*Lists!$AD$16)-($O476*Lists!$AD$17)-($T476*Lists!$AD$18)+($Z476*Lists!$AD$19),2))</f>
        <v/>
      </c>
      <c r="AB476" s="102" t="str">
        <f aca="false">IF(OR($B476="", $N476="", $Z476=""),"",IF($N476&gt;=Lists!$AG$2,IF($Z476&gt;=Lists!$AG$3,"Invest","Migrate"),IF($Z476&gt;=Lists!$AG$3,"Tolerate","Eliminate")))</f>
        <v/>
      </c>
      <c r="AC476" s="102" t="str">
        <f aca="false">IF($B476="","",IF($J476&gt;=4,"Yes",""))</f>
        <v/>
      </c>
      <c r="AD476" s="102" t="str">
        <f aca="false">IF($A476="","",IFERROR(IF(VLOOKUP($A476,'Risk Register'!$B$2:$H$1000,4,FALSE())&gt;=4,"Yes",""),""))</f>
        <v/>
      </c>
      <c r="AE476" s="102" t="str">
        <f aca="false">IF(OR($N476="", $O476=""),"",IF($N476&gt;=Lists!$AG$2,IF($O476&gt;=Lists!$AG$4,"High Value / High Risk","High Value / Low Risk"),IF($O476&gt;=Lists!$AG$4,"Low Value / High Risk","Low Value / Low Risk")))</f>
        <v/>
      </c>
      <c r="AF476" s="101"/>
      <c r="AG476" s="126"/>
      <c r="AH476" s="106" t="str">
        <f aca="false">IF($B476="","",COUNTIFS('Debt Backlog'!$AF$2:$AF$1000,$A476,'Debt Backlog'!$B$2:$B$1000,"&lt;&gt;",'Debt Backlog'!$N$2:$N$1000,"&lt;&gt;Done",'Debt Backlog'!$N$2:$N$1000,"&lt;&gt;Won't Fix",'Debt Backlog'!$N$2:$N$1000,"&lt;&gt;Duplicate"))</f>
        <v/>
      </c>
      <c r="AI476" s="103" t="str">
        <f aca="false">IF($B476="","",ROUND(SUMIFS('Debt Backlog'!$L$2:$L$1000,'Debt Backlog'!$AF$2:$AF$1000,$A476,'Debt Backlog'!$B$2:$B$1000,"&lt;&gt;",'Debt Backlog'!$N$2:$N$1000,"&lt;&gt;Done",'Debt Backlog'!$N$2:$N$1000,"&lt;&gt;Won't Fix",'Debt Backlog'!$N$2:$N$1000,"&lt;&gt;Duplicate"),2))</f>
        <v/>
      </c>
    </row>
    <row r="477" customFormat="false" ht="15.75" hidden="false" customHeight="true" outlineLevel="0" collapsed="false">
      <c r="A477" s="125"/>
      <c r="B477" s="101"/>
      <c r="C477" s="101"/>
      <c r="D477" s="101"/>
      <c r="E477" s="101"/>
      <c r="F477" s="101"/>
      <c r="G477" s="101"/>
      <c r="H477" s="101"/>
      <c r="I477" s="106"/>
      <c r="J477" s="106"/>
      <c r="K477" s="106"/>
      <c r="L477" s="106"/>
      <c r="M477" s="106"/>
      <c r="N477" s="103" t="str">
        <f aca="false">IF(OR($B477="", $I477="", $J477="", $K477="", $L477="", $M477=""),"",ROUND(($I477*Lists!$AD$2)+($J477*Lists!$AD$3)+($K477*Lists!$AD$4)+($L477*Lists!$AD$5)+($M477*Lists!$AD$6),2))</f>
        <v/>
      </c>
      <c r="O477" s="103" t="str">
        <f aca="false">IF($A477="","",IFERROR(VLOOKUP($A477,'Risk Register'!$B$2:$I$1000,8,FALSE()),""))</f>
        <v/>
      </c>
      <c r="P477" s="106"/>
      <c r="Q477" s="106"/>
      <c r="R477" s="106"/>
      <c r="S477" s="106"/>
      <c r="T477" s="103" t="str">
        <f aca="false">IF(OR($B477="", $P477="", $Q477="", $R477="", $S477=""),"",ROUND(($P477*Lists!$AD$7)+($Q477*Lists!$AD$8)+($R477*Lists!$AD$9)+($S477*Lists!$AD$10),2))</f>
        <v/>
      </c>
      <c r="U477" s="106"/>
      <c r="V477" s="106"/>
      <c r="W477" s="106"/>
      <c r="X477" s="106"/>
      <c r="Y477" s="106"/>
      <c r="Z477" s="103" t="str">
        <f aca="false">IF(OR($B477="", $U477="", $V477="", $W477="", $X477="", $Y477=""),"",ROUND(($U477*Lists!$AD$11)+($V477*Lists!$AD$12)+($W477*Lists!$AD$13)+($X477*Lists!$AD$14)+($Y477*Lists!$AD$15),2))</f>
        <v/>
      </c>
      <c r="AA477" s="103" t="str">
        <f aca="false">IF(OR($B477="", $N477="", $O477="", $T477="", $Z477=""),"",ROUND(($N477*Lists!$AD$16)-($O477*Lists!$AD$17)-($T477*Lists!$AD$18)+($Z477*Lists!$AD$19),2))</f>
        <v/>
      </c>
      <c r="AB477" s="102" t="str">
        <f aca="false">IF(OR($B477="", $N477="", $Z477=""),"",IF($N477&gt;=Lists!$AG$2,IF($Z477&gt;=Lists!$AG$3,"Invest","Migrate"),IF($Z477&gt;=Lists!$AG$3,"Tolerate","Eliminate")))</f>
        <v/>
      </c>
      <c r="AC477" s="102" t="str">
        <f aca="false">IF($B477="","",IF($J477&gt;=4,"Yes",""))</f>
        <v/>
      </c>
      <c r="AD477" s="102" t="str">
        <f aca="false">IF($A477="","",IFERROR(IF(VLOOKUP($A477,'Risk Register'!$B$2:$H$1000,4,FALSE())&gt;=4,"Yes",""),""))</f>
        <v/>
      </c>
      <c r="AE477" s="102" t="str">
        <f aca="false">IF(OR($N477="", $O477=""),"",IF($N477&gt;=Lists!$AG$2,IF($O477&gt;=Lists!$AG$4,"High Value / High Risk","High Value / Low Risk"),IF($O477&gt;=Lists!$AG$4,"Low Value / High Risk","Low Value / Low Risk")))</f>
        <v/>
      </c>
      <c r="AF477" s="101"/>
      <c r="AG477" s="126"/>
      <c r="AH477" s="106" t="str">
        <f aca="false">IF($B477="","",COUNTIFS('Debt Backlog'!$AF$2:$AF$1000,$A477,'Debt Backlog'!$B$2:$B$1000,"&lt;&gt;",'Debt Backlog'!$N$2:$N$1000,"&lt;&gt;Done",'Debt Backlog'!$N$2:$N$1000,"&lt;&gt;Won't Fix",'Debt Backlog'!$N$2:$N$1000,"&lt;&gt;Duplicate"))</f>
        <v/>
      </c>
      <c r="AI477" s="103" t="str">
        <f aca="false">IF($B477="","",ROUND(SUMIFS('Debt Backlog'!$L$2:$L$1000,'Debt Backlog'!$AF$2:$AF$1000,$A477,'Debt Backlog'!$B$2:$B$1000,"&lt;&gt;",'Debt Backlog'!$N$2:$N$1000,"&lt;&gt;Done",'Debt Backlog'!$N$2:$N$1000,"&lt;&gt;Won't Fix",'Debt Backlog'!$N$2:$N$1000,"&lt;&gt;Duplicate"),2))</f>
        <v/>
      </c>
    </row>
    <row r="478" customFormat="false" ht="15.75" hidden="false" customHeight="true" outlineLevel="0" collapsed="false">
      <c r="A478" s="125"/>
      <c r="B478" s="101"/>
      <c r="C478" s="101"/>
      <c r="D478" s="101"/>
      <c r="E478" s="101"/>
      <c r="F478" s="101"/>
      <c r="G478" s="101"/>
      <c r="H478" s="101"/>
      <c r="I478" s="106"/>
      <c r="J478" s="106"/>
      <c r="K478" s="106"/>
      <c r="L478" s="106"/>
      <c r="M478" s="106"/>
      <c r="N478" s="103" t="str">
        <f aca="false">IF(OR($B478="", $I478="", $J478="", $K478="", $L478="", $M478=""),"",ROUND(($I478*Lists!$AD$2)+($J478*Lists!$AD$3)+($K478*Lists!$AD$4)+($L478*Lists!$AD$5)+($M478*Lists!$AD$6),2))</f>
        <v/>
      </c>
      <c r="O478" s="103" t="str">
        <f aca="false">IF($A478="","",IFERROR(VLOOKUP($A478,'Risk Register'!$B$2:$I$1000,8,FALSE()),""))</f>
        <v/>
      </c>
      <c r="P478" s="106"/>
      <c r="Q478" s="106"/>
      <c r="R478" s="106"/>
      <c r="S478" s="106"/>
      <c r="T478" s="103" t="str">
        <f aca="false">IF(OR($B478="", $P478="", $Q478="", $R478="", $S478=""),"",ROUND(($P478*Lists!$AD$7)+($Q478*Lists!$AD$8)+($R478*Lists!$AD$9)+($S478*Lists!$AD$10),2))</f>
        <v/>
      </c>
      <c r="U478" s="106"/>
      <c r="V478" s="106"/>
      <c r="W478" s="106"/>
      <c r="X478" s="106"/>
      <c r="Y478" s="106"/>
      <c r="Z478" s="103" t="str">
        <f aca="false">IF(OR($B478="", $U478="", $V478="", $W478="", $X478="", $Y478=""),"",ROUND(($U478*Lists!$AD$11)+($V478*Lists!$AD$12)+($W478*Lists!$AD$13)+($X478*Lists!$AD$14)+($Y478*Lists!$AD$15),2))</f>
        <v/>
      </c>
      <c r="AA478" s="103" t="str">
        <f aca="false">IF(OR($B478="", $N478="", $O478="", $T478="", $Z478=""),"",ROUND(($N478*Lists!$AD$16)-($O478*Lists!$AD$17)-($T478*Lists!$AD$18)+($Z478*Lists!$AD$19),2))</f>
        <v/>
      </c>
      <c r="AB478" s="102" t="str">
        <f aca="false">IF(OR($B478="", $N478="", $Z478=""),"",IF($N478&gt;=Lists!$AG$2,IF($Z478&gt;=Lists!$AG$3,"Invest","Migrate"),IF($Z478&gt;=Lists!$AG$3,"Tolerate","Eliminate")))</f>
        <v/>
      </c>
      <c r="AC478" s="102" t="str">
        <f aca="false">IF($B478="","",IF($J478&gt;=4,"Yes",""))</f>
        <v/>
      </c>
      <c r="AD478" s="102" t="str">
        <f aca="false">IF($A478="","",IFERROR(IF(VLOOKUP($A478,'Risk Register'!$B$2:$H$1000,4,FALSE())&gt;=4,"Yes",""),""))</f>
        <v/>
      </c>
      <c r="AE478" s="102" t="str">
        <f aca="false">IF(OR($N478="", $O478=""),"",IF($N478&gt;=Lists!$AG$2,IF($O478&gt;=Lists!$AG$4,"High Value / High Risk","High Value / Low Risk"),IF($O478&gt;=Lists!$AG$4,"Low Value / High Risk","Low Value / Low Risk")))</f>
        <v/>
      </c>
      <c r="AF478" s="101"/>
      <c r="AG478" s="126"/>
      <c r="AH478" s="106" t="str">
        <f aca="false">IF($B478="","",COUNTIFS('Debt Backlog'!$AF$2:$AF$1000,$A478,'Debt Backlog'!$B$2:$B$1000,"&lt;&gt;",'Debt Backlog'!$N$2:$N$1000,"&lt;&gt;Done",'Debt Backlog'!$N$2:$N$1000,"&lt;&gt;Won't Fix",'Debt Backlog'!$N$2:$N$1000,"&lt;&gt;Duplicate"))</f>
        <v/>
      </c>
      <c r="AI478" s="103" t="str">
        <f aca="false">IF($B478="","",ROUND(SUMIFS('Debt Backlog'!$L$2:$L$1000,'Debt Backlog'!$AF$2:$AF$1000,$A478,'Debt Backlog'!$B$2:$B$1000,"&lt;&gt;",'Debt Backlog'!$N$2:$N$1000,"&lt;&gt;Done",'Debt Backlog'!$N$2:$N$1000,"&lt;&gt;Won't Fix",'Debt Backlog'!$N$2:$N$1000,"&lt;&gt;Duplicate"),2))</f>
        <v/>
      </c>
    </row>
    <row r="479" customFormat="false" ht="15.75" hidden="false" customHeight="true" outlineLevel="0" collapsed="false">
      <c r="A479" s="125"/>
      <c r="B479" s="101"/>
      <c r="C479" s="101"/>
      <c r="D479" s="101"/>
      <c r="E479" s="101"/>
      <c r="F479" s="101"/>
      <c r="G479" s="101"/>
      <c r="H479" s="101"/>
      <c r="I479" s="106"/>
      <c r="J479" s="106"/>
      <c r="K479" s="106"/>
      <c r="L479" s="106"/>
      <c r="M479" s="106"/>
      <c r="N479" s="103" t="str">
        <f aca="false">IF(OR($B479="", $I479="", $J479="", $K479="", $L479="", $M479=""),"",ROUND(($I479*Lists!$AD$2)+($J479*Lists!$AD$3)+($K479*Lists!$AD$4)+($L479*Lists!$AD$5)+($M479*Lists!$AD$6),2))</f>
        <v/>
      </c>
      <c r="O479" s="103" t="str">
        <f aca="false">IF($A479="","",IFERROR(VLOOKUP($A479,'Risk Register'!$B$2:$I$1000,8,FALSE()),""))</f>
        <v/>
      </c>
      <c r="P479" s="106"/>
      <c r="Q479" s="106"/>
      <c r="R479" s="106"/>
      <c r="S479" s="106"/>
      <c r="T479" s="103" t="str">
        <f aca="false">IF(OR($B479="", $P479="", $Q479="", $R479="", $S479=""),"",ROUND(($P479*Lists!$AD$7)+($Q479*Lists!$AD$8)+($R479*Lists!$AD$9)+($S479*Lists!$AD$10),2))</f>
        <v/>
      </c>
      <c r="U479" s="106"/>
      <c r="V479" s="106"/>
      <c r="W479" s="106"/>
      <c r="X479" s="106"/>
      <c r="Y479" s="106"/>
      <c r="Z479" s="103" t="str">
        <f aca="false">IF(OR($B479="", $U479="", $V479="", $W479="", $X479="", $Y479=""),"",ROUND(($U479*Lists!$AD$11)+($V479*Lists!$AD$12)+($W479*Lists!$AD$13)+($X479*Lists!$AD$14)+($Y479*Lists!$AD$15),2))</f>
        <v/>
      </c>
      <c r="AA479" s="103" t="str">
        <f aca="false">IF(OR($B479="", $N479="", $O479="", $T479="", $Z479=""),"",ROUND(($N479*Lists!$AD$16)-($O479*Lists!$AD$17)-($T479*Lists!$AD$18)+($Z479*Lists!$AD$19),2))</f>
        <v/>
      </c>
      <c r="AB479" s="102" t="str">
        <f aca="false">IF(OR($B479="", $N479="", $Z479=""),"",IF($N479&gt;=Lists!$AG$2,IF($Z479&gt;=Lists!$AG$3,"Invest","Migrate"),IF($Z479&gt;=Lists!$AG$3,"Tolerate","Eliminate")))</f>
        <v/>
      </c>
      <c r="AC479" s="102" t="str">
        <f aca="false">IF($B479="","",IF($J479&gt;=4,"Yes",""))</f>
        <v/>
      </c>
      <c r="AD479" s="102" t="str">
        <f aca="false">IF($A479="","",IFERROR(IF(VLOOKUP($A479,'Risk Register'!$B$2:$H$1000,4,FALSE())&gt;=4,"Yes",""),""))</f>
        <v/>
      </c>
      <c r="AE479" s="102" t="str">
        <f aca="false">IF(OR($N479="", $O479=""),"",IF($N479&gt;=Lists!$AG$2,IF($O479&gt;=Lists!$AG$4,"High Value / High Risk","High Value / Low Risk"),IF($O479&gt;=Lists!$AG$4,"Low Value / High Risk","Low Value / Low Risk")))</f>
        <v/>
      </c>
      <c r="AF479" s="101"/>
      <c r="AG479" s="126"/>
      <c r="AH479" s="106" t="str">
        <f aca="false">IF($B479="","",COUNTIFS('Debt Backlog'!$AF$2:$AF$1000,$A479,'Debt Backlog'!$B$2:$B$1000,"&lt;&gt;",'Debt Backlog'!$N$2:$N$1000,"&lt;&gt;Done",'Debt Backlog'!$N$2:$N$1000,"&lt;&gt;Won't Fix",'Debt Backlog'!$N$2:$N$1000,"&lt;&gt;Duplicate"))</f>
        <v/>
      </c>
      <c r="AI479" s="103" t="str">
        <f aca="false">IF($B479="","",ROUND(SUMIFS('Debt Backlog'!$L$2:$L$1000,'Debt Backlog'!$AF$2:$AF$1000,$A479,'Debt Backlog'!$B$2:$B$1000,"&lt;&gt;",'Debt Backlog'!$N$2:$N$1000,"&lt;&gt;Done",'Debt Backlog'!$N$2:$N$1000,"&lt;&gt;Won't Fix",'Debt Backlog'!$N$2:$N$1000,"&lt;&gt;Duplicate"),2))</f>
        <v/>
      </c>
    </row>
    <row r="480" customFormat="false" ht="15.75" hidden="false" customHeight="true" outlineLevel="0" collapsed="false">
      <c r="A480" s="125"/>
      <c r="B480" s="101"/>
      <c r="C480" s="101"/>
      <c r="D480" s="101"/>
      <c r="E480" s="101"/>
      <c r="F480" s="101"/>
      <c r="G480" s="101"/>
      <c r="H480" s="101"/>
      <c r="I480" s="106"/>
      <c r="J480" s="106"/>
      <c r="K480" s="106"/>
      <c r="L480" s="106"/>
      <c r="M480" s="106"/>
      <c r="N480" s="103" t="str">
        <f aca="false">IF(OR($B480="", $I480="", $J480="", $K480="", $L480="", $M480=""),"",ROUND(($I480*Lists!$AD$2)+($J480*Lists!$AD$3)+($K480*Lists!$AD$4)+($L480*Lists!$AD$5)+($M480*Lists!$AD$6),2))</f>
        <v/>
      </c>
      <c r="O480" s="103" t="str">
        <f aca="false">IF($A480="","",IFERROR(VLOOKUP($A480,'Risk Register'!$B$2:$I$1000,8,FALSE()),""))</f>
        <v/>
      </c>
      <c r="P480" s="106"/>
      <c r="Q480" s="106"/>
      <c r="R480" s="106"/>
      <c r="S480" s="106"/>
      <c r="T480" s="103" t="str">
        <f aca="false">IF(OR($B480="", $P480="", $Q480="", $R480="", $S480=""),"",ROUND(($P480*Lists!$AD$7)+($Q480*Lists!$AD$8)+($R480*Lists!$AD$9)+($S480*Lists!$AD$10),2))</f>
        <v/>
      </c>
      <c r="U480" s="106"/>
      <c r="V480" s="106"/>
      <c r="W480" s="106"/>
      <c r="X480" s="106"/>
      <c r="Y480" s="106"/>
      <c r="Z480" s="103" t="str">
        <f aca="false">IF(OR($B480="", $U480="", $V480="", $W480="", $X480="", $Y480=""),"",ROUND(($U480*Lists!$AD$11)+($V480*Lists!$AD$12)+($W480*Lists!$AD$13)+($X480*Lists!$AD$14)+($Y480*Lists!$AD$15),2))</f>
        <v/>
      </c>
      <c r="AA480" s="103" t="str">
        <f aca="false">IF(OR($B480="", $N480="", $O480="", $T480="", $Z480=""),"",ROUND(($N480*Lists!$AD$16)-($O480*Lists!$AD$17)-($T480*Lists!$AD$18)+($Z480*Lists!$AD$19),2))</f>
        <v/>
      </c>
      <c r="AB480" s="102" t="str">
        <f aca="false">IF(OR($B480="", $N480="", $Z480=""),"",IF($N480&gt;=Lists!$AG$2,IF($Z480&gt;=Lists!$AG$3,"Invest","Migrate"),IF($Z480&gt;=Lists!$AG$3,"Tolerate","Eliminate")))</f>
        <v/>
      </c>
      <c r="AC480" s="102" t="str">
        <f aca="false">IF($B480="","",IF($J480&gt;=4,"Yes",""))</f>
        <v/>
      </c>
      <c r="AD480" s="102" t="str">
        <f aca="false">IF($A480="","",IFERROR(IF(VLOOKUP($A480,'Risk Register'!$B$2:$H$1000,4,FALSE())&gt;=4,"Yes",""),""))</f>
        <v/>
      </c>
      <c r="AE480" s="102" t="str">
        <f aca="false">IF(OR($N480="", $O480=""),"",IF($N480&gt;=Lists!$AG$2,IF($O480&gt;=Lists!$AG$4,"High Value / High Risk","High Value / Low Risk"),IF($O480&gt;=Lists!$AG$4,"Low Value / High Risk","Low Value / Low Risk")))</f>
        <v/>
      </c>
      <c r="AF480" s="101"/>
      <c r="AG480" s="126"/>
      <c r="AH480" s="106" t="str">
        <f aca="false">IF($B480="","",COUNTIFS('Debt Backlog'!$AF$2:$AF$1000,$A480,'Debt Backlog'!$B$2:$B$1000,"&lt;&gt;",'Debt Backlog'!$N$2:$N$1000,"&lt;&gt;Done",'Debt Backlog'!$N$2:$N$1000,"&lt;&gt;Won't Fix",'Debt Backlog'!$N$2:$N$1000,"&lt;&gt;Duplicate"))</f>
        <v/>
      </c>
      <c r="AI480" s="103" t="str">
        <f aca="false">IF($B480="","",ROUND(SUMIFS('Debt Backlog'!$L$2:$L$1000,'Debt Backlog'!$AF$2:$AF$1000,$A480,'Debt Backlog'!$B$2:$B$1000,"&lt;&gt;",'Debt Backlog'!$N$2:$N$1000,"&lt;&gt;Done",'Debt Backlog'!$N$2:$N$1000,"&lt;&gt;Won't Fix",'Debt Backlog'!$N$2:$N$1000,"&lt;&gt;Duplicate"),2))</f>
        <v/>
      </c>
    </row>
    <row r="481" customFormat="false" ht="15.75" hidden="false" customHeight="true" outlineLevel="0" collapsed="false">
      <c r="A481" s="125"/>
      <c r="B481" s="101"/>
      <c r="C481" s="101"/>
      <c r="D481" s="101"/>
      <c r="E481" s="101"/>
      <c r="F481" s="101"/>
      <c r="G481" s="101"/>
      <c r="H481" s="101"/>
      <c r="I481" s="106"/>
      <c r="J481" s="106"/>
      <c r="K481" s="106"/>
      <c r="L481" s="106"/>
      <c r="M481" s="106"/>
      <c r="N481" s="103" t="str">
        <f aca="false">IF(OR($B481="", $I481="", $J481="", $K481="", $L481="", $M481=""),"",ROUND(($I481*Lists!$AD$2)+($J481*Lists!$AD$3)+($K481*Lists!$AD$4)+($L481*Lists!$AD$5)+($M481*Lists!$AD$6),2))</f>
        <v/>
      </c>
      <c r="O481" s="103" t="str">
        <f aca="false">IF($A481="","",IFERROR(VLOOKUP($A481,'Risk Register'!$B$2:$I$1000,8,FALSE()),""))</f>
        <v/>
      </c>
      <c r="P481" s="106"/>
      <c r="Q481" s="106"/>
      <c r="R481" s="106"/>
      <c r="S481" s="106"/>
      <c r="T481" s="103" t="str">
        <f aca="false">IF(OR($B481="", $P481="", $Q481="", $R481="", $S481=""),"",ROUND(($P481*Lists!$AD$7)+($Q481*Lists!$AD$8)+($R481*Lists!$AD$9)+($S481*Lists!$AD$10),2))</f>
        <v/>
      </c>
      <c r="U481" s="106"/>
      <c r="V481" s="106"/>
      <c r="W481" s="106"/>
      <c r="X481" s="106"/>
      <c r="Y481" s="106"/>
      <c r="Z481" s="103" t="str">
        <f aca="false">IF(OR($B481="", $U481="", $V481="", $W481="", $X481="", $Y481=""),"",ROUND(($U481*Lists!$AD$11)+($V481*Lists!$AD$12)+($W481*Lists!$AD$13)+($X481*Lists!$AD$14)+($Y481*Lists!$AD$15),2))</f>
        <v/>
      </c>
      <c r="AA481" s="103" t="str">
        <f aca="false">IF(OR($B481="", $N481="", $O481="", $T481="", $Z481=""),"",ROUND(($N481*Lists!$AD$16)-($O481*Lists!$AD$17)-($T481*Lists!$AD$18)+($Z481*Lists!$AD$19),2))</f>
        <v/>
      </c>
      <c r="AB481" s="102" t="str">
        <f aca="false">IF(OR($B481="", $N481="", $Z481=""),"",IF($N481&gt;=Lists!$AG$2,IF($Z481&gt;=Lists!$AG$3,"Invest","Migrate"),IF($Z481&gt;=Lists!$AG$3,"Tolerate","Eliminate")))</f>
        <v/>
      </c>
      <c r="AC481" s="102" t="str">
        <f aca="false">IF($B481="","",IF($J481&gt;=4,"Yes",""))</f>
        <v/>
      </c>
      <c r="AD481" s="102" t="str">
        <f aca="false">IF($A481="","",IFERROR(IF(VLOOKUP($A481,'Risk Register'!$B$2:$H$1000,4,FALSE())&gt;=4,"Yes",""),""))</f>
        <v/>
      </c>
      <c r="AE481" s="102" t="str">
        <f aca="false">IF(OR($N481="", $O481=""),"",IF($N481&gt;=Lists!$AG$2,IF($O481&gt;=Lists!$AG$4,"High Value / High Risk","High Value / Low Risk"),IF($O481&gt;=Lists!$AG$4,"Low Value / High Risk","Low Value / Low Risk")))</f>
        <v/>
      </c>
      <c r="AF481" s="101"/>
      <c r="AG481" s="126"/>
      <c r="AH481" s="106" t="str">
        <f aca="false">IF($B481="","",COUNTIFS('Debt Backlog'!$AF$2:$AF$1000,$A481,'Debt Backlog'!$B$2:$B$1000,"&lt;&gt;",'Debt Backlog'!$N$2:$N$1000,"&lt;&gt;Done",'Debt Backlog'!$N$2:$N$1000,"&lt;&gt;Won't Fix",'Debt Backlog'!$N$2:$N$1000,"&lt;&gt;Duplicate"))</f>
        <v/>
      </c>
      <c r="AI481" s="103" t="str">
        <f aca="false">IF($B481="","",ROUND(SUMIFS('Debt Backlog'!$L$2:$L$1000,'Debt Backlog'!$AF$2:$AF$1000,$A481,'Debt Backlog'!$B$2:$B$1000,"&lt;&gt;",'Debt Backlog'!$N$2:$N$1000,"&lt;&gt;Done",'Debt Backlog'!$N$2:$N$1000,"&lt;&gt;Won't Fix",'Debt Backlog'!$N$2:$N$1000,"&lt;&gt;Duplicate"),2))</f>
        <v/>
      </c>
    </row>
    <row r="482" customFormat="false" ht="15.75" hidden="false" customHeight="true" outlineLevel="0" collapsed="false">
      <c r="A482" s="125"/>
      <c r="B482" s="101"/>
      <c r="C482" s="101"/>
      <c r="D482" s="101"/>
      <c r="E482" s="101"/>
      <c r="F482" s="101"/>
      <c r="G482" s="101"/>
      <c r="H482" s="101"/>
      <c r="I482" s="106"/>
      <c r="J482" s="106"/>
      <c r="K482" s="106"/>
      <c r="L482" s="106"/>
      <c r="M482" s="106"/>
      <c r="N482" s="103" t="str">
        <f aca="false">IF(OR($B482="", $I482="", $J482="", $K482="", $L482="", $M482=""),"",ROUND(($I482*Lists!$AD$2)+($J482*Lists!$AD$3)+($K482*Lists!$AD$4)+($L482*Lists!$AD$5)+($M482*Lists!$AD$6),2))</f>
        <v/>
      </c>
      <c r="O482" s="103" t="str">
        <f aca="false">IF($A482="","",IFERROR(VLOOKUP($A482,'Risk Register'!$B$2:$I$1000,8,FALSE()),""))</f>
        <v/>
      </c>
      <c r="P482" s="106"/>
      <c r="Q482" s="106"/>
      <c r="R482" s="106"/>
      <c r="S482" s="106"/>
      <c r="T482" s="103" t="str">
        <f aca="false">IF(OR($B482="", $P482="", $Q482="", $R482="", $S482=""),"",ROUND(($P482*Lists!$AD$7)+($Q482*Lists!$AD$8)+($R482*Lists!$AD$9)+($S482*Lists!$AD$10),2))</f>
        <v/>
      </c>
      <c r="U482" s="106"/>
      <c r="V482" s="106"/>
      <c r="W482" s="106"/>
      <c r="X482" s="106"/>
      <c r="Y482" s="106"/>
      <c r="Z482" s="103" t="str">
        <f aca="false">IF(OR($B482="", $U482="", $V482="", $W482="", $X482="", $Y482=""),"",ROUND(($U482*Lists!$AD$11)+($V482*Lists!$AD$12)+($W482*Lists!$AD$13)+($X482*Lists!$AD$14)+($Y482*Lists!$AD$15),2))</f>
        <v/>
      </c>
      <c r="AA482" s="103" t="str">
        <f aca="false">IF(OR($B482="", $N482="", $O482="", $T482="", $Z482=""),"",ROUND(($N482*Lists!$AD$16)-($O482*Lists!$AD$17)-($T482*Lists!$AD$18)+($Z482*Lists!$AD$19),2))</f>
        <v/>
      </c>
      <c r="AB482" s="102" t="str">
        <f aca="false">IF(OR($B482="", $N482="", $Z482=""),"",IF($N482&gt;=Lists!$AG$2,IF($Z482&gt;=Lists!$AG$3,"Invest","Migrate"),IF($Z482&gt;=Lists!$AG$3,"Tolerate","Eliminate")))</f>
        <v/>
      </c>
      <c r="AC482" s="102" t="str">
        <f aca="false">IF($B482="","",IF($J482&gt;=4,"Yes",""))</f>
        <v/>
      </c>
      <c r="AD482" s="102" t="str">
        <f aca="false">IF($A482="","",IFERROR(IF(VLOOKUP($A482,'Risk Register'!$B$2:$H$1000,4,FALSE())&gt;=4,"Yes",""),""))</f>
        <v/>
      </c>
      <c r="AE482" s="102" t="str">
        <f aca="false">IF(OR($N482="", $O482=""),"",IF($N482&gt;=Lists!$AG$2,IF($O482&gt;=Lists!$AG$4,"High Value / High Risk","High Value / Low Risk"),IF($O482&gt;=Lists!$AG$4,"Low Value / High Risk","Low Value / Low Risk")))</f>
        <v/>
      </c>
      <c r="AF482" s="101"/>
      <c r="AG482" s="126"/>
      <c r="AH482" s="106" t="str">
        <f aca="false">IF($B482="","",COUNTIFS('Debt Backlog'!$AF$2:$AF$1000,$A482,'Debt Backlog'!$B$2:$B$1000,"&lt;&gt;",'Debt Backlog'!$N$2:$N$1000,"&lt;&gt;Done",'Debt Backlog'!$N$2:$N$1000,"&lt;&gt;Won't Fix",'Debt Backlog'!$N$2:$N$1000,"&lt;&gt;Duplicate"))</f>
        <v/>
      </c>
      <c r="AI482" s="103" t="str">
        <f aca="false">IF($B482="","",ROUND(SUMIFS('Debt Backlog'!$L$2:$L$1000,'Debt Backlog'!$AF$2:$AF$1000,$A482,'Debt Backlog'!$B$2:$B$1000,"&lt;&gt;",'Debt Backlog'!$N$2:$N$1000,"&lt;&gt;Done",'Debt Backlog'!$N$2:$N$1000,"&lt;&gt;Won't Fix",'Debt Backlog'!$N$2:$N$1000,"&lt;&gt;Duplicate"),2))</f>
        <v/>
      </c>
    </row>
    <row r="483" customFormat="false" ht="15.75" hidden="false" customHeight="true" outlineLevel="0" collapsed="false">
      <c r="A483" s="125"/>
      <c r="B483" s="101"/>
      <c r="C483" s="101"/>
      <c r="D483" s="101"/>
      <c r="E483" s="101"/>
      <c r="F483" s="101"/>
      <c r="G483" s="101"/>
      <c r="H483" s="101"/>
      <c r="I483" s="106"/>
      <c r="J483" s="106"/>
      <c r="K483" s="106"/>
      <c r="L483" s="106"/>
      <c r="M483" s="106"/>
      <c r="N483" s="103" t="str">
        <f aca="false">IF(OR($B483="", $I483="", $J483="", $K483="", $L483="", $M483=""),"",ROUND(($I483*Lists!$AD$2)+($J483*Lists!$AD$3)+($K483*Lists!$AD$4)+($L483*Lists!$AD$5)+($M483*Lists!$AD$6),2))</f>
        <v/>
      </c>
      <c r="O483" s="103" t="str">
        <f aca="false">IF($A483="","",IFERROR(VLOOKUP($A483,'Risk Register'!$B$2:$I$1000,8,FALSE()),""))</f>
        <v/>
      </c>
      <c r="P483" s="106"/>
      <c r="Q483" s="106"/>
      <c r="R483" s="106"/>
      <c r="S483" s="106"/>
      <c r="T483" s="103" t="str">
        <f aca="false">IF(OR($B483="", $P483="", $Q483="", $R483="", $S483=""),"",ROUND(($P483*Lists!$AD$7)+($Q483*Lists!$AD$8)+($R483*Lists!$AD$9)+($S483*Lists!$AD$10),2))</f>
        <v/>
      </c>
      <c r="U483" s="106"/>
      <c r="V483" s="106"/>
      <c r="W483" s="106"/>
      <c r="X483" s="106"/>
      <c r="Y483" s="106"/>
      <c r="Z483" s="103" t="str">
        <f aca="false">IF(OR($B483="", $U483="", $V483="", $W483="", $X483="", $Y483=""),"",ROUND(($U483*Lists!$AD$11)+($V483*Lists!$AD$12)+($W483*Lists!$AD$13)+($X483*Lists!$AD$14)+($Y483*Lists!$AD$15),2))</f>
        <v/>
      </c>
      <c r="AA483" s="103" t="str">
        <f aca="false">IF(OR($B483="", $N483="", $O483="", $T483="", $Z483=""),"",ROUND(($N483*Lists!$AD$16)-($O483*Lists!$AD$17)-($T483*Lists!$AD$18)+($Z483*Lists!$AD$19),2))</f>
        <v/>
      </c>
      <c r="AB483" s="102" t="str">
        <f aca="false">IF(OR($B483="", $N483="", $Z483=""),"",IF($N483&gt;=Lists!$AG$2,IF($Z483&gt;=Lists!$AG$3,"Invest","Migrate"),IF($Z483&gt;=Lists!$AG$3,"Tolerate","Eliminate")))</f>
        <v/>
      </c>
      <c r="AC483" s="102" t="str">
        <f aca="false">IF($B483="","",IF($J483&gt;=4,"Yes",""))</f>
        <v/>
      </c>
      <c r="AD483" s="102" t="str">
        <f aca="false">IF($A483="","",IFERROR(IF(VLOOKUP($A483,'Risk Register'!$B$2:$H$1000,4,FALSE())&gt;=4,"Yes",""),""))</f>
        <v/>
      </c>
      <c r="AE483" s="102" t="str">
        <f aca="false">IF(OR($N483="", $O483=""),"",IF($N483&gt;=Lists!$AG$2,IF($O483&gt;=Lists!$AG$4,"High Value / High Risk","High Value / Low Risk"),IF($O483&gt;=Lists!$AG$4,"Low Value / High Risk","Low Value / Low Risk")))</f>
        <v/>
      </c>
      <c r="AF483" s="101"/>
      <c r="AG483" s="126"/>
      <c r="AH483" s="106" t="str">
        <f aca="false">IF($B483="","",COUNTIFS('Debt Backlog'!$AF$2:$AF$1000,$A483,'Debt Backlog'!$B$2:$B$1000,"&lt;&gt;",'Debt Backlog'!$N$2:$N$1000,"&lt;&gt;Done",'Debt Backlog'!$N$2:$N$1000,"&lt;&gt;Won't Fix",'Debt Backlog'!$N$2:$N$1000,"&lt;&gt;Duplicate"))</f>
        <v/>
      </c>
      <c r="AI483" s="103" t="str">
        <f aca="false">IF($B483="","",ROUND(SUMIFS('Debt Backlog'!$L$2:$L$1000,'Debt Backlog'!$AF$2:$AF$1000,$A483,'Debt Backlog'!$B$2:$B$1000,"&lt;&gt;",'Debt Backlog'!$N$2:$N$1000,"&lt;&gt;Done",'Debt Backlog'!$N$2:$N$1000,"&lt;&gt;Won't Fix",'Debt Backlog'!$N$2:$N$1000,"&lt;&gt;Duplicate"),2))</f>
        <v/>
      </c>
    </row>
    <row r="484" customFormat="false" ht="15.75" hidden="false" customHeight="true" outlineLevel="0" collapsed="false">
      <c r="A484" s="125"/>
      <c r="B484" s="101"/>
      <c r="C484" s="101"/>
      <c r="D484" s="101"/>
      <c r="E484" s="101"/>
      <c r="F484" s="101"/>
      <c r="G484" s="101"/>
      <c r="H484" s="101"/>
      <c r="I484" s="106"/>
      <c r="J484" s="106"/>
      <c r="K484" s="106"/>
      <c r="L484" s="106"/>
      <c r="M484" s="106"/>
      <c r="N484" s="103" t="str">
        <f aca="false">IF(OR($B484="", $I484="", $J484="", $K484="", $L484="", $M484=""),"",ROUND(($I484*Lists!$AD$2)+($J484*Lists!$AD$3)+($K484*Lists!$AD$4)+($L484*Lists!$AD$5)+($M484*Lists!$AD$6),2))</f>
        <v/>
      </c>
      <c r="O484" s="103" t="str">
        <f aca="false">IF($A484="","",IFERROR(VLOOKUP($A484,'Risk Register'!$B$2:$I$1000,8,FALSE()),""))</f>
        <v/>
      </c>
      <c r="P484" s="106"/>
      <c r="Q484" s="106"/>
      <c r="R484" s="106"/>
      <c r="S484" s="106"/>
      <c r="T484" s="103" t="str">
        <f aca="false">IF(OR($B484="", $P484="", $Q484="", $R484="", $S484=""),"",ROUND(($P484*Lists!$AD$7)+($Q484*Lists!$AD$8)+($R484*Lists!$AD$9)+($S484*Lists!$AD$10),2))</f>
        <v/>
      </c>
      <c r="U484" s="106"/>
      <c r="V484" s="106"/>
      <c r="W484" s="106"/>
      <c r="X484" s="106"/>
      <c r="Y484" s="106"/>
      <c r="Z484" s="103" t="str">
        <f aca="false">IF(OR($B484="", $U484="", $V484="", $W484="", $X484="", $Y484=""),"",ROUND(($U484*Lists!$AD$11)+($V484*Lists!$AD$12)+($W484*Lists!$AD$13)+($X484*Lists!$AD$14)+($Y484*Lists!$AD$15),2))</f>
        <v/>
      </c>
      <c r="AA484" s="103" t="str">
        <f aca="false">IF(OR($B484="", $N484="", $O484="", $T484="", $Z484=""),"",ROUND(($N484*Lists!$AD$16)-($O484*Lists!$AD$17)-($T484*Lists!$AD$18)+($Z484*Lists!$AD$19),2))</f>
        <v/>
      </c>
      <c r="AB484" s="102" t="str">
        <f aca="false">IF(OR($B484="", $N484="", $Z484=""),"",IF($N484&gt;=Lists!$AG$2,IF($Z484&gt;=Lists!$AG$3,"Invest","Migrate"),IF($Z484&gt;=Lists!$AG$3,"Tolerate","Eliminate")))</f>
        <v/>
      </c>
      <c r="AC484" s="102" t="str">
        <f aca="false">IF($B484="","",IF($J484&gt;=4,"Yes",""))</f>
        <v/>
      </c>
      <c r="AD484" s="102" t="str">
        <f aca="false">IF($A484="","",IFERROR(IF(VLOOKUP($A484,'Risk Register'!$B$2:$H$1000,4,FALSE())&gt;=4,"Yes",""),""))</f>
        <v/>
      </c>
      <c r="AE484" s="102" t="str">
        <f aca="false">IF(OR($N484="", $O484=""),"",IF($N484&gt;=Lists!$AG$2,IF($O484&gt;=Lists!$AG$4,"High Value / High Risk","High Value / Low Risk"),IF($O484&gt;=Lists!$AG$4,"Low Value / High Risk","Low Value / Low Risk")))</f>
        <v/>
      </c>
      <c r="AF484" s="101"/>
      <c r="AG484" s="126"/>
      <c r="AH484" s="106" t="str">
        <f aca="false">IF($B484="","",COUNTIFS('Debt Backlog'!$AF$2:$AF$1000,$A484,'Debt Backlog'!$B$2:$B$1000,"&lt;&gt;",'Debt Backlog'!$N$2:$N$1000,"&lt;&gt;Done",'Debt Backlog'!$N$2:$N$1000,"&lt;&gt;Won't Fix",'Debt Backlog'!$N$2:$N$1000,"&lt;&gt;Duplicate"))</f>
        <v/>
      </c>
      <c r="AI484" s="103" t="str">
        <f aca="false">IF($B484="","",ROUND(SUMIFS('Debt Backlog'!$L$2:$L$1000,'Debt Backlog'!$AF$2:$AF$1000,$A484,'Debt Backlog'!$B$2:$B$1000,"&lt;&gt;",'Debt Backlog'!$N$2:$N$1000,"&lt;&gt;Done",'Debt Backlog'!$N$2:$N$1000,"&lt;&gt;Won't Fix",'Debt Backlog'!$N$2:$N$1000,"&lt;&gt;Duplicate"),2))</f>
        <v/>
      </c>
    </row>
    <row r="485" customFormat="false" ht="15.75" hidden="false" customHeight="true" outlineLevel="0" collapsed="false">
      <c r="A485" s="125"/>
      <c r="B485" s="101"/>
      <c r="C485" s="101"/>
      <c r="D485" s="101"/>
      <c r="E485" s="101"/>
      <c r="F485" s="101"/>
      <c r="G485" s="101"/>
      <c r="H485" s="101"/>
      <c r="I485" s="106"/>
      <c r="J485" s="106"/>
      <c r="K485" s="106"/>
      <c r="L485" s="106"/>
      <c r="M485" s="106"/>
      <c r="N485" s="103" t="str">
        <f aca="false">IF(OR($B485="", $I485="", $J485="", $K485="", $L485="", $M485=""),"",ROUND(($I485*Lists!$AD$2)+($J485*Lists!$AD$3)+($K485*Lists!$AD$4)+($L485*Lists!$AD$5)+($M485*Lists!$AD$6),2))</f>
        <v/>
      </c>
      <c r="O485" s="103" t="str">
        <f aca="false">IF($A485="","",IFERROR(VLOOKUP($A485,'Risk Register'!$B$2:$I$1000,8,FALSE()),""))</f>
        <v/>
      </c>
      <c r="P485" s="106"/>
      <c r="Q485" s="106"/>
      <c r="R485" s="106"/>
      <c r="S485" s="106"/>
      <c r="T485" s="103" t="str">
        <f aca="false">IF(OR($B485="", $P485="", $Q485="", $R485="", $S485=""),"",ROUND(($P485*Lists!$AD$7)+($Q485*Lists!$AD$8)+($R485*Lists!$AD$9)+($S485*Lists!$AD$10),2))</f>
        <v/>
      </c>
      <c r="U485" s="106"/>
      <c r="V485" s="106"/>
      <c r="W485" s="106"/>
      <c r="X485" s="106"/>
      <c r="Y485" s="106"/>
      <c r="Z485" s="103" t="str">
        <f aca="false">IF(OR($B485="", $U485="", $V485="", $W485="", $X485="", $Y485=""),"",ROUND(($U485*Lists!$AD$11)+($V485*Lists!$AD$12)+($W485*Lists!$AD$13)+($X485*Lists!$AD$14)+($Y485*Lists!$AD$15),2))</f>
        <v/>
      </c>
      <c r="AA485" s="103" t="str">
        <f aca="false">IF(OR($B485="", $N485="", $O485="", $T485="", $Z485=""),"",ROUND(($N485*Lists!$AD$16)-($O485*Lists!$AD$17)-($T485*Lists!$AD$18)+($Z485*Lists!$AD$19),2))</f>
        <v/>
      </c>
      <c r="AB485" s="102" t="str">
        <f aca="false">IF(OR($B485="", $N485="", $Z485=""),"",IF($N485&gt;=Lists!$AG$2,IF($Z485&gt;=Lists!$AG$3,"Invest","Migrate"),IF($Z485&gt;=Lists!$AG$3,"Tolerate","Eliminate")))</f>
        <v/>
      </c>
      <c r="AC485" s="102" t="str">
        <f aca="false">IF($B485="","",IF($J485&gt;=4,"Yes",""))</f>
        <v/>
      </c>
      <c r="AD485" s="102" t="str">
        <f aca="false">IF($A485="","",IFERROR(IF(VLOOKUP($A485,'Risk Register'!$B$2:$H$1000,4,FALSE())&gt;=4,"Yes",""),""))</f>
        <v/>
      </c>
      <c r="AE485" s="102" t="str">
        <f aca="false">IF(OR($N485="", $O485=""),"",IF($N485&gt;=Lists!$AG$2,IF($O485&gt;=Lists!$AG$4,"High Value / High Risk","High Value / Low Risk"),IF($O485&gt;=Lists!$AG$4,"Low Value / High Risk","Low Value / Low Risk")))</f>
        <v/>
      </c>
      <c r="AF485" s="101"/>
      <c r="AG485" s="126"/>
      <c r="AH485" s="106" t="str">
        <f aca="false">IF($B485="","",COUNTIFS('Debt Backlog'!$AF$2:$AF$1000,$A485,'Debt Backlog'!$B$2:$B$1000,"&lt;&gt;",'Debt Backlog'!$N$2:$N$1000,"&lt;&gt;Done",'Debt Backlog'!$N$2:$N$1000,"&lt;&gt;Won't Fix",'Debt Backlog'!$N$2:$N$1000,"&lt;&gt;Duplicate"))</f>
        <v/>
      </c>
      <c r="AI485" s="103" t="str">
        <f aca="false">IF($B485="","",ROUND(SUMIFS('Debt Backlog'!$L$2:$L$1000,'Debt Backlog'!$AF$2:$AF$1000,$A485,'Debt Backlog'!$B$2:$B$1000,"&lt;&gt;",'Debt Backlog'!$N$2:$N$1000,"&lt;&gt;Done",'Debt Backlog'!$N$2:$N$1000,"&lt;&gt;Won't Fix",'Debt Backlog'!$N$2:$N$1000,"&lt;&gt;Duplicate"),2))</f>
        <v/>
      </c>
    </row>
    <row r="486" customFormat="false" ht="15.75" hidden="false" customHeight="true" outlineLevel="0" collapsed="false">
      <c r="A486" s="125"/>
      <c r="B486" s="101"/>
      <c r="C486" s="101"/>
      <c r="D486" s="101"/>
      <c r="E486" s="101"/>
      <c r="F486" s="101"/>
      <c r="G486" s="101"/>
      <c r="H486" s="101"/>
      <c r="I486" s="106"/>
      <c r="J486" s="106"/>
      <c r="K486" s="106"/>
      <c r="L486" s="106"/>
      <c r="M486" s="106"/>
      <c r="N486" s="103" t="str">
        <f aca="false">IF(OR($B486="", $I486="", $J486="", $K486="", $L486="", $M486=""),"",ROUND(($I486*Lists!$AD$2)+($J486*Lists!$AD$3)+($K486*Lists!$AD$4)+($L486*Lists!$AD$5)+($M486*Lists!$AD$6),2))</f>
        <v/>
      </c>
      <c r="O486" s="103" t="str">
        <f aca="false">IF($A486="","",IFERROR(VLOOKUP($A486,'Risk Register'!$B$2:$I$1000,8,FALSE()),""))</f>
        <v/>
      </c>
      <c r="P486" s="106"/>
      <c r="Q486" s="106"/>
      <c r="R486" s="106"/>
      <c r="S486" s="106"/>
      <c r="T486" s="103" t="str">
        <f aca="false">IF(OR($B486="", $P486="", $Q486="", $R486="", $S486=""),"",ROUND(($P486*Lists!$AD$7)+($Q486*Lists!$AD$8)+($R486*Lists!$AD$9)+($S486*Lists!$AD$10),2))</f>
        <v/>
      </c>
      <c r="U486" s="106"/>
      <c r="V486" s="106"/>
      <c r="W486" s="106"/>
      <c r="X486" s="106"/>
      <c r="Y486" s="106"/>
      <c r="Z486" s="103" t="str">
        <f aca="false">IF(OR($B486="", $U486="", $V486="", $W486="", $X486="", $Y486=""),"",ROUND(($U486*Lists!$AD$11)+($V486*Lists!$AD$12)+($W486*Lists!$AD$13)+($X486*Lists!$AD$14)+($Y486*Lists!$AD$15),2))</f>
        <v/>
      </c>
      <c r="AA486" s="103" t="str">
        <f aca="false">IF(OR($B486="", $N486="", $O486="", $T486="", $Z486=""),"",ROUND(($N486*Lists!$AD$16)-($O486*Lists!$AD$17)-($T486*Lists!$AD$18)+($Z486*Lists!$AD$19),2))</f>
        <v/>
      </c>
      <c r="AB486" s="102" t="str">
        <f aca="false">IF(OR($B486="", $N486="", $Z486=""),"",IF($N486&gt;=Lists!$AG$2,IF($Z486&gt;=Lists!$AG$3,"Invest","Migrate"),IF($Z486&gt;=Lists!$AG$3,"Tolerate","Eliminate")))</f>
        <v/>
      </c>
      <c r="AC486" s="102" t="str">
        <f aca="false">IF($B486="","",IF($J486&gt;=4,"Yes",""))</f>
        <v/>
      </c>
      <c r="AD486" s="102" t="str">
        <f aca="false">IF($A486="","",IFERROR(IF(VLOOKUP($A486,'Risk Register'!$B$2:$H$1000,4,FALSE())&gt;=4,"Yes",""),""))</f>
        <v/>
      </c>
      <c r="AE486" s="102" t="str">
        <f aca="false">IF(OR($N486="", $O486=""),"",IF($N486&gt;=Lists!$AG$2,IF($O486&gt;=Lists!$AG$4,"High Value / High Risk","High Value / Low Risk"),IF($O486&gt;=Lists!$AG$4,"Low Value / High Risk","Low Value / Low Risk")))</f>
        <v/>
      </c>
      <c r="AF486" s="101"/>
      <c r="AG486" s="126"/>
      <c r="AH486" s="106" t="str">
        <f aca="false">IF($B486="","",COUNTIFS('Debt Backlog'!$AF$2:$AF$1000,$A486,'Debt Backlog'!$B$2:$B$1000,"&lt;&gt;",'Debt Backlog'!$N$2:$N$1000,"&lt;&gt;Done",'Debt Backlog'!$N$2:$N$1000,"&lt;&gt;Won't Fix",'Debt Backlog'!$N$2:$N$1000,"&lt;&gt;Duplicate"))</f>
        <v/>
      </c>
      <c r="AI486" s="103" t="str">
        <f aca="false">IF($B486="","",ROUND(SUMIFS('Debt Backlog'!$L$2:$L$1000,'Debt Backlog'!$AF$2:$AF$1000,$A486,'Debt Backlog'!$B$2:$B$1000,"&lt;&gt;",'Debt Backlog'!$N$2:$N$1000,"&lt;&gt;Done",'Debt Backlog'!$N$2:$N$1000,"&lt;&gt;Won't Fix",'Debt Backlog'!$N$2:$N$1000,"&lt;&gt;Duplicate"),2))</f>
        <v/>
      </c>
    </row>
    <row r="487" customFormat="false" ht="15.75" hidden="false" customHeight="true" outlineLevel="0" collapsed="false">
      <c r="A487" s="125"/>
      <c r="B487" s="101"/>
      <c r="C487" s="101"/>
      <c r="D487" s="101"/>
      <c r="E487" s="101"/>
      <c r="F487" s="101"/>
      <c r="G487" s="101"/>
      <c r="H487" s="101"/>
      <c r="I487" s="106"/>
      <c r="J487" s="106"/>
      <c r="K487" s="106"/>
      <c r="L487" s="106"/>
      <c r="M487" s="106"/>
      <c r="N487" s="103" t="str">
        <f aca="false">IF(OR($B487="", $I487="", $J487="", $K487="", $L487="", $M487=""),"",ROUND(($I487*Lists!$AD$2)+($J487*Lists!$AD$3)+($K487*Lists!$AD$4)+($L487*Lists!$AD$5)+($M487*Lists!$AD$6),2))</f>
        <v/>
      </c>
      <c r="O487" s="103" t="str">
        <f aca="false">IF($A487="","",IFERROR(VLOOKUP($A487,'Risk Register'!$B$2:$I$1000,8,FALSE()),""))</f>
        <v/>
      </c>
      <c r="P487" s="106"/>
      <c r="Q487" s="106"/>
      <c r="R487" s="106"/>
      <c r="S487" s="106"/>
      <c r="T487" s="103" t="str">
        <f aca="false">IF(OR($B487="", $P487="", $Q487="", $R487="", $S487=""),"",ROUND(($P487*Lists!$AD$7)+($Q487*Lists!$AD$8)+($R487*Lists!$AD$9)+($S487*Lists!$AD$10),2))</f>
        <v/>
      </c>
      <c r="U487" s="106"/>
      <c r="V487" s="106"/>
      <c r="W487" s="106"/>
      <c r="X487" s="106"/>
      <c r="Y487" s="106"/>
      <c r="Z487" s="103" t="str">
        <f aca="false">IF(OR($B487="", $U487="", $V487="", $W487="", $X487="", $Y487=""),"",ROUND(($U487*Lists!$AD$11)+($V487*Lists!$AD$12)+($W487*Lists!$AD$13)+($X487*Lists!$AD$14)+($Y487*Lists!$AD$15),2))</f>
        <v/>
      </c>
      <c r="AA487" s="103" t="str">
        <f aca="false">IF(OR($B487="", $N487="", $O487="", $T487="", $Z487=""),"",ROUND(($N487*Lists!$AD$16)-($O487*Lists!$AD$17)-($T487*Lists!$AD$18)+($Z487*Lists!$AD$19),2))</f>
        <v/>
      </c>
      <c r="AB487" s="102" t="str">
        <f aca="false">IF(OR($B487="", $N487="", $Z487=""),"",IF($N487&gt;=Lists!$AG$2,IF($Z487&gt;=Lists!$AG$3,"Invest","Migrate"),IF($Z487&gt;=Lists!$AG$3,"Tolerate","Eliminate")))</f>
        <v/>
      </c>
      <c r="AC487" s="102" t="str">
        <f aca="false">IF($B487="","",IF($J487&gt;=4,"Yes",""))</f>
        <v/>
      </c>
      <c r="AD487" s="102" t="str">
        <f aca="false">IF($A487="","",IFERROR(IF(VLOOKUP($A487,'Risk Register'!$B$2:$H$1000,4,FALSE())&gt;=4,"Yes",""),""))</f>
        <v/>
      </c>
      <c r="AE487" s="102" t="str">
        <f aca="false">IF(OR($N487="", $O487=""),"",IF($N487&gt;=Lists!$AG$2,IF($O487&gt;=Lists!$AG$4,"High Value / High Risk","High Value / Low Risk"),IF($O487&gt;=Lists!$AG$4,"Low Value / High Risk","Low Value / Low Risk")))</f>
        <v/>
      </c>
      <c r="AF487" s="101"/>
      <c r="AG487" s="126"/>
      <c r="AH487" s="106" t="str">
        <f aca="false">IF($B487="","",COUNTIFS('Debt Backlog'!$AF$2:$AF$1000,$A487,'Debt Backlog'!$B$2:$B$1000,"&lt;&gt;",'Debt Backlog'!$N$2:$N$1000,"&lt;&gt;Done",'Debt Backlog'!$N$2:$N$1000,"&lt;&gt;Won't Fix",'Debt Backlog'!$N$2:$N$1000,"&lt;&gt;Duplicate"))</f>
        <v/>
      </c>
      <c r="AI487" s="103" t="str">
        <f aca="false">IF($B487="","",ROUND(SUMIFS('Debt Backlog'!$L$2:$L$1000,'Debt Backlog'!$AF$2:$AF$1000,$A487,'Debt Backlog'!$B$2:$B$1000,"&lt;&gt;",'Debt Backlog'!$N$2:$N$1000,"&lt;&gt;Done",'Debt Backlog'!$N$2:$N$1000,"&lt;&gt;Won't Fix",'Debt Backlog'!$N$2:$N$1000,"&lt;&gt;Duplicate"),2))</f>
        <v/>
      </c>
    </row>
    <row r="488" customFormat="false" ht="15.75" hidden="false" customHeight="true" outlineLevel="0" collapsed="false">
      <c r="A488" s="125"/>
      <c r="B488" s="101"/>
      <c r="C488" s="101"/>
      <c r="D488" s="101"/>
      <c r="E488" s="101"/>
      <c r="F488" s="101"/>
      <c r="G488" s="101"/>
      <c r="H488" s="101"/>
      <c r="I488" s="106"/>
      <c r="J488" s="106"/>
      <c r="K488" s="106"/>
      <c r="L488" s="106"/>
      <c r="M488" s="106"/>
      <c r="N488" s="103" t="str">
        <f aca="false">IF(OR($B488="", $I488="", $J488="", $K488="", $L488="", $M488=""),"",ROUND(($I488*Lists!$AD$2)+($J488*Lists!$AD$3)+($K488*Lists!$AD$4)+($L488*Lists!$AD$5)+($M488*Lists!$AD$6),2))</f>
        <v/>
      </c>
      <c r="O488" s="103" t="str">
        <f aca="false">IF($A488="","",IFERROR(VLOOKUP($A488,'Risk Register'!$B$2:$I$1000,8,FALSE()),""))</f>
        <v/>
      </c>
      <c r="P488" s="106"/>
      <c r="Q488" s="106"/>
      <c r="R488" s="106"/>
      <c r="S488" s="106"/>
      <c r="T488" s="103" t="str">
        <f aca="false">IF(OR($B488="", $P488="", $Q488="", $R488="", $S488=""),"",ROUND(($P488*Lists!$AD$7)+($Q488*Lists!$AD$8)+($R488*Lists!$AD$9)+($S488*Lists!$AD$10),2))</f>
        <v/>
      </c>
      <c r="U488" s="106"/>
      <c r="V488" s="106"/>
      <c r="W488" s="106"/>
      <c r="X488" s="106"/>
      <c r="Y488" s="106"/>
      <c r="Z488" s="103" t="str">
        <f aca="false">IF(OR($B488="", $U488="", $V488="", $W488="", $X488="", $Y488=""),"",ROUND(($U488*Lists!$AD$11)+($V488*Lists!$AD$12)+($W488*Lists!$AD$13)+($X488*Lists!$AD$14)+($Y488*Lists!$AD$15),2))</f>
        <v/>
      </c>
      <c r="AA488" s="103" t="str">
        <f aca="false">IF(OR($B488="", $N488="", $O488="", $T488="", $Z488=""),"",ROUND(($N488*Lists!$AD$16)-($O488*Lists!$AD$17)-($T488*Lists!$AD$18)+($Z488*Lists!$AD$19),2))</f>
        <v/>
      </c>
      <c r="AB488" s="102" t="str">
        <f aca="false">IF(OR($B488="", $N488="", $Z488=""),"",IF($N488&gt;=Lists!$AG$2,IF($Z488&gt;=Lists!$AG$3,"Invest","Migrate"),IF($Z488&gt;=Lists!$AG$3,"Tolerate","Eliminate")))</f>
        <v/>
      </c>
      <c r="AC488" s="102" t="str">
        <f aca="false">IF($B488="","",IF($J488&gt;=4,"Yes",""))</f>
        <v/>
      </c>
      <c r="AD488" s="102" t="str">
        <f aca="false">IF($A488="","",IFERROR(IF(VLOOKUP($A488,'Risk Register'!$B$2:$H$1000,4,FALSE())&gt;=4,"Yes",""),""))</f>
        <v/>
      </c>
      <c r="AE488" s="102" t="str">
        <f aca="false">IF(OR($N488="", $O488=""),"",IF($N488&gt;=Lists!$AG$2,IF($O488&gt;=Lists!$AG$4,"High Value / High Risk","High Value / Low Risk"),IF($O488&gt;=Lists!$AG$4,"Low Value / High Risk","Low Value / Low Risk")))</f>
        <v/>
      </c>
      <c r="AF488" s="101"/>
      <c r="AG488" s="126"/>
      <c r="AH488" s="106" t="str">
        <f aca="false">IF($B488="","",COUNTIFS('Debt Backlog'!$AF$2:$AF$1000,$A488,'Debt Backlog'!$B$2:$B$1000,"&lt;&gt;",'Debt Backlog'!$N$2:$N$1000,"&lt;&gt;Done",'Debt Backlog'!$N$2:$N$1000,"&lt;&gt;Won't Fix",'Debt Backlog'!$N$2:$N$1000,"&lt;&gt;Duplicate"))</f>
        <v/>
      </c>
      <c r="AI488" s="103" t="str">
        <f aca="false">IF($B488="","",ROUND(SUMIFS('Debt Backlog'!$L$2:$L$1000,'Debt Backlog'!$AF$2:$AF$1000,$A488,'Debt Backlog'!$B$2:$B$1000,"&lt;&gt;",'Debt Backlog'!$N$2:$N$1000,"&lt;&gt;Done",'Debt Backlog'!$N$2:$N$1000,"&lt;&gt;Won't Fix",'Debt Backlog'!$N$2:$N$1000,"&lt;&gt;Duplicate"),2))</f>
        <v/>
      </c>
    </row>
    <row r="489" customFormat="false" ht="15.75" hidden="false" customHeight="true" outlineLevel="0" collapsed="false">
      <c r="A489" s="125"/>
      <c r="B489" s="101"/>
      <c r="C489" s="101"/>
      <c r="D489" s="101"/>
      <c r="E489" s="101"/>
      <c r="F489" s="101"/>
      <c r="G489" s="101"/>
      <c r="H489" s="101"/>
      <c r="I489" s="106"/>
      <c r="J489" s="106"/>
      <c r="K489" s="106"/>
      <c r="L489" s="106"/>
      <c r="M489" s="106"/>
      <c r="N489" s="103" t="str">
        <f aca="false">IF(OR($B489="", $I489="", $J489="", $K489="", $L489="", $M489=""),"",ROUND(($I489*Lists!$AD$2)+($J489*Lists!$AD$3)+($K489*Lists!$AD$4)+($L489*Lists!$AD$5)+($M489*Lists!$AD$6),2))</f>
        <v/>
      </c>
      <c r="O489" s="103" t="str">
        <f aca="false">IF($A489="","",IFERROR(VLOOKUP($A489,'Risk Register'!$B$2:$I$1000,8,FALSE()),""))</f>
        <v/>
      </c>
      <c r="P489" s="106"/>
      <c r="Q489" s="106"/>
      <c r="R489" s="106"/>
      <c r="S489" s="106"/>
      <c r="T489" s="103" t="str">
        <f aca="false">IF(OR($B489="", $P489="", $Q489="", $R489="", $S489=""),"",ROUND(($P489*Lists!$AD$7)+($Q489*Lists!$AD$8)+($R489*Lists!$AD$9)+($S489*Lists!$AD$10),2))</f>
        <v/>
      </c>
      <c r="U489" s="106"/>
      <c r="V489" s="106"/>
      <c r="W489" s="106"/>
      <c r="X489" s="106"/>
      <c r="Y489" s="106"/>
      <c r="Z489" s="103" t="str">
        <f aca="false">IF(OR($B489="", $U489="", $V489="", $W489="", $X489="", $Y489=""),"",ROUND(($U489*Lists!$AD$11)+($V489*Lists!$AD$12)+($W489*Lists!$AD$13)+($X489*Lists!$AD$14)+($Y489*Lists!$AD$15),2))</f>
        <v/>
      </c>
      <c r="AA489" s="103" t="str">
        <f aca="false">IF(OR($B489="", $N489="", $O489="", $T489="", $Z489=""),"",ROUND(($N489*Lists!$AD$16)-($O489*Lists!$AD$17)-($T489*Lists!$AD$18)+($Z489*Lists!$AD$19),2))</f>
        <v/>
      </c>
      <c r="AB489" s="102" t="str">
        <f aca="false">IF(OR($B489="", $N489="", $Z489=""),"",IF($N489&gt;=Lists!$AG$2,IF($Z489&gt;=Lists!$AG$3,"Invest","Migrate"),IF($Z489&gt;=Lists!$AG$3,"Tolerate","Eliminate")))</f>
        <v/>
      </c>
      <c r="AC489" s="102" t="str">
        <f aca="false">IF($B489="","",IF($J489&gt;=4,"Yes",""))</f>
        <v/>
      </c>
      <c r="AD489" s="102" t="str">
        <f aca="false">IF($A489="","",IFERROR(IF(VLOOKUP($A489,'Risk Register'!$B$2:$H$1000,4,FALSE())&gt;=4,"Yes",""),""))</f>
        <v/>
      </c>
      <c r="AE489" s="102" t="str">
        <f aca="false">IF(OR($N489="", $O489=""),"",IF($N489&gt;=Lists!$AG$2,IF($O489&gt;=Lists!$AG$4,"High Value / High Risk","High Value / Low Risk"),IF($O489&gt;=Lists!$AG$4,"Low Value / High Risk","Low Value / Low Risk")))</f>
        <v/>
      </c>
      <c r="AF489" s="101"/>
      <c r="AG489" s="126"/>
      <c r="AH489" s="106" t="str">
        <f aca="false">IF($B489="","",COUNTIFS('Debt Backlog'!$AF$2:$AF$1000,$A489,'Debt Backlog'!$B$2:$B$1000,"&lt;&gt;",'Debt Backlog'!$N$2:$N$1000,"&lt;&gt;Done",'Debt Backlog'!$N$2:$N$1000,"&lt;&gt;Won't Fix",'Debt Backlog'!$N$2:$N$1000,"&lt;&gt;Duplicate"))</f>
        <v/>
      </c>
      <c r="AI489" s="103" t="str">
        <f aca="false">IF($B489="","",ROUND(SUMIFS('Debt Backlog'!$L$2:$L$1000,'Debt Backlog'!$AF$2:$AF$1000,$A489,'Debt Backlog'!$B$2:$B$1000,"&lt;&gt;",'Debt Backlog'!$N$2:$N$1000,"&lt;&gt;Done",'Debt Backlog'!$N$2:$N$1000,"&lt;&gt;Won't Fix",'Debt Backlog'!$N$2:$N$1000,"&lt;&gt;Duplicate"),2))</f>
        <v/>
      </c>
    </row>
    <row r="490" customFormat="false" ht="15.75" hidden="false" customHeight="true" outlineLevel="0" collapsed="false">
      <c r="A490" s="125"/>
      <c r="B490" s="101"/>
      <c r="C490" s="101"/>
      <c r="D490" s="101"/>
      <c r="E490" s="101"/>
      <c r="F490" s="101"/>
      <c r="G490" s="101"/>
      <c r="H490" s="101"/>
      <c r="I490" s="106"/>
      <c r="J490" s="106"/>
      <c r="K490" s="106"/>
      <c r="L490" s="106"/>
      <c r="M490" s="106"/>
      <c r="N490" s="103" t="str">
        <f aca="false">IF(OR($B490="", $I490="", $J490="", $K490="", $L490="", $M490=""),"",ROUND(($I490*Lists!$AD$2)+($J490*Lists!$AD$3)+($K490*Lists!$AD$4)+($L490*Lists!$AD$5)+($M490*Lists!$AD$6),2))</f>
        <v/>
      </c>
      <c r="O490" s="103" t="str">
        <f aca="false">IF($A490="","",IFERROR(VLOOKUP($A490,'Risk Register'!$B$2:$I$1000,8,FALSE()),""))</f>
        <v/>
      </c>
      <c r="P490" s="106"/>
      <c r="Q490" s="106"/>
      <c r="R490" s="106"/>
      <c r="S490" s="106"/>
      <c r="T490" s="103" t="str">
        <f aca="false">IF(OR($B490="", $P490="", $Q490="", $R490="", $S490=""),"",ROUND(($P490*Lists!$AD$7)+($Q490*Lists!$AD$8)+($R490*Lists!$AD$9)+($S490*Lists!$AD$10),2))</f>
        <v/>
      </c>
      <c r="U490" s="106"/>
      <c r="V490" s="106"/>
      <c r="W490" s="106"/>
      <c r="X490" s="106"/>
      <c r="Y490" s="106"/>
      <c r="Z490" s="103" t="str">
        <f aca="false">IF(OR($B490="", $U490="", $V490="", $W490="", $X490="", $Y490=""),"",ROUND(($U490*Lists!$AD$11)+($V490*Lists!$AD$12)+($W490*Lists!$AD$13)+($X490*Lists!$AD$14)+($Y490*Lists!$AD$15),2))</f>
        <v/>
      </c>
      <c r="AA490" s="103" t="str">
        <f aca="false">IF(OR($B490="", $N490="", $O490="", $T490="", $Z490=""),"",ROUND(($N490*Lists!$AD$16)-($O490*Lists!$AD$17)-($T490*Lists!$AD$18)+($Z490*Lists!$AD$19),2))</f>
        <v/>
      </c>
      <c r="AB490" s="102" t="str">
        <f aca="false">IF(OR($B490="", $N490="", $Z490=""),"",IF($N490&gt;=Lists!$AG$2,IF($Z490&gt;=Lists!$AG$3,"Invest","Migrate"),IF($Z490&gt;=Lists!$AG$3,"Tolerate","Eliminate")))</f>
        <v/>
      </c>
      <c r="AC490" s="102" t="str">
        <f aca="false">IF($B490="","",IF($J490&gt;=4,"Yes",""))</f>
        <v/>
      </c>
      <c r="AD490" s="102" t="str">
        <f aca="false">IF($A490="","",IFERROR(IF(VLOOKUP($A490,'Risk Register'!$B$2:$H$1000,4,FALSE())&gt;=4,"Yes",""),""))</f>
        <v/>
      </c>
      <c r="AE490" s="102" t="str">
        <f aca="false">IF(OR($N490="", $O490=""),"",IF($N490&gt;=Lists!$AG$2,IF($O490&gt;=Lists!$AG$4,"High Value / High Risk","High Value / Low Risk"),IF($O490&gt;=Lists!$AG$4,"Low Value / High Risk","Low Value / Low Risk")))</f>
        <v/>
      </c>
      <c r="AF490" s="101"/>
      <c r="AG490" s="126"/>
      <c r="AH490" s="106" t="str">
        <f aca="false">IF($B490="","",COUNTIFS('Debt Backlog'!$AF$2:$AF$1000,$A490,'Debt Backlog'!$B$2:$B$1000,"&lt;&gt;",'Debt Backlog'!$N$2:$N$1000,"&lt;&gt;Done",'Debt Backlog'!$N$2:$N$1000,"&lt;&gt;Won't Fix",'Debt Backlog'!$N$2:$N$1000,"&lt;&gt;Duplicate"))</f>
        <v/>
      </c>
      <c r="AI490" s="103" t="str">
        <f aca="false">IF($B490="","",ROUND(SUMIFS('Debt Backlog'!$L$2:$L$1000,'Debt Backlog'!$AF$2:$AF$1000,$A490,'Debt Backlog'!$B$2:$B$1000,"&lt;&gt;",'Debt Backlog'!$N$2:$N$1000,"&lt;&gt;Done",'Debt Backlog'!$N$2:$N$1000,"&lt;&gt;Won't Fix",'Debt Backlog'!$N$2:$N$1000,"&lt;&gt;Duplicate"),2))</f>
        <v/>
      </c>
    </row>
    <row r="491" customFormat="false" ht="15.75" hidden="false" customHeight="true" outlineLevel="0" collapsed="false">
      <c r="A491" s="125"/>
      <c r="B491" s="101"/>
      <c r="C491" s="101"/>
      <c r="D491" s="101"/>
      <c r="E491" s="101"/>
      <c r="F491" s="101"/>
      <c r="G491" s="101"/>
      <c r="H491" s="101"/>
      <c r="I491" s="106"/>
      <c r="J491" s="106"/>
      <c r="K491" s="106"/>
      <c r="L491" s="106"/>
      <c r="M491" s="106"/>
      <c r="N491" s="103" t="str">
        <f aca="false">IF(OR($B491="", $I491="", $J491="", $K491="", $L491="", $M491=""),"",ROUND(($I491*Lists!$AD$2)+($J491*Lists!$AD$3)+($K491*Lists!$AD$4)+($L491*Lists!$AD$5)+($M491*Lists!$AD$6),2))</f>
        <v/>
      </c>
      <c r="O491" s="103" t="str">
        <f aca="false">IF($A491="","",IFERROR(VLOOKUP($A491,'Risk Register'!$B$2:$I$1000,8,FALSE()),""))</f>
        <v/>
      </c>
      <c r="P491" s="106"/>
      <c r="Q491" s="106"/>
      <c r="R491" s="106"/>
      <c r="S491" s="106"/>
      <c r="T491" s="103" t="str">
        <f aca="false">IF(OR($B491="", $P491="", $Q491="", $R491="", $S491=""),"",ROUND(($P491*Lists!$AD$7)+($Q491*Lists!$AD$8)+($R491*Lists!$AD$9)+($S491*Lists!$AD$10),2))</f>
        <v/>
      </c>
      <c r="U491" s="106"/>
      <c r="V491" s="106"/>
      <c r="W491" s="106"/>
      <c r="X491" s="106"/>
      <c r="Y491" s="106"/>
      <c r="Z491" s="103" t="str">
        <f aca="false">IF(OR($B491="", $U491="", $V491="", $W491="", $X491="", $Y491=""),"",ROUND(($U491*Lists!$AD$11)+($V491*Lists!$AD$12)+($W491*Lists!$AD$13)+($X491*Lists!$AD$14)+($Y491*Lists!$AD$15),2))</f>
        <v/>
      </c>
      <c r="AA491" s="103" t="str">
        <f aca="false">IF(OR($B491="", $N491="", $O491="", $T491="", $Z491=""),"",ROUND(($N491*Lists!$AD$16)-($O491*Lists!$AD$17)-($T491*Lists!$AD$18)+($Z491*Lists!$AD$19),2))</f>
        <v/>
      </c>
      <c r="AB491" s="102" t="str">
        <f aca="false">IF(OR($B491="", $N491="", $Z491=""),"",IF($N491&gt;=Lists!$AG$2,IF($Z491&gt;=Lists!$AG$3,"Invest","Migrate"),IF($Z491&gt;=Lists!$AG$3,"Tolerate","Eliminate")))</f>
        <v/>
      </c>
      <c r="AC491" s="102" t="str">
        <f aca="false">IF($B491="","",IF($J491&gt;=4,"Yes",""))</f>
        <v/>
      </c>
      <c r="AD491" s="102" t="str">
        <f aca="false">IF($A491="","",IFERROR(IF(VLOOKUP($A491,'Risk Register'!$B$2:$H$1000,4,FALSE())&gt;=4,"Yes",""),""))</f>
        <v/>
      </c>
      <c r="AE491" s="102" t="str">
        <f aca="false">IF(OR($N491="", $O491=""),"",IF($N491&gt;=Lists!$AG$2,IF($O491&gt;=Lists!$AG$4,"High Value / High Risk","High Value / Low Risk"),IF($O491&gt;=Lists!$AG$4,"Low Value / High Risk","Low Value / Low Risk")))</f>
        <v/>
      </c>
      <c r="AF491" s="101"/>
      <c r="AG491" s="126"/>
      <c r="AH491" s="106" t="str">
        <f aca="false">IF($B491="","",COUNTIFS('Debt Backlog'!$AF$2:$AF$1000,$A491,'Debt Backlog'!$B$2:$B$1000,"&lt;&gt;",'Debt Backlog'!$N$2:$N$1000,"&lt;&gt;Done",'Debt Backlog'!$N$2:$N$1000,"&lt;&gt;Won't Fix",'Debt Backlog'!$N$2:$N$1000,"&lt;&gt;Duplicate"))</f>
        <v/>
      </c>
      <c r="AI491" s="103" t="str">
        <f aca="false">IF($B491="","",ROUND(SUMIFS('Debt Backlog'!$L$2:$L$1000,'Debt Backlog'!$AF$2:$AF$1000,$A491,'Debt Backlog'!$B$2:$B$1000,"&lt;&gt;",'Debt Backlog'!$N$2:$N$1000,"&lt;&gt;Done",'Debt Backlog'!$N$2:$N$1000,"&lt;&gt;Won't Fix",'Debt Backlog'!$N$2:$N$1000,"&lt;&gt;Duplicate"),2))</f>
        <v/>
      </c>
    </row>
    <row r="492" customFormat="false" ht="15.75" hidden="false" customHeight="true" outlineLevel="0" collapsed="false">
      <c r="A492" s="125"/>
      <c r="B492" s="101"/>
      <c r="C492" s="101"/>
      <c r="D492" s="101"/>
      <c r="E492" s="101"/>
      <c r="F492" s="101"/>
      <c r="G492" s="101"/>
      <c r="H492" s="101"/>
      <c r="I492" s="106"/>
      <c r="J492" s="106"/>
      <c r="K492" s="106"/>
      <c r="L492" s="106"/>
      <c r="M492" s="106"/>
      <c r="N492" s="103" t="str">
        <f aca="false">IF(OR($B492="", $I492="", $J492="", $K492="", $L492="", $M492=""),"",ROUND(($I492*Lists!$AD$2)+($J492*Lists!$AD$3)+($K492*Lists!$AD$4)+($L492*Lists!$AD$5)+($M492*Lists!$AD$6),2))</f>
        <v/>
      </c>
      <c r="O492" s="103" t="str">
        <f aca="false">IF($A492="","",IFERROR(VLOOKUP($A492,'Risk Register'!$B$2:$I$1000,8,FALSE()),""))</f>
        <v/>
      </c>
      <c r="P492" s="106"/>
      <c r="Q492" s="106"/>
      <c r="R492" s="106"/>
      <c r="S492" s="106"/>
      <c r="T492" s="103" t="str">
        <f aca="false">IF(OR($B492="", $P492="", $Q492="", $R492="", $S492=""),"",ROUND(($P492*Lists!$AD$7)+($Q492*Lists!$AD$8)+($R492*Lists!$AD$9)+($S492*Lists!$AD$10),2))</f>
        <v/>
      </c>
      <c r="U492" s="106"/>
      <c r="V492" s="106"/>
      <c r="W492" s="106"/>
      <c r="X492" s="106"/>
      <c r="Y492" s="106"/>
      <c r="Z492" s="103" t="str">
        <f aca="false">IF(OR($B492="", $U492="", $V492="", $W492="", $X492="", $Y492=""),"",ROUND(($U492*Lists!$AD$11)+($V492*Lists!$AD$12)+($W492*Lists!$AD$13)+($X492*Lists!$AD$14)+($Y492*Lists!$AD$15),2))</f>
        <v/>
      </c>
      <c r="AA492" s="103" t="str">
        <f aca="false">IF(OR($B492="", $N492="", $O492="", $T492="", $Z492=""),"",ROUND(($N492*Lists!$AD$16)-($O492*Lists!$AD$17)-($T492*Lists!$AD$18)+($Z492*Lists!$AD$19),2))</f>
        <v/>
      </c>
      <c r="AB492" s="102" t="str">
        <f aca="false">IF(OR($B492="", $N492="", $Z492=""),"",IF($N492&gt;=Lists!$AG$2,IF($Z492&gt;=Lists!$AG$3,"Invest","Migrate"),IF($Z492&gt;=Lists!$AG$3,"Tolerate","Eliminate")))</f>
        <v/>
      </c>
      <c r="AC492" s="102" t="str">
        <f aca="false">IF($B492="","",IF($J492&gt;=4,"Yes",""))</f>
        <v/>
      </c>
      <c r="AD492" s="102" t="str">
        <f aca="false">IF($A492="","",IFERROR(IF(VLOOKUP($A492,'Risk Register'!$B$2:$H$1000,4,FALSE())&gt;=4,"Yes",""),""))</f>
        <v/>
      </c>
      <c r="AE492" s="102" t="str">
        <f aca="false">IF(OR($N492="", $O492=""),"",IF($N492&gt;=Lists!$AG$2,IF($O492&gt;=Lists!$AG$4,"High Value / High Risk","High Value / Low Risk"),IF($O492&gt;=Lists!$AG$4,"Low Value / High Risk","Low Value / Low Risk")))</f>
        <v/>
      </c>
      <c r="AF492" s="101"/>
      <c r="AG492" s="126"/>
      <c r="AH492" s="106" t="str">
        <f aca="false">IF($B492="","",COUNTIFS('Debt Backlog'!$AF$2:$AF$1000,$A492,'Debt Backlog'!$B$2:$B$1000,"&lt;&gt;",'Debt Backlog'!$N$2:$N$1000,"&lt;&gt;Done",'Debt Backlog'!$N$2:$N$1000,"&lt;&gt;Won't Fix",'Debt Backlog'!$N$2:$N$1000,"&lt;&gt;Duplicate"))</f>
        <v/>
      </c>
      <c r="AI492" s="103" t="str">
        <f aca="false">IF($B492="","",ROUND(SUMIFS('Debt Backlog'!$L$2:$L$1000,'Debt Backlog'!$AF$2:$AF$1000,$A492,'Debt Backlog'!$B$2:$B$1000,"&lt;&gt;",'Debt Backlog'!$N$2:$N$1000,"&lt;&gt;Done",'Debt Backlog'!$N$2:$N$1000,"&lt;&gt;Won't Fix",'Debt Backlog'!$N$2:$N$1000,"&lt;&gt;Duplicate"),2))</f>
        <v/>
      </c>
    </row>
    <row r="493" customFormat="false" ht="15.75" hidden="false" customHeight="true" outlineLevel="0" collapsed="false">
      <c r="A493" s="125"/>
      <c r="B493" s="101"/>
      <c r="C493" s="101"/>
      <c r="D493" s="101"/>
      <c r="E493" s="101"/>
      <c r="F493" s="101"/>
      <c r="G493" s="101"/>
      <c r="H493" s="101"/>
      <c r="I493" s="106"/>
      <c r="J493" s="106"/>
      <c r="K493" s="106"/>
      <c r="L493" s="106"/>
      <c r="M493" s="106"/>
      <c r="N493" s="103" t="str">
        <f aca="false">IF(OR($B493="", $I493="", $J493="", $K493="", $L493="", $M493=""),"",ROUND(($I493*Lists!$AD$2)+($J493*Lists!$AD$3)+($K493*Lists!$AD$4)+($L493*Lists!$AD$5)+($M493*Lists!$AD$6),2))</f>
        <v/>
      </c>
      <c r="O493" s="103" t="str">
        <f aca="false">IF($A493="","",IFERROR(VLOOKUP($A493,'Risk Register'!$B$2:$I$1000,8,FALSE()),""))</f>
        <v/>
      </c>
      <c r="P493" s="106"/>
      <c r="Q493" s="106"/>
      <c r="R493" s="106"/>
      <c r="S493" s="106"/>
      <c r="T493" s="103" t="str">
        <f aca="false">IF(OR($B493="", $P493="", $Q493="", $R493="", $S493=""),"",ROUND(($P493*Lists!$AD$7)+($Q493*Lists!$AD$8)+($R493*Lists!$AD$9)+($S493*Lists!$AD$10),2))</f>
        <v/>
      </c>
      <c r="U493" s="106"/>
      <c r="V493" s="106"/>
      <c r="W493" s="106"/>
      <c r="X493" s="106"/>
      <c r="Y493" s="106"/>
      <c r="Z493" s="103" t="str">
        <f aca="false">IF(OR($B493="", $U493="", $V493="", $W493="", $X493="", $Y493=""),"",ROUND(($U493*Lists!$AD$11)+($V493*Lists!$AD$12)+($W493*Lists!$AD$13)+($X493*Lists!$AD$14)+($Y493*Lists!$AD$15),2))</f>
        <v/>
      </c>
      <c r="AA493" s="103" t="str">
        <f aca="false">IF(OR($B493="", $N493="", $O493="", $T493="", $Z493=""),"",ROUND(($N493*Lists!$AD$16)-($O493*Lists!$AD$17)-($T493*Lists!$AD$18)+($Z493*Lists!$AD$19),2))</f>
        <v/>
      </c>
      <c r="AB493" s="102" t="str">
        <f aca="false">IF(OR($B493="", $N493="", $Z493=""),"",IF($N493&gt;=Lists!$AG$2,IF($Z493&gt;=Lists!$AG$3,"Invest","Migrate"),IF($Z493&gt;=Lists!$AG$3,"Tolerate","Eliminate")))</f>
        <v/>
      </c>
      <c r="AC493" s="102" t="str">
        <f aca="false">IF($B493="","",IF($J493&gt;=4,"Yes",""))</f>
        <v/>
      </c>
      <c r="AD493" s="102" t="str">
        <f aca="false">IF($A493="","",IFERROR(IF(VLOOKUP($A493,'Risk Register'!$B$2:$H$1000,4,FALSE())&gt;=4,"Yes",""),""))</f>
        <v/>
      </c>
      <c r="AE493" s="102" t="str">
        <f aca="false">IF(OR($N493="", $O493=""),"",IF($N493&gt;=Lists!$AG$2,IF($O493&gt;=Lists!$AG$4,"High Value / High Risk","High Value / Low Risk"),IF($O493&gt;=Lists!$AG$4,"Low Value / High Risk","Low Value / Low Risk")))</f>
        <v/>
      </c>
      <c r="AF493" s="101"/>
      <c r="AG493" s="126"/>
      <c r="AH493" s="106" t="str">
        <f aca="false">IF($B493="","",COUNTIFS('Debt Backlog'!$AF$2:$AF$1000,$A493,'Debt Backlog'!$B$2:$B$1000,"&lt;&gt;",'Debt Backlog'!$N$2:$N$1000,"&lt;&gt;Done",'Debt Backlog'!$N$2:$N$1000,"&lt;&gt;Won't Fix",'Debt Backlog'!$N$2:$N$1000,"&lt;&gt;Duplicate"))</f>
        <v/>
      </c>
      <c r="AI493" s="103" t="str">
        <f aca="false">IF($B493="","",ROUND(SUMIFS('Debt Backlog'!$L$2:$L$1000,'Debt Backlog'!$AF$2:$AF$1000,$A493,'Debt Backlog'!$B$2:$B$1000,"&lt;&gt;",'Debt Backlog'!$N$2:$N$1000,"&lt;&gt;Done",'Debt Backlog'!$N$2:$N$1000,"&lt;&gt;Won't Fix",'Debt Backlog'!$N$2:$N$1000,"&lt;&gt;Duplicate"),2))</f>
        <v/>
      </c>
    </row>
    <row r="494" customFormat="false" ht="15.75" hidden="false" customHeight="true" outlineLevel="0" collapsed="false">
      <c r="A494" s="125"/>
      <c r="B494" s="101"/>
      <c r="C494" s="101"/>
      <c r="D494" s="101"/>
      <c r="E494" s="101"/>
      <c r="F494" s="101"/>
      <c r="G494" s="101"/>
      <c r="H494" s="101"/>
      <c r="I494" s="106"/>
      <c r="J494" s="106"/>
      <c r="K494" s="106"/>
      <c r="L494" s="106"/>
      <c r="M494" s="106"/>
      <c r="N494" s="103" t="str">
        <f aca="false">IF(OR($B494="", $I494="", $J494="", $K494="", $L494="", $M494=""),"",ROUND(($I494*Lists!$AD$2)+($J494*Lists!$AD$3)+($K494*Lists!$AD$4)+($L494*Lists!$AD$5)+($M494*Lists!$AD$6),2))</f>
        <v/>
      </c>
      <c r="O494" s="103" t="str">
        <f aca="false">IF($A494="","",IFERROR(VLOOKUP($A494,'Risk Register'!$B$2:$I$1000,8,FALSE()),""))</f>
        <v/>
      </c>
      <c r="P494" s="106"/>
      <c r="Q494" s="106"/>
      <c r="R494" s="106"/>
      <c r="S494" s="106"/>
      <c r="T494" s="103" t="str">
        <f aca="false">IF(OR($B494="", $P494="", $Q494="", $R494="", $S494=""),"",ROUND(($P494*Lists!$AD$7)+($Q494*Lists!$AD$8)+($R494*Lists!$AD$9)+($S494*Lists!$AD$10),2))</f>
        <v/>
      </c>
      <c r="U494" s="106"/>
      <c r="V494" s="106"/>
      <c r="W494" s="106"/>
      <c r="X494" s="106"/>
      <c r="Y494" s="106"/>
      <c r="Z494" s="103" t="str">
        <f aca="false">IF(OR($B494="", $U494="", $V494="", $W494="", $X494="", $Y494=""),"",ROUND(($U494*Lists!$AD$11)+($V494*Lists!$AD$12)+($W494*Lists!$AD$13)+($X494*Lists!$AD$14)+($Y494*Lists!$AD$15),2))</f>
        <v/>
      </c>
      <c r="AA494" s="103" t="str">
        <f aca="false">IF(OR($B494="", $N494="", $O494="", $T494="", $Z494=""),"",ROUND(($N494*Lists!$AD$16)-($O494*Lists!$AD$17)-($T494*Lists!$AD$18)+($Z494*Lists!$AD$19),2))</f>
        <v/>
      </c>
      <c r="AB494" s="102" t="str">
        <f aca="false">IF(OR($B494="", $N494="", $Z494=""),"",IF($N494&gt;=Lists!$AG$2,IF($Z494&gt;=Lists!$AG$3,"Invest","Migrate"),IF($Z494&gt;=Lists!$AG$3,"Tolerate","Eliminate")))</f>
        <v/>
      </c>
      <c r="AC494" s="102" t="str">
        <f aca="false">IF($B494="","",IF($J494&gt;=4,"Yes",""))</f>
        <v/>
      </c>
      <c r="AD494" s="102" t="str">
        <f aca="false">IF($A494="","",IFERROR(IF(VLOOKUP($A494,'Risk Register'!$B$2:$H$1000,4,FALSE())&gt;=4,"Yes",""),""))</f>
        <v/>
      </c>
      <c r="AE494" s="102" t="str">
        <f aca="false">IF(OR($N494="", $O494=""),"",IF($N494&gt;=Lists!$AG$2,IF($O494&gt;=Lists!$AG$4,"High Value / High Risk","High Value / Low Risk"),IF($O494&gt;=Lists!$AG$4,"Low Value / High Risk","Low Value / Low Risk")))</f>
        <v/>
      </c>
      <c r="AF494" s="101"/>
      <c r="AG494" s="126"/>
      <c r="AH494" s="106" t="str">
        <f aca="false">IF($B494="","",COUNTIFS('Debt Backlog'!$AF$2:$AF$1000,$A494,'Debt Backlog'!$B$2:$B$1000,"&lt;&gt;",'Debt Backlog'!$N$2:$N$1000,"&lt;&gt;Done",'Debt Backlog'!$N$2:$N$1000,"&lt;&gt;Won't Fix",'Debt Backlog'!$N$2:$N$1000,"&lt;&gt;Duplicate"))</f>
        <v/>
      </c>
      <c r="AI494" s="103" t="str">
        <f aca="false">IF($B494="","",ROUND(SUMIFS('Debt Backlog'!$L$2:$L$1000,'Debt Backlog'!$AF$2:$AF$1000,$A494,'Debt Backlog'!$B$2:$B$1000,"&lt;&gt;",'Debt Backlog'!$N$2:$N$1000,"&lt;&gt;Done",'Debt Backlog'!$N$2:$N$1000,"&lt;&gt;Won't Fix",'Debt Backlog'!$N$2:$N$1000,"&lt;&gt;Duplicate"),2))</f>
        <v/>
      </c>
    </row>
    <row r="495" customFormat="false" ht="15.75" hidden="false" customHeight="true" outlineLevel="0" collapsed="false">
      <c r="A495" s="125"/>
      <c r="B495" s="101"/>
      <c r="C495" s="101"/>
      <c r="D495" s="101"/>
      <c r="E495" s="101"/>
      <c r="F495" s="101"/>
      <c r="G495" s="101"/>
      <c r="H495" s="101"/>
      <c r="I495" s="106"/>
      <c r="J495" s="106"/>
      <c r="K495" s="106"/>
      <c r="L495" s="106"/>
      <c r="M495" s="106"/>
      <c r="N495" s="103" t="str">
        <f aca="false">IF(OR($B495="", $I495="", $J495="", $K495="", $L495="", $M495=""),"",ROUND(($I495*Lists!$AD$2)+($J495*Lists!$AD$3)+($K495*Lists!$AD$4)+($L495*Lists!$AD$5)+($M495*Lists!$AD$6),2))</f>
        <v/>
      </c>
      <c r="O495" s="103" t="str">
        <f aca="false">IF($A495="","",IFERROR(VLOOKUP($A495,'Risk Register'!$B$2:$I$1000,8,FALSE()),""))</f>
        <v/>
      </c>
      <c r="P495" s="106"/>
      <c r="Q495" s="106"/>
      <c r="R495" s="106"/>
      <c r="S495" s="106"/>
      <c r="T495" s="103" t="str">
        <f aca="false">IF(OR($B495="", $P495="", $Q495="", $R495="", $S495=""),"",ROUND(($P495*Lists!$AD$7)+($Q495*Lists!$AD$8)+($R495*Lists!$AD$9)+($S495*Lists!$AD$10),2))</f>
        <v/>
      </c>
      <c r="U495" s="106"/>
      <c r="V495" s="106"/>
      <c r="W495" s="106"/>
      <c r="X495" s="106"/>
      <c r="Y495" s="106"/>
      <c r="Z495" s="103" t="str">
        <f aca="false">IF(OR($B495="", $U495="", $V495="", $W495="", $X495="", $Y495=""),"",ROUND(($U495*Lists!$AD$11)+($V495*Lists!$AD$12)+($W495*Lists!$AD$13)+($X495*Lists!$AD$14)+($Y495*Lists!$AD$15),2))</f>
        <v/>
      </c>
      <c r="AA495" s="103" t="str">
        <f aca="false">IF(OR($B495="", $N495="", $O495="", $T495="", $Z495=""),"",ROUND(($N495*Lists!$AD$16)-($O495*Lists!$AD$17)-($T495*Lists!$AD$18)+($Z495*Lists!$AD$19),2))</f>
        <v/>
      </c>
      <c r="AB495" s="102" t="str">
        <f aca="false">IF(OR($B495="", $N495="", $Z495=""),"",IF($N495&gt;=Lists!$AG$2,IF($Z495&gt;=Lists!$AG$3,"Invest","Migrate"),IF($Z495&gt;=Lists!$AG$3,"Tolerate","Eliminate")))</f>
        <v/>
      </c>
      <c r="AC495" s="102" t="str">
        <f aca="false">IF($B495="","",IF($J495&gt;=4,"Yes",""))</f>
        <v/>
      </c>
      <c r="AD495" s="102" t="str">
        <f aca="false">IF($A495="","",IFERROR(IF(VLOOKUP($A495,'Risk Register'!$B$2:$H$1000,4,FALSE())&gt;=4,"Yes",""),""))</f>
        <v/>
      </c>
      <c r="AE495" s="102" t="str">
        <f aca="false">IF(OR($N495="", $O495=""),"",IF($N495&gt;=Lists!$AG$2,IF($O495&gt;=Lists!$AG$4,"High Value / High Risk","High Value / Low Risk"),IF($O495&gt;=Lists!$AG$4,"Low Value / High Risk","Low Value / Low Risk")))</f>
        <v/>
      </c>
      <c r="AF495" s="101"/>
      <c r="AG495" s="126"/>
      <c r="AH495" s="106" t="str">
        <f aca="false">IF($B495="","",COUNTIFS('Debt Backlog'!$AF$2:$AF$1000,$A495,'Debt Backlog'!$B$2:$B$1000,"&lt;&gt;",'Debt Backlog'!$N$2:$N$1000,"&lt;&gt;Done",'Debt Backlog'!$N$2:$N$1000,"&lt;&gt;Won't Fix",'Debt Backlog'!$N$2:$N$1000,"&lt;&gt;Duplicate"))</f>
        <v/>
      </c>
      <c r="AI495" s="103" t="str">
        <f aca="false">IF($B495="","",ROUND(SUMIFS('Debt Backlog'!$L$2:$L$1000,'Debt Backlog'!$AF$2:$AF$1000,$A495,'Debt Backlog'!$B$2:$B$1000,"&lt;&gt;",'Debt Backlog'!$N$2:$N$1000,"&lt;&gt;Done",'Debt Backlog'!$N$2:$N$1000,"&lt;&gt;Won't Fix",'Debt Backlog'!$N$2:$N$1000,"&lt;&gt;Duplicate"),2))</f>
        <v/>
      </c>
    </row>
    <row r="496" customFormat="false" ht="15.75" hidden="false" customHeight="true" outlineLevel="0" collapsed="false">
      <c r="A496" s="125"/>
      <c r="B496" s="101"/>
      <c r="C496" s="101"/>
      <c r="D496" s="101"/>
      <c r="E496" s="101"/>
      <c r="F496" s="101"/>
      <c r="G496" s="101"/>
      <c r="H496" s="101"/>
      <c r="I496" s="106"/>
      <c r="J496" s="106"/>
      <c r="K496" s="106"/>
      <c r="L496" s="106"/>
      <c r="M496" s="106"/>
      <c r="N496" s="103" t="str">
        <f aca="false">IF(OR($B496="", $I496="", $J496="", $K496="", $L496="", $M496=""),"",ROUND(($I496*Lists!$AD$2)+($J496*Lists!$AD$3)+($K496*Lists!$AD$4)+($L496*Lists!$AD$5)+($M496*Lists!$AD$6),2))</f>
        <v/>
      </c>
      <c r="O496" s="103" t="str">
        <f aca="false">IF($A496="","",IFERROR(VLOOKUP($A496,'Risk Register'!$B$2:$I$1000,8,FALSE()),""))</f>
        <v/>
      </c>
      <c r="P496" s="106"/>
      <c r="Q496" s="106"/>
      <c r="R496" s="106"/>
      <c r="S496" s="106"/>
      <c r="T496" s="103" t="str">
        <f aca="false">IF(OR($B496="", $P496="", $Q496="", $R496="", $S496=""),"",ROUND(($P496*Lists!$AD$7)+($Q496*Lists!$AD$8)+($R496*Lists!$AD$9)+($S496*Lists!$AD$10),2))</f>
        <v/>
      </c>
      <c r="U496" s="106"/>
      <c r="V496" s="106"/>
      <c r="W496" s="106"/>
      <c r="X496" s="106"/>
      <c r="Y496" s="106"/>
      <c r="Z496" s="103" t="str">
        <f aca="false">IF(OR($B496="", $U496="", $V496="", $W496="", $X496="", $Y496=""),"",ROUND(($U496*Lists!$AD$11)+($V496*Lists!$AD$12)+($W496*Lists!$AD$13)+($X496*Lists!$AD$14)+($Y496*Lists!$AD$15),2))</f>
        <v/>
      </c>
      <c r="AA496" s="103" t="str">
        <f aca="false">IF(OR($B496="", $N496="", $O496="", $T496="", $Z496=""),"",ROUND(($N496*Lists!$AD$16)-($O496*Lists!$AD$17)-($T496*Lists!$AD$18)+($Z496*Lists!$AD$19),2))</f>
        <v/>
      </c>
      <c r="AB496" s="102" t="str">
        <f aca="false">IF(OR($B496="", $N496="", $Z496=""),"",IF($N496&gt;=Lists!$AG$2,IF($Z496&gt;=Lists!$AG$3,"Invest","Migrate"),IF($Z496&gt;=Lists!$AG$3,"Tolerate","Eliminate")))</f>
        <v/>
      </c>
      <c r="AC496" s="102" t="str">
        <f aca="false">IF($B496="","",IF($J496&gt;=4,"Yes",""))</f>
        <v/>
      </c>
      <c r="AD496" s="102" t="str">
        <f aca="false">IF($A496="","",IFERROR(IF(VLOOKUP($A496,'Risk Register'!$B$2:$H$1000,4,FALSE())&gt;=4,"Yes",""),""))</f>
        <v/>
      </c>
      <c r="AE496" s="102" t="str">
        <f aca="false">IF(OR($N496="", $O496=""),"",IF($N496&gt;=Lists!$AG$2,IF($O496&gt;=Lists!$AG$4,"High Value / High Risk","High Value / Low Risk"),IF($O496&gt;=Lists!$AG$4,"Low Value / High Risk","Low Value / Low Risk")))</f>
        <v/>
      </c>
      <c r="AF496" s="101"/>
      <c r="AG496" s="126"/>
      <c r="AH496" s="106" t="str">
        <f aca="false">IF($B496="","",COUNTIFS('Debt Backlog'!$AF$2:$AF$1000,$A496,'Debt Backlog'!$B$2:$B$1000,"&lt;&gt;",'Debt Backlog'!$N$2:$N$1000,"&lt;&gt;Done",'Debt Backlog'!$N$2:$N$1000,"&lt;&gt;Won't Fix",'Debt Backlog'!$N$2:$N$1000,"&lt;&gt;Duplicate"))</f>
        <v/>
      </c>
      <c r="AI496" s="103" t="str">
        <f aca="false">IF($B496="","",ROUND(SUMIFS('Debt Backlog'!$L$2:$L$1000,'Debt Backlog'!$AF$2:$AF$1000,$A496,'Debt Backlog'!$B$2:$B$1000,"&lt;&gt;",'Debt Backlog'!$N$2:$N$1000,"&lt;&gt;Done",'Debt Backlog'!$N$2:$N$1000,"&lt;&gt;Won't Fix",'Debt Backlog'!$N$2:$N$1000,"&lt;&gt;Duplicate"),2))</f>
        <v/>
      </c>
    </row>
    <row r="497" customFormat="false" ht="15.75" hidden="false" customHeight="true" outlineLevel="0" collapsed="false">
      <c r="A497" s="125"/>
      <c r="B497" s="101"/>
      <c r="C497" s="101"/>
      <c r="D497" s="101"/>
      <c r="E497" s="101"/>
      <c r="F497" s="101"/>
      <c r="G497" s="101"/>
      <c r="H497" s="101"/>
      <c r="I497" s="106"/>
      <c r="J497" s="106"/>
      <c r="K497" s="106"/>
      <c r="L497" s="106"/>
      <c r="M497" s="106"/>
      <c r="N497" s="103" t="str">
        <f aca="false">IF(OR($B497="", $I497="", $J497="", $K497="", $L497="", $M497=""),"",ROUND(($I497*Lists!$AD$2)+($J497*Lists!$AD$3)+($K497*Lists!$AD$4)+($L497*Lists!$AD$5)+($M497*Lists!$AD$6),2))</f>
        <v/>
      </c>
      <c r="O497" s="103" t="str">
        <f aca="false">IF($A497="","",IFERROR(VLOOKUP($A497,'Risk Register'!$B$2:$I$1000,8,FALSE()),""))</f>
        <v/>
      </c>
      <c r="P497" s="106"/>
      <c r="Q497" s="106"/>
      <c r="R497" s="106"/>
      <c r="S497" s="106"/>
      <c r="T497" s="103" t="str">
        <f aca="false">IF(OR($B497="", $P497="", $Q497="", $R497="", $S497=""),"",ROUND(($P497*Lists!$AD$7)+($Q497*Lists!$AD$8)+($R497*Lists!$AD$9)+($S497*Lists!$AD$10),2))</f>
        <v/>
      </c>
      <c r="U497" s="106"/>
      <c r="V497" s="106"/>
      <c r="W497" s="106"/>
      <c r="X497" s="106"/>
      <c r="Y497" s="106"/>
      <c r="Z497" s="103" t="str">
        <f aca="false">IF(OR($B497="", $U497="", $V497="", $W497="", $X497="", $Y497=""),"",ROUND(($U497*Lists!$AD$11)+($V497*Lists!$AD$12)+($W497*Lists!$AD$13)+($X497*Lists!$AD$14)+($Y497*Lists!$AD$15),2))</f>
        <v/>
      </c>
      <c r="AA497" s="103" t="str">
        <f aca="false">IF(OR($B497="", $N497="", $O497="", $T497="", $Z497=""),"",ROUND(($N497*Lists!$AD$16)-($O497*Lists!$AD$17)-($T497*Lists!$AD$18)+($Z497*Lists!$AD$19),2))</f>
        <v/>
      </c>
      <c r="AB497" s="102" t="str">
        <f aca="false">IF(OR($B497="", $N497="", $Z497=""),"",IF($N497&gt;=Lists!$AG$2,IF($Z497&gt;=Lists!$AG$3,"Invest","Migrate"),IF($Z497&gt;=Lists!$AG$3,"Tolerate","Eliminate")))</f>
        <v/>
      </c>
      <c r="AC497" s="102" t="str">
        <f aca="false">IF($B497="","",IF($J497&gt;=4,"Yes",""))</f>
        <v/>
      </c>
      <c r="AD497" s="102" t="str">
        <f aca="false">IF($A497="","",IFERROR(IF(VLOOKUP($A497,'Risk Register'!$B$2:$H$1000,4,FALSE())&gt;=4,"Yes",""),""))</f>
        <v/>
      </c>
      <c r="AE497" s="102" t="str">
        <f aca="false">IF(OR($N497="", $O497=""),"",IF($N497&gt;=Lists!$AG$2,IF($O497&gt;=Lists!$AG$4,"High Value / High Risk","High Value / Low Risk"),IF($O497&gt;=Lists!$AG$4,"Low Value / High Risk","Low Value / Low Risk")))</f>
        <v/>
      </c>
      <c r="AF497" s="101"/>
      <c r="AG497" s="126"/>
      <c r="AH497" s="106" t="str">
        <f aca="false">IF($B497="","",COUNTIFS('Debt Backlog'!$AF$2:$AF$1000,$A497,'Debt Backlog'!$B$2:$B$1000,"&lt;&gt;",'Debt Backlog'!$N$2:$N$1000,"&lt;&gt;Done",'Debt Backlog'!$N$2:$N$1000,"&lt;&gt;Won't Fix",'Debt Backlog'!$N$2:$N$1000,"&lt;&gt;Duplicate"))</f>
        <v/>
      </c>
      <c r="AI497" s="103" t="str">
        <f aca="false">IF($B497="","",ROUND(SUMIFS('Debt Backlog'!$L$2:$L$1000,'Debt Backlog'!$AF$2:$AF$1000,$A497,'Debt Backlog'!$B$2:$B$1000,"&lt;&gt;",'Debt Backlog'!$N$2:$N$1000,"&lt;&gt;Done",'Debt Backlog'!$N$2:$N$1000,"&lt;&gt;Won't Fix",'Debt Backlog'!$N$2:$N$1000,"&lt;&gt;Duplicate"),2))</f>
        <v/>
      </c>
    </row>
    <row r="498" customFormat="false" ht="15.75" hidden="false" customHeight="true" outlineLevel="0" collapsed="false">
      <c r="A498" s="125"/>
      <c r="B498" s="101"/>
      <c r="C498" s="101"/>
      <c r="D498" s="101"/>
      <c r="E498" s="101"/>
      <c r="F498" s="101"/>
      <c r="G498" s="101"/>
      <c r="H498" s="101"/>
      <c r="I498" s="106"/>
      <c r="J498" s="106"/>
      <c r="K498" s="106"/>
      <c r="L498" s="106"/>
      <c r="M498" s="106"/>
      <c r="N498" s="103" t="str">
        <f aca="false">IF(OR($B498="", $I498="", $J498="", $K498="", $L498="", $M498=""),"",ROUND(($I498*Lists!$AD$2)+($J498*Lists!$AD$3)+($K498*Lists!$AD$4)+($L498*Lists!$AD$5)+($M498*Lists!$AD$6),2))</f>
        <v/>
      </c>
      <c r="O498" s="103" t="str">
        <f aca="false">IF($A498="","",IFERROR(VLOOKUP($A498,'Risk Register'!$B$2:$I$1000,8,FALSE()),""))</f>
        <v/>
      </c>
      <c r="P498" s="106"/>
      <c r="Q498" s="106"/>
      <c r="R498" s="106"/>
      <c r="S498" s="106"/>
      <c r="T498" s="103" t="str">
        <f aca="false">IF(OR($B498="", $P498="", $Q498="", $R498="", $S498=""),"",ROUND(($P498*Lists!$AD$7)+($Q498*Lists!$AD$8)+($R498*Lists!$AD$9)+($S498*Lists!$AD$10),2))</f>
        <v/>
      </c>
      <c r="U498" s="106"/>
      <c r="V498" s="106"/>
      <c r="W498" s="106"/>
      <c r="X498" s="106"/>
      <c r="Y498" s="106"/>
      <c r="Z498" s="103" t="str">
        <f aca="false">IF(OR($B498="", $U498="", $V498="", $W498="", $X498="", $Y498=""),"",ROUND(($U498*Lists!$AD$11)+($V498*Lists!$AD$12)+($W498*Lists!$AD$13)+($X498*Lists!$AD$14)+($Y498*Lists!$AD$15),2))</f>
        <v/>
      </c>
      <c r="AA498" s="103" t="str">
        <f aca="false">IF(OR($B498="", $N498="", $O498="", $T498="", $Z498=""),"",ROUND(($N498*Lists!$AD$16)-($O498*Lists!$AD$17)-($T498*Lists!$AD$18)+($Z498*Lists!$AD$19),2))</f>
        <v/>
      </c>
      <c r="AB498" s="102" t="str">
        <f aca="false">IF(OR($B498="", $N498="", $Z498=""),"",IF($N498&gt;=Lists!$AG$2,IF($Z498&gt;=Lists!$AG$3,"Invest","Migrate"),IF($Z498&gt;=Lists!$AG$3,"Tolerate","Eliminate")))</f>
        <v/>
      </c>
      <c r="AC498" s="102" t="str">
        <f aca="false">IF($B498="","",IF($J498&gt;=4,"Yes",""))</f>
        <v/>
      </c>
      <c r="AD498" s="102" t="str">
        <f aca="false">IF($A498="","",IFERROR(IF(VLOOKUP($A498,'Risk Register'!$B$2:$H$1000,4,FALSE())&gt;=4,"Yes",""),""))</f>
        <v/>
      </c>
      <c r="AE498" s="102" t="str">
        <f aca="false">IF(OR($N498="", $O498=""),"",IF($N498&gt;=Lists!$AG$2,IF($O498&gt;=Lists!$AG$4,"High Value / High Risk","High Value / Low Risk"),IF($O498&gt;=Lists!$AG$4,"Low Value / High Risk","Low Value / Low Risk")))</f>
        <v/>
      </c>
      <c r="AF498" s="101"/>
      <c r="AG498" s="126"/>
      <c r="AH498" s="106" t="str">
        <f aca="false">IF($B498="","",COUNTIFS('Debt Backlog'!$AF$2:$AF$1000,$A498,'Debt Backlog'!$B$2:$B$1000,"&lt;&gt;",'Debt Backlog'!$N$2:$N$1000,"&lt;&gt;Done",'Debt Backlog'!$N$2:$N$1000,"&lt;&gt;Won't Fix",'Debt Backlog'!$N$2:$N$1000,"&lt;&gt;Duplicate"))</f>
        <v/>
      </c>
      <c r="AI498" s="103" t="str">
        <f aca="false">IF($B498="","",ROUND(SUMIFS('Debt Backlog'!$L$2:$L$1000,'Debt Backlog'!$AF$2:$AF$1000,$A498,'Debt Backlog'!$B$2:$B$1000,"&lt;&gt;",'Debt Backlog'!$N$2:$N$1000,"&lt;&gt;Done",'Debt Backlog'!$N$2:$N$1000,"&lt;&gt;Won't Fix",'Debt Backlog'!$N$2:$N$1000,"&lt;&gt;Duplicate"),2))</f>
        <v/>
      </c>
    </row>
    <row r="499" customFormat="false" ht="15.75" hidden="false" customHeight="true" outlineLevel="0" collapsed="false">
      <c r="A499" s="125"/>
      <c r="B499" s="101"/>
      <c r="C499" s="101"/>
      <c r="D499" s="101"/>
      <c r="E499" s="101"/>
      <c r="F499" s="101"/>
      <c r="G499" s="101"/>
      <c r="H499" s="101"/>
      <c r="I499" s="106"/>
      <c r="J499" s="106"/>
      <c r="K499" s="106"/>
      <c r="L499" s="106"/>
      <c r="M499" s="106"/>
      <c r="N499" s="103" t="str">
        <f aca="false">IF(OR($B499="", $I499="", $J499="", $K499="", $L499="", $M499=""),"",ROUND(($I499*Lists!$AD$2)+($J499*Lists!$AD$3)+($K499*Lists!$AD$4)+($L499*Lists!$AD$5)+($M499*Lists!$AD$6),2))</f>
        <v/>
      </c>
      <c r="O499" s="103" t="str">
        <f aca="false">IF($A499="","",IFERROR(VLOOKUP($A499,'Risk Register'!$B$2:$I$1000,8,FALSE()),""))</f>
        <v/>
      </c>
      <c r="P499" s="106"/>
      <c r="Q499" s="106"/>
      <c r="R499" s="106"/>
      <c r="S499" s="106"/>
      <c r="T499" s="103" t="str">
        <f aca="false">IF(OR($B499="", $P499="", $Q499="", $R499="", $S499=""),"",ROUND(($P499*Lists!$AD$7)+($Q499*Lists!$AD$8)+($R499*Lists!$AD$9)+($S499*Lists!$AD$10),2))</f>
        <v/>
      </c>
      <c r="U499" s="106"/>
      <c r="V499" s="106"/>
      <c r="W499" s="106"/>
      <c r="X499" s="106"/>
      <c r="Y499" s="106"/>
      <c r="Z499" s="103" t="str">
        <f aca="false">IF(OR($B499="", $U499="", $V499="", $W499="", $X499="", $Y499=""),"",ROUND(($U499*Lists!$AD$11)+($V499*Lists!$AD$12)+($W499*Lists!$AD$13)+($X499*Lists!$AD$14)+($Y499*Lists!$AD$15),2))</f>
        <v/>
      </c>
      <c r="AA499" s="103" t="str">
        <f aca="false">IF(OR($B499="", $N499="", $O499="", $T499="", $Z499=""),"",ROUND(($N499*Lists!$AD$16)-($O499*Lists!$AD$17)-($T499*Lists!$AD$18)+($Z499*Lists!$AD$19),2))</f>
        <v/>
      </c>
      <c r="AB499" s="102" t="str">
        <f aca="false">IF(OR($B499="", $N499="", $Z499=""),"",IF($N499&gt;=Lists!$AG$2,IF($Z499&gt;=Lists!$AG$3,"Invest","Migrate"),IF($Z499&gt;=Lists!$AG$3,"Tolerate","Eliminate")))</f>
        <v/>
      </c>
      <c r="AC499" s="102" t="str">
        <f aca="false">IF($B499="","",IF($J499&gt;=4,"Yes",""))</f>
        <v/>
      </c>
      <c r="AD499" s="102" t="str">
        <f aca="false">IF($A499="","",IFERROR(IF(VLOOKUP($A499,'Risk Register'!$B$2:$H$1000,4,FALSE())&gt;=4,"Yes",""),""))</f>
        <v/>
      </c>
      <c r="AE499" s="102" t="str">
        <f aca="false">IF(OR($N499="", $O499=""),"",IF($N499&gt;=Lists!$AG$2,IF($O499&gt;=Lists!$AG$4,"High Value / High Risk","High Value / Low Risk"),IF($O499&gt;=Lists!$AG$4,"Low Value / High Risk","Low Value / Low Risk")))</f>
        <v/>
      </c>
      <c r="AF499" s="101"/>
      <c r="AG499" s="126"/>
      <c r="AH499" s="106" t="str">
        <f aca="false">IF($B499="","",COUNTIFS('Debt Backlog'!$AF$2:$AF$1000,$A499,'Debt Backlog'!$B$2:$B$1000,"&lt;&gt;",'Debt Backlog'!$N$2:$N$1000,"&lt;&gt;Done",'Debt Backlog'!$N$2:$N$1000,"&lt;&gt;Won't Fix",'Debt Backlog'!$N$2:$N$1000,"&lt;&gt;Duplicate"))</f>
        <v/>
      </c>
      <c r="AI499" s="103" t="str">
        <f aca="false">IF($B499="","",ROUND(SUMIFS('Debt Backlog'!$L$2:$L$1000,'Debt Backlog'!$AF$2:$AF$1000,$A499,'Debt Backlog'!$B$2:$B$1000,"&lt;&gt;",'Debt Backlog'!$N$2:$N$1000,"&lt;&gt;Done",'Debt Backlog'!$N$2:$N$1000,"&lt;&gt;Won't Fix",'Debt Backlog'!$N$2:$N$1000,"&lt;&gt;Duplicate"),2))</f>
        <v/>
      </c>
    </row>
    <row r="500" customFormat="false" ht="15.75" hidden="false" customHeight="true" outlineLevel="0" collapsed="false">
      <c r="A500" s="125"/>
      <c r="B500" s="101"/>
      <c r="C500" s="101"/>
      <c r="D500" s="101"/>
      <c r="E500" s="101"/>
      <c r="F500" s="101"/>
      <c r="G500" s="101"/>
      <c r="H500" s="101"/>
      <c r="I500" s="106"/>
      <c r="J500" s="106"/>
      <c r="K500" s="106"/>
      <c r="L500" s="106"/>
      <c r="M500" s="106"/>
      <c r="N500" s="103" t="str">
        <f aca="false">IF(OR($B500="", $I500="", $J500="", $K500="", $L500="", $M500=""),"",ROUND(($I500*Lists!$AD$2)+($J500*Lists!$AD$3)+($K500*Lists!$AD$4)+($L500*Lists!$AD$5)+($M500*Lists!$AD$6),2))</f>
        <v/>
      </c>
      <c r="O500" s="103" t="str">
        <f aca="false">IF($A500="","",IFERROR(VLOOKUP($A500,'Risk Register'!$B$2:$I$1000,8,FALSE()),""))</f>
        <v/>
      </c>
      <c r="P500" s="106"/>
      <c r="Q500" s="106"/>
      <c r="R500" s="106"/>
      <c r="S500" s="106"/>
      <c r="T500" s="103" t="str">
        <f aca="false">IF(OR($B500="", $P500="", $Q500="", $R500="", $S500=""),"",ROUND(($P500*Lists!$AD$7)+($Q500*Lists!$AD$8)+($R500*Lists!$AD$9)+($S500*Lists!$AD$10),2))</f>
        <v/>
      </c>
      <c r="U500" s="106"/>
      <c r="V500" s="106"/>
      <c r="W500" s="106"/>
      <c r="X500" s="106"/>
      <c r="Y500" s="106"/>
      <c r="Z500" s="103" t="str">
        <f aca="false">IF(OR($B500="", $U500="", $V500="", $W500="", $X500="", $Y500=""),"",ROUND(($U500*Lists!$AD$11)+($V500*Lists!$AD$12)+($W500*Lists!$AD$13)+($X500*Lists!$AD$14)+($Y500*Lists!$AD$15),2))</f>
        <v/>
      </c>
      <c r="AA500" s="103" t="str">
        <f aca="false">IF(OR($B500="", $N500="", $O500="", $T500="", $Z500=""),"",ROUND(($N500*Lists!$AD$16)-($O500*Lists!$AD$17)-($T500*Lists!$AD$18)+($Z500*Lists!$AD$19),2))</f>
        <v/>
      </c>
      <c r="AB500" s="102" t="str">
        <f aca="false">IF(OR($B500="", $N500="", $Z500=""),"",IF($N500&gt;=Lists!$AG$2,IF($Z500&gt;=Lists!$AG$3,"Invest","Migrate"),IF($Z500&gt;=Lists!$AG$3,"Tolerate","Eliminate")))</f>
        <v/>
      </c>
      <c r="AC500" s="102" t="str">
        <f aca="false">IF($B500="","",IF($J500&gt;=4,"Yes",""))</f>
        <v/>
      </c>
      <c r="AD500" s="102" t="str">
        <f aca="false">IF($A500="","",IFERROR(IF(VLOOKUP($A500,'Risk Register'!$B$2:$H$1000,4,FALSE())&gt;=4,"Yes",""),""))</f>
        <v/>
      </c>
      <c r="AE500" s="102" t="str">
        <f aca="false">IF(OR($N500="", $O500=""),"",IF($N500&gt;=Lists!$AG$2,IF($O500&gt;=Lists!$AG$4,"High Value / High Risk","High Value / Low Risk"),IF($O500&gt;=Lists!$AG$4,"Low Value / High Risk","Low Value / Low Risk")))</f>
        <v/>
      </c>
      <c r="AF500" s="101"/>
      <c r="AG500" s="126"/>
      <c r="AH500" s="106" t="str">
        <f aca="false">IF($B500="","",COUNTIFS('Debt Backlog'!$AF$2:$AF$1000,$A500,'Debt Backlog'!$B$2:$B$1000,"&lt;&gt;",'Debt Backlog'!$N$2:$N$1000,"&lt;&gt;Done",'Debt Backlog'!$N$2:$N$1000,"&lt;&gt;Won't Fix",'Debt Backlog'!$N$2:$N$1000,"&lt;&gt;Duplicate"))</f>
        <v/>
      </c>
      <c r="AI500" s="103" t="str">
        <f aca="false">IF($B500="","",ROUND(SUMIFS('Debt Backlog'!$L$2:$L$1000,'Debt Backlog'!$AF$2:$AF$1000,$A500,'Debt Backlog'!$B$2:$B$1000,"&lt;&gt;",'Debt Backlog'!$N$2:$N$1000,"&lt;&gt;Done",'Debt Backlog'!$N$2:$N$1000,"&lt;&gt;Won't Fix",'Debt Backlog'!$N$2:$N$1000,"&lt;&gt;Duplicate"),2))</f>
        <v/>
      </c>
    </row>
    <row r="501" customFormat="false" ht="15.75" hidden="false" customHeight="true" outlineLevel="0" collapsed="false">
      <c r="A501" s="125"/>
      <c r="B501" s="101"/>
      <c r="C501" s="101"/>
      <c r="D501" s="101"/>
      <c r="E501" s="101"/>
      <c r="F501" s="101"/>
      <c r="G501" s="101"/>
      <c r="H501" s="101"/>
      <c r="I501" s="106"/>
      <c r="J501" s="106"/>
      <c r="K501" s="106"/>
      <c r="L501" s="106"/>
      <c r="M501" s="106"/>
      <c r="N501" s="103" t="str">
        <f aca="false">IF(OR($B501="", $I501="", $J501="", $K501="", $L501="", $M501=""),"",ROUND(($I501*Lists!$AD$2)+($J501*Lists!$AD$3)+($K501*Lists!$AD$4)+($L501*Lists!$AD$5)+($M501*Lists!$AD$6),2))</f>
        <v/>
      </c>
      <c r="O501" s="103" t="str">
        <f aca="false">IF($A501="","",IFERROR(VLOOKUP($A501,'Risk Register'!$B$2:$I$1000,8,FALSE()),""))</f>
        <v/>
      </c>
      <c r="P501" s="106"/>
      <c r="Q501" s="106"/>
      <c r="R501" s="106"/>
      <c r="S501" s="106"/>
      <c r="T501" s="103" t="str">
        <f aca="false">IF(OR($B501="", $P501="", $Q501="", $R501="", $S501=""),"",ROUND(($P501*Lists!$AD$7)+($Q501*Lists!$AD$8)+($R501*Lists!$AD$9)+($S501*Lists!$AD$10),2))</f>
        <v/>
      </c>
      <c r="U501" s="106"/>
      <c r="V501" s="106"/>
      <c r="W501" s="106"/>
      <c r="X501" s="106"/>
      <c r="Y501" s="106"/>
      <c r="Z501" s="103" t="str">
        <f aca="false">IF(OR($B501="", $U501="", $V501="", $W501="", $X501="", $Y501=""),"",ROUND(($U501*Lists!$AD$11)+($V501*Lists!$AD$12)+($W501*Lists!$AD$13)+($X501*Lists!$AD$14)+($Y501*Lists!$AD$15),2))</f>
        <v/>
      </c>
      <c r="AA501" s="103" t="str">
        <f aca="false">IF(OR($B501="", $N501="", $O501="", $T501="", $Z501=""),"",ROUND(($N501*Lists!$AD$16)-($O501*Lists!$AD$17)-($T501*Lists!$AD$18)+($Z501*Lists!$AD$19),2))</f>
        <v/>
      </c>
      <c r="AB501" s="102" t="str">
        <f aca="false">IF(OR($B501="", $N501="", $Z501=""),"",IF($N501&gt;=Lists!$AG$2,IF($Z501&gt;=Lists!$AG$3,"Invest","Migrate"),IF($Z501&gt;=Lists!$AG$3,"Tolerate","Eliminate")))</f>
        <v/>
      </c>
      <c r="AC501" s="102" t="str">
        <f aca="false">IF($B501="","",IF($J501&gt;=4,"Yes",""))</f>
        <v/>
      </c>
      <c r="AD501" s="102" t="str">
        <f aca="false">IF($A501="","",IFERROR(IF(VLOOKUP($A501,'Risk Register'!$B$2:$H$1000,4,FALSE())&gt;=4,"Yes",""),""))</f>
        <v/>
      </c>
      <c r="AE501" s="102" t="str">
        <f aca="false">IF(OR($N501="", $O501=""),"",IF($N501&gt;=Lists!$AG$2,IF($O501&gt;=Lists!$AG$4,"High Value / High Risk","High Value / Low Risk"),IF($O501&gt;=Lists!$AG$4,"Low Value / High Risk","Low Value / Low Risk")))</f>
        <v/>
      </c>
      <c r="AF501" s="101"/>
      <c r="AG501" s="126"/>
      <c r="AH501" s="106" t="str">
        <f aca="false">IF($B501="","",COUNTIFS('Debt Backlog'!$AF$2:$AF$1000,$A501,'Debt Backlog'!$B$2:$B$1000,"&lt;&gt;",'Debt Backlog'!$N$2:$N$1000,"&lt;&gt;Done",'Debt Backlog'!$N$2:$N$1000,"&lt;&gt;Won't Fix",'Debt Backlog'!$N$2:$N$1000,"&lt;&gt;Duplicate"))</f>
        <v/>
      </c>
      <c r="AI501" s="103" t="str">
        <f aca="false">IF($B501="","",ROUND(SUMIFS('Debt Backlog'!$L$2:$L$1000,'Debt Backlog'!$AF$2:$AF$1000,$A501,'Debt Backlog'!$B$2:$B$1000,"&lt;&gt;",'Debt Backlog'!$N$2:$N$1000,"&lt;&gt;Done",'Debt Backlog'!$N$2:$N$1000,"&lt;&gt;Won't Fix",'Debt Backlog'!$N$2:$N$1000,"&lt;&gt;Duplicate"),2))</f>
        <v/>
      </c>
    </row>
    <row r="502" customFormat="false" ht="15.75" hidden="false" customHeight="true" outlineLevel="0" collapsed="false">
      <c r="A502" s="125"/>
      <c r="B502" s="101"/>
      <c r="C502" s="101"/>
      <c r="D502" s="101"/>
      <c r="E502" s="101"/>
      <c r="F502" s="101"/>
      <c r="G502" s="101"/>
      <c r="H502" s="101"/>
      <c r="I502" s="106"/>
      <c r="J502" s="106"/>
      <c r="K502" s="106"/>
      <c r="L502" s="106"/>
      <c r="M502" s="106"/>
      <c r="N502" s="103" t="str">
        <f aca="false">IF(OR($B502="", $I502="", $J502="", $K502="", $L502="", $M502=""),"",ROUND(($I502*Lists!$AD$2)+($J502*Lists!$AD$3)+($K502*Lists!$AD$4)+($L502*Lists!$AD$5)+($M502*Lists!$AD$6),2))</f>
        <v/>
      </c>
      <c r="O502" s="103" t="str">
        <f aca="false">IF($A502="","",IFERROR(VLOOKUP($A502,'Risk Register'!$B$2:$I$1000,8,FALSE()),""))</f>
        <v/>
      </c>
      <c r="P502" s="106"/>
      <c r="Q502" s="106"/>
      <c r="R502" s="106"/>
      <c r="S502" s="106"/>
      <c r="T502" s="103" t="str">
        <f aca="false">IF(OR($B502="", $P502="", $Q502="", $R502="", $S502=""),"",ROUND(($P502*Lists!$AD$7)+($Q502*Lists!$AD$8)+($R502*Lists!$AD$9)+($S502*Lists!$AD$10),2))</f>
        <v/>
      </c>
      <c r="U502" s="106"/>
      <c r="V502" s="106"/>
      <c r="W502" s="106"/>
      <c r="X502" s="106"/>
      <c r="Y502" s="106"/>
      <c r="Z502" s="103" t="str">
        <f aca="false">IF(OR($B502="", $U502="", $V502="", $W502="", $X502="", $Y502=""),"",ROUND(($U502*Lists!$AD$11)+($V502*Lists!$AD$12)+($W502*Lists!$AD$13)+($X502*Lists!$AD$14)+($Y502*Lists!$AD$15),2))</f>
        <v/>
      </c>
      <c r="AA502" s="103" t="str">
        <f aca="false">IF(OR($B502="", $N502="", $O502="", $T502="", $Z502=""),"",ROUND(($N502*Lists!$AD$16)-($O502*Lists!$AD$17)-($T502*Lists!$AD$18)+($Z502*Lists!$AD$19),2))</f>
        <v/>
      </c>
      <c r="AB502" s="102" t="str">
        <f aca="false">IF(OR($B502="", $N502="", $Z502=""),"",IF($N502&gt;=Lists!$AG$2,IF($Z502&gt;=Lists!$AG$3,"Invest","Migrate"),IF($Z502&gt;=Lists!$AG$3,"Tolerate","Eliminate")))</f>
        <v/>
      </c>
      <c r="AC502" s="102" t="str">
        <f aca="false">IF($B502="","",IF($J502&gt;=4,"Yes",""))</f>
        <v/>
      </c>
      <c r="AD502" s="102" t="str">
        <f aca="false">IF($A502="","",IFERROR(IF(VLOOKUP($A502,'Risk Register'!$B$2:$H$1000,4,FALSE())&gt;=4,"Yes",""),""))</f>
        <v/>
      </c>
      <c r="AE502" s="102" t="str">
        <f aca="false">IF(OR($N502="", $O502=""),"",IF($N502&gt;=Lists!$AG$2,IF($O502&gt;=Lists!$AG$4,"High Value / High Risk","High Value / Low Risk"),IF($O502&gt;=Lists!$AG$4,"Low Value / High Risk","Low Value / Low Risk")))</f>
        <v/>
      </c>
      <c r="AF502" s="101"/>
      <c r="AG502" s="126"/>
      <c r="AH502" s="106" t="str">
        <f aca="false">IF($B502="","",COUNTIFS('Debt Backlog'!$AF$2:$AF$1000,$A502,'Debt Backlog'!$B$2:$B$1000,"&lt;&gt;",'Debt Backlog'!$N$2:$N$1000,"&lt;&gt;Done",'Debt Backlog'!$N$2:$N$1000,"&lt;&gt;Won't Fix",'Debt Backlog'!$N$2:$N$1000,"&lt;&gt;Duplicate"))</f>
        <v/>
      </c>
      <c r="AI502" s="103" t="str">
        <f aca="false">IF($B502="","",ROUND(SUMIFS('Debt Backlog'!$L$2:$L$1000,'Debt Backlog'!$AF$2:$AF$1000,$A502,'Debt Backlog'!$B$2:$B$1000,"&lt;&gt;",'Debt Backlog'!$N$2:$N$1000,"&lt;&gt;Done",'Debt Backlog'!$N$2:$N$1000,"&lt;&gt;Won't Fix",'Debt Backlog'!$N$2:$N$1000,"&lt;&gt;Duplicate"),2))</f>
        <v/>
      </c>
    </row>
    <row r="503" customFormat="false" ht="15.75" hidden="false" customHeight="true" outlineLevel="0" collapsed="false">
      <c r="A503" s="125"/>
      <c r="B503" s="101"/>
      <c r="C503" s="101"/>
      <c r="D503" s="101"/>
      <c r="E503" s="101"/>
      <c r="F503" s="101"/>
      <c r="G503" s="101"/>
      <c r="H503" s="101"/>
      <c r="I503" s="106"/>
      <c r="J503" s="106"/>
      <c r="K503" s="106"/>
      <c r="L503" s="106"/>
      <c r="M503" s="106"/>
      <c r="N503" s="103" t="str">
        <f aca="false">IF(OR($B503="", $I503="", $J503="", $K503="", $L503="", $M503=""),"",ROUND(($I503*Lists!$AD$2)+($J503*Lists!$AD$3)+($K503*Lists!$AD$4)+($L503*Lists!$AD$5)+($M503*Lists!$AD$6),2))</f>
        <v/>
      </c>
      <c r="O503" s="103" t="str">
        <f aca="false">IF($A503="","",IFERROR(VLOOKUP($A503,'Risk Register'!$B$2:$I$1000,8,FALSE()),""))</f>
        <v/>
      </c>
      <c r="P503" s="106"/>
      <c r="Q503" s="106"/>
      <c r="R503" s="106"/>
      <c r="S503" s="106"/>
      <c r="T503" s="103" t="str">
        <f aca="false">IF(OR($B503="", $P503="", $Q503="", $R503="", $S503=""),"",ROUND(($P503*Lists!$AD$7)+($Q503*Lists!$AD$8)+($R503*Lists!$AD$9)+($S503*Lists!$AD$10),2))</f>
        <v/>
      </c>
      <c r="U503" s="106"/>
      <c r="V503" s="106"/>
      <c r="W503" s="106"/>
      <c r="X503" s="106"/>
      <c r="Y503" s="106"/>
      <c r="Z503" s="103" t="str">
        <f aca="false">IF(OR($B503="", $U503="", $V503="", $W503="", $X503="", $Y503=""),"",ROUND(($U503*Lists!$AD$11)+($V503*Lists!$AD$12)+($W503*Lists!$AD$13)+($X503*Lists!$AD$14)+($Y503*Lists!$AD$15),2))</f>
        <v/>
      </c>
      <c r="AA503" s="103" t="str">
        <f aca="false">IF(OR($B503="", $N503="", $O503="", $T503="", $Z503=""),"",ROUND(($N503*Lists!$AD$16)-($O503*Lists!$AD$17)-($T503*Lists!$AD$18)+($Z503*Lists!$AD$19),2))</f>
        <v/>
      </c>
      <c r="AB503" s="102" t="str">
        <f aca="false">IF(OR($B503="", $N503="", $Z503=""),"",IF($N503&gt;=Lists!$AG$2,IF($Z503&gt;=Lists!$AG$3,"Invest","Migrate"),IF($Z503&gt;=Lists!$AG$3,"Tolerate","Eliminate")))</f>
        <v/>
      </c>
      <c r="AC503" s="102" t="str">
        <f aca="false">IF($B503="","",IF($J503&gt;=4,"Yes",""))</f>
        <v/>
      </c>
      <c r="AD503" s="102" t="str">
        <f aca="false">IF($A503="","",IFERROR(IF(VLOOKUP($A503,'Risk Register'!$B$2:$H$1000,4,FALSE())&gt;=4,"Yes",""),""))</f>
        <v/>
      </c>
      <c r="AE503" s="102" t="str">
        <f aca="false">IF(OR($N503="", $O503=""),"",IF($N503&gt;=Lists!$AG$2,IF($O503&gt;=Lists!$AG$4,"High Value / High Risk","High Value / Low Risk"),IF($O503&gt;=Lists!$AG$4,"Low Value / High Risk","Low Value / Low Risk")))</f>
        <v/>
      </c>
      <c r="AF503" s="101"/>
      <c r="AG503" s="126"/>
      <c r="AH503" s="106" t="str">
        <f aca="false">IF($B503="","",COUNTIFS('Debt Backlog'!$AF$2:$AF$1000,$A503,'Debt Backlog'!$B$2:$B$1000,"&lt;&gt;",'Debt Backlog'!$N$2:$N$1000,"&lt;&gt;Done",'Debt Backlog'!$N$2:$N$1000,"&lt;&gt;Won't Fix",'Debt Backlog'!$N$2:$N$1000,"&lt;&gt;Duplicate"))</f>
        <v/>
      </c>
      <c r="AI503" s="103" t="str">
        <f aca="false">IF($B503="","",ROUND(SUMIFS('Debt Backlog'!$L$2:$L$1000,'Debt Backlog'!$AF$2:$AF$1000,$A503,'Debt Backlog'!$B$2:$B$1000,"&lt;&gt;",'Debt Backlog'!$N$2:$N$1000,"&lt;&gt;Done",'Debt Backlog'!$N$2:$N$1000,"&lt;&gt;Won't Fix",'Debt Backlog'!$N$2:$N$1000,"&lt;&gt;Duplicate"),2))</f>
        <v/>
      </c>
    </row>
    <row r="504" customFormat="false" ht="15.75" hidden="false" customHeight="true" outlineLevel="0" collapsed="false">
      <c r="A504" s="125"/>
      <c r="B504" s="101"/>
      <c r="C504" s="101"/>
      <c r="D504" s="101"/>
      <c r="E504" s="101"/>
      <c r="F504" s="101"/>
      <c r="G504" s="101"/>
      <c r="H504" s="101"/>
      <c r="I504" s="106"/>
      <c r="J504" s="106"/>
      <c r="K504" s="106"/>
      <c r="L504" s="106"/>
      <c r="M504" s="106"/>
      <c r="N504" s="103" t="str">
        <f aca="false">IF(OR($B504="", $I504="", $J504="", $K504="", $L504="", $M504=""),"",ROUND(($I504*Lists!$AD$2)+($J504*Lists!$AD$3)+($K504*Lists!$AD$4)+($L504*Lists!$AD$5)+($M504*Lists!$AD$6),2))</f>
        <v/>
      </c>
      <c r="O504" s="103" t="str">
        <f aca="false">IF($A504="","",IFERROR(VLOOKUP($A504,'Risk Register'!$B$2:$I$1000,8,FALSE()),""))</f>
        <v/>
      </c>
      <c r="P504" s="106"/>
      <c r="Q504" s="106"/>
      <c r="R504" s="106"/>
      <c r="S504" s="106"/>
      <c r="T504" s="103" t="str">
        <f aca="false">IF(OR($B504="", $P504="", $Q504="", $R504="", $S504=""),"",ROUND(($P504*Lists!$AD$7)+($Q504*Lists!$AD$8)+($R504*Lists!$AD$9)+($S504*Lists!$AD$10),2))</f>
        <v/>
      </c>
      <c r="U504" s="106"/>
      <c r="V504" s="106"/>
      <c r="W504" s="106"/>
      <c r="X504" s="106"/>
      <c r="Y504" s="106"/>
      <c r="Z504" s="103" t="str">
        <f aca="false">IF(OR($B504="", $U504="", $V504="", $W504="", $X504="", $Y504=""),"",ROUND(($U504*Lists!$AD$11)+($V504*Lists!$AD$12)+($W504*Lists!$AD$13)+($X504*Lists!$AD$14)+($Y504*Lists!$AD$15),2))</f>
        <v/>
      </c>
      <c r="AA504" s="103" t="str">
        <f aca="false">IF(OR($B504="", $N504="", $O504="", $T504="", $Z504=""),"",ROUND(($N504*Lists!$AD$16)-($O504*Lists!$AD$17)-($T504*Lists!$AD$18)+($Z504*Lists!$AD$19),2))</f>
        <v/>
      </c>
      <c r="AB504" s="102" t="str">
        <f aca="false">IF(OR($B504="", $N504="", $Z504=""),"",IF($N504&gt;=Lists!$AG$2,IF($Z504&gt;=Lists!$AG$3,"Invest","Migrate"),IF($Z504&gt;=Lists!$AG$3,"Tolerate","Eliminate")))</f>
        <v/>
      </c>
      <c r="AC504" s="102" t="str">
        <f aca="false">IF($B504="","",IF($J504&gt;=4,"Yes",""))</f>
        <v/>
      </c>
      <c r="AD504" s="102" t="str">
        <f aca="false">IF($A504="","",IFERROR(IF(VLOOKUP($A504,'Risk Register'!$B$2:$H$1000,4,FALSE())&gt;=4,"Yes",""),""))</f>
        <v/>
      </c>
      <c r="AE504" s="102" t="str">
        <f aca="false">IF(OR($N504="", $O504=""),"",IF($N504&gt;=Lists!$AG$2,IF($O504&gt;=Lists!$AG$4,"High Value / High Risk","High Value / Low Risk"),IF($O504&gt;=Lists!$AG$4,"Low Value / High Risk","Low Value / Low Risk")))</f>
        <v/>
      </c>
      <c r="AF504" s="101"/>
      <c r="AG504" s="126"/>
      <c r="AH504" s="106" t="str">
        <f aca="false">IF($B504="","",COUNTIFS('Debt Backlog'!$AF$2:$AF$1000,$A504,'Debt Backlog'!$B$2:$B$1000,"&lt;&gt;",'Debt Backlog'!$N$2:$N$1000,"&lt;&gt;Done",'Debt Backlog'!$N$2:$N$1000,"&lt;&gt;Won't Fix",'Debt Backlog'!$N$2:$N$1000,"&lt;&gt;Duplicate"))</f>
        <v/>
      </c>
      <c r="AI504" s="103" t="str">
        <f aca="false">IF($B504="","",ROUND(SUMIFS('Debt Backlog'!$L$2:$L$1000,'Debt Backlog'!$AF$2:$AF$1000,$A504,'Debt Backlog'!$B$2:$B$1000,"&lt;&gt;",'Debt Backlog'!$N$2:$N$1000,"&lt;&gt;Done",'Debt Backlog'!$N$2:$N$1000,"&lt;&gt;Won't Fix",'Debt Backlog'!$N$2:$N$1000,"&lt;&gt;Duplicate"),2))</f>
        <v/>
      </c>
    </row>
    <row r="505" customFormat="false" ht="15.75" hidden="false" customHeight="true" outlineLevel="0" collapsed="false">
      <c r="A505" s="125"/>
      <c r="B505" s="101"/>
      <c r="C505" s="101"/>
      <c r="D505" s="101"/>
      <c r="E505" s="101"/>
      <c r="F505" s="101"/>
      <c r="G505" s="101"/>
      <c r="H505" s="101"/>
      <c r="I505" s="106"/>
      <c r="J505" s="106"/>
      <c r="K505" s="106"/>
      <c r="L505" s="106"/>
      <c r="M505" s="106"/>
      <c r="N505" s="103" t="str">
        <f aca="false">IF(OR($B505="", $I505="", $J505="", $K505="", $L505="", $M505=""),"",ROUND(($I505*Lists!$AD$2)+($J505*Lists!$AD$3)+($K505*Lists!$AD$4)+($L505*Lists!$AD$5)+($M505*Lists!$AD$6),2))</f>
        <v/>
      </c>
      <c r="O505" s="103" t="str">
        <f aca="false">IF($A505="","",IFERROR(VLOOKUP($A505,'Risk Register'!$B$2:$I$1000,8,FALSE()),""))</f>
        <v/>
      </c>
      <c r="P505" s="106"/>
      <c r="Q505" s="106"/>
      <c r="R505" s="106"/>
      <c r="S505" s="106"/>
      <c r="T505" s="103" t="str">
        <f aca="false">IF(OR($B505="", $P505="", $Q505="", $R505="", $S505=""),"",ROUND(($P505*Lists!$AD$7)+($Q505*Lists!$AD$8)+($R505*Lists!$AD$9)+($S505*Lists!$AD$10),2))</f>
        <v/>
      </c>
      <c r="U505" s="106"/>
      <c r="V505" s="106"/>
      <c r="W505" s="106"/>
      <c r="X505" s="106"/>
      <c r="Y505" s="106"/>
      <c r="Z505" s="103" t="str">
        <f aca="false">IF(OR($B505="", $U505="", $V505="", $W505="", $X505="", $Y505=""),"",ROUND(($U505*Lists!$AD$11)+($V505*Lists!$AD$12)+($W505*Lists!$AD$13)+($X505*Lists!$AD$14)+($Y505*Lists!$AD$15),2))</f>
        <v/>
      </c>
      <c r="AA505" s="103" t="str">
        <f aca="false">IF(OR($B505="", $N505="", $O505="", $T505="", $Z505=""),"",ROUND(($N505*Lists!$AD$16)-($O505*Lists!$AD$17)-($T505*Lists!$AD$18)+($Z505*Lists!$AD$19),2))</f>
        <v/>
      </c>
      <c r="AB505" s="102" t="str">
        <f aca="false">IF(OR($B505="", $N505="", $Z505=""),"",IF($N505&gt;=Lists!$AG$2,IF($Z505&gt;=Lists!$AG$3,"Invest","Migrate"),IF($Z505&gt;=Lists!$AG$3,"Tolerate","Eliminate")))</f>
        <v/>
      </c>
      <c r="AC505" s="102" t="str">
        <f aca="false">IF($B505="","",IF($J505&gt;=4,"Yes",""))</f>
        <v/>
      </c>
      <c r="AD505" s="102" t="str">
        <f aca="false">IF($A505="","",IFERROR(IF(VLOOKUP($A505,'Risk Register'!$B$2:$H$1000,4,FALSE())&gt;=4,"Yes",""),""))</f>
        <v/>
      </c>
      <c r="AE505" s="102" t="str">
        <f aca="false">IF(OR($N505="", $O505=""),"",IF($N505&gt;=Lists!$AG$2,IF($O505&gt;=Lists!$AG$4,"High Value / High Risk","High Value / Low Risk"),IF($O505&gt;=Lists!$AG$4,"Low Value / High Risk","Low Value / Low Risk")))</f>
        <v/>
      </c>
      <c r="AF505" s="101"/>
      <c r="AG505" s="126"/>
      <c r="AH505" s="106" t="str">
        <f aca="false">IF($B505="","",COUNTIFS('Debt Backlog'!$AF$2:$AF$1000,$A505,'Debt Backlog'!$B$2:$B$1000,"&lt;&gt;",'Debt Backlog'!$N$2:$N$1000,"&lt;&gt;Done",'Debt Backlog'!$N$2:$N$1000,"&lt;&gt;Won't Fix",'Debt Backlog'!$N$2:$N$1000,"&lt;&gt;Duplicate"))</f>
        <v/>
      </c>
      <c r="AI505" s="103" t="str">
        <f aca="false">IF($B505="","",ROUND(SUMIFS('Debt Backlog'!$L$2:$L$1000,'Debt Backlog'!$AF$2:$AF$1000,$A505,'Debt Backlog'!$B$2:$B$1000,"&lt;&gt;",'Debt Backlog'!$N$2:$N$1000,"&lt;&gt;Done",'Debt Backlog'!$N$2:$N$1000,"&lt;&gt;Won't Fix",'Debt Backlog'!$N$2:$N$1000,"&lt;&gt;Duplicate"),2))</f>
        <v/>
      </c>
    </row>
    <row r="506" customFormat="false" ht="15.75" hidden="false" customHeight="true" outlineLevel="0" collapsed="false">
      <c r="A506" s="125"/>
      <c r="B506" s="101"/>
      <c r="C506" s="101"/>
      <c r="D506" s="101"/>
      <c r="E506" s="101"/>
      <c r="F506" s="101"/>
      <c r="G506" s="101"/>
      <c r="H506" s="101"/>
      <c r="I506" s="106"/>
      <c r="J506" s="106"/>
      <c r="K506" s="106"/>
      <c r="L506" s="106"/>
      <c r="M506" s="106"/>
      <c r="N506" s="103" t="str">
        <f aca="false">IF(OR($B506="", $I506="", $J506="", $K506="", $L506="", $M506=""),"",ROUND(($I506*Lists!$AD$2)+($J506*Lists!$AD$3)+($K506*Lists!$AD$4)+($L506*Lists!$AD$5)+($M506*Lists!$AD$6),2))</f>
        <v/>
      </c>
      <c r="O506" s="103" t="str">
        <f aca="false">IF($A506="","",IFERROR(VLOOKUP($A506,'Risk Register'!$B$2:$I$1000,8,FALSE()),""))</f>
        <v/>
      </c>
      <c r="P506" s="106"/>
      <c r="Q506" s="106"/>
      <c r="R506" s="106"/>
      <c r="S506" s="106"/>
      <c r="T506" s="103" t="str">
        <f aca="false">IF(OR($B506="", $P506="", $Q506="", $R506="", $S506=""),"",ROUND(($P506*Lists!$AD$7)+($Q506*Lists!$AD$8)+($R506*Lists!$AD$9)+($S506*Lists!$AD$10),2))</f>
        <v/>
      </c>
      <c r="U506" s="106"/>
      <c r="V506" s="106"/>
      <c r="W506" s="106"/>
      <c r="X506" s="106"/>
      <c r="Y506" s="106"/>
      <c r="Z506" s="103" t="str">
        <f aca="false">IF(OR($B506="", $U506="", $V506="", $W506="", $X506="", $Y506=""),"",ROUND(($U506*Lists!$AD$11)+($V506*Lists!$AD$12)+($W506*Lists!$AD$13)+($X506*Lists!$AD$14)+($Y506*Lists!$AD$15),2))</f>
        <v/>
      </c>
      <c r="AA506" s="103" t="str">
        <f aca="false">IF(OR($B506="", $N506="", $O506="", $T506="", $Z506=""),"",ROUND(($N506*Lists!$AD$16)-($O506*Lists!$AD$17)-($T506*Lists!$AD$18)+($Z506*Lists!$AD$19),2))</f>
        <v/>
      </c>
      <c r="AB506" s="102" t="str">
        <f aca="false">IF(OR($B506="", $N506="", $Z506=""),"",IF($N506&gt;=Lists!$AG$2,IF($Z506&gt;=Lists!$AG$3,"Invest","Migrate"),IF($Z506&gt;=Lists!$AG$3,"Tolerate","Eliminate")))</f>
        <v/>
      </c>
      <c r="AC506" s="102" t="str">
        <f aca="false">IF($B506="","",IF($J506&gt;=4,"Yes",""))</f>
        <v/>
      </c>
      <c r="AD506" s="102" t="str">
        <f aca="false">IF($A506="","",IFERROR(IF(VLOOKUP($A506,'Risk Register'!$B$2:$H$1000,4,FALSE())&gt;=4,"Yes",""),""))</f>
        <v/>
      </c>
      <c r="AE506" s="102" t="str">
        <f aca="false">IF(OR($N506="", $O506=""),"",IF($N506&gt;=Lists!$AG$2,IF($O506&gt;=Lists!$AG$4,"High Value / High Risk","High Value / Low Risk"),IF($O506&gt;=Lists!$AG$4,"Low Value / High Risk","Low Value / Low Risk")))</f>
        <v/>
      </c>
      <c r="AF506" s="101"/>
      <c r="AG506" s="126"/>
      <c r="AH506" s="106" t="str">
        <f aca="false">IF($B506="","",COUNTIFS('Debt Backlog'!$AF$2:$AF$1000,$A506,'Debt Backlog'!$B$2:$B$1000,"&lt;&gt;",'Debt Backlog'!$N$2:$N$1000,"&lt;&gt;Done",'Debt Backlog'!$N$2:$N$1000,"&lt;&gt;Won't Fix",'Debt Backlog'!$N$2:$N$1000,"&lt;&gt;Duplicate"))</f>
        <v/>
      </c>
      <c r="AI506" s="103" t="str">
        <f aca="false">IF($B506="","",ROUND(SUMIFS('Debt Backlog'!$L$2:$L$1000,'Debt Backlog'!$AF$2:$AF$1000,$A506,'Debt Backlog'!$B$2:$B$1000,"&lt;&gt;",'Debt Backlog'!$N$2:$N$1000,"&lt;&gt;Done",'Debt Backlog'!$N$2:$N$1000,"&lt;&gt;Won't Fix",'Debt Backlog'!$N$2:$N$1000,"&lt;&gt;Duplicate"),2))</f>
        <v/>
      </c>
    </row>
    <row r="507" customFormat="false" ht="15.75" hidden="false" customHeight="true" outlineLevel="0" collapsed="false">
      <c r="A507" s="125"/>
      <c r="B507" s="101"/>
      <c r="C507" s="101"/>
      <c r="D507" s="101"/>
      <c r="E507" s="101"/>
      <c r="F507" s="101"/>
      <c r="G507" s="101"/>
      <c r="H507" s="101"/>
      <c r="I507" s="106"/>
      <c r="J507" s="106"/>
      <c r="K507" s="106"/>
      <c r="L507" s="106"/>
      <c r="M507" s="106"/>
      <c r="N507" s="103" t="str">
        <f aca="false">IF(OR($B507="", $I507="", $J507="", $K507="", $L507="", $M507=""),"",ROUND(($I507*Lists!$AD$2)+($J507*Lists!$AD$3)+($K507*Lists!$AD$4)+($L507*Lists!$AD$5)+($M507*Lists!$AD$6),2))</f>
        <v/>
      </c>
      <c r="O507" s="103" t="str">
        <f aca="false">IF($A507="","",IFERROR(VLOOKUP($A507,'Risk Register'!$B$2:$I$1000,8,FALSE()),""))</f>
        <v/>
      </c>
      <c r="P507" s="106"/>
      <c r="Q507" s="106"/>
      <c r="R507" s="106"/>
      <c r="S507" s="106"/>
      <c r="T507" s="103" t="str">
        <f aca="false">IF(OR($B507="", $P507="", $Q507="", $R507="", $S507=""),"",ROUND(($P507*Lists!$AD$7)+($Q507*Lists!$AD$8)+($R507*Lists!$AD$9)+($S507*Lists!$AD$10),2))</f>
        <v/>
      </c>
      <c r="U507" s="106"/>
      <c r="V507" s="106"/>
      <c r="W507" s="106"/>
      <c r="X507" s="106"/>
      <c r="Y507" s="106"/>
      <c r="Z507" s="103" t="str">
        <f aca="false">IF(OR($B507="", $U507="", $V507="", $W507="", $X507="", $Y507=""),"",ROUND(($U507*Lists!$AD$11)+($V507*Lists!$AD$12)+($W507*Lists!$AD$13)+($X507*Lists!$AD$14)+($Y507*Lists!$AD$15),2))</f>
        <v/>
      </c>
      <c r="AA507" s="103" t="str">
        <f aca="false">IF(OR($B507="", $N507="", $O507="", $T507="", $Z507=""),"",ROUND(($N507*Lists!$AD$16)-($O507*Lists!$AD$17)-($T507*Lists!$AD$18)+($Z507*Lists!$AD$19),2))</f>
        <v/>
      </c>
      <c r="AB507" s="102" t="str">
        <f aca="false">IF(OR($B507="", $N507="", $Z507=""),"",IF($N507&gt;=Lists!$AG$2,IF($Z507&gt;=Lists!$AG$3,"Invest","Migrate"),IF($Z507&gt;=Lists!$AG$3,"Tolerate","Eliminate")))</f>
        <v/>
      </c>
      <c r="AC507" s="102" t="str">
        <f aca="false">IF($B507="","",IF($J507&gt;=4,"Yes",""))</f>
        <v/>
      </c>
      <c r="AD507" s="102" t="str">
        <f aca="false">IF($A507="","",IFERROR(IF(VLOOKUP($A507,'Risk Register'!$B$2:$H$1000,4,FALSE())&gt;=4,"Yes",""),""))</f>
        <v/>
      </c>
      <c r="AE507" s="102" t="str">
        <f aca="false">IF(OR($N507="", $O507=""),"",IF($N507&gt;=Lists!$AG$2,IF($O507&gt;=Lists!$AG$4,"High Value / High Risk","High Value / Low Risk"),IF($O507&gt;=Lists!$AG$4,"Low Value / High Risk","Low Value / Low Risk")))</f>
        <v/>
      </c>
      <c r="AF507" s="101"/>
      <c r="AG507" s="126"/>
      <c r="AH507" s="106" t="str">
        <f aca="false">IF($B507="","",COUNTIFS('Debt Backlog'!$AF$2:$AF$1000,$A507,'Debt Backlog'!$B$2:$B$1000,"&lt;&gt;",'Debt Backlog'!$N$2:$N$1000,"&lt;&gt;Done",'Debt Backlog'!$N$2:$N$1000,"&lt;&gt;Won't Fix",'Debt Backlog'!$N$2:$N$1000,"&lt;&gt;Duplicate"))</f>
        <v/>
      </c>
      <c r="AI507" s="103" t="str">
        <f aca="false">IF($B507="","",ROUND(SUMIFS('Debt Backlog'!$L$2:$L$1000,'Debt Backlog'!$AF$2:$AF$1000,$A507,'Debt Backlog'!$B$2:$B$1000,"&lt;&gt;",'Debt Backlog'!$N$2:$N$1000,"&lt;&gt;Done",'Debt Backlog'!$N$2:$N$1000,"&lt;&gt;Won't Fix",'Debt Backlog'!$N$2:$N$1000,"&lt;&gt;Duplicate"),2))</f>
        <v/>
      </c>
    </row>
    <row r="508" customFormat="false" ht="15.75" hidden="false" customHeight="true" outlineLevel="0" collapsed="false">
      <c r="A508" s="125"/>
      <c r="B508" s="101"/>
      <c r="C508" s="101"/>
      <c r="D508" s="101"/>
      <c r="E508" s="101"/>
      <c r="F508" s="101"/>
      <c r="G508" s="101"/>
      <c r="H508" s="101"/>
      <c r="I508" s="106"/>
      <c r="J508" s="106"/>
      <c r="K508" s="106"/>
      <c r="L508" s="106"/>
      <c r="M508" s="106"/>
      <c r="N508" s="103" t="str">
        <f aca="false">IF(OR($B508="", $I508="", $J508="", $K508="", $L508="", $M508=""),"",ROUND(($I508*Lists!$AD$2)+($J508*Lists!$AD$3)+($K508*Lists!$AD$4)+($L508*Lists!$AD$5)+($M508*Lists!$AD$6),2))</f>
        <v/>
      </c>
      <c r="O508" s="103" t="str">
        <f aca="false">IF($A508="","",IFERROR(VLOOKUP($A508,'Risk Register'!$B$2:$I$1000,8,FALSE()),""))</f>
        <v/>
      </c>
      <c r="P508" s="106"/>
      <c r="Q508" s="106"/>
      <c r="R508" s="106"/>
      <c r="S508" s="106"/>
      <c r="T508" s="103" t="str">
        <f aca="false">IF(OR($B508="", $P508="", $Q508="", $R508="", $S508=""),"",ROUND(($P508*Lists!$AD$7)+($Q508*Lists!$AD$8)+($R508*Lists!$AD$9)+($S508*Lists!$AD$10),2))</f>
        <v/>
      </c>
      <c r="U508" s="106"/>
      <c r="V508" s="106"/>
      <c r="W508" s="106"/>
      <c r="X508" s="106"/>
      <c r="Y508" s="106"/>
      <c r="Z508" s="103" t="str">
        <f aca="false">IF(OR($B508="", $U508="", $V508="", $W508="", $X508="", $Y508=""),"",ROUND(($U508*Lists!$AD$11)+($V508*Lists!$AD$12)+($W508*Lists!$AD$13)+($X508*Lists!$AD$14)+($Y508*Lists!$AD$15),2))</f>
        <v/>
      </c>
      <c r="AA508" s="103" t="str">
        <f aca="false">IF(OR($B508="", $N508="", $O508="", $T508="", $Z508=""),"",ROUND(($N508*Lists!$AD$16)-($O508*Lists!$AD$17)-($T508*Lists!$AD$18)+($Z508*Lists!$AD$19),2))</f>
        <v/>
      </c>
      <c r="AB508" s="102" t="str">
        <f aca="false">IF(OR($B508="", $N508="", $Z508=""),"",IF($N508&gt;=Lists!$AG$2,IF($Z508&gt;=Lists!$AG$3,"Invest","Migrate"),IF($Z508&gt;=Lists!$AG$3,"Tolerate","Eliminate")))</f>
        <v/>
      </c>
      <c r="AC508" s="102" t="str">
        <f aca="false">IF($B508="","",IF($J508&gt;=4,"Yes",""))</f>
        <v/>
      </c>
      <c r="AD508" s="102" t="str">
        <f aca="false">IF($A508="","",IFERROR(IF(VLOOKUP($A508,'Risk Register'!$B$2:$H$1000,4,FALSE())&gt;=4,"Yes",""),""))</f>
        <v/>
      </c>
      <c r="AE508" s="102" t="str">
        <f aca="false">IF(OR($N508="", $O508=""),"",IF($N508&gt;=Lists!$AG$2,IF($O508&gt;=Lists!$AG$4,"High Value / High Risk","High Value / Low Risk"),IF($O508&gt;=Lists!$AG$4,"Low Value / High Risk","Low Value / Low Risk")))</f>
        <v/>
      </c>
      <c r="AF508" s="101"/>
      <c r="AG508" s="126"/>
      <c r="AH508" s="106" t="str">
        <f aca="false">IF($B508="","",COUNTIFS('Debt Backlog'!$AF$2:$AF$1000,$A508,'Debt Backlog'!$B$2:$B$1000,"&lt;&gt;",'Debt Backlog'!$N$2:$N$1000,"&lt;&gt;Done",'Debt Backlog'!$N$2:$N$1000,"&lt;&gt;Won't Fix",'Debt Backlog'!$N$2:$N$1000,"&lt;&gt;Duplicate"))</f>
        <v/>
      </c>
      <c r="AI508" s="103" t="str">
        <f aca="false">IF($B508="","",ROUND(SUMIFS('Debt Backlog'!$L$2:$L$1000,'Debt Backlog'!$AF$2:$AF$1000,$A508,'Debt Backlog'!$B$2:$B$1000,"&lt;&gt;",'Debt Backlog'!$N$2:$N$1000,"&lt;&gt;Done",'Debt Backlog'!$N$2:$N$1000,"&lt;&gt;Won't Fix",'Debt Backlog'!$N$2:$N$1000,"&lt;&gt;Duplicate"),2))</f>
        <v/>
      </c>
    </row>
    <row r="509" customFormat="false" ht="15.75" hidden="false" customHeight="true" outlineLevel="0" collapsed="false">
      <c r="A509" s="125"/>
      <c r="B509" s="101"/>
      <c r="C509" s="101"/>
      <c r="D509" s="101"/>
      <c r="E509" s="101"/>
      <c r="F509" s="101"/>
      <c r="G509" s="101"/>
      <c r="H509" s="101"/>
      <c r="I509" s="106"/>
      <c r="J509" s="106"/>
      <c r="K509" s="106"/>
      <c r="L509" s="106"/>
      <c r="M509" s="106"/>
      <c r="N509" s="103" t="str">
        <f aca="false">IF(OR($B509="", $I509="", $J509="", $K509="", $L509="", $M509=""),"",ROUND(($I509*Lists!$AD$2)+($J509*Lists!$AD$3)+($K509*Lists!$AD$4)+($L509*Lists!$AD$5)+($M509*Lists!$AD$6),2))</f>
        <v/>
      </c>
      <c r="O509" s="103" t="str">
        <f aca="false">IF($A509="","",IFERROR(VLOOKUP($A509,'Risk Register'!$B$2:$I$1000,8,FALSE()),""))</f>
        <v/>
      </c>
      <c r="P509" s="106"/>
      <c r="Q509" s="106"/>
      <c r="R509" s="106"/>
      <c r="S509" s="106"/>
      <c r="T509" s="103" t="str">
        <f aca="false">IF(OR($B509="", $P509="", $Q509="", $R509="", $S509=""),"",ROUND(($P509*Lists!$AD$7)+($Q509*Lists!$AD$8)+($R509*Lists!$AD$9)+($S509*Lists!$AD$10),2))</f>
        <v/>
      </c>
      <c r="U509" s="106"/>
      <c r="V509" s="106"/>
      <c r="W509" s="106"/>
      <c r="X509" s="106"/>
      <c r="Y509" s="106"/>
      <c r="Z509" s="103" t="str">
        <f aca="false">IF(OR($B509="", $U509="", $V509="", $W509="", $X509="", $Y509=""),"",ROUND(($U509*Lists!$AD$11)+($V509*Lists!$AD$12)+($W509*Lists!$AD$13)+($X509*Lists!$AD$14)+($Y509*Lists!$AD$15),2))</f>
        <v/>
      </c>
      <c r="AA509" s="103" t="str">
        <f aca="false">IF(OR($B509="", $N509="", $O509="", $T509="", $Z509=""),"",ROUND(($N509*Lists!$AD$16)-($O509*Lists!$AD$17)-($T509*Lists!$AD$18)+($Z509*Lists!$AD$19),2))</f>
        <v/>
      </c>
      <c r="AB509" s="102" t="str">
        <f aca="false">IF(OR($B509="", $N509="", $Z509=""),"",IF($N509&gt;=Lists!$AG$2,IF($Z509&gt;=Lists!$AG$3,"Invest","Migrate"),IF($Z509&gt;=Lists!$AG$3,"Tolerate","Eliminate")))</f>
        <v/>
      </c>
      <c r="AC509" s="102" t="str">
        <f aca="false">IF($B509="","",IF($J509&gt;=4,"Yes",""))</f>
        <v/>
      </c>
      <c r="AD509" s="102" t="str">
        <f aca="false">IF($A509="","",IFERROR(IF(VLOOKUP($A509,'Risk Register'!$B$2:$H$1000,4,FALSE())&gt;=4,"Yes",""),""))</f>
        <v/>
      </c>
      <c r="AE509" s="102" t="str">
        <f aca="false">IF(OR($N509="", $O509=""),"",IF($N509&gt;=Lists!$AG$2,IF($O509&gt;=Lists!$AG$4,"High Value / High Risk","High Value / Low Risk"),IF($O509&gt;=Lists!$AG$4,"Low Value / High Risk","Low Value / Low Risk")))</f>
        <v/>
      </c>
      <c r="AF509" s="101"/>
      <c r="AG509" s="126"/>
      <c r="AH509" s="106" t="str">
        <f aca="false">IF($B509="","",COUNTIFS('Debt Backlog'!$AF$2:$AF$1000,$A509,'Debt Backlog'!$B$2:$B$1000,"&lt;&gt;",'Debt Backlog'!$N$2:$N$1000,"&lt;&gt;Done",'Debt Backlog'!$N$2:$N$1000,"&lt;&gt;Won't Fix",'Debt Backlog'!$N$2:$N$1000,"&lt;&gt;Duplicate"))</f>
        <v/>
      </c>
      <c r="AI509" s="103" t="str">
        <f aca="false">IF($B509="","",ROUND(SUMIFS('Debt Backlog'!$L$2:$L$1000,'Debt Backlog'!$AF$2:$AF$1000,$A509,'Debt Backlog'!$B$2:$B$1000,"&lt;&gt;",'Debt Backlog'!$N$2:$N$1000,"&lt;&gt;Done",'Debt Backlog'!$N$2:$N$1000,"&lt;&gt;Won't Fix",'Debt Backlog'!$N$2:$N$1000,"&lt;&gt;Duplicate"),2))</f>
        <v/>
      </c>
    </row>
    <row r="510" customFormat="false" ht="15.75" hidden="false" customHeight="true" outlineLevel="0" collapsed="false">
      <c r="A510" s="125"/>
      <c r="B510" s="101"/>
      <c r="C510" s="101"/>
      <c r="D510" s="101"/>
      <c r="E510" s="101"/>
      <c r="F510" s="101"/>
      <c r="G510" s="101"/>
      <c r="H510" s="101"/>
      <c r="I510" s="106"/>
      <c r="J510" s="106"/>
      <c r="K510" s="106"/>
      <c r="L510" s="106"/>
      <c r="M510" s="106"/>
      <c r="N510" s="103" t="str">
        <f aca="false">IF(OR($B510="", $I510="", $J510="", $K510="", $L510="", $M510=""),"",ROUND(($I510*Lists!$AD$2)+($J510*Lists!$AD$3)+($K510*Lists!$AD$4)+($L510*Lists!$AD$5)+($M510*Lists!$AD$6),2))</f>
        <v/>
      </c>
      <c r="O510" s="103" t="str">
        <f aca="false">IF($A510="","",IFERROR(VLOOKUP($A510,'Risk Register'!$B$2:$I$1000,8,FALSE()),""))</f>
        <v/>
      </c>
      <c r="P510" s="106"/>
      <c r="Q510" s="106"/>
      <c r="R510" s="106"/>
      <c r="S510" s="106"/>
      <c r="T510" s="103" t="str">
        <f aca="false">IF(OR($B510="", $P510="", $Q510="", $R510="", $S510=""),"",ROUND(($P510*Lists!$AD$7)+($Q510*Lists!$AD$8)+($R510*Lists!$AD$9)+($S510*Lists!$AD$10),2))</f>
        <v/>
      </c>
      <c r="U510" s="106"/>
      <c r="V510" s="106"/>
      <c r="W510" s="106"/>
      <c r="X510" s="106"/>
      <c r="Y510" s="106"/>
      <c r="Z510" s="103" t="str">
        <f aca="false">IF(OR($B510="", $U510="", $V510="", $W510="", $X510="", $Y510=""),"",ROUND(($U510*Lists!$AD$11)+($V510*Lists!$AD$12)+($W510*Lists!$AD$13)+($X510*Lists!$AD$14)+($Y510*Lists!$AD$15),2))</f>
        <v/>
      </c>
      <c r="AA510" s="103" t="str">
        <f aca="false">IF(OR($B510="", $N510="", $O510="", $T510="", $Z510=""),"",ROUND(($N510*Lists!$AD$16)-($O510*Lists!$AD$17)-($T510*Lists!$AD$18)+($Z510*Lists!$AD$19),2))</f>
        <v/>
      </c>
      <c r="AB510" s="102" t="str">
        <f aca="false">IF(OR($B510="", $N510="", $Z510=""),"",IF($N510&gt;=Lists!$AG$2,IF($Z510&gt;=Lists!$AG$3,"Invest","Migrate"),IF($Z510&gt;=Lists!$AG$3,"Tolerate","Eliminate")))</f>
        <v/>
      </c>
      <c r="AC510" s="102" t="str">
        <f aca="false">IF($B510="","",IF($J510&gt;=4,"Yes",""))</f>
        <v/>
      </c>
      <c r="AD510" s="102" t="str">
        <f aca="false">IF($A510="","",IFERROR(IF(VLOOKUP($A510,'Risk Register'!$B$2:$H$1000,4,FALSE())&gt;=4,"Yes",""),""))</f>
        <v/>
      </c>
      <c r="AE510" s="102" t="str">
        <f aca="false">IF(OR($N510="", $O510=""),"",IF($N510&gt;=Lists!$AG$2,IF($O510&gt;=Lists!$AG$4,"High Value / High Risk","High Value / Low Risk"),IF($O510&gt;=Lists!$AG$4,"Low Value / High Risk","Low Value / Low Risk")))</f>
        <v/>
      </c>
      <c r="AF510" s="101"/>
      <c r="AG510" s="126"/>
      <c r="AH510" s="106" t="str">
        <f aca="false">IF($B510="","",COUNTIFS('Debt Backlog'!$AF$2:$AF$1000,$A510,'Debt Backlog'!$B$2:$B$1000,"&lt;&gt;",'Debt Backlog'!$N$2:$N$1000,"&lt;&gt;Done",'Debt Backlog'!$N$2:$N$1000,"&lt;&gt;Won't Fix",'Debt Backlog'!$N$2:$N$1000,"&lt;&gt;Duplicate"))</f>
        <v/>
      </c>
      <c r="AI510" s="103" t="str">
        <f aca="false">IF($B510="","",ROUND(SUMIFS('Debt Backlog'!$L$2:$L$1000,'Debt Backlog'!$AF$2:$AF$1000,$A510,'Debt Backlog'!$B$2:$B$1000,"&lt;&gt;",'Debt Backlog'!$N$2:$N$1000,"&lt;&gt;Done",'Debt Backlog'!$N$2:$N$1000,"&lt;&gt;Won't Fix",'Debt Backlog'!$N$2:$N$1000,"&lt;&gt;Duplicate"),2))</f>
        <v/>
      </c>
    </row>
    <row r="511" customFormat="false" ht="15.75" hidden="false" customHeight="true" outlineLevel="0" collapsed="false">
      <c r="A511" s="125"/>
      <c r="B511" s="101"/>
      <c r="C511" s="101"/>
      <c r="D511" s="101"/>
      <c r="E511" s="101"/>
      <c r="F511" s="101"/>
      <c r="G511" s="101"/>
      <c r="H511" s="101"/>
      <c r="I511" s="106"/>
      <c r="J511" s="106"/>
      <c r="K511" s="106"/>
      <c r="L511" s="106"/>
      <c r="M511" s="106"/>
      <c r="N511" s="103" t="str">
        <f aca="false">IF(OR($B511="", $I511="", $J511="", $K511="", $L511="", $M511=""),"",ROUND(($I511*Lists!$AD$2)+($J511*Lists!$AD$3)+($K511*Lists!$AD$4)+($L511*Lists!$AD$5)+($M511*Lists!$AD$6),2))</f>
        <v/>
      </c>
      <c r="O511" s="103" t="str">
        <f aca="false">IF($A511="","",IFERROR(VLOOKUP($A511,'Risk Register'!$B$2:$I$1000,8,FALSE()),""))</f>
        <v/>
      </c>
      <c r="P511" s="106"/>
      <c r="Q511" s="106"/>
      <c r="R511" s="106"/>
      <c r="S511" s="106"/>
      <c r="T511" s="103" t="str">
        <f aca="false">IF(OR($B511="", $P511="", $Q511="", $R511="", $S511=""),"",ROUND(($P511*Lists!$AD$7)+($Q511*Lists!$AD$8)+($R511*Lists!$AD$9)+($S511*Lists!$AD$10),2))</f>
        <v/>
      </c>
      <c r="U511" s="106"/>
      <c r="V511" s="106"/>
      <c r="W511" s="106"/>
      <c r="X511" s="106"/>
      <c r="Y511" s="106"/>
      <c r="Z511" s="103" t="str">
        <f aca="false">IF(OR($B511="", $U511="", $V511="", $W511="", $X511="", $Y511=""),"",ROUND(($U511*Lists!$AD$11)+($V511*Lists!$AD$12)+($W511*Lists!$AD$13)+($X511*Lists!$AD$14)+($Y511*Lists!$AD$15),2))</f>
        <v/>
      </c>
      <c r="AA511" s="103" t="str">
        <f aca="false">IF(OR($B511="", $N511="", $O511="", $T511="", $Z511=""),"",ROUND(($N511*Lists!$AD$16)-($O511*Lists!$AD$17)-($T511*Lists!$AD$18)+($Z511*Lists!$AD$19),2))</f>
        <v/>
      </c>
      <c r="AB511" s="102" t="str">
        <f aca="false">IF(OR($B511="", $N511="", $Z511=""),"",IF($N511&gt;=Lists!$AG$2,IF($Z511&gt;=Lists!$AG$3,"Invest","Migrate"),IF($Z511&gt;=Lists!$AG$3,"Tolerate","Eliminate")))</f>
        <v/>
      </c>
      <c r="AC511" s="102" t="str">
        <f aca="false">IF($B511="","",IF($J511&gt;=4,"Yes",""))</f>
        <v/>
      </c>
      <c r="AD511" s="102" t="str">
        <f aca="false">IF($A511="","",IFERROR(IF(VLOOKUP($A511,'Risk Register'!$B$2:$H$1000,4,FALSE())&gt;=4,"Yes",""),""))</f>
        <v/>
      </c>
      <c r="AE511" s="102" t="str">
        <f aca="false">IF(OR($N511="", $O511=""),"",IF($N511&gt;=Lists!$AG$2,IF($O511&gt;=Lists!$AG$4,"High Value / High Risk","High Value / Low Risk"),IF($O511&gt;=Lists!$AG$4,"Low Value / High Risk","Low Value / Low Risk")))</f>
        <v/>
      </c>
      <c r="AF511" s="101"/>
      <c r="AG511" s="126"/>
      <c r="AH511" s="106" t="str">
        <f aca="false">IF($B511="","",COUNTIFS('Debt Backlog'!$AF$2:$AF$1000,$A511,'Debt Backlog'!$B$2:$B$1000,"&lt;&gt;",'Debt Backlog'!$N$2:$N$1000,"&lt;&gt;Done",'Debt Backlog'!$N$2:$N$1000,"&lt;&gt;Won't Fix",'Debt Backlog'!$N$2:$N$1000,"&lt;&gt;Duplicate"))</f>
        <v/>
      </c>
      <c r="AI511" s="103" t="str">
        <f aca="false">IF($B511="","",ROUND(SUMIFS('Debt Backlog'!$L$2:$L$1000,'Debt Backlog'!$AF$2:$AF$1000,$A511,'Debt Backlog'!$B$2:$B$1000,"&lt;&gt;",'Debt Backlog'!$N$2:$N$1000,"&lt;&gt;Done",'Debt Backlog'!$N$2:$N$1000,"&lt;&gt;Won't Fix",'Debt Backlog'!$N$2:$N$1000,"&lt;&gt;Duplicate"),2))</f>
        <v/>
      </c>
    </row>
    <row r="512" customFormat="false" ht="15.75" hidden="false" customHeight="true" outlineLevel="0" collapsed="false">
      <c r="A512" s="125"/>
      <c r="B512" s="101"/>
      <c r="C512" s="101"/>
      <c r="D512" s="101"/>
      <c r="E512" s="101"/>
      <c r="F512" s="101"/>
      <c r="G512" s="101"/>
      <c r="H512" s="101"/>
      <c r="I512" s="106"/>
      <c r="J512" s="106"/>
      <c r="K512" s="106"/>
      <c r="L512" s="106"/>
      <c r="M512" s="106"/>
      <c r="N512" s="103" t="str">
        <f aca="false">IF(OR($B512="", $I512="", $J512="", $K512="", $L512="", $M512=""),"",ROUND(($I512*Lists!$AD$2)+($J512*Lists!$AD$3)+($K512*Lists!$AD$4)+($L512*Lists!$AD$5)+($M512*Lists!$AD$6),2))</f>
        <v/>
      </c>
      <c r="O512" s="103" t="str">
        <f aca="false">IF($A512="","",IFERROR(VLOOKUP($A512,'Risk Register'!$B$2:$I$1000,8,FALSE()),""))</f>
        <v/>
      </c>
      <c r="P512" s="106"/>
      <c r="Q512" s="106"/>
      <c r="R512" s="106"/>
      <c r="S512" s="106"/>
      <c r="T512" s="103" t="str">
        <f aca="false">IF(OR($B512="", $P512="", $Q512="", $R512="", $S512=""),"",ROUND(($P512*Lists!$AD$7)+($Q512*Lists!$AD$8)+($R512*Lists!$AD$9)+($S512*Lists!$AD$10),2))</f>
        <v/>
      </c>
      <c r="U512" s="106"/>
      <c r="V512" s="106"/>
      <c r="W512" s="106"/>
      <c r="X512" s="106"/>
      <c r="Y512" s="106"/>
      <c r="Z512" s="103" t="str">
        <f aca="false">IF(OR($B512="", $U512="", $V512="", $W512="", $X512="", $Y512=""),"",ROUND(($U512*Lists!$AD$11)+($V512*Lists!$AD$12)+($W512*Lists!$AD$13)+($X512*Lists!$AD$14)+($Y512*Lists!$AD$15),2))</f>
        <v/>
      </c>
      <c r="AA512" s="103" t="str">
        <f aca="false">IF(OR($B512="", $N512="", $O512="", $T512="", $Z512=""),"",ROUND(($N512*Lists!$AD$16)-($O512*Lists!$AD$17)-($T512*Lists!$AD$18)+($Z512*Lists!$AD$19),2))</f>
        <v/>
      </c>
      <c r="AB512" s="102" t="str">
        <f aca="false">IF(OR($B512="", $N512="", $Z512=""),"",IF($N512&gt;=Lists!$AG$2,IF($Z512&gt;=Lists!$AG$3,"Invest","Migrate"),IF($Z512&gt;=Lists!$AG$3,"Tolerate","Eliminate")))</f>
        <v/>
      </c>
      <c r="AC512" s="102" t="str">
        <f aca="false">IF($B512="","",IF($J512&gt;=4,"Yes",""))</f>
        <v/>
      </c>
      <c r="AD512" s="102" t="str">
        <f aca="false">IF($A512="","",IFERROR(IF(VLOOKUP($A512,'Risk Register'!$B$2:$H$1000,4,FALSE())&gt;=4,"Yes",""),""))</f>
        <v/>
      </c>
      <c r="AE512" s="102" t="str">
        <f aca="false">IF(OR($N512="", $O512=""),"",IF($N512&gt;=Lists!$AG$2,IF($O512&gt;=Lists!$AG$4,"High Value / High Risk","High Value / Low Risk"),IF($O512&gt;=Lists!$AG$4,"Low Value / High Risk","Low Value / Low Risk")))</f>
        <v/>
      </c>
      <c r="AF512" s="101"/>
      <c r="AG512" s="126"/>
      <c r="AH512" s="106" t="str">
        <f aca="false">IF($B512="","",COUNTIFS('Debt Backlog'!$AF$2:$AF$1000,$A512,'Debt Backlog'!$B$2:$B$1000,"&lt;&gt;",'Debt Backlog'!$N$2:$N$1000,"&lt;&gt;Done",'Debt Backlog'!$N$2:$N$1000,"&lt;&gt;Won't Fix",'Debt Backlog'!$N$2:$N$1000,"&lt;&gt;Duplicate"))</f>
        <v/>
      </c>
      <c r="AI512" s="103" t="str">
        <f aca="false">IF($B512="","",ROUND(SUMIFS('Debt Backlog'!$L$2:$L$1000,'Debt Backlog'!$AF$2:$AF$1000,$A512,'Debt Backlog'!$B$2:$B$1000,"&lt;&gt;",'Debt Backlog'!$N$2:$N$1000,"&lt;&gt;Done",'Debt Backlog'!$N$2:$N$1000,"&lt;&gt;Won't Fix",'Debt Backlog'!$N$2:$N$1000,"&lt;&gt;Duplicate"),2))</f>
        <v/>
      </c>
    </row>
    <row r="513" customFormat="false" ht="15.75" hidden="false" customHeight="true" outlineLevel="0" collapsed="false">
      <c r="A513" s="125"/>
      <c r="B513" s="101"/>
      <c r="C513" s="101"/>
      <c r="D513" s="101"/>
      <c r="E513" s="101"/>
      <c r="F513" s="101"/>
      <c r="G513" s="101"/>
      <c r="H513" s="101"/>
      <c r="I513" s="106"/>
      <c r="J513" s="106"/>
      <c r="K513" s="106"/>
      <c r="L513" s="106"/>
      <c r="M513" s="106"/>
      <c r="N513" s="103" t="str">
        <f aca="false">IF(OR($B513="", $I513="", $J513="", $K513="", $L513="", $M513=""),"",ROUND(($I513*Lists!$AD$2)+($J513*Lists!$AD$3)+($K513*Lists!$AD$4)+($L513*Lists!$AD$5)+($M513*Lists!$AD$6),2))</f>
        <v/>
      </c>
      <c r="O513" s="103" t="str">
        <f aca="false">IF($A513="","",IFERROR(VLOOKUP($A513,'Risk Register'!$B$2:$I$1000,8,FALSE()),""))</f>
        <v/>
      </c>
      <c r="P513" s="106"/>
      <c r="Q513" s="106"/>
      <c r="R513" s="106"/>
      <c r="S513" s="106"/>
      <c r="T513" s="103" t="str">
        <f aca="false">IF(OR($B513="", $P513="", $Q513="", $R513="", $S513=""),"",ROUND(($P513*Lists!$AD$7)+($Q513*Lists!$AD$8)+($R513*Lists!$AD$9)+($S513*Lists!$AD$10),2))</f>
        <v/>
      </c>
      <c r="U513" s="106"/>
      <c r="V513" s="106"/>
      <c r="W513" s="106"/>
      <c r="X513" s="106"/>
      <c r="Y513" s="106"/>
      <c r="Z513" s="103" t="str">
        <f aca="false">IF(OR($B513="", $U513="", $V513="", $W513="", $X513="", $Y513=""),"",ROUND(($U513*Lists!$AD$11)+($V513*Lists!$AD$12)+($W513*Lists!$AD$13)+($X513*Lists!$AD$14)+($Y513*Lists!$AD$15),2))</f>
        <v/>
      </c>
      <c r="AA513" s="103" t="str">
        <f aca="false">IF(OR($B513="", $N513="", $O513="", $T513="", $Z513=""),"",ROUND(($N513*Lists!$AD$16)-($O513*Lists!$AD$17)-($T513*Lists!$AD$18)+($Z513*Lists!$AD$19),2))</f>
        <v/>
      </c>
      <c r="AB513" s="102" t="str">
        <f aca="false">IF(OR($B513="", $N513="", $Z513=""),"",IF($N513&gt;=Lists!$AG$2,IF($Z513&gt;=Lists!$AG$3,"Invest","Migrate"),IF($Z513&gt;=Lists!$AG$3,"Tolerate","Eliminate")))</f>
        <v/>
      </c>
      <c r="AC513" s="102" t="str">
        <f aca="false">IF($B513="","",IF($J513&gt;=4,"Yes",""))</f>
        <v/>
      </c>
      <c r="AD513" s="102" t="str">
        <f aca="false">IF($A513="","",IFERROR(IF(VLOOKUP($A513,'Risk Register'!$B$2:$H$1000,4,FALSE())&gt;=4,"Yes",""),""))</f>
        <v/>
      </c>
      <c r="AE513" s="102" t="str">
        <f aca="false">IF(OR($N513="", $O513=""),"",IF($N513&gt;=Lists!$AG$2,IF($O513&gt;=Lists!$AG$4,"High Value / High Risk","High Value / Low Risk"),IF($O513&gt;=Lists!$AG$4,"Low Value / High Risk","Low Value / Low Risk")))</f>
        <v/>
      </c>
      <c r="AF513" s="101"/>
      <c r="AG513" s="126"/>
      <c r="AH513" s="106" t="str">
        <f aca="false">IF($B513="","",COUNTIFS('Debt Backlog'!$AF$2:$AF$1000,$A513,'Debt Backlog'!$B$2:$B$1000,"&lt;&gt;",'Debt Backlog'!$N$2:$N$1000,"&lt;&gt;Done",'Debt Backlog'!$N$2:$N$1000,"&lt;&gt;Won't Fix",'Debt Backlog'!$N$2:$N$1000,"&lt;&gt;Duplicate"))</f>
        <v/>
      </c>
      <c r="AI513" s="103" t="str">
        <f aca="false">IF($B513="","",ROUND(SUMIFS('Debt Backlog'!$L$2:$L$1000,'Debt Backlog'!$AF$2:$AF$1000,$A513,'Debt Backlog'!$B$2:$B$1000,"&lt;&gt;",'Debt Backlog'!$N$2:$N$1000,"&lt;&gt;Done",'Debt Backlog'!$N$2:$N$1000,"&lt;&gt;Won't Fix",'Debt Backlog'!$N$2:$N$1000,"&lt;&gt;Duplicate"),2))</f>
        <v/>
      </c>
    </row>
    <row r="514" customFormat="false" ht="15.75" hidden="false" customHeight="true" outlineLevel="0" collapsed="false">
      <c r="A514" s="125"/>
      <c r="B514" s="101"/>
      <c r="C514" s="101"/>
      <c r="D514" s="101"/>
      <c r="E514" s="101"/>
      <c r="F514" s="101"/>
      <c r="G514" s="101"/>
      <c r="H514" s="101"/>
      <c r="I514" s="106"/>
      <c r="J514" s="106"/>
      <c r="K514" s="106"/>
      <c r="L514" s="106"/>
      <c r="M514" s="106"/>
      <c r="N514" s="103" t="str">
        <f aca="false">IF(OR($B514="", $I514="", $J514="", $K514="", $L514="", $M514=""),"",ROUND(($I514*Lists!$AD$2)+($J514*Lists!$AD$3)+($K514*Lists!$AD$4)+($L514*Lists!$AD$5)+($M514*Lists!$AD$6),2))</f>
        <v/>
      </c>
      <c r="O514" s="103" t="str">
        <f aca="false">IF($A514="","",IFERROR(VLOOKUP($A514,'Risk Register'!$B$2:$I$1000,8,FALSE()),""))</f>
        <v/>
      </c>
      <c r="P514" s="106"/>
      <c r="Q514" s="106"/>
      <c r="R514" s="106"/>
      <c r="S514" s="106"/>
      <c r="T514" s="103" t="str">
        <f aca="false">IF(OR($B514="", $P514="", $Q514="", $R514="", $S514=""),"",ROUND(($P514*Lists!$AD$7)+($Q514*Lists!$AD$8)+($R514*Lists!$AD$9)+($S514*Lists!$AD$10),2))</f>
        <v/>
      </c>
      <c r="U514" s="106"/>
      <c r="V514" s="106"/>
      <c r="W514" s="106"/>
      <c r="X514" s="106"/>
      <c r="Y514" s="106"/>
      <c r="Z514" s="103" t="str">
        <f aca="false">IF(OR($B514="", $U514="", $V514="", $W514="", $X514="", $Y514=""),"",ROUND(($U514*Lists!$AD$11)+($V514*Lists!$AD$12)+($W514*Lists!$AD$13)+($X514*Lists!$AD$14)+($Y514*Lists!$AD$15),2))</f>
        <v/>
      </c>
      <c r="AA514" s="103" t="str">
        <f aca="false">IF(OR($B514="", $N514="", $O514="", $T514="", $Z514=""),"",ROUND(($N514*Lists!$AD$16)-($O514*Lists!$AD$17)-($T514*Lists!$AD$18)+($Z514*Lists!$AD$19),2))</f>
        <v/>
      </c>
      <c r="AB514" s="102" t="str">
        <f aca="false">IF(OR($B514="", $N514="", $Z514=""),"",IF($N514&gt;=Lists!$AG$2,IF($Z514&gt;=Lists!$AG$3,"Invest","Migrate"),IF($Z514&gt;=Lists!$AG$3,"Tolerate","Eliminate")))</f>
        <v/>
      </c>
      <c r="AC514" s="102" t="str">
        <f aca="false">IF($B514="","",IF($J514&gt;=4,"Yes",""))</f>
        <v/>
      </c>
      <c r="AD514" s="102" t="str">
        <f aca="false">IF($A514="","",IFERROR(IF(VLOOKUP($A514,'Risk Register'!$B$2:$H$1000,4,FALSE())&gt;=4,"Yes",""),""))</f>
        <v/>
      </c>
      <c r="AE514" s="102" t="str">
        <f aca="false">IF(OR($N514="", $O514=""),"",IF($N514&gt;=Lists!$AG$2,IF($O514&gt;=Lists!$AG$4,"High Value / High Risk","High Value / Low Risk"),IF($O514&gt;=Lists!$AG$4,"Low Value / High Risk","Low Value / Low Risk")))</f>
        <v/>
      </c>
      <c r="AF514" s="101"/>
      <c r="AG514" s="126"/>
      <c r="AH514" s="106" t="str">
        <f aca="false">IF($B514="","",COUNTIFS('Debt Backlog'!$AF$2:$AF$1000,$A514,'Debt Backlog'!$B$2:$B$1000,"&lt;&gt;",'Debt Backlog'!$N$2:$N$1000,"&lt;&gt;Done",'Debt Backlog'!$N$2:$N$1000,"&lt;&gt;Won't Fix",'Debt Backlog'!$N$2:$N$1000,"&lt;&gt;Duplicate"))</f>
        <v/>
      </c>
      <c r="AI514" s="103" t="str">
        <f aca="false">IF($B514="","",ROUND(SUMIFS('Debt Backlog'!$L$2:$L$1000,'Debt Backlog'!$AF$2:$AF$1000,$A514,'Debt Backlog'!$B$2:$B$1000,"&lt;&gt;",'Debt Backlog'!$N$2:$N$1000,"&lt;&gt;Done",'Debt Backlog'!$N$2:$N$1000,"&lt;&gt;Won't Fix",'Debt Backlog'!$N$2:$N$1000,"&lt;&gt;Duplicate"),2))</f>
        <v/>
      </c>
    </row>
    <row r="515" customFormat="false" ht="15.75" hidden="false" customHeight="true" outlineLevel="0" collapsed="false">
      <c r="A515" s="125"/>
      <c r="B515" s="101"/>
      <c r="C515" s="101"/>
      <c r="D515" s="101"/>
      <c r="E515" s="101"/>
      <c r="F515" s="101"/>
      <c r="G515" s="101"/>
      <c r="H515" s="101"/>
      <c r="I515" s="106"/>
      <c r="J515" s="106"/>
      <c r="K515" s="106"/>
      <c r="L515" s="106"/>
      <c r="M515" s="106"/>
      <c r="N515" s="103" t="str">
        <f aca="false">IF(OR($B515="", $I515="", $J515="", $K515="", $L515="", $M515=""),"",ROUND(($I515*Lists!$AD$2)+($J515*Lists!$AD$3)+($K515*Lists!$AD$4)+($L515*Lists!$AD$5)+($M515*Lists!$AD$6),2))</f>
        <v/>
      </c>
      <c r="O515" s="103" t="str">
        <f aca="false">IF($A515="","",IFERROR(VLOOKUP($A515,'Risk Register'!$B$2:$I$1000,8,FALSE()),""))</f>
        <v/>
      </c>
      <c r="P515" s="106"/>
      <c r="Q515" s="106"/>
      <c r="R515" s="106"/>
      <c r="S515" s="106"/>
      <c r="T515" s="103" t="str">
        <f aca="false">IF(OR($B515="", $P515="", $Q515="", $R515="", $S515=""),"",ROUND(($P515*Lists!$AD$7)+($Q515*Lists!$AD$8)+($R515*Lists!$AD$9)+($S515*Lists!$AD$10),2))</f>
        <v/>
      </c>
      <c r="U515" s="106"/>
      <c r="V515" s="106"/>
      <c r="W515" s="106"/>
      <c r="X515" s="106"/>
      <c r="Y515" s="106"/>
      <c r="Z515" s="103" t="str">
        <f aca="false">IF(OR($B515="", $U515="", $V515="", $W515="", $X515="", $Y515=""),"",ROUND(($U515*Lists!$AD$11)+($V515*Lists!$AD$12)+($W515*Lists!$AD$13)+($X515*Lists!$AD$14)+($Y515*Lists!$AD$15),2))</f>
        <v/>
      </c>
      <c r="AA515" s="103" t="str">
        <f aca="false">IF(OR($B515="", $N515="", $O515="", $T515="", $Z515=""),"",ROUND(($N515*Lists!$AD$16)-($O515*Lists!$AD$17)-($T515*Lists!$AD$18)+($Z515*Lists!$AD$19),2))</f>
        <v/>
      </c>
      <c r="AB515" s="102" t="str">
        <f aca="false">IF(OR($B515="", $N515="", $Z515=""),"",IF($N515&gt;=Lists!$AG$2,IF($Z515&gt;=Lists!$AG$3,"Invest","Migrate"),IF($Z515&gt;=Lists!$AG$3,"Tolerate","Eliminate")))</f>
        <v/>
      </c>
      <c r="AC515" s="102" t="str">
        <f aca="false">IF($B515="","",IF($J515&gt;=4,"Yes",""))</f>
        <v/>
      </c>
      <c r="AD515" s="102" t="str">
        <f aca="false">IF($A515="","",IFERROR(IF(VLOOKUP($A515,'Risk Register'!$B$2:$H$1000,4,FALSE())&gt;=4,"Yes",""),""))</f>
        <v/>
      </c>
      <c r="AE515" s="102" t="str">
        <f aca="false">IF(OR($N515="", $O515=""),"",IF($N515&gt;=Lists!$AG$2,IF($O515&gt;=Lists!$AG$4,"High Value / High Risk","High Value / Low Risk"),IF($O515&gt;=Lists!$AG$4,"Low Value / High Risk","Low Value / Low Risk")))</f>
        <v/>
      </c>
      <c r="AF515" s="101"/>
      <c r="AG515" s="126"/>
      <c r="AH515" s="106" t="str">
        <f aca="false">IF($B515="","",COUNTIFS('Debt Backlog'!$AF$2:$AF$1000,$A515,'Debt Backlog'!$B$2:$B$1000,"&lt;&gt;",'Debt Backlog'!$N$2:$N$1000,"&lt;&gt;Done",'Debt Backlog'!$N$2:$N$1000,"&lt;&gt;Won't Fix",'Debt Backlog'!$N$2:$N$1000,"&lt;&gt;Duplicate"))</f>
        <v/>
      </c>
      <c r="AI515" s="103" t="str">
        <f aca="false">IF($B515="","",ROUND(SUMIFS('Debt Backlog'!$L$2:$L$1000,'Debt Backlog'!$AF$2:$AF$1000,$A515,'Debt Backlog'!$B$2:$B$1000,"&lt;&gt;",'Debt Backlog'!$N$2:$N$1000,"&lt;&gt;Done",'Debt Backlog'!$N$2:$N$1000,"&lt;&gt;Won't Fix",'Debt Backlog'!$N$2:$N$1000,"&lt;&gt;Duplicate"),2))</f>
        <v/>
      </c>
    </row>
    <row r="516" customFormat="false" ht="15.75" hidden="false" customHeight="true" outlineLevel="0" collapsed="false">
      <c r="A516" s="125"/>
      <c r="B516" s="101"/>
      <c r="C516" s="101"/>
      <c r="D516" s="101"/>
      <c r="E516" s="101"/>
      <c r="F516" s="101"/>
      <c r="G516" s="101"/>
      <c r="H516" s="101"/>
      <c r="I516" s="106"/>
      <c r="J516" s="106"/>
      <c r="K516" s="106"/>
      <c r="L516" s="106"/>
      <c r="M516" s="106"/>
      <c r="N516" s="103" t="str">
        <f aca="false">IF(OR($B516="", $I516="", $J516="", $K516="", $L516="", $M516=""),"",ROUND(($I516*Lists!$AD$2)+($J516*Lists!$AD$3)+($K516*Lists!$AD$4)+($L516*Lists!$AD$5)+($M516*Lists!$AD$6),2))</f>
        <v/>
      </c>
      <c r="O516" s="103" t="str">
        <f aca="false">IF($A516="","",IFERROR(VLOOKUP($A516,'Risk Register'!$B$2:$I$1000,8,FALSE()),""))</f>
        <v/>
      </c>
      <c r="P516" s="106"/>
      <c r="Q516" s="106"/>
      <c r="R516" s="106"/>
      <c r="S516" s="106"/>
      <c r="T516" s="103" t="str">
        <f aca="false">IF(OR($B516="", $P516="", $Q516="", $R516="", $S516=""),"",ROUND(($P516*Lists!$AD$7)+($Q516*Lists!$AD$8)+($R516*Lists!$AD$9)+($S516*Lists!$AD$10),2))</f>
        <v/>
      </c>
      <c r="U516" s="106"/>
      <c r="V516" s="106"/>
      <c r="W516" s="106"/>
      <c r="X516" s="106"/>
      <c r="Y516" s="106"/>
      <c r="Z516" s="103" t="str">
        <f aca="false">IF(OR($B516="", $U516="", $V516="", $W516="", $X516="", $Y516=""),"",ROUND(($U516*Lists!$AD$11)+($V516*Lists!$AD$12)+($W516*Lists!$AD$13)+($X516*Lists!$AD$14)+($Y516*Lists!$AD$15),2))</f>
        <v/>
      </c>
      <c r="AA516" s="103" t="str">
        <f aca="false">IF(OR($B516="", $N516="", $O516="", $T516="", $Z516=""),"",ROUND(($N516*Lists!$AD$16)-($O516*Lists!$AD$17)-($T516*Lists!$AD$18)+($Z516*Lists!$AD$19),2))</f>
        <v/>
      </c>
      <c r="AB516" s="102" t="str">
        <f aca="false">IF(OR($B516="", $N516="", $Z516=""),"",IF($N516&gt;=Lists!$AG$2,IF($Z516&gt;=Lists!$AG$3,"Invest","Migrate"),IF($Z516&gt;=Lists!$AG$3,"Tolerate","Eliminate")))</f>
        <v/>
      </c>
      <c r="AC516" s="102" t="str">
        <f aca="false">IF($B516="","",IF($J516&gt;=4,"Yes",""))</f>
        <v/>
      </c>
      <c r="AD516" s="102" t="str">
        <f aca="false">IF($A516="","",IFERROR(IF(VLOOKUP($A516,'Risk Register'!$B$2:$H$1000,4,FALSE())&gt;=4,"Yes",""),""))</f>
        <v/>
      </c>
      <c r="AE516" s="102" t="str">
        <f aca="false">IF(OR($N516="", $O516=""),"",IF($N516&gt;=Lists!$AG$2,IF($O516&gt;=Lists!$AG$4,"High Value / High Risk","High Value / Low Risk"),IF($O516&gt;=Lists!$AG$4,"Low Value / High Risk","Low Value / Low Risk")))</f>
        <v/>
      </c>
      <c r="AF516" s="101"/>
      <c r="AG516" s="126"/>
      <c r="AH516" s="106" t="str">
        <f aca="false">IF($B516="","",COUNTIFS('Debt Backlog'!$AF$2:$AF$1000,$A516,'Debt Backlog'!$B$2:$B$1000,"&lt;&gt;",'Debt Backlog'!$N$2:$N$1000,"&lt;&gt;Done",'Debt Backlog'!$N$2:$N$1000,"&lt;&gt;Won't Fix",'Debt Backlog'!$N$2:$N$1000,"&lt;&gt;Duplicate"))</f>
        <v/>
      </c>
      <c r="AI516" s="103" t="str">
        <f aca="false">IF($B516="","",ROUND(SUMIFS('Debt Backlog'!$L$2:$L$1000,'Debt Backlog'!$AF$2:$AF$1000,$A516,'Debt Backlog'!$B$2:$B$1000,"&lt;&gt;",'Debt Backlog'!$N$2:$N$1000,"&lt;&gt;Done",'Debt Backlog'!$N$2:$N$1000,"&lt;&gt;Won't Fix",'Debt Backlog'!$N$2:$N$1000,"&lt;&gt;Duplicate"),2))</f>
        <v/>
      </c>
    </row>
    <row r="517" customFormat="false" ht="15.75" hidden="false" customHeight="true" outlineLevel="0" collapsed="false">
      <c r="A517" s="125"/>
      <c r="B517" s="101"/>
      <c r="C517" s="101"/>
      <c r="D517" s="101"/>
      <c r="E517" s="101"/>
      <c r="F517" s="101"/>
      <c r="G517" s="101"/>
      <c r="H517" s="101"/>
      <c r="I517" s="106"/>
      <c r="J517" s="106"/>
      <c r="K517" s="106"/>
      <c r="L517" s="106"/>
      <c r="M517" s="106"/>
      <c r="N517" s="103" t="str">
        <f aca="false">IF(OR($B517="", $I517="", $J517="", $K517="", $L517="", $M517=""),"",ROUND(($I517*Lists!$AD$2)+($J517*Lists!$AD$3)+($K517*Lists!$AD$4)+($L517*Lists!$AD$5)+($M517*Lists!$AD$6),2))</f>
        <v/>
      </c>
      <c r="O517" s="103" t="str">
        <f aca="false">IF($A517="","",IFERROR(VLOOKUP($A517,'Risk Register'!$B$2:$I$1000,8,FALSE()),""))</f>
        <v/>
      </c>
      <c r="P517" s="106"/>
      <c r="Q517" s="106"/>
      <c r="R517" s="106"/>
      <c r="S517" s="106"/>
      <c r="T517" s="103" t="str">
        <f aca="false">IF(OR($B517="", $P517="", $Q517="", $R517="", $S517=""),"",ROUND(($P517*Lists!$AD$7)+($Q517*Lists!$AD$8)+($R517*Lists!$AD$9)+($S517*Lists!$AD$10),2))</f>
        <v/>
      </c>
      <c r="U517" s="106"/>
      <c r="V517" s="106"/>
      <c r="W517" s="106"/>
      <c r="X517" s="106"/>
      <c r="Y517" s="106"/>
      <c r="Z517" s="103" t="str">
        <f aca="false">IF(OR($B517="", $U517="", $V517="", $W517="", $X517="", $Y517=""),"",ROUND(($U517*Lists!$AD$11)+($V517*Lists!$AD$12)+($W517*Lists!$AD$13)+($X517*Lists!$AD$14)+($Y517*Lists!$AD$15),2))</f>
        <v/>
      </c>
      <c r="AA517" s="103" t="str">
        <f aca="false">IF(OR($B517="", $N517="", $O517="", $T517="", $Z517=""),"",ROUND(($N517*Lists!$AD$16)-($O517*Lists!$AD$17)-($T517*Lists!$AD$18)+($Z517*Lists!$AD$19),2))</f>
        <v/>
      </c>
      <c r="AB517" s="102" t="str">
        <f aca="false">IF(OR($B517="", $N517="", $Z517=""),"",IF($N517&gt;=Lists!$AG$2,IF($Z517&gt;=Lists!$AG$3,"Invest","Migrate"),IF($Z517&gt;=Lists!$AG$3,"Tolerate","Eliminate")))</f>
        <v/>
      </c>
      <c r="AC517" s="102" t="str">
        <f aca="false">IF($B517="","",IF($J517&gt;=4,"Yes",""))</f>
        <v/>
      </c>
      <c r="AD517" s="102" t="str">
        <f aca="false">IF($A517="","",IFERROR(IF(VLOOKUP($A517,'Risk Register'!$B$2:$H$1000,4,FALSE())&gt;=4,"Yes",""),""))</f>
        <v/>
      </c>
      <c r="AE517" s="102" t="str">
        <f aca="false">IF(OR($N517="", $O517=""),"",IF($N517&gt;=Lists!$AG$2,IF($O517&gt;=Lists!$AG$4,"High Value / High Risk","High Value / Low Risk"),IF($O517&gt;=Lists!$AG$4,"Low Value / High Risk","Low Value / Low Risk")))</f>
        <v/>
      </c>
      <c r="AF517" s="101"/>
      <c r="AG517" s="126"/>
      <c r="AH517" s="106" t="str">
        <f aca="false">IF($B517="","",COUNTIFS('Debt Backlog'!$AF$2:$AF$1000,$A517,'Debt Backlog'!$B$2:$B$1000,"&lt;&gt;",'Debt Backlog'!$N$2:$N$1000,"&lt;&gt;Done",'Debt Backlog'!$N$2:$N$1000,"&lt;&gt;Won't Fix",'Debt Backlog'!$N$2:$N$1000,"&lt;&gt;Duplicate"))</f>
        <v/>
      </c>
      <c r="AI517" s="103" t="str">
        <f aca="false">IF($B517="","",ROUND(SUMIFS('Debt Backlog'!$L$2:$L$1000,'Debt Backlog'!$AF$2:$AF$1000,$A517,'Debt Backlog'!$B$2:$B$1000,"&lt;&gt;",'Debt Backlog'!$N$2:$N$1000,"&lt;&gt;Done",'Debt Backlog'!$N$2:$N$1000,"&lt;&gt;Won't Fix",'Debt Backlog'!$N$2:$N$1000,"&lt;&gt;Duplicate"),2))</f>
        <v/>
      </c>
    </row>
    <row r="518" customFormat="false" ht="15.75" hidden="false" customHeight="true" outlineLevel="0" collapsed="false">
      <c r="A518" s="125"/>
      <c r="B518" s="101"/>
      <c r="C518" s="101"/>
      <c r="D518" s="101"/>
      <c r="E518" s="101"/>
      <c r="F518" s="101"/>
      <c r="G518" s="101"/>
      <c r="H518" s="101"/>
      <c r="I518" s="106"/>
      <c r="J518" s="106"/>
      <c r="K518" s="106"/>
      <c r="L518" s="106"/>
      <c r="M518" s="106"/>
      <c r="N518" s="103" t="str">
        <f aca="false">IF(OR($B518="", $I518="", $J518="", $K518="", $L518="", $M518=""),"",ROUND(($I518*Lists!$AD$2)+($J518*Lists!$AD$3)+($K518*Lists!$AD$4)+($L518*Lists!$AD$5)+($M518*Lists!$AD$6),2))</f>
        <v/>
      </c>
      <c r="O518" s="103" t="str">
        <f aca="false">IF($A518="","",IFERROR(VLOOKUP($A518,'Risk Register'!$B$2:$I$1000,8,FALSE()),""))</f>
        <v/>
      </c>
      <c r="P518" s="106"/>
      <c r="Q518" s="106"/>
      <c r="R518" s="106"/>
      <c r="S518" s="106"/>
      <c r="T518" s="103" t="str">
        <f aca="false">IF(OR($B518="", $P518="", $Q518="", $R518="", $S518=""),"",ROUND(($P518*Lists!$AD$7)+($Q518*Lists!$AD$8)+($R518*Lists!$AD$9)+($S518*Lists!$AD$10),2))</f>
        <v/>
      </c>
      <c r="U518" s="106"/>
      <c r="V518" s="106"/>
      <c r="W518" s="106"/>
      <c r="X518" s="106"/>
      <c r="Y518" s="106"/>
      <c r="Z518" s="103" t="str">
        <f aca="false">IF(OR($B518="", $U518="", $V518="", $W518="", $X518="", $Y518=""),"",ROUND(($U518*Lists!$AD$11)+($V518*Lists!$AD$12)+($W518*Lists!$AD$13)+($X518*Lists!$AD$14)+($Y518*Lists!$AD$15),2))</f>
        <v/>
      </c>
      <c r="AA518" s="103" t="str">
        <f aca="false">IF(OR($B518="", $N518="", $O518="", $T518="", $Z518=""),"",ROUND(($N518*Lists!$AD$16)-($O518*Lists!$AD$17)-($T518*Lists!$AD$18)+($Z518*Lists!$AD$19),2))</f>
        <v/>
      </c>
      <c r="AB518" s="102" t="str">
        <f aca="false">IF(OR($B518="", $N518="", $Z518=""),"",IF($N518&gt;=Lists!$AG$2,IF($Z518&gt;=Lists!$AG$3,"Invest","Migrate"),IF($Z518&gt;=Lists!$AG$3,"Tolerate","Eliminate")))</f>
        <v/>
      </c>
      <c r="AC518" s="102" t="str">
        <f aca="false">IF($B518="","",IF($J518&gt;=4,"Yes",""))</f>
        <v/>
      </c>
      <c r="AD518" s="102" t="str">
        <f aca="false">IF($A518="","",IFERROR(IF(VLOOKUP($A518,'Risk Register'!$B$2:$H$1000,4,FALSE())&gt;=4,"Yes",""),""))</f>
        <v/>
      </c>
      <c r="AE518" s="102" t="str">
        <f aca="false">IF(OR($N518="", $O518=""),"",IF($N518&gt;=Lists!$AG$2,IF($O518&gt;=Lists!$AG$4,"High Value / High Risk","High Value / Low Risk"),IF($O518&gt;=Lists!$AG$4,"Low Value / High Risk","Low Value / Low Risk")))</f>
        <v/>
      </c>
      <c r="AF518" s="101"/>
      <c r="AG518" s="126"/>
      <c r="AH518" s="106" t="str">
        <f aca="false">IF($B518="","",COUNTIFS('Debt Backlog'!$AF$2:$AF$1000,$A518,'Debt Backlog'!$B$2:$B$1000,"&lt;&gt;",'Debt Backlog'!$N$2:$N$1000,"&lt;&gt;Done",'Debt Backlog'!$N$2:$N$1000,"&lt;&gt;Won't Fix",'Debt Backlog'!$N$2:$N$1000,"&lt;&gt;Duplicate"))</f>
        <v/>
      </c>
      <c r="AI518" s="103" t="str">
        <f aca="false">IF($B518="","",ROUND(SUMIFS('Debt Backlog'!$L$2:$L$1000,'Debt Backlog'!$AF$2:$AF$1000,$A518,'Debt Backlog'!$B$2:$B$1000,"&lt;&gt;",'Debt Backlog'!$N$2:$N$1000,"&lt;&gt;Done",'Debt Backlog'!$N$2:$N$1000,"&lt;&gt;Won't Fix",'Debt Backlog'!$N$2:$N$1000,"&lt;&gt;Duplicate"),2))</f>
        <v/>
      </c>
    </row>
    <row r="519" customFormat="false" ht="15.75" hidden="false" customHeight="true" outlineLevel="0" collapsed="false">
      <c r="A519" s="125"/>
      <c r="B519" s="101"/>
      <c r="C519" s="101"/>
      <c r="D519" s="101"/>
      <c r="E519" s="101"/>
      <c r="F519" s="101"/>
      <c r="G519" s="101"/>
      <c r="H519" s="101"/>
      <c r="I519" s="106"/>
      <c r="J519" s="106"/>
      <c r="K519" s="106"/>
      <c r="L519" s="106"/>
      <c r="M519" s="106"/>
      <c r="N519" s="103" t="str">
        <f aca="false">IF(OR($B519="", $I519="", $J519="", $K519="", $L519="", $M519=""),"",ROUND(($I519*Lists!$AD$2)+($J519*Lists!$AD$3)+($K519*Lists!$AD$4)+($L519*Lists!$AD$5)+($M519*Lists!$AD$6),2))</f>
        <v/>
      </c>
      <c r="O519" s="103" t="str">
        <f aca="false">IF($A519="","",IFERROR(VLOOKUP($A519,'Risk Register'!$B$2:$I$1000,8,FALSE()),""))</f>
        <v/>
      </c>
      <c r="P519" s="106"/>
      <c r="Q519" s="106"/>
      <c r="R519" s="106"/>
      <c r="S519" s="106"/>
      <c r="T519" s="103" t="str">
        <f aca="false">IF(OR($B519="", $P519="", $Q519="", $R519="", $S519=""),"",ROUND(($P519*Lists!$AD$7)+($Q519*Lists!$AD$8)+($R519*Lists!$AD$9)+($S519*Lists!$AD$10),2))</f>
        <v/>
      </c>
      <c r="U519" s="106"/>
      <c r="V519" s="106"/>
      <c r="W519" s="106"/>
      <c r="X519" s="106"/>
      <c r="Y519" s="106"/>
      <c r="Z519" s="103" t="str">
        <f aca="false">IF(OR($B519="", $U519="", $V519="", $W519="", $X519="", $Y519=""),"",ROUND(($U519*Lists!$AD$11)+($V519*Lists!$AD$12)+($W519*Lists!$AD$13)+($X519*Lists!$AD$14)+($Y519*Lists!$AD$15),2))</f>
        <v/>
      </c>
      <c r="AA519" s="103" t="str">
        <f aca="false">IF(OR($B519="", $N519="", $O519="", $T519="", $Z519=""),"",ROUND(($N519*Lists!$AD$16)-($O519*Lists!$AD$17)-($T519*Lists!$AD$18)+($Z519*Lists!$AD$19),2))</f>
        <v/>
      </c>
      <c r="AB519" s="102" t="str">
        <f aca="false">IF(OR($B519="", $N519="", $Z519=""),"",IF($N519&gt;=Lists!$AG$2,IF($Z519&gt;=Lists!$AG$3,"Invest","Migrate"),IF($Z519&gt;=Lists!$AG$3,"Tolerate","Eliminate")))</f>
        <v/>
      </c>
      <c r="AC519" s="102" t="str">
        <f aca="false">IF($B519="","",IF($J519&gt;=4,"Yes",""))</f>
        <v/>
      </c>
      <c r="AD519" s="102" t="str">
        <f aca="false">IF($A519="","",IFERROR(IF(VLOOKUP($A519,'Risk Register'!$B$2:$H$1000,4,FALSE())&gt;=4,"Yes",""),""))</f>
        <v/>
      </c>
      <c r="AE519" s="102" t="str">
        <f aca="false">IF(OR($N519="", $O519=""),"",IF($N519&gt;=Lists!$AG$2,IF($O519&gt;=Lists!$AG$4,"High Value / High Risk","High Value / Low Risk"),IF($O519&gt;=Lists!$AG$4,"Low Value / High Risk","Low Value / Low Risk")))</f>
        <v/>
      </c>
      <c r="AF519" s="101"/>
      <c r="AG519" s="126"/>
      <c r="AH519" s="106" t="str">
        <f aca="false">IF($B519="","",COUNTIFS('Debt Backlog'!$AF$2:$AF$1000,$A519,'Debt Backlog'!$B$2:$B$1000,"&lt;&gt;",'Debt Backlog'!$N$2:$N$1000,"&lt;&gt;Done",'Debt Backlog'!$N$2:$N$1000,"&lt;&gt;Won't Fix",'Debt Backlog'!$N$2:$N$1000,"&lt;&gt;Duplicate"))</f>
        <v/>
      </c>
      <c r="AI519" s="103" t="str">
        <f aca="false">IF($B519="","",ROUND(SUMIFS('Debt Backlog'!$L$2:$L$1000,'Debt Backlog'!$AF$2:$AF$1000,$A519,'Debt Backlog'!$B$2:$B$1000,"&lt;&gt;",'Debt Backlog'!$N$2:$N$1000,"&lt;&gt;Done",'Debt Backlog'!$N$2:$N$1000,"&lt;&gt;Won't Fix",'Debt Backlog'!$N$2:$N$1000,"&lt;&gt;Duplicate"),2))</f>
        <v/>
      </c>
    </row>
    <row r="520" customFormat="false" ht="15.75" hidden="false" customHeight="true" outlineLevel="0" collapsed="false">
      <c r="A520" s="125"/>
      <c r="B520" s="101"/>
      <c r="C520" s="101"/>
      <c r="D520" s="101"/>
      <c r="E520" s="101"/>
      <c r="F520" s="101"/>
      <c r="G520" s="101"/>
      <c r="H520" s="101"/>
      <c r="I520" s="106"/>
      <c r="J520" s="106"/>
      <c r="K520" s="106"/>
      <c r="L520" s="106"/>
      <c r="M520" s="106"/>
      <c r="N520" s="103" t="str">
        <f aca="false">IF(OR($B520="", $I520="", $J520="", $K520="", $L520="", $M520=""),"",ROUND(($I520*Lists!$AD$2)+($J520*Lists!$AD$3)+($K520*Lists!$AD$4)+($L520*Lists!$AD$5)+($M520*Lists!$AD$6),2))</f>
        <v/>
      </c>
      <c r="O520" s="103" t="str">
        <f aca="false">IF($A520="","",IFERROR(VLOOKUP($A520,'Risk Register'!$B$2:$I$1000,8,FALSE()),""))</f>
        <v/>
      </c>
      <c r="P520" s="106"/>
      <c r="Q520" s="106"/>
      <c r="R520" s="106"/>
      <c r="S520" s="106"/>
      <c r="T520" s="103" t="str">
        <f aca="false">IF(OR($B520="", $P520="", $Q520="", $R520="", $S520=""),"",ROUND(($P520*Lists!$AD$7)+($Q520*Lists!$AD$8)+($R520*Lists!$AD$9)+($S520*Lists!$AD$10),2))</f>
        <v/>
      </c>
      <c r="U520" s="106"/>
      <c r="V520" s="106"/>
      <c r="W520" s="106"/>
      <c r="X520" s="106"/>
      <c r="Y520" s="106"/>
      <c r="Z520" s="103" t="str">
        <f aca="false">IF(OR($B520="", $U520="", $V520="", $W520="", $X520="", $Y520=""),"",ROUND(($U520*Lists!$AD$11)+($V520*Lists!$AD$12)+($W520*Lists!$AD$13)+($X520*Lists!$AD$14)+($Y520*Lists!$AD$15),2))</f>
        <v/>
      </c>
      <c r="AA520" s="103" t="str">
        <f aca="false">IF(OR($B520="", $N520="", $O520="", $T520="", $Z520=""),"",ROUND(($N520*Lists!$AD$16)-($O520*Lists!$AD$17)-($T520*Lists!$AD$18)+($Z520*Lists!$AD$19),2))</f>
        <v/>
      </c>
      <c r="AB520" s="102" t="str">
        <f aca="false">IF(OR($B520="", $N520="", $Z520=""),"",IF($N520&gt;=Lists!$AG$2,IF($Z520&gt;=Lists!$AG$3,"Invest","Migrate"),IF($Z520&gt;=Lists!$AG$3,"Tolerate","Eliminate")))</f>
        <v/>
      </c>
      <c r="AC520" s="102" t="str">
        <f aca="false">IF($B520="","",IF($J520&gt;=4,"Yes",""))</f>
        <v/>
      </c>
      <c r="AD520" s="102" t="str">
        <f aca="false">IF($A520="","",IFERROR(IF(VLOOKUP($A520,'Risk Register'!$B$2:$H$1000,4,FALSE())&gt;=4,"Yes",""),""))</f>
        <v/>
      </c>
      <c r="AE520" s="102" t="str">
        <f aca="false">IF(OR($N520="", $O520=""),"",IF($N520&gt;=Lists!$AG$2,IF($O520&gt;=Lists!$AG$4,"High Value / High Risk","High Value / Low Risk"),IF($O520&gt;=Lists!$AG$4,"Low Value / High Risk","Low Value / Low Risk")))</f>
        <v/>
      </c>
      <c r="AF520" s="101"/>
      <c r="AG520" s="126"/>
      <c r="AH520" s="106" t="str">
        <f aca="false">IF($B520="","",COUNTIFS('Debt Backlog'!$AF$2:$AF$1000,$A520,'Debt Backlog'!$B$2:$B$1000,"&lt;&gt;",'Debt Backlog'!$N$2:$N$1000,"&lt;&gt;Done",'Debt Backlog'!$N$2:$N$1000,"&lt;&gt;Won't Fix",'Debt Backlog'!$N$2:$N$1000,"&lt;&gt;Duplicate"))</f>
        <v/>
      </c>
      <c r="AI520" s="103" t="str">
        <f aca="false">IF($B520="","",ROUND(SUMIFS('Debt Backlog'!$L$2:$L$1000,'Debt Backlog'!$AF$2:$AF$1000,$A520,'Debt Backlog'!$B$2:$B$1000,"&lt;&gt;",'Debt Backlog'!$N$2:$N$1000,"&lt;&gt;Done",'Debt Backlog'!$N$2:$N$1000,"&lt;&gt;Won't Fix",'Debt Backlog'!$N$2:$N$1000,"&lt;&gt;Duplicate"),2))</f>
        <v/>
      </c>
    </row>
    <row r="521" customFormat="false" ht="15.75" hidden="false" customHeight="true" outlineLevel="0" collapsed="false">
      <c r="A521" s="125"/>
      <c r="B521" s="101"/>
      <c r="C521" s="101"/>
      <c r="D521" s="101"/>
      <c r="E521" s="101"/>
      <c r="F521" s="101"/>
      <c r="G521" s="101"/>
      <c r="H521" s="101"/>
      <c r="I521" s="106"/>
      <c r="J521" s="106"/>
      <c r="K521" s="106"/>
      <c r="L521" s="106"/>
      <c r="M521" s="106"/>
      <c r="N521" s="103" t="str">
        <f aca="false">IF(OR($B521="", $I521="", $J521="", $K521="", $L521="", $M521=""),"",ROUND(($I521*Lists!$AD$2)+($J521*Lists!$AD$3)+($K521*Lists!$AD$4)+($L521*Lists!$AD$5)+($M521*Lists!$AD$6),2))</f>
        <v/>
      </c>
      <c r="O521" s="103" t="str">
        <f aca="false">IF($A521="","",IFERROR(VLOOKUP($A521,'Risk Register'!$B$2:$I$1000,8,FALSE()),""))</f>
        <v/>
      </c>
      <c r="P521" s="106"/>
      <c r="Q521" s="106"/>
      <c r="R521" s="106"/>
      <c r="S521" s="106"/>
      <c r="T521" s="103" t="str">
        <f aca="false">IF(OR($B521="", $P521="", $Q521="", $R521="", $S521=""),"",ROUND(($P521*Lists!$AD$7)+($Q521*Lists!$AD$8)+($R521*Lists!$AD$9)+($S521*Lists!$AD$10),2))</f>
        <v/>
      </c>
      <c r="U521" s="106"/>
      <c r="V521" s="106"/>
      <c r="W521" s="106"/>
      <c r="X521" s="106"/>
      <c r="Y521" s="106"/>
      <c r="Z521" s="103" t="str">
        <f aca="false">IF(OR($B521="", $U521="", $V521="", $W521="", $X521="", $Y521=""),"",ROUND(($U521*Lists!$AD$11)+($V521*Lists!$AD$12)+($W521*Lists!$AD$13)+($X521*Lists!$AD$14)+($Y521*Lists!$AD$15),2))</f>
        <v/>
      </c>
      <c r="AA521" s="103" t="str">
        <f aca="false">IF(OR($B521="", $N521="", $O521="", $T521="", $Z521=""),"",ROUND(($N521*Lists!$AD$16)-($O521*Lists!$AD$17)-($T521*Lists!$AD$18)+($Z521*Lists!$AD$19),2))</f>
        <v/>
      </c>
      <c r="AB521" s="102" t="str">
        <f aca="false">IF(OR($B521="", $N521="", $Z521=""),"",IF($N521&gt;=Lists!$AG$2,IF($Z521&gt;=Lists!$AG$3,"Invest","Migrate"),IF($Z521&gt;=Lists!$AG$3,"Tolerate","Eliminate")))</f>
        <v/>
      </c>
      <c r="AC521" s="102" t="str">
        <f aca="false">IF($B521="","",IF($J521&gt;=4,"Yes",""))</f>
        <v/>
      </c>
      <c r="AD521" s="102" t="str">
        <f aca="false">IF($A521="","",IFERROR(IF(VLOOKUP($A521,'Risk Register'!$B$2:$H$1000,4,FALSE())&gt;=4,"Yes",""),""))</f>
        <v/>
      </c>
      <c r="AE521" s="102" t="str">
        <f aca="false">IF(OR($N521="", $O521=""),"",IF($N521&gt;=Lists!$AG$2,IF($O521&gt;=Lists!$AG$4,"High Value / High Risk","High Value / Low Risk"),IF($O521&gt;=Lists!$AG$4,"Low Value / High Risk","Low Value / Low Risk")))</f>
        <v/>
      </c>
      <c r="AF521" s="101"/>
      <c r="AG521" s="126"/>
      <c r="AH521" s="106" t="str">
        <f aca="false">IF($B521="","",COUNTIFS('Debt Backlog'!$AF$2:$AF$1000,$A521,'Debt Backlog'!$B$2:$B$1000,"&lt;&gt;",'Debt Backlog'!$N$2:$N$1000,"&lt;&gt;Done",'Debt Backlog'!$N$2:$N$1000,"&lt;&gt;Won't Fix",'Debt Backlog'!$N$2:$N$1000,"&lt;&gt;Duplicate"))</f>
        <v/>
      </c>
      <c r="AI521" s="103" t="str">
        <f aca="false">IF($B521="","",ROUND(SUMIFS('Debt Backlog'!$L$2:$L$1000,'Debt Backlog'!$AF$2:$AF$1000,$A521,'Debt Backlog'!$B$2:$B$1000,"&lt;&gt;",'Debt Backlog'!$N$2:$N$1000,"&lt;&gt;Done",'Debt Backlog'!$N$2:$N$1000,"&lt;&gt;Won't Fix",'Debt Backlog'!$N$2:$N$1000,"&lt;&gt;Duplicate"),2))</f>
        <v/>
      </c>
    </row>
    <row r="522" customFormat="false" ht="15.75" hidden="false" customHeight="true" outlineLevel="0" collapsed="false">
      <c r="A522" s="125"/>
      <c r="B522" s="101"/>
      <c r="C522" s="101"/>
      <c r="D522" s="101"/>
      <c r="E522" s="101"/>
      <c r="F522" s="101"/>
      <c r="G522" s="101"/>
      <c r="H522" s="101"/>
      <c r="I522" s="106"/>
      <c r="J522" s="106"/>
      <c r="K522" s="106"/>
      <c r="L522" s="106"/>
      <c r="M522" s="106"/>
      <c r="N522" s="103" t="str">
        <f aca="false">IF(OR($B522="", $I522="", $J522="", $K522="", $L522="", $M522=""),"",ROUND(($I522*Lists!$AD$2)+($J522*Lists!$AD$3)+($K522*Lists!$AD$4)+($L522*Lists!$AD$5)+($M522*Lists!$AD$6),2))</f>
        <v/>
      </c>
      <c r="O522" s="103" t="str">
        <f aca="false">IF($A522="","",IFERROR(VLOOKUP($A522,'Risk Register'!$B$2:$I$1000,8,FALSE()),""))</f>
        <v/>
      </c>
      <c r="P522" s="106"/>
      <c r="Q522" s="106"/>
      <c r="R522" s="106"/>
      <c r="S522" s="106"/>
      <c r="T522" s="103" t="str">
        <f aca="false">IF(OR($B522="", $P522="", $Q522="", $R522="", $S522=""),"",ROUND(($P522*Lists!$AD$7)+($Q522*Lists!$AD$8)+($R522*Lists!$AD$9)+($S522*Lists!$AD$10),2))</f>
        <v/>
      </c>
      <c r="U522" s="106"/>
      <c r="V522" s="106"/>
      <c r="W522" s="106"/>
      <c r="X522" s="106"/>
      <c r="Y522" s="106"/>
      <c r="Z522" s="103" t="str">
        <f aca="false">IF(OR($B522="", $U522="", $V522="", $W522="", $X522="", $Y522=""),"",ROUND(($U522*Lists!$AD$11)+($V522*Lists!$AD$12)+($W522*Lists!$AD$13)+($X522*Lists!$AD$14)+($Y522*Lists!$AD$15),2))</f>
        <v/>
      </c>
      <c r="AA522" s="103" t="str">
        <f aca="false">IF(OR($B522="", $N522="", $O522="", $T522="", $Z522=""),"",ROUND(($N522*Lists!$AD$16)-($O522*Lists!$AD$17)-($T522*Lists!$AD$18)+($Z522*Lists!$AD$19),2))</f>
        <v/>
      </c>
      <c r="AB522" s="102" t="str">
        <f aca="false">IF(OR($B522="", $N522="", $Z522=""),"",IF($N522&gt;=Lists!$AG$2,IF($Z522&gt;=Lists!$AG$3,"Invest","Migrate"),IF($Z522&gt;=Lists!$AG$3,"Tolerate","Eliminate")))</f>
        <v/>
      </c>
      <c r="AC522" s="102" t="str">
        <f aca="false">IF($B522="","",IF($J522&gt;=4,"Yes",""))</f>
        <v/>
      </c>
      <c r="AD522" s="102" t="str">
        <f aca="false">IF($A522="","",IFERROR(IF(VLOOKUP($A522,'Risk Register'!$B$2:$H$1000,4,FALSE())&gt;=4,"Yes",""),""))</f>
        <v/>
      </c>
      <c r="AE522" s="102" t="str">
        <f aca="false">IF(OR($N522="", $O522=""),"",IF($N522&gt;=Lists!$AG$2,IF($O522&gt;=Lists!$AG$4,"High Value / High Risk","High Value / Low Risk"),IF($O522&gt;=Lists!$AG$4,"Low Value / High Risk","Low Value / Low Risk")))</f>
        <v/>
      </c>
      <c r="AF522" s="101"/>
      <c r="AG522" s="126"/>
      <c r="AH522" s="106" t="str">
        <f aca="false">IF($B522="","",COUNTIFS('Debt Backlog'!$AF$2:$AF$1000,$A522,'Debt Backlog'!$B$2:$B$1000,"&lt;&gt;",'Debt Backlog'!$N$2:$N$1000,"&lt;&gt;Done",'Debt Backlog'!$N$2:$N$1000,"&lt;&gt;Won't Fix",'Debt Backlog'!$N$2:$N$1000,"&lt;&gt;Duplicate"))</f>
        <v/>
      </c>
      <c r="AI522" s="103" t="str">
        <f aca="false">IF($B522="","",ROUND(SUMIFS('Debt Backlog'!$L$2:$L$1000,'Debt Backlog'!$AF$2:$AF$1000,$A522,'Debt Backlog'!$B$2:$B$1000,"&lt;&gt;",'Debt Backlog'!$N$2:$N$1000,"&lt;&gt;Done",'Debt Backlog'!$N$2:$N$1000,"&lt;&gt;Won't Fix",'Debt Backlog'!$N$2:$N$1000,"&lt;&gt;Duplicate"),2))</f>
        <v/>
      </c>
    </row>
    <row r="523" customFormat="false" ht="15.75" hidden="false" customHeight="true" outlineLevel="0" collapsed="false">
      <c r="A523" s="125"/>
      <c r="B523" s="101"/>
      <c r="C523" s="101"/>
      <c r="D523" s="101"/>
      <c r="E523" s="101"/>
      <c r="F523" s="101"/>
      <c r="G523" s="101"/>
      <c r="H523" s="101"/>
      <c r="I523" s="106"/>
      <c r="J523" s="106"/>
      <c r="K523" s="106"/>
      <c r="L523" s="106"/>
      <c r="M523" s="106"/>
      <c r="N523" s="103" t="str">
        <f aca="false">IF(OR($B523="", $I523="", $J523="", $K523="", $L523="", $M523=""),"",ROUND(($I523*Lists!$AD$2)+($J523*Lists!$AD$3)+($K523*Lists!$AD$4)+($L523*Lists!$AD$5)+($M523*Lists!$AD$6),2))</f>
        <v/>
      </c>
      <c r="O523" s="103" t="str">
        <f aca="false">IF($A523="","",IFERROR(VLOOKUP($A523,'Risk Register'!$B$2:$I$1000,8,FALSE()),""))</f>
        <v/>
      </c>
      <c r="P523" s="106"/>
      <c r="Q523" s="106"/>
      <c r="R523" s="106"/>
      <c r="S523" s="106"/>
      <c r="T523" s="103" t="str">
        <f aca="false">IF(OR($B523="", $P523="", $Q523="", $R523="", $S523=""),"",ROUND(($P523*Lists!$AD$7)+($Q523*Lists!$AD$8)+($R523*Lists!$AD$9)+($S523*Lists!$AD$10),2))</f>
        <v/>
      </c>
      <c r="U523" s="106"/>
      <c r="V523" s="106"/>
      <c r="W523" s="106"/>
      <c r="X523" s="106"/>
      <c r="Y523" s="106"/>
      <c r="Z523" s="103" t="str">
        <f aca="false">IF(OR($B523="", $U523="", $V523="", $W523="", $X523="", $Y523=""),"",ROUND(($U523*Lists!$AD$11)+($V523*Lists!$AD$12)+($W523*Lists!$AD$13)+($X523*Lists!$AD$14)+($Y523*Lists!$AD$15),2))</f>
        <v/>
      </c>
      <c r="AA523" s="103" t="str">
        <f aca="false">IF(OR($B523="", $N523="", $O523="", $T523="", $Z523=""),"",ROUND(($N523*Lists!$AD$16)-($O523*Lists!$AD$17)-($T523*Lists!$AD$18)+($Z523*Lists!$AD$19),2))</f>
        <v/>
      </c>
      <c r="AB523" s="102" t="str">
        <f aca="false">IF(OR($B523="", $N523="", $Z523=""),"",IF($N523&gt;=Lists!$AG$2,IF($Z523&gt;=Lists!$AG$3,"Invest","Migrate"),IF($Z523&gt;=Lists!$AG$3,"Tolerate","Eliminate")))</f>
        <v/>
      </c>
      <c r="AC523" s="102" t="str">
        <f aca="false">IF($B523="","",IF($J523&gt;=4,"Yes",""))</f>
        <v/>
      </c>
      <c r="AD523" s="102" t="str">
        <f aca="false">IF($A523="","",IFERROR(IF(VLOOKUP($A523,'Risk Register'!$B$2:$H$1000,4,FALSE())&gt;=4,"Yes",""),""))</f>
        <v/>
      </c>
      <c r="AE523" s="102" t="str">
        <f aca="false">IF(OR($N523="", $O523=""),"",IF($N523&gt;=Lists!$AG$2,IF($O523&gt;=Lists!$AG$4,"High Value / High Risk","High Value / Low Risk"),IF($O523&gt;=Lists!$AG$4,"Low Value / High Risk","Low Value / Low Risk")))</f>
        <v/>
      </c>
      <c r="AF523" s="101"/>
      <c r="AG523" s="126"/>
      <c r="AH523" s="106" t="str">
        <f aca="false">IF($B523="","",COUNTIFS('Debt Backlog'!$AF$2:$AF$1000,$A523,'Debt Backlog'!$B$2:$B$1000,"&lt;&gt;",'Debt Backlog'!$N$2:$N$1000,"&lt;&gt;Done",'Debt Backlog'!$N$2:$N$1000,"&lt;&gt;Won't Fix",'Debt Backlog'!$N$2:$N$1000,"&lt;&gt;Duplicate"))</f>
        <v/>
      </c>
      <c r="AI523" s="103" t="str">
        <f aca="false">IF($B523="","",ROUND(SUMIFS('Debt Backlog'!$L$2:$L$1000,'Debt Backlog'!$AF$2:$AF$1000,$A523,'Debt Backlog'!$B$2:$B$1000,"&lt;&gt;",'Debt Backlog'!$N$2:$N$1000,"&lt;&gt;Done",'Debt Backlog'!$N$2:$N$1000,"&lt;&gt;Won't Fix",'Debt Backlog'!$N$2:$N$1000,"&lt;&gt;Duplicate"),2))</f>
        <v/>
      </c>
    </row>
    <row r="524" customFormat="false" ht="15.75" hidden="false" customHeight="true" outlineLevel="0" collapsed="false">
      <c r="A524" s="125"/>
      <c r="B524" s="101"/>
      <c r="C524" s="101"/>
      <c r="D524" s="101"/>
      <c r="E524" s="101"/>
      <c r="F524" s="101"/>
      <c r="G524" s="101"/>
      <c r="H524" s="101"/>
      <c r="I524" s="106"/>
      <c r="J524" s="106"/>
      <c r="K524" s="106"/>
      <c r="L524" s="106"/>
      <c r="M524" s="106"/>
      <c r="N524" s="103" t="str">
        <f aca="false">IF(OR($B524="", $I524="", $J524="", $K524="", $L524="", $M524=""),"",ROUND(($I524*Lists!$AD$2)+($J524*Lists!$AD$3)+($K524*Lists!$AD$4)+($L524*Lists!$AD$5)+($M524*Lists!$AD$6),2))</f>
        <v/>
      </c>
      <c r="O524" s="103" t="str">
        <f aca="false">IF($A524="","",IFERROR(VLOOKUP($A524,'Risk Register'!$B$2:$I$1000,8,FALSE()),""))</f>
        <v/>
      </c>
      <c r="P524" s="106"/>
      <c r="Q524" s="106"/>
      <c r="R524" s="106"/>
      <c r="S524" s="106"/>
      <c r="T524" s="103" t="str">
        <f aca="false">IF(OR($B524="", $P524="", $Q524="", $R524="", $S524=""),"",ROUND(($P524*Lists!$AD$7)+($Q524*Lists!$AD$8)+($R524*Lists!$AD$9)+($S524*Lists!$AD$10),2))</f>
        <v/>
      </c>
      <c r="U524" s="106"/>
      <c r="V524" s="106"/>
      <c r="W524" s="106"/>
      <c r="X524" s="106"/>
      <c r="Y524" s="106"/>
      <c r="Z524" s="103" t="str">
        <f aca="false">IF(OR($B524="", $U524="", $V524="", $W524="", $X524="", $Y524=""),"",ROUND(($U524*Lists!$AD$11)+($V524*Lists!$AD$12)+($W524*Lists!$AD$13)+($X524*Lists!$AD$14)+($Y524*Lists!$AD$15),2))</f>
        <v/>
      </c>
      <c r="AA524" s="103" t="str">
        <f aca="false">IF(OR($B524="", $N524="", $O524="", $T524="", $Z524=""),"",ROUND(($N524*Lists!$AD$16)-($O524*Lists!$AD$17)-($T524*Lists!$AD$18)+($Z524*Lists!$AD$19),2))</f>
        <v/>
      </c>
      <c r="AB524" s="102" t="str">
        <f aca="false">IF(OR($B524="", $N524="", $Z524=""),"",IF($N524&gt;=Lists!$AG$2,IF($Z524&gt;=Lists!$AG$3,"Invest","Migrate"),IF($Z524&gt;=Lists!$AG$3,"Tolerate","Eliminate")))</f>
        <v/>
      </c>
      <c r="AC524" s="102" t="str">
        <f aca="false">IF($B524="","",IF($J524&gt;=4,"Yes",""))</f>
        <v/>
      </c>
      <c r="AD524" s="102" t="str">
        <f aca="false">IF($A524="","",IFERROR(IF(VLOOKUP($A524,'Risk Register'!$B$2:$H$1000,4,FALSE())&gt;=4,"Yes",""),""))</f>
        <v/>
      </c>
      <c r="AE524" s="102" t="str">
        <f aca="false">IF(OR($N524="", $O524=""),"",IF($N524&gt;=Lists!$AG$2,IF($O524&gt;=Lists!$AG$4,"High Value / High Risk","High Value / Low Risk"),IF($O524&gt;=Lists!$AG$4,"Low Value / High Risk","Low Value / Low Risk")))</f>
        <v/>
      </c>
      <c r="AF524" s="101"/>
      <c r="AG524" s="126"/>
      <c r="AH524" s="106" t="str">
        <f aca="false">IF($B524="","",COUNTIFS('Debt Backlog'!$AF$2:$AF$1000,$A524,'Debt Backlog'!$B$2:$B$1000,"&lt;&gt;",'Debt Backlog'!$N$2:$N$1000,"&lt;&gt;Done",'Debt Backlog'!$N$2:$N$1000,"&lt;&gt;Won't Fix",'Debt Backlog'!$N$2:$N$1000,"&lt;&gt;Duplicate"))</f>
        <v/>
      </c>
      <c r="AI524" s="103" t="str">
        <f aca="false">IF($B524="","",ROUND(SUMIFS('Debt Backlog'!$L$2:$L$1000,'Debt Backlog'!$AF$2:$AF$1000,$A524,'Debt Backlog'!$B$2:$B$1000,"&lt;&gt;",'Debt Backlog'!$N$2:$N$1000,"&lt;&gt;Done",'Debt Backlog'!$N$2:$N$1000,"&lt;&gt;Won't Fix",'Debt Backlog'!$N$2:$N$1000,"&lt;&gt;Duplicate"),2))</f>
        <v/>
      </c>
    </row>
    <row r="525" customFormat="false" ht="15.75" hidden="false" customHeight="true" outlineLevel="0" collapsed="false">
      <c r="A525" s="125"/>
      <c r="B525" s="101"/>
      <c r="C525" s="101"/>
      <c r="D525" s="101"/>
      <c r="E525" s="101"/>
      <c r="F525" s="101"/>
      <c r="G525" s="101"/>
      <c r="H525" s="101"/>
      <c r="I525" s="106"/>
      <c r="J525" s="106"/>
      <c r="K525" s="106"/>
      <c r="L525" s="106"/>
      <c r="M525" s="106"/>
      <c r="N525" s="103" t="str">
        <f aca="false">IF(OR($B525="", $I525="", $J525="", $K525="", $L525="", $M525=""),"",ROUND(($I525*Lists!$AD$2)+($J525*Lists!$AD$3)+($K525*Lists!$AD$4)+($L525*Lists!$AD$5)+($M525*Lists!$AD$6),2))</f>
        <v/>
      </c>
      <c r="O525" s="103" t="str">
        <f aca="false">IF($A525="","",IFERROR(VLOOKUP($A525,'Risk Register'!$B$2:$I$1000,8,FALSE()),""))</f>
        <v/>
      </c>
      <c r="P525" s="106"/>
      <c r="Q525" s="106"/>
      <c r="R525" s="106"/>
      <c r="S525" s="106"/>
      <c r="T525" s="103" t="str">
        <f aca="false">IF(OR($B525="", $P525="", $Q525="", $R525="", $S525=""),"",ROUND(($P525*Lists!$AD$7)+($Q525*Lists!$AD$8)+($R525*Lists!$AD$9)+($S525*Lists!$AD$10),2))</f>
        <v/>
      </c>
      <c r="U525" s="106"/>
      <c r="V525" s="106"/>
      <c r="W525" s="106"/>
      <c r="X525" s="106"/>
      <c r="Y525" s="106"/>
      <c r="Z525" s="103" t="str">
        <f aca="false">IF(OR($B525="", $U525="", $V525="", $W525="", $X525="", $Y525=""),"",ROUND(($U525*Lists!$AD$11)+($V525*Lists!$AD$12)+($W525*Lists!$AD$13)+($X525*Lists!$AD$14)+($Y525*Lists!$AD$15),2))</f>
        <v/>
      </c>
      <c r="AA525" s="103" t="str">
        <f aca="false">IF(OR($B525="", $N525="", $O525="", $T525="", $Z525=""),"",ROUND(($N525*Lists!$AD$16)-($O525*Lists!$AD$17)-($T525*Lists!$AD$18)+($Z525*Lists!$AD$19),2))</f>
        <v/>
      </c>
      <c r="AB525" s="102" t="str">
        <f aca="false">IF(OR($B525="", $N525="", $Z525=""),"",IF($N525&gt;=Lists!$AG$2,IF($Z525&gt;=Lists!$AG$3,"Invest","Migrate"),IF($Z525&gt;=Lists!$AG$3,"Tolerate","Eliminate")))</f>
        <v/>
      </c>
      <c r="AC525" s="102" t="str">
        <f aca="false">IF($B525="","",IF($J525&gt;=4,"Yes",""))</f>
        <v/>
      </c>
      <c r="AD525" s="102" t="str">
        <f aca="false">IF($A525="","",IFERROR(IF(VLOOKUP($A525,'Risk Register'!$B$2:$H$1000,4,FALSE())&gt;=4,"Yes",""),""))</f>
        <v/>
      </c>
      <c r="AE525" s="102" t="str">
        <f aca="false">IF(OR($N525="", $O525=""),"",IF($N525&gt;=Lists!$AG$2,IF($O525&gt;=Lists!$AG$4,"High Value / High Risk","High Value / Low Risk"),IF($O525&gt;=Lists!$AG$4,"Low Value / High Risk","Low Value / Low Risk")))</f>
        <v/>
      </c>
      <c r="AF525" s="101"/>
      <c r="AG525" s="126"/>
      <c r="AH525" s="106" t="str">
        <f aca="false">IF($B525="","",COUNTIFS('Debt Backlog'!$AF$2:$AF$1000,$A525,'Debt Backlog'!$B$2:$B$1000,"&lt;&gt;",'Debt Backlog'!$N$2:$N$1000,"&lt;&gt;Done",'Debt Backlog'!$N$2:$N$1000,"&lt;&gt;Won't Fix",'Debt Backlog'!$N$2:$N$1000,"&lt;&gt;Duplicate"))</f>
        <v/>
      </c>
      <c r="AI525" s="103" t="str">
        <f aca="false">IF($B525="","",ROUND(SUMIFS('Debt Backlog'!$L$2:$L$1000,'Debt Backlog'!$AF$2:$AF$1000,$A525,'Debt Backlog'!$B$2:$B$1000,"&lt;&gt;",'Debt Backlog'!$N$2:$N$1000,"&lt;&gt;Done",'Debt Backlog'!$N$2:$N$1000,"&lt;&gt;Won't Fix",'Debt Backlog'!$N$2:$N$1000,"&lt;&gt;Duplicate"),2))</f>
        <v/>
      </c>
    </row>
    <row r="526" customFormat="false" ht="15.75" hidden="false" customHeight="true" outlineLevel="0" collapsed="false">
      <c r="A526" s="125"/>
      <c r="B526" s="101"/>
      <c r="C526" s="101"/>
      <c r="D526" s="101"/>
      <c r="E526" s="101"/>
      <c r="F526" s="101"/>
      <c r="G526" s="101"/>
      <c r="H526" s="101"/>
      <c r="I526" s="106"/>
      <c r="J526" s="106"/>
      <c r="K526" s="106"/>
      <c r="L526" s="106"/>
      <c r="M526" s="106"/>
      <c r="N526" s="103" t="str">
        <f aca="false">IF(OR($B526="", $I526="", $J526="", $K526="", $L526="", $M526=""),"",ROUND(($I526*Lists!$AD$2)+($J526*Lists!$AD$3)+($K526*Lists!$AD$4)+($L526*Lists!$AD$5)+($M526*Lists!$AD$6),2))</f>
        <v/>
      </c>
      <c r="O526" s="103" t="str">
        <f aca="false">IF($A526="","",IFERROR(VLOOKUP($A526,'Risk Register'!$B$2:$I$1000,8,FALSE()),""))</f>
        <v/>
      </c>
      <c r="P526" s="106"/>
      <c r="Q526" s="106"/>
      <c r="R526" s="106"/>
      <c r="S526" s="106"/>
      <c r="T526" s="103" t="str">
        <f aca="false">IF(OR($B526="", $P526="", $Q526="", $R526="", $S526=""),"",ROUND(($P526*Lists!$AD$7)+($Q526*Lists!$AD$8)+($R526*Lists!$AD$9)+($S526*Lists!$AD$10),2))</f>
        <v/>
      </c>
      <c r="U526" s="106"/>
      <c r="V526" s="106"/>
      <c r="W526" s="106"/>
      <c r="X526" s="106"/>
      <c r="Y526" s="106"/>
      <c r="Z526" s="103" t="str">
        <f aca="false">IF(OR($B526="", $U526="", $V526="", $W526="", $X526="", $Y526=""),"",ROUND(($U526*Lists!$AD$11)+($V526*Lists!$AD$12)+($W526*Lists!$AD$13)+($X526*Lists!$AD$14)+($Y526*Lists!$AD$15),2))</f>
        <v/>
      </c>
      <c r="AA526" s="103" t="str">
        <f aca="false">IF(OR($B526="", $N526="", $O526="", $T526="", $Z526=""),"",ROUND(($N526*Lists!$AD$16)-($O526*Lists!$AD$17)-($T526*Lists!$AD$18)+($Z526*Lists!$AD$19),2))</f>
        <v/>
      </c>
      <c r="AB526" s="102" t="str">
        <f aca="false">IF(OR($B526="", $N526="", $Z526=""),"",IF($N526&gt;=Lists!$AG$2,IF($Z526&gt;=Lists!$AG$3,"Invest","Migrate"),IF($Z526&gt;=Lists!$AG$3,"Tolerate","Eliminate")))</f>
        <v/>
      </c>
      <c r="AC526" s="102" t="str">
        <f aca="false">IF($B526="","",IF($J526&gt;=4,"Yes",""))</f>
        <v/>
      </c>
      <c r="AD526" s="102" t="str">
        <f aca="false">IF($A526="","",IFERROR(IF(VLOOKUP($A526,'Risk Register'!$B$2:$H$1000,4,FALSE())&gt;=4,"Yes",""),""))</f>
        <v/>
      </c>
      <c r="AE526" s="102" t="str">
        <f aca="false">IF(OR($N526="", $O526=""),"",IF($N526&gt;=Lists!$AG$2,IF($O526&gt;=Lists!$AG$4,"High Value / High Risk","High Value / Low Risk"),IF($O526&gt;=Lists!$AG$4,"Low Value / High Risk","Low Value / Low Risk")))</f>
        <v/>
      </c>
      <c r="AF526" s="101"/>
      <c r="AG526" s="126"/>
      <c r="AH526" s="106" t="str">
        <f aca="false">IF($B526="","",COUNTIFS('Debt Backlog'!$AF$2:$AF$1000,$A526,'Debt Backlog'!$B$2:$B$1000,"&lt;&gt;",'Debt Backlog'!$N$2:$N$1000,"&lt;&gt;Done",'Debt Backlog'!$N$2:$N$1000,"&lt;&gt;Won't Fix",'Debt Backlog'!$N$2:$N$1000,"&lt;&gt;Duplicate"))</f>
        <v/>
      </c>
      <c r="AI526" s="103" t="str">
        <f aca="false">IF($B526="","",ROUND(SUMIFS('Debt Backlog'!$L$2:$L$1000,'Debt Backlog'!$AF$2:$AF$1000,$A526,'Debt Backlog'!$B$2:$B$1000,"&lt;&gt;",'Debt Backlog'!$N$2:$N$1000,"&lt;&gt;Done",'Debt Backlog'!$N$2:$N$1000,"&lt;&gt;Won't Fix",'Debt Backlog'!$N$2:$N$1000,"&lt;&gt;Duplicate"),2))</f>
        <v/>
      </c>
    </row>
    <row r="527" customFormat="false" ht="15.75" hidden="false" customHeight="true" outlineLevel="0" collapsed="false">
      <c r="A527" s="125"/>
      <c r="B527" s="101"/>
      <c r="C527" s="101"/>
      <c r="D527" s="101"/>
      <c r="E527" s="101"/>
      <c r="F527" s="101"/>
      <c r="G527" s="101"/>
      <c r="H527" s="101"/>
      <c r="I527" s="106"/>
      <c r="J527" s="106"/>
      <c r="K527" s="106"/>
      <c r="L527" s="106"/>
      <c r="M527" s="106"/>
      <c r="N527" s="103" t="str">
        <f aca="false">IF(OR($B527="", $I527="", $J527="", $K527="", $L527="", $M527=""),"",ROUND(($I527*Lists!$AD$2)+($J527*Lists!$AD$3)+($K527*Lists!$AD$4)+($L527*Lists!$AD$5)+($M527*Lists!$AD$6),2))</f>
        <v/>
      </c>
      <c r="O527" s="103" t="str">
        <f aca="false">IF($A527="","",IFERROR(VLOOKUP($A527,'Risk Register'!$B$2:$I$1000,8,FALSE()),""))</f>
        <v/>
      </c>
      <c r="P527" s="106"/>
      <c r="Q527" s="106"/>
      <c r="R527" s="106"/>
      <c r="S527" s="106"/>
      <c r="T527" s="103" t="str">
        <f aca="false">IF(OR($B527="", $P527="", $Q527="", $R527="", $S527=""),"",ROUND(($P527*Lists!$AD$7)+($Q527*Lists!$AD$8)+($R527*Lists!$AD$9)+($S527*Lists!$AD$10),2))</f>
        <v/>
      </c>
      <c r="U527" s="106"/>
      <c r="V527" s="106"/>
      <c r="W527" s="106"/>
      <c r="X527" s="106"/>
      <c r="Y527" s="106"/>
      <c r="Z527" s="103" t="str">
        <f aca="false">IF(OR($B527="", $U527="", $V527="", $W527="", $X527="", $Y527=""),"",ROUND(($U527*Lists!$AD$11)+($V527*Lists!$AD$12)+($W527*Lists!$AD$13)+($X527*Lists!$AD$14)+($Y527*Lists!$AD$15),2))</f>
        <v/>
      </c>
      <c r="AA527" s="103" t="str">
        <f aca="false">IF(OR($B527="", $N527="", $O527="", $T527="", $Z527=""),"",ROUND(($N527*Lists!$AD$16)-($O527*Lists!$AD$17)-($T527*Lists!$AD$18)+($Z527*Lists!$AD$19),2))</f>
        <v/>
      </c>
      <c r="AB527" s="102" t="str">
        <f aca="false">IF(OR($B527="", $N527="", $Z527=""),"",IF($N527&gt;=Lists!$AG$2,IF($Z527&gt;=Lists!$AG$3,"Invest","Migrate"),IF($Z527&gt;=Lists!$AG$3,"Tolerate","Eliminate")))</f>
        <v/>
      </c>
      <c r="AC527" s="102" t="str">
        <f aca="false">IF($B527="","",IF($J527&gt;=4,"Yes",""))</f>
        <v/>
      </c>
      <c r="AD527" s="102" t="str">
        <f aca="false">IF($A527="","",IFERROR(IF(VLOOKUP($A527,'Risk Register'!$B$2:$H$1000,4,FALSE())&gt;=4,"Yes",""),""))</f>
        <v/>
      </c>
      <c r="AE527" s="102" t="str">
        <f aca="false">IF(OR($N527="", $O527=""),"",IF($N527&gt;=Lists!$AG$2,IF($O527&gt;=Lists!$AG$4,"High Value / High Risk","High Value / Low Risk"),IF($O527&gt;=Lists!$AG$4,"Low Value / High Risk","Low Value / Low Risk")))</f>
        <v/>
      </c>
      <c r="AF527" s="101"/>
      <c r="AG527" s="126"/>
      <c r="AH527" s="106" t="str">
        <f aca="false">IF($B527="","",COUNTIFS('Debt Backlog'!$AF$2:$AF$1000,$A527,'Debt Backlog'!$B$2:$B$1000,"&lt;&gt;",'Debt Backlog'!$N$2:$N$1000,"&lt;&gt;Done",'Debt Backlog'!$N$2:$N$1000,"&lt;&gt;Won't Fix",'Debt Backlog'!$N$2:$N$1000,"&lt;&gt;Duplicate"))</f>
        <v/>
      </c>
      <c r="AI527" s="103" t="str">
        <f aca="false">IF($B527="","",ROUND(SUMIFS('Debt Backlog'!$L$2:$L$1000,'Debt Backlog'!$AF$2:$AF$1000,$A527,'Debt Backlog'!$B$2:$B$1000,"&lt;&gt;",'Debt Backlog'!$N$2:$N$1000,"&lt;&gt;Done",'Debt Backlog'!$N$2:$N$1000,"&lt;&gt;Won't Fix",'Debt Backlog'!$N$2:$N$1000,"&lt;&gt;Duplicate"),2))</f>
        <v/>
      </c>
    </row>
    <row r="528" customFormat="false" ht="15.75" hidden="false" customHeight="true" outlineLevel="0" collapsed="false">
      <c r="A528" s="125"/>
      <c r="B528" s="101"/>
      <c r="C528" s="101"/>
      <c r="D528" s="101"/>
      <c r="E528" s="101"/>
      <c r="F528" s="101"/>
      <c r="G528" s="101"/>
      <c r="H528" s="101"/>
      <c r="I528" s="106"/>
      <c r="J528" s="106"/>
      <c r="K528" s="106"/>
      <c r="L528" s="106"/>
      <c r="M528" s="106"/>
      <c r="N528" s="103" t="str">
        <f aca="false">IF(OR($B528="", $I528="", $J528="", $K528="", $L528="", $M528=""),"",ROUND(($I528*Lists!$AD$2)+($J528*Lists!$AD$3)+($K528*Lists!$AD$4)+($L528*Lists!$AD$5)+($M528*Lists!$AD$6),2))</f>
        <v/>
      </c>
      <c r="O528" s="103" t="str">
        <f aca="false">IF($A528="","",IFERROR(VLOOKUP($A528,'Risk Register'!$B$2:$I$1000,8,FALSE()),""))</f>
        <v/>
      </c>
      <c r="P528" s="106"/>
      <c r="Q528" s="106"/>
      <c r="R528" s="106"/>
      <c r="S528" s="106"/>
      <c r="T528" s="103" t="str">
        <f aca="false">IF(OR($B528="", $P528="", $Q528="", $R528="", $S528=""),"",ROUND(($P528*Lists!$AD$7)+($Q528*Lists!$AD$8)+($R528*Lists!$AD$9)+($S528*Lists!$AD$10),2))</f>
        <v/>
      </c>
      <c r="U528" s="106"/>
      <c r="V528" s="106"/>
      <c r="W528" s="106"/>
      <c r="X528" s="106"/>
      <c r="Y528" s="106"/>
      <c r="Z528" s="103" t="str">
        <f aca="false">IF(OR($B528="", $U528="", $V528="", $W528="", $X528="", $Y528=""),"",ROUND(($U528*Lists!$AD$11)+($V528*Lists!$AD$12)+($W528*Lists!$AD$13)+($X528*Lists!$AD$14)+($Y528*Lists!$AD$15),2))</f>
        <v/>
      </c>
      <c r="AA528" s="103" t="str">
        <f aca="false">IF(OR($B528="", $N528="", $O528="", $T528="", $Z528=""),"",ROUND(($N528*Lists!$AD$16)-($O528*Lists!$AD$17)-($T528*Lists!$AD$18)+($Z528*Lists!$AD$19),2))</f>
        <v/>
      </c>
      <c r="AB528" s="102" t="str">
        <f aca="false">IF(OR($B528="", $N528="", $Z528=""),"",IF($N528&gt;=Lists!$AG$2,IF($Z528&gt;=Lists!$AG$3,"Invest","Migrate"),IF($Z528&gt;=Lists!$AG$3,"Tolerate","Eliminate")))</f>
        <v/>
      </c>
      <c r="AC528" s="102" t="str">
        <f aca="false">IF($B528="","",IF($J528&gt;=4,"Yes",""))</f>
        <v/>
      </c>
      <c r="AD528" s="102" t="str">
        <f aca="false">IF($A528="","",IFERROR(IF(VLOOKUP($A528,'Risk Register'!$B$2:$H$1000,4,FALSE())&gt;=4,"Yes",""),""))</f>
        <v/>
      </c>
      <c r="AE528" s="102" t="str">
        <f aca="false">IF(OR($N528="", $O528=""),"",IF($N528&gt;=Lists!$AG$2,IF($O528&gt;=Lists!$AG$4,"High Value / High Risk","High Value / Low Risk"),IF($O528&gt;=Lists!$AG$4,"Low Value / High Risk","Low Value / Low Risk")))</f>
        <v/>
      </c>
      <c r="AF528" s="101"/>
      <c r="AG528" s="126"/>
      <c r="AH528" s="106" t="str">
        <f aca="false">IF($B528="","",COUNTIFS('Debt Backlog'!$AF$2:$AF$1000,$A528,'Debt Backlog'!$B$2:$B$1000,"&lt;&gt;",'Debt Backlog'!$N$2:$N$1000,"&lt;&gt;Done",'Debt Backlog'!$N$2:$N$1000,"&lt;&gt;Won't Fix",'Debt Backlog'!$N$2:$N$1000,"&lt;&gt;Duplicate"))</f>
        <v/>
      </c>
      <c r="AI528" s="103" t="str">
        <f aca="false">IF($B528="","",ROUND(SUMIFS('Debt Backlog'!$L$2:$L$1000,'Debt Backlog'!$AF$2:$AF$1000,$A528,'Debt Backlog'!$B$2:$B$1000,"&lt;&gt;",'Debt Backlog'!$N$2:$N$1000,"&lt;&gt;Done",'Debt Backlog'!$N$2:$N$1000,"&lt;&gt;Won't Fix",'Debt Backlog'!$N$2:$N$1000,"&lt;&gt;Duplicate"),2))</f>
        <v/>
      </c>
    </row>
    <row r="529" customFormat="false" ht="15.75" hidden="false" customHeight="true" outlineLevel="0" collapsed="false">
      <c r="A529" s="125"/>
      <c r="B529" s="101"/>
      <c r="C529" s="101"/>
      <c r="D529" s="101"/>
      <c r="E529" s="101"/>
      <c r="F529" s="101"/>
      <c r="G529" s="101"/>
      <c r="H529" s="101"/>
      <c r="I529" s="106"/>
      <c r="J529" s="106"/>
      <c r="K529" s="106"/>
      <c r="L529" s="106"/>
      <c r="M529" s="106"/>
      <c r="N529" s="103" t="str">
        <f aca="false">IF(OR($B529="", $I529="", $J529="", $K529="", $L529="", $M529=""),"",ROUND(($I529*Lists!$AD$2)+($J529*Lists!$AD$3)+($K529*Lists!$AD$4)+($L529*Lists!$AD$5)+($M529*Lists!$AD$6),2))</f>
        <v/>
      </c>
      <c r="O529" s="103" t="str">
        <f aca="false">IF($A529="","",IFERROR(VLOOKUP($A529,'Risk Register'!$B$2:$I$1000,8,FALSE()),""))</f>
        <v/>
      </c>
      <c r="P529" s="106"/>
      <c r="Q529" s="106"/>
      <c r="R529" s="106"/>
      <c r="S529" s="106"/>
      <c r="T529" s="103" t="str">
        <f aca="false">IF(OR($B529="", $P529="", $Q529="", $R529="", $S529=""),"",ROUND(($P529*Lists!$AD$7)+($Q529*Lists!$AD$8)+($R529*Lists!$AD$9)+($S529*Lists!$AD$10),2))</f>
        <v/>
      </c>
      <c r="U529" s="106"/>
      <c r="V529" s="106"/>
      <c r="W529" s="106"/>
      <c r="X529" s="106"/>
      <c r="Y529" s="106"/>
      <c r="Z529" s="103" t="str">
        <f aca="false">IF(OR($B529="", $U529="", $V529="", $W529="", $X529="", $Y529=""),"",ROUND(($U529*Lists!$AD$11)+($V529*Lists!$AD$12)+($W529*Lists!$AD$13)+($X529*Lists!$AD$14)+($Y529*Lists!$AD$15),2))</f>
        <v/>
      </c>
      <c r="AA529" s="103" t="str">
        <f aca="false">IF(OR($B529="", $N529="", $O529="", $T529="", $Z529=""),"",ROUND(($N529*Lists!$AD$16)-($O529*Lists!$AD$17)-($T529*Lists!$AD$18)+($Z529*Lists!$AD$19),2))</f>
        <v/>
      </c>
      <c r="AB529" s="102" t="str">
        <f aca="false">IF(OR($B529="", $N529="", $Z529=""),"",IF($N529&gt;=Lists!$AG$2,IF($Z529&gt;=Lists!$AG$3,"Invest","Migrate"),IF($Z529&gt;=Lists!$AG$3,"Tolerate","Eliminate")))</f>
        <v/>
      </c>
      <c r="AC529" s="102" t="str">
        <f aca="false">IF($B529="","",IF($J529&gt;=4,"Yes",""))</f>
        <v/>
      </c>
      <c r="AD529" s="102" t="str">
        <f aca="false">IF($A529="","",IFERROR(IF(VLOOKUP($A529,'Risk Register'!$B$2:$H$1000,4,FALSE())&gt;=4,"Yes",""),""))</f>
        <v/>
      </c>
      <c r="AE529" s="102" t="str">
        <f aca="false">IF(OR($N529="", $O529=""),"",IF($N529&gt;=Lists!$AG$2,IF($O529&gt;=Lists!$AG$4,"High Value / High Risk","High Value / Low Risk"),IF($O529&gt;=Lists!$AG$4,"Low Value / High Risk","Low Value / Low Risk")))</f>
        <v/>
      </c>
      <c r="AF529" s="101"/>
      <c r="AG529" s="126"/>
      <c r="AH529" s="106" t="str">
        <f aca="false">IF($B529="","",COUNTIFS('Debt Backlog'!$AF$2:$AF$1000,$A529,'Debt Backlog'!$B$2:$B$1000,"&lt;&gt;",'Debt Backlog'!$N$2:$N$1000,"&lt;&gt;Done",'Debt Backlog'!$N$2:$N$1000,"&lt;&gt;Won't Fix",'Debt Backlog'!$N$2:$N$1000,"&lt;&gt;Duplicate"))</f>
        <v/>
      </c>
      <c r="AI529" s="103" t="str">
        <f aca="false">IF($B529="","",ROUND(SUMIFS('Debt Backlog'!$L$2:$L$1000,'Debt Backlog'!$AF$2:$AF$1000,$A529,'Debt Backlog'!$B$2:$B$1000,"&lt;&gt;",'Debt Backlog'!$N$2:$N$1000,"&lt;&gt;Done",'Debt Backlog'!$N$2:$N$1000,"&lt;&gt;Won't Fix",'Debt Backlog'!$N$2:$N$1000,"&lt;&gt;Duplicate"),2))</f>
        <v/>
      </c>
    </row>
    <row r="530" customFormat="false" ht="15.75" hidden="false" customHeight="true" outlineLevel="0" collapsed="false">
      <c r="A530" s="125"/>
      <c r="B530" s="101"/>
      <c r="C530" s="101"/>
      <c r="D530" s="101"/>
      <c r="E530" s="101"/>
      <c r="F530" s="101"/>
      <c r="G530" s="101"/>
      <c r="H530" s="101"/>
      <c r="I530" s="106"/>
      <c r="J530" s="106"/>
      <c r="K530" s="106"/>
      <c r="L530" s="106"/>
      <c r="M530" s="106"/>
      <c r="N530" s="103" t="str">
        <f aca="false">IF(OR($B530="", $I530="", $J530="", $K530="", $L530="", $M530=""),"",ROUND(($I530*Lists!$AD$2)+($J530*Lists!$AD$3)+($K530*Lists!$AD$4)+($L530*Lists!$AD$5)+($M530*Lists!$AD$6),2))</f>
        <v/>
      </c>
      <c r="O530" s="103" t="str">
        <f aca="false">IF($A530="","",IFERROR(VLOOKUP($A530,'Risk Register'!$B$2:$I$1000,8,FALSE()),""))</f>
        <v/>
      </c>
      <c r="P530" s="106"/>
      <c r="Q530" s="106"/>
      <c r="R530" s="106"/>
      <c r="S530" s="106"/>
      <c r="T530" s="103" t="str">
        <f aca="false">IF(OR($B530="", $P530="", $Q530="", $R530="", $S530=""),"",ROUND(($P530*Lists!$AD$7)+($Q530*Lists!$AD$8)+($R530*Lists!$AD$9)+($S530*Lists!$AD$10),2))</f>
        <v/>
      </c>
      <c r="U530" s="106"/>
      <c r="V530" s="106"/>
      <c r="W530" s="106"/>
      <c r="X530" s="106"/>
      <c r="Y530" s="106"/>
      <c r="Z530" s="103" t="str">
        <f aca="false">IF(OR($B530="", $U530="", $V530="", $W530="", $X530="", $Y530=""),"",ROUND(($U530*Lists!$AD$11)+($V530*Lists!$AD$12)+($W530*Lists!$AD$13)+($X530*Lists!$AD$14)+($Y530*Lists!$AD$15),2))</f>
        <v/>
      </c>
      <c r="AA530" s="103" t="str">
        <f aca="false">IF(OR($B530="", $N530="", $O530="", $T530="", $Z530=""),"",ROUND(($N530*Lists!$AD$16)-($O530*Lists!$AD$17)-($T530*Lists!$AD$18)+($Z530*Lists!$AD$19),2))</f>
        <v/>
      </c>
      <c r="AB530" s="102" t="str">
        <f aca="false">IF(OR($B530="", $N530="", $Z530=""),"",IF($N530&gt;=Lists!$AG$2,IF($Z530&gt;=Lists!$AG$3,"Invest","Migrate"),IF($Z530&gt;=Lists!$AG$3,"Tolerate","Eliminate")))</f>
        <v/>
      </c>
      <c r="AC530" s="102" t="str">
        <f aca="false">IF($B530="","",IF($J530&gt;=4,"Yes",""))</f>
        <v/>
      </c>
      <c r="AD530" s="102" t="str">
        <f aca="false">IF($A530="","",IFERROR(IF(VLOOKUP($A530,'Risk Register'!$B$2:$H$1000,4,FALSE())&gt;=4,"Yes",""),""))</f>
        <v/>
      </c>
      <c r="AE530" s="102" t="str">
        <f aca="false">IF(OR($N530="", $O530=""),"",IF($N530&gt;=Lists!$AG$2,IF($O530&gt;=Lists!$AG$4,"High Value / High Risk","High Value / Low Risk"),IF($O530&gt;=Lists!$AG$4,"Low Value / High Risk","Low Value / Low Risk")))</f>
        <v/>
      </c>
      <c r="AF530" s="101"/>
      <c r="AG530" s="126"/>
      <c r="AH530" s="106" t="str">
        <f aca="false">IF($B530="","",COUNTIFS('Debt Backlog'!$AF$2:$AF$1000,$A530,'Debt Backlog'!$B$2:$B$1000,"&lt;&gt;",'Debt Backlog'!$N$2:$N$1000,"&lt;&gt;Done",'Debt Backlog'!$N$2:$N$1000,"&lt;&gt;Won't Fix",'Debt Backlog'!$N$2:$N$1000,"&lt;&gt;Duplicate"))</f>
        <v/>
      </c>
      <c r="AI530" s="103" t="str">
        <f aca="false">IF($B530="","",ROUND(SUMIFS('Debt Backlog'!$L$2:$L$1000,'Debt Backlog'!$AF$2:$AF$1000,$A530,'Debt Backlog'!$B$2:$B$1000,"&lt;&gt;",'Debt Backlog'!$N$2:$N$1000,"&lt;&gt;Done",'Debt Backlog'!$N$2:$N$1000,"&lt;&gt;Won't Fix",'Debt Backlog'!$N$2:$N$1000,"&lt;&gt;Duplicate"),2))</f>
        <v/>
      </c>
    </row>
    <row r="531" customFormat="false" ht="15.75" hidden="false" customHeight="true" outlineLevel="0" collapsed="false">
      <c r="A531" s="125"/>
      <c r="B531" s="101"/>
      <c r="C531" s="101"/>
      <c r="D531" s="101"/>
      <c r="E531" s="101"/>
      <c r="F531" s="101"/>
      <c r="G531" s="101"/>
      <c r="H531" s="101"/>
      <c r="I531" s="106"/>
      <c r="J531" s="106"/>
      <c r="K531" s="106"/>
      <c r="L531" s="106"/>
      <c r="M531" s="106"/>
      <c r="N531" s="103" t="str">
        <f aca="false">IF(OR($B531="", $I531="", $J531="", $K531="", $L531="", $M531=""),"",ROUND(($I531*Lists!$AD$2)+($J531*Lists!$AD$3)+($K531*Lists!$AD$4)+($L531*Lists!$AD$5)+($M531*Lists!$AD$6),2))</f>
        <v/>
      </c>
      <c r="O531" s="103" t="str">
        <f aca="false">IF($A531="","",IFERROR(VLOOKUP($A531,'Risk Register'!$B$2:$I$1000,8,FALSE()),""))</f>
        <v/>
      </c>
      <c r="P531" s="106"/>
      <c r="Q531" s="106"/>
      <c r="R531" s="106"/>
      <c r="S531" s="106"/>
      <c r="T531" s="103" t="str">
        <f aca="false">IF(OR($B531="", $P531="", $Q531="", $R531="", $S531=""),"",ROUND(($P531*Lists!$AD$7)+($Q531*Lists!$AD$8)+($R531*Lists!$AD$9)+($S531*Lists!$AD$10),2))</f>
        <v/>
      </c>
      <c r="U531" s="106"/>
      <c r="V531" s="106"/>
      <c r="W531" s="106"/>
      <c r="X531" s="106"/>
      <c r="Y531" s="106"/>
      <c r="Z531" s="103" t="str">
        <f aca="false">IF(OR($B531="", $U531="", $V531="", $W531="", $X531="", $Y531=""),"",ROUND(($U531*Lists!$AD$11)+($V531*Lists!$AD$12)+($W531*Lists!$AD$13)+($X531*Lists!$AD$14)+($Y531*Lists!$AD$15),2))</f>
        <v/>
      </c>
      <c r="AA531" s="103" t="str">
        <f aca="false">IF(OR($B531="", $N531="", $O531="", $T531="", $Z531=""),"",ROUND(($N531*Lists!$AD$16)-($O531*Lists!$AD$17)-($T531*Lists!$AD$18)+($Z531*Lists!$AD$19),2))</f>
        <v/>
      </c>
      <c r="AB531" s="102" t="str">
        <f aca="false">IF(OR($B531="", $N531="", $Z531=""),"",IF($N531&gt;=Lists!$AG$2,IF($Z531&gt;=Lists!$AG$3,"Invest","Migrate"),IF($Z531&gt;=Lists!$AG$3,"Tolerate","Eliminate")))</f>
        <v/>
      </c>
      <c r="AC531" s="102" t="str">
        <f aca="false">IF($B531="","",IF($J531&gt;=4,"Yes",""))</f>
        <v/>
      </c>
      <c r="AD531" s="102" t="str">
        <f aca="false">IF($A531="","",IFERROR(IF(VLOOKUP($A531,'Risk Register'!$B$2:$H$1000,4,FALSE())&gt;=4,"Yes",""),""))</f>
        <v/>
      </c>
      <c r="AE531" s="102" t="str">
        <f aca="false">IF(OR($N531="", $O531=""),"",IF($N531&gt;=Lists!$AG$2,IF($O531&gt;=Lists!$AG$4,"High Value / High Risk","High Value / Low Risk"),IF($O531&gt;=Lists!$AG$4,"Low Value / High Risk","Low Value / Low Risk")))</f>
        <v/>
      </c>
      <c r="AF531" s="101"/>
      <c r="AG531" s="126"/>
      <c r="AH531" s="106" t="str">
        <f aca="false">IF($B531="","",COUNTIFS('Debt Backlog'!$AF$2:$AF$1000,$A531,'Debt Backlog'!$B$2:$B$1000,"&lt;&gt;",'Debt Backlog'!$N$2:$N$1000,"&lt;&gt;Done",'Debt Backlog'!$N$2:$N$1000,"&lt;&gt;Won't Fix",'Debt Backlog'!$N$2:$N$1000,"&lt;&gt;Duplicate"))</f>
        <v/>
      </c>
      <c r="AI531" s="103" t="str">
        <f aca="false">IF($B531="","",ROUND(SUMIFS('Debt Backlog'!$L$2:$L$1000,'Debt Backlog'!$AF$2:$AF$1000,$A531,'Debt Backlog'!$B$2:$B$1000,"&lt;&gt;",'Debt Backlog'!$N$2:$N$1000,"&lt;&gt;Done",'Debt Backlog'!$N$2:$N$1000,"&lt;&gt;Won't Fix",'Debt Backlog'!$N$2:$N$1000,"&lt;&gt;Duplicate"),2))</f>
        <v/>
      </c>
    </row>
    <row r="532" customFormat="false" ht="15.75" hidden="false" customHeight="true" outlineLevel="0" collapsed="false">
      <c r="A532" s="125"/>
      <c r="B532" s="101"/>
      <c r="C532" s="101"/>
      <c r="D532" s="101"/>
      <c r="E532" s="101"/>
      <c r="F532" s="101"/>
      <c r="G532" s="101"/>
      <c r="H532" s="101"/>
      <c r="I532" s="106"/>
      <c r="J532" s="106"/>
      <c r="K532" s="106"/>
      <c r="L532" s="106"/>
      <c r="M532" s="106"/>
      <c r="N532" s="103" t="str">
        <f aca="false">IF(OR($B532="", $I532="", $J532="", $K532="", $L532="", $M532=""),"",ROUND(($I532*Lists!$AD$2)+($J532*Lists!$AD$3)+($K532*Lists!$AD$4)+($L532*Lists!$AD$5)+($M532*Lists!$AD$6),2))</f>
        <v/>
      </c>
      <c r="O532" s="103" t="str">
        <f aca="false">IF($A532="","",IFERROR(VLOOKUP($A532,'Risk Register'!$B$2:$I$1000,8,FALSE()),""))</f>
        <v/>
      </c>
      <c r="P532" s="106"/>
      <c r="Q532" s="106"/>
      <c r="R532" s="106"/>
      <c r="S532" s="106"/>
      <c r="T532" s="103" t="str">
        <f aca="false">IF(OR($B532="", $P532="", $Q532="", $R532="", $S532=""),"",ROUND(($P532*Lists!$AD$7)+($Q532*Lists!$AD$8)+($R532*Lists!$AD$9)+($S532*Lists!$AD$10),2))</f>
        <v/>
      </c>
      <c r="U532" s="106"/>
      <c r="V532" s="106"/>
      <c r="W532" s="106"/>
      <c r="X532" s="106"/>
      <c r="Y532" s="106"/>
      <c r="Z532" s="103" t="str">
        <f aca="false">IF(OR($B532="", $U532="", $V532="", $W532="", $X532="", $Y532=""),"",ROUND(($U532*Lists!$AD$11)+($V532*Lists!$AD$12)+($W532*Lists!$AD$13)+($X532*Lists!$AD$14)+($Y532*Lists!$AD$15),2))</f>
        <v/>
      </c>
      <c r="AA532" s="103" t="str">
        <f aca="false">IF(OR($B532="", $N532="", $O532="", $T532="", $Z532=""),"",ROUND(($N532*Lists!$AD$16)-($O532*Lists!$AD$17)-($T532*Lists!$AD$18)+($Z532*Lists!$AD$19),2))</f>
        <v/>
      </c>
      <c r="AB532" s="102" t="str">
        <f aca="false">IF(OR($B532="", $N532="", $Z532=""),"",IF($N532&gt;=Lists!$AG$2,IF($Z532&gt;=Lists!$AG$3,"Invest","Migrate"),IF($Z532&gt;=Lists!$AG$3,"Tolerate","Eliminate")))</f>
        <v/>
      </c>
      <c r="AC532" s="102" t="str">
        <f aca="false">IF($B532="","",IF($J532&gt;=4,"Yes",""))</f>
        <v/>
      </c>
      <c r="AD532" s="102" t="str">
        <f aca="false">IF($A532="","",IFERROR(IF(VLOOKUP($A532,'Risk Register'!$B$2:$H$1000,4,FALSE())&gt;=4,"Yes",""),""))</f>
        <v/>
      </c>
      <c r="AE532" s="102" t="str">
        <f aca="false">IF(OR($N532="", $O532=""),"",IF($N532&gt;=Lists!$AG$2,IF($O532&gt;=Lists!$AG$4,"High Value / High Risk","High Value / Low Risk"),IF($O532&gt;=Lists!$AG$4,"Low Value / High Risk","Low Value / Low Risk")))</f>
        <v/>
      </c>
      <c r="AF532" s="101"/>
      <c r="AG532" s="126"/>
      <c r="AH532" s="106" t="str">
        <f aca="false">IF($B532="","",COUNTIFS('Debt Backlog'!$AF$2:$AF$1000,$A532,'Debt Backlog'!$B$2:$B$1000,"&lt;&gt;",'Debt Backlog'!$N$2:$N$1000,"&lt;&gt;Done",'Debt Backlog'!$N$2:$N$1000,"&lt;&gt;Won't Fix",'Debt Backlog'!$N$2:$N$1000,"&lt;&gt;Duplicate"))</f>
        <v/>
      </c>
      <c r="AI532" s="103" t="str">
        <f aca="false">IF($B532="","",ROUND(SUMIFS('Debt Backlog'!$L$2:$L$1000,'Debt Backlog'!$AF$2:$AF$1000,$A532,'Debt Backlog'!$B$2:$B$1000,"&lt;&gt;",'Debt Backlog'!$N$2:$N$1000,"&lt;&gt;Done",'Debt Backlog'!$N$2:$N$1000,"&lt;&gt;Won't Fix",'Debt Backlog'!$N$2:$N$1000,"&lt;&gt;Duplicate"),2))</f>
        <v/>
      </c>
    </row>
    <row r="533" customFormat="false" ht="15.75" hidden="false" customHeight="true" outlineLevel="0" collapsed="false">
      <c r="A533" s="125"/>
      <c r="B533" s="101"/>
      <c r="C533" s="101"/>
      <c r="D533" s="101"/>
      <c r="E533" s="101"/>
      <c r="F533" s="101"/>
      <c r="G533" s="101"/>
      <c r="H533" s="101"/>
      <c r="I533" s="106"/>
      <c r="J533" s="106"/>
      <c r="K533" s="106"/>
      <c r="L533" s="106"/>
      <c r="M533" s="106"/>
      <c r="N533" s="103" t="str">
        <f aca="false">IF(OR($B533="", $I533="", $J533="", $K533="", $L533="", $M533=""),"",ROUND(($I533*Lists!$AD$2)+($J533*Lists!$AD$3)+($K533*Lists!$AD$4)+($L533*Lists!$AD$5)+($M533*Lists!$AD$6),2))</f>
        <v/>
      </c>
      <c r="O533" s="103" t="str">
        <f aca="false">IF($A533="","",IFERROR(VLOOKUP($A533,'Risk Register'!$B$2:$I$1000,8,FALSE()),""))</f>
        <v/>
      </c>
      <c r="P533" s="106"/>
      <c r="Q533" s="106"/>
      <c r="R533" s="106"/>
      <c r="S533" s="106"/>
      <c r="T533" s="103" t="str">
        <f aca="false">IF(OR($B533="", $P533="", $Q533="", $R533="", $S533=""),"",ROUND(($P533*Lists!$AD$7)+($Q533*Lists!$AD$8)+($R533*Lists!$AD$9)+($S533*Lists!$AD$10),2))</f>
        <v/>
      </c>
      <c r="U533" s="106"/>
      <c r="V533" s="106"/>
      <c r="W533" s="106"/>
      <c r="X533" s="106"/>
      <c r="Y533" s="106"/>
      <c r="Z533" s="103" t="str">
        <f aca="false">IF(OR($B533="", $U533="", $V533="", $W533="", $X533="", $Y533=""),"",ROUND(($U533*Lists!$AD$11)+($V533*Lists!$AD$12)+($W533*Lists!$AD$13)+($X533*Lists!$AD$14)+($Y533*Lists!$AD$15),2))</f>
        <v/>
      </c>
      <c r="AA533" s="103" t="str">
        <f aca="false">IF(OR($B533="", $N533="", $O533="", $T533="", $Z533=""),"",ROUND(($N533*Lists!$AD$16)-($O533*Lists!$AD$17)-($T533*Lists!$AD$18)+($Z533*Lists!$AD$19),2))</f>
        <v/>
      </c>
      <c r="AB533" s="102" t="str">
        <f aca="false">IF(OR($B533="", $N533="", $Z533=""),"",IF($N533&gt;=Lists!$AG$2,IF($Z533&gt;=Lists!$AG$3,"Invest","Migrate"),IF($Z533&gt;=Lists!$AG$3,"Tolerate","Eliminate")))</f>
        <v/>
      </c>
      <c r="AC533" s="102" t="str">
        <f aca="false">IF($B533="","",IF($J533&gt;=4,"Yes",""))</f>
        <v/>
      </c>
      <c r="AD533" s="102" t="str">
        <f aca="false">IF($A533="","",IFERROR(IF(VLOOKUP($A533,'Risk Register'!$B$2:$H$1000,4,FALSE())&gt;=4,"Yes",""),""))</f>
        <v/>
      </c>
      <c r="AE533" s="102" t="str">
        <f aca="false">IF(OR($N533="", $O533=""),"",IF($N533&gt;=Lists!$AG$2,IF($O533&gt;=Lists!$AG$4,"High Value / High Risk","High Value / Low Risk"),IF($O533&gt;=Lists!$AG$4,"Low Value / High Risk","Low Value / Low Risk")))</f>
        <v/>
      </c>
      <c r="AF533" s="101"/>
      <c r="AG533" s="126"/>
      <c r="AH533" s="106" t="str">
        <f aca="false">IF($B533="","",COUNTIFS('Debt Backlog'!$AF$2:$AF$1000,$A533,'Debt Backlog'!$B$2:$B$1000,"&lt;&gt;",'Debt Backlog'!$N$2:$N$1000,"&lt;&gt;Done",'Debt Backlog'!$N$2:$N$1000,"&lt;&gt;Won't Fix",'Debt Backlog'!$N$2:$N$1000,"&lt;&gt;Duplicate"))</f>
        <v/>
      </c>
      <c r="AI533" s="103" t="str">
        <f aca="false">IF($B533="","",ROUND(SUMIFS('Debt Backlog'!$L$2:$L$1000,'Debt Backlog'!$AF$2:$AF$1000,$A533,'Debt Backlog'!$B$2:$B$1000,"&lt;&gt;",'Debt Backlog'!$N$2:$N$1000,"&lt;&gt;Done",'Debt Backlog'!$N$2:$N$1000,"&lt;&gt;Won't Fix",'Debt Backlog'!$N$2:$N$1000,"&lt;&gt;Duplicate"),2))</f>
        <v/>
      </c>
    </row>
    <row r="534" customFormat="false" ht="15.75" hidden="false" customHeight="true" outlineLevel="0" collapsed="false">
      <c r="A534" s="125"/>
      <c r="B534" s="101"/>
      <c r="C534" s="101"/>
      <c r="D534" s="101"/>
      <c r="E534" s="101"/>
      <c r="F534" s="101"/>
      <c r="G534" s="101"/>
      <c r="H534" s="101"/>
      <c r="I534" s="106"/>
      <c r="J534" s="106"/>
      <c r="K534" s="106"/>
      <c r="L534" s="106"/>
      <c r="M534" s="106"/>
      <c r="N534" s="103" t="str">
        <f aca="false">IF(OR($B534="", $I534="", $J534="", $K534="", $L534="", $M534=""),"",ROUND(($I534*Lists!$AD$2)+($J534*Lists!$AD$3)+($K534*Lists!$AD$4)+($L534*Lists!$AD$5)+($M534*Lists!$AD$6),2))</f>
        <v/>
      </c>
      <c r="O534" s="103" t="str">
        <f aca="false">IF($A534="","",IFERROR(VLOOKUP($A534,'Risk Register'!$B$2:$I$1000,8,FALSE()),""))</f>
        <v/>
      </c>
      <c r="P534" s="106"/>
      <c r="Q534" s="106"/>
      <c r="R534" s="106"/>
      <c r="S534" s="106"/>
      <c r="T534" s="103" t="str">
        <f aca="false">IF(OR($B534="", $P534="", $Q534="", $R534="", $S534=""),"",ROUND(($P534*Lists!$AD$7)+($Q534*Lists!$AD$8)+($R534*Lists!$AD$9)+($S534*Lists!$AD$10),2))</f>
        <v/>
      </c>
      <c r="U534" s="106"/>
      <c r="V534" s="106"/>
      <c r="W534" s="106"/>
      <c r="X534" s="106"/>
      <c r="Y534" s="106"/>
      <c r="Z534" s="103" t="str">
        <f aca="false">IF(OR($B534="", $U534="", $V534="", $W534="", $X534="", $Y534=""),"",ROUND(($U534*Lists!$AD$11)+($V534*Lists!$AD$12)+($W534*Lists!$AD$13)+($X534*Lists!$AD$14)+($Y534*Lists!$AD$15),2))</f>
        <v/>
      </c>
      <c r="AA534" s="103" t="str">
        <f aca="false">IF(OR($B534="", $N534="", $O534="", $T534="", $Z534=""),"",ROUND(($N534*Lists!$AD$16)-($O534*Lists!$AD$17)-($T534*Lists!$AD$18)+($Z534*Lists!$AD$19),2))</f>
        <v/>
      </c>
      <c r="AB534" s="102" t="str">
        <f aca="false">IF(OR($B534="", $N534="", $Z534=""),"",IF($N534&gt;=Lists!$AG$2,IF($Z534&gt;=Lists!$AG$3,"Invest","Migrate"),IF($Z534&gt;=Lists!$AG$3,"Tolerate","Eliminate")))</f>
        <v/>
      </c>
      <c r="AC534" s="102" t="str">
        <f aca="false">IF($B534="","",IF($J534&gt;=4,"Yes",""))</f>
        <v/>
      </c>
      <c r="AD534" s="102" t="str">
        <f aca="false">IF($A534="","",IFERROR(IF(VLOOKUP($A534,'Risk Register'!$B$2:$H$1000,4,FALSE())&gt;=4,"Yes",""),""))</f>
        <v/>
      </c>
      <c r="AE534" s="102" t="str">
        <f aca="false">IF(OR($N534="", $O534=""),"",IF($N534&gt;=Lists!$AG$2,IF($O534&gt;=Lists!$AG$4,"High Value / High Risk","High Value / Low Risk"),IF($O534&gt;=Lists!$AG$4,"Low Value / High Risk","Low Value / Low Risk")))</f>
        <v/>
      </c>
      <c r="AF534" s="101"/>
      <c r="AG534" s="126"/>
      <c r="AH534" s="106" t="str">
        <f aca="false">IF($B534="","",COUNTIFS('Debt Backlog'!$AF$2:$AF$1000,$A534,'Debt Backlog'!$B$2:$B$1000,"&lt;&gt;",'Debt Backlog'!$N$2:$N$1000,"&lt;&gt;Done",'Debt Backlog'!$N$2:$N$1000,"&lt;&gt;Won't Fix",'Debt Backlog'!$N$2:$N$1000,"&lt;&gt;Duplicate"))</f>
        <v/>
      </c>
      <c r="AI534" s="103" t="str">
        <f aca="false">IF($B534="","",ROUND(SUMIFS('Debt Backlog'!$L$2:$L$1000,'Debt Backlog'!$AF$2:$AF$1000,$A534,'Debt Backlog'!$B$2:$B$1000,"&lt;&gt;",'Debt Backlog'!$N$2:$N$1000,"&lt;&gt;Done",'Debt Backlog'!$N$2:$N$1000,"&lt;&gt;Won't Fix",'Debt Backlog'!$N$2:$N$1000,"&lt;&gt;Duplicate"),2))</f>
        <v/>
      </c>
    </row>
    <row r="535" customFormat="false" ht="15.75" hidden="false" customHeight="true" outlineLevel="0" collapsed="false">
      <c r="A535" s="125"/>
      <c r="B535" s="101"/>
      <c r="C535" s="101"/>
      <c r="D535" s="101"/>
      <c r="E535" s="101"/>
      <c r="F535" s="101"/>
      <c r="G535" s="101"/>
      <c r="H535" s="101"/>
      <c r="I535" s="106"/>
      <c r="J535" s="106"/>
      <c r="K535" s="106"/>
      <c r="L535" s="106"/>
      <c r="M535" s="106"/>
      <c r="N535" s="103" t="str">
        <f aca="false">IF(OR($B535="", $I535="", $J535="", $K535="", $L535="", $M535=""),"",ROUND(($I535*Lists!$AD$2)+($J535*Lists!$AD$3)+($K535*Lists!$AD$4)+($L535*Lists!$AD$5)+($M535*Lists!$AD$6),2))</f>
        <v/>
      </c>
      <c r="O535" s="103" t="str">
        <f aca="false">IF($A535="","",IFERROR(VLOOKUP($A535,'Risk Register'!$B$2:$I$1000,8,FALSE()),""))</f>
        <v/>
      </c>
      <c r="P535" s="106"/>
      <c r="Q535" s="106"/>
      <c r="R535" s="106"/>
      <c r="S535" s="106"/>
      <c r="T535" s="103" t="str">
        <f aca="false">IF(OR($B535="", $P535="", $Q535="", $R535="", $S535=""),"",ROUND(($P535*Lists!$AD$7)+($Q535*Lists!$AD$8)+($R535*Lists!$AD$9)+($S535*Lists!$AD$10),2))</f>
        <v/>
      </c>
      <c r="U535" s="106"/>
      <c r="V535" s="106"/>
      <c r="W535" s="106"/>
      <c r="X535" s="106"/>
      <c r="Y535" s="106"/>
      <c r="Z535" s="103" t="str">
        <f aca="false">IF(OR($B535="", $U535="", $V535="", $W535="", $X535="", $Y535=""),"",ROUND(($U535*Lists!$AD$11)+($V535*Lists!$AD$12)+($W535*Lists!$AD$13)+($X535*Lists!$AD$14)+($Y535*Lists!$AD$15),2))</f>
        <v/>
      </c>
      <c r="AA535" s="103" t="str">
        <f aca="false">IF(OR($B535="", $N535="", $O535="", $T535="", $Z535=""),"",ROUND(($N535*Lists!$AD$16)-($O535*Lists!$AD$17)-($T535*Lists!$AD$18)+($Z535*Lists!$AD$19),2))</f>
        <v/>
      </c>
      <c r="AB535" s="102" t="str">
        <f aca="false">IF(OR($B535="", $N535="", $Z535=""),"",IF($N535&gt;=Lists!$AG$2,IF($Z535&gt;=Lists!$AG$3,"Invest","Migrate"),IF($Z535&gt;=Lists!$AG$3,"Tolerate","Eliminate")))</f>
        <v/>
      </c>
      <c r="AC535" s="102" t="str">
        <f aca="false">IF($B535="","",IF($J535&gt;=4,"Yes",""))</f>
        <v/>
      </c>
      <c r="AD535" s="102" t="str">
        <f aca="false">IF($A535="","",IFERROR(IF(VLOOKUP($A535,'Risk Register'!$B$2:$H$1000,4,FALSE())&gt;=4,"Yes",""),""))</f>
        <v/>
      </c>
      <c r="AE535" s="102" t="str">
        <f aca="false">IF(OR($N535="", $O535=""),"",IF($N535&gt;=Lists!$AG$2,IF($O535&gt;=Lists!$AG$4,"High Value / High Risk","High Value / Low Risk"),IF($O535&gt;=Lists!$AG$4,"Low Value / High Risk","Low Value / Low Risk")))</f>
        <v/>
      </c>
      <c r="AF535" s="101"/>
      <c r="AG535" s="126"/>
      <c r="AH535" s="106" t="str">
        <f aca="false">IF($B535="","",COUNTIFS('Debt Backlog'!$AF$2:$AF$1000,$A535,'Debt Backlog'!$B$2:$B$1000,"&lt;&gt;",'Debt Backlog'!$N$2:$N$1000,"&lt;&gt;Done",'Debt Backlog'!$N$2:$N$1000,"&lt;&gt;Won't Fix",'Debt Backlog'!$N$2:$N$1000,"&lt;&gt;Duplicate"))</f>
        <v/>
      </c>
      <c r="AI535" s="103" t="str">
        <f aca="false">IF($B535="","",ROUND(SUMIFS('Debt Backlog'!$L$2:$L$1000,'Debt Backlog'!$AF$2:$AF$1000,$A535,'Debt Backlog'!$B$2:$B$1000,"&lt;&gt;",'Debt Backlog'!$N$2:$N$1000,"&lt;&gt;Done",'Debt Backlog'!$N$2:$N$1000,"&lt;&gt;Won't Fix",'Debt Backlog'!$N$2:$N$1000,"&lt;&gt;Duplicate"),2))</f>
        <v/>
      </c>
    </row>
    <row r="536" customFormat="false" ht="15.75" hidden="false" customHeight="true" outlineLevel="0" collapsed="false">
      <c r="A536" s="125"/>
      <c r="B536" s="101"/>
      <c r="C536" s="101"/>
      <c r="D536" s="101"/>
      <c r="E536" s="101"/>
      <c r="F536" s="101"/>
      <c r="G536" s="101"/>
      <c r="H536" s="101"/>
      <c r="I536" s="106"/>
      <c r="J536" s="106"/>
      <c r="K536" s="106"/>
      <c r="L536" s="106"/>
      <c r="M536" s="106"/>
      <c r="N536" s="103" t="str">
        <f aca="false">IF(OR($B536="", $I536="", $J536="", $K536="", $L536="", $M536=""),"",ROUND(($I536*Lists!$AD$2)+($J536*Lists!$AD$3)+($K536*Lists!$AD$4)+($L536*Lists!$AD$5)+($M536*Lists!$AD$6),2))</f>
        <v/>
      </c>
      <c r="O536" s="103" t="str">
        <f aca="false">IF($A536="","",IFERROR(VLOOKUP($A536,'Risk Register'!$B$2:$I$1000,8,FALSE()),""))</f>
        <v/>
      </c>
      <c r="P536" s="106"/>
      <c r="Q536" s="106"/>
      <c r="R536" s="106"/>
      <c r="S536" s="106"/>
      <c r="T536" s="103" t="str">
        <f aca="false">IF(OR($B536="", $P536="", $Q536="", $R536="", $S536=""),"",ROUND(($P536*Lists!$AD$7)+($Q536*Lists!$AD$8)+($R536*Lists!$AD$9)+($S536*Lists!$AD$10),2))</f>
        <v/>
      </c>
      <c r="U536" s="106"/>
      <c r="V536" s="106"/>
      <c r="W536" s="106"/>
      <c r="X536" s="106"/>
      <c r="Y536" s="106"/>
      <c r="Z536" s="103" t="str">
        <f aca="false">IF(OR($B536="", $U536="", $V536="", $W536="", $X536="", $Y536=""),"",ROUND(($U536*Lists!$AD$11)+($V536*Lists!$AD$12)+($W536*Lists!$AD$13)+($X536*Lists!$AD$14)+($Y536*Lists!$AD$15),2))</f>
        <v/>
      </c>
      <c r="AA536" s="103" t="str">
        <f aca="false">IF(OR($B536="", $N536="", $O536="", $T536="", $Z536=""),"",ROUND(($N536*Lists!$AD$16)-($O536*Lists!$AD$17)-($T536*Lists!$AD$18)+($Z536*Lists!$AD$19),2))</f>
        <v/>
      </c>
      <c r="AB536" s="102" t="str">
        <f aca="false">IF(OR($B536="", $N536="", $Z536=""),"",IF($N536&gt;=Lists!$AG$2,IF($Z536&gt;=Lists!$AG$3,"Invest","Migrate"),IF($Z536&gt;=Lists!$AG$3,"Tolerate","Eliminate")))</f>
        <v/>
      </c>
      <c r="AC536" s="102" t="str">
        <f aca="false">IF($B536="","",IF($J536&gt;=4,"Yes",""))</f>
        <v/>
      </c>
      <c r="AD536" s="102" t="str">
        <f aca="false">IF($A536="","",IFERROR(IF(VLOOKUP($A536,'Risk Register'!$B$2:$H$1000,4,FALSE())&gt;=4,"Yes",""),""))</f>
        <v/>
      </c>
      <c r="AE536" s="102" t="str">
        <f aca="false">IF(OR($N536="", $O536=""),"",IF($N536&gt;=Lists!$AG$2,IF($O536&gt;=Lists!$AG$4,"High Value / High Risk","High Value / Low Risk"),IF($O536&gt;=Lists!$AG$4,"Low Value / High Risk","Low Value / Low Risk")))</f>
        <v/>
      </c>
      <c r="AF536" s="101"/>
      <c r="AG536" s="126"/>
      <c r="AH536" s="106" t="str">
        <f aca="false">IF($B536="","",COUNTIFS('Debt Backlog'!$AF$2:$AF$1000,$A536,'Debt Backlog'!$B$2:$B$1000,"&lt;&gt;",'Debt Backlog'!$N$2:$N$1000,"&lt;&gt;Done",'Debt Backlog'!$N$2:$N$1000,"&lt;&gt;Won't Fix",'Debt Backlog'!$N$2:$N$1000,"&lt;&gt;Duplicate"))</f>
        <v/>
      </c>
      <c r="AI536" s="103" t="str">
        <f aca="false">IF($B536="","",ROUND(SUMIFS('Debt Backlog'!$L$2:$L$1000,'Debt Backlog'!$AF$2:$AF$1000,$A536,'Debt Backlog'!$B$2:$B$1000,"&lt;&gt;",'Debt Backlog'!$N$2:$N$1000,"&lt;&gt;Done",'Debt Backlog'!$N$2:$N$1000,"&lt;&gt;Won't Fix",'Debt Backlog'!$N$2:$N$1000,"&lt;&gt;Duplicate"),2))</f>
        <v/>
      </c>
    </row>
    <row r="537" customFormat="false" ht="15.75" hidden="false" customHeight="true" outlineLevel="0" collapsed="false">
      <c r="A537" s="125"/>
      <c r="B537" s="101"/>
      <c r="C537" s="101"/>
      <c r="D537" s="101"/>
      <c r="E537" s="101"/>
      <c r="F537" s="101"/>
      <c r="G537" s="101"/>
      <c r="H537" s="101"/>
      <c r="I537" s="106"/>
      <c r="J537" s="106"/>
      <c r="K537" s="106"/>
      <c r="L537" s="106"/>
      <c r="M537" s="106"/>
      <c r="N537" s="103" t="str">
        <f aca="false">IF(OR($B537="", $I537="", $J537="", $K537="", $L537="", $M537=""),"",ROUND(($I537*Lists!$AD$2)+($J537*Lists!$AD$3)+($K537*Lists!$AD$4)+($L537*Lists!$AD$5)+($M537*Lists!$AD$6),2))</f>
        <v/>
      </c>
      <c r="O537" s="103" t="str">
        <f aca="false">IF($A537="","",IFERROR(VLOOKUP($A537,'Risk Register'!$B$2:$I$1000,8,FALSE()),""))</f>
        <v/>
      </c>
      <c r="P537" s="106"/>
      <c r="Q537" s="106"/>
      <c r="R537" s="106"/>
      <c r="S537" s="106"/>
      <c r="T537" s="103" t="str">
        <f aca="false">IF(OR($B537="", $P537="", $Q537="", $R537="", $S537=""),"",ROUND(($P537*Lists!$AD$7)+($Q537*Lists!$AD$8)+($R537*Lists!$AD$9)+($S537*Lists!$AD$10),2))</f>
        <v/>
      </c>
      <c r="U537" s="106"/>
      <c r="V537" s="106"/>
      <c r="W537" s="106"/>
      <c r="X537" s="106"/>
      <c r="Y537" s="106"/>
      <c r="Z537" s="103" t="str">
        <f aca="false">IF(OR($B537="", $U537="", $V537="", $W537="", $X537="", $Y537=""),"",ROUND(($U537*Lists!$AD$11)+($V537*Lists!$AD$12)+($W537*Lists!$AD$13)+($X537*Lists!$AD$14)+($Y537*Lists!$AD$15),2))</f>
        <v/>
      </c>
      <c r="AA537" s="103" t="str">
        <f aca="false">IF(OR($B537="", $N537="", $O537="", $T537="", $Z537=""),"",ROUND(($N537*Lists!$AD$16)-($O537*Lists!$AD$17)-($T537*Lists!$AD$18)+($Z537*Lists!$AD$19),2))</f>
        <v/>
      </c>
      <c r="AB537" s="102" t="str">
        <f aca="false">IF(OR($B537="", $N537="", $Z537=""),"",IF($N537&gt;=Lists!$AG$2,IF($Z537&gt;=Lists!$AG$3,"Invest","Migrate"),IF($Z537&gt;=Lists!$AG$3,"Tolerate","Eliminate")))</f>
        <v/>
      </c>
      <c r="AC537" s="102" t="str">
        <f aca="false">IF($B537="","",IF($J537&gt;=4,"Yes",""))</f>
        <v/>
      </c>
      <c r="AD537" s="102" t="str">
        <f aca="false">IF($A537="","",IFERROR(IF(VLOOKUP($A537,'Risk Register'!$B$2:$H$1000,4,FALSE())&gt;=4,"Yes",""),""))</f>
        <v/>
      </c>
      <c r="AE537" s="102" t="str">
        <f aca="false">IF(OR($N537="", $O537=""),"",IF($N537&gt;=Lists!$AG$2,IF($O537&gt;=Lists!$AG$4,"High Value / High Risk","High Value / Low Risk"),IF($O537&gt;=Lists!$AG$4,"Low Value / High Risk","Low Value / Low Risk")))</f>
        <v/>
      </c>
      <c r="AF537" s="101"/>
      <c r="AG537" s="126"/>
      <c r="AH537" s="106" t="str">
        <f aca="false">IF($B537="","",COUNTIFS('Debt Backlog'!$AF$2:$AF$1000,$A537,'Debt Backlog'!$B$2:$B$1000,"&lt;&gt;",'Debt Backlog'!$N$2:$N$1000,"&lt;&gt;Done",'Debt Backlog'!$N$2:$N$1000,"&lt;&gt;Won't Fix",'Debt Backlog'!$N$2:$N$1000,"&lt;&gt;Duplicate"))</f>
        <v/>
      </c>
      <c r="AI537" s="103" t="str">
        <f aca="false">IF($B537="","",ROUND(SUMIFS('Debt Backlog'!$L$2:$L$1000,'Debt Backlog'!$AF$2:$AF$1000,$A537,'Debt Backlog'!$B$2:$B$1000,"&lt;&gt;",'Debt Backlog'!$N$2:$N$1000,"&lt;&gt;Done",'Debt Backlog'!$N$2:$N$1000,"&lt;&gt;Won't Fix",'Debt Backlog'!$N$2:$N$1000,"&lt;&gt;Duplicate"),2))</f>
        <v/>
      </c>
    </row>
    <row r="538" customFormat="false" ht="15.75" hidden="false" customHeight="true" outlineLevel="0" collapsed="false">
      <c r="A538" s="125"/>
      <c r="B538" s="101"/>
      <c r="C538" s="101"/>
      <c r="D538" s="101"/>
      <c r="E538" s="101"/>
      <c r="F538" s="101"/>
      <c r="G538" s="101"/>
      <c r="H538" s="101"/>
      <c r="I538" s="106"/>
      <c r="J538" s="106"/>
      <c r="K538" s="106"/>
      <c r="L538" s="106"/>
      <c r="M538" s="106"/>
      <c r="N538" s="103" t="str">
        <f aca="false">IF(OR($B538="", $I538="", $J538="", $K538="", $L538="", $M538=""),"",ROUND(($I538*Lists!$AD$2)+($J538*Lists!$AD$3)+($K538*Lists!$AD$4)+($L538*Lists!$AD$5)+($M538*Lists!$AD$6),2))</f>
        <v/>
      </c>
      <c r="O538" s="103" t="str">
        <f aca="false">IF($A538="","",IFERROR(VLOOKUP($A538,'Risk Register'!$B$2:$I$1000,8,FALSE()),""))</f>
        <v/>
      </c>
      <c r="P538" s="106"/>
      <c r="Q538" s="106"/>
      <c r="R538" s="106"/>
      <c r="S538" s="106"/>
      <c r="T538" s="103" t="str">
        <f aca="false">IF(OR($B538="", $P538="", $Q538="", $R538="", $S538=""),"",ROUND(($P538*Lists!$AD$7)+($Q538*Lists!$AD$8)+($R538*Lists!$AD$9)+($S538*Lists!$AD$10),2))</f>
        <v/>
      </c>
      <c r="U538" s="106"/>
      <c r="V538" s="106"/>
      <c r="W538" s="106"/>
      <c r="X538" s="106"/>
      <c r="Y538" s="106"/>
      <c r="Z538" s="103" t="str">
        <f aca="false">IF(OR($B538="", $U538="", $V538="", $W538="", $X538="", $Y538=""),"",ROUND(($U538*Lists!$AD$11)+($V538*Lists!$AD$12)+($W538*Lists!$AD$13)+($X538*Lists!$AD$14)+($Y538*Lists!$AD$15),2))</f>
        <v/>
      </c>
      <c r="AA538" s="103" t="str">
        <f aca="false">IF(OR($B538="", $N538="", $O538="", $T538="", $Z538=""),"",ROUND(($N538*Lists!$AD$16)-($O538*Lists!$AD$17)-($T538*Lists!$AD$18)+($Z538*Lists!$AD$19),2))</f>
        <v/>
      </c>
      <c r="AB538" s="102" t="str">
        <f aca="false">IF(OR($B538="", $N538="", $Z538=""),"",IF($N538&gt;=Lists!$AG$2,IF($Z538&gt;=Lists!$AG$3,"Invest","Migrate"),IF($Z538&gt;=Lists!$AG$3,"Tolerate","Eliminate")))</f>
        <v/>
      </c>
      <c r="AC538" s="102" t="str">
        <f aca="false">IF($B538="","",IF($J538&gt;=4,"Yes",""))</f>
        <v/>
      </c>
      <c r="AD538" s="102" t="str">
        <f aca="false">IF($A538="","",IFERROR(IF(VLOOKUP($A538,'Risk Register'!$B$2:$H$1000,4,FALSE())&gt;=4,"Yes",""),""))</f>
        <v/>
      </c>
      <c r="AE538" s="102" t="str">
        <f aca="false">IF(OR($N538="", $O538=""),"",IF($N538&gt;=Lists!$AG$2,IF($O538&gt;=Lists!$AG$4,"High Value / High Risk","High Value / Low Risk"),IF($O538&gt;=Lists!$AG$4,"Low Value / High Risk","Low Value / Low Risk")))</f>
        <v/>
      </c>
      <c r="AF538" s="101"/>
      <c r="AG538" s="126"/>
      <c r="AH538" s="106" t="str">
        <f aca="false">IF($B538="","",COUNTIFS('Debt Backlog'!$AF$2:$AF$1000,$A538,'Debt Backlog'!$B$2:$B$1000,"&lt;&gt;",'Debt Backlog'!$N$2:$N$1000,"&lt;&gt;Done",'Debt Backlog'!$N$2:$N$1000,"&lt;&gt;Won't Fix",'Debt Backlog'!$N$2:$N$1000,"&lt;&gt;Duplicate"))</f>
        <v/>
      </c>
      <c r="AI538" s="103" t="str">
        <f aca="false">IF($B538="","",ROUND(SUMIFS('Debt Backlog'!$L$2:$L$1000,'Debt Backlog'!$AF$2:$AF$1000,$A538,'Debt Backlog'!$B$2:$B$1000,"&lt;&gt;",'Debt Backlog'!$N$2:$N$1000,"&lt;&gt;Done",'Debt Backlog'!$N$2:$N$1000,"&lt;&gt;Won't Fix",'Debt Backlog'!$N$2:$N$1000,"&lt;&gt;Duplicate"),2))</f>
        <v/>
      </c>
    </row>
    <row r="539" customFormat="false" ht="15.75" hidden="false" customHeight="true" outlineLevel="0" collapsed="false">
      <c r="A539" s="125"/>
      <c r="B539" s="101"/>
      <c r="C539" s="101"/>
      <c r="D539" s="101"/>
      <c r="E539" s="101"/>
      <c r="F539" s="101"/>
      <c r="G539" s="101"/>
      <c r="H539" s="101"/>
      <c r="I539" s="106"/>
      <c r="J539" s="106"/>
      <c r="K539" s="106"/>
      <c r="L539" s="106"/>
      <c r="M539" s="106"/>
      <c r="N539" s="103" t="str">
        <f aca="false">IF(OR($B539="", $I539="", $J539="", $K539="", $L539="", $M539=""),"",ROUND(($I539*Lists!$AD$2)+($J539*Lists!$AD$3)+($K539*Lists!$AD$4)+($L539*Lists!$AD$5)+($M539*Lists!$AD$6),2))</f>
        <v/>
      </c>
      <c r="O539" s="103" t="str">
        <f aca="false">IF($A539="","",IFERROR(VLOOKUP($A539,'Risk Register'!$B$2:$I$1000,8,FALSE()),""))</f>
        <v/>
      </c>
      <c r="P539" s="106"/>
      <c r="Q539" s="106"/>
      <c r="R539" s="106"/>
      <c r="S539" s="106"/>
      <c r="T539" s="103" t="str">
        <f aca="false">IF(OR($B539="", $P539="", $Q539="", $R539="", $S539=""),"",ROUND(($P539*Lists!$AD$7)+($Q539*Lists!$AD$8)+($R539*Lists!$AD$9)+($S539*Lists!$AD$10),2))</f>
        <v/>
      </c>
      <c r="U539" s="106"/>
      <c r="V539" s="106"/>
      <c r="W539" s="106"/>
      <c r="X539" s="106"/>
      <c r="Y539" s="106"/>
      <c r="Z539" s="103" t="str">
        <f aca="false">IF(OR($B539="", $U539="", $V539="", $W539="", $X539="", $Y539=""),"",ROUND(($U539*Lists!$AD$11)+($V539*Lists!$AD$12)+($W539*Lists!$AD$13)+($X539*Lists!$AD$14)+($Y539*Lists!$AD$15),2))</f>
        <v/>
      </c>
      <c r="AA539" s="103" t="str">
        <f aca="false">IF(OR($B539="", $N539="", $O539="", $T539="", $Z539=""),"",ROUND(($N539*Lists!$AD$16)-($O539*Lists!$AD$17)-($T539*Lists!$AD$18)+($Z539*Lists!$AD$19),2))</f>
        <v/>
      </c>
      <c r="AB539" s="102" t="str">
        <f aca="false">IF(OR($B539="", $N539="", $Z539=""),"",IF($N539&gt;=Lists!$AG$2,IF($Z539&gt;=Lists!$AG$3,"Invest","Migrate"),IF($Z539&gt;=Lists!$AG$3,"Tolerate","Eliminate")))</f>
        <v/>
      </c>
      <c r="AC539" s="102" t="str">
        <f aca="false">IF($B539="","",IF($J539&gt;=4,"Yes",""))</f>
        <v/>
      </c>
      <c r="AD539" s="102" t="str">
        <f aca="false">IF($A539="","",IFERROR(IF(VLOOKUP($A539,'Risk Register'!$B$2:$H$1000,4,FALSE())&gt;=4,"Yes",""),""))</f>
        <v/>
      </c>
      <c r="AE539" s="102" t="str">
        <f aca="false">IF(OR($N539="", $O539=""),"",IF($N539&gt;=Lists!$AG$2,IF($O539&gt;=Lists!$AG$4,"High Value / High Risk","High Value / Low Risk"),IF($O539&gt;=Lists!$AG$4,"Low Value / High Risk","Low Value / Low Risk")))</f>
        <v/>
      </c>
      <c r="AF539" s="101"/>
      <c r="AG539" s="126"/>
      <c r="AH539" s="106" t="str">
        <f aca="false">IF($B539="","",COUNTIFS('Debt Backlog'!$AF$2:$AF$1000,$A539,'Debt Backlog'!$B$2:$B$1000,"&lt;&gt;",'Debt Backlog'!$N$2:$N$1000,"&lt;&gt;Done",'Debt Backlog'!$N$2:$N$1000,"&lt;&gt;Won't Fix",'Debt Backlog'!$N$2:$N$1000,"&lt;&gt;Duplicate"))</f>
        <v/>
      </c>
      <c r="AI539" s="103" t="str">
        <f aca="false">IF($B539="","",ROUND(SUMIFS('Debt Backlog'!$L$2:$L$1000,'Debt Backlog'!$AF$2:$AF$1000,$A539,'Debt Backlog'!$B$2:$B$1000,"&lt;&gt;",'Debt Backlog'!$N$2:$N$1000,"&lt;&gt;Done",'Debt Backlog'!$N$2:$N$1000,"&lt;&gt;Won't Fix",'Debt Backlog'!$N$2:$N$1000,"&lt;&gt;Duplicate"),2))</f>
        <v/>
      </c>
    </row>
    <row r="540" customFormat="false" ht="15.75" hidden="false" customHeight="true" outlineLevel="0" collapsed="false">
      <c r="A540" s="125"/>
      <c r="B540" s="101"/>
      <c r="C540" s="101"/>
      <c r="D540" s="101"/>
      <c r="E540" s="101"/>
      <c r="F540" s="101"/>
      <c r="G540" s="101"/>
      <c r="H540" s="101"/>
      <c r="I540" s="106"/>
      <c r="J540" s="106"/>
      <c r="K540" s="106"/>
      <c r="L540" s="106"/>
      <c r="M540" s="106"/>
      <c r="N540" s="103" t="str">
        <f aca="false">IF(OR($B540="", $I540="", $J540="", $K540="", $L540="", $M540=""),"",ROUND(($I540*Lists!$AD$2)+($J540*Lists!$AD$3)+($K540*Lists!$AD$4)+($L540*Lists!$AD$5)+($M540*Lists!$AD$6),2))</f>
        <v/>
      </c>
      <c r="O540" s="103" t="str">
        <f aca="false">IF($A540="","",IFERROR(VLOOKUP($A540,'Risk Register'!$B$2:$I$1000,8,FALSE()),""))</f>
        <v/>
      </c>
      <c r="P540" s="106"/>
      <c r="Q540" s="106"/>
      <c r="R540" s="106"/>
      <c r="S540" s="106"/>
      <c r="T540" s="103" t="str">
        <f aca="false">IF(OR($B540="", $P540="", $Q540="", $R540="", $S540=""),"",ROUND(($P540*Lists!$AD$7)+($Q540*Lists!$AD$8)+($R540*Lists!$AD$9)+($S540*Lists!$AD$10),2))</f>
        <v/>
      </c>
      <c r="U540" s="106"/>
      <c r="V540" s="106"/>
      <c r="W540" s="106"/>
      <c r="X540" s="106"/>
      <c r="Y540" s="106"/>
      <c r="Z540" s="103" t="str">
        <f aca="false">IF(OR($B540="", $U540="", $V540="", $W540="", $X540="", $Y540=""),"",ROUND(($U540*Lists!$AD$11)+($V540*Lists!$AD$12)+($W540*Lists!$AD$13)+($X540*Lists!$AD$14)+($Y540*Lists!$AD$15),2))</f>
        <v/>
      </c>
      <c r="AA540" s="103" t="str">
        <f aca="false">IF(OR($B540="", $N540="", $O540="", $T540="", $Z540=""),"",ROUND(($N540*Lists!$AD$16)-($O540*Lists!$AD$17)-($T540*Lists!$AD$18)+($Z540*Lists!$AD$19),2))</f>
        <v/>
      </c>
      <c r="AB540" s="102" t="str">
        <f aca="false">IF(OR($B540="", $N540="", $Z540=""),"",IF($N540&gt;=Lists!$AG$2,IF($Z540&gt;=Lists!$AG$3,"Invest","Migrate"),IF($Z540&gt;=Lists!$AG$3,"Tolerate","Eliminate")))</f>
        <v/>
      </c>
      <c r="AC540" s="102" t="str">
        <f aca="false">IF($B540="","",IF($J540&gt;=4,"Yes",""))</f>
        <v/>
      </c>
      <c r="AD540" s="102" t="str">
        <f aca="false">IF($A540="","",IFERROR(IF(VLOOKUP($A540,'Risk Register'!$B$2:$H$1000,4,FALSE())&gt;=4,"Yes",""),""))</f>
        <v/>
      </c>
      <c r="AE540" s="102" t="str">
        <f aca="false">IF(OR($N540="", $O540=""),"",IF($N540&gt;=Lists!$AG$2,IF($O540&gt;=Lists!$AG$4,"High Value / High Risk","High Value / Low Risk"),IF($O540&gt;=Lists!$AG$4,"Low Value / High Risk","Low Value / Low Risk")))</f>
        <v/>
      </c>
      <c r="AF540" s="101"/>
      <c r="AG540" s="126"/>
      <c r="AH540" s="106" t="str">
        <f aca="false">IF($B540="","",COUNTIFS('Debt Backlog'!$AF$2:$AF$1000,$A540,'Debt Backlog'!$B$2:$B$1000,"&lt;&gt;",'Debt Backlog'!$N$2:$N$1000,"&lt;&gt;Done",'Debt Backlog'!$N$2:$N$1000,"&lt;&gt;Won't Fix",'Debt Backlog'!$N$2:$N$1000,"&lt;&gt;Duplicate"))</f>
        <v/>
      </c>
      <c r="AI540" s="103" t="str">
        <f aca="false">IF($B540="","",ROUND(SUMIFS('Debt Backlog'!$L$2:$L$1000,'Debt Backlog'!$AF$2:$AF$1000,$A540,'Debt Backlog'!$B$2:$B$1000,"&lt;&gt;",'Debt Backlog'!$N$2:$N$1000,"&lt;&gt;Done",'Debt Backlog'!$N$2:$N$1000,"&lt;&gt;Won't Fix",'Debt Backlog'!$N$2:$N$1000,"&lt;&gt;Duplicate"),2))</f>
        <v/>
      </c>
    </row>
    <row r="541" customFormat="false" ht="15.75" hidden="false" customHeight="true" outlineLevel="0" collapsed="false">
      <c r="A541" s="125"/>
      <c r="B541" s="101"/>
      <c r="C541" s="101"/>
      <c r="D541" s="101"/>
      <c r="E541" s="101"/>
      <c r="F541" s="101"/>
      <c r="G541" s="101"/>
      <c r="H541" s="101"/>
      <c r="I541" s="106"/>
      <c r="J541" s="106"/>
      <c r="K541" s="106"/>
      <c r="L541" s="106"/>
      <c r="M541" s="106"/>
      <c r="N541" s="103" t="str">
        <f aca="false">IF(OR($B541="", $I541="", $J541="", $K541="", $L541="", $M541=""),"",ROUND(($I541*Lists!$AD$2)+($J541*Lists!$AD$3)+($K541*Lists!$AD$4)+($L541*Lists!$AD$5)+($M541*Lists!$AD$6),2))</f>
        <v/>
      </c>
      <c r="O541" s="103" t="str">
        <f aca="false">IF($A541="","",IFERROR(VLOOKUP($A541,'Risk Register'!$B$2:$I$1000,8,FALSE()),""))</f>
        <v/>
      </c>
      <c r="P541" s="106"/>
      <c r="Q541" s="106"/>
      <c r="R541" s="106"/>
      <c r="S541" s="106"/>
      <c r="T541" s="103" t="str">
        <f aca="false">IF(OR($B541="", $P541="", $Q541="", $R541="", $S541=""),"",ROUND(($P541*Lists!$AD$7)+($Q541*Lists!$AD$8)+($R541*Lists!$AD$9)+($S541*Lists!$AD$10),2))</f>
        <v/>
      </c>
      <c r="U541" s="106"/>
      <c r="V541" s="106"/>
      <c r="W541" s="106"/>
      <c r="X541" s="106"/>
      <c r="Y541" s="106"/>
      <c r="Z541" s="103" t="str">
        <f aca="false">IF(OR($B541="", $U541="", $V541="", $W541="", $X541="", $Y541=""),"",ROUND(($U541*Lists!$AD$11)+($V541*Lists!$AD$12)+($W541*Lists!$AD$13)+($X541*Lists!$AD$14)+($Y541*Lists!$AD$15),2))</f>
        <v/>
      </c>
      <c r="AA541" s="103" t="str">
        <f aca="false">IF(OR($B541="", $N541="", $O541="", $T541="", $Z541=""),"",ROUND(($N541*Lists!$AD$16)-($O541*Lists!$AD$17)-($T541*Lists!$AD$18)+($Z541*Lists!$AD$19),2))</f>
        <v/>
      </c>
      <c r="AB541" s="102" t="str">
        <f aca="false">IF(OR($B541="", $N541="", $Z541=""),"",IF($N541&gt;=Lists!$AG$2,IF($Z541&gt;=Lists!$AG$3,"Invest","Migrate"),IF($Z541&gt;=Lists!$AG$3,"Tolerate","Eliminate")))</f>
        <v/>
      </c>
      <c r="AC541" s="102" t="str">
        <f aca="false">IF($B541="","",IF($J541&gt;=4,"Yes",""))</f>
        <v/>
      </c>
      <c r="AD541" s="102" t="str">
        <f aca="false">IF($A541="","",IFERROR(IF(VLOOKUP($A541,'Risk Register'!$B$2:$H$1000,4,FALSE())&gt;=4,"Yes",""),""))</f>
        <v/>
      </c>
      <c r="AE541" s="102" t="str">
        <f aca="false">IF(OR($N541="", $O541=""),"",IF($N541&gt;=Lists!$AG$2,IF($O541&gt;=Lists!$AG$4,"High Value / High Risk","High Value / Low Risk"),IF($O541&gt;=Lists!$AG$4,"Low Value / High Risk","Low Value / Low Risk")))</f>
        <v/>
      </c>
      <c r="AF541" s="101"/>
      <c r="AG541" s="126"/>
      <c r="AH541" s="106" t="str">
        <f aca="false">IF($B541="","",COUNTIFS('Debt Backlog'!$AF$2:$AF$1000,$A541,'Debt Backlog'!$B$2:$B$1000,"&lt;&gt;",'Debt Backlog'!$N$2:$N$1000,"&lt;&gt;Done",'Debt Backlog'!$N$2:$N$1000,"&lt;&gt;Won't Fix",'Debt Backlog'!$N$2:$N$1000,"&lt;&gt;Duplicate"))</f>
        <v/>
      </c>
      <c r="AI541" s="103" t="str">
        <f aca="false">IF($B541="","",ROUND(SUMIFS('Debt Backlog'!$L$2:$L$1000,'Debt Backlog'!$AF$2:$AF$1000,$A541,'Debt Backlog'!$B$2:$B$1000,"&lt;&gt;",'Debt Backlog'!$N$2:$N$1000,"&lt;&gt;Done",'Debt Backlog'!$N$2:$N$1000,"&lt;&gt;Won't Fix",'Debt Backlog'!$N$2:$N$1000,"&lt;&gt;Duplicate"),2))</f>
        <v/>
      </c>
    </row>
    <row r="542" customFormat="false" ht="15.75" hidden="false" customHeight="true" outlineLevel="0" collapsed="false">
      <c r="A542" s="125"/>
      <c r="B542" s="101"/>
      <c r="C542" s="101"/>
      <c r="D542" s="101"/>
      <c r="E542" s="101"/>
      <c r="F542" s="101"/>
      <c r="G542" s="101"/>
      <c r="H542" s="101"/>
      <c r="I542" s="106"/>
      <c r="J542" s="106"/>
      <c r="K542" s="106"/>
      <c r="L542" s="106"/>
      <c r="M542" s="106"/>
      <c r="N542" s="103" t="str">
        <f aca="false">IF(OR($B542="", $I542="", $J542="", $K542="", $L542="", $M542=""),"",ROUND(($I542*Lists!$AD$2)+($J542*Lists!$AD$3)+($K542*Lists!$AD$4)+($L542*Lists!$AD$5)+($M542*Lists!$AD$6),2))</f>
        <v/>
      </c>
      <c r="O542" s="103" t="str">
        <f aca="false">IF($A542="","",IFERROR(VLOOKUP($A542,'Risk Register'!$B$2:$I$1000,8,FALSE()),""))</f>
        <v/>
      </c>
      <c r="P542" s="106"/>
      <c r="Q542" s="106"/>
      <c r="R542" s="106"/>
      <c r="S542" s="106"/>
      <c r="T542" s="103" t="str">
        <f aca="false">IF(OR($B542="", $P542="", $Q542="", $R542="", $S542=""),"",ROUND(($P542*Lists!$AD$7)+($Q542*Lists!$AD$8)+($R542*Lists!$AD$9)+($S542*Lists!$AD$10),2))</f>
        <v/>
      </c>
      <c r="U542" s="106"/>
      <c r="V542" s="106"/>
      <c r="W542" s="106"/>
      <c r="X542" s="106"/>
      <c r="Y542" s="106"/>
      <c r="Z542" s="103" t="str">
        <f aca="false">IF(OR($B542="", $U542="", $V542="", $W542="", $X542="", $Y542=""),"",ROUND(($U542*Lists!$AD$11)+($V542*Lists!$AD$12)+($W542*Lists!$AD$13)+($X542*Lists!$AD$14)+($Y542*Lists!$AD$15),2))</f>
        <v/>
      </c>
      <c r="AA542" s="103" t="str">
        <f aca="false">IF(OR($B542="", $N542="", $O542="", $T542="", $Z542=""),"",ROUND(($N542*Lists!$AD$16)-($O542*Lists!$AD$17)-($T542*Lists!$AD$18)+($Z542*Lists!$AD$19),2))</f>
        <v/>
      </c>
      <c r="AB542" s="102" t="str">
        <f aca="false">IF(OR($B542="", $N542="", $Z542=""),"",IF($N542&gt;=Lists!$AG$2,IF($Z542&gt;=Lists!$AG$3,"Invest","Migrate"),IF($Z542&gt;=Lists!$AG$3,"Tolerate","Eliminate")))</f>
        <v/>
      </c>
      <c r="AC542" s="102" t="str">
        <f aca="false">IF($B542="","",IF($J542&gt;=4,"Yes",""))</f>
        <v/>
      </c>
      <c r="AD542" s="102" t="str">
        <f aca="false">IF($A542="","",IFERROR(IF(VLOOKUP($A542,'Risk Register'!$B$2:$H$1000,4,FALSE())&gt;=4,"Yes",""),""))</f>
        <v/>
      </c>
      <c r="AE542" s="102" t="str">
        <f aca="false">IF(OR($N542="", $O542=""),"",IF($N542&gt;=Lists!$AG$2,IF($O542&gt;=Lists!$AG$4,"High Value / High Risk","High Value / Low Risk"),IF($O542&gt;=Lists!$AG$4,"Low Value / High Risk","Low Value / Low Risk")))</f>
        <v/>
      </c>
      <c r="AF542" s="101"/>
      <c r="AG542" s="126"/>
      <c r="AH542" s="106" t="str">
        <f aca="false">IF($B542="","",COUNTIFS('Debt Backlog'!$AF$2:$AF$1000,$A542,'Debt Backlog'!$B$2:$B$1000,"&lt;&gt;",'Debt Backlog'!$N$2:$N$1000,"&lt;&gt;Done",'Debt Backlog'!$N$2:$N$1000,"&lt;&gt;Won't Fix",'Debt Backlog'!$N$2:$N$1000,"&lt;&gt;Duplicate"))</f>
        <v/>
      </c>
      <c r="AI542" s="103" t="str">
        <f aca="false">IF($B542="","",ROUND(SUMIFS('Debt Backlog'!$L$2:$L$1000,'Debt Backlog'!$AF$2:$AF$1000,$A542,'Debt Backlog'!$B$2:$B$1000,"&lt;&gt;",'Debt Backlog'!$N$2:$N$1000,"&lt;&gt;Done",'Debt Backlog'!$N$2:$N$1000,"&lt;&gt;Won't Fix",'Debt Backlog'!$N$2:$N$1000,"&lt;&gt;Duplicate"),2))</f>
        <v/>
      </c>
    </row>
    <row r="543" customFormat="false" ht="15.75" hidden="false" customHeight="true" outlineLevel="0" collapsed="false">
      <c r="A543" s="125"/>
      <c r="B543" s="101"/>
      <c r="C543" s="101"/>
      <c r="D543" s="101"/>
      <c r="E543" s="101"/>
      <c r="F543" s="101"/>
      <c r="G543" s="101"/>
      <c r="H543" s="101"/>
      <c r="I543" s="106"/>
      <c r="J543" s="106"/>
      <c r="K543" s="106"/>
      <c r="L543" s="106"/>
      <c r="M543" s="106"/>
      <c r="N543" s="103" t="str">
        <f aca="false">IF(OR($B543="", $I543="", $J543="", $K543="", $L543="", $M543=""),"",ROUND(($I543*Lists!$AD$2)+($J543*Lists!$AD$3)+($K543*Lists!$AD$4)+($L543*Lists!$AD$5)+($M543*Lists!$AD$6),2))</f>
        <v/>
      </c>
      <c r="O543" s="103" t="str">
        <f aca="false">IF($A543="","",IFERROR(VLOOKUP($A543,'Risk Register'!$B$2:$I$1000,8,FALSE()),""))</f>
        <v/>
      </c>
      <c r="P543" s="106"/>
      <c r="Q543" s="106"/>
      <c r="R543" s="106"/>
      <c r="S543" s="106"/>
      <c r="T543" s="103" t="str">
        <f aca="false">IF(OR($B543="", $P543="", $Q543="", $R543="", $S543=""),"",ROUND(($P543*Lists!$AD$7)+($Q543*Lists!$AD$8)+($R543*Lists!$AD$9)+($S543*Lists!$AD$10),2))</f>
        <v/>
      </c>
      <c r="U543" s="106"/>
      <c r="V543" s="106"/>
      <c r="W543" s="106"/>
      <c r="X543" s="106"/>
      <c r="Y543" s="106"/>
      <c r="Z543" s="103" t="str">
        <f aca="false">IF(OR($B543="", $U543="", $V543="", $W543="", $X543="", $Y543=""),"",ROUND(($U543*Lists!$AD$11)+($V543*Lists!$AD$12)+($W543*Lists!$AD$13)+($X543*Lists!$AD$14)+($Y543*Lists!$AD$15),2))</f>
        <v/>
      </c>
      <c r="AA543" s="103" t="str">
        <f aca="false">IF(OR($B543="", $N543="", $O543="", $T543="", $Z543=""),"",ROUND(($N543*Lists!$AD$16)-($O543*Lists!$AD$17)-($T543*Lists!$AD$18)+($Z543*Lists!$AD$19),2))</f>
        <v/>
      </c>
      <c r="AB543" s="102" t="str">
        <f aca="false">IF(OR($B543="", $N543="", $Z543=""),"",IF($N543&gt;=Lists!$AG$2,IF($Z543&gt;=Lists!$AG$3,"Invest","Migrate"),IF($Z543&gt;=Lists!$AG$3,"Tolerate","Eliminate")))</f>
        <v/>
      </c>
      <c r="AC543" s="102" t="str">
        <f aca="false">IF($B543="","",IF($J543&gt;=4,"Yes",""))</f>
        <v/>
      </c>
      <c r="AD543" s="102" t="str">
        <f aca="false">IF($A543="","",IFERROR(IF(VLOOKUP($A543,'Risk Register'!$B$2:$H$1000,4,FALSE())&gt;=4,"Yes",""),""))</f>
        <v/>
      </c>
      <c r="AE543" s="102" t="str">
        <f aca="false">IF(OR($N543="", $O543=""),"",IF($N543&gt;=Lists!$AG$2,IF($O543&gt;=Lists!$AG$4,"High Value / High Risk","High Value / Low Risk"),IF($O543&gt;=Lists!$AG$4,"Low Value / High Risk","Low Value / Low Risk")))</f>
        <v/>
      </c>
      <c r="AF543" s="101"/>
      <c r="AG543" s="126"/>
      <c r="AH543" s="106" t="str">
        <f aca="false">IF($B543="","",COUNTIFS('Debt Backlog'!$AF$2:$AF$1000,$A543,'Debt Backlog'!$B$2:$B$1000,"&lt;&gt;",'Debt Backlog'!$N$2:$N$1000,"&lt;&gt;Done",'Debt Backlog'!$N$2:$N$1000,"&lt;&gt;Won't Fix",'Debt Backlog'!$N$2:$N$1000,"&lt;&gt;Duplicate"))</f>
        <v/>
      </c>
      <c r="AI543" s="103" t="str">
        <f aca="false">IF($B543="","",ROUND(SUMIFS('Debt Backlog'!$L$2:$L$1000,'Debt Backlog'!$AF$2:$AF$1000,$A543,'Debt Backlog'!$B$2:$B$1000,"&lt;&gt;",'Debt Backlog'!$N$2:$N$1000,"&lt;&gt;Done",'Debt Backlog'!$N$2:$N$1000,"&lt;&gt;Won't Fix",'Debt Backlog'!$N$2:$N$1000,"&lt;&gt;Duplicate"),2))</f>
        <v/>
      </c>
    </row>
    <row r="544" customFormat="false" ht="15.75" hidden="false" customHeight="true" outlineLevel="0" collapsed="false">
      <c r="A544" s="125"/>
      <c r="B544" s="101"/>
      <c r="C544" s="101"/>
      <c r="D544" s="101"/>
      <c r="E544" s="101"/>
      <c r="F544" s="101"/>
      <c r="G544" s="101"/>
      <c r="H544" s="101"/>
      <c r="I544" s="106"/>
      <c r="J544" s="106"/>
      <c r="K544" s="106"/>
      <c r="L544" s="106"/>
      <c r="M544" s="106"/>
      <c r="N544" s="103" t="str">
        <f aca="false">IF(OR($B544="", $I544="", $J544="", $K544="", $L544="", $M544=""),"",ROUND(($I544*Lists!$AD$2)+($J544*Lists!$AD$3)+($K544*Lists!$AD$4)+($L544*Lists!$AD$5)+($M544*Lists!$AD$6),2))</f>
        <v/>
      </c>
      <c r="O544" s="103" t="str">
        <f aca="false">IF($A544="","",IFERROR(VLOOKUP($A544,'Risk Register'!$B$2:$I$1000,8,FALSE()),""))</f>
        <v/>
      </c>
      <c r="P544" s="106"/>
      <c r="Q544" s="106"/>
      <c r="R544" s="106"/>
      <c r="S544" s="106"/>
      <c r="T544" s="103" t="str">
        <f aca="false">IF(OR($B544="", $P544="", $Q544="", $R544="", $S544=""),"",ROUND(($P544*Lists!$AD$7)+($Q544*Lists!$AD$8)+($R544*Lists!$AD$9)+($S544*Lists!$AD$10),2))</f>
        <v/>
      </c>
      <c r="U544" s="106"/>
      <c r="V544" s="106"/>
      <c r="W544" s="106"/>
      <c r="X544" s="106"/>
      <c r="Y544" s="106"/>
      <c r="Z544" s="103" t="str">
        <f aca="false">IF(OR($B544="", $U544="", $V544="", $W544="", $X544="", $Y544=""),"",ROUND(($U544*Lists!$AD$11)+($V544*Lists!$AD$12)+($W544*Lists!$AD$13)+($X544*Lists!$AD$14)+($Y544*Lists!$AD$15),2))</f>
        <v/>
      </c>
      <c r="AA544" s="103" t="str">
        <f aca="false">IF(OR($B544="", $N544="", $O544="", $T544="", $Z544=""),"",ROUND(($N544*Lists!$AD$16)-($O544*Lists!$AD$17)-($T544*Lists!$AD$18)+($Z544*Lists!$AD$19),2))</f>
        <v/>
      </c>
      <c r="AB544" s="102" t="str">
        <f aca="false">IF(OR($B544="", $N544="", $Z544=""),"",IF($N544&gt;=Lists!$AG$2,IF($Z544&gt;=Lists!$AG$3,"Invest","Migrate"),IF($Z544&gt;=Lists!$AG$3,"Tolerate","Eliminate")))</f>
        <v/>
      </c>
      <c r="AC544" s="102" t="str">
        <f aca="false">IF($B544="","",IF($J544&gt;=4,"Yes",""))</f>
        <v/>
      </c>
      <c r="AD544" s="102" t="str">
        <f aca="false">IF($A544="","",IFERROR(IF(VLOOKUP($A544,'Risk Register'!$B$2:$H$1000,4,FALSE())&gt;=4,"Yes",""),""))</f>
        <v/>
      </c>
      <c r="AE544" s="102" t="str">
        <f aca="false">IF(OR($N544="", $O544=""),"",IF($N544&gt;=Lists!$AG$2,IF($O544&gt;=Lists!$AG$4,"High Value / High Risk","High Value / Low Risk"),IF($O544&gt;=Lists!$AG$4,"Low Value / High Risk","Low Value / Low Risk")))</f>
        <v/>
      </c>
      <c r="AF544" s="101"/>
      <c r="AG544" s="126"/>
      <c r="AH544" s="106" t="str">
        <f aca="false">IF($B544="","",COUNTIFS('Debt Backlog'!$AF$2:$AF$1000,$A544,'Debt Backlog'!$B$2:$B$1000,"&lt;&gt;",'Debt Backlog'!$N$2:$N$1000,"&lt;&gt;Done",'Debt Backlog'!$N$2:$N$1000,"&lt;&gt;Won't Fix",'Debt Backlog'!$N$2:$N$1000,"&lt;&gt;Duplicate"))</f>
        <v/>
      </c>
      <c r="AI544" s="103" t="str">
        <f aca="false">IF($B544="","",ROUND(SUMIFS('Debt Backlog'!$L$2:$L$1000,'Debt Backlog'!$AF$2:$AF$1000,$A544,'Debt Backlog'!$B$2:$B$1000,"&lt;&gt;",'Debt Backlog'!$N$2:$N$1000,"&lt;&gt;Done",'Debt Backlog'!$N$2:$N$1000,"&lt;&gt;Won't Fix",'Debt Backlog'!$N$2:$N$1000,"&lt;&gt;Duplicate"),2))</f>
        <v/>
      </c>
    </row>
    <row r="545" customFormat="false" ht="15.75" hidden="false" customHeight="true" outlineLevel="0" collapsed="false">
      <c r="A545" s="125"/>
      <c r="B545" s="101"/>
      <c r="C545" s="101"/>
      <c r="D545" s="101"/>
      <c r="E545" s="101"/>
      <c r="F545" s="101"/>
      <c r="G545" s="101"/>
      <c r="H545" s="101"/>
      <c r="I545" s="106"/>
      <c r="J545" s="106"/>
      <c r="K545" s="106"/>
      <c r="L545" s="106"/>
      <c r="M545" s="106"/>
      <c r="N545" s="103" t="str">
        <f aca="false">IF(OR($B545="", $I545="", $J545="", $K545="", $L545="", $M545=""),"",ROUND(($I545*Lists!$AD$2)+($J545*Lists!$AD$3)+($K545*Lists!$AD$4)+($L545*Lists!$AD$5)+($M545*Lists!$AD$6),2))</f>
        <v/>
      </c>
      <c r="O545" s="103" t="str">
        <f aca="false">IF($A545="","",IFERROR(VLOOKUP($A545,'Risk Register'!$B$2:$I$1000,8,FALSE()),""))</f>
        <v/>
      </c>
      <c r="P545" s="106"/>
      <c r="Q545" s="106"/>
      <c r="R545" s="106"/>
      <c r="S545" s="106"/>
      <c r="T545" s="103" t="str">
        <f aca="false">IF(OR($B545="", $P545="", $Q545="", $R545="", $S545=""),"",ROUND(($P545*Lists!$AD$7)+($Q545*Lists!$AD$8)+($R545*Lists!$AD$9)+($S545*Lists!$AD$10),2))</f>
        <v/>
      </c>
      <c r="U545" s="106"/>
      <c r="V545" s="106"/>
      <c r="W545" s="106"/>
      <c r="X545" s="106"/>
      <c r="Y545" s="106"/>
      <c r="Z545" s="103" t="str">
        <f aca="false">IF(OR($B545="", $U545="", $V545="", $W545="", $X545="", $Y545=""),"",ROUND(($U545*Lists!$AD$11)+($V545*Lists!$AD$12)+($W545*Lists!$AD$13)+($X545*Lists!$AD$14)+($Y545*Lists!$AD$15),2))</f>
        <v/>
      </c>
      <c r="AA545" s="103" t="str">
        <f aca="false">IF(OR($B545="", $N545="", $O545="", $T545="", $Z545=""),"",ROUND(($N545*Lists!$AD$16)-($O545*Lists!$AD$17)-($T545*Lists!$AD$18)+($Z545*Lists!$AD$19),2))</f>
        <v/>
      </c>
      <c r="AB545" s="102" t="str">
        <f aca="false">IF(OR($B545="", $N545="", $Z545=""),"",IF($N545&gt;=Lists!$AG$2,IF($Z545&gt;=Lists!$AG$3,"Invest","Migrate"),IF($Z545&gt;=Lists!$AG$3,"Tolerate","Eliminate")))</f>
        <v/>
      </c>
      <c r="AC545" s="102" t="str">
        <f aca="false">IF($B545="","",IF($J545&gt;=4,"Yes",""))</f>
        <v/>
      </c>
      <c r="AD545" s="102" t="str">
        <f aca="false">IF($A545="","",IFERROR(IF(VLOOKUP($A545,'Risk Register'!$B$2:$H$1000,4,FALSE())&gt;=4,"Yes",""),""))</f>
        <v/>
      </c>
      <c r="AE545" s="102" t="str">
        <f aca="false">IF(OR($N545="", $O545=""),"",IF($N545&gt;=Lists!$AG$2,IF($O545&gt;=Lists!$AG$4,"High Value / High Risk","High Value / Low Risk"),IF($O545&gt;=Lists!$AG$4,"Low Value / High Risk","Low Value / Low Risk")))</f>
        <v/>
      </c>
      <c r="AF545" s="101"/>
      <c r="AG545" s="126"/>
      <c r="AH545" s="106" t="str">
        <f aca="false">IF($B545="","",COUNTIFS('Debt Backlog'!$AF$2:$AF$1000,$A545,'Debt Backlog'!$B$2:$B$1000,"&lt;&gt;",'Debt Backlog'!$N$2:$N$1000,"&lt;&gt;Done",'Debt Backlog'!$N$2:$N$1000,"&lt;&gt;Won't Fix",'Debt Backlog'!$N$2:$N$1000,"&lt;&gt;Duplicate"))</f>
        <v/>
      </c>
      <c r="AI545" s="103" t="str">
        <f aca="false">IF($B545="","",ROUND(SUMIFS('Debt Backlog'!$L$2:$L$1000,'Debt Backlog'!$AF$2:$AF$1000,$A545,'Debt Backlog'!$B$2:$B$1000,"&lt;&gt;",'Debt Backlog'!$N$2:$N$1000,"&lt;&gt;Done",'Debt Backlog'!$N$2:$N$1000,"&lt;&gt;Won't Fix",'Debt Backlog'!$N$2:$N$1000,"&lt;&gt;Duplicate"),2))</f>
        <v/>
      </c>
    </row>
    <row r="546" customFormat="false" ht="15.75" hidden="false" customHeight="true" outlineLevel="0" collapsed="false">
      <c r="A546" s="125"/>
      <c r="B546" s="101"/>
      <c r="C546" s="101"/>
      <c r="D546" s="101"/>
      <c r="E546" s="101"/>
      <c r="F546" s="101"/>
      <c r="G546" s="101"/>
      <c r="H546" s="101"/>
      <c r="I546" s="106"/>
      <c r="J546" s="106"/>
      <c r="K546" s="106"/>
      <c r="L546" s="106"/>
      <c r="M546" s="106"/>
      <c r="N546" s="103" t="str">
        <f aca="false">IF(OR($B546="", $I546="", $J546="", $K546="", $L546="", $M546=""),"",ROUND(($I546*Lists!$AD$2)+($J546*Lists!$AD$3)+($K546*Lists!$AD$4)+($L546*Lists!$AD$5)+($M546*Lists!$AD$6),2))</f>
        <v/>
      </c>
      <c r="O546" s="103" t="str">
        <f aca="false">IF($A546="","",IFERROR(VLOOKUP($A546,'Risk Register'!$B$2:$I$1000,8,FALSE()),""))</f>
        <v/>
      </c>
      <c r="P546" s="106"/>
      <c r="Q546" s="106"/>
      <c r="R546" s="106"/>
      <c r="S546" s="106"/>
      <c r="T546" s="103" t="str">
        <f aca="false">IF(OR($B546="", $P546="", $Q546="", $R546="", $S546=""),"",ROUND(($P546*Lists!$AD$7)+($Q546*Lists!$AD$8)+($R546*Lists!$AD$9)+($S546*Lists!$AD$10),2))</f>
        <v/>
      </c>
      <c r="U546" s="106"/>
      <c r="V546" s="106"/>
      <c r="W546" s="106"/>
      <c r="X546" s="106"/>
      <c r="Y546" s="106"/>
      <c r="Z546" s="103" t="str">
        <f aca="false">IF(OR($B546="", $U546="", $V546="", $W546="", $X546="", $Y546=""),"",ROUND(($U546*Lists!$AD$11)+($V546*Lists!$AD$12)+($W546*Lists!$AD$13)+($X546*Lists!$AD$14)+($Y546*Lists!$AD$15),2))</f>
        <v/>
      </c>
      <c r="AA546" s="103" t="str">
        <f aca="false">IF(OR($B546="", $N546="", $O546="", $T546="", $Z546=""),"",ROUND(($N546*Lists!$AD$16)-($O546*Lists!$AD$17)-($T546*Lists!$AD$18)+($Z546*Lists!$AD$19),2))</f>
        <v/>
      </c>
      <c r="AB546" s="102" t="str">
        <f aca="false">IF(OR($B546="", $N546="", $Z546=""),"",IF($N546&gt;=Lists!$AG$2,IF($Z546&gt;=Lists!$AG$3,"Invest","Migrate"),IF($Z546&gt;=Lists!$AG$3,"Tolerate","Eliminate")))</f>
        <v/>
      </c>
      <c r="AC546" s="102" t="str">
        <f aca="false">IF($B546="","",IF($J546&gt;=4,"Yes",""))</f>
        <v/>
      </c>
      <c r="AD546" s="102" t="str">
        <f aca="false">IF($A546="","",IFERROR(IF(VLOOKUP($A546,'Risk Register'!$B$2:$H$1000,4,FALSE())&gt;=4,"Yes",""),""))</f>
        <v/>
      </c>
      <c r="AE546" s="102" t="str">
        <f aca="false">IF(OR($N546="", $O546=""),"",IF($N546&gt;=Lists!$AG$2,IF($O546&gt;=Lists!$AG$4,"High Value / High Risk","High Value / Low Risk"),IF($O546&gt;=Lists!$AG$4,"Low Value / High Risk","Low Value / Low Risk")))</f>
        <v/>
      </c>
      <c r="AF546" s="101"/>
      <c r="AG546" s="126"/>
      <c r="AH546" s="106" t="str">
        <f aca="false">IF($B546="","",COUNTIFS('Debt Backlog'!$AF$2:$AF$1000,$A546,'Debt Backlog'!$B$2:$B$1000,"&lt;&gt;",'Debt Backlog'!$N$2:$N$1000,"&lt;&gt;Done",'Debt Backlog'!$N$2:$N$1000,"&lt;&gt;Won't Fix",'Debt Backlog'!$N$2:$N$1000,"&lt;&gt;Duplicate"))</f>
        <v/>
      </c>
      <c r="AI546" s="103" t="str">
        <f aca="false">IF($B546="","",ROUND(SUMIFS('Debt Backlog'!$L$2:$L$1000,'Debt Backlog'!$AF$2:$AF$1000,$A546,'Debt Backlog'!$B$2:$B$1000,"&lt;&gt;",'Debt Backlog'!$N$2:$N$1000,"&lt;&gt;Done",'Debt Backlog'!$N$2:$N$1000,"&lt;&gt;Won't Fix",'Debt Backlog'!$N$2:$N$1000,"&lt;&gt;Duplicate"),2))</f>
        <v/>
      </c>
    </row>
    <row r="547" customFormat="false" ht="15.75" hidden="false" customHeight="true" outlineLevel="0" collapsed="false">
      <c r="A547" s="125"/>
      <c r="B547" s="101"/>
      <c r="C547" s="101"/>
      <c r="D547" s="101"/>
      <c r="E547" s="101"/>
      <c r="F547" s="101"/>
      <c r="G547" s="101"/>
      <c r="H547" s="101"/>
      <c r="I547" s="106"/>
      <c r="J547" s="106"/>
      <c r="K547" s="106"/>
      <c r="L547" s="106"/>
      <c r="M547" s="106"/>
      <c r="N547" s="103" t="str">
        <f aca="false">IF(OR($B547="", $I547="", $J547="", $K547="", $L547="", $M547=""),"",ROUND(($I547*Lists!$AD$2)+($J547*Lists!$AD$3)+($K547*Lists!$AD$4)+($L547*Lists!$AD$5)+($M547*Lists!$AD$6),2))</f>
        <v/>
      </c>
      <c r="O547" s="103" t="str">
        <f aca="false">IF($A547="","",IFERROR(VLOOKUP($A547,'Risk Register'!$B$2:$I$1000,8,FALSE()),""))</f>
        <v/>
      </c>
      <c r="P547" s="106"/>
      <c r="Q547" s="106"/>
      <c r="R547" s="106"/>
      <c r="S547" s="106"/>
      <c r="T547" s="103" t="str">
        <f aca="false">IF(OR($B547="", $P547="", $Q547="", $R547="", $S547=""),"",ROUND(($P547*Lists!$AD$7)+($Q547*Lists!$AD$8)+($R547*Lists!$AD$9)+($S547*Lists!$AD$10),2))</f>
        <v/>
      </c>
      <c r="U547" s="106"/>
      <c r="V547" s="106"/>
      <c r="W547" s="106"/>
      <c r="X547" s="106"/>
      <c r="Y547" s="106"/>
      <c r="Z547" s="103" t="str">
        <f aca="false">IF(OR($B547="", $U547="", $V547="", $W547="", $X547="", $Y547=""),"",ROUND(($U547*Lists!$AD$11)+($V547*Lists!$AD$12)+($W547*Lists!$AD$13)+($X547*Lists!$AD$14)+($Y547*Lists!$AD$15),2))</f>
        <v/>
      </c>
      <c r="AA547" s="103" t="str">
        <f aca="false">IF(OR($B547="", $N547="", $O547="", $T547="", $Z547=""),"",ROUND(($N547*Lists!$AD$16)-($O547*Lists!$AD$17)-($T547*Lists!$AD$18)+($Z547*Lists!$AD$19),2))</f>
        <v/>
      </c>
      <c r="AB547" s="102" t="str">
        <f aca="false">IF(OR($B547="", $N547="", $Z547=""),"",IF($N547&gt;=Lists!$AG$2,IF($Z547&gt;=Lists!$AG$3,"Invest","Migrate"),IF($Z547&gt;=Lists!$AG$3,"Tolerate","Eliminate")))</f>
        <v/>
      </c>
      <c r="AC547" s="102" t="str">
        <f aca="false">IF($B547="","",IF($J547&gt;=4,"Yes",""))</f>
        <v/>
      </c>
      <c r="AD547" s="102" t="str">
        <f aca="false">IF($A547="","",IFERROR(IF(VLOOKUP($A547,'Risk Register'!$B$2:$H$1000,4,FALSE())&gt;=4,"Yes",""),""))</f>
        <v/>
      </c>
      <c r="AE547" s="102" t="str">
        <f aca="false">IF(OR($N547="", $O547=""),"",IF($N547&gt;=Lists!$AG$2,IF($O547&gt;=Lists!$AG$4,"High Value / High Risk","High Value / Low Risk"),IF($O547&gt;=Lists!$AG$4,"Low Value / High Risk","Low Value / Low Risk")))</f>
        <v/>
      </c>
      <c r="AF547" s="101"/>
      <c r="AG547" s="126"/>
      <c r="AH547" s="106" t="str">
        <f aca="false">IF($B547="","",COUNTIFS('Debt Backlog'!$AF$2:$AF$1000,$A547,'Debt Backlog'!$B$2:$B$1000,"&lt;&gt;",'Debt Backlog'!$N$2:$N$1000,"&lt;&gt;Done",'Debt Backlog'!$N$2:$N$1000,"&lt;&gt;Won't Fix",'Debt Backlog'!$N$2:$N$1000,"&lt;&gt;Duplicate"))</f>
        <v/>
      </c>
      <c r="AI547" s="103" t="str">
        <f aca="false">IF($B547="","",ROUND(SUMIFS('Debt Backlog'!$L$2:$L$1000,'Debt Backlog'!$AF$2:$AF$1000,$A547,'Debt Backlog'!$B$2:$B$1000,"&lt;&gt;",'Debt Backlog'!$N$2:$N$1000,"&lt;&gt;Done",'Debt Backlog'!$N$2:$N$1000,"&lt;&gt;Won't Fix",'Debt Backlog'!$N$2:$N$1000,"&lt;&gt;Duplicate"),2))</f>
        <v/>
      </c>
    </row>
    <row r="548" customFormat="false" ht="15.75" hidden="false" customHeight="true" outlineLevel="0" collapsed="false">
      <c r="A548" s="125"/>
      <c r="B548" s="101"/>
      <c r="C548" s="101"/>
      <c r="D548" s="101"/>
      <c r="E548" s="101"/>
      <c r="F548" s="101"/>
      <c r="G548" s="101"/>
      <c r="H548" s="101"/>
      <c r="I548" s="106"/>
      <c r="J548" s="106"/>
      <c r="K548" s="106"/>
      <c r="L548" s="106"/>
      <c r="M548" s="106"/>
      <c r="N548" s="103" t="str">
        <f aca="false">IF(OR($B548="", $I548="", $J548="", $K548="", $L548="", $M548=""),"",ROUND(($I548*Lists!$AD$2)+($J548*Lists!$AD$3)+($K548*Lists!$AD$4)+($L548*Lists!$AD$5)+($M548*Lists!$AD$6),2))</f>
        <v/>
      </c>
      <c r="O548" s="103" t="str">
        <f aca="false">IF($A548="","",IFERROR(VLOOKUP($A548,'Risk Register'!$B$2:$I$1000,8,FALSE()),""))</f>
        <v/>
      </c>
      <c r="P548" s="106"/>
      <c r="Q548" s="106"/>
      <c r="R548" s="106"/>
      <c r="S548" s="106"/>
      <c r="T548" s="103" t="str">
        <f aca="false">IF(OR($B548="", $P548="", $Q548="", $R548="", $S548=""),"",ROUND(($P548*Lists!$AD$7)+($Q548*Lists!$AD$8)+($R548*Lists!$AD$9)+($S548*Lists!$AD$10),2))</f>
        <v/>
      </c>
      <c r="U548" s="106"/>
      <c r="V548" s="106"/>
      <c r="W548" s="106"/>
      <c r="X548" s="106"/>
      <c r="Y548" s="106"/>
      <c r="Z548" s="103" t="str">
        <f aca="false">IF(OR($B548="", $U548="", $V548="", $W548="", $X548="", $Y548=""),"",ROUND(($U548*Lists!$AD$11)+($V548*Lists!$AD$12)+($W548*Lists!$AD$13)+($X548*Lists!$AD$14)+($Y548*Lists!$AD$15),2))</f>
        <v/>
      </c>
      <c r="AA548" s="103" t="str">
        <f aca="false">IF(OR($B548="", $N548="", $O548="", $T548="", $Z548=""),"",ROUND(($N548*Lists!$AD$16)-($O548*Lists!$AD$17)-($T548*Lists!$AD$18)+($Z548*Lists!$AD$19),2))</f>
        <v/>
      </c>
      <c r="AB548" s="102" t="str">
        <f aca="false">IF(OR($B548="", $N548="", $Z548=""),"",IF($N548&gt;=Lists!$AG$2,IF($Z548&gt;=Lists!$AG$3,"Invest","Migrate"),IF($Z548&gt;=Lists!$AG$3,"Tolerate","Eliminate")))</f>
        <v/>
      </c>
      <c r="AC548" s="102" t="str">
        <f aca="false">IF($B548="","",IF($J548&gt;=4,"Yes",""))</f>
        <v/>
      </c>
      <c r="AD548" s="102" t="str">
        <f aca="false">IF($A548="","",IFERROR(IF(VLOOKUP($A548,'Risk Register'!$B$2:$H$1000,4,FALSE())&gt;=4,"Yes",""),""))</f>
        <v/>
      </c>
      <c r="AE548" s="102" t="str">
        <f aca="false">IF(OR($N548="", $O548=""),"",IF($N548&gt;=Lists!$AG$2,IF($O548&gt;=Lists!$AG$4,"High Value / High Risk","High Value / Low Risk"),IF($O548&gt;=Lists!$AG$4,"Low Value / High Risk","Low Value / Low Risk")))</f>
        <v/>
      </c>
      <c r="AF548" s="101"/>
      <c r="AG548" s="126"/>
      <c r="AH548" s="106" t="str">
        <f aca="false">IF($B548="","",COUNTIFS('Debt Backlog'!$AF$2:$AF$1000,$A548,'Debt Backlog'!$B$2:$B$1000,"&lt;&gt;",'Debt Backlog'!$N$2:$N$1000,"&lt;&gt;Done",'Debt Backlog'!$N$2:$N$1000,"&lt;&gt;Won't Fix",'Debt Backlog'!$N$2:$N$1000,"&lt;&gt;Duplicate"))</f>
        <v/>
      </c>
      <c r="AI548" s="103" t="str">
        <f aca="false">IF($B548="","",ROUND(SUMIFS('Debt Backlog'!$L$2:$L$1000,'Debt Backlog'!$AF$2:$AF$1000,$A548,'Debt Backlog'!$B$2:$B$1000,"&lt;&gt;",'Debt Backlog'!$N$2:$N$1000,"&lt;&gt;Done",'Debt Backlog'!$N$2:$N$1000,"&lt;&gt;Won't Fix",'Debt Backlog'!$N$2:$N$1000,"&lt;&gt;Duplicate"),2))</f>
        <v/>
      </c>
    </row>
    <row r="549" customFormat="false" ht="15.75" hidden="false" customHeight="true" outlineLevel="0" collapsed="false">
      <c r="A549" s="125"/>
      <c r="B549" s="101"/>
      <c r="C549" s="101"/>
      <c r="D549" s="101"/>
      <c r="E549" s="101"/>
      <c r="F549" s="101"/>
      <c r="G549" s="101"/>
      <c r="H549" s="101"/>
      <c r="I549" s="106"/>
      <c r="J549" s="106"/>
      <c r="K549" s="106"/>
      <c r="L549" s="106"/>
      <c r="M549" s="106"/>
      <c r="N549" s="103" t="str">
        <f aca="false">IF(OR($B549="", $I549="", $J549="", $K549="", $L549="", $M549=""),"",ROUND(($I549*Lists!$AD$2)+($J549*Lists!$AD$3)+($K549*Lists!$AD$4)+($L549*Lists!$AD$5)+($M549*Lists!$AD$6),2))</f>
        <v/>
      </c>
      <c r="O549" s="103" t="str">
        <f aca="false">IF($A549="","",IFERROR(VLOOKUP($A549,'Risk Register'!$B$2:$I$1000,8,FALSE()),""))</f>
        <v/>
      </c>
      <c r="P549" s="106"/>
      <c r="Q549" s="106"/>
      <c r="R549" s="106"/>
      <c r="S549" s="106"/>
      <c r="T549" s="103" t="str">
        <f aca="false">IF(OR($B549="", $P549="", $Q549="", $R549="", $S549=""),"",ROUND(($P549*Lists!$AD$7)+($Q549*Lists!$AD$8)+($R549*Lists!$AD$9)+($S549*Lists!$AD$10),2))</f>
        <v/>
      </c>
      <c r="U549" s="106"/>
      <c r="V549" s="106"/>
      <c r="W549" s="106"/>
      <c r="X549" s="106"/>
      <c r="Y549" s="106"/>
      <c r="Z549" s="103" t="str">
        <f aca="false">IF(OR($B549="", $U549="", $V549="", $W549="", $X549="", $Y549=""),"",ROUND(($U549*Lists!$AD$11)+($V549*Lists!$AD$12)+($W549*Lists!$AD$13)+($X549*Lists!$AD$14)+($Y549*Lists!$AD$15),2))</f>
        <v/>
      </c>
      <c r="AA549" s="103" t="str">
        <f aca="false">IF(OR($B549="", $N549="", $O549="", $T549="", $Z549=""),"",ROUND(($N549*Lists!$AD$16)-($O549*Lists!$AD$17)-($T549*Lists!$AD$18)+($Z549*Lists!$AD$19),2))</f>
        <v/>
      </c>
      <c r="AB549" s="102" t="str">
        <f aca="false">IF(OR($B549="", $N549="", $Z549=""),"",IF($N549&gt;=Lists!$AG$2,IF($Z549&gt;=Lists!$AG$3,"Invest","Migrate"),IF($Z549&gt;=Lists!$AG$3,"Tolerate","Eliminate")))</f>
        <v/>
      </c>
      <c r="AC549" s="102" t="str">
        <f aca="false">IF($B549="","",IF($J549&gt;=4,"Yes",""))</f>
        <v/>
      </c>
      <c r="AD549" s="102" t="str">
        <f aca="false">IF($A549="","",IFERROR(IF(VLOOKUP($A549,'Risk Register'!$B$2:$H$1000,4,FALSE())&gt;=4,"Yes",""),""))</f>
        <v/>
      </c>
      <c r="AE549" s="102" t="str">
        <f aca="false">IF(OR($N549="", $O549=""),"",IF($N549&gt;=Lists!$AG$2,IF($O549&gt;=Lists!$AG$4,"High Value / High Risk","High Value / Low Risk"),IF($O549&gt;=Lists!$AG$4,"Low Value / High Risk","Low Value / Low Risk")))</f>
        <v/>
      </c>
      <c r="AF549" s="101"/>
      <c r="AG549" s="126"/>
      <c r="AH549" s="106" t="str">
        <f aca="false">IF($B549="","",COUNTIFS('Debt Backlog'!$AF$2:$AF$1000,$A549,'Debt Backlog'!$B$2:$B$1000,"&lt;&gt;",'Debt Backlog'!$N$2:$N$1000,"&lt;&gt;Done",'Debt Backlog'!$N$2:$N$1000,"&lt;&gt;Won't Fix",'Debt Backlog'!$N$2:$N$1000,"&lt;&gt;Duplicate"))</f>
        <v/>
      </c>
      <c r="AI549" s="103" t="str">
        <f aca="false">IF($B549="","",ROUND(SUMIFS('Debt Backlog'!$L$2:$L$1000,'Debt Backlog'!$AF$2:$AF$1000,$A549,'Debt Backlog'!$B$2:$B$1000,"&lt;&gt;",'Debt Backlog'!$N$2:$N$1000,"&lt;&gt;Done",'Debt Backlog'!$N$2:$N$1000,"&lt;&gt;Won't Fix",'Debt Backlog'!$N$2:$N$1000,"&lt;&gt;Duplicate"),2))</f>
        <v/>
      </c>
    </row>
    <row r="550" customFormat="false" ht="15.75" hidden="false" customHeight="true" outlineLevel="0" collapsed="false">
      <c r="A550" s="125"/>
      <c r="B550" s="101"/>
      <c r="C550" s="101"/>
      <c r="D550" s="101"/>
      <c r="E550" s="101"/>
      <c r="F550" s="101"/>
      <c r="G550" s="101"/>
      <c r="H550" s="101"/>
      <c r="I550" s="106"/>
      <c r="J550" s="106"/>
      <c r="K550" s="106"/>
      <c r="L550" s="106"/>
      <c r="M550" s="106"/>
      <c r="N550" s="103" t="str">
        <f aca="false">IF(OR($B550="", $I550="", $J550="", $K550="", $L550="", $M550=""),"",ROUND(($I550*Lists!$AD$2)+($J550*Lists!$AD$3)+($K550*Lists!$AD$4)+($L550*Lists!$AD$5)+($M550*Lists!$AD$6),2))</f>
        <v/>
      </c>
      <c r="O550" s="103" t="str">
        <f aca="false">IF($A550="","",IFERROR(VLOOKUP($A550,'Risk Register'!$B$2:$I$1000,8,FALSE()),""))</f>
        <v/>
      </c>
      <c r="P550" s="106"/>
      <c r="Q550" s="106"/>
      <c r="R550" s="106"/>
      <c r="S550" s="106"/>
      <c r="T550" s="103" t="str">
        <f aca="false">IF(OR($B550="", $P550="", $Q550="", $R550="", $S550=""),"",ROUND(($P550*Lists!$AD$7)+($Q550*Lists!$AD$8)+($R550*Lists!$AD$9)+($S550*Lists!$AD$10),2))</f>
        <v/>
      </c>
      <c r="U550" s="106"/>
      <c r="V550" s="106"/>
      <c r="W550" s="106"/>
      <c r="X550" s="106"/>
      <c r="Y550" s="106"/>
      <c r="Z550" s="103" t="str">
        <f aca="false">IF(OR($B550="", $U550="", $V550="", $W550="", $X550="", $Y550=""),"",ROUND(($U550*Lists!$AD$11)+($V550*Lists!$AD$12)+($W550*Lists!$AD$13)+($X550*Lists!$AD$14)+($Y550*Lists!$AD$15),2))</f>
        <v/>
      </c>
      <c r="AA550" s="103" t="str">
        <f aca="false">IF(OR($B550="", $N550="", $O550="", $T550="", $Z550=""),"",ROUND(($N550*Lists!$AD$16)-($O550*Lists!$AD$17)-($T550*Lists!$AD$18)+($Z550*Lists!$AD$19),2))</f>
        <v/>
      </c>
      <c r="AB550" s="102" t="str">
        <f aca="false">IF(OR($B550="", $N550="", $Z550=""),"",IF($N550&gt;=Lists!$AG$2,IF($Z550&gt;=Lists!$AG$3,"Invest","Migrate"),IF($Z550&gt;=Lists!$AG$3,"Tolerate","Eliminate")))</f>
        <v/>
      </c>
      <c r="AC550" s="102" t="str">
        <f aca="false">IF($B550="","",IF($J550&gt;=4,"Yes",""))</f>
        <v/>
      </c>
      <c r="AD550" s="102" t="str">
        <f aca="false">IF($A550="","",IFERROR(IF(VLOOKUP($A550,'Risk Register'!$B$2:$H$1000,4,FALSE())&gt;=4,"Yes",""),""))</f>
        <v/>
      </c>
      <c r="AE550" s="102" t="str">
        <f aca="false">IF(OR($N550="", $O550=""),"",IF($N550&gt;=Lists!$AG$2,IF($O550&gt;=Lists!$AG$4,"High Value / High Risk","High Value / Low Risk"),IF($O550&gt;=Lists!$AG$4,"Low Value / High Risk","Low Value / Low Risk")))</f>
        <v/>
      </c>
      <c r="AF550" s="101"/>
      <c r="AG550" s="126"/>
      <c r="AH550" s="106" t="str">
        <f aca="false">IF($B550="","",COUNTIFS('Debt Backlog'!$AF$2:$AF$1000,$A550,'Debt Backlog'!$B$2:$B$1000,"&lt;&gt;",'Debt Backlog'!$N$2:$N$1000,"&lt;&gt;Done",'Debt Backlog'!$N$2:$N$1000,"&lt;&gt;Won't Fix",'Debt Backlog'!$N$2:$N$1000,"&lt;&gt;Duplicate"))</f>
        <v/>
      </c>
      <c r="AI550" s="103" t="str">
        <f aca="false">IF($B550="","",ROUND(SUMIFS('Debt Backlog'!$L$2:$L$1000,'Debt Backlog'!$AF$2:$AF$1000,$A550,'Debt Backlog'!$B$2:$B$1000,"&lt;&gt;",'Debt Backlog'!$N$2:$N$1000,"&lt;&gt;Done",'Debt Backlog'!$N$2:$N$1000,"&lt;&gt;Won't Fix",'Debt Backlog'!$N$2:$N$1000,"&lt;&gt;Duplicate"),2))</f>
        <v/>
      </c>
    </row>
    <row r="551" customFormat="false" ht="15.75" hidden="false" customHeight="true" outlineLevel="0" collapsed="false">
      <c r="A551" s="125"/>
      <c r="B551" s="101"/>
      <c r="C551" s="101"/>
      <c r="D551" s="101"/>
      <c r="E551" s="101"/>
      <c r="F551" s="101"/>
      <c r="G551" s="101"/>
      <c r="H551" s="101"/>
      <c r="I551" s="106"/>
      <c r="J551" s="106"/>
      <c r="K551" s="106"/>
      <c r="L551" s="106"/>
      <c r="M551" s="106"/>
      <c r="N551" s="103" t="str">
        <f aca="false">IF(OR($B551="", $I551="", $J551="", $K551="", $L551="", $M551=""),"",ROUND(($I551*Lists!$AD$2)+($J551*Lists!$AD$3)+($K551*Lists!$AD$4)+($L551*Lists!$AD$5)+($M551*Lists!$AD$6),2))</f>
        <v/>
      </c>
      <c r="O551" s="103" t="str">
        <f aca="false">IF($A551="","",IFERROR(VLOOKUP($A551,'Risk Register'!$B$2:$I$1000,8,FALSE()),""))</f>
        <v/>
      </c>
      <c r="P551" s="106"/>
      <c r="Q551" s="106"/>
      <c r="R551" s="106"/>
      <c r="S551" s="106"/>
      <c r="T551" s="103" t="str">
        <f aca="false">IF(OR($B551="", $P551="", $Q551="", $R551="", $S551=""),"",ROUND(($P551*Lists!$AD$7)+($Q551*Lists!$AD$8)+($R551*Lists!$AD$9)+($S551*Lists!$AD$10),2))</f>
        <v/>
      </c>
      <c r="U551" s="106"/>
      <c r="V551" s="106"/>
      <c r="W551" s="106"/>
      <c r="X551" s="106"/>
      <c r="Y551" s="106"/>
      <c r="Z551" s="103" t="str">
        <f aca="false">IF(OR($B551="", $U551="", $V551="", $W551="", $X551="", $Y551=""),"",ROUND(($U551*Lists!$AD$11)+($V551*Lists!$AD$12)+($W551*Lists!$AD$13)+($X551*Lists!$AD$14)+($Y551*Lists!$AD$15),2))</f>
        <v/>
      </c>
      <c r="AA551" s="103" t="str">
        <f aca="false">IF(OR($B551="", $N551="", $O551="", $T551="", $Z551=""),"",ROUND(($N551*Lists!$AD$16)-($O551*Lists!$AD$17)-($T551*Lists!$AD$18)+($Z551*Lists!$AD$19),2))</f>
        <v/>
      </c>
      <c r="AB551" s="102" t="str">
        <f aca="false">IF(OR($B551="", $N551="", $Z551=""),"",IF($N551&gt;=Lists!$AG$2,IF($Z551&gt;=Lists!$AG$3,"Invest","Migrate"),IF($Z551&gt;=Lists!$AG$3,"Tolerate","Eliminate")))</f>
        <v/>
      </c>
      <c r="AC551" s="102" t="str">
        <f aca="false">IF($B551="","",IF($J551&gt;=4,"Yes",""))</f>
        <v/>
      </c>
      <c r="AD551" s="102" t="str">
        <f aca="false">IF($A551="","",IFERROR(IF(VLOOKUP($A551,'Risk Register'!$B$2:$H$1000,4,FALSE())&gt;=4,"Yes",""),""))</f>
        <v/>
      </c>
      <c r="AE551" s="102" t="str">
        <f aca="false">IF(OR($N551="", $O551=""),"",IF($N551&gt;=Lists!$AG$2,IF($O551&gt;=Lists!$AG$4,"High Value / High Risk","High Value / Low Risk"),IF($O551&gt;=Lists!$AG$4,"Low Value / High Risk","Low Value / Low Risk")))</f>
        <v/>
      </c>
      <c r="AF551" s="101"/>
      <c r="AG551" s="126"/>
      <c r="AH551" s="106" t="str">
        <f aca="false">IF($B551="","",COUNTIFS('Debt Backlog'!$AF$2:$AF$1000,$A551,'Debt Backlog'!$B$2:$B$1000,"&lt;&gt;",'Debt Backlog'!$N$2:$N$1000,"&lt;&gt;Done",'Debt Backlog'!$N$2:$N$1000,"&lt;&gt;Won't Fix",'Debt Backlog'!$N$2:$N$1000,"&lt;&gt;Duplicate"))</f>
        <v/>
      </c>
      <c r="AI551" s="103" t="str">
        <f aca="false">IF($B551="","",ROUND(SUMIFS('Debt Backlog'!$L$2:$L$1000,'Debt Backlog'!$AF$2:$AF$1000,$A551,'Debt Backlog'!$B$2:$B$1000,"&lt;&gt;",'Debt Backlog'!$N$2:$N$1000,"&lt;&gt;Done",'Debt Backlog'!$N$2:$N$1000,"&lt;&gt;Won't Fix",'Debt Backlog'!$N$2:$N$1000,"&lt;&gt;Duplicate"),2))</f>
        <v/>
      </c>
    </row>
    <row r="552" customFormat="false" ht="15.75" hidden="false" customHeight="true" outlineLevel="0" collapsed="false">
      <c r="A552" s="125"/>
      <c r="B552" s="101"/>
      <c r="C552" s="101"/>
      <c r="D552" s="101"/>
      <c r="E552" s="101"/>
      <c r="F552" s="101"/>
      <c r="G552" s="101"/>
      <c r="H552" s="101"/>
      <c r="I552" s="106"/>
      <c r="J552" s="106"/>
      <c r="K552" s="106"/>
      <c r="L552" s="106"/>
      <c r="M552" s="106"/>
      <c r="N552" s="103" t="str">
        <f aca="false">IF(OR($B552="", $I552="", $J552="", $K552="", $L552="", $M552=""),"",ROUND(($I552*Lists!$AD$2)+($J552*Lists!$AD$3)+($K552*Lists!$AD$4)+($L552*Lists!$AD$5)+($M552*Lists!$AD$6),2))</f>
        <v/>
      </c>
      <c r="O552" s="103" t="str">
        <f aca="false">IF($A552="","",IFERROR(VLOOKUP($A552,'Risk Register'!$B$2:$I$1000,8,FALSE()),""))</f>
        <v/>
      </c>
      <c r="P552" s="106"/>
      <c r="Q552" s="106"/>
      <c r="R552" s="106"/>
      <c r="S552" s="106"/>
      <c r="T552" s="103" t="str">
        <f aca="false">IF(OR($B552="", $P552="", $Q552="", $R552="", $S552=""),"",ROUND(($P552*Lists!$AD$7)+($Q552*Lists!$AD$8)+($R552*Lists!$AD$9)+($S552*Lists!$AD$10),2))</f>
        <v/>
      </c>
      <c r="U552" s="106"/>
      <c r="V552" s="106"/>
      <c r="W552" s="106"/>
      <c r="X552" s="106"/>
      <c r="Y552" s="106"/>
      <c r="Z552" s="103" t="str">
        <f aca="false">IF(OR($B552="", $U552="", $V552="", $W552="", $X552="", $Y552=""),"",ROUND(($U552*Lists!$AD$11)+($V552*Lists!$AD$12)+($W552*Lists!$AD$13)+($X552*Lists!$AD$14)+($Y552*Lists!$AD$15),2))</f>
        <v/>
      </c>
      <c r="AA552" s="103" t="str">
        <f aca="false">IF(OR($B552="", $N552="", $O552="", $T552="", $Z552=""),"",ROUND(($N552*Lists!$AD$16)-($O552*Lists!$AD$17)-($T552*Lists!$AD$18)+($Z552*Lists!$AD$19),2))</f>
        <v/>
      </c>
      <c r="AB552" s="102" t="str">
        <f aca="false">IF(OR($B552="", $N552="", $Z552=""),"",IF($N552&gt;=Lists!$AG$2,IF($Z552&gt;=Lists!$AG$3,"Invest","Migrate"),IF($Z552&gt;=Lists!$AG$3,"Tolerate","Eliminate")))</f>
        <v/>
      </c>
      <c r="AC552" s="102" t="str">
        <f aca="false">IF($B552="","",IF($J552&gt;=4,"Yes",""))</f>
        <v/>
      </c>
      <c r="AD552" s="102" t="str">
        <f aca="false">IF($A552="","",IFERROR(IF(VLOOKUP($A552,'Risk Register'!$B$2:$H$1000,4,FALSE())&gt;=4,"Yes",""),""))</f>
        <v/>
      </c>
      <c r="AE552" s="102" t="str">
        <f aca="false">IF(OR($N552="", $O552=""),"",IF($N552&gt;=Lists!$AG$2,IF($O552&gt;=Lists!$AG$4,"High Value / High Risk","High Value / Low Risk"),IF($O552&gt;=Lists!$AG$4,"Low Value / High Risk","Low Value / Low Risk")))</f>
        <v/>
      </c>
      <c r="AF552" s="101"/>
      <c r="AG552" s="126"/>
      <c r="AH552" s="106" t="str">
        <f aca="false">IF($B552="","",COUNTIFS('Debt Backlog'!$AF$2:$AF$1000,$A552,'Debt Backlog'!$B$2:$B$1000,"&lt;&gt;",'Debt Backlog'!$N$2:$N$1000,"&lt;&gt;Done",'Debt Backlog'!$N$2:$N$1000,"&lt;&gt;Won't Fix",'Debt Backlog'!$N$2:$N$1000,"&lt;&gt;Duplicate"))</f>
        <v/>
      </c>
      <c r="AI552" s="103" t="str">
        <f aca="false">IF($B552="","",ROUND(SUMIFS('Debt Backlog'!$L$2:$L$1000,'Debt Backlog'!$AF$2:$AF$1000,$A552,'Debt Backlog'!$B$2:$B$1000,"&lt;&gt;",'Debt Backlog'!$N$2:$N$1000,"&lt;&gt;Done",'Debt Backlog'!$N$2:$N$1000,"&lt;&gt;Won't Fix",'Debt Backlog'!$N$2:$N$1000,"&lt;&gt;Duplicate"),2))</f>
        <v/>
      </c>
    </row>
    <row r="553" customFormat="false" ht="15.75" hidden="false" customHeight="true" outlineLevel="0" collapsed="false">
      <c r="A553" s="125"/>
      <c r="B553" s="101"/>
      <c r="C553" s="101"/>
      <c r="D553" s="101"/>
      <c r="E553" s="101"/>
      <c r="F553" s="101"/>
      <c r="G553" s="101"/>
      <c r="H553" s="101"/>
      <c r="I553" s="106"/>
      <c r="J553" s="106"/>
      <c r="K553" s="106"/>
      <c r="L553" s="106"/>
      <c r="M553" s="106"/>
      <c r="N553" s="103" t="str">
        <f aca="false">IF(OR($B553="", $I553="", $J553="", $K553="", $L553="", $M553=""),"",ROUND(($I553*Lists!$AD$2)+($J553*Lists!$AD$3)+($K553*Lists!$AD$4)+($L553*Lists!$AD$5)+($M553*Lists!$AD$6),2))</f>
        <v/>
      </c>
      <c r="O553" s="103" t="str">
        <f aca="false">IF($A553="","",IFERROR(VLOOKUP($A553,'Risk Register'!$B$2:$I$1000,8,FALSE()),""))</f>
        <v/>
      </c>
      <c r="P553" s="106"/>
      <c r="Q553" s="106"/>
      <c r="R553" s="106"/>
      <c r="S553" s="106"/>
      <c r="T553" s="103" t="str">
        <f aca="false">IF(OR($B553="", $P553="", $Q553="", $R553="", $S553=""),"",ROUND(($P553*Lists!$AD$7)+($Q553*Lists!$AD$8)+($R553*Lists!$AD$9)+($S553*Lists!$AD$10),2))</f>
        <v/>
      </c>
      <c r="U553" s="106"/>
      <c r="V553" s="106"/>
      <c r="W553" s="106"/>
      <c r="X553" s="106"/>
      <c r="Y553" s="106"/>
      <c r="Z553" s="103" t="str">
        <f aca="false">IF(OR($B553="", $U553="", $V553="", $W553="", $X553="", $Y553=""),"",ROUND(($U553*Lists!$AD$11)+($V553*Lists!$AD$12)+($W553*Lists!$AD$13)+($X553*Lists!$AD$14)+($Y553*Lists!$AD$15),2))</f>
        <v/>
      </c>
      <c r="AA553" s="103" t="str">
        <f aca="false">IF(OR($B553="", $N553="", $O553="", $T553="", $Z553=""),"",ROUND(($N553*Lists!$AD$16)-($O553*Lists!$AD$17)-($T553*Lists!$AD$18)+($Z553*Lists!$AD$19),2))</f>
        <v/>
      </c>
      <c r="AB553" s="102" t="str">
        <f aca="false">IF(OR($B553="", $N553="", $Z553=""),"",IF($N553&gt;=Lists!$AG$2,IF($Z553&gt;=Lists!$AG$3,"Invest","Migrate"),IF($Z553&gt;=Lists!$AG$3,"Tolerate","Eliminate")))</f>
        <v/>
      </c>
      <c r="AC553" s="102" t="str">
        <f aca="false">IF($B553="","",IF($J553&gt;=4,"Yes",""))</f>
        <v/>
      </c>
      <c r="AD553" s="102" t="str">
        <f aca="false">IF($A553="","",IFERROR(IF(VLOOKUP($A553,'Risk Register'!$B$2:$H$1000,4,FALSE())&gt;=4,"Yes",""),""))</f>
        <v/>
      </c>
      <c r="AE553" s="102" t="str">
        <f aca="false">IF(OR($N553="", $O553=""),"",IF($N553&gt;=Lists!$AG$2,IF($O553&gt;=Lists!$AG$4,"High Value / High Risk","High Value / Low Risk"),IF($O553&gt;=Lists!$AG$4,"Low Value / High Risk","Low Value / Low Risk")))</f>
        <v/>
      </c>
      <c r="AF553" s="101"/>
      <c r="AG553" s="126"/>
      <c r="AH553" s="106" t="str">
        <f aca="false">IF($B553="","",COUNTIFS('Debt Backlog'!$AF$2:$AF$1000,$A553,'Debt Backlog'!$B$2:$B$1000,"&lt;&gt;",'Debt Backlog'!$N$2:$N$1000,"&lt;&gt;Done",'Debt Backlog'!$N$2:$N$1000,"&lt;&gt;Won't Fix",'Debt Backlog'!$N$2:$N$1000,"&lt;&gt;Duplicate"))</f>
        <v/>
      </c>
      <c r="AI553" s="103" t="str">
        <f aca="false">IF($B553="","",ROUND(SUMIFS('Debt Backlog'!$L$2:$L$1000,'Debt Backlog'!$AF$2:$AF$1000,$A553,'Debt Backlog'!$B$2:$B$1000,"&lt;&gt;",'Debt Backlog'!$N$2:$N$1000,"&lt;&gt;Done",'Debt Backlog'!$N$2:$N$1000,"&lt;&gt;Won't Fix",'Debt Backlog'!$N$2:$N$1000,"&lt;&gt;Duplicate"),2))</f>
        <v/>
      </c>
    </row>
    <row r="554" customFormat="false" ht="15.75" hidden="false" customHeight="true" outlineLevel="0" collapsed="false">
      <c r="A554" s="125"/>
      <c r="B554" s="101"/>
      <c r="C554" s="101"/>
      <c r="D554" s="101"/>
      <c r="E554" s="101"/>
      <c r="F554" s="101"/>
      <c r="G554" s="101"/>
      <c r="H554" s="101"/>
      <c r="I554" s="106"/>
      <c r="J554" s="106"/>
      <c r="K554" s="106"/>
      <c r="L554" s="106"/>
      <c r="M554" s="106"/>
      <c r="N554" s="103" t="str">
        <f aca="false">IF(OR($B554="", $I554="", $J554="", $K554="", $L554="", $M554=""),"",ROUND(($I554*Lists!$AD$2)+($J554*Lists!$AD$3)+($K554*Lists!$AD$4)+($L554*Lists!$AD$5)+($M554*Lists!$AD$6),2))</f>
        <v/>
      </c>
      <c r="O554" s="103" t="str">
        <f aca="false">IF($A554="","",IFERROR(VLOOKUP($A554,'Risk Register'!$B$2:$I$1000,8,FALSE()),""))</f>
        <v/>
      </c>
      <c r="P554" s="106"/>
      <c r="Q554" s="106"/>
      <c r="R554" s="106"/>
      <c r="S554" s="106"/>
      <c r="T554" s="103" t="str">
        <f aca="false">IF(OR($B554="", $P554="", $Q554="", $R554="", $S554=""),"",ROUND(($P554*Lists!$AD$7)+($Q554*Lists!$AD$8)+($R554*Lists!$AD$9)+($S554*Lists!$AD$10),2))</f>
        <v/>
      </c>
      <c r="U554" s="106"/>
      <c r="V554" s="106"/>
      <c r="W554" s="106"/>
      <c r="X554" s="106"/>
      <c r="Y554" s="106"/>
      <c r="Z554" s="103" t="str">
        <f aca="false">IF(OR($B554="", $U554="", $V554="", $W554="", $X554="", $Y554=""),"",ROUND(($U554*Lists!$AD$11)+($V554*Lists!$AD$12)+($W554*Lists!$AD$13)+($X554*Lists!$AD$14)+($Y554*Lists!$AD$15),2))</f>
        <v/>
      </c>
      <c r="AA554" s="103" t="str">
        <f aca="false">IF(OR($B554="", $N554="", $O554="", $T554="", $Z554=""),"",ROUND(($N554*Lists!$AD$16)-($O554*Lists!$AD$17)-($T554*Lists!$AD$18)+($Z554*Lists!$AD$19),2))</f>
        <v/>
      </c>
      <c r="AB554" s="102" t="str">
        <f aca="false">IF(OR($B554="", $N554="", $Z554=""),"",IF($N554&gt;=Lists!$AG$2,IF($Z554&gt;=Lists!$AG$3,"Invest","Migrate"),IF($Z554&gt;=Lists!$AG$3,"Tolerate","Eliminate")))</f>
        <v/>
      </c>
      <c r="AC554" s="102" t="str">
        <f aca="false">IF($B554="","",IF($J554&gt;=4,"Yes",""))</f>
        <v/>
      </c>
      <c r="AD554" s="102" t="str">
        <f aca="false">IF($A554="","",IFERROR(IF(VLOOKUP($A554,'Risk Register'!$B$2:$H$1000,4,FALSE())&gt;=4,"Yes",""),""))</f>
        <v/>
      </c>
      <c r="AE554" s="102" t="str">
        <f aca="false">IF(OR($N554="", $O554=""),"",IF($N554&gt;=Lists!$AG$2,IF($O554&gt;=Lists!$AG$4,"High Value / High Risk","High Value / Low Risk"),IF($O554&gt;=Lists!$AG$4,"Low Value / High Risk","Low Value / Low Risk")))</f>
        <v/>
      </c>
      <c r="AF554" s="101"/>
      <c r="AG554" s="126"/>
      <c r="AH554" s="106" t="str">
        <f aca="false">IF($B554="","",COUNTIFS('Debt Backlog'!$AF$2:$AF$1000,$A554,'Debt Backlog'!$B$2:$B$1000,"&lt;&gt;",'Debt Backlog'!$N$2:$N$1000,"&lt;&gt;Done",'Debt Backlog'!$N$2:$N$1000,"&lt;&gt;Won't Fix",'Debt Backlog'!$N$2:$N$1000,"&lt;&gt;Duplicate"))</f>
        <v/>
      </c>
      <c r="AI554" s="103" t="str">
        <f aca="false">IF($B554="","",ROUND(SUMIFS('Debt Backlog'!$L$2:$L$1000,'Debt Backlog'!$AF$2:$AF$1000,$A554,'Debt Backlog'!$B$2:$B$1000,"&lt;&gt;",'Debt Backlog'!$N$2:$N$1000,"&lt;&gt;Done",'Debt Backlog'!$N$2:$N$1000,"&lt;&gt;Won't Fix",'Debt Backlog'!$N$2:$N$1000,"&lt;&gt;Duplicate"),2))</f>
        <v/>
      </c>
    </row>
    <row r="555" customFormat="false" ht="15.75" hidden="false" customHeight="true" outlineLevel="0" collapsed="false">
      <c r="A555" s="125"/>
      <c r="B555" s="101"/>
      <c r="C555" s="101"/>
      <c r="D555" s="101"/>
      <c r="E555" s="101"/>
      <c r="F555" s="101"/>
      <c r="G555" s="101"/>
      <c r="H555" s="101"/>
      <c r="I555" s="106"/>
      <c r="J555" s="106"/>
      <c r="K555" s="106"/>
      <c r="L555" s="106"/>
      <c r="M555" s="106"/>
      <c r="N555" s="103" t="str">
        <f aca="false">IF(OR($B555="", $I555="", $J555="", $K555="", $L555="", $M555=""),"",ROUND(($I555*Lists!$AD$2)+($J555*Lists!$AD$3)+($K555*Lists!$AD$4)+($L555*Lists!$AD$5)+($M555*Lists!$AD$6),2))</f>
        <v/>
      </c>
      <c r="O555" s="103" t="str">
        <f aca="false">IF($A555="","",IFERROR(VLOOKUP($A555,'Risk Register'!$B$2:$I$1000,8,FALSE()),""))</f>
        <v/>
      </c>
      <c r="P555" s="106"/>
      <c r="Q555" s="106"/>
      <c r="R555" s="106"/>
      <c r="S555" s="106"/>
      <c r="T555" s="103" t="str">
        <f aca="false">IF(OR($B555="", $P555="", $Q555="", $R555="", $S555=""),"",ROUND(($P555*Lists!$AD$7)+($Q555*Lists!$AD$8)+($R555*Lists!$AD$9)+($S555*Lists!$AD$10),2))</f>
        <v/>
      </c>
      <c r="U555" s="106"/>
      <c r="V555" s="106"/>
      <c r="W555" s="106"/>
      <c r="X555" s="106"/>
      <c r="Y555" s="106"/>
      <c r="Z555" s="103" t="str">
        <f aca="false">IF(OR($B555="", $U555="", $V555="", $W555="", $X555="", $Y555=""),"",ROUND(($U555*Lists!$AD$11)+($V555*Lists!$AD$12)+($W555*Lists!$AD$13)+($X555*Lists!$AD$14)+($Y555*Lists!$AD$15),2))</f>
        <v/>
      </c>
      <c r="AA555" s="103" t="str">
        <f aca="false">IF(OR($B555="", $N555="", $O555="", $T555="", $Z555=""),"",ROUND(($N555*Lists!$AD$16)-($O555*Lists!$AD$17)-($T555*Lists!$AD$18)+($Z555*Lists!$AD$19),2))</f>
        <v/>
      </c>
      <c r="AB555" s="102" t="str">
        <f aca="false">IF(OR($B555="", $N555="", $Z555=""),"",IF($N555&gt;=Lists!$AG$2,IF($Z555&gt;=Lists!$AG$3,"Invest","Migrate"),IF($Z555&gt;=Lists!$AG$3,"Tolerate","Eliminate")))</f>
        <v/>
      </c>
      <c r="AC555" s="102" t="str">
        <f aca="false">IF($B555="","",IF($J555&gt;=4,"Yes",""))</f>
        <v/>
      </c>
      <c r="AD555" s="102" t="str">
        <f aca="false">IF($A555="","",IFERROR(IF(VLOOKUP($A555,'Risk Register'!$B$2:$H$1000,4,FALSE())&gt;=4,"Yes",""),""))</f>
        <v/>
      </c>
      <c r="AE555" s="102" t="str">
        <f aca="false">IF(OR($N555="", $O555=""),"",IF($N555&gt;=Lists!$AG$2,IF($O555&gt;=Lists!$AG$4,"High Value / High Risk","High Value / Low Risk"),IF($O555&gt;=Lists!$AG$4,"Low Value / High Risk","Low Value / Low Risk")))</f>
        <v/>
      </c>
      <c r="AF555" s="101"/>
      <c r="AG555" s="126"/>
      <c r="AH555" s="106" t="str">
        <f aca="false">IF($B555="","",COUNTIFS('Debt Backlog'!$AF$2:$AF$1000,$A555,'Debt Backlog'!$B$2:$B$1000,"&lt;&gt;",'Debt Backlog'!$N$2:$N$1000,"&lt;&gt;Done",'Debt Backlog'!$N$2:$N$1000,"&lt;&gt;Won't Fix",'Debt Backlog'!$N$2:$N$1000,"&lt;&gt;Duplicate"))</f>
        <v/>
      </c>
      <c r="AI555" s="103" t="str">
        <f aca="false">IF($B555="","",ROUND(SUMIFS('Debt Backlog'!$L$2:$L$1000,'Debt Backlog'!$AF$2:$AF$1000,$A555,'Debt Backlog'!$B$2:$B$1000,"&lt;&gt;",'Debt Backlog'!$N$2:$N$1000,"&lt;&gt;Done",'Debt Backlog'!$N$2:$N$1000,"&lt;&gt;Won't Fix",'Debt Backlog'!$N$2:$N$1000,"&lt;&gt;Duplicate"),2))</f>
        <v/>
      </c>
    </row>
    <row r="556" customFormat="false" ht="15.75" hidden="false" customHeight="true" outlineLevel="0" collapsed="false">
      <c r="A556" s="125"/>
      <c r="B556" s="101"/>
      <c r="C556" s="101"/>
      <c r="D556" s="101"/>
      <c r="E556" s="101"/>
      <c r="F556" s="101"/>
      <c r="G556" s="101"/>
      <c r="H556" s="101"/>
      <c r="I556" s="106"/>
      <c r="J556" s="106"/>
      <c r="K556" s="106"/>
      <c r="L556" s="106"/>
      <c r="M556" s="106"/>
      <c r="N556" s="103" t="str">
        <f aca="false">IF(OR($B556="", $I556="", $J556="", $K556="", $L556="", $M556=""),"",ROUND(($I556*Lists!$AD$2)+($J556*Lists!$AD$3)+($K556*Lists!$AD$4)+($L556*Lists!$AD$5)+($M556*Lists!$AD$6),2))</f>
        <v/>
      </c>
      <c r="O556" s="103" t="str">
        <f aca="false">IF($A556="","",IFERROR(VLOOKUP($A556,'Risk Register'!$B$2:$I$1000,8,FALSE()),""))</f>
        <v/>
      </c>
      <c r="P556" s="106"/>
      <c r="Q556" s="106"/>
      <c r="R556" s="106"/>
      <c r="S556" s="106"/>
      <c r="T556" s="103" t="str">
        <f aca="false">IF(OR($B556="", $P556="", $Q556="", $R556="", $S556=""),"",ROUND(($P556*Lists!$AD$7)+($Q556*Lists!$AD$8)+($R556*Lists!$AD$9)+($S556*Lists!$AD$10),2))</f>
        <v/>
      </c>
      <c r="U556" s="106"/>
      <c r="V556" s="106"/>
      <c r="W556" s="106"/>
      <c r="X556" s="106"/>
      <c r="Y556" s="106"/>
      <c r="Z556" s="103" t="str">
        <f aca="false">IF(OR($B556="", $U556="", $V556="", $W556="", $X556="", $Y556=""),"",ROUND(($U556*Lists!$AD$11)+($V556*Lists!$AD$12)+($W556*Lists!$AD$13)+($X556*Lists!$AD$14)+($Y556*Lists!$AD$15),2))</f>
        <v/>
      </c>
      <c r="AA556" s="103" t="str">
        <f aca="false">IF(OR($B556="", $N556="", $O556="", $T556="", $Z556=""),"",ROUND(($N556*Lists!$AD$16)-($O556*Lists!$AD$17)-($T556*Lists!$AD$18)+($Z556*Lists!$AD$19),2))</f>
        <v/>
      </c>
      <c r="AB556" s="102" t="str">
        <f aca="false">IF(OR($B556="", $N556="", $Z556=""),"",IF($N556&gt;=Lists!$AG$2,IF($Z556&gt;=Lists!$AG$3,"Invest","Migrate"),IF($Z556&gt;=Lists!$AG$3,"Tolerate","Eliminate")))</f>
        <v/>
      </c>
      <c r="AC556" s="102" t="str">
        <f aca="false">IF($B556="","",IF($J556&gt;=4,"Yes",""))</f>
        <v/>
      </c>
      <c r="AD556" s="102" t="str">
        <f aca="false">IF($A556="","",IFERROR(IF(VLOOKUP($A556,'Risk Register'!$B$2:$H$1000,4,FALSE())&gt;=4,"Yes",""),""))</f>
        <v/>
      </c>
      <c r="AE556" s="102" t="str">
        <f aca="false">IF(OR($N556="", $O556=""),"",IF($N556&gt;=Lists!$AG$2,IF($O556&gt;=Lists!$AG$4,"High Value / High Risk","High Value / Low Risk"),IF($O556&gt;=Lists!$AG$4,"Low Value / High Risk","Low Value / Low Risk")))</f>
        <v/>
      </c>
      <c r="AF556" s="101"/>
      <c r="AG556" s="126"/>
      <c r="AH556" s="106" t="str">
        <f aca="false">IF($B556="","",COUNTIFS('Debt Backlog'!$AF$2:$AF$1000,$A556,'Debt Backlog'!$B$2:$B$1000,"&lt;&gt;",'Debt Backlog'!$N$2:$N$1000,"&lt;&gt;Done",'Debt Backlog'!$N$2:$N$1000,"&lt;&gt;Won't Fix",'Debt Backlog'!$N$2:$N$1000,"&lt;&gt;Duplicate"))</f>
        <v/>
      </c>
      <c r="AI556" s="103" t="str">
        <f aca="false">IF($B556="","",ROUND(SUMIFS('Debt Backlog'!$L$2:$L$1000,'Debt Backlog'!$AF$2:$AF$1000,$A556,'Debt Backlog'!$B$2:$B$1000,"&lt;&gt;",'Debt Backlog'!$N$2:$N$1000,"&lt;&gt;Done",'Debt Backlog'!$N$2:$N$1000,"&lt;&gt;Won't Fix",'Debt Backlog'!$N$2:$N$1000,"&lt;&gt;Duplicate"),2))</f>
        <v/>
      </c>
    </row>
    <row r="557" customFormat="false" ht="15.75" hidden="false" customHeight="true" outlineLevel="0" collapsed="false">
      <c r="A557" s="125"/>
      <c r="B557" s="101"/>
      <c r="C557" s="101"/>
      <c r="D557" s="101"/>
      <c r="E557" s="101"/>
      <c r="F557" s="101"/>
      <c r="G557" s="101"/>
      <c r="H557" s="101"/>
      <c r="I557" s="106"/>
      <c r="J557" s="106"/>
      <c r="K557" s="106"/>
      <c r="L557" s="106"/>
      <c r="M557" s="106"/>
      <c r="N557" s="103" t="str">
        <f aca="false">IF(OR($B557="", $I557="", $J557="", $K557="", $L557="", $M557=""),"",ROUND(($I557*Lists!$AD$2)+($J557*Lists!$AD$3)+($K557*Lists!$AD$4)+($L557*Lists!$AD$5)+($M557*Lists!$AD$6),2))</f>
        <v/>
      </c>
      <c r="O557" s="103" t="str">
        <f aca="false">IF($A557="","",IFERROR(VLOOKUP($A557,'Risk Register'!$B$2:$I$1000,8,FALSE()),""))</f>
        <v/>
      </c>
      <c r="P557" s="106"/>
      <c r="Q557" s="106"/>
      <c r="R557" s="106"/>
      <c r="S557" s="106"/>
      <c r="T557" s="103" t="str">
        <f aca="false">IF(OR($B557="", $P557="", $Q557="", $R557="", $S557=""),"",ROUND(($P557*Lists!$AD$7)+($Q557*Lists!$AD$8)+($R557*Lists!$AD$9)+($S557*Lists!$AD$10),2))</f>
        <v/>
      </c>
      <c r="U557" s="106"/>
      <c r="V557" s="106"/>
      <c r="W557" s="106"/>
      <c r="X557" s="106"/>
      <c r="Y557" s="106"/>
      <c r="Z557" s="103" t="str">
        <f aca="false">IF(OR($B557="", $U557="", $V557="", $W557="", $X557="", $Y557=""),"",ROUND(($U557*Lists!$AD$11)+($V557*Lists!$AD$12)+($W557*Lists!$AD$13)+($X557*Lists!$AD$14)+($Y557*Lists!$AD$15),2))</f>
        <v/>
      </c>
      <c r="AA557" s="103" t="str">
        <f aca="false">IF(OR($B557="", $N557="", $O557="", $T557="", $Z557=""),"",ROUND(($N557*Lists!$AD$16)-($O557*Lists!$AD$17)-($T557*Lists!$AD$18)+($Z557*Lists!$AD$19),2))</f>
        <v/>
      </c>
      <c r="AB557" s="102" t="str">
        <f aca="false">IF(OR($B557="", $N557="", $Z557=""),"",IF($N557&gt;=Lists!$AG$2,IF($Z557&gt;=Lists!$AG$3,"Invest","Migrate"),IF($Z557&gt;=Lists!$AG$3,"Tolerate","Eliminate")))</f>
        <v/>
      </c>
      <c r="AC557" s="102" t="str">
        <f aca="false">IF($B557="","",IF($J557&gt;=4,"Yes",""))</f>
        <v/>
      </c>
      <c r="AD557" s="102" t="str">
        <f aca="false">IF($A557="","",IFERROR(IF(VLOOKUP($A557,'Risk Register'!$B$2:$H$1000,4,FALSE())&gt;=4,"Yes",""),""))</f>
        <v/>
      </c>
      <c r="AE557" s="102" t="str">
        <f aca="false">IF(OR($N557="", $O557=""),"",IF($N557&gt;=Lists!$AG$2,IF($O557&gt;=Lists!$AG$4,"High Value / High Risk","High Value / Low Risk"),IF($O557&gt;=Lists!$AG$4,"Low Value / High Risk","Low Value / Low Risk")))</f>
        <v/>
      </c>
      <c r="AF557" s="101"/>
      <c r="AG557" s="126"/>
      <c r="AH557" s="106" t="str">
        <f aca="false">IF($B557="","",COUNTIFS('Debt Backlog'!$AF$2:$AF$1000,$A557,'Debt Backlog'!$B$2:$B$1000,"&lt;&gt;",'Debt Backlog'!$N$2:$N$1000,"&lt;&gt;Done",'Debt Backlog'!$N$2:$N$1000,"&lt;&gt;Won't Fix",'Debt Backlog'!$N$2:$N$1000,"&lt;&gt;Duplicate"))</f>
        <v/>
      </c>
      <c r="AI557" s="103" t="str">
        <f aca="false">IF($B557="","",ROUND(SUMIFS('Debt Backlog'!$L$2:$L$1000,'Debt Backlog'!$AF$2:$AF$1000,$A557,'Debt Backlog'!$B$2:$B$1000,"&lt;&gt;",'Debt Backlog'!$N$2:$N$1000,"&lt;&gt;Done",'Debt Backlog'!$N$2:$N$1000,"&lt;&gt;Won't Fix",'Debt Backlog'!$N$2:$N$1000,"&lt;&gt;Duplicate"),2))</f>
        <v/>
      </c>
    </row>
    <row r="558" customFormat="false" ht="15.75" hidden="false" customHeight="true" outlineLevel="0" collapsed="false">
      <c r="A558" s="125"/>
      <c r="B558" s="101"/>
      <c r="C558" s="101"/>
      <c r="D558" s="101"/>
      <c r="E558" s="101"/>
      <c r="F558" s="101"/>
      <c r="G558" s="101"/>
      <c r="H558" s="101"/>
      <c r="I558" s="106"/>
      <c r="J558" s="106"/>
      <c r="K558" s="106"/>
      <c r="L558" s="106"/>
      <c r="M558" s="106"/>
      <c r="N558" s="103" t="str">
        <f aca="false">IF(OR($B558="", $I558="", $J558="", $K558="", $L558="", $M558=""),"",ROUND(($I558*Lists!$AD$2)+($J558*Lists!$AD$3)+($K558*Lists!$AD$4)+($L558*Lists!$AD$5)+($M558*Lists!$AD$6),2))</f>
        <v/>
      </c>
      <c r="O558" s="103" t="str">
        <f aca="false">IF($A558="","",IFERROR(VLOOKUP($A558,'Risk Register'!$B$2:$I$1000,8,FALSE()),""))</f>
        <v/>
      </c>
      <c r="P558" s="106"/>
      <c r="Q558" s="106"/>
      <c r="R558" s="106"/>
      <c r="S558" s="106"/>
      <c r="T558" s="103" t="str">
        <f aca="false">IF(OR($B558="", $P558="", $Q558="", $R558="", $S558=""),"",ROUND(($P558*Lists!$AD$7)+($Q558*Lists!$AD$8)+($R558*Lists!$AD$9)+($S558*Lists!$AD$10),2))</f>
        <v/>
      </c>
      <c r="U558" s="106"/>
      <c r="V558" s="106"/>
      <c r="W558" s="106"/>
      <c r="X558" s="106"/>
      <c r="Y558" s="106"/>
      <c r="Z558" s="103" t="str">
        <f aca="false">IF(OR($B558="", $U558="", $V558="", $W558="", $X558="", $Y558=""),"",ROUND(($U558*Lists!$AD$11)+($V558*Lists!$AD$12)+($W558*Lists!$AD$13)+($X558*Lists!$AD$14)+($Y558*Lists!$AD$15),2))</f>
        <v/>
      </c>
      <c r="AA558" s="103" t="str">
        <f aca="false">IF(OR($B558="", $N558="", $O558="", $T558="", $Z558=""),"",ROUND(($N558*Lists!$AD$16)-($O558*Lists!$AD$17)-($T558*Lists!$AD$18)+($Z558*Lists!$AD$19),2))</f>
        <v/>
      </c>
      <c r="AB558" s="102" t="str">
        <f aca="false">IF(OR($B558="", $N558="", $Z558=""),"",IF($N558&gt;=Lists!$AG$2,IF($Z558&gt;=Lists!$AG$3,"Invest","Migrate"),IF($Z558&gt;=Lists!$AG$3,"Tolerate","Eliminate")))</f>
        <v/>
      </c>
      <c r="AC558" s="102" t="str">
        <f aca="false">IF($B558="","",IF($J558&gt;=4,"Yes",""))</f>
        <v/>
      </c>
      <c r="AD558" s="102" t="str">
        <f aca="false">IF($A558="","",IFERROR(IF(VLOOKUP($A558,'Risk Register'!$B$2:$H$1000,4,FALSE())&gt;=4,"Yes",""),""))</f>
        <v/>
      </c>
      <c r="AE558" s="102" t="str">
        <f aca="false">IF(OR($N558="", $O558=""),"",IF($N558&gt;=Lists!$AG$2,IF($O558&gt;=Lists!$AG$4,"High Value / High Risk","High Value / Low Risk"),IF($O558&gt;=Lists!$AG$4,"Low Value / High Risk","Low Value / Low Risk")))</f>
        <v/>
      </c>
      <c r="AF558" s="101"/>
      <c r="AG558" s="126"/>
      <c r="AH558" s="106" t="str">
        <f aca="false">IF($B558="","",COUNTIFS('Debt Backlog'!$AF$2:$AF$1000,$A558,'Debt Backlog'!$B$2:$B$1000,"&lt;&gt;",'Debt Backlog'!$N$2:$N$1000,"&lt;&gt;Done",'Debt Backlog'!$N$2:$N$1000,"&lt;&gt;Won't Fix",'Debt Backlog'!$N$2:$N$1000,"&lt;&gt;Duplicate"))</f>
        <v/>
      </c>
      <c r="AI558" s="103" t="str">
        <f aca="false">IF($B558="","",ROUND(SUMIFS('Debt Backlog'!$L$2:$L$1000,'Debt Backlog'!$AF$2:$AF$1000,$A558,'Debt Backlog'!$B$2:$B$1000,"&lt;&gt;",'Debt Backlog'!$N$2:$N$1000,"&lt;&gt;Done",'Debt Backlog'!$N$2:$N$1000,"&lt;&gt;Won't Fix",'Debt Backlog'!$N$2:$N$1000,"&lt;&gt;Duplicate"),2))</f>
        <v/>
      </c>
    </row>
    <row r="559" customFormat="false" ht="15.75" hidden="false" customHeight="true" outlineLevel="0" collapsed="false">
      <c r="A559" s="125"/>
      <c r="B559" s="101"/>
      <c r="C559" s="101"/>
      <c r="D559" s="101"/>
      <c r="E559" s="101"/>
      <c r="F559" s="101"/>
      <c r="G559" s="101"/>
      <c r="H559" s="101"/>
      <c r="I559" s="106"/>
      <c r="J559" s="106"/>
      <c r="K559" s="106"/>
      <c r="L559" s="106"/>
      <c r="M559" s="106"/>
      <c r="N559" s="103" t="str">
        <f aca="false">IF(OR($B559="", $I559="", $J559="", $K559="", $L559="", $M559=""),"",ROUND(($I559*Lists!$AD$2)+($J559*Lists!$AD$3)+($K559*Lists!$AD$4)+($L559*Lists!$AD$5)+($M559*Lists!$AD$6),2))</f>
        <v/>
      </c>
      <c r="O559" s="103" t="str">
        <f aca="false">IF($A559="","",IFERROR(VLOOKUP($A559,'Risk Register'!$B$2:$I$1000,8,FALSE()),""))</f>
        <v/>
      </c>
      <c r="P559" s="106"/>
      <c r="Q559" s="106"/>
      <c r="R559" s="106"/>
      <c r="S559" s="106"/>
      <c r="T559" s="103" t="str">
        <f aca="false">IF(OR($B559="", $P559="", $Q559="", $R559="", $S559=""),"",ROUND(($P559*Lists!$AD$7)+($Q559*Lists!$AD$8)+($R559*Lists!$AD$9)+($S559*Lists!$AD$10),2))</f>
        <v/>
      </c>
      <c r="U559" s="106"/>
      <c r="V559" s="106"/>
      <c r="W559" s="106"/>
      <c r="X559" s="106"/>
      <c r="Y559" s="106"/>
      <c r="Z559" s="103" t="str">
        <f aca="false">IF(OR($B559="", $U559="", $V559="", $W559="", $X559="", $Y559=""),"",ROUND(($U559*Lists!$AD$11)+($V559*Lists!$AD$12)+($W559*Lists!$AD$13)+($X559*Lists!$AD$14)+($Y559*Lists!$AD$15),2))</f>
        <v/>
      </c>
      <c r="AA559" s="103" t="str">
        <f aca="false">IF(OR($B559="", $N559="", $O559="", $T559="", $Z559=""),"",ROUND(($N559*Lists!$AD$16)-($O559*Lists!$AD$17)-($T559*Lists!$AD$18)+($Z559*Lists!$AD$19),2))</f>
        <v/>
      </c>
      <c r="AB559" s="102" t="str">
        <f aca="false">IF(OR($B559="", $N559="", $Z559=""),"",IF($N559&gt;=Lists!$AG$2,IF($Z559&gt;=Lists!$AG$3,"Invest","Migrate"),IF($Z559&gt;=Lists!$AG$3,"Tolerate","Eliminate")))</f>
        <v/>
      </c>
      <c r="AC559" s="102" t="str">
        <f aca="false">IF($B559="","",IF($J559&gt;=4,"Yes",""))</f>
        <v/>
      </c>
      <c r="AD559" s="102" t="str">
        <f aca="false">IF($A559="","",IFERROR(IF(VLOOKUP($A559,'Risk Register'!$B$2:$H$1000,4,FALSE())&gt;=4,"Yes",""),""))</f>
        <v/>
      </c>
      <c r="AE559" s="102" t="str">
        <f aca="false">IF(OR($N559="", $O559=""),"",IF($N559&gt;=Lists!$AG$2,IF($O559&gt;=Lists!$AG$4,"High Value / High Risk","High Value / Low Risk"),IF($O559&gt;=Lists!$AG$4,"Low Value / High Risk","Low Value / Low Risk")))</f>
        <v/>
      </c>
      <c r="AF559" s="101"/>
      <c r="AG559" s="126"/>
      <c r="AH559" s="106" t="str">
        <f aca="false">IF($B559="","",COUNTIFS('Debt Backlog'!$AF$2:$AF$1000,$A559,'Debt Backlog'!$B$2:$B$1000,"&lt;&gt;",'Debt Backlog'!$N$2:$N$1000,"&lt;&gt;Done",'Debt Backlog'!$N$2:$N$1000,"&lt;&gt;Won't Fix",'Debt Backlog'!$N$2:$N$1000,"&lt;&gt;Duplicate"))</f>
        <v/>
      </c>
      <c r="AI559" s="103" t="str">
        <f aca="false">IF($B559="","",ROUND(SUMIFS('Debt Backlog'!$L$2:$L$1000,'Debt Backlog'!$AF$2:$AF$1000,$A559,'Debt Backlog'!$B$2:$B$1000,"&lt;&gt;",'Debt Backlog'!$N$2:$N$1000,"&lt;&gt;Done",'Debt Backlog'!$N$2:$N$1000,"&lt;&gt;Won't Fix",'Debt Backlog'!$N$2:$N$1000,"&lt;&gt;Duplicate"),2))</f>
        <v/>
      </c>
    </row>
    <row r="560" customFormat="false" ht="15.75" hidden="false" customHeight="true" outlineLevel="0" collapsed="false">
      <c r="A560" s="125"/>
      <c r="B560" s="101"/>
      <c r="C560" s="101"/>
      <c r="D560" s="101"/>
      <c r="E560" s="101"/>
      <c r="F560" s="101"/>
      <c r="G560" s="101"/>
      <c r="H560" s="101"/>
      <c r="I560" s="106"/>
      <c r="J560" s="106"/>
      <c r="K560" s="106"/>
      <c r="L560" s="106"/>
      <c r="M560" s="106"/>
      <c r="N560" s="103" t="str">
        <f aca="false">IF(OR($B560="", $I560="", $J560="", $K560="", $L560="", $M560=""),"",ROUND(($I560*Lists!$AD$2)+($J560*Lists!$AD$3)+($K560*Lists!$AD$4)+($L560*Lists!$AD$5)+($M560*Lists!$AD$6),2))</f>
        <v/>
      </c>
      <c r="O560" s="103" t="str">
        <f aca="false">IF($A560="","",IFERROR(VLOOKUP($A560,'Risk Register'!$B$2:$I$1000,8,FALSE()),""))</f>
        <v/>
      </c>
      <c r="P560" s="106"/>
      <c r="Q560" s="106"/>
      <c r="R560" s="106"/>
      <c r="S560" s="106"/>
      <c r="T560" s="103" t="str">
        <f aca="false">IF(OR($B560="", $P560="", $Q560="", $R560="", $S560=""),"",ROUND(($P560*Lists!$AD$7)+($Q560*Lists!$AD$8)+($R560*Lists!$AD$9)+($S560*Lists!$AD$10),2))</f>
        <v/>
      </c>
      <c r="U560" s="106"/>
      <c r="V560" s="106"/>
      <c r="W560" s="106"/>
      <c r="X560" s="106"/>
      <c r="Y560" s="106"/>
      <c r="Z560" s="103" t="str">
        <f aca="false">IF(OR($B560="", $U560="", $V560="", $W560="", $X560="", $Y560=""),"",ROUND(($U560*Lists!$AD$11)+($V560*Lists!$AD$12)+($W560*Lists!$AD$13)+($X560*Lists!$AD$14)+($Y560*Lists!$AD$15),2))</f>
        <v/>
      </c>
      <c r="AA560" s="103" t="str">
        <f aca="false">IF(OR($B560="", $N560="", $O560="", $T560="", $Z560=""),"",ROUND(($N560*Lists!$AD$16)-($O560*Lists!$AD$17)-($T560*Lists!$AD$18)+($Z560*Lists!$AD$19),2))</f>
        <v/>
      </c>
      <c r="AB560" s="102" t="str">
        <f aca="false">IF(OR($B560="", $N560="", $Z560=""),"",IF($N560&gt;=Lists!$AG$2,IF($Z560&gt;=Lists!$AG$3,"Invest","Migrate"),IF($Z560&gt;=Lists!$AG$3,"Tolerate","Eliminate")))</f>
        <v/>
      </c>
      <c r="AC560" s="102" t="str">
        <f aca="false">IF($B560="","",IF($J560&gt;=4,"Yes",""))</f>
        <v/>
      </c>
      <c r="AD560" s="102" t="str">
        <f aca="false">IF($A560="","",IFERROR(IF(VLOOKUP($A560,'Risk Register'!$B$2:$H$1000,4,FALSE())&gt;=4,"Yes",""),""))</f>
        <v/>
      </c>
      <c r="AE560" s="102" t="str">
        <f aca="false">IF(OR($N560="", $O560=""),"",IF($N560&gt;=Lists!$AG$2,IF($O560&gt;=Lists!$AG$4,"High Value / High Risk","High Value / Low Risk"),IF($O560&gt;=Lists!$AG$4,"Low Value / High Risk","Low Value / Low Risk")))</f>
        <v/>
      </c>
      <c r="AF560" s="101"/>
      <c r="AG560" s="126"/>
      <c r="AH560" s="106" t="str">
        <f aca="false">IF($B560="","",COUNTIFS('Debt Backlog'!$AF$2:$AF$1000,$A560,'Debt Backlog'!$B$2:$B$1000,"&lt;&gt;",'Debt Backlog'!$N$2:$N$1000,"&lt;&gt;Done",'Debt Backlog'!$N$2:$N$1000,"&lt;&gt;Won't Fix",'Debt Backlog'!$N$2:$N$1000,"&lt;&gt;Duplicate"))</f>
        <v/>
      </c>
      <c r="AI560" s="103" t="str">
        <f aca="false">IF($B560="","",ROUND(SUMIFS('Debt Backlog'!$L$2:$L$1000,'Debt Backlog'!$AF$2:$AF$1000,$A560,'Debt Backlog'!$B$2:$B$1000,"&lt;&gt;",'Debt Backlog'!$N$2:$N$1000,"&lt;&gt;Done",'Debt Backlog'!$N$2:$N$1000,"&lt;&gt;Won't Fix",'Debt Backlog'!$N$2:$N$1000,"&lt;&gt;Duplicate"),2))</f>
        <v/>
      </c>
    </row>
    <row r="561" customFormat="false" ht="15.75" hidden="false" customHeight="true" outlineLevel="0" collapsed="false">
      <c r="A561" s="125"/>
      <c r="B561" s="101"/>
      <c r="C561" s="101"/>
      <c r="D561" s="101"/>
      <c r="E561" s="101"/>
      <c r="F561" s="101"/>
      <c r="G561" s="101"/>
      <c r="H561" s="101"/>
      <c r="I561" s="106"/>
      <c r="J561" s="106"/>
      <c r="K561" s="106"/>
      <c r="L561" s="106"/>
      <c r="M561" s="106"/>
      <c r="N561" s="103" t="str">
        <f aca="false">IF(OR($B561="", $I561="", $J561="", $K561="", $L561="", $M561=""),"",ROUND(($I561*Lists!$AD$2)+($J561*Lists!$AD$3)+($K561*Lists!$AD$4)+($L561*Lists!$AD$5)+($M561*Lists!$AD$6),2))</f>
        <v/>
      </c>
      <c r="O561" s="103" t="str">
        <f aca="false">IF($A561="","",IFERROR(VLOOKUP($A561,'Risk Register'!$B$2:$I$1000,8,FALSE()),""))</f>
        <v/>
      </c>
      <c r="P561" s="106"/>
      <c r="Q561" s="106"/>
      <c r="R561" s="106"/>
      <c r="S561" s="106"/>
      <c r="T561" s="103" t="str">
        <f aca="false">IF(OR($B561="", $P561="", $Q561="", $R561="", $S561=""),"",ROUND(($P561*Lists!$AD$7)+($Q561*Lists!$AD$8)+($R561*Lists!$AD$9)+($S561*Lists!$AD$10),2))</f>
        <v/>
      </c>
      <c r="U561" s="106"/>
      <c r="V561" s="106"/>
      <c r="W561" s="106"/>
      <c r="X561" s="106"/>
      <c r="Y561" s="106"/>
      <c r="Z561" s="103" t="str">
        <f aca="false">IF(OR($B561="", $U561="", $V561="", $W561="", $X561="", $Y561=""),"",ROUND(($U561*Lists!$AD$11)+($V561*Lists!$AD$12)+($W561*Lists!$AD$13)+($X561*Lists!$AD$14)+($Y561*Lists!$AD$15),2))</f>
        <v/>
      </c>
      <c r="AA561" s="103" t="str">
        <f aca="false">IF(OR($B561="", $N561="", $O561="", $T561="", $Z561=""),"",ROUND(($N561*Lists!$AD$16)-($O561*Lists!$AD$17)-($T561*Lists!$AD$18)+($Z561*Lists!$AD$19),2))</f>
        <v/>
      </c>
      <c r="AB561" s="102" t="str">
        <f aca="false">IF(OR($B561="", $N561="", $Z561=""),"",IF($N561&gt;=Lists!$AG$2,IF($Z561&gt;=Lists!$AG$3,"Invest","Migrate"),IF($Z561&gt;=Lists!$AG$3,"Tolerate","Eliminate")))</f>
        <v/>
      </c>
      <c r="AC561" s="102" t="str">
        <f aca="false">IF($B561="","",IF($J561&gt;=4,"Yes",""))</f>
        <v/>
      </c>
      <c r="AD561" s="102" t="str">
        <f aca="false">IF($A561="","",IFERROR(IF(VLOOKUP($A561,'Risk Register'!$B$2:$H$1000,4,FALSE())&gt;=4,"Yes",""),""))</f>
        <v/>
      </c>
      <c r="AE561" s="102" t="str">
        <f aca="false">IF(OR($N561="", $O561=""),"",IF($N561&gt;=Lists!$AG$2,IF($O561&gt;=Lists!$AG$4,"High Value / High Risk","High Value / Low Risk"),IF($O561&gt;=Lists!$AG$4,"Low Value / High Risk","Low Value / Low Risk")))</f>
        <v/>
      </c>
      <c r="AF561" s="101"/>
      <c r="AG561" s="126"/>
      <c r="AH561" s="106" t="str">
        <f aca="false">IF($B561="","",COUNTIFS('Debt Backlog'!$AF$2:$AF$1000,$A561,'Debt Backlog'!$B$2:$B$1000,"&lt;&gt;",'Debt Backlog'!$N$2:$N$1000,"&lt;&gt;Done",'Debt Backlog'!$N$2:$N$1000,"&lt;&gt;Won't Fix",'Debt Backlog'!$N$2:$N$1000,"&lt;&gt;Duplicate"))</f>
        <v/>
      </c>
      <c r="AI561" s="103" t="str">
        <f aca="false">IF($B561="","",ROUND(SUMIFS('Debt Backlog'!$L$2:$L$1000,'Debt Backlog'!$AF$2:$AF$1000,$A561,'Debt Backlog'!$B$2:$B$1000,"&lt;&gt;",'Debt Backlog'!$N$2:$N$1000,"&lt;&gt;Done",'Debt Backlog'!$N$2:$N$1000,"&lt;&gt;Won't Fix",'Debt Backlog'!$N$2:$N$1000,"&lt;&gt;Duplicate"),2))</f>
        <v/>
      </c>
    </row>
    <row r="562" customFormat="false" ht="15.75" hidden="false" customHeight="true" outlineLevel="0" collapsed="false">
      <c r="A562" s="125"/>
      <c r="B562" s="101"/>
      <c r="C562" s="101"/>
      <c r="D562" s="101"/>
      <c r="E562" s="101"/>
      <c r="F562" s="101"/>
      <c r="G562" s="101"/>
      <c r="H562" s="101"/>
      <c r="I562" s="106"/>
      <c r="J562" s="106"/>
      <c r="K562" s="106"/>
      <c r="L562" s="106"/>
      <c r="M562" s="106"/>
      <c r="N562" s="103" t="str">
        <f aca="false">IF(OR($B562="", $I562="", $J562="", $K562="", $L562="", $M562=""),"",ROUND(($I562*Lists!$AD$2)+($J562*Lists!$AD$3)+($K562*Lists!$AD$4)+($L562*Lists!$AD$5)+($M562*Lists!$AD$6),2))</f>
        <v/>
      </c>
      <c r="O562" s="103" t="str">
        <f aca="false">IF($A562="","",IFERROR(VLOOKUP($A562,'Risk Register'!$B$2:$I$1000,8,FALSE()),""))</f>
        <v/>
      </c>
      <c r="P562" s="106"/>
      <c r="Q562" s="106"/>
      <c r="R562" s="106"/>
      <c r="S562" s="106"/>
      <c r="T562" s="103" t="str">
        <f aca="false">IF(OR($B562="", $P562="", $Q562="", $R562="", $S562=""),"",ROUND(($P562*Lists!$AD$7)+($Q562*Lists!$AD$8)+($R562*Lists!$AD$9)+($S562*Lists!$AD$10),2))</f>
        <v/>
      </c>
      <c r="U562" s="106"/>
      <c r="V562" s="106"/>
      <c r="W562" s="106"/>
      <c r="X562" s="106"/>
      <c r="Y562" s="106"/>
      <c r="Z562" s="103" t="str">
        <f aca="false">IF(OR($B562="", $U562="", $V562="", $W562="", $X562="", $Y562=""),"",ROUND(($U562*Lists!$AD$11)+($V562*Lists!$AD$12)+($W562*Lists!$AD$13)+($X562*Lists!$AD$14)+($Y562*Lists!$AD$15),2))</f>
        <v/>
      </c>
      <c r="AA562" s="103" t="str">
        <f aca="false">IF(OR($B562="", $N562="", $O562="", $T562="", $Z562=""),"",ROUND(($N562*Lists!$AD$16)-($O562*Lists!$AD$17)-($T562*Lists!$AD$18)+($Z562*Lists!$AD$19),2))</f>
        <v/>
      </c>
      <c r="AB562" s="102" t="str">
        <f aca="false">IF(OR($B562="", $N562="", $Z562=""),"",IF($N562&gt;=Lists!$AG$2,IF($Z562&gt;=Lists!$AG$3,"Invest","Migrate"),IF($Z562&gt;=Lists!$AG$3,"Tolerate","Eliminate")))</f>
        <v/>
      </c>
      <c r="AC562" s="102" t="str">
        <f aca="false">IF($B562="","",IF($J562&gt;=4,"Yes",""))</f>
        <v/>
      </c>
      <c r="AD562" s="102" t="str">
        <f aca="false">IF($A562="","",IFERROR(IF(VLOOKUP($A562,'Risk Register'!$B$2:$H$1000,4,FALSE())&gt;=4,"Yes",""),""))</f>
        <v/>
      </c>
      <c r="AE562" s="102" t="str">
        <f aca="false">IF(OR($N562="", $O562=""),"",IF($N562&gt;=Lists!$AG$2,IF($O562&gt;=Lists!$AG$4,"High Value / High Risk","High Value / Low Risk"),IF($O562&gt;=Lists!$AG$4,"Low Value / High Risk","Low Value / Low Risk")))</f>
        <v/>
      </c>
      <c r="AF562" s="101"/>
      <c r="AG562" s="126"/>
      <c r="AH562" s="106" t="str">
        <f aca="false">IF($B562="","",COUNTIFS('Debt Backlog'!$AF$2:$AF$1000,$A562,'Debt Backlog'!$B$2:$B$1000,"&lt;&gt;",'Debt Backlog'!$N$2:$N$1000,"&lt;&gt;Done",'Debt Backlog'!$N$2:$N$1000,"&lt;&gt;Won't Fix",'Debt Backlog'!$N$2:$N$1000,"&lt;&gt;Duplicate"))</f>
        <v/>
      </c>
      <c r="AI562" s="103" t="str">
        <f aca="false">IF($B562="","",ROUND(SUMIFS('Debt Backlog'!$L$2:$L$1000,'Debt Backlog'!$AF$2:$AF$1000,$A562,'Debt Backlog'!$B$2:$B$1000,"&lt;&gt;",'Debt Backlog'!$N$2:$N$1000,"&lt;&gt;Done",'Debt Backlog'!$N$2:$N$1000,"&lt;&gt;Won't Fix",'Debt Backlog'!$N$2:$N$1000,"&lt;&gt;Duplicate"),2))</f>
        <v/>
      </c>
    </row>
    <row r="563" customFormat="false" ht="15.75" hidden="false" customHeight="true" outlineLevel="0" collapsed="false">
      <c r="A563" s="125"/>
      <c r="B563" s="101"/>
      <c r="C563" s="101"/>
      <c r="D563" s="101"/>
      <c r="E563" s="101"/>
      <c r="F563" s="101"/>
      <c r="G563" s="101"/>
      <c r="H563" s="101"/>
      <c r="I563" s="106"/>
      <c r="J563" s="106"/>
      <c r="K563" s="106"/>
      <c r="L563" s="106"/>
      <c r="M563" s="106"/>
      <c r="N563" s="103" t="str">
        <f aca="false">IF(OR($B563="", $I563="", $J563="", $K563="", $L563="", $M563=""),"",ROUND(($I563*Lists!$AD$2)+($J563*Lists!$AD$3)+($K563*Lists!$AD$4)+($L563*Lists!$AD$5)+($M563*Lists!$AD$6),2))</f>
        <v/>
      </c>
      <c r="O563" s="103" t="str">
        <f aca="false">IF($A563="","",IFERROR(VLOOKUP($A563,'Risk Register'!$B$2:$I$1000,8,FALSE()),""))</f>
        <v/>
      </c>
      <c r="P563" s="106"/>
      <c r="Q563" s="106"/>
      <c r="R563" s="106"/>
      <c r="S563" s="106"/>
      <c r="T563" s="103" t="str">
        <f aca="false">IF(OR($B563="", $P563="", $Q563="", $R563="", $S563=""),"",ROUND(($P563*Lists!$AD$7)+($Q563*Lists!$AD$8)+($R563*Lists!$AD$9)+($S563*Lists!$AD$10),2))</f>
        <v/>
      </c>
      <c r="U563" s="106"/>
      <c r="V563" s="106"/>
      <c r="W563" s="106"/>
      <c r="X563" s="106"/>
      <c r="Y563" s="106"/>
      <c r="Z563" s="103" t="str">
        <f aca="false">IF(OR($B563="", $U563="", $V563="", $W563="", $X563="", $Y563=""),"",ROUND(($U563*Lists!$AD$11)+($V563*Lists!$AD$12)+($W563*Lists!$AD$13)+($X563*Lists!$AD$14)+($Y563*Lists!$AD$15),2))</f>
        <v/>
      </c>
      <c r="AA563" s="103" t="str">
        <f aca="false">IF(OR($B563="", $N563="", $O563="", $T563="", $Z563=""),"",ROUND(($N563*Lists!$AD$16)-($O563*Lists!$AD$17)-($T563*Lists!$AD$18)+($Z563*Lists!$AD$19),2))</f>
        <v/>
      </c>
      <c r="AB563" s="102" t="str">
        <f aca="false">IF(OR($B563="", $N563="", $Z563=""),"",IF($N563&gt;=Lists!$AG$2,IF($Z563&gt;=Lists!$AG$3,"Invest","Migrate"),IF($Z563&gt;=Lists!$AG$3,"Tolerate","Eliminate")))</f>
        <v/>
      </c>
      <c r="AC563" s="102" t="str">
        <f aca="false">IF($B563="","",IF($J563&gt;=4,"Yes",""))</f>
        <v/>
      </c>
      <c r="AD563" s="102" t="str">
        <f aca="false">IF($A563="","",IFERROR(IF(VLOOKUP($A563,'Risk Register'!$B$2:$H$1000,4,FALSE())&gt;=4,"Yes",""),""))</f>
        <v/>
      </c>
      <c r="AE563" s="102" t="str">
        <f aca="false">IF(OR($N563="", $O563=""),"",IF($N563&gt;=Lists!$AG$2,IF($O563&gt;=Lists!$AG$4,"High Value / High Risk","High Value / Low Risk"),IF($O563&gt;=Lists!$AG$4,"Low Value / High Risk","Low Value / Low Risk")))</f>
        <v/>
      </c>
      <c r="AF563" s="101"/>
      <c r="AG563" s="126"/>
      <c r="AH563" s="106" t="str">
        <f aca="false">IF($B563="","",COUNTIFS('Debt Backlog'!$AF$2:$AF$1000,$A563,'Debt Backlog'!$B$2:$B$1000,"&lt;&gt;",'Debt Backlog'!$N$2:$N$1000,"&lt;&gt;Done",'Debt Backlog'!$N$2:$N$1000,"&lt;&gt;Won't Fix",'Debt Backlog'!$N$2:$N$1000,"&lt;&gt;Duplicate"))</f>
        <v/>
      </c>
      <c r="AI563" s="103" t="str">
        <f aca="false">IF($B563="","",ROUND(SUMIFS('Debt Backlog'!$L$2:$L$1000,'Debt Backlog'!$AF$2:$AF$1000,$A563,'Debt Backlog'!$B$2:$B$1000,"&lt;&gt;",'Debt Backlog'!$N$2:$N$1000,"&lt;&gt;Done",'Debt Backlog'!$N$2:$N$1000,"&lt;&gt;Won't Fix",'Debt Backlog'!$N$2:$N$1000,"&lt;&gt;Duplicate"),2))</f>
        <v/>
      </c>
    </row>
    <row r="564" customFormat="false" ht="15.75" hidden="false" customHeight="true" outlineLevel="0" collapsed="false">
      <c r="A564" s="125"/>
      <c r="B564" s="101"/>
      <c r="C564" s="101"/>
      <c r="D564" s="101"/>
      <c r="E564" s="101"/>
      <c r="F564" s="101"/>
      <c r="G564" s="101"/>
      <c r="H564" s="101"/>
      <c r="I564" s="106"/>
      <c r="J564" s="106"/>
      <c r="K564" s="106"/>
      <c r="L564" s="106"/>
      <c r="M564" s="106"/>
      <c r="N564" s="103" t="str">
        <f aca="false">IF(OR($B564="", $I564="", $J564="", $K564="", $L564="", $M564=""),"",ROUND(($I564*Lists!$AD$2)+($J564*Lists!$AD$3)+($K564*Lists!$AD$4)+($L564*Lists!$AD$5)+($M564*Lists!$AD$6),2))</f>
        <v/>
      </c>
      <c r="O564" s="103" t="str">
        <f aca="false">IF($A564="","",IFERROR(VLOOKUP($A564,'Risk Register'!$B$2:$I$1000,8,FALSE()),""))</f>
        <v/>
      </c>
      <c r="P564" s="106"/>
      <c r="Q564" s="106"/>
      <c r="R564" s="106"/>
      <c r="S564" s="106"/>
      <c r="T564" s="103" t="str">
        <f aca="false">IF(OR($B564="", $P564="", $Q564="", $R564="", $S564=""),"",ROUND(($P564*Lists!$AD$7)+($Q564*Lists!$AD$8)+($R564*Lists!$AD$9)+($S564*Lists!$AD$10),2))</f>
        <v/>
      </c>
      <c r="U564" s="106"/>
      <c r="V564" s="106"/>
      <c r="W564" s="106"/>
      <c r="X564" s="106"/>
      <c r="Y564" s="106"/>
      <c r="Z564" s="103" t="str">
        <f aca="false">IF(OR($B564="", $U564="", $V564="", $W564="", $X564="", $Y564=""),"",ROUND(($U564*Lists!$AD$11)+($V564*Lists!$AD$12)+($W564*Lists!$AD$13)+($X564*Lists!$AD$14)+($Y564*Lists!$AD$15),2))</f>
        <v/>
      </c>
      <c r="AA564" s="103" t="str">
        <f aca="false">IF(OR($B564="", $N564="", $O564="", $T564="", $Z564=""),"",ROUND(($N564*Lists!$AD$16)-($O564*Lists!$AD$17)-($T564*Lists!$AD$18)+($Z564*Lists!$AD$19),2))</f>
        <v/>
      </c>
      <c r="AB564" s="102" t="str">
        <f aca="false">IF(OR($B564="", $N564="", $Z564=""),"",IF($N564&gt;=Lists!$AG$2,IF($Z564&gt;=Lists!$AG$3,"Invest","Migrate"),IF($Z564&gt;=Lists!$AG$3,"Tolerate","Eliminate")))</f>
        <v/>
      </c>
      <c r="AC564" s="102" t="str">
        <f aca="false">IF($B564="","",IF($J564&gt;=4,"Yes",""))</f>
        <v/>
      </c>
      <c r="AD564" s="102" t="str">
        <f aca="false">IF($A564="","",IFERROR(IF(VLOOKUP($A564,'Risk Register'!$B$2:$H$1000,4,FALSE())&gt;=4,"Yes",""),""))</f>
        <v/>
      </c>
      <c r="AE564" s="102" t="str">
        <f aca="false">IF(OR($N564="", $O564=""),"",IF($N564&gt;=Lists!$AG$2,IF($O564&gt;=Lists!$AG$4,"High Value / High Risk","High Value / Low Risk"),IF($O564&gt;=Lists!$AG$4,"Low Value / High Risk","Low Value / Low Risk")))</f>
        <v/>
      </c>
      <c r="AF564" s="101"/>
      <c r="AG564" s="126"/>
      <c r="AH564" s="106" t="str">
        <f aca="false">IF($B564="","",COUNTIFS('Debt Backlog'!$AF$2:$AF$1000,$A564,'Debt Backlog'!$B$2:$B$1000,"&lt;&gt;",'Debt Backlog'!$N$2:$N$1000,"&lt;&gt;Done",'Debt Backlog'!$N$2:$N$1000,"&lt;&gt;Won't Fix",'Debt Backlog'!$N$2:$N$1000,"&lt;&gt;Duplicate"))</f>
        <v/>
      </c>
      <c r="AI564" s="103" t="str">
        <f aca="false">IF($B564="","",ROUND(SUMIFS('Debt Backlog'!$L$2:$L$1000,'Debt Backlog'!$AF$2:$AF$1000,$A564,'Debt Backlog'!$B$2:$B$1000,"&lt;&gt;",'Debt Backlog'!$N$2:$N$1000,"&lt;&gt;Done",'Debt Backlog'!$N$2:$N$1000,"&lt;&gt;Won't Fix",'Debt Backlog'!$N$2:$N$1000,"&lt;&gt;Duplicate"),2))</f>
        <v/>
      </c>
    </row>
    <row r="565" customFormat="false" ht="15.75" hidden="false" customHeight="true" outlineLevel="0" collapsed="false">
      <c r="A565" s="125"/>
      <c r="B565" s="101"/>
      <c r="C565" s="101"/>
      <c r="D565" s="101"/>
      <c r="E565" s="101"/>
      <c r="F565" s="101"/>
      <c r="G565" s="101"/>
      <c r="H565" s="101"/>
      <c r="I565" s="106"/>
      <c r="J565" s="106"/>
      <c r="K565" s="106"/>
      <c r="L565" s="106"/>
      <c r="M565" s="106"/>
      <c r="N565" s="103" t="str">
        <f aca="false">IF(OR($B565="", $I565="", $J565="", $K565="", $L565="", $M565=""),"",ROUND(($I565*Lists!$AD$2)+($J565*Lists!$AD$3)+($K565*Lists!$AD$4)+($L565*Lists!$AD$5)+($M565*Lists!$AD$6),2))</f>
        <v/>
      </c>
      <c r="O565" s="103" t="str">
        <f aca="false">IF($A565="","",IFERROR(VLOOKUP($A565,'Risk Register'!$B$2:$I$1000,8,FALSE()),""))</f>
        <v/>
      </c>
      <c r="P565" s="106"/>
      <c r="Q565" s="106"/>
      <c r="R565" s="106"/>
      <c r="S565" s="106"/>
      <c r="T565" s="103" t="str">
        <f aca="false">IF(OR($B565="", $P565="", $Q565="", $R565="", $S565=""),"",ROUND(($P565*Lists!$AD$7)+($Q565*Lists!$AD$8)+($R565*Lists!$AD$9)+($S565*Lists!$AD$10),2))</f>
        <v/>
      </c>
      <c r="U565" s="106"/>
      <c r="V565" s="106"/>
      <c r="W565" s="106"/>
      <c r="X565" s="106"/>
      <c r="Y565" s="106"/>
      <c r="Z565" s="103" t="str">
        <f aca="false">IF(OR($B565="", $U565="", $V565="", $W565="", $X565="", $Y565=""),"",ROUND(($U565*Lists!$AD$11)+($V565*Lists!$AD$12)+($W565*Lists!$AD$13)+($X565*Lists!$AD$14)+($Y565*Lists!$AD$15),2))</f>
        <v/>
      </c>
      <c r="AA565" s="103" t="str">
        <f aca="false">IF(OR($B565="", $N565="", $O565="", $T565="", $Z565=""),"",ROUND(($N565*Lists!$AD$16)-($O565*Lists!$AD$17)-($T565*Lists!$AD$18)+($Z565*Lists!$AD$19),2))</f>
        <v/>
      </c>
      <c r="AB565" s="102" t="str">
        <f aca="false">IF(OR($B565="", $N565="", $Z565=""),"",IF($N565&gt;=Lists!$AG$2,IF($Z565&gt;=Lists!$AG$3,"Invest","Migrate"),IF($Z565&gt;=Lists!$AG$3,"Tolerate","Eliminate")))</f>
        <v/>
      </c>
      <c r="AC565" s="102" t="str">
        <f aca="false">IF($B565="","",IF($J565&gt;=4,"Yes",""))</f>
        <v/>
      </c>
      <c r="AD565" s="102" t="str">
        <f aca="false">IF($A565="","",IFERROR(IF(VLOOKUP($A565,'Risk Register'!$B$2:$H$1000,4,FALSE())&gt;=4,"Yes",""),""))</f>
        <v/>
      </c>
      <c r="AE565" s="102" t="str">
        <f aca="false">IF(OR($N565="", $O565=""),"",IF($N565&gt;=Lists!$AG$2,IF($O565&gt;=Lists!$AG$4,"High Value / High Risk","High Value / Low Risk"),IF($O565&gt;=Lists!$AG$4,"Low Value / High Risk","Low Value / Low Risk")))</f>
        <v/>
      </c>
      <c r="AF565" s="101"/>
      <c r="AG565" s="126"/>
      <c r="AH565" s="106" t="str">
        <f aca="false">IF($B565="","",COUNTIFS('Debt Backlog'!$AF$2:$AF$1000,$A565,'Debt Backlog'!$B$2:$B$1000,"&lt;&gt;",'Debt Backlog'!$N$2:$N$1000,"&lt;&gt;Done",'Debt Backlog'!$N$2:$N$1000,"&lt;&gt;Won't Fix",'Debt Backlog'!$N$2:$N$1000,"&lt;&gt;Duplicate"))</f>
        <v/>
      </c>
      <c r="AI565" s="103" t="str">
        <f aca="false">IF($B565="","",ROUND(SUMIFS('Debt Backlog'!$L$2:$L$1000,'Debt Backlog'!$AF$2:$AF$1000,$A565,'Debt Backlog'!$B$2:$B$1000,"&lt;&gt;",'Debt Backlog'!$N$2:$N$1000,"&lt;&gt;Done",'Debt Backlog'!$N$2:$N$1000,"&lt;&gt;Won't Fix",'Debt Backlog'!$N$2:$N$1000,"&lt;&gt;Duplicate"),2))</f>
        <v/>
      </c>
    </row>
    <row r="566" customFormat="false" ht="15.75" hidden="false" customHeight="true" outlineLevel="0" collapsed="false">
      <c r="A566" s="125"/>
      <c r="B566" s="101"/>
      <c r="C566" s="101"/>
      <c r="D566" s="101"/>
      <c r="E566" s="101"/>
      <c r="F566" s="101"/>
      <c r="G566" s="101"/>
      <c r="H566" s="101"/>
      <c r="I566" s="106"/>
      <c r="J566" s="106"/>
      <c r="K566" s="106"/>
      <c r="L566" s="106"/>
      <c r="M566" s="106"/>
      <c r="N566" s="103" t="str">
        <f aca="false">IF(OR($B566="", $I566="", $J566="", $K566="", $L566="", $M566=""),"",ROUND(($I566*Lists!$AD$2)+($J566*Lists!$AD$3)+($K566*Lists!$AD$4)+($L566*Lists!$AD$5)+($M566*Lists!$AD$6),2))</f>
        <v/>
      </c>
      <c r="O566" s="103" t="str">
        <f aca="false">IF($A566="","",IFERROR(VLOOKUP($A566,'Risk Register'!$B$2:$I$1000,8,FALSE()),""))</f>
        <v/>
      </c>
      <c r="P566" s="106"/>
      <c r="Q566" s="106"/>
      <c r="R566" s="106"/>
      <c r="S566" s="106"/>
      <c r="T566" s="103" t="str">
        <f aca="false">IF(OR($B566="", $P566="", $Q566="", $R566="", $S566=""),"",ROUND(($P566*Lists!$AD$7)+($Q566*Lists!$AD$8)+($R566*Lists!$AD$9)+($S566*Lists!$AD$10),2))</f>
        <v/>
      </c>
      <c r="U566" s="106"/>
      <c r="V566" s="106"/>
      <c r="W566" s="106"/>
      <c r="X566" s="106"/>
      <c r="Y566" s="106"/>
      <c r="Z566" s="103" t="str">
        <f aca="false">IF(OR($B566="", $U566="", $V566="", $W566="", $X566="", $Y566=""),"",ROUND(($U566*Lists!$AD$11)+($V566*Lists!$AD$12)+($W566*Lists!$AD$13)+($X566*Lists!$AD$14)+($Y566*Lists!$AD$15),2))</f>
        <v/>
      </c>
      <c r="AA566" s="103" t="str">
        <f aca="false">IF(OR($B566="", $N566="", $O566="", $T566="", $Z566=""),"",ROUND(($N566*Lists!$AD$16)-($O566*Lists!$AD$17)-($T566*Lists!$AD$18)+($Z566*Lists!$AD$19),2))</f>
        <v/>
      </c>
      <c r="AB566" s="102" t="str">
        <f aca="false">IF(OR($B566="", $N566="", $Z566=""),"",IF($N566&gt;=Lists!$AG$2,IF($Z566&gt;=Lists!$AG$3,"Invest","Migrate"),IF($Z566&gt;=Lists!$AG$3,"Tolerate","Eliminate")))</f>
        <v/>
      </c>
      <c r="AC566" s="102" t="str">
        <f aca="false">IF($B566="","",IF($J566&gt;=4,"Yes",""))</f>
        <v/>
      </c>
      <c r="AD566" s="102" t="str">
        <f aca="false">IF($A566="","",IFERROR(IF(VLOOKUP($A566,'Risk Register'!$B$2:$H$1000,4,FALSE())&gt;=4,"Yes",""),""))</f>
        <v/>
      </c>
      <c r="AE566" s="102" t="str">
        <f aca="false">IF(OR($N566="", $O566=""),"",IF($N566&gt;=Lists!$AG$2,IF($O566&gt;=Lists!$AG$4,"High Value / High Risk","High Value / Low Risk"),IF($O566&gt;=Lists!$AG$4,"Low Value / High Risk","Low Value / Low Risk")))</f>
        <v/>
      </c>
      <c r="AF566" s="101"/>
      <c r="AG566" s="126"/>
      <c r="AH566" s="106" t="str">
        <f aca="false">IF($B566="","",COUNTIFS('Debt Backlog'!$AF$2:$AF$1000,$A566,'Debt Backlog'!$B$2:$B$1000,"&lt;&gt;",'Debt Backlog'!$N$2:$N$1000,"&lt;&gt;Done",'Debt Backlog'!$N$2:$N$1000,"&lt;&gt;Won't Fix",'Debt Backlog'!$N$2:$N$1000,"&lt;&gt;Duplicate"))</f>
        <v/>
      </c>
      <c r="AI566" s="103" t="str">
        <f aca="false">IF($B566="","",ROUND(SUMIFS('Debt Backlog'!$L$2:$L$1000,'Debt Backlog'!$AF$2:$AF$1000,$A566,'Debt Backlog'!$B$2:$B$1000,"&lt;&gt;",'Debt Backlog'!$N$2:$N$1000,"&lt;&gt;Done",'Debt Backlog'!$N$2:$N$1000,"&lt;&gt;Won't Fix",'Debt Backlog'!$N$2:$N$1000,"&lt;&gt;Duplicate"),2))</f>
        <v/>
      </c>
    </row>
    <row r="567" customFormat="false" ht="15.75" hidden="false" customHeight="true" outlineLevel="0" collapsed="false">
      <c r="A567" s="125"/>
      <c r="B567" s="101"/>
      <c r="C567" s="101"/>
      <c r="D567" s="101"/>
      <c r="E567" s="101"/>
      <c r="F567" s="101"/>
      <c r="G567" s="101"/>
      <c r="H567" s="101"/>
      <c r="I567" s="106"/>
      <c r="J567" s="106"/>
      <c r="K567" s="106"/>
      <c r="L567" s="106"/>
      <c r="M567" s="106"/>
      <c r="N567" s="103" t="str">
        <f aca="false">IF(OR($B567="", $I567="", $J567="", $K567="", $L567="", $M567=""),"",ROUND(($I567*Lists!$AD$2)+($J567*Lists!$AD$3)+($K567*Lists!$AD$4)+($L567*Lists!$AD$5)+($M567*Lists!$AD$6),2))</f>
        <v/>
      </c>
      <c r="O567" s="103" t="str">
        <f aca="false">IF($A567="","",IFERROR(VLOOKUP($A567,'Risk Register'!$B$2:$I$1000,8,FALSE()),""))</f>
        <v/>
      </c>
      <c r="P567" s="106"/>
      <c r="Q567" s="106"/>
      <c r="R567" s="106"/>
      <c r="S567" s="106"/>
      <c r="T567" s="103" t="str">
        <f aca="false">IF(OR($B567="", $P567="", $Q567="", $R567="", $S567=""),"",ROUND(($P567*Lists!$AD$7)+($Q567*Lists!$AD$8)+($R567*Lists!$AD$9)+($S567*Lists!$AD$10),2))</f>
        <v/>
      </c>
      <c r="U567" s="106"/>
      <c r="V567" s="106"/>
      <c r="W567" s="106"/>
      <c r="X567" s="106"/>
      <c r="Y567" s="106"/>
      <c r="Z567" s="103" t="str">
        <f aca="false">IF(OR($B567="", $U567="", $V567="", $W567="", $X567="", $Y567=""),"",ROUND(($U567*Lists!$AD$11)+($V567*Lists!$AD$12)+($W567*Lists!$AD$13)+($X567*Lists!$AD$14)+($Y567*Lists!$AD$15),2))</f>
        <v/>
      </c>
      <c r="AA567" s="103" t="str">
        <f aca="false">IF(OR($B567="", $N567="", $O567="", $T567="", $Z567=""),"",ROUND(($N567*Lists!$AD$16)-($O567*Lists!$AD$17)-($T567*Lists!$AD$18)+($Z567*Lists!$AD$19),2))</f>
        <v/>
      </c>
      <c r="AB567" s="102" t="str">
        <f aca="false">IF(OR($B567="", $N567="", $Z567=""),"",IF($N567&gt;=Lists!$AG$2,IF($Z567&gt;=Lists!$AG$3,"Invest","Migrate"),IF($Z567&gt;=Lists!$AG$3,"Tolerate","Eliminate")))</f>
        <v/>
      </c>
      <c r="AC567" s="102" t="str">
        <f aca="false">IF($B567="","",IF($J567&gt;=4,"Yes",""))</f>
        <v/>
      </c>
      <c r="AD567" s="102" t="str">
        <f aca="false">IF($A567="","",IFERROR(IF(VLOOKUP($A567,'Risk Register'!$B$2:$H$1000,4,FALSE())&gt;=4,"Yes",""),""))</f>
        <v/>
      </c>
      <c r="AE567" s="102" t="str">
        <f aca="false">IF(OR($N567="", $O567=""),"",IF($N567&gt;=Lists!$AG$2,IF($O567&gt;=Lists!$AG$4,"High Value / High Risk","High Value / Low Risk"),IF($O567&gt;=Lists!$AG$4,"Low Value / High Risk","Low Value / Low Risk")))</f>
        <v/>
      </c>
      <c r="AF567" s="101"/>
      <c r="AG567" s="126"/>
      <c r="AH567" s="106" t="str">
        <f aca="false">IF($B567="","",COUNTIFS('Debt Backlog'!$AF$2:$AF$1000,$A567,'Debt Backlog'!$B$2:$B$1000,"&lt;&gt;",'Debt Backlog'!$N$2:$N$1000,"&lt;&gt;Done",'Debt Backlog'!$N$2:$N$1000,"&lt;&gt;Won't Fix",'Debt Backlog'!$N$2:$N$1000,"&lt;&gt;Duplicate"))</f>
        <v/>
      </c>
      <c r="AI567" s="103" t="str">
        <f aca="false">IF($B567="","",ROUND(SUMIFS('Debt Backlog'!$L$2:$L$1000,'Debt Backlog'!$AF$2:$AF$1000,$A567,'Debt Backlog'!$B$2:$B$1000,"&lt;&gt;",'Debt Backlog'!$N$2:$N$1000,"&lt;&gt;Done",'Debt Backlog'!$N$2:$N$1000,"&lt;&gt;Won't Fix",'Debt Backlog'!$N$2:$N$1000,"&lt;&gt;Duplicate"),2))</f>
        <v/>
      </c>
    </row>
    <row r="568" customFormat="false" ht="15.75" hidden="false" customHeight="true" outlineLevel="0" collapsed="false">
      <c r="A568" s="125"/>
      <c r="B568" s="101"/>
      <c r="C568" s="101"/>
      <c r="D568" s="101"/>
      <c r="E568" s="101"/>
      <c r="F568" s="101"/>
      <c r="G568" s="101"/>
      <c r="H568" s="101"/>
      <c r="I568" s="106"/>
      <c r="J568" s="106"/>
      <c r="K568" s="106"/>
      <c r="L568" s="106"/>
      <c r="M568" s="106"/>
      <c r="N568" s="103" t="str">
        <f aca="false">IF(OR($B568="", $I568="", $J568="", $K568="", $L568="", $M568=""),"",ROUND(($I568*Lists!$AD$2)+($J568*Lists!$AD$3)+($K568*Lists!$AD$4)+($L568*Lists!$AD$5)+($M568*Lists!$AD$6),2))</f>
        <v/>
      </c>
      <c r="O568" s="103" t="str">
        <f aca="false">IF($A568="","",IFERROR(VLOOKUP($A568,'Risk Register'!$B$2:$I$1000,8,FALSE()),""))</f>
        <v/>
      </c>
      <c r="P568" s="106"/>
      <c r="Q568" s="106"/>
      <c r="R568" s="106"/>
      <c r="S568" s="106"/>
      <c r="T568" s="103" t="str">
        <f aca="false">IF(OR($B568="", $P568="", $Q568="", $R568="", $S568=""),"",ROUND(($P568*Lists!$AD$7)+($Q568*Lists!$AD$8)+($R568*Lists!$AD$9)+($S568*Lists!$AD$10),2))</f>
        <v/>
      </c>
      <c r="U568" s="106"/>
      <c r="V568" s="106"/>
      <c r="W568" s="106"/>
      <c r="X568" s="106"/>
      <c r="Y568" s="106"/>
      <c r="Z568" s="103" t="str">
        <f aca="false">IF(OR($B568="", $U568="", $V568="", $W568="", $X568="", $Y568=""),"",ROUND(($U568*Lists!$AD$11)+($V568*Lists!$AD$12)+($W568*Lists!$AD$13)+($X568*Lists!$AD$14)+($Y568*Lists!$AD$15),2))</f>
        <v/>
      </c>
      <c r="AA568" s="103" t="str">
        <f aca="false">IF(OR($B568="", $N568="", $O568="", $T568="", $Z568=""),"",ROUND(($N568*Lists!$AD$16)-($O568*Lists!$AD$17)-($T568*Lists!$AD$18)+($Z568*Lists!$AD$19),2))</f>
        <v/>
      </c>
      <c r="AB568" s="102" t="str">
        <f aca="false">IF(OR($B568="", $N568="", $Z568=""),"",IF($N568&gt;=Lists!$AG$2,IF($Z568&gt;=Lists!$AG$3,"Invest","Migrate"),IF($Z568&gt;=Lists!$AG$3,"Tolerate","Eliminate")))</f>
        <v/>
      </c>
      <c r="AC568" s="102" t="str">
        <f aca="false">IF($B568="","",IF($J568&gt;=4,"Yes",""))</f>
        <v/>
      </c>
      <c r="AD568" s="102" t="str">
        <f aca="false">IF($A568="","",IFERROR(IF(VLOOKUP($A568,'Risk Register'!$B$2:$H$1000,4,FALSE())&gt;=4,"Yes",""),""))</f>
        <v/>
      </c>
      <c r="AE568" s="102" t="str">
        <f aca="false">IF(OR($N568="", $O568=""),"",IF($N568&gt;=Lists!$AG$2,IF($O568&gt;=Lists!$AG$4,"High Value / High Risk","High Value / Low Risk"),IF($O568&gt;=Lists!$AG$4,"Low Value / High Risk","Low Value / Low Risk")))</f>
        <v/>
      </c>
      <c r="AF568" s="101"/>
      <c r="AG568" s="126"/>
      <c r="AH568" s="106" t="str">
        <f aca="false">IF($B568="","",COUNTIFS('Debt Backlog'!$AF$2:$AF$1000,$A568,'Debt Backlog'!$B$2:$B$1000,"&lt;&gt;",'Debt Backlog'!$N$2:$N$1000,"&lt;&gt;Done",'Debt Backlog'!$N$2:$N$1000,"&lt;&gt;Won't Fix",'Debt Backlog'!$N$2:$N$1000,"&lt;&gt;Duplicate"))</f>
        <v/>
      </c>
      <c r="AI568" s="103" t="str">
        <f aca="false">IF($B568="","",ROUND(SUMIFS('Debt Backlog'!$L$2:$L$1000,'Debt Backlog'!$AF$2:$AF$1000,$A568,'Debt Backlog'!$B$2:$B$1000,"&lt;&gt;",'Debt Backlog'!$N$2:$N$1000,"&lt;&gt;Done",'Debt Backlog'!$N$2:$N$1000,"&lt;&gt;Won't Fix",'Debt Backlog'!$N$2:$N$1000,"&lt;&gt;Duplicate"),2))</f>
        <v/>
      </c>
    </row>
    <row r="569" customFormat="false" ht="15.75" hidden="false" customHeight="true" outlineLevel="0" collapsed="false">
      <c r="A569" s="125"/>
      <c r="B569" s="101"/>
      <c r="C569" s="101"/>
      <c r="D569" s="101"/>
      <c r="E569" s="101"/>
      <c r="F569" s="101"/>
      <c r="G569" s="101"/>
      <c r="H569" s="101"/>
      <c r="I569" s="106"/>
      <c r="J569" s="106"/>
      <c r="K569" s="106"/>
      <c r="L569" s="106"/>
      <c r="M569" s="106"/>
      <c r="N569" s="103" t="str">
        <f aca="false">IF(OR($B569="", $I569="", $J569="", $K569="", $L569="", $M569=""),"",ROUND(($I569*Lists!$AD$2)+($J569*Lists!$AD$3)+($K569*Lists!$AD$4)+($L569*Lists!$AD$5)+($M569*Lists!$AD$6),2))</f>
        <v/>
      </c>
      <c r="O569" s="103" t="str">
        <f aca="false">IF($A569="","",IFERROR(VLOOKUP($A569,'Risk Register'!$B$2:$I$1000,8,FALSE()),""))</f>
        <v/>
      </c>
      <c r="P569" s="106"/>
      <c r="Q569" s="106"/>
      <c r="R569" s="106"/>
      <c r="S569" s="106"/>
      <c r="T569" s="103" t="str">
        <f aca="false">IF(OR($B569="", $P569="", $Q569="", $R569="", $S569=""),"",ROUND(($P569*Lists!$AD$7)+($Q569*Lists!$AD$8)+($R569*Lists!$AD$9)+($S569*Lists!$AD$10),2))</f>
        <v/>
      </c>
      <c r="U569" s="106"/>
      <c r="V569" s="106"/>
      <c r="W569" s="106"/>
      <c r="X569" s="106"/>
      <c r="Y569" s="106"/>
      <c r="Z569" s="103" t="str">
        <f aca="false">IF(OR($B569="", $U569="", $V569="", $W569="", $X569="", $Y569=""),"",ROUND(($U569*Lists!$AD$11)+($V569*Lists!$AD$12)+($W569*Lists!$AD$13)+($X569*Lists!$AD$14)+($Y569*Lists!$AD$15),2))</f>
        <v/>
      </c>
      <c r="AA569" s="103" t="str">
        <f aca="false">IF(OR($B569="", $N569="", $O569="", $T569="", $Z569=""),"",ROUND(($N569*Lists!$AD$16)-($O569*Lists!$AD$17)-($T569*Lists!$AD$18)+($Z569*Lists!$AD$19),2))</f>
        <v/>
      </c>
      <c r="AB569" s="102" t="str">
        <f aca="false">IF(OR($B569="", $N569="", $Z569=""),"",IF($N569&gt;=Lists!$AG$2,IF($Z569&gt;=Lists!$AG$3,"Invest","Migrate"),IF($Z569&gt;=Lists!$AG$3,"Tolerate","Eliminate")))</f>
        <v/>
      </c>
      <c r="AC569" s="102" t="str">
        <f aca="false">IF($B569="","",IF($J569&gt;=4,"Yes",""))</f>
        <v/>
      </c>
      <c r="AD569" s="102" t="str">
        <f aca="false">IF($A569="","",IFERROR(IF(VLOOKUP($A569,'Risk Register'!$B$2:$H$1000,4,FALSE())&gt;=4,"Yes",""),""))</f>
        <v/>
      </c>
      <c r="AE569" s="102" t="str">
        <f aca="false">IF(OR($N569="", $O569=""),"",IF($N569&gt;=Lists!$AG$2,IF($O569&gt;=Lists!$AG$4,"High Value / High Risk","High Value / Low Risk"),IF($O569&gt;=Lists!$AG$4,"Low Value / High Risk","Low Value / Low Risk")))</f>
        <v/>
      </c>
      <c r="AF569" s="101"/>
      <c r="AG569" s="126"/>
      <c r="AH569" s="106" t="str">
        <f aca="false">IF($B569="","",COUNTIFS('Debt Backlog'!$AF$2:$AF$1000,$A569,'Debt Backlog'!$B$2:$B$1000,"&lt;&gt;",'Debt Backlog'!$N$2:$N$1000,"&lt;&gt;Done",'Debt Backlog'!$N$2:$N$1000,"&lt;&gt;Won't Fix",'Debt Backlog'!$N$2:$N$1000,"&lt;&gt;Duplicate"))</f>
        <v/>
      </c>
      <c r="AI569" s="103" t="str">
        <f aca="false">IF($B569="","",ROUND(SUMIFS('Debt Backlog'!$L$2:$L$1000,'Debt Backlog'!$AF$2:$AF$1000,$A569,'Debt Backlog'!$B$2:$B$1000,"&lt;&gt;",'Debt Backlog'!$N$2:$N$1000,"&lt;&gt;Done",'Debt Backlog'!$N$2:$N$1000,"&lt;&gt;Won't Fix",'Debt Backlog'!$N$2:$N$1000,"&lt;&gt;Duplicate"),2))</f>
        <v/>
      </c>
    </row>
    <row r="570" customFormat="false" ht="15.75" hidden="false" customHeight="true" outlineLevel="0" collapsed="false">
      <c r="A570" s="125"/>
      <c r="B570" s="101"/>
      <c r="C570" s="101"/>
      <c r="D570" s="101"/>
      <c r="E570" s="101"/>
      <c r="F570" s="101"/>
      <c r="G570" s="101"/>
      <c r="H570" s="101"/>
      <c r="I570" s="106"/>
      <c r="J570" s="106"/>
      <c r="K570" s="106"/>
      <c r="L570" s="106"/>
      <c r="M570" s="106"/>
      <c r="N570" s="103" t="str">
        <f aca="false">IF(OR($B570="", $I570="", $J570="", $K570="", $L570="", $M570=""),"",ROUND(($I570*Lists!$AD$2)+($J570*Lists!$AD$3)+($K570*Lists!$AD$4)+($L570*Lists!$AD$5)+($M570*Lists!$AD$6),2))</f>
        <v/>
      </c>
      <c r="O570" s="103" t="str">
        <f aca="false">IF($A570="","",IFERROR(VLOOKUP($A570,'Risk Register'!$B$2:$I$1000,8,FALSE()),""))</f>
        <v/>
      </c>
      <c r="P570" s="106"/>
      <c r="Q570" s="106"/>
      <c r="R570" s="106"/>
      <c r="S570" s="106"/>
      <c r="T570" s="103" t="str">
        <f aca="false">IF(OR($B570="", $P570="", $Q570="", $R570="", $S570=""),"",ROUND(($P570*Lists!$AD$7)+($Q570*Lists!$AD$8)+($R570*Lists!$AD$9)+($S570*Lists!$AD$10),2))</f>
        <v/>
      </c>
      <c r="U570" s="106"/>
      <c r="V570" s="106"/>
      <c r="W570" s="106"/>
      <c r="X570" s="106"/>
      <c r="Y570" s="106"/>
      <c r="Z570" s="103" t="str">
        <f aca="false">IF(OR($B570="", $U570="", $V570="", $W570="", $X570="", $Y570=""),"",ROUND(($U570*Lists!$AD$11)+($V570*Lists!$AD$12)+($W570*Lists!$AD$13)+($X570*Lists!$AD$14)+($Y570*Lists!$AD$15),2))</f>
        <v/>
      </c>
      <c r="AA570" s="103" t="str">
        <f aca="false">IF(OR($B570="", $N570="", $O570="", $T570="", $Z570=""),"",ROUND(($N570*Lists!$AD$16)-($O570*Lists!$AD$17)-($T570*Lists!$AD$18)+($Z570*Lists!$AD$19),2))</f>
        <v/>
      </c>
      <c r="AB570" s="102" t="str">
        <f aca="false">IF(OR($B570="", $N570="", $Z570=""),"",IF($N570&gt;=Lists!$AG$2,IF($Z570&gt;=Lists!$AG$3,"Invest","Migrate"),IF($Z570&gt;=Lists!$AG$3,"Tolerate","Eliminate")))</f>
        <v/>
      </c>
      <c r="AC570" s="102" t="str">
        <f aca="false">IF($B570="","",IF($J570&gt;=4,"Yes",""))</f>
        <v/>
      </c>
      <c r="AD570" s="102" t="str">
        <f aca="false">IF($A570="","",IFERROR(IF(VLOOKUP($A570,'Risk Register'!$B$2:$H$1000,4,FALSE())&gt;=4,"Yes",""),""))</f>
        <v/>
      </c>
      <c r="AE570" s="102" t="str">
        <f aca="false">IF(OR($N570="", $O570=""),"",IF($N570&gt;=Lists!$AG$2,IF($O570&gt;=Lists!$AG$4,"High Value / High Risk","High Value / Low Risk"),IF($O570&gt;=Lists!$AG$4,"Low Value / High Risk","Low Value / Low Risk")))</f>
        <v/>
      </c>
      <c r="AF570" s="101"/>
      <c r="AG570" s="126"/>
      <c r="AH570" s="106" t="str">
        <f aca="false">IF($B570="","",COUNTIFS('Debt Backlog'!$AF$2:$AF$1000,$A570,'Debt Backlog'!$B$2:$B$1000,"&lt;&gt;",'Debt Backlog'!$N$2:$N$1000,"&lt;&gt;Done",'Debt Backlog'!$N$2:$N$1000,"&lt;&gt;Won't Fix",'Debt Backlog'!$N$2:$N$1000,"&lt;&gt;Duplicate"))</f>
        <v/>
      </c>
      <c r="AI570" s="103" t="str">
        <f aca="false">IF($B570="","",ROUND(SUMIFS('Debt Backlog'!$L$2:$L$1000,'Debt Backlog'!$AF$2:$AF$1000,$A570,'Debt Backlog'!$B$2:$B$1000,"&lt;&gt;",'Debt Backlog'!$N$2:$N$1000,"&lt;&gt;Done",'Debt Backlog'!$N$2:$N$1000,"&lt;&gt;Won't Fix",'Debt Backlog'!$N$2:$N$1000,"&lt;&gt;Duplicate"),2))</f>
        <v/>
      </c>
    </row>
    <row r="571" customFormat="false" ht="15.75" hidden="false" customHeight="true" outlineLevel="0" collapsed="false">
      <c r="A571" s="125"/>
      <c r="B571" s="101"/>
      <c r="C571" s="101"/>
      <c r="D571" s="101"/>
      <c r="E571" s="101"/>
      <c r="F571" s="101"/>
      <c r="G571" s="101"/>
      <c r="H571" s="101"/>
      <c r="I571" s="106"/>
      <c r="J571" s="106"/>
      <c r="K571" s="106"/>
      <c r="L571" s="106"/>
      <c r="M571" s="106"/>
      <c r="N571" s="103" t="str">
        <f aca="false">IF(OR($B571="", $I571="", $J571="", $K571="", $L571="", $M571=""),"",ROUND(($I571*Lists!$AD$2)+($J571*Lists!$AD$3)+($K571*Lists!$AD$4)+($L571*Lists!$AD$5)+($M571*Lists!$AD$6),2))</f>
        <v/>
      </c>
      <c r="O571" s="103" t="str">
        <f aca="false">IF($A571="","",IFERROR(VLOOKUP($A571,'Risk Register'!$B$2:$I$1000,8,FALSE()),""))</f>
        <v/>
      </c>
      <c r="P571" s="106"/>
      <c r="Q571" s="106"/>
      <c r="R571" s="106"/>
      <c r="S571" s="106"/>
      <c r="T571" s="103" t="str">
        <f aca="false">IF(OR($B571="", $P571="", $Q571="", $R571="", $S571=""),"",ROUND(($P571*Lists!$AD$7)+($Q571*Lists!$AD$8)+($R571*Lists!$AD$9)+($S571*Lists!$AD$10),2))</f>
        <v/>
      </c>
      <c r="U571" s="106"/>
      <c r="V571" s="106"/>
      <c r="W571" s="106"/>
      <c r="X571" s="106"/>
      <c r="Y571" s="106"/>
      <c r="Z571" s="103" t="str">
        <f aca="false">IF(OR($B571="", $U571="", $V571="", $W571="", $X571="", $Y571=""),"",ROUND(($U571*Lists!$AD$11)+($V571*Lists!$AD$12)+($W571*Lists!$AD$13)+($X571*Lists!$AD$14)+($Y571*Lists!$AD$15),2))</f>
        <v/>
      </c>
      <c r="AA571" s="103" t="str">
        <f aca="false">IF(OR($B571="", $N571="", $O571="", $T571="", $Z571=""),"",ROUND(($N571*Lists!$AD$16)-($O571*Lists!$AD$17)-($T571*Lists!$AD$18)+($Z571*Lists!$AD$19),2))</f>
        <v/>
      </c>
      <c r="AB571" s="102" t="str">
        <f aca="false">IF(OR($B571="", $N571="", $Z571=""),"",IF($N571&gt;=Lists!$AG$2,IF($Z571&gt;=Lists!$AG$3,"Invest","Migrate"),IF($Z571&gt;=Lists!$AG$3,"Tolerate","Eliminate")))</f>
        <v/>
      </c>
      <c r="AC571" s="102" t="str">
        <f aca="false">IF($B571="","",IF($J571&gt;=4,"Yes",""))</f>
        <v/>
      </c>
      <c r="AD571" s="102" t="str">
        <f aca="false">IF($A571="","",IFERROR(IF(VLOOKUP($A571,'Risk Register'!$B$2:$H$1000,4,FALSE())&gt;=4,"Yes",""),""))</f>
        <v/>
      </c>
      <c r="AE571" s="102" t="str">
        <f aca="false">IF(OR($N571="", $O571=""),"",IF($N571&gt;=Lists!$AG$2,IF($O571&gt;=Lists!$AG$4,"High Value / High Risk","High Value / Low Risk"),IF($O571&gt;=Lists!$AG$4,"Low Value / High Risk","Low Value / Low Risk")))</f>
        <v/>
      </c>
      <c r="AF571" s="101"/>
      <c r="AG571" s="126"/>
      <c r="AH571" s="106" t="str">
        <f aca="false">IF($B571="","",COUNTIFS('Debt Backlog'!$AF$2:$AF$1000,$A571,'Debt Backlog'!$B$2:$B$1000,"&lt;&gt;",'Debt Backlog'!$N$2:$N$1000,"&lt;&gt;Done",'Debt Backlog'!$N$2:$N$1000,"&lt;&gt;Won't Fix",'Debt Backlog'!$N$2:$N$1000,"&lt;&gt;Duplicate"))</f>
        <v/>
      </c>
      <c r="AI571" s="103" t="str">
        <f aca="false">IF($B571="","",ROUND(SUMIFS('Debt Backlog'!$L$2:$L$1000,'Debt Backlog'!$AF$2:$AF$1000,$A571,'Debt Backlog'!$B$2:$B$1000,"&lt;&gt;",'Debt Backlog'!$N$2:$N$1000,"&lt;&gt;Done",'Debt Backlog'!$N$2:$N$1000,"&lt;&gt;Won't Fix",'Debt Backlog'!$N$2:$N$1000,"&lt;&gt;Duplicate"),2))</f>
        <v/>
      </c>
    </row>
    <row r="572" customFormat="false" ht="15.75" hidden="false" customHeight="true" outlineLevel="0" collapsed="false">
      <c r="A572" s="125"/>
      <c r="B572" s="101"/>
      <c r="C572" s="101"/>
      <c r="D572" s="101"/>
      <c r="E572" s="101"/>
      <c r="F572" s="101"/>
      <c r="G572" s="101"/>
      <c r="H572" s="101"/>
      <c r="I572" s="106"/>
      <c r="J572" s="106"/>
      <c r="K572" s="106"/>
      <c r="L572" s="106"/>
      <c r="M572" s="106"/>
      <c r="N572" s="103" t="str">
        <f aca="false">IF(OR($B572="", $I572="", $J572="", $K572="", $L572="", $M572=""),"",ROUND(($I572*Lists!$AD$2)+($J572*Lists!$AD$3)+($K572*Lists!$AD$4)+($L572*Lists!$AD$5)+($M572*Lists!$AD$6),2))</f>
        <v/>
      </c>
      <c r="O572" s="103" t="str">
        <f aca="false">IF($A572="","",IFERROR(VLOOKUP($A572,'Risk Register'!$B$2:$I$1000,8,FALSE()),""))</f>
        <v/>
      </c>
      <c r="P572" s="106"/>
      <c r="Q572" s="106"/>
      <c r="R572" s="106"/>
      <c r="S572" s="106"/>
      <c r="T572" s="103" t="str">
        <f aca="false">IF(OR($B572="", $P572="", $Q572="", $R572="", $S572=""),"",ROUND(($P572*Lists!$AD$7)+($Q572*Lists!$AD$8)+($R572*Lists!$AD$9)+($S572*Lists!$AD$10),2))</f>
        <v/>
      </c>
      <c r="U572" s="106"/>
      <c r="V572" s="106"/>
      <c r="W572" s="106"/>
      <c r="X572" s="106"/>
      <c r="Y572" s="106"/>
      <c r="Z572" s="103" t="str">
        <f aca="false">IF(OR($B572="", $U572="", $V572="", $W572="", $X572="", $Y572=""),"",ROUND(($U572*Lists!$AD$11)+($V572*Lists!$AD$12)+($W572*Lists!$AD$13)+($X572*Lists!$AD$14)+($Y572*Lists!$AD$15),2))</f>
        <v/>
      </c>
      <c r="AA572" s="103" t="str">
        <f aca="false">IF(OR($B572="", $N572="", $O572="", $T572="", $Z572=""),"",ROUND(($N572*Lists!$AD$16)-($O572*Lists!$AD$17)-($T572*Lists!$AD$18)+($Z572*Lists!$AD$19),2))</f>
        <v/>
      </c>
      <c r="AB572" s="102" t="str">
        <f aca="false">IF(OR($B572="", $N572="", $Z572=""),"",IF($N572&gt;=Lists!$AG$2,IF($Z572&gt;=Lists!$AG$3,"Invest","Migrate"),IF($Z572&gt;=Lists!$AG$3,"Tolerate","Eliminate")))</f>
        <v/>
      </c>
      <c r="AC572" s="102" t="str">
        <f aca="false">IF($B572="","",IF($J572&gt;=4,"Yes",""))</f>
        <v/>
      </c>
      <c r="AD572" s="102" t="str">
        <f aca="false">IF($A572="","",IFERROR(IF(VLOOKUP($A572,'Risk Register'!$B$2:$H$1000,4,FALSE())&gt;=4,"Yes",""),""))</f>
        <v/>
      </c>
      <c r="AE572" s="102" t="str">
        <f aca="false">IF(OR($N572="", $O572=""),"",IF($N572&gt;=Lists!$AG$2,IF($O572&gt;=Lists!$AG$4,"High Value / High Risk","High Value / Low Risk"),IF($O572&gt;=Lists!$AG$4,"Low Value / High Risk","Low Value / Low Risk")))</f>
        <v/>
      </c>
      <c r="AF572" s="101"/>
      <c r="AG572" s="126"/>
      <c r="AH572" s="106" t="str">
        <f aca="false">IF($B572="","",COUNTIFS('Debt Backlog'!$AF$2:$AF$1000,$A572,'Debt Backlog'!$B$2:$B$1000,"&lt;&gt;",'Debt Backlog'!$N$2:$N$1000,"&lt;&gt;Done",'Debt Backlog'!$N$2:$N$1000,"&lt;&gt;Won't Fix",'Debt Backlog'!$N$2:$N$1000,"&lt;&gt;Duplicate"))</f>
        <v/>
      </c>
      <c r="AI572" s="103" t="str">
        <f aca="false">IF($B572="","",ROUND(SUMIFS('Debt Backlog'!$L$2:$L$1000,'Debt Backlog'!$AF$2:$AF$1000,$A572,'Debt Backlog'!$B$2:$B$1000,"&lt;&gt;",'Debt Backlog'!$N$2:$N$1000,"&lt;&gt;Done",'Debt Backlog'!$N$2:$N$1000,"&lt;&gt;Won't Fix",'Debt Backlog'!$N$2:$N$1000,"&lt;&gt;Duplicate"),2))</f>
        <v/>
      </c>
    </row>
    <row r="573" customFormat="false" ht="15.75" hidden="false" customHeight="true" outlineLevel="0" collapsed="false">
      <c r="A573" s="125"/>
      <c r="B573" s="101"/>
      <c r="C573" s="101"/>
      <c r="D573" s="101"/>
      <c r="E573" s="101"/>
      <c r="F573" s="101"/>
      <c r="G573" s="101"/>
      <c r="H573" s="101"/>
      <c r="I573" s="106"/>
      <c r="J573" s="106"/>
      <c r="K573" s="106"/>
      <c r="L573" s="106"/>
      <c r="M573" s="106"/>
      <c r="N573" s="103" t="str">
        <f aca="false">IF(OR($B573="", $I573="", $J573="", $K573="", $L573="", $M573=""),"",ROUND(($I573*Lists!$AD$2)+($J573*Lists!$AD$3)+($K573*Lists!$AD$4)+($L573*Lists!$AD$5)+($M573*Lists!$AD$6),2))</f>
        <v/>
      </c>
      <c r="O573" s="103" t="str">
        <f aca="false">IF($A573="","",IFERROR(VLOOKUP($A573,'Risk Register'!$B$2:$I$1000,8,FALSE()),""))</f>
        <v/>
      </c>
      <c r="P573" s="106"/>
      <c r="Q573" s="106"/>
      <c r="R573" s="106"/>
      <c r="S573" s="106"/>
      <c r="T573" s="103" t="str">
        <f aca="false">IF(OR($B573="", $P573="", $Q573="", $R573="", $S573=""),"",ROUND(($P573*Lists!$AD$7)+($Q573*Lists!$AD$8)+($R573*Lists!$AD$9)+($S573*Lists!$AD$10),2))</f>
        <v/>
      </c>
      <c r="U573" s="106"/>
      <c r="V573" s="106"/>
      <c r="W573" s="106"/>
      <c r="X573" s="106"/>
      <c r="Y573" s="106"/>
      <c r="Z573" s="103" t="str">
        <f aca="false">IF(OR($B573="", $U573="", $V573="", $W573="", $X573="", $Y573=""),"",ROUND(($U573*Lists!$AD$11)+($V573*Lists!$AD$12)+($W573*Lists!$AD$13)+($X573*Lists!$AD$14)+($Y573*Lists!$AD$15),2))</f>
        <v/>
      </c>
      <c r="AA573" s="103" t="str">
        <f aca="false">IF(OR($B573="", $N573="", $O573="", $T573="", $Z573=""),"",ROUND(($N573*Lists!$AD$16)-($O573*Lists!$AD$17)-($T573*Lists!$AD$18)+($Z573*Lists!$AD$19),2))</f>
        <v/>
      </c>
      <c r="AB573" s="102" t="str">
        <f aca="false">IF(OR($B573="", $N573="", $Z573=""),"",IF($N573&gt;=Lists!$AG$2,IF($Z573&gt;=Lists!$AG$3,"Invest","Migrate"),IF($Z573&gt;=Lists!$AG$3,"Tolerate","Eliminate")))</f>
        <v/>
      </c>
      <c r="AC573" s="102" t="str">
        <f aca="false">IF($B573="","",IF($J573&gt;=4,"Yes",""))</f>
        <v/>
      </c>
      <c r="AD573" s="102" t="str">
        <f aca="false">IF($A573="","",IFERROR(IF(VLOOKUP($A573,'Risk Register'!$B$2:$H$1000,4,FALSE())&gt;=4,"Yes",""),""))</f>
        <v/>
      </c>
      <c r="AE573" s="102" t="str">
        <f aca="false">IF(OR($N573="", $O573=""),"",IF($N573&gt;=Lists!$AG$2,IF($O573&gt;=Lists!$AG$4,"High Value / High Risk","High Value / Low Risk"),IF($O573&gt;=Lists!$AG$4,"Low Value / High Risk","Low Value / Low Risk")))</f>
        <v/>
      </c>
      <c r="AF573" s="101"/>
      <c r="AG573" s="126"/>
      <c r="AH573" s="106" t="str">
        <f aca="false">IF($B573="","",COUNTIFS('Debt Backlog'!$AF$2:$AF$1000,$A573,'Debt Backlog'!$B$2:$B$1000,"&lt;&gt;",'Debt Backlog'!$N$2:$N$1000,"&lt;&gt;Done",'Debt Backlog'!$N$2:$N$1000,"&lt;&gt;Won't Fix",'Debt Backlog'!$N$2:$N$1000,"&lt;&gt;Duplicate"))</f>
        <v/>
      </c>
      <c r="AI573" s="103" t="str">
        <f aca="false">IF($B573="","",ROUND(SUMIFS('Debt Backlog'!$L$2:$L$1000,'Debt Backlog'!$AF$2:$AF$1000,$A573,'Debt Backlog'!$B$2:$B$1000,"&lt;&gt;",'Debt Backlog'!$N$2:$N$1000,"&lt;&gt;Done",'Debt Backlog'!$N$2:$N$1000,"&lt;&gt;Won't Fix",'Debt Backlog'!$N$2:$N$1000,"&lt;&gt;Duplicate"),2))</f>
        <v/>
      </c>
    </row>
    <row r="574" customFormat="false" ht="15.75" hidden="false" customHeight="true" outlineLevel="0" collapsed="false">
      <c r="A574" s="125"/>
      <c r="B574" s="101"/>
      <c r="C574" s="101"/>
      <c r="D574" s="101"/>
      <c r="E574" s="101"/>
      <c r="F574" s="101"/>
      <c r="G574" s="101"/>
      <c r="H574" s="101"/>
      <c r="I574" s="106"/>
      <c r="J574" s="106"/>
      <c r="K574" s="106"/>
      <c r="L574" s="106"/>
      <c r="M574" s="106"/>
      <c r="N574" s="103" t="str">
        <f aca="false">IF(OR($B574="", $I574="", $J574="", $K574="", $L574="", $M574=""),"",ROUND(($I574*Lists!$AD$2)+($J574*Lists!$AD$3)+($K574*Lists!$AD$4)+($L574*Lists!$AD$5)+($M574*Lists!$AD$6),2))</f>
        <v/>
      </c>
      <c r="O574" s="103" t="str">
        <f aca="false">IF($A574="","",IFERROR(VLOOKUP($A574,'Risk Register'!$B$2:$I$1000,8,FALSE()),""))</f>
        <v/>
      </c>
      <c r="P574" s="106"/>
      <c r="Q574" s="106"/>
      <c r="R574" s="106"/>
      <c r="S574" s="106"/>
      <c r="T574" s="103" t="str">
        <f aca="false">IF(OR($B574="", $P574="", $Q574="", $R574="", $S574=""),"",ROUND(($P574*Lists!$AD$7)+($Q574*Lists!$AD$8)+($R574*Lists!$AD$9)+($S574*Lists!$AD$10),2))</f>
        <v/>
      </c>
      <c r="U574" s="106"/>
      <c r="V574" s="106"/>
      <c r="W574" s="106"/>
      <c r="X574" s="106"/>
      <c r="Y574" s="106"/>
      <c r="Z574" s="103" t="str">
        <f aca="false">IF(OR($B574="", $U574="", $V574="", $W574="", $X574="", $Y574=""),"",ROUND(($U574*Lists!$AD$11)+($V574*Lists!$AD$12)+($W574*Lists!$AD$13)+($X574*Lists!$AD$14)+($Y574*Lists!$AD$15),2))</f>
        <v/>
      </c>
      <c r="AA574" s="103" t="str">
        <f aca="false">IF(OR($B574="", $N574="", $O574="", $T574="", $Z574=""),"",ROUND(($N574*Lists!$AD$16)-($O574*Lists!$AD$17)-($T574*Lists!$AD$18)+($Z574*Lists!$AD$19),2))</f>
        <v/>
      </c>
      <c r="AB574" s="102" t="str">
        <f aca="false">IF(OR($B574="", $N574="", $Z574=""),"",IF($N574&gt;=Lists!$AG$2,IF($Z574&gt;=Lists!$AG$3,"Invest","Migrate"),IF($Z574&gt;=Lists!$AG$3,"Tolerate","Eliminate")))</f>
        <v/>
      </c>
      <c r="AC574" s="102" t="str">
        <f aca="false">IF($B574="","",IF($J574&gt;=4,"Yes",""))</f>
        <v/>
      </c>
      <c r="AD574" s="102" t="str">
        <f aca="false">IF($A574="","",IFERROR(IF(VLOOKUP($A574,'Risk Register'!$B$2:$H$1000,4,FALSE())&gt;=4,"Yes",""),""))</f>
        <v/>
      </c>
      <c r="AE574" s="102" t="str">
        <f aca="false">IF(OR($N574="", $O574=""),"",IF($N574&gt;=Lists!$AG$2,IF($O574&gt;=Lists!$AG$4,"High Value / High Risk","High Value / Low Risk"),IF($O574&gt;=Lists!$AG$4,"Low Value / High Risk","Low Value / Low Risk")))</f>
        <v/>
      </c>
      <c r="AF574" s="101"/>
      <c r="AG574" s="126"/>
      <c r="AH574" s="106" t="str">
        <f aca="false">IF($B574="","",COUNTIFS('Debt Backlog'!$AF$2:$AF$1000,$A574,'Debt Backlog'!$B$2:$B$1000,"&lt;&gt;",'Debt Backlog'!$N$2:$N$1000,"&lt;&gt;Done",'Debt Backlog'!$N$2:$N$1000,"&lt;&gt;Won't Fix",'Debt Backlog'!$N$2:$N$1000,"&lt;&gt;Duplicate"))</f>
        <v/>
      </c>
      <c r="AI574" s="103" t="str">
        <f aca="false">IF($B574="","",ROUND(SUMIFS('Debt Backlog'!$L$2:$L$1000,'Debt Backlog'!$AF$2:$AF$1000,$A574,'Debt Backlog'!$B$2:$B$1000,"&lt;&gt;",'Debt Backlog'!$N$2:$N$1000,"&lt;&gt;Done",'Debt Backlog'!$N$2:$N$1000,"&lt;&gt;Won't Fix",'Debt Backlog'!$N$2:$N$1000,"&lt;&gt;Duplicate"),2))</f>
        <v/>
      </c>
    </row>
    <row r="575" customFormat="false" ht="15.75" hidden="false" customHeight="true" outlineLevel="0" collapsed="false">
      <c r="A575" s="125"/>
      <c r="B575" s="101"/>
      <c r="C575" s="101"/>
      <c r="D575" s="101"/>
      <c r="E575" s="101"/>
      <c r="F575" s="101"/>
      <c r="G575" s="101"/>
      <c r="H575" s="101"/>
      <c r="I575" s="106"/>
      <c r="J575" s="106"/>
      <c r="K575" s="106"/>
      <c r="L575" s="106"/>
      <c r="M575" s="106"/>
      <c r="N575" s="103" t="str">
        <f aca="false">IF(OR($B575="", $I575="", $J575="", $K575="", $L575="", $M575=""),"",ROUND(($I575*Lists!$AD$2)+($J575*Lists!$AD$3)+($K575*Lists!$AD$4)+($L575*Lists!$AD$5)+($M575*Lists!$AD$6),2))</f>
        <v/>
      </c>
      <c r="O575" s="103" t="str">
        <f aca="false">IF($A575="","",IFERROR(VLOOKUP($A575,'Risk Register'!$B$2:$I$1000,8,FALSE()),""))</f>
        <v/>
      </c>
      <c r="P575" s="106"/>
      <c r="Q575" s="106"/>
      <c r="R575" s="106"/>
      <c r="S575" s="106"/>
      <c r="T575" s="103" t="str">
        <f aca="false">IF(OR($B575="", $P575="", $Q575="", $R575="", $S575=""),"",ROUND(($P575*Lists!$AD$7)+($Q575*Lists!$AD$8)+($R575*Lists!$AD$9)+($S575*Lists!$AD$10),2))</f>
        <v/>
      </c>
      <c r="U575" s="106"/>
      <c r="V575" s="106"/>
      <c r="W575" s="106"/>
      <c r="X575" s="106"/>
      <c r="Y575" s="106"/>
      <c r="Z575" s="103" t="str">
        <f aca="false">IF(OR($B575="", $U575="", $V575="", $W575="", $X575="", $Y575=""),"",ROUND(($U575*Lists!$AD$11)+($V575*Lists!$AD$12)+($W575*Lists!$AD$13)+($X575*Lists!$AD$14)+($Y575*Lists!$AD$15),2))</f>
        <v/>
      </c>
      <c r="AA575" s="103" t="str">
        <f aca="false">IF(OR($B575="", $N575="", $O575="", $T575="", $Z575=""),"",ROUND(($N575*Lists!$AD$16)-($O575*Lists!$AD$17)-($T575*Lists!$AD$18)+($Z575*Lists!$AD$19),2))</f>
        <v/>
      </c>
      <c r="AB575" s="102" t="str">
        <f aca="false">IF(OR($B575="", $N575="", $Z575=""),"",IF($N575&gt;=Lists!$AG$2,IF($Z575&gt;=Lists!$AG$3,"Invest","Migrate"),IF($Z575&gt;=Lists!$AG$3,"Tolerate","Eliminate")))</f>
        <v/>
      </c>
      <c r="AC575" s="102" t="str">
        <f aca="false">IF($B575="","",IF($J575&gt;=4,"Yes",""))</f>
        <v/>
      </c>
      <c r="AD575" s="102" t="str">
        <f aca="false">IF($A575="","",IFERROR(IF(VLOOKUP($A575,'Risk Register'!$B$2:$H$1000,4,FALSE())&gt;=4,"Yes",""),""))</f>
        <v/>
      </c>
      <c r="AE575" s="102" t="str">
        <f aca="false">IF(OR($N575="", $O575=""),"",IF($N575&gt;=Lists!$AG$2,IF($O575&gt;=Lists!$AG$4,"High Value / High Risk","High Value / Low Risk"),IF($O575&gt;=Lists!$AG$4,"Low Value / High Risk","Low Value / Low Risk")))</f>
        <v/>
      </c>
      <c r="AF575" s="101"/>
      <c r="AG575" s="126"/>
      <c r="AH575" s="106" t="str">
        <f aca="false">IF($B575="","",COUNTIFS('Debt Backlog'!$AF$2:$AF$1000,$A575,'Debt Backlog'!$B$2:$B$1000,"&lt;&gt;",'Debt Backlog'!$N$2:$N$1000,"&lt;&gt;Done",'Debt Backlog'!$N$2:$N$1000,"&lt;&gt;Won't Fix",'Debt Backlog'!$N$2:$N$1000,"&lt;&gt;Duplicate"))</f>
        <v/>
      </c>
      <c r="AI575" s="103" t="str">
        <f aca="false">IF($B575="","",ROUND(SUMIFS('Debt Backlog'!$L$2:$L$1000,'Debt Backlog'!$AF$2:$AF$1000,$A575,'Debt Backlog'!$B$2:$B$1000,"&lt;&gt;",'Debt Backlog'!$N$2:$N$1000,"&lt;&gt;Done",'Debt Backlog'!$N$2:$N$1000,"&lt;&gt;Won't Fix",'Debt Backlog'!$N$2:$N$1000,"&lt;&gt;Duplicate"),2))</f>
        <v/>
      </c>
    </row>
    <row r="576" customFormat="false" ht="15.75" hidden="false" customHeight="true" outlineLevel="0" collapsed="false">
      <c r="A576" s="125"/>
      <c r="B576" s="101"/>
      <c r="C576" s="101"/>
      <c r="D576" s="101"/>
      <c r="E576" s="101"/>
      <c r="F576" s="101"/>
      <c r="G576" s="101"/>
      <c r="H576" s="101"/>
      <c r="I576" s="106"/>
      <c r="J576" s="106"/>
      <c r="K576" s="106"/>
      <c r="L576" s="106"/>
      <c r="M576" s="106"/>
      <c r="N576" s="103" t="str">
        <f aca="false">IF(OR($B576="", $I576="", $J576="", $K576="", $L576="", $M576=""),"",ROUND(($I576*Lists!$AD$2)+($J576*Lists!$AD$3)+($K576*Lists!$AD$4)+($L576*Lists!$AD$5)+($M576*Lists!$AD$6),2))</f>
        <v/>
      </c>
      <c r="O576" s="103" t="str">
        <f aca="false">IF($A576="","",IFERROR(VLOOKUP($A576,'Risk Register'!$B$2:$I$1000,8,FALSE()),""))</f>
        <v/>
      </c>
      <c r="P576" s="106"/>
      <c r="Q576" s="106"/>
      <c r="R576" s="106"/>
      <c r="S576" s="106"/>
      <c r="T576" s="103" t="str">
        <f aca="false">IF(OR($B576="", $P576="", $Q576="", $R576="", $S576=""),"",ROUND(($P576*Lists!$AD$7)+($Q576*Lists!$AD$8)+($R576*Lists!$AD$9)+($S576*Lists!$AD$10),2))</f>
        <v/>
      </c>
      <c r="U576" s="106"/>
      <c r="V576" s="106"/>
      <c r="W576" s="106"/>
      <c r="X576" s="106"/>
      <c r="Y576" s="106"/>
      <c r="Z576" s="103" t="str">
        <f aca="false">IF(OR($B576="", $U576="", $V576="", $W576="", $X576="", $Y576=""),"",ROUND(($U576*Lists!$AD$11)+($V576*Lists!$AD$12)+($W576*Lists!$AD$13)+($X576*Lists!$AD$14)+($Y576*Lists!$AD$15),2))</f>
        <v/>
      </c>
      <c r="AA576" s="103" t="str">
        <f aca="false">IF(OR($B576="", $N576="", $O576="", $T576="", $Z576=""),"",ROUND(($N576*Lists!$AD$16)-($O576*Lists!$AD$17)-($T576*Lists!$AD$18)+($Z576*Lists!$AD$19),2))</f>
        <v/>
      </c>
      <c r="AB576" s="102" t="str">
        <f aca="false">IF(OR($B576="", $N576="", $Z576=""),"",IF($N576&gt;=Lists!$AG$2,IF($Z576&gt;=Lists!$AG$3,"Invest","Migrate"),IF($Z576&gt;=Lists!$AG$3,"Tolerate","Eliminate")))</f>
        <v/>
      </c>
      <c r="AC576" s="102" t="str">
        <f aca="false">IF($B576="","",IF($J576&gt;=4,"Yes",""))</f>
        <v/>
      </c>
      <c r="AD576" s="102" t="str">
        <f aca="false">IF($A576="","",IFERROR(IF(VLOOKUP($A576,'Risk Register'!$B$2:$H$1000,4,FALSE())&gt;=4,"Yes",""),""))</f>
        <v/>
      </c>
      <c r="AE576" s="102" t="str">
        <f aca="false">IF(OR($N576="", $O576=""),"",IF($N576&gt;=Lists!$AG$2,IF($O576&gt;=Lists!$AG$4,"High Value / High Risk","High Value / Low Risk"),IF($O576&gt;=Lists!$AG$4,"Low Value / High Risk","Low Value / Low Risk")))</f>
        <v/>
      </c>
      <c r="AF576" s="101"/>
      <c r="AG576" s="126"/>
      <c r="AH576" s="106" t="str">
        <f aca="false">IF($B576="","",COUNTIFS('Debt Backlog'!$AF$2:$AF$1000,$A576,'Debt Backlog'!$B$2:$B$1000,"&lt;&gt;",'Debt Backlog'!$N$2:$N$1000,"&lt;&gt;Done",'Debt Backlog'!$N$2:$N$1000,"&lt;&gt;Won't Fix",'Debt Backlog'!$N$2:$N$1000,"&lt;&gt;Duplicate"))</f>
        <v/>
      </c>
      <c r="AI576" s="103" t="str">
        <f aca="false">IF($B576="","",ROUND(SUMIFS('Debt Backlog'!$L$2:$L$1000,'Debt Backlog'!$AF$2:$AF$1000,$A576,'Debt Backlog'!$B$2:$B$1000,"&lt;&gt;",'Debt Backlog'!$N$2:$N$1000,"&lt;&gt;Done",'Debt Backlog'!$N$2:$N$1000,"&lt;&gt;Won't Fix",'Debt Backlog'!$N$2:$N$1000,"&lt;&gt;Duplicate"),2))</f>
        <v/>
      </c>
    </row>
    <row r="577" customFormat="false" ht="15.75" hidden="false" customHeight="true" outlineLevel="0" collapsed="false">
      <c r="A577" s="125"/>
      <c r="B577" s="101"/>
      <c r="C577" s="101"/>
      <c r="D577" s="101"/>
      <c r="E577" s="101"/>
      <c r="F577" s="101"/>
      <c r="G577" s="101"/>
      <c r="H577" s="101"/>
      <c r="I577" s="106"/>
      <c r="J577" s="106"/>
      <c r="K577" s="106"/>
      <c r="L577" s="106"/>
      <c r="M577" s="106"/>
      <c r="N577" s="103" t="str">
        <f aca="false">IF(OR($B577="", $I577="", $J577="", $K577="", $L577="", $M577=""),"",ROUND(($I577*Lists!$AD$2)+($J577*Lists!$AD$3)+($K577*Lists!$AD$4)+($L577*Lists!$AD$5)+($M577*Lists!$AD$6),2))</f>
        <v/>
      </c>
      <c r="O577" s="103" t="str">
        <f aca="false">IF($A577="","",IFERROR(VLOOKUP($A577,'Risk Register'!$B$2:$I$1000,8,FALSE()),""))</f>
        <v/>
      </c>
      <c r="P577" s="106"/>
      <c r="Q577" s="106"/>
      <c r="R577" s="106"/>
      <c r="S577" s="106"/>
      <c r="T577" s="103" t="str">
        <f aca="false">IF(OR($B577="", $P577="", $Q577="", $R577="", $S577=""),"",ROUND(($P577*Lists!$AD$7)+($Q577*Lists!$AD$8)+($R577*Lists!$AD$9)+($S577*Lists!$AD$10),2))</f>
        <v/>
      </c>
      <c r="U577" s="106"/>
      <c r="V577" s="106"/>
      <c r="W577" s="106"/>
      <c r="X577" s="106"/>
      <c r="Y577" s="106"/>
      <c r="Z577" s="103" t="str">
        <f aca="false">IF(OR($B577="", $U577="", $V577="", $W577="", $X577="", $Y577=""),"",ROUND(($U577*Lists!$AD$11)+($V577*Lists!$AD$12)+($W577*Lists!$AD$13)+($X577*Lists!$AD$14)+($Y577*Lists!$AD$15),2))</f>
        <v/>
      </c>
      <c r="AA577" s="103" t="str">
        <f aca="false">IF(OR($B577="", $N577="", $O577="", $T577="", $Z577=""),"",ROUND(($N577*Lists!$AD$16)-($O577*Lists!$AD$17)-($T577*Lists!$AD$18)+($Z577*Lists!$AD$19),2))</f>
        <v/>
      </c>
      <c r="AB577" s="102" t="str">
        <f aca="false">IF(OR($B577="", $N577="", $Z577=""),"",IF($N577&gt;=Lists!$AG$2,IF($Z577&gt;=Lists!$AG$3,"Invest","Migrate"),IF($Z577&gt;=Lists!$AG$3,"Tolerate","Eliminate")))</f>
        <v/>
      </c>
      <c r="AC577" s="102" t="str">
        <f aca="false">IF($B577="","",IF($J577&gt;=4,"Yes",""))</f>
        <v/>
      </c>
      <c r="AD577" s="102" t="str">
        <f aca="false">IF($A577="","",IFERROR(IF(VLOOKUP($A577,'Risk Register'!$B$2:$H$1000,4,FALSE())&gt;=4,"Yes",""),""))</f>
        <v/>
      </c>
      <c r="AE577" s="102" t="str">
        <f aca="false">IF(OR($N577="", $O577=""),"",IF($N577&gt;=Lists!$AG$2,IF($O577&gt;=Lists!$AG$4,"High Value / High Risk","High Value / Low Risk"),IF($O577&gt;=Lists!$AG$4,"Low Value / High Risk","Low Value / Low Risk")))</f>
        <v/>
      </c>
      <c r="AF577" s="101"/>
      <c r="AG577" s="126"/>
      <c r="AH577" s="106" t="str">
        <f aca="false">IF($B577="","",COUNTIFS('Debt Backlog'!$AF$2:$AF$1000,$A577,'Debt Backlog'!$B$2:$B$1000,"&lt;&gt;",'Debt Backlog'!$N$2:$N$1000,"&lt;&gt;Done",'Debt Backlog'!$N$2:$N$1000,"&lt;&gt;Won't Fix",'Debt Backlog'!$N$2:$N$1000,"&lt;&gt;Duplicate"))</f>
        <v/>
      </c>
      <c r="AI577" s="103" t="str">
        <f aca="false">IF($B577="","",ROUND(SUMIFS('Debt Backlog'!$L$2:$L$1000,'Debt Backlog'!$AF$2:$AF$1000,$A577,'Debt Backlog'!$B$2:$B$1000,"&lt;&gt;",'Debt Backlog'!$N$2:$N$1000,"&lt;&gt;Done",'Debt Backlog'!$N$2:$N$1000,"&lt;&gt;Won't Fix",'Debt Backlog'!$N$2:$N$1000,"&lt;&gt;Duplicate"),2))</f>
        <v/>
      </c>
    </row>
    <row r="578" customFormat="false" ht="15.75" hidden="false" customHeight="true" outlineLevel="0" collapsed="false">
      <c r="A578" s="125"/>
      <c r="B578" s="101"/>
      <c r="C578" s="101"/>
      <c r="D578" s="101"/>
      <c r="E578" s="101"/>
      <c r="F578" s="101"/>
      <c r="G578" s="101"/>
      <c r="H578" s="101"/>
      <c r="I578" s="106"/>
      <c r="J578" s="106"/>
      <c r="K578" s="106"/>
      <c r="L578" s="106"/>
      <c r="M578" s="106"/>
      <c r="N578" s="103" t="str">
        <f aca="false">IF(OR($B578="", $I578="", $J578="", $K578="", $L578="", $M578=""),"",ROUND(($I578*Lists!$AD$2)+($J578*Lists!$AD$3)+($K578*Lists!$AD$4)+($L578*Lists!$AD$5)+($M578*Lists!$AD$6),2))</f>
        <v/>
      </c>
      <c r="O578" s="103" t="str">
        <f aca="false">IF($A578="","",IFERROR(VLOOKUP($A578,'Risk Register'!$B$2:$I$1000,8,FALSE()),""))</f>
        <v/>
      </c>
      <c r="P578" s="106"/>
      <c r="Q578" s="106"/>
      <c r="R578" s="106"/>
      <c r="S578" s="106"/>
      <c r="T578" s="103" t="str">
        <f aca="false">IF(OR($B578="", $P578="", $Q578="", $R578="", $S578=""),"",ROUND(($P578*Lists!$AD$7)+($Q578*Lists!$AD$8)+($R578*Lists!$AD$9)+($S578*Lists!$AD$10),2))</f>
        <v/>
      </c>
      <c r="U578" s="106"/>
      <c r="V578" s="106"/>
      <c r="W578" s="106"/>
      <c r="X578" s="106"/>
      <c r="Y578" s="106"/>
      <c r="Z578" s="103" t="str">
        <f aca="false">IF(OR($B578="", $U578="", $V578="", $W578="", $X578="", $Y578=""),"",ROUND(($U578*Lists!$AD$11)+($V578*Lists!$AD$12)+($W578*Lists!$AD$13)+($X578*Lists!$AD$14)+($Y578*Lists!$AD$15),2))</f>
        <v/>
      </c>
      <c r="AA578" s="103" t="str">
        <f aca="false">IF(OR($B578="", $N578="", $O578="", $T578="", $Z578=""),"",ROUND(($N578*Lists!$AD$16)-($O578*Lists!$AD$17)-($T578*Lists!$AD$18)+($Z578*Lists!$AD$19),2))</f>
        <v/>
      </c>
      <c r="AB578" s="102" t="str">
        <f aca="false">IF(OR($B578="", $N578="", $Z578=""),"",IF($N578&gt;=Lists!$AG$2,IF($Z578&gt;=Lists!$AG$3,"Invest","Migrate"),IF($Z578&gt;=Lists!$AG$3,"Tolerate","Eliminate")))</f>
        <v/>
      </c>
      <c r="AC578" s="102" t="str">
        <f aca="false">IF($B578="","",IF($J578&gt;=4,"Yes",""))</f>
        <v/>
      </c>
      <c r="AD578" s="102" t="str">
        <f aca="false">IF($A578="","",IFERROR(IF(VLOOKUP($A578,'Risk Register'!$B$2:$H$1000,4,FALSE())&gt;=4,"Yes",""),""))</f>
        <v/>
      </c>
      <c r="AE578" s="102" t="str">
        <f aca="false">IF(OR($N578="", $O578=""),"",IF($N578&gt;=Lists!$AG$2,IF($O578&gt;=Lists!$AG$4,"High Value / High Risk","High Value / Low Risk"),IF($O578&gt;=Lists!$AG$4,"Low Value / High Risk","Low Value / Low Risk")))</f>
        <v/>
      </c>
      <c r="AF578" s="101"/>
      <c r="AG578" s="126"/>
      <c r="AH578" s="106" t="str">
        <f aca="false">IF($B578="","",COUNTIFS('Debt Backlog'!$AF$2:$AF$1000,$A578,'Debt Backlog'!$B$2:$B$1000,"&lt;&gt;",'Debt Backlog'!$N$2:$N$1000,"&lt;&gt;Done",'Debt Backlog'!$N$2:$N$1000,"&lt;&gt;Won't Fix",'Debt Backlog'!$N$2:$N$1000,"&lt;&gt;Duplicate"))</f>
        <v/>
      </c>
      <c r="AI578" s="103" t="str">
        <f aca="false">IF($B578="","",ROUND(SUMIFS('Debt Backlog'!$L$2:$L$1000,'Debt Backlog'!$AF$2:$AF$1000,$A578,'Debt Backlog'!$B$2:$B$1000,"&lt;&gt;",'Debt Backlog'!$N$2:$N$1000,"&lt;&gt;Done",'Debt Backlog'!$N$2:$N$1000,"&lt;&gt;Won't Fix",'Debt Backlog'!$N$2:$N$1000,"&lt;&gt;Duplicate"),2))</f>
        <v/>
      </c>
    </row>
    <row r="579" customFormat="false" ht="15.75" hidden="false" customHeight="true" outlineLevel="0" collapsed="false">
      <c r="A579" s="125"/>
      <c r="B579" s="101"/>
      <c r="C579" s="101"/>
      <c r="D579" s="101"/>
      <c r="E579" s="101"/>
      <c r="F579" s="101"/>
      <c r="G579" s="101"/>
      <c r="H579" s="101"/>
      <c r="I579" s="106"/>
      <c r="J579" s="106"/>
      <c r="K579" s="106"/>
      <c r="L579" s="106"/>
      <c r="M579" s="106"/>
      <c r="N579" s="103" t="str">
        <f aca="false">IF(OR($B579="", $I579="", $J579="", $K579="", $L579="", $M579=""),"",ROUND(($I579*Lists!$AD$2)+($J579*Lists!$AD$3)+($K579*Lists!$AD$4)+($L579*Lists!$AD$5)+($M579*Lists!$AD$6),2))</f>
        <v/>
      </c>
      <c r="O579" s="103" t="str">
        <f aca="false">IF($A579="","",IFERROR(VLOOKUP($A579,'Risk Register'!$B$2:$I$1000,8,FALSE()),""))</f>
        <v/>
      </c>
      <c r="P579" s="106"/>
      <c r="Q579" s="106"/>
      <c r="R579" s="106"/>
      <c r="S579" s="106"/>
      <c r="T579" s="103" t="str">
        <f aca="false">IF(OR($B579="", $P579="", $Q579="", $R579="", $S579=""),"",ROUND(($P579*Lists!$AD$7)+($Q579*Lists!$AD$8)+($R579*Lists!$AD$9)+($S579*Lists!$AD$10),2))</f>
        <v/>
      </c>
      <c r="U579" s="106"/>
      <c r="V579" s="106"/>
      <c r="W579" s="106"/>
      <c r="X579" s="106"/>
      <c r="Y579" s="106"/>
      <c r="Z579" s="103" t="str">
        <f aca="false">IF(OR($B579="", $U579="", $V579="", $W579="", $X579="", $Y579=""),"",ROUND(($U579*Lists!$AD$11)+($V579*Lists!$AD$12)+($W579*Lists!$AD$13)+($X579*Lists!$AD$14)+($Y579*Lists!$AD$15),2))</f>
        <v/>
      </c>
      <c r="AA579" s="103" t="str">
        <f aca="false">IF(OR($B579="", $N579="", $O579="", $T579="", $Z579=""),"",ROUND(($N579*Lists!$AD$16)-($O579*Lists!$AD$17)-($T579*Lists!$AD$18)+($Z579*Lists!$AD$19),2))</f>
        <v/>
      </c>
      <c r="AB579" s="102" t="str">
        <f aca="false">IF(OR($B579="", $N579="", $Z579=""),"",IF($N579&gt;=Lists!$AG$2,IF($Z579&gt;=Lists!$AG$3,"Invest","Migrate"),IF($Z579&gt;=Lists!$AG$3,"Tolerate","Eliminate")))</f>
        <v/>
      </c>
      <c r="AC579" s="102" t="str">
        <f aca="false">IF($B579="","",IF($J579&gt;=4,"Yes",""))</f>
        <v/>
      </c>
      <c r="AD579" s="102" t="str">
        <f aca="false">IF($A579="","",IFERROR(IF(VLOOKUP($A579,'Risk Register'!$B$2:$H$1000,4,FALSE())&gt;=4,"Yes",""),""))</f>
        <v/>
      </c>
      <c r="AE579" s="102" t="str">
        <f aca="false">IF(OR($N579="", $O579=""),"",IF($N579&gt;=Lists!$AG$2,IF($O579&gt;=Lists!$AG$4,"High Value / High Risk","High Value / Low Risk"),IF($O579&gt;=Lists!$AG$4,"Low Value / High Risk","Low Value / Low Risk")))</f>
        <v/>
      </c>
      <c r="AF579" s="101"/>
      <c r="AG579" s="126"/>
      <c r="AH579" s="106" t="str">
        <f aca="false">IF($B579="","",COUNTIFS('Debt Backlog'!$AF$2:$AF$1000,$A579,'Debt Backlog'!$B$2:$B$1000,"&lt;&gt;",'Debt Backlog'!$N$2:$N$1000,"&lt;&gt;Done",'Debt Backlog'!$N$2:$N$1000,"&lt;&gt;Won't Fix",'Debt Backlog'!$N$2:$N$1000,"&lt;&gt;Duplicate"))</f>
        <v/>
      </c>
      <c r="AI579" s="103" t="str">
        <f aca="false">IF($B579="","",ROUND(SUMIFS('Debt Backlog'!$L$2:$L$1000,'Debt Backlog'!$AF$2:$AF$1000,$A579,'Debt Backlog'!$B$2:$B$1000,"&lt;&gt;",'Debt Backlog'!$N$2:$N$1000,"&lt;&gt;Done",'Debt Backlog'!$N$2:$N$1000,"&lt;&gt;Won't Fix",'Debt Backlog'!$N$2:$N$1000,"&lt;&gt;Duplicate"),2))</f>
        <v/>
      </c>
    </row>
    <row r="580" customFormat="false" ht="15.75" hidden="false" customHeight="true" outlineLevel="0" collapsed="false">
      <c r="A580" s="125"/>
      <c r="B580" s="101"/>
      <c r="C580" s="101"/>
      <c r="D580" s="101"/>
      <c r="E580" s="101"/>
      <c r="F580" s="101"/>
      <c r="G580" s="101"/>
      <c r="H580" s="101"/>
      <c r="I580" s="106"/>
      <c r="J580" s="106"/>
      <c r="K580" s="106"/>
      <c r="L580" s="106"/>
      <c r="M580" s="106"/>
      <c r="N580" s="103" t="str">
        <f aca="false">IF(OR($B580="", $I580="", $J580="", $K580="", $L580="", $M580=""),"",ROUND(($I580*Lists!$AD$2)+($J580*Lists!$AD$3)+($K580*Lists!$AD$4)+($L580*Lists!$AD$5)+($M580*Lists!$AD$6),2))</f>
        <v/>
      </c>
      <c r="O580" s="103" t="str">
        <f aca="false">IF($A580="","",IFERROR(VLOOKUP($A580,'Risk Register'!$B$2:$I$1000,8,FALSE()),""))</f>
        <v/>
      </c>
      <c r="P580" s="106"/>
      <c r="Q580" s="106"/>
      <c r="R580" s="106"/>
      <c r="S580" s="106"/>
      <c r="T580" s="103" t="str">
        <f aca="false">IF(OR($B580="", $P580="", $Q580="", $R580="", $S580=""),"",ROUND(($P580*Lists!$AD$7)+($Q580*Lists!$AD$8)+($R580*Lists!$AD$9)+($S580*Lists!$AD$10),2))</f>
        <v/>
      </c>
      <c r="U580" s="106"/>
      <c r="V580" s="106"/>
      <c r="W580" s="106"/>
      <c r="X580" s="106"/>
      <c r="Y580" s="106"/>
      <c r="Z580" s="103" t="str">
        <f aca="false">IF(OR($B580="", $U580="", $V580="", $W580="", $X580="", $Y580=""),"",ROUND(($U580*Lists!$AD$11)+($V580*Lists!$AD$12)+($W580*Lists!$AD$13)+($X580*Lists!$AD$14)+($Y580*Lists!$AD$15),2))</f>
        <v/>
      </c>
      <c r="AA580" s="103" t="str">
        <f aca="false">IF(OR($B580="", $N580="", $O580="", $T580="", $Z580=""),"",ROUND(($N580*Lists!$AD$16)-($O580*Lists!$AD$17)-($T580*Lists!$AD$18)+($Z580*Lists!$AD$19),2))</f>
        <v/>
      </c>
      <c r="AB580" s="102" t="str">
        <f aca="false">IF(OR($B580="", $N580="", $Z580=""),"",IF($N580&gt;=Lists!$AG$2,IF($Z580&gt;=Lists!$AG$3,"Invest","Migrate"),IF($Z580&gt;=Lists!$AG$3,"Tolerate","Eliminate")))</f>
        <v/>
      </c>
      <c r="AC580" s="102" t="str">
        <f aca="false">IF($B580="","",IF($J580&gt;=4,"Yes",""))</f>
        <v/>
      </c>
      <c r="AD580" s="102" t="str">
        <f aca="false">IF($A580="","",IFERROR(IF(VLOOKUP($A580,'Risk Register'!$B$2:$H$1000,4,FALSE())&gt;=4,"Yes",""),""))</f>
        <v/>
      </c>
      <c r="AE580" s="102" t="str">
        <f aca="false">IF(OR($N580="", $O580=""),"",IF($N580&gt;=Lists!$AG$2,IF($O580&gt;=Lists!$AG$4,"High Value / High Risk","High Value / Low Risk"),IF($O580&gt;=Lists!$AG$4,"Low Value / High Risk","Low Value / Low Risk")))</f>
        <v/>
      </c>
      <c r="AF580" s="101"/>
      <c r="AG580" s="126"/>
      <c r="AH580" s="106" t="str">
        <f aca="false">IF($B580="","",COUNTIFS('Debt Backlog'!$AF$2:$AF$1000,$A580,'Debt Backlog'!$B$2:$B$1000,"&lt;&gt;",'Debt Backlog'!$N$2:$N$1000,"&lt;&gt;Done",'Debt Backlog'!$N$2:$N$1000,"&lt;&gt;Won't Fix",'Debt Backlog'!$N$2:$N$1000,"&lt;&gt;Duplicate"))</f>
        <v/>
      </c>
      <c r="AI580" s="103" t="str">
        <f aca="false">IF($B580="","",ROUND(SUMIFS('Debt Backlog'!$L$2:$L$1000,'Debt Backlog'!$AF$2:$AF$1000,$A580,'Debt Backlog'!$B$2:$B$1000,"&lt;&gt;",'Debt Backlog'!$N$2:$N$1000,"&lt;&gt;Done",'Debt Backlog'!$N$2:$N$1000,"&lt;&gt;Won't Fix",'Debt Backlog'!$N$2:$N$1000,"&lt;&gt;Duplicate"),2))</f>
        <v/>
      </c>
    </row>
    <row r="581" customFormat="false" ht="15.75" hidden="false" customHeight="true" outlineLevel="0" collapsed="false">
      <c r="A581" s="125"/>
      <c r="B581" s="101"/>
      <c r="C581" s="101"/>
      <c r="D581" s="101"/>
      <c r="E581" s="101"/>
      <c r="F581" s="101"/>
      <c r="G581" s="101"/>
      <c r="H581" s="101"/>
      <c r="I581" s="106"/>
      <c r="J581" s="106"/>
      <c r="K581" s="106"/>
      <c r="L581" s="106"/>
      <c r="M581" s="106"/>
      <c r="N581" s="103" t="str">
        <f aca="false">IF(OR($B581="", $I581="", $J581="", $K581="", $L581="", $M581=""),"",ROUND(($I581*Lists!$AD$2)+($J581*Lists!$AD$3)+($K581*Lists!$AD$4)+($L581*Lists!$AD$5)+($M581*Lists!$AD$6),2))</f>
        <v/>
      </c>
      <c r="O581" s="103" t="str">
        <f aca="false">IF($A581="","",IFERROR(VLOOKUP($A581,'Risk Register'!$B$2:$I$1000,8,FALSE()),""))</f>
        <v/>
      </c>
      <c r="P581" s="106"/>
      <c r="Q581" s="106"/>
      <c r="R581" s="106"/>
      <c r="S581" s="106"/>
      <c r="T581" s="103" t="str">
        <f aca="false">IF(OR($B581="", $P581="", $Q581="", $R581="", $S581=""),"",ROUND(($P581*Lists!$AD$7)+($Q581*Lists!$AD$8)+($R581*Lists!$AD$9)+($S581*Lists!$AD$10),2))</f>
        <v/>
      </c>
      <c r="U581" s="106"/>
      <c r="V581" s="106"/>
      <c r="W581" s="106"/>
      <c r="X581" s="106"/>
      <c r="Y581" s="106"/>
      <c r="Z581" s="103" t="str">
        <f aca="false">IF(OR($B581="", $U581="", $V581="", $W581="", $X581="", $Y581=""),"",ROUND(($U581*Lists!$AD$11)+($V581*Lists!$AD$12)+($W581*Lists!$AD$13)+($X581*Lists!$AD$14)+($Y581*Lists!$AD$15),2))</f>
        <v/>
      </c>
      <c r="AA581" s="103" t="str">
        <f aca="false">IF(OR($B581="", $N581="", $O581="", $T581="", $Z581=""),"",ROUND(($N581*Lists!$AD$16)-($O581*Lists!$AD$17)-($T581*Lists!$AD$18)+($Z581*Lists!$AD$19),2))</f>
        <v/>
      </c>
      <c r="AB581" s="102" t="str">
        <f aca="false">IF(OR($B581="", $N581="", $Z581=""),"",IF($N581&gt;=Lists!$AG$2,IF($Z581&gt;=Lists!$AG$3,"Invest","Migrate"),IF($Z581&gt;=Lists!$AG$3,"Tolerate","Eliminate")))</f>
        <v/>
      </c>
      <c r="AC581" s="102" t="str">
        <f aca="false">IF($B581="","",IF($J581&gt;=4,"Yes",""))</f>
        <v/>
      </c>
      <c r="AD581" s="102" t="str">
        <f aca="false">IF($A581="","",IFERROR(IF(VLOOKUP($A581,'Risk Register'!$B$2:$H$1000,4,FALSE())&gt;=4,"Yes",""),""))</f>
        <v/>
      </c>
      <c r="AE581" s="102" t="str">
        <f aca="false">IF(OR($N581="", $O581=""),"",IF($N581&gt;=Lists!$AG$2,IF($O581&gt;=Lists!$AG$4,"High Value / High Risk","High Value / Low Risk"),IF($O581&gt;=Lists!$AG$4,"Low Value / High Risk","Low Value / Low Risk")))</f>
        <v/>
      </c>
      <c r="AF581" s="101"/>
      <c r="AG581" s="126"/>
      <c r="AH581" s="106" t="str">
        <f aca="false">IF($B581="","",COUNTIFS('Debt Backlog'!$AF$2:$AF$1000,$A581,'Debt Backlog'!$B$2:$B$1000,"&lt;&gt;",'Debt Backlog'!$N$2:$N$1000,"&lt;&gt;Done",'Debt Backlog'!$N$2:$N$1000,"&lt;&gt;Won't Fix",'Debt Backlog'!$N$2:$N$1000,"&lt;&gt;Duplicate"))</f>
        <v/>
      </c>
      <c r="AI581" s="103" t="str">
        <f aca="false">IF($B581="","",ROUND(SUMIFS('Debt Backlog'!$L$2:$L$1000,'Debt Backlog'!$AF$2:$AF$1000,$A581,'Debt Backlog'!$B$2:$B$1000,"&lt;&gt;",'Debt Backlog'!$N$2:$N$1000,"&lt;&gt;Done",'Debt Backlog'!$N$2:$N$1000,"&lt;&gt;Won't Fix",'Debt Backlog'!$N$2:$N$1000,"&lt;&gt;Duplicate"),2))</f>
        <v/>
      </c>
    </row>
    <row r="582" customFormat="false" ht="15.75" hidden="false" customHeight="true" outlineLevel="0" collapsed="false">
      <c r="A582" s="125"/>
      <c r="B582" s="101"/>
      <c r="C582" s="101"/>
      <c r="D582" s="101"/>
      <c r="E582" s="101"/>
      <c r="F582" s="101"/>
      <c r="G582" s="101"/>
      <c r="H582" s="101"/>
      <c r="I582" s="106"/>
      <c r="J582" s="106"/>
      <c r="K582" s="106"/>
      <c r="L582" s="106"/>
      <c r="M582" s="106"/>
      <c r="N582" s="103" t="str">
        <f aca="false">IF(OR($B582="", $I582="", $J582="", $K582="", $L582="", $M582=""),"",ROUND(($I582*Lists!$AD$2)+($J582*Lists!$AD$3)+($K582*Lists!$AD$4)+($L582*Lists!$AD$5)+($M582*Lists!$AD$6),2))</f>
        <v/>
      </c>
      <c r="O582" s="103" t="str">
        <f aca="false">IF($A582="","",IFERROR(VLOOKUP($A582,'Risk Register'!$B$2:$I$1000,8,FALSE()),""))</f>
        <v/>
      </c>
      <c r="P582" s="106"/>
      <c r="Q582" s="106"/>
      <c r="R582" s="106"/>
      <c r="S582" s="106"/>
      <c r="T582" s="103" t="str">
        <f aca="false">IF(OR($B582="", $P582="", $Q582="", $R582="", $S582=""),"",ROUND(($P582*Lists!$AD$7)+($Q582*Lists!$AD$8)+($R582*Lists!$AD$9)+($S582*Lists!$AD$10),2))</f>
        <v/>
      </c>
      <c r="U582" s="106"/>
      <c r="V582" s="106"/>
      <c r="W582" s="106"/>
      <c r="X582" s="106"/>
      <c r="Y582" s="106"/>
      <c r="Z582" s="103" t="str">
        <f aca="false">IF(OR($B582="", $U582="", $V582="", $W582="", $X582="", $Y582=""),"",ROUND(($U582*Lists!$AD$11)+($V582*Lists!$AD$12)+($W582*Lists!$AD$13)+($X582*Lists!$AD$14)+($Y582*Lists!$AD$15),2))</f>
        <v/>
      </c>
      <c r="AA582" s="103" t="str">
        <f aca="false">IF(OR($B582="", $N582="", $O582="", $T582="", $Z582=""),"",ROUND(($N582*Lists!$AD$16)-($O582*Lists!$AD$17)-($T582*Lists!$AD$18)+($Z582*Lists!$AD$19),2))</f>
        <v/>
      </c>
      <c r="AB582" s="102" t="str">
        <f aca="false">IF(OR($B582="", $N582="", $Z582=""),"",IF($N582&gt;=Lists!$AG$2,IF($Z582&gt;=Lists!$AG$3,"Invest","Migrate"),IF($Z582&gt;=Lists!$AG$3,"Tolerate","Eliminate")))</f>
        <v/>
      </c>
      <c r="AC582" s="102" t="str">
        <f aca="false">IF($B582="","",IF($J582&gt;=4,"Yes",""))</f>
        <v/>
      </c>
      <c r="AD582" s="102" t="str">
        <f aca="false">IF($A582="","",IFERROR(IF(VLOOKUP($A582,'Risk Register'!$B$2:$H$1000,4,FALSE())&gt;=4,"Yes",""),""))</f>
        <v/>
      </c>
      <c r="AE582" s="102" t="str">
        <f aca="false">IF(OR($N582="", $O582=""),"",IF($N582&gt;=Lists!$AG$2,IF($O582&gt;=Lists!$AG$4,"High Value / High Risk","High Value / Low Risk"),IF($O582&gt;=Lists!$AG$4,"Low Value / High Risk","Low Value / Low Risk")))</f>
        <v/>
      </c>
      <c r="AF582" s="101"/>
      <c r="AG582" s="126"/>
      <c r="AH582" s="106" t="str">
        <f aca="false">IF($B582="","",COUNTIFS('Debt Backlog'!$AF$2:$AF$1000,$A582,'Debt Backlog'!$B$2:$B$1000,"&lt;&gt;",'Debt Backlog'!$N$2:$N$1000,"&lt;&gt;Done",'Debt Backlog'!$N$2:$N$1000,"&lt;&gt;Won't Fix",'Debt Backlog'!$N$2:$N$1000,"&lt;&gt;Duplicate"))</f>
        <v/>
      </c>
      <c r="AI582" s="103" t="str">
        <f aca="false">IF($B582="","",ROUND(SUMIFS('Debt Backlog'!$L$2:$L$1000,'Debt Backlog'!$AF$2:$AF$1000,$A582,'Debt Backlog'!$B$2:$B$1000,"&lt;&gt;",'Debt Backlog'!$N$2:$N$1000,"&lt;&gt;Done",'Debt Backlog'!$N$2:$N$1000,"&lt;&gt;Won't Fix",'Debt Backlog'!$N$2:$N$1000,"&lt;&gt;Duplicate"),2))</f>
        <v/>
      </c>
    </row>
    <row r="583" customFormat="false" ht="15.75" hidden="false" customHeight="true" outlineLevel="0" collapsed="false">
      <c r="A583" s="125"/>
      <c r="B583" s="101"/>
      <c r="C583" s="101"/>
      <c r="D583" s="101"/>
      <c r="E583" s="101"/>
      <c r="F583" s="101"/>
      <c r="G583" s="101"/>
      <c r="H583" s="101"/>
      <c r="I583" s="106"/>
      <c r="J583" s="106"/>
      <c r="K583" s="106"/>
      <c r="L583" s="106"/>
      <c r="M583" s="106"/>
      <c r="N583" s="103" t="str">
        <f aca="false">IF(OR($B583="", $I583="", $J583="", $K583="", $L583="", $M583=""),"",ROUND(($I583*Lists!$AD$2)+($J583*Lists!$AD$3)+($K583*Lists!$AD$4)+($L583*Lists!$AD$5)+($M583*Lists!$AD$6),2))</f>
        <v/>
      </c>
      <c r="O583" s="103" t="str">
        <f aca="false">IF($A583="","",IFERROR(VLOOKUP($A583,'Risk Register'!$B$2:$I$1000,8,FALSE()),""))</f>
        <v/>
      </c>
      <c r="P583" s="106"/>
      <c r="Q583" s="106"/>
      <c r="R583" s="106"/>
      <c r="S583" s="106"/>
      <c r="T583" s="103" t="str">
        <f aca="false">IF(OR($B583="", $P583="", $Q583="", $R583="", $S583=""),"",ROUND(($P583*Lists!$AD$7)+($Q583*Lists!$AD$8)+($R583*Lists!$AD$9)+($S583*Lists!$AD$10),2))</f>
        <v/>
      </c>
      <c r="U583" s="106"/>
      <c r="V583" s="106"/>
      <c r="W583" s="106"/>
      <c r="X583" s="106"/>
      <c r="Y583" s="106"/>
      <c r="Z583" s="103" t="str">
        <f aca="false">IF(OR($B583="", $U583="", $V583="", $W583="", $X583="", $Y583=""),"",ROUND(($U583*Lists!$AD$11)+($V583*Lists!$AD$12)+($W583*Lists!$AD$13)+($X583*Lists!$AD$14)+($Y583*Lists!$AD$15),2))</f>
        <v/>
      </c>
      <c r="AA583" s="103" t="str">
        <f aca="false">IF(OR($B583="", $N583="", $O583="", $T583="", $Z583=""),"",ROUND(($N583*Lists!$AD$16)-($O583*Lists!$AD$17)-($T583*Lists!$AD$18)+($Z583*Lists!$AD$19),2))</f>
        <v/>
      </c>
      <c r="AB583" s="102" t="str">
        <f aca="false">IF(OR($B583="", $N583="", $Z583=""),"",IF($N583&gt;=Lists!$AG$2,IF($Z583&gt;=Lists!$AG$3,"Invest","Migrate"),IF($Z583&gt;=Lists!$AG$3,"Tolerate","Eliminate")))</f>
        <v/>
      </c>
      <c r="AC583" s="102" t="str">
        <f aca="false">IF($B583="","",IF($J583&gt;=4,"Yes",""))</f>
        <v/>
      </c>
      <c r="AD583" s="102" t="str">
        <f aca="false">IF($A583="","",IFERROR(IF(VLOOKUP($A583,'Risk Register'!$B$2:$H$1000,4,FALSE())&gt;=4,"Yes",""),""))</f>
        <v/>
      </c>
      <c r="AE583" s="102" t="str">
        <f aca="false">IF(OR($N583="", $O583=""),"",IF($N583&gt;=Lists!$AG$2,IF($O583&gt;=Lists!$AG$4,"High Value / High Risk","High Value / Low Risk"),IF($O583&gt;=Lists!$AG$4,"Low Value / High Risk","Low Value / Low Risk")))</f>
        <v/>
      </c>
      <c r="AF583" s="101"/>
      <c r="AG583" s="126"/>
      <c r="AH583" s="106" t="str">
        <f aca="false">IF($B583="","",COUNTIFS('Debt Backlog'!$AF$2:$AF$1000,$A583,'Debt Backlog'!$B$2:$B$1000,"&lt;&gt;",'Debt Backlog'!$N$2:$N$1000,"&lt;&gt;Done",'Debt Backlog'!$N$2:$N$1000,"&lt;&gt;Won't Fix",'Debt Backlog'!$N$2:$N$1000,"&lt;&gt;Duplicate"))</f>
        <v/>
      </c>
      <c r="AI583" s="103" t="str">
        <f aca="false">IF($B583="","",ROUND(SUMIFS('Debt Backlog'!$L$2:$L$1000,'Debt Backlog'!$AF$2:$AF$1000,$A583,'Debt Backlog'!$B$2:$B$1000,"&lt;&gt;",'Debt Backlog'!$N$2:$N$1000,"&lt;&gt;Done",'Debt Backlog'!$N$2:$N$1000,"&lt;&gt;Won't Fix",'Debt Backlog'!$N$2:$N$1000,"&lt;&gt;Duplicate"),2))</f>
        <v/>
      </c>
    </row>
    <row r="584" customFormat="false" ht="15.75" hidden="false" customHeight="true" outlineLevel="0" collapsed="false">
      <c r="A584" s="125"/>
      <c r="B584" s="101"/>
      <c r="C584" s="101"/>
      <c r="D584" s="101"/>
      <c r="E584" s="101"/>
      <c r="F584" s="101"/>
      <c r="G584" s="101"/>
      <c r="H584" s="101"/>
      <c r="I584" s="106"/>
      <c r="J584" s="106"/>
      <c r="K584" s="106"/>
      <c r="L584" s="106"/>
      <c r="M584" s="106"/>
      <c r="N584" s="103" t="str">
        <f aca="false">IF(OR($B584="", $I584="", $J584="", $K584="", $L584="", $M584=""),"",ROUND(($I584*Lists!$AD$2)+($J584*Lists!$AD$3)+($K584*Lists!$AD$4)+($L584*Lists!$AD$5)+($M584*Lists!$AD$6),2))</f>
        <v/>
      </c>
      <c r="O584" s="103" t="str">
        <f aca="false">IF($A584="","",IFERROR(VLOOKUP($A584,'Risk Register'!$B$2:$I$1000,8,FALSE()),""))</f>
        <v/>
      </c>
      <c r="P584" s="106"/>
      <c r="Q584" s="106"/>
      <c r="R584" s="106"/>
      <c r="S584" s="106"/>
      <c r="T584" s="103" t="str">
        <f aca="false">IF(OR($B584="", $P584="", $Q584="", $R584="", $S584=""),"",ROUND(($P584*Lists!$AD$7)+($Q584*Lists!$AD$8)+($R584*Lists!$AD$9)+($S584*Lists!$AD$10),2))</f>
        <v/>
      </c>
      <c r="U584" s="106"/>
      <c r="V584" s="106"/>
      <c r="W584" s="106"/>
      <c r="X584" s="106"/>
      <c r="Y584" s="106"/>
      <c r="Z584" s="103" t="str">
        <f aca="false">IF(OR($B584="", $U584="", $V584="", $W584="", $X584="", $Y584=""),"",ROUND(($U584*Lists!$AD$11)+($V584*Lists!$AD$12)+($W584*Lists!$AD$13)+($X584*Lists!$AD$14)+($Y584*Lists!$AD$15),2))</f>
        <v/>
      </c>
      <c r="AA584" s="103" t="str">
        <f aca="false">IF(OR($B584="", $N584="", $O584="", $T584="", $Z584=""),"",ROUND(($N584*Lists!$AD$16)-($O584*Lists!$AD$17)-($T584*Lists!$AD$18)+($Z584*Lists!$AD$19),2))</f>
        <v/>
      </c>
      <c r="AB584" s="102" t="str">
        <f aca="false">IF(OR($B584="", $N584="", $Z584=""),"",IF($N584&gt;=Lists!$AG$2,IF($Z584&gt;=Lists!$AG$3,"Invest","Migrate"),IF($Z584&gt;=Lists!$AG$3,"Tolerate","Eliminate")))</f>
        <v/>
      </c>
      <c r="AC584" s="102" t="str">
        <f aca="false">IF($B584="","",IF($J584&gt;=4,"Yes",""))</f>
        <v/>
      </c>
      <c r="AD584" s="102" t="str">
        <f aca="false">IF($A584="","",IFERROR(IF(VLOOKUP($A584,'Risk Register'!$B$2:$H$1000,4,FALSE())&gt;=4,"Yes",""),""))</f>
        <v/>
      </c>
      <c r="AE584" s="102" t="str">
        <f aca="false">IF(OR($N584="", $O584=""),"",IF($N584&gt;=Lists!$AG$2,IF($O584&gt;=Lists!$AG$4,"High Value / High Risk","High Value / Low Risk"),IF($O584&gt;=Lists!$AG$4,"Low Value / High Risk","Low Value / Low Risk")))</f>
        <v/>
      </c>
      <c r="AF584" s="101"/>
      <c r="AG584" s="126"/>
      <c r="AH584" s="106" t="str">
        <f aca="false">IF($B584="","",COUNTIFS('Debt Backlog'!$AF$2:$AF$1000,$A584,'Debt Backlog'!$B$2:$B$1000,"&lt;&gt;",'Debt Backlog'!$N$2:$N$1000,"&lt;&gt;Done",'Debt Backlog'!$N$2:$N$1000,"&lt;&gt;Won't Fix",'Debt Backlog'!$N$2:$N$1000,"&lt;&gt;Duplicate"))</f>
        <v/>
      </c>
      <c r="AI584" s="103" t="str">
        <f aca="false">IF($B584="","",ROUND(SUMIFS('Debt Backlog'!$L$2:$L$1000,'Debt Backlog'!$AF$2:$AF$1000,$A584,'Debt Backlog'!$B$2:$B$1000,"&lt;&gt;",'Debt Backlog'!$N$2:$N$1000,"&lt;&gt;Done",'Debt Backlog'!$N$2:$N$1000,"&lt;&gt;Won't Fix",'Debt Backlog'!$N$2:$N$1000,"&lt;&gt;Duplicate"),2))</f>
        <v/>
      </c>
    </row>
    <row r="585" customFormat="false" ht="15.75" hidden="false" customHeight="true" outlineLevel="0" collapsed="false">
      <c r="A585" s="125"/>
      <c r="B585" s="101"/>
      <c r="C585" s="101"/>
      <c r="D585" s="101"/>
      <c r="E585" s="101"/>
      <c r="F585" s="101"/>
      <c r="G585" s="101"/>
      <c r="H585" s="101"/>
      <c r="I585" s="106"/>
      <c r="J585" s="106"/>
      <c r="K585" s="106"/>
      <c r="L585" s="106"/>
      <c r="M585" s="106"/>
      <c r="N585" s="103" t="str">
        <f aca="false">IF(OR($B585="", $I585="", $J585="", $K585="", $L585="", $M585=""),"",ROUND(($I585*Lists!$AD$2)+($J585*Lists!$AD$3)+($K585*Lists!$AD$4)+($L585*Lists!$AD$5)+($M585*Lists!$AD$6),2))</f>
        <v/>
      </c>
      <c r="O585" s="103" t="str">
        <f aca="false">IF($A585="","",IFERROR(VLOOKUP($A585,'Risk Register'!$B$2:$I$1000,8,FALSE()),""))</f>
        <v/>
      </c>
      <c r="P585" s="106"/>
      <c r="Q585" s="106"/>
      <c r="R585" s="106"/>
      <c r="S585" s="106"/>
      <c r="T585" s="103" t="str">
        <f aca="false">IF(OR($B585="", $P585="", $Q585="", $R585="", $S585=""),"",ROUND(($P585*Lists!$AD$7)+($Q585*Lists!$AD$8)+($R585*Lists!$AD$9)+($S585*Lists!$AD$10),2))</f>
        <v/>
      </c>
      <c r="U585" s="106"/>
      <c r="V585" s="106"/>
      <c r="W585" s="106"/>
      <c r="X585" s="106"/>
      <c r="Y585" s="106"/>
      <c r="Z585" s="103" t="str">
        <f aca="false">IF(OR($B585="", $U585="", $V585="", $W585="", $X585="", $Y585=""),"",ROUND(($U585*Lists!$AD$11)+($V585*Lists!$AD$12)+($W585*Lists!$AD$13)+($X585*Lists!$AD$14)+($Y585*Lists!$AD$15),2))</f>
        <v/>
      </c>
      <c r="AA585" s="103" t="str">
        <f aca="false">IF(OR($B585="", $N585="", $O585="", $T585="", $Z585=""),"",ROUND(($N585*Lists!$AD$16)-($O585*Lists!$AD$17)-($T585*Lists!$AD$18)+($Z585*Lists!$AD$19),2))</f>
        <v/>
      </c>
      <c r="AB585" s="102" t="str">
        <f aca="false">IF(OR($B585="", $N585="", $Z585=""),"",IF($N585&gt;=Lists!$AG$2,IF($Z585&gt;=Lists!$AG$3,"Invest","Migrate"),IF($Z585&gt;=Lists!$AG$3,"Tolerate","Eliminate")))</f>
        <v/>
      </c>
      <c r="AC585" s="102" t="str">
        <f aca="false">IF($B585="","",IF($J585&gt;=4,"Yes",""))</f>
        <v/>
      </c>
      <c r="AD585" s="102" t="str">
        <f aca="false">IF($A585="","",IFERROR(IF(VLOOKUP($A585,'Risk Register'!$B$2:$H$1000,4,FALSE())&gt;=4,"Yes",""),""))</f>
        <v/>
      </c>
      <c r="AE585" s="102" t="str">
        <f aca="false">IF(OR($N585="", $O585=""),"",IF($N585&gt;=Lists!$AG$2,IF($O585&gt;=Lists!$AG$4,"High Value / High Risk","High Value / Low Risk"),IF($O585&gt;=Lists!$AG$4,"Low Value / High Risk","Low Value / Low Risk")))</f>
        <v/>
      </c>
      <c r="AF585" s="101"/>
      <c r="AG585" s="126"/>
      <c r="AH585" s="106" t="str">
        <f aca="false">IF($B585="","",COUNTIFS('Debt Backlog'!$AF$2:$AF$1000,$A585,'Debt Backlog'!$B$2:$B$1000,"&lt;&gt;",'Debt Backlog'!$N$2:$N$1000,"&lt;&gt;Done",'Debt Backlog'!$N$2:$N$1000,"&lt;&gt;Won't Fix",'Debt Backlog'!$N$2:$N$1000,"&lt;&gt;Duplicate"))</f>
        <v/>
      </c>
      <c r="AI585" s="103" t="str">
        <f aca="false">IF($B585="","",ROUND(SUMIFS('Debt Backlog'!$L$2:$L$1000,'Debt Backlog'!$AF$2:$AF$1000,$A585,'Debt Backlog'!$B$2:$B$1000,"&lt;&gt;",'Debt Backlog'!$N$2:$N$1000,"&lt;&gt;Done",'Debt Backlog'!$N$2:$N$1000,"&lt;&gt;Won't Fix",'Debt Backlog'!$N$2:$N$1000,"&lt;&gt;Duplicate"),2))</f>
        <v/>
      </c>
    </row>
    <row r="586" customFormat="false" ht="15.75" hidden="false" customHeight="true" outlineLevel="0" collapsed="false">
      <c r="A586" s="125"/>
      <c r="B586" s="101"/>
      <c r="C586" s="101"/>
      <c r="D586" s="101"/>
      <c r="E586" s="101"/>
      <c r="F586" s="101"/>
      <c r="G586" s="101"/>
      <c r="H586" s="101"/>
      <c r="I586" s="106"/>
      <c r="J586" s="106"/>
      <c r="K586" s="106"/>
      <c r="L586" s="106"/>
      <c r="M586" s="106"/>
      <c r="N586" s="103" t="str">
        <f aca="false">IF(OR($B586="", $I586="", $J586="", $K586="", $L586="", $M586=""),"",ROUND(($I586*Lists!$AD$2)+($J586*Lists!$AD$3)+($K586*Lists!$AD$4)+($L586*Lists!$AD$5)+($M586*Lists!$AD$6),2))</f>
        <v/>
      </c>
      <c r="O586" s="103" t="str">
        <f aca="false">IF($A586="","",IFERROR(VLOOKUP($A586,'Risk Register'!$B$2:$I$1000,8,FALSE()),""))</f>
        <v/>
      </c>
      <c r="P586" s="106"/>
      <c r="Q586" s="106"/>
      <c r="R586" s="106"/>
      <c r="S586" s="106"/>
      <c r="T586" s="103" t="str">
        <f aca="false">IF(OR($B586="", $P586="", $Q586="", $R586="", $S586=""),"",ROUND(($P586*Lists!$AD$7)+($Q586*Lists!$AD$8)+($R586*Lists!$AD$9)+($S586*Lists!$AD$10),2))</f>
        <v/>
      </c>
      <c r="U586" s="106"/>
      <c r="V586" s="106"/>
      <c r="W586" s="106"/>
      <c r="X586" s="106"/>
      <c r="Y586" s="106"/>
      <c r="Z586" s="103" t="str">
        <f aca="false">IF(OR($B586="", $U586="", $V586="", $W586="", $X586="", $Y586=""),"",ROUND(($U586*Lists!$AD$11)+($V586*Lists!$AD$12)+($W586*Lists!$AD$13)+($X586*Lists!$AD$14)+($Y586*Lists!$AD$15),2))</f>
        <v/>
      </c>
      <c r="AA586" s="103" t="str">
        <f aca="false">IF(OR($B586="", $N586="", $O586="", $T586="", $Z586=""),"",ROUND(($N586*Lists!$AD$16)-($O586*Lists!$AD$17)-($T586*Lists!$AD$18)+($Z586*Lists!$AD$19),2))</f>
        <v/>
      </c>
      <c r="AB586" s="102" t="str">
        <f aca="false">IF(OR($B586="", $N586="", $Z586=""),"",IF($N586&gt;=Lists!$AG$2,IF($Z586&gt;=Lists!$AG$3,"Invest","Migrate"),IF($Z586&gt;=Lists!$AG$3,"Tolerate","Eliminate")))</f>
        <v/>
      </c>
      <c r="AC586" s="102" t="str">
        <f aca="false">IF($B586="","",IF($J586&gt;=4,"Yes",""))</f>
        <v/>
      </c>
      <c r="AD586" s="102" t="str">
        <f aca="false">IF($A586="","",IFERROR(IF(VLOOKUP($A586,'Risk Register'!$B$2:$H$1000,4,FALSE())&gt;=4,"Yes",""),""))</f>
        <v/>
      </c>
      <c r="AE586" s="102" t="str">
        <f aca="false">IF(OR($N586="", $O586=""),"",IF($N586&gt;=Lists!$AG$2,IF($O586&gt;=Lists!$AG$4,"High Value / High Risk","High Value / Low Risk"),IF($O586&gt;=Lists!$AG$4,"Low Value / High Risk","Low Value / Low Risk")))</f>
        <v/>
      </c>
      <c r="AF586" s="101"/>
      <c r="AG586" s="126"/>
      <c r="AH586" s="106" t="str">
        <f aca="false">IF($B586="","",COUNTIFS('Debt Backlog'!$AF$2:$AF$1000,$A586,'Debt Backlog'!$B$2:$B$1000,"&lt;&gt;",'Debt Backlog'!$N$2:$N$1000,"&lt;&gt;Done",'Debt Backlog'!$N$2:$N$1000,"&lt;&gt;Won't Fix",'Debt Backlog'!$N$2:$N$1000,"&lt;&gt;Duplicate"))</f>
        <v/>
      </c>
      <c r="AI586" s="103" t="str">
        <f aca="false">IF($B586="","",ROUND(SUMIFS('Debt Backlog'!$L$2:$L$1000,'Debt Backlog'!$AF$2:$AF$1000,$A586,'Debt Backlog'!$B$2:$B$1000,"&lt;&gt;",'Debt Backlog'!$N$2:$N$1000,"&lt;&gt;Done",'Debt Backlog'!$N$2:$N$1000,"&lt;&gt;Won't Fix",'Debt Backlog'!$N$2:$N$1000,"&lt;&gt;Duplicate"),2))</f>
        <v/>
      </c>
    </row>
    <row r="587" customFormat="false" ht="15.75" hidden="false" customHeight="true" outlineLevel="0" collapsed="false">
      <c r="A587" s="125"/>
      <c r="B587" s="101"/>
      <c r="C587" s="101"/>
      <c r="D587" s="101"/>
      <c r="E587" s="101"/>
      <c r="F587" s="101"/>
      <c r="G587" s="101"/>
      <c r="H587" s="101"/>
      <c r="I587" s="106"/>
      <c r="J587" s="106"/>
      <c r="K587" s="106"/>
      <c r="L587" s="106"/>
      <c r="M587" s="106"/>
      <c r="N587" s="103" t="str">
        <f aca="false">IF(OR($B587="", $I587="", $J587="", $K587="", $L587="", $M587=""),"",ROUND(($I587*Lists!$AD$2)+($J587*Lists!$AD$3)+($K587*Lists!$AD$4)+($L587*Lists!$AD$5)+($M587*Lists!$AD$6),2))</f>
        <v/>
      </c>
      <c r="O587" s="103" t="str">
        <f aca="false">IF($A587="","",IFERROR(VLOOKUP($A587,'Risk Register'!$B$2:$I$1000,8,FALSE()),""))</f>
        <v/>
      </c>
      <c r="P587" s="106"/>
      <c r="Q587" s="106"/>
      <c r="R587" s="106"/>
      <c r="S587" s="106"/>
      <c r="T587" s="103" t="str">
        <f aca="false">IF(OR($B587="", $P587="", $Q587="", $R587="", $S587=""),"",ROUND(($P587*Lists!$AD$7)+($Q587*Lists!$AD$8)+($R587*Lists!$AD$9)+($S587*Lists!$AD$10),2))</f>
        <v/>
      </c>
      <c r="U587" s="106"/>
      <c r="V587" s="106"/>
      <c r="W587" s="106"/>
      <c r="X587" s="106"/>
      <c r="Y587" s="106"/>
      <c r="Z587" s="103" t="str">
        <f aca="false">IF(OR($B587="", $U587="", $V587="", $W587="", $X587="", $Y587=""),"",ROUND(($U587*Lists!$AD$11)+($V587*Lists!$AD$12)+($W587*Lists!$AD$13)+($X587*Lists!$AD$14)+($Y587*Lists!$AD$15),2))</f>
        <v/>
      </c>
      <c r="AA587" s="103" t="str">
        <f aca="false">IF(OR($B587="", $N587="", $O587="", $T587="", $Z587=""),"",ROUND(($N587*Lists!$AD$16)-($O587*Lists!$AD$17)-($T587*Lists!$AD$18)+($Z587*Lists!$AD$19),2))</f>
        <v/>
      </c>
      <c r="AB587" s="102" t="str">
        <f aca="false">IF(OR($B587="", $N587="", $Z587=""),"",IF($N587&gt;=Lists!$AG$2,IF($Z587&gt;=Lists!$AG$3,"Invest","Migrate"),IF($Z587&gt;=Lists!$AG$3,"Tolerate","Eliminate")))</f>
        <v/>
      </c>
      <c r="AC587" s="102" t="str">
        <f aca="false">IF($B587="","",IF($J587&gt;=4,"Yes",""))</f>
        <v/>
      </c>
      <c r="AD587" s="102" t="str">
        <f aca="false">IF($A587="","",IFERROR(IF(VLOOKUP($A587,'Risk Register'!$B$2:$H$1000,4,FALSE())&gt;=4,"Yes",""),""))</f>
        <v/>
      </c>
      <c r="AE587" s="102" t="str">
        <f aca="false">IF(OR($N587="", $O587=""),"",IF($N587&gt;=Lists!$AG$2,IF($O587&gt;=Lists!$AG$4,"High Value / High Risk","High Value / Low Risk"),IF($O587&gt;=Lists!$AG$4,"Low Value / High Risk","Low Value / Low Risk")))</f>
        <v/>
      </c>
      <c r="AF587" s="101"/>
      <c r="AG587" s="126"/>
      <c r="AH587" s="106" t="str">
        <f aca="false">IF($B587="","",COUNTIFS('Debt Backlog'!$AF$2:$AF$1000,$A587,'Debt Backlog'!$B$2:$B$1000,"&lt;&gt;",'Debt Backlog'!$N$2:$N$1000,"&lt;&gt;Done",'Debt Backlog'!$N$2:$N$1000,"&lt;&gt;Won't Fix",'Debt Backlog'!$N$2:$N$1000,"&lt;&gt;Duplicate"))</f>
        <v/>
      </c>
      <c r="AI587" s="103" t="str">
        <f aca="false">IF($B587="","",ROUND(SUMIFS('Debt Backlog'!$L$2:$L$1000,'Debt Backlog'!$AF$2:$AF$1000,$A587,'Debt Backlog'!$B$2:$B$1000,"&lt;&gt;",'Debt Backlog'!$N$2:$N$1000,"&lt;&gt;Done",'Debt Backlog'!$N$2:$N$1000,"&lt;&gt;Won't Fix",'Debt Backlog'!$N$2:$N$1000,"&lt;&gt;Duplicate"),2))</f>
        <v/>
      </c>
    </row>
    <row r="588" customFormat="false" ht="15.75" hidden="false" customHeight="true" outlineLevel="0" collapsed="false">
      <c r="A588" s="125"/>
      <c r="B588" s="101"/>
      <c r="C588" s="101"/>
      <c r="D588" s="101"/>
      <c r="E588" s="101"/>
      <c r="F588" s="101"/>
      <c r="G588" s="101"/>
      <c r="H588" s="101"/>
      <c r="I588" s="106"/>
      <c r="J588" s="106"/>
      <c r="K588" s="106"/>
      <c r="L588" s="106"/>
      <c r="M588" s="106"/>
      <c r="N588" s="103" t="str">
        <f aca="false">IF(OR($B588="", $I588="", $J588="", $K588="", $L588="", $M588=""),"",ROUND(($I588*Lists!$AD$2)+($J588*Lists!$AD$3)+($K588*Lists!$AD$4)+($L588*Lists!$AD$5)+($M588*Lists!$AD$6),2))</f>
        <v/>
      </c>
      <c r="O588" s="103" t="str">
        <f aca="false">IF($A588="","",IFERROR(VLOOKUP($A588,'Risk Register'!$B$2:$I$1000,8,FALSE()),""))</f>
        <v/>
      </c>
      <c r="P588" s="106"/>
      <c r="Q588" s="106"/>
      <c r="R588" s="106"/>
      <c r="S588" s="106"/>
      <c r="T588" s="103" t="str">
        <f aca="false">IF(OR($B588="", $P588="", $Q588="", $R588="", $S588=""),"",ROUND(($P588*Lists!$AD$7)+($Q588*Lists!$AD$8)+($R588*Lists!$AD$9)+($S588*Lists!$AD$10),2))</f>
        <v/>
      </c>
      <c r="U588" s="106"/>
      <c r="V588" s="106"/>
      <c r="W588" s="106"/>
      <c r="X588" s="106"/>
      <c r="Y588" s="106"/>
      <c r="Z588" s="103" t="str">
        <f aca="false">IF(OR($B588="", $U588="", $V588="", $W588="", $X588="", $Y588=""),"",ROUND(($U588*Lists!$AD$11)+($V588*Lists!$AD$12)+($W588*Lists!$AD$13)+($X588*Lists!$AD$14)+($Y588*Lists!$AD$15),2))</f>
        <v/>
      </c>
      <c r="AA588" s="103" t="str">
        <f aca="false">IF(OR($B588="", $N588="", $O588="", $T588="", $Z588=""),"",ROUND(($N588*Lists!$AD$16)-($O588*Lists!$AD$17)-($T588*Lists!$AD$18)+($Z588*Lists!$AD$19),2))</f>
        <v/>
      </c>
      <c r="AB588" s="102" t="str">
        <f aca="false">IF(OR($B588="", $N588="", $Z588=""),"",IF($N588&gt;=Lists!$AG$2,IF($Z588&gt;=Lists!$AG$3,"Invest","Migrate"),IF($Z588&gt;=Lists!$AG$3,"Tolerate","Eliminate")))</f>
        <v/>
      </c>
      <c r="AC588" s="102" t="str">
        <f aca="false">IF($B588="","",IF($J588&gt;=4,"Yes",""))</f>
        <v/>
      </c>
      <c r="AD588" s="102" t="str">
        <f aca="false">IF($A588="","",IFERROR(IF(VLOOKUP($A588,'Risk Register'!$B$2:$H$1000,4,FALSE())&gt;=4,"Yes",""),""))</f>
        <v/>
      </c>
      <c r="AE588" s="102" t="str">
        <f aca="false">IF(OR($N588="", $O588=""),"",IF($N588&gt;=Lists!$AG$2,IF($O588&gt;=Lists!$AG$4,"High Value / High Risk","High Value / Low Risk"),IF($O588&gt;=Lists!$AG$4,"Low Value / High Risk","Low Value / Low Risk")))</f>
        <v/>
      </c>
      <c r="AF588" s="101"/>
      <c r="AG588" s="126"/>
      <c r="AH588" s="106" t="str">
        <f aca="false">IF($B588="","",COUNTIFS('Debt Backlog'!$AF$2:$AF$1000,$A588,'Debt Backlog'!$B$2:$B$1000,"&lt;&gt;",'Debt Backlog'!$N$2:$N$1000,"&lt;&gt;Done",'Debt Backlog'!$N$2:$N$1000,"&lt;&gt;Won't Fix",'Debt Backlog'!$N$2:$N$1000,"&lt;&gt;Duplicate"))</f>
        <v/>
      </c>
      <c r="AI588" s="103" t="str">
        <f aca="false">IF($B588="","",ROUND(SUMIFS('Debt Backlog'!$L$2:$L$1000,'Debt Backlog'!$AF$2:$AF$1000,$A588,'Debt Backlog'!$B$2:$B$1000,"&lt;&gt;",'Debt Backlog'!$N$2:$N$1000,"&lt;&gt;Done",'Debt Backlog'!$N$2:$N$1000,"&lt;&gt;Won't Fix",'Debt Backlog'!$N$2:$N$1000,"&lt;&gt;Duplicate"),2))</f>
        <v/>
      </c>
    </row>
    <row r="589" customFormat="false" ht="15.75" hidden="false" customHeight="true" outlineLevel="0" collapsed="false">
      <c r="A589" s="125"/>
      <c r="B589" s="101"/>
      <c r="C589" s="101"/>
      <c r="D589" s="101"/>
      <c r="E589" s="101"/>
      <c r="F589" s="101"/>
      <c r="G589" s="101"/>
      <c r="H589" s="101"/>
      <c r="I589" s="106"/>
      <c r="J589" s="106"/>
      <c r="K589" s="106"/>
      <c r="L589" s="106"/>
      <c r="M589" s="106"/>
      <c r="N589" s="103" t="str">
        <f aca="false">IF(OR($B589="", $I589="", $J589="", $K589="", $L589="", $M589=""),"",ROUND(($I589*Lists!$AD$2)+($J589*Lists!$AD$3)+($K589*Lists!$AD$4)+($L589*Lists!$AD$5)+($M589*Lists!$AD$6),2))</f>
        <v/>
      </c>
      <c r="O589" s="103" t="str">
        <f aca="false">IF($A589="","",IFERROR(VLOOKUP($A589,'Risk Register'!$B$2:$I$1000,8,FALSE()),""))</f>
        <v/>
      </c>
      <c r="P589" s="106"/>
      <c r="Q589" s="106"/>
      <c r="R589" s="106"/>
      <c r="S589" s="106"/>
      <c r="T589" s="103" t="str">
        <f aca="false">IF(OR($B589="", $P589="", $Q589="", $R589="", $S589=""),"",ROUND(($P589*Lists!$AD$7)+($Q589*Lists!$AD$8)+($R589*Lists!$AD$9)+($S589*Lists!$AD$10),2))</f>
        <v/>
      </c>
      <c r="U589" s="106"/>
      <c r="V589" s="106"/>
      <c r="W589" s="106"/>
      <c r="X589" s="106"/>
      <c r="Y589" s="106"/>
      <c r="Z589" s="103" t="str">
        <f aca="false">IF(OR($B589="", $U589="", $V589="", $W589="", $X589="", $Y589=""),"",ROUND(($U589*Lists!$AD$11)+($V589*Lists!$AD$12)+($W589*Lists!$AD$13)+($X589*Lists!$AD$14)+($Y589*Lists!$AD$15),2))</f>
        <v/>
      </c>
      <c r="AA589" s="103" t="str">
        <f aca="false">IF(OR($B589="", $N589="", $O589="", $T589="", $Z589=""),"",ROUND(($N589*Lists!$AD$16)-($O589*Lists!$AD$17)-($T589*Lists!$AD$18)+($Z589*Lists!$AD$19),2))</f>
        <v/>
      </c>
      <c r="AB589" s="102" t="str">
        <f aca="false">IF(OR($B589="", $N589="", $Z589=""),"",IF($N589&gt;=Lists!$AG$2,IF($Z589&gt;=Lists!$AG$3,"Invest","Migrate"),IF($Z589&gt;=Lists!$AG$3,"Tolerate","Eliminate")))</f>
        <v/>
      </c>
      <c r="AC589" s="102" t="str">
        <f aca="false">IF($B589="","",IF($J589&gt;=4,"Yes",""))</f>
        <v/>
      </c>
      <c r="AD589" s="102" t="str">
        <f aca="false">IF($A589="","",IFERROR(IF(VLOOKUP($A589,'Risk Register'!$B$2:$H$1000,4,FALSE())&gt;=4,"Yes",""),""))</f>
        <v/>
      </c>
      <c r="AE589" s="102" t="str">
        <f aca="false">IF(OR($N589="", $O589=""),"",IF($N589&gt;=Lists!$AG$2,IF($O589&gt;=Lists!$AG$4,"High Value / High Risk","High Value / Low Risk"),IF($O589&gt;=Lists!$AG$4,"Low Value / High Risk","Low Value / Low Risk")))</f>
        <v/>
      </c>
      <c r="AF589" s="101"/>
      <c r="AG589" s="126"/>
      <c r="AH589" s="106" t="str">
        <f aca="false">IF($B589="","",COUNTIFS('Debt Backlog'!$AF$2:$AF$1000,$A589,'Debt Backlog'!$B$2:$B$1000,"&lt;&gt;",'Debt Backlog'!$N$2:$N$1000,"&lt;&gt;Done",'Debt Backlog'!$N$2:$N$1000,"&lt;&gt;Won't Fix",'Debt Backlog'!$N$2:$N$1000,"&lt;&gt;Duplicate"))</f>
        <v/>
      </c>
      <c r="AI589" s="103" t="str">
        <f aca="false">IF($B589="","",ROUND(SUMIFS('Debt Backlog'!$L$2:$L$1000,'Debt Backlog'!$AF$2:$AF$1000,$A589,'Debt Backlog'!$B$2:$B$1000,"&lt;&gt;",'Debt Backlog'!$N$2:$N$1000,"&lt;&gt;Done",'Debt Backlog'!$N$2:$N$1000,"&lt;&gt;Won't Fix",'Debt Backlog'!$N$2:$N$1000,"&lt;&gt;Duplicate"),2))</f>
        <v/>
      </c>
    </row>
    <row r="590" customFormat="false" ht="15.75" hidden="false" customHeight="true" outlineLevel="0" collapsed="false">
      <c r="A590" s="125"/>
      <c r="B590" s="101"/>
      <c r="C590" s="101"/>
      <c r="D590" s="101"/>
      <c r="E590" s="101"/>
      <c r="F590" s="101"/>
      <c r="G590" s="101"/>
      <c r="H590" s="101"/>
      <c r="I590" s="106"/>
      <c r="J590" s="106"/>
      <c r="K590" s="106"/>
      <c r="L590" s="106"/>
      <c r="M590" s="106"/>
      <c r="N590" s="103" t="str">
        <f aca="false">IF(OR($B590="", $I590="", $J590="", $K590="", $L590="", $M590=""),"",ROUND(($I590*Lists!$AD$2)+($J590*Lists!$AD$3)+($K590*Lists!$AD$4)+($L590*Lists!$AD$5)+($M590*Lists!$AD$6),2))</f>
        <v/>
      </c>
      <c r="O590" s="103" t="str">
        <f aca="false">IF($A590="","",IFERROR(VLOOKUP($A590,'Risk Register'!$B$2:$I$1000,8,FALSE()),""))</f>
        <v/>
      </c>
      <c r="P590" s="106"/>
      <c r="Q590" s="106"/>
      <c r="R590" s="106"/>
      <c r="S590" s="106"/>
      <c r="T590" s="103" t="str">
        <f aca="false">IF(OR($B590="", $P590="", $Q590="", $R590="", $S590=""),"",ROUND(($P590*Lists!$AD$7)+($Q590*Lists!$AD$8)+($R590*Lists!$AD$9)+($S590*Lists!$AD$10),2))</f>
        <v/>
      </c>
      <c r="U590" s="106"/>
      <c r="V590" s="106"/>
      <c r="W590" s="106"/>
      <c r="X590" s="106"/>
      <c r="Y590" s="106"/>
      <c r="Z590" s="103" t="str">
        <f aca="false">IF(OR($B590="", $U590="", $V590="", $W590="", $X590="", $Y590=""),"",ROUND(($U590*Lists!$AD$11)+($V590*Lists!$AD$12)+($W590*Lists!$AD$13)+($X590*Lists!$AD$14)+($Y590*Lists!$AD$15),2))</f>
        <v/>
      </c>
      <c r="AA590" s="103" t="str">
        <f aca="false">IF(OR($B590="", $N590="", $O590="", $T590="", $Z590=""),"",ROUND(($N590*Lists!$AD$16)-($O590*Lists!$AD$17)-($T590*Lists!$AD$18)+($Z590*Lists!$AD$19),2))</f>
        <v/>
      </c>
      <c r="AB590" s="102" t="str">
        <f aca="false">IF(OR($B590="", $N590="", $Z590=""),"",IF($N590&gt;=Lists!$AG$2,IF($Z590&gt;=Lists!$AG$3,"Invest","Migrate"),IF($Z590&gt;=Lists!$AG$3,"Tolerate","Eliminate")))</f>
        <v/>
      </c>
      <c r="AC590" s="102" t="str">
        <f aca="false">IF($B590="","",IF($J590&gt;=4,"Yes",""))</f>
        <v/>
      </c>
      <c r="AD590" s="102" t="str">
        <f aca="false">IF($A590="","",IFERROR(IF(VLOOKUP($A590,'Risk Register'!$B$2:$H$1000,4,FALSE())&gt;=4,"Yes",""),""))</f>
        <v/>
      </c>
      <c r="AE590" s="102" t="str">
        <f aca="false">IF(OR($N590="", $O590=""),"",IF($N590&gt;=Lists!$AG$2,IF($O590&gt;=Lists!$AG$4,"High Value / High Risk","High Value / Low Risk"),IF($O590&gt;=Lists!$AG$4,"Low Value / High Risk","Low Value / Low Risk")))</f>
        <v/>
      </c>
      <c r="AF590" s="101"/>
      <c r="AG590" s="126"/>
      <c r="AH590" s="106" t="str">
        <f aca="false">IF($B590="","",COUNTIFS('Debt Backlog'!$AF$2:$AF$1000,$A590,'Debt Backlog'!$B$2:$B$1000,"&lt;&gt;",'Debt Backlog'!$N$2:$N$1000,"&lt;&gt;Done",'Debt Backlog'!$N$2:$N$1000,"&lt;&gt;Won't Fix",'Debt Backlog'!$N$2:$N$1000,"&lt;&gt;Duplicate"))</f>
        <v/>
      </c>
      <c r="AI590" s="103" t="str">
        <f aca="false">IF($B590="","",ROUND(SUMIFS('Debt Backlog'!$L$2:$L$1000,'Debt Backlog'!$AF$2:$AF$1000,$A590,'Debt Backlog'!$B$2:$B$1000,"&lt;&gt;",'Debt Backlog'!$N$2:$N$1000,"&lt;&gt;Done",'Debt Backlog'!$N$2:$N$1000,"&lt;&gt;Won't Fix",'Debt Backlog'!$N$2:$N$1000,"&lt;&gt;Duplicate"),2))</f>
        <v/>
      </c>
    </row>
    <row r="591" customFormat="false" ht="15.75" hidden="false" customHeight="true" outlineLevel="0" collapsed="false">
      <c r="A591" s="125"/>
      <c r="B591" s="101"/>
      <c r="C591" s="101"/>
      <c r="D591" s="101"/>
      <c r="E591" s="101"/>
      <c r="F591" s="101"/>
      <c r="G591" s="101"/>
      <c r="H591" s="101"/>
      <c r="I591" s="106"/>
      <c r="J591" s="106"/>
      <c r="K591" s="106"/>
      <c r="L591" s="106"/>
      <c r="M591" s="106"/>
      <c r="N591" s="103" t="str">
        <f aca="false">IF(OR($B591="", $I591="", $J591="", $K591="", $L591="", $M591=""),"",ROUND(($I591*Lists!$AD$2)+($J591*Lists!$AD$3)+($K591*Lists!$AD$4)+($L591*Lists!$AD$5)+($M591*Lists!$AD$6),2))</f>
        <v/>
      </c>
      <c r="O591" s="103" t="str">
        <f aca="false">IF($A591="","",IFERROR(VLOOKUP($A591,'Risk Register'!$B$2:$I$1000,8,FALSE()),""))</f>
        <v/>
      </c>
      <c r="P591" s="106"/>
      <c r="Q591" s="106"/>
      <c r="R591" s="106"/>
      <c r="S591" s="106"/>
      <c r="T591" s="103" t="str">
        <f aca="false">IF(OR($B591="", $P591="", $Q591="", $R591="", $S591=""),"",ROUND(($P591*Lists!$AD$7)+($Q591*Lists!$AD$8)+($R591*Lists!$AD$9)+($S591*Lists!$AD$10),2))</f>
        <v/>
      </c>
      <c r="U591" s="106"/>
      <c r="V591" s="106"/>
      <c r="W591" s="106"/>
      <c r="X591" s="106"/>
      <c r="Y591" s="106"/>
      <c r="Z591" s="103" t="str">
        <f aca="false">IF(OR($B591="", $U591="", $V591="", $W591="", $X591="", $Y591=""),"",ROUND(($U591*Lists!$AD$11)+($V591*Lists!$AD$12)+($W591*Lists!$AD$13)+($X591*Lists!$AD$14)+($Y591*Lists!$AD$15),2))</f>
        <v/>
      </c>
      <c r="AA591" s="103" t="str">
        <f aca="false">IF(OR($B591="", $N591="", $O591="", $T591="", $Z591=""),"",ROUND(($N591*Lists!$AD$16)-($O591*Lists!$AD$17)-($T591*Lists!$AD$18)+($Z591*Lists!$AD$19),2))</f>
        <v/>
      </c>
      <c r="AB591" s="102" t="str">
        <f aca="false">IF(OR($B591="", $N591="", $Z591=""),"",IF($N591&gt;=Lists!$AG$2,IF($Z591&gt;=Lists!$AG$3,"Invest","Migrate"),IF($Z591&gt;=Lists!$AG$3,"Tolerate","Eliminate")))</f>
        <v/>
      </c>
      <c r="AC591" s="102" t="str">
        <f aca="false">IF($B591="","",IF($J591&gt;=4,"Yes",""))</f>
        <v/>
      </c>
      <c r="AD591" s="102" t="str">
        <f aca="false">IF($A591="","",IFERROR(IF(VLOOKUP($A591,'Risk Register'!$B$2:$H$1000,4,FALSE())&gt;=4,"Yes",""),""))</f>
        <v/>
      </c>
      <c r="AE591" s="102" t="str">
        <f aca="false">IF(OR($N591="", $O591=""),"",IF($N591&gt;=Lists!$AG$2,IF($O591&gt;=Lists!$AG$4,"High Value / High Risk","High Value / Low Risk"),IF($O591&gt;=Lists!$AG$4,"Low Value / High Risk","Low Value / Low Risk")))</f>
        <v/>
      </c>
      <c r="AF591" s="101"/>
      <c r="AG591" s="126"/>
      <c r="AH591" s="106" t="str">
        <f aca="false">IF($B591="","",COUNTIFS('Debt Backlog'!$AF$2:$AF$1000,$A591,'Debt Backlog'!$B$2:$B$1000,"&lt;&gt;",'Debt Backlog'!$N$2:$N$1000,"&lt;&gt;Done",'Debt Backlog'!$N$2:$N$1000,"&lt;&gt;Won't Fix",'Debt Backlog'!$N$2:$N$1000,"&lt;&gt;Duplicate"))</f>
        <v/>
      </c>
      <c r="AI591" s="103" t="str">
        <f aca="false">IF($B591="","",ROUND(SUMIFS('Debt Backlog'!$L$2:$L$1000,'Debt Backlog'!$AF$2:$AF$1000,$A591,'Debt Backlog'!$B$2:$B$1000,"&lt;&gt;",'Debt Backlog'!$N$2:$N$1000,"&lt;&gt;Done",'Debt Backlog'!$N$2:$N$1000,"&lt;&gt;Won't Fix",'Debt Backlog'!$N$2:$N$1000,"&lt;&gt;Duplicate"),2))</f>
        <v/>
      </c>
    </row>
    <row r="592" customFormat="false" ht="15.75" hidden="false" customHeight="true" outlineLevel="0" collapsed="false">
      <c r="A592" s="125"/>
      <c r="B592" s="101"/>
      <c r="C592" s="101"/>
      <c r="D592" s="101"/>
      <c r="E592" s="101"/>
      <c r="F592" s="101"/>
      <c r="G592" s="101"/>
      <c r="H592" s="101"/>
      <c r="I592" s="106"/>
      <c r="J592" s="106"/>
      <c r="K592" s="106"/>
      <c r="L592" s="106"/>
      <c r="M592" s="106"/>
      <c r="N592" s="103" t="str">
        <f aca="false">IF(OR($B592="", $I592="", $J592="", $K592="", $L592="", $M592=""),"",ROUND(($I592*Lists!$AD$2)+($J592*Lists!$AD$3)+($K592*Lists!$AD$4)+($L592*Lists!$AD$5)+($M592*Lists!$AD$6),2))</f>
        <v/>
      </c>
      <c r="O592" s="103" t="str">
        <f aca="false">IF($A592="","",IFERROR(VLOOKUP($A592,'Risk Register'!$B$2:$I$1000,8,FALSE()),""))</f>
        <v/>
      </c>
      <c r="P592" s="106"/>
      <c r="Q592" s="106"/>
      <c r="R592" s="106"/>
      <c r="S592" s="106"/>
      <c r="T592" s="103" t="str">
        <f aca="false">IF(OR($B592="", $P592="", $Q592="", $R592="", $S592=""),"",ROUND(($P592*Lists!$AD$7)+($Q592*Lists!$AD$8)+($R592*Lists!$AD$9)+($S592*Lists!$AD$10),2))</f>
        <v/>
      </c>
      <c r="U592" s="106"/>
      <c r="V592" s="106"/>
      <c r="W592" s="106"/>
      <c r="X592" s="106"/>
      <c r="Y592" s="106"/>
      <c r="Z592" s="103" t="str">
        <f aca="false">IF(OR($B592="", $U592="", $V592="", $W592="", $X592="", $Y592=""),"",ROUND(($U592*Lists!$AD$11)+($V592*Lists!$AD$12)+($W592*Lists!$AD$13)+($X592*Lists!$AD$14)+($Y592*Lists!$AD$15),2))</f>
        <v/>
      </c>
      <c r="AA592" s="103" t="str">
        <f aca="false">IF(OR($B592="", $N592="", $O592="", $T592="", $Z592=""),"",ROUND(($N592*Lists!$AD$16)-($O592*Lists!$AD$17)-($T592*Lists!$AD$18)+($Z592*Lists!$AD$19),2))</f>
        <v/>
      </c>
      <c r="AB592" s="102" t="str">
        <f aca="false">IF(OR($B592="", $N592="", $Z592=""),"",IF($N592&gt;=Lists!$AG$2,IF($Z592&gt;=Lists!$AG$3,"Invest","Migrate"),IF($Z592&gt;=Lists!$AG$3,"Tolerate","Eliminate")))</f>
        <v/>
      </c>
      <c r="AC592" s="102" t="str">
        <f aca="false">IF($B592="","",IF($J592&gt;=4,"Yes",""))</f>
        <v/>
      </c>
      <c r="AD592" s="102" t="str">
        <f aca="false">IF($A592="","",IFERROR(IF(VLOOKUP($A592,'Risk Register'!$B$2:$H$1000,4,FALSE())&gt;=4,"Yes",""),""))</f>
        <v/>
      </c>
      <c r="AE592" s="102" t="str">
        <f aca="false">IF(OR($N592="", $O592=""),"",IF($N592&gt;=Lists!$AG$2,IF($O592&gt;=Lists!$AG$4,"High Value / High Risk","High Value / Low Risk"),IF($O592&gt;=Lists!$AG$4,"Low Value / High Risk","Low Value / Low Risk")))</f>
        <v/>
      </c>
      <c r="AF592" s="101"/>
      <c r="AG592" s="126"/>
      <c r="AH592" s="106" t="str">
        <f aca="false">IF($B592="","",COUNTIFS('Debt Backlog'!$AF$2:$AF$1000,$A592,'Debt Backlog'!$B$2:$B$1000,"&lt;&gt;",'Debt Backlog'!$N$2:$N$1000,"&lt;&gt;Done",'Debt Backlog'!$N$2:$N$1000,"&lt;&gt;Won't Fix",'Debt Backlog'!$N$2:$N$1000,"&lt;&gt;Duplicate"))</f>
        <v/>
      </c>
      <c r="AI592" s="103" t="str">
        <f aca="false">IF($B592="","",ROUND(SUMIFS('Debt Backlog'!$L$2:$L$1000,'Debt Backlog'!$AF$2:$AF$1000,$A592,'Debt Backlog'!$B$2:$B$1000,"&lt;&gt;",'Debt Backlog'!$N$2:$N$1000,"&lt;&gt;Done",'Debt Backlog'!$N$2:$N$1000,"&lt;&gt;Won't Fix",'Debt Backlog'!$N$2:$N$1000,"&lt;&gt;Duplicate"),2))</f>
        <v/>
      </c>
    </row>
    <row r="593" customFormat="false" ht="15.75" hidden="false" customHeight="true" outlineLevel="0" collapsed="false">
      <c r="A593" s="125"/>
      <c r="B593" s="101"/>
      <c r="C593" s="101"/>
      <c r="D593" s="101"/>
      <c r="E593" s="101"/>
      <c r="F593" s="101"/>
      <c r="G593" s="101"/>
      <c r="H593" s="101"/>
      <c r="I593" s="106"/>
      <c r="J593" s="106"/>
      <c r="K593" s="106"/>
      <c r="L593" s="106"/>
      <c r="M593" s="106"/>
      <c r="N593" s="103" t="str">
        <f aca="false">IF(OR($B593="", $I593="", $J593="", $K593="", $L593="", $M593=""),"",ROUND(($I593*Lists!$AD$2)+($J593*Lists!$AD$3)+($K593*Lists!$AD$4)+($L593*Lists!$AD$5)+($M593*Lists!$AD$6),2))</f>
        <v/>
      </c>
      <c r="O593" s="103" t="str">
        <f aca="false">IF($A593="","",IFERROR(VLOOKUP($A593,'Risk Register'!$B$2:$I$1000,8,FALSE()),""))</f>
        <v/>
      </c>
      <c r="P593" s="106"/>
      <c r="Q593" s="106"/>
      <c r="R593" s="106"/>
      <c r="S593" s="106"/>
      <c r="T593" s="103" t="str">
        <f aca="false">IF(OR($B593="", $P593="", $Q593="", $R593="", $S593=""),"",ROUND(($P593*Lists!$AD$7)+($Q593*Lists!$AD$8)+($R593*Lists!$AD$9)+($S593*Lists!$AD$10),2))</f>
        <v/>
      </c>
      <c r="U593" s="106"/>
      <c r="V593" s="106"/>
      <c r="W593" s="106"/>
      <c r="X593" s="106"/>
      <c r="Y593" s="106"/>
      <c r="Z593" s="103" t="str">
        <f aca="false">IF(OR($B593="", $U593="", $V593="", $W593="", $X593="", $Y593=""),"",ROUND(($U593*Lists!$AD$11)+($V593*Lists!$AD$12)+($W593*Lists!$AD$13)+($X593*Lists!$AD$14)+($Y593*Lists!$AD$15),2))</f>
        <v/>
      </c>
      <c r="AA593" s="103" t="str">
        <f aca="false">IF(OR($B593="", $N593="", $O593="", $T593="", $Z593=""),"",ROUND(($N593*Lists!$AD$16)-($O593*Lists!$AD$17)-($T593*Lists!$AD$18)+($Z593*Lists!$AD$19),2))</f>
        <v/>
      </c>
      <c r="AB593" s="102" t="str">
        <f aca="false">IF(OR($B593="", $N593="", $Z593=""),"",IF($N593&gt;=Lists!$AG$2,IF($Z593&gt;=Lists!$AG$3,"Invest","Migrate"),IF($Z593&gt;=Lists!$AG$3,"Tolerate","Eliminate")))</f>
        <v/>
      </c>
      <c r="AC593" s="102" t="str">
        <f aca="false">IF($B593="","",IF($J593&gt;=4,"Yes",""))</f>
        <v/>
      </c>
      <c r="AD593" s="102" t="str">
        <f aca="false">IF($A593="","",IFERROR(IF(VLOOKUP($A593,'Risk Register'!$B$2:$H$1000,4,FALSE())&gt;=4,"Yes",""),""))</f>
        <v/>
      </c>
      <c r="AE593" s="102" t="str">
        <f aca="false">IF(OR($N593="", $O593=""),"",IF($N593&gt;=Lists!$AG$2,IF($O593&gt;=Lists!$AG$4,"High Value / High Risk","High Value / Low Risk"),IF($O593&gt;=Lists!$AG$4,"Low Value / High Risk","Low Value / Low Risk")))</f>
        <v/>
      </c>
      <c r="AF593" s="101"/>
      <c r="AG593" s="126"/>
      <c r="AH593" s="106" t="str">
        <f aca="false">IF($B593="","",COUNTIFS('Debt Backlog'!$AF$2:$AF$1000,$A593,'Debt Backlog'!$B$2:$B$1000,"&lt;&gt;",'Debt Backlog'!$N$2:$N$1000,"&lt;&gt;Done",'Debt Backlog'!$N$2:$N$1000,"&lt;&gt;Won't Fix",'Debt Backlog'!$N$2:$N$1000,"&lt;&gt;Duplicate"))</f>
        <v/>
      </c>
      <c r="AI593" s="103" t="str">
        <f aca="false">IF($B593="","",ROUND(SUMIFS('Debt Backlog'!$L$2:$L$1000,'Debt Backlog'!$AF$2:$AF$1000,$A593,'Debt Backlog'!$B$2:$B$1000,"&lt;&gt;",'Debt Backlog'!$N$2:$N$1000,"&lt;&gt;Done",'Debt Backlog'!$N$2:$N$1000,"&lt;&gt;Won't Fix",'Debt Backlog'!$N$2:$N$1000,"&lt;&gt;Duplicate"),2))</f>
        <v/>
      </c>
    </row>
    <row r="594" customFormat="false" ht="15.75" hidden="false" customHeight="true" outlineLevel="0" collapsed="false">
      <c r="A594" s="125"/>
      <c r="B594" s="101"/>
      <c r="C594" s="101"/>
      <c r="D594" s="101"/>
      <c r="E594" s="101"/>
      <c r="F594" s="101"/>
      <c r="G594" s="101"/>
      <c r="H594" s="101"/>
      <c r="I594" s="106"/>
      <c r="J594" s="106"/>
      <c r="K594" s="106"/>
      <c r="L594" s="106"/>
      <c r="M594" s="106"/>
      <c r="N594" s="103" t="str">
        <f aca="false">IF(OR($B594="", $I594="", $J594="", $K594="", $L594="", $M594=""),"",ROUND(($I594*Lists!$AD$2)+($J594*Lists!$AD$3)+($K594*Lists!$AD$4)+($L594*Lists!$AD$5)+($M594*Lists!$AD$6),2))</f>
        <v/>
      </c>
      <c r="O594" s="103" t="str">
        <f aca="false">IF($A594="","",IFERROR(VLOOKUP($A594,'Risk Register'!$B$2:$I$1000,8,FALSE()),""))</f>
        <v/>
      </c>
      <c r="P594" s="106"/>
      <c r="Q594" s="106"/>
      <c r="R594" s="106"/>
      <c r="S594" s="106"/>
      <c r="T594" s="103" t="str">
        <f aca="false">IF(OR($B594="", $P594="", $Q594="", $R594="", $S594=""),"",ROUND(($P594*Lists!$AD$7)+($Q594*Lists!$AD$8)+($R594*Lists!$AD$9)+($S594*Lists!$AD$10),2))</f>
        <v/>
      </c>
      <c r="U594" s="106"/>
      <c r="V594" s="106"/>
      <c r="W594" s="106"/>
      <c r="X594" s="106"/>
      <c r="Y594" s="106"/>
      <c r="Z594" s="103" t="str">
        <f aca="false">IF(OR($B594="", $U594="", $V594="", $W594="", $X594="", $Y594=""),"",ROUND(($U594*Lists!$AD$11)+($V594*Lists!$AD$12)+($W594*Lists!$AD$13)+($X594*Lists!$AD$14)+($Y594*Lists!$AD$15),2))</f>
        <v/>
      </c>
      <c r="AA594" s="103" t="str">
        <f aca="false">IF(OR($B594="", $N594="", $O594="", $T594="", $Z594=""),"",ROUND(($N594*Lists!$AD$16)-($O594*Lists!$AD$17)-($T594*Lists!$AD$18)+($Z594*Lists!$AD$19),2))</f>
        <v/>
      </c>
      <c r="AB594" s="102" t="str">
        <f aca="false">IF(OR($B594="", $N594="", $Z594=""),"",IF($N594&gt;=Lists!$AG$2,IF($Z594&gt;=Lists!$AG$3,"Invest","Migrate"),IF($Z594&gt;=Lists!$AG$3,"Tolerate","Eliminate")))</f>
        <v/>
      </c>
      <c r="AC594" s="102" t="str">
        <f aca="false">IF($B594="","",IF($J594&gt;=4,"Yes",""))</f>
        <v/>
      </c>
      <c r="AD594" s="102" t="str">
        <f aca="false">IF($A594="","",IFERROR(IF(VLOOKUP($A594,'Risk Register'!$B$2:$H$1000,4,FALSE())&gt;=4,"Yes",""),""))</f>
        <v/>
      </c>
      <c r="AE594" s="102" t="str">
        <f aca="false">IF(OR($N594="", $O594=""),"",IF($N594&gt;=Lists!$AG$2,IF($O594&gt;=Lists!$AG$4,"High Value / High Risk","High Value / Low Risk"),IF($O594&gt;=Lists!$AG$4,"Low Value / High Risk","Low Value / Low Risk")))</f>
        <v/>
      </c>
      <c r="AF594" s="101"/>
      <c r="AG594" s="126"/>
      <c r="AH594" s="106" t="str">
        <f aca="false">IF($B594="","",COUNTIFS('Debt Backlog'!$AF$2:$AF$1000,$A594,'Debt Backlog'!$B$2:$B$1000,"&lt;&gt;",'Debt Backlog'!$N$2:$N$1000,"&lt;&gt;Done",'Debt Backlog'!$N$2:$N$1000,"&lt;&gt;Won't Fix",'Debt Backlog'!$N$2:$N$1000,"&lt;&gt;Duplicate"))</f>
        <v/>
      </c>
      <c r="AI594" s="103" t="str">
        <f aca="false">IF($B594="","",ROUND(SUMIFS('Debt Backlog'!$L$2:$L$1000,'Debt Backlog'!$AF$2:$AF$1000,$A594,'Debt Backlog'!$B$2:$B$1000,"&lt;&gt;",'Debt Backlog'!$N$2:$N$1000,"&lt;&gt;Done",'Debt Backlog'!$N$2:$N$1000,"&lt;&gt;Won't Fix",'Debt Backlog'!$N$2:$N$1000,"&lt;&gt;Duplicate"),2))</f>
        <v/>
      </c>
    </row>
    <row r="595" customFormat="false" ht="15.75" hidden="false" customHeight="true" outlineLevel="0" collapsed="false">
      <c r="A595" s="125"/>
      <c r="B595" s="101"/>
      <c r="C595" s="101"/>
      <c r="D595" s="101"/>
      <c r="E595" s="101"/>
      <c r="F595" s="101"/>
      <c r="G595" s="101"/>
      <c r="H595" s="101"/>
      <c r="I595" s="106"/>
      <c r="J595" s="106"/>
      <c r="K595" s="106"/>
      <c r="L595" s="106"/>
      <c r="M595" s="106"/>
      <c r="N595" s="103" t="str">
        <f aca="false">IF(OR($B595="", $I595="", $J595="", $K595="", $L595="", $M595=""),"",ROUND(($I595*Lists!$AD$2)+($J595*Lists!$AD$3)+($K595*Lists!$AD$4)+($L595*Lists!$AD$5)+($M595*Lists!$AD$6),2))</f>
        <v/>
      </c>
      <c r="O595" s="103" t="str">
        <f aca="false">IF($A595="","",IFERROR(VLOOKUP($A595,'Risk Register'!$B$2:$I$1000,8,FALSE()),""))</f>
        <v/>
      </c>
      <c r="P595" s="106"/>
      <c r="Q595" s="106"/>
      <c r="R595" s="106"/>
      <c r="S595" s="106"/>
      <c r="T595" s="103" t="str">
        <f aca="false">IF(OR($B595="", $P595="", $Q595="", $R595="", $S595=""),"",ROUND(($P595*Lists!$AD$7)+($Q595*Lists!$AD$8)+($R595*Lists!$AD$9)+($S595*Lists!$AD$10),2))</f>
        <v/>
      </c>
      <c r="U595" s="106"/>
      <c r="V595" s="106"/>
      <c r="W595" s="106"/>
      <c r="X595" s="106"/>
      <c r="Y595" s="106"/>
      <c r="Z595" s="103" t="str">
        <f aca="false">IF(OR($B595="", $U595="", $V595="", $W595="", $X595="", $Y595=""),"",ROUND(($U595*Lists!$AD$11)+($V595*Lists!$AD$12)+($W595*Lists!$AD$13)+($X595*Lists!$AD$14)+($Y595*Lists!$AD$15),2))</f>
        <v/>
      </c>
      <c r="AA595" s="103" t="str">
        <f aca="false">IF(OR($B595="", $N595="", $O595="", $T595="", $Z595=""),"",ROUND(($N595*Lists!$AD$16)-($O595*Lists!$AD$17)-($T595*Lists!$AD$18)+($Z595*Lists!$AD$19),2))</f>
        <v/>
      </c>
      <c r="AB595" s="102" t="str">
        <f aca="false">IF(OR($B595="", $N595="", $Z595=""),"",IF($N595&gt;=Lists!$AG$2,IF($Z595&gt;=Lists!$AG$3,"Invest","Migrate"),IF($Z595&gt;=Lists!$AG$3,"Tolerate","Eliminate")))</f>
        <v/>
      </c>
      <c r="AC595" s="102" t="str">
        <f aca="false">IF($B595="","",IF($J595&gt;=4,"Yes",""))</f>
        <v/>
      </c>
      <c r="AD595" s="102" t="str">
        <f aca="false">IF($A595="","",IFERROR(IF(VLOOKUP($A595,'Risk Register'!$B$2:$H$1000,4,FALSE())&gt;=4,"Yes",""),""))</f>
        <v/>
      </c>
      <c r="AE595" s="102" t="str">
        <f aca="false">IF(OR($N595="", $O595=""),"",IF($N595&gt;=Lists!$AG$2,IF($O595&gt;=Lists!$AG$4,"High Value / High Risk","High Value / Low Risk"),IF($O595&gt;=Lists!$AG$4,"Low Value / High Risk","Low Value / Low Risk")))</f>
        <v/>
      </c>
      <c r="AF595" s="101"/>
      <c r="AG595" s="126"/>
      <c r="AH595" s="106" t="str">
        <f aca="false">IF($B595="","",COUNTIFS('Debt Backlog'!$AF$2:$AF$1000,$A595,'Debt Backlog'!$B$2:$B$1000,"&lt;&gt;",'Debt Backlog'!$N$2:$N$1000,"&lt;&gt;Done",'Debt Backlog'!$N$2:$N$1000,"&lt;&gt;Won't Fix",'Debt Backlog'!$N$2:$N$1000,"&lt;&gt;Duplicate"))</f>
        <v/>
      </c>
      <c r="AI595" s="103" t="str">
        <f aca="false">IF($B595="","",ROUND(SUMIFS('Debt Backlog'!$L$2:$L$1000,'Debt Backlog'!$AF$2:$AF$1000,$A595,'Debt Backlog'!$B$2:$B$1000,"&lt;&gt;",'Debt Backlog'!$N$2:$N$1000,"&lt;&gt;Done",'Debt Backlog'!$N$2:$N$1000,"&lt;&gt;Won't Fix",'Debt Backlog'!$N$2:$N$1000,"&lt;&gt;Duplicate"),2))</f>
        <v/>
      </c>
    </row>
    <row r="596" customFormat="false" ht="15.75" hidden="false" customHeight="true" outlineLevel="0" collapsed="false">
      <c r="A596" s="125"/>
      <c r="B596" s="101"/>
      <c r="C596" s="101"/>
      <c r="D596" s="101"/>
      <c r="E596" s="101"/>
      <c r="F596" s="101"/>
      <c r="G596" s="101"/>
      <c r="H596" s="101"/>
      <c r="I596" s="106"/>
      <c r="J596" s="106"/>
      <c r="K596" s="106"/>
      <c r="L596" s="106"/>
      <c r="M596" s="106"/>
      <c r="N596" s="103" t="str">
        <f aca="false">IF(OR($B596="", $I596="", $J596="", $K596="", $L596="", $M596=""),"",ROUND(($I596*Lists!$AD$2)+($J596*Lists!$AD$3)+($K596*Lists!$AD$4)+($L596*Lists!$AD$5)+($M596*Lists!$AD$6),2))</f>
        <v/>
      </c>
      <c r="O596" s="103" t="str">
        <f aca="false">IF($A596="","",IFERROR(VLOOKUP($A596,'Risk Register'!$B$2:$I$1000,8,FALSE()),""))</f>
        <v/>
      </c>
      <c r="P596" s="106"/>
      <c r="Q596" s="106"/>
      <c r="R596" s="106"/>
      <c r="S596" s="106"/>
      <c r="T596" s="103" t="str">
        <f aca="false">IF(OR($B596="", $P596="", $Q596="", $R596="", $S596=""),"",ROUND(($P596*Lists!$AD$7)+($Q596*Lists!$AD$8)+($R596*Lists!$AD$9)+($S596*Lists!$AD$10),2))</f>
        <v/>
      </c>
      <c r="U596" s="106"/>
      <c r="V596" s="106"/>
      <c r="W596" s="106"/>
      <c r="X596" s="106"/>
      <c r="Y596" s="106"/>
      <c r="Z596" s="103" t="str">
        <f aca="false">IF(OR($B596="", $U596="", $V596="", $W596="", $X596="", $Y596=""),"",ROUND(($U596*Lists!$AD$11)+($V596*Lists!$AD$12)+($W596*Lists!$AD$13)+($X596*Lists!$AD$14)+($Y596*Lists!$AD$15),2))</f>
        <v/>
      </c>
      <c r="AA596" s="103" t="str">
        <f aca="false">IF(OR($B596="", $N596="", $O596="", $T596="", $Z596=""),"",ROUND(($N596*Lists!$AD$16)-($O596*Lists!$AD$17)-($T596*Lists!$AD$18)+($Z596*Lists!$AD$19),2))</f>
        <v/>
      </c>
      <c r="AB596" s="102" t="str">
        <f aca="false">IF(OR($B596="", $N596="", $Z596=""),"",IF($N596&gt;=Lists!$AG$2,IF($Z596&gt;=Lists!$AG$3,"Invest","Migrate"),IF($Z596&gt;=Lists!$AG$3,"Tolerate","Eliminate")))</f>
        <v/>
      </c>
      <c r="AC596" s="102" t="str">
        <f aca="false">IF($B596="","",IF($J596&gt;=4,"Yes",""))</f>
        <v/>
      </c>
      <c r="AD596" s="102" t="str">
        <f aca="false">IF($A596="","",IFERROR(IF(VLOOKUP($A596,'Risk Register'!$B$2:$H$1000,4,FALSE())&gt;=4,"Yes",""),""))</f>
        <v/>
      </c>
      <c r="AE596" s="102" t="str">
        <f aca="false">IF(OR($N596="", $O596=""),"",IF($N596&gt;=Lists!$AG$2,IF($O596&gt;=Lists!$AG$4,"High Value / High Risk","High Value / Low Risk"),IF($O596&gt;=Lists!$AG$4,"Low Value / High Risk","Low Value / Low Risk")))</f>
        <v/>
      </c>
      <c r="AF596" s="101"/>
      <c r="AG596" s="126"/>
      <c r="AH596" s="106" t="str">
        <f aca="false">IF($B596="","",COUNTIFS('Debt Backlog'!$AF$2:$AF$1000,$A596,'Debt Backlog'!$B$2:$B$1000,"&lt;&gt;",'Debt Backlog'!$N$2:$N$1000,"&lt;&gt;Done",'Debt Backlog'!$N$2:$N$1000,"&lt;&gt;Won't Fix",'Debt Backlog'!$N$2:$N$1000,"&lt;&gt;Duplicate"))</f>
        <v/>
      </c>
      <c r="AI596" s="103" t="str">
        <f aca="false">IF($B596="","",ROUND(SUMIFS('Debt Backlog'!$L$2:$L$1000,'Debt Backlog'!$AF$2:$AF$1000,$A596,'Debt Backlog'!$B$2:$B$1000,"&lt;&gt;",'Debt Backlog'!$N$2:$N$1000,"&lt;&gt;Done",'Debt Backlog'!$N$2:$N$1000,"&lt;&gt;Won't Fix",'Debt Backlog'!$N$2:$N$1000,"&lt;&gt;Duplicate"),2))</f>
        <v/>
      </c>
    </row>
    <row r="597" customFormat="false" ht="15.75" hidden="false" customHeight="true" outlineLevel="0" collapsed="false">
      <c r="A597" s="125"/>
      <c r="B597" s="101"/>
      <c r="C597" s="101"/>
      <c r="D597" s="101"/>
      <c r="E597" s="101"/>
      <c r="F597" s="101"/>
      <c r="G597" s="101"/>
      <c r="H597" s="101"/>
      <c r="I597" s="106"/>
      <c r="J597" s="106"/>
      <c r="K597" s="106"/>
      <c r="L597" s="106"/>
      <c r="M597" s="106"/>
      <c r="N597" s="103" t="str">
        <f aca="false">IF(OR($B597="", $I597="", $J597="", $K597="", $L597="", $M597=""),"",ROUND(($I597*Lists!$AD$2)+($J597*Lists!$AD$3)+($K597*Lists!$AD$4)+($L597*Lists!$AD$5)+($M597*Lists!$AD$6),2))</f>
        <v/>
      </c>
      <c r="O597" s="103" t="str">
        <f aca="false">IF($A597="","",IFERROR(VLOOKUP($A597,'Risk Register'!$B$2:$I$1000,8,FALSE()),""))</f>
        <v/>
      </c>
      <c r="P597" s="106"/>
      <c r="Q597" s="106"/>
      <c r="R597" s="106"/>
      <c r="S597" s="106"/>
      <c r="T597" s="103" t="str">
        <f aca="false">IF(OR($B597="", $P597="", $Q597="", $R597="", $S597=""),"",ROUND(($P597*Lists!$AD$7)+($Q597*Lists!$AD$8)+($R597*Lists!$AD$9)+($S597*Lists!$AD$10),2))</f>
        <v/>
      </c>
      <c r="U597" s="106"/>
      <c r="V597" s="106"/>
      <c r="W597" s="106"/>
      <c r="X597" s="106"/>
      <c r="Y597" s="106"/>
      <c r="Z597" s="103" t="str">
        <f aca="false">IF(OR($B597="", $U597="", $V597="", $W597="", $X597="", $Y597=""),"",ROUND(($U597*Lists!$AD$11)+($V597*Lists!$AD$12)+($W597*Lists!$AD$13)+($X597*Lists!$AD$14)+($Y597*Lists!$AD$15),2))</f>
        <v/>
      </c>
      <c r="AA597" s="103" t="str">
        <f aca="false">IF(OR($B597="", $N597="", $O597="", $T597="", $Z597=""),"",ROUND(($N597*Lists!$AD$16)-($O597*Lists!$AD$17)-($T597*Lists!$AD$18)+($Z597*Lists!$AD$19),2))</f>
        <v/>
      </c>
      <c r="AB597" s="102" t="str">
        <f aca="false">IF(OR($B597="", $N597="", $Z597=""),"",IF($N597&gt;=Lists!$AG$2,IF($Z597&gt;=Lists!$AG$3,"Invest","Migrate"),IF($Z597&gt;=Lists!$AG$3,"Tolerate","Eliminate")))</f>
        <v/>
      </c>
      <c r="AC597" s="102" t="str">
        <f aca="false">IF($B597="","",IF($J597&gt;=4,"Yes",""))</f>
        <v/>
      </c>
      <c r="AD597" s="102" t="str">
        <f aca="false">IF($A597="","",IFERROR(IF(VLOOKUP($A597,'Risk Register'!$B$2:$H$1000,4,FALSE())&gt;=4,"Yes",""),""))</f>
        <v/>
      </c>
      <c r="AE597" s="102" t="str">
        <f aca="false">IF(OR($N597="", $O597=""),"",IF($N597&gt;=Lists!$AG$2,IF($O597&gt;=Lists!$AG$4,"High Value / High Risk","High Value / Low Risk"),IF($O597&gt;=Lists!$AG$4,"Low Value / High Risk","Low Value / Low Risk")))</f>
        <v/>
      </c>
      <c r="AF597" s="101"/>
      <c r="AG597" s="126"/>
      <c r="AH597" s="106" t="str">
        <f aca="false">IF($B597="","",COUNTIFS('Debt Backlog'!$AF$2:$AF$1000,$A597,'Debt Backlog'!$B$2:$B$1000,"&lt;&gt;",'Debt Backlog'!$N$2:$N$1000,"&lt;&gt;Done",'Debt Backlog'!$N$2:$N$1000,"&lt;&gt;Won't Fix",'Debt Backlog'!$N$2:$N$1000,"&lt;&gt;Duplicate"))</f>
        <v/>
      </c>
      <c r="AI597" s="103" t="str">
        <f aca="false">IF($B597="","",ROUND(SUMIFS('Debt Backlog'!$L$2:$L$1000,'Debt Backlog'!$AF$2:$AF$1000,$A597,'Debt Backlog'!$B$2:$B$1000,"&lt;&gt;",'Debt Backlog'!$N$2:$N$1000,"&lt;&gt;Done",'Debt Backlog'!$N$2:$N$1000,"&lt;&gt;Won't Fix",'Debt Backlog'!$N$2:$N$1000,"&lt;&gt;Duplicate"),2))</f>
        <v/>
      </c>
    </row>
    <row r="598" customFormat="false" ht="15.75" hidden="false" customHeight="true" outlineLevel="0" collapsed="false">
      <c r="A598" s="125"/>
      <c r="B598" s="101"/>
      <c r="C598" s="101"/>
      <c r="D598" s="101"/>
      <c r="E598" s="101"/>
      <c r="F598" s="101"/>
      <c r="G598" s="101"/>
      <c r="H598" s="101"/>
      <c r="I598" s="106"/>
      <c r="J598" s="106"/>
      <c r="K598" s="106"/>
      <c r="L598" s="106"/>
      <c r="M598" s="106"/>
      <c r="N598" s="103" t="str">
        <f aca="false">IF(OR($B598="", $I598="", $J598="", $K598="", $L598="", $M598=""),"",ROUND(($I598*Lists!$AD$2)+($J598*Lists!$AD$3)+($K598*Lists!$AD$4)+($L598*Lists!$AD$5)+($M598*Lists!$AD$6),2))</f>
        <v/>
      </c>
      <c r="O598" s="103" t="str">
        <f aca="false">IF($A598="","",IFERROR(VLOOKUP($A598,'Risk Register'!$B$2:$I$1000,8,FALSE()),""))</f>
        <v/>
      </c>
      <c r="P598" s="106"/>
      <c r="Q598" s="106"/>
      <c r="R598" s="106"/>
      <c r="S598" s="106"/>
      <c r="T598" s="103" t="str">
        <f aca="false">IF(OR($B598="", $P598="", $Q598="", $R598="", $S598=""),"",ROUND(($P598*Lists!$AD$7)+($Q598*Lists!$AD$8)+($R598*Lists!$AD$9)+($S598*Lists!$AD$10),2))</f>
        <v/>
      </c>
      <c r="U598" s="106"/>
      <c r="V598" s="106"/>
      <c r="W598" s="106"/>
      <c r="X598" s="106"/>
      <c r="Y598" s="106"/>
      <c r="Z598" s="103" t="str">
        <f aca="false">IF(OR($B598="", $U598="", $V598="", $W598="", $X598="", $Y598=""),"",ROUND(($U598*Lists!$AD$11)+($V598*Lists!$AD$12)+($W598*Lists!$AD$13)+($X598*Lists!$AD$14)+($Y598*Lists!$AD$15),2))</f>
        <v/>
      </c>
      <c r="AA598" s="103" t="str">
        <f aca="false">IF(OR($B598="", $N598="", $O598="", $T598="", $Z598=""),"",ROUND(($N598*Lists!$AD$16)-($O598*Lists!$AD$17)-($T598*Lists!$AD$18)+($Z598*Lists!$AD$19),2))</f>
        <v/>
      </c>
      <c r="AB598" s="102" t="str">
        <f aca="false">IF(OR($B598="", $N598="", $Z598=""),"",IF($N598&gt;=Lists!$AG$2,IF($Z598&gt;=Lists!$AG$3,"Invest","Migrate"),IF($Z598&gt;=Lists!$AG$3,"Tolerate","Eliminate")))</f>
        <v/>
      </c>
      <c r="AC598" s="102" t="str">
        <f aca="false">IF($B598="","",IF($J598&gt;=4,"Yes",""))</f>
        <v/>
      </c>
      <c r="AD598" s="102" t="str">
        <f aca="false">IF($A598="","",IFERROR(IF(VLOOKUP($A598,'Risk Register'!$B$2:$H$1000,4,FALSE())&gt;=4,"Yes",""),""))</f>
        <v/>
      </c>
      <c r="AE598" s="102" t="str">
        <f aca="false">IF(OR($N598="", $O598=""),"",IF($N598&gt;=Lists!$AG$2,IF($O598&gt;=Lists!$AG$4,"High Value / High Risk","High Value / Low Risk"),IF($O598&gt;=Lists!$AG$4,"Low Value / High Risk","Low Value / Low Risk")))</f>
        <v/>
      </c>
      <c r="AF598" s="101"/>
      <c r="AG598" s="126"/>
      <c r="AH598" s="106" t="str">
        <f aca="false">IF($B598="","",COUNTIFS('Debt Backlog'!$AF$2:$AF$1000,$A598,'Debt Backlog'!$B$2:$B$1000,"&lt;&gt;",'Debt Backlog'!$N$2:$N$1000,"&lt;&gt;Done",'Debt Backlog'!$N$2:$N$1000,"&lt;&gt;Won't Fix",'Debt Backlog'!$N$2:$N$1000,"&lt;&gt;Duplicate"))</f>
        <v/>
      </c>
      <c r="AI598" s="103" t="str">
        <f aca="false">IF($B598="","",ROUND(SUMIFS('Debt Backlog'!$L$2:$L$1000,'Debt Backlog'!$AF$2:$AF$1000,$A598,'Debt Backlog'!$B$2:$B$1000,"&lt;&gt;",'Debt Backlog'!$N$2:$N$1000,"&lt;&gt;Done",'Debt Backlog'!$N$2:$N$1000,"&lt;&gt;Won't Fix",'Debt Backlog'!$N$2:$N$1000,"&lt;&gt;Duplicate"),2))</f>
        <v/>
      </c>
    </row>
    <row r="599" customFormat="false" ht="15.75" hidden="false" customHeight="true" outlineLevel="0" collapsed="false">
      <c r="A599" s="125"/>
      <c r="B599" s="101"/>
      <c r="C599" s="101"/>
      <c r="D599" s="101"/>
      <c r="E599" s="101"/>
      <c r="F599" s="101"/>
      <c r="G599" s="101"/>
      <c r="H599" s="101"/>
      <c r="I599" s="106"/>
      <c r="J599" s="106"/>
      <c r="K599" s="106"/>
      <c r="L599" s="106"/>
      <c r="M599" s="106"/>
      <c r="N599" s="103" t="str">
        <f aca="false">IF(OR($B599="", $I599="", $J599="", $K599="", $L599="", $M599=""),"",ROUND(($I599*Lists!$AD$2)+($J599*Lists!$AD$3)+($K599*Lists!$AD$4)+($L599*Lists!$AD$5)+($M599*Lists!$AD$6),2))</f>
        <v/>
      </c>
      <c r="O599" s="103" t="str">
        <f aca="false">IF($A599="","",IFERROR(VLOOKUP($A599,'Risk Register'!$B$2:$I$1000,8,FALSE()),""))</f>
        <v/>
      </c>
      <c r="P599" s="106"/>
      <c r="Q599" s="106"/>
      <c r="R599" s="106"/>
      <c r="S599" s="106"/>
      <c r="T599" s="103" t="str">
        <f aca="false">IF(OR($B599="", $P599="", $Q599="", $R599="", $S599=""),"",ROUND(($P599*Lists!$AD$7)+($Q599*Lists!$AD$8)+($R599*Lists!$AD$9)+($S599*Lists!$AD$10),2))</f>
        <v/>
      </c>
      <c r="U599" s="106"/>
      <c r="V599" s="106"/>
      <c r="W599" s="106"/>
      <c r="X599" s="106"/>
      <c r="Y599" s="106"/>
      <c r="Z599" s="103" t="str">
        <f aca="false">IF(OR($B599="", $U599="", $V599="", $W599="", $X599="", $Y599=""),"",ROUND(($U599*Lists!$AD$11)+($V599*Lists!$AD$12)+($W599*Lists!$AD$13)+($X599*Lists!$AD$14)+($Y599*Lists!$AD$15),2))</f>
        <v/>
      </c>
      <c r="AA599" s="103" t="str">
        <f aca="false">IF(OR($B599="", $N599="", $O599="", $T599="", $Z599=""),"",ROUND(($N599*Lists!$AD$16)-($O599*Lists!$AD$17)-($T599*Lists!$AD$18)+($Z599*Lists!$AD$19),2))</f>
        <v/>
      </c>
      <c r="AB599" s="102" t="str">
        <f aca="false">IF(OR($B599="", $N599="", $Z599=""),"",IF($N599&gt;=Lists!$AG$2,IF($Z599&gt;=Lists!$AG$3,"Invest","Migrate"),IF($Z599&gt;=Lists!$AG$3,"Tolerate","Eliminate")))</f>
        <v/>
      </c>
      <c r="AC599" s="102" t="str">
        <f aca="false">IF($B599="","",IF($J599&gt;=4,"Yes",""))</f>
        <v/>
      </c>
      <c r="AD599" s="102" t="str">
        <f aca="false">IF($A599="","",IFERROR(IF(VLOOKUP($A599,'Risk Register'!$B$2:$H$1000,4,FALSE())&gt;=4,"Yes",""),""))</f>
        <v/>
      </c>
      <c r="AE599" s="102" t="str">
        <f aca="false">IF(OR($N599="", $O599=""),"",IF($N599&gt;=Lists!$AG$2,IF($O599&gt;=Lists!$AG$4,"High Value / High Risk","High Value / Low Risk"),IF($O599&gt;=Lists!$AG$4,"Low Value / High Risk","Low Value / Low Risk")))</f>
        <v/>
      </c>
      <c r="AF599" s="101"/>
      <c r="AG599" s="126"/>
      <c r="AH599" s="106" t="str">
        <f aca="false">IF($B599="","",COUNTIFS('Debt Backlog'!$AF$2:$AF$1000,$A599,'Debt Backlog'!$B$2:$B$1000,"&lt;&gt;",'Debt Backlog'!$N$2:$N$1000,"&lt;&gt;Done",'Debt Backlog'!$N$2:$N$1000,"&lt;&gt;Won't Fix",'Debt Backlog'!$N$2:$N$1000,"&lt;&gt;Duplicate"))</f>
        <v/>
      </c>
      <c r="AI599" s="103" t="str">
        <f aca="false">IF($B599="","",ROUND(SUMIFS('Debt Backlog'!$L$2:$L$1000,'Debt Backlog'!$AF$2:$AF$1000,$A599,'Debt Backlog'!$B$2:$B$1000,"&lt;&gt;",'Debt Backlog'!$N$2:$N$1000,"&lt;&gt;Done",'Debt Backlog'!$N$2:$N$1000,"&lt;&gt;Won't Fix",'Debt Backlog'!$N$2:$N$1000,"&lt;&gt;Duplicate"),2))</f>
        <v/>
      </c>
    </row>
    <row r="600" customFormat="false" ht="15.75" hidden="false" customHeight="true" outlineLevel="0" collapsed="false">
      <c r="A600" s="125"/>
      <c r="B600" s="101"/>
      <c r="C600" s="101"/>
      <c r="D600" s="101"/>
      <c r="E600" s="101"/>
      <c r="F600" s="101"/>
      <c r="G600" s="101"/>
      <c r="H600" s="101"/>
      <c r="I600" s="106"/>
      <c r="J600" s="106"/>
      <c r="K600" s="106"/>
      <c r="L600" s="106"/>
      <c r="M600" s="106"/>
      <c r="N600" s="103" t="str">
        <f aca="false">IF(OR($B600="", $I600="", $J600="", $K600="", $L600="", $M600=""),"",ROUND(($I600*Lists!$AD$2)+($J600*Lists!$AD$3)+($K600*Lists!$AD$4)+($L600*Lists!$AD$5)+($M600*Lists!$AD$6),2))</f>
        <v/>
      </c>
      <c r="O600" s="103" t="str">
        <f aca="false">IF($A600="","",IFERROR(VLOOKUP($A600,'Risk Register'!$B$2:$I$1000,8,FALSE()),""))</f>
        <v/>
      </c>
      <c r="P600" s="106"/>
      <c r="Q600" s="106"/>
      <c r="R600" s="106"/>
      <c r="S600" s="106"/>
      <c r="T600" s="103" t="str">
        <f aca="false">IF(OR($B600="", $P600="", $Q600="", $R600="", $S600=""),"",ROUND(($P600*Lists!$AD$7)+($Q600*Lists!$AD$8)+($R600*Lists!$AD$9)+($S600*Lists!$AD$10),2))</f>
        <v/>
      </c>
      <c r="U600" s="106"/>
      <c r="V600" s="106"/>
      <c r="W600" s="106"/>
      <c r="X600" s="106"/>
      <c r="Y600" s="106"/>
      <c r="Z600" s="103" t="str">
        <f aca="false">IF(OR($B600="", $U600="", $V600="", $W600="", $X600="", $Y600=""),"",ROUND(($U600*Lists!$AD$11)+($V600*Lists!$AD$12)+($W600*Lists!$AD$13)+($X600*Lists!$AD$14)+($Y600*Lists!$AD$15),2))</f>
        <v/>
      </c>
      <c r="AA600" s="103" t="str">
        <f aca="false">IF(OR($B600="", $N600="", $O600="", $T600="", $Z600=""),"",ROUND(($N600*Lists!$AD$16)-($O600*Lists!$AD$17)-($T600*Lists!$AD$18)+($Z600*Lists!$AD$19),2))</f>
        <v/>
      </c>
      <c r="AB600" s="102" t="str">
        <f aca="false">IF(OR($B600="", $N600="", $Z600=""),"",IF($N600&gt;=Lists!$AG$2,IF($Z600&gt;=Lists!$AG$3,"Invest","Migrate"),IF($Z600&gt;=Lists!$AG$3,"Tolerate","Eliminate")))</f>
        <v/>
      </c>
      <c r="AC600" s="102" t="str">
        <f aca="false">IF($B600="","",IF($J600&gt;=4,"Yes",""))</f>
        <v/>
      </c>
      <c r="AD600" s="102" t="str">
        <f aca="false">IF($A600="","",IFERROR(IF(VLOOKUP($A600,'Risk Register'!$B$2:$H$1000,4,FALSE())&gt;=4,"Yes",""),""))</f>
        <v/>
      </c>
      <c r="AE600" s="102" t="str">
        <f aca="false">IF(OR($N600="", $O600=""),"",IF($N600&gt;=Lists!$AG$2,IF($O600&gt;=Lists!$AG$4,"High Value / High Risk","High Value / Low Risk"),IF($O600&gt;=Lists!$AG$4,"Low Value / High Risk","Low Value / Low Risk")))</f>
        <v/>
      </c>
      <c r="AF600" s="101"/>
      <c r="AG600" s="126"/>
      <c r="AH600" s="106" t="str">
        <f aca="false">IF($B600="","",COUNTIFS('Debt Backlog'!$AF$2:$AF$1000,$A600,'Debt Backlog'!$B$2:$B$1000,"&lt;&gt;",'Debt Backlog'!$N$2:$N$1000,"&lt;&gt;Done",'Debt Backlog'!$N$2:$N$1000,"&lt;&gt;Won't Fix",'Debt Backlog'!$N$2:$N$1000,"&lt;&gt;Duplicate"))</f>
        <v/>
      </c>
      <c r="AI600" s="103" t="str">
        <f aca="false">IF($B600="","",ROUND(SUMIFS('Debt Backlog'!$L$2:$L$1000,'Debt Backlog'!$AF$2:$AF$1000,$A600,'Debt Backlog'!$B$2:$B$1000,"&lt;&gt;",'Debt Backlog'!$N$2:$N$1000,"&lt;&gt;Done",'Debt Backlog'!$N$2:$N$1000,"&lt;&gt;Won't Fix",'Debt Backlog'!$N$2:$N$1000,"&lt;&gt;Duplicate"),2))</f>
        <v/>
      </c>
    </row>
    <row r="601" customFormat="false" ht="15.75" hidden="false" customHeight="true" outlineLevel="0" collapsed="false">
      <c r="A601" s="125"/>
      <c r="B601" s="101"/>
      <c r="C601" s="101"/>
      <c r="D601" s="101"/>
      <c r="E601" s="101"/>
      <c r="F601" s="101"/>
      <c r="G601" s="101"/>
      <c r="H601" s="101"/>
      <c r="I601" s="106"/>
      <c r="J601" s="106"/>
      <c r="K601" s="106"/>
      <c r="L601" s="106"/>
      <c r="M601" s="106"/>
      <c r="N601" s="103" t="str">
        <f aca="false">IF(OR($B601="", $I601="", $J601="", $K601="", $L601="", $M601=""),"",ROUND(($I601*Lists!$AD$2)+($J601*Lists!$AD$3)+($K601*Lists!$AD$4)+($L601*Lists!$AD$5)+($M601*Lists!$AD$6),2))</f>
        <v/>
      </c>
      <c r="O601" s="103" t="str">
        <f aca="false">IF($A601="","",IFERROR(VLOOKUP($A601,'Risk Register'!$B$2:$I$1000,8,FALSE()),""))</f>
        <v/>
      </c>
      <c r="P601" s="106"/>
      <c r="Q601" s="106"/>
      <c r="R601" s="106"/>
      <c r="S601" s="106"/>
      <c r="T601" s="103" t="str">
        <f aca="false">IF(OR($B601="", $P601="", $Q601="", $R601="", $S601=""),"",ROUND(($P601*Lists!$AD$7)+($Q601*Lists!$AD$8)+($R601*Lists!$AD$9)+($S601*Lists!$AD$10),2))</f>
        <v/>
      </c>
      <c r="U601" s="106"/>
      <c r="V601" s="106"/>
      <c r="W601" s="106"/>
      <c r="X601" s="106"/>
      <c r="Y601" s="106"/>
      <c r="Z601" s="103" t="str">
        <f aca="false">IF(OR($B601="", $U601="", $V601="", $W601="", $X601="", $Y601=""),"",ROUND(($U601*Lists!$AD$11)+($V601*Lists!$AD$12)+($W601*Lists!$AD$13)+($X601*Lists!$AD$14)+($Y601*Lists!$AD$15),2))</f>
        <v/>
      </c>
      <c r="AA601" s="103" t="str">
        <f aca="false">IF(OR($B601="", $N601="", $O601="", $T601="", $Z601=""),"",ROUND(($N601*Lists!$AD$16)-($O601*Lists!$AD$17)-($T601*Lists!$AD$18)+($Z601*Lists!$AD$19),2))</f>
        <v/>
      </c>
      <c r="AB601" s="102" t="str">
        <f aca="false">IF(OR($B601="", $N601="", $Z601=""),"",IF($N601&gt;=Lists!$AG$2,IF($Z601&gt;=Lists!$AG$3,"Invest","Migrate"),IF($Z601&gt;=Lists!$AG$3,"Tolerate","Eliminate")))</f>
        <v/>
      </c>
      <c r="AC601" s="102" t="str">
        <f aca="false">IF($B601="","",IF($J601&gt;=4,"Yes",""))</f>
        <v/>
      </c>
      <c r="AD601" s="102" t="str">
        <f aca="false">IF($A601="","",IFERROR(IF(VLOOKUP($A601,'Risk Register'!$B$2:$H$1000,4,FALSE())&gt;=4,"Yes",""),""))</f>
        <v/>
      </c>
      <c r="AE601" s="102" t="str">
        <f aca="false">IF(OR($N601="", $O601=""),"",IF($N601&gt;=Lists!$AG$2,IF($O601&gt;=Lists!$AG$4,"High Value / High Risk","High Value / Low Risk"),IF($O601&gt;=Lists!$AG$4,"Low Value / High Risk","Low Value / Low Risk")))</f>
        <v/>
      </c>
      <c r="AF601" s="101"/>
      <c r="AG601" s="126"/>
      <c r="AH601" s="106" t="str">
        <f aca="false">IF($B601="","",COUNTIFS('Debt Backlog'!$AF$2:$AF$1000,$A601,'Debt Backlog'!$B$2:$B$1000,"&lt;&gt;",'Debt Backlog'!$N$2:$N$1000,"&lt;&gt;Done",'Debt Backlog'!$N$2:$N$1000,"&lt;&gt;Won't Fix",'Debt Backlog'!$N$2:$N$1000,"&lt;&gt;Duplicate"))</f>
        <v/>
      </c>
      <c r="AI601" s="103" t="str">
        <f aca="false">IF($B601="","",ROUND(SUMIFS('Debt Backlog'!$L$2:$L$1000,'Debt Backlog'!$AF$2:$AF$1000,$A601,'Debt Backlog'!$B$2:$B$1000,"&lt;&gt;",'Debt Backlog'!$N$2:$N$1000,"&lt;&gt;Done",'Debt Backlog'!$N$2:$N$1000,"&lt;&gt;Won't Fix",'Debt Backlog'!$N$2:$N$1000,"&lt;&gt;Duplicate"),2))</f>
        <v/>
      </c>
    </row>
    <row r="602" customFormat="false" ht="15.75" hidden="false" customHeight="true" outlineLevel="0" collapsed="false">
      <c r="A602" s="125"/>
      <c r="B602" s="101"/>
      <c r="C602" s="101"/>
      <c r="D602" s="101"/>
      <c r="E602" s="101"/>
      <c r="F602" s="101"/>
      <c r="G602" s="101"/>
      <c r="H602" s="101"/>
      <c r="I602" s="106"/>
      <c r="J602" s="106"/>
      <c r="K602" s="106"/>
      <c r="L602" s="106"/>
      <c r="M602" s="106"/>
      <c r="N602" s="103" t="str">
        <f aca="false">IF(OR($B602="", $I602="", $J602="", $K602="", $L602="", $M602=""),"",ROUND(($I602*Lists!$AD$2)+($J602*Lists!$AD$3)+($K602*Lists!$AD$4)+($L602*Lists!$AD$5)+($M602*Lists!$AD$6),2))</f>
        <v/>
      </c>
      <c r="O602" s="103" t="str">
        <f aca="false">IF($A602="","",IFERROR(VLOOKUP($A602,'Risk Register'!$B$2:$I$1000,8,FALSE()),""))</f>
        <v/>
      </c>
      <c r="P602" s="106"/>
      <c r="Q602" s="106"/>
      <c r="R602" s="106"/>
      <c r="S602" s="106"/>
      <c r="T602" s="103" t="str">
        <f aca="false">IF(OR($B602="", $P602="", $Q602="", $R602="", $S602=""),"",ROUND(($P602*Lists!$AD$7)+($Q602*Lists!$AD$8)+($R602*Lists!$AD$9)+($S602*Lists!$AD$10),2))</f>
        <v/>
      </c>
      <c r="U602" s="106"/>
      <c r="V602" s="106"/>
      <c r="W602" s="106"/>
      <c r="X602" s="106"/>
      <c r="Y602" s="106"/>
      <c r="Z602" s="103" t="str">
        <f aca="false">IF(OR($B602="", $U602="", $V602="", $W602="", $X602="", $Y602=""),"",ROUND(($U602*Lists!$AD$11)+($V602*Lists!$AD$12)+($W602*Lists!$AD$13)+($X602*Lists!$AD$14)+($Y602*Lists!$AD$15),2))</f>
        <v/>
      </c>
      <c r="AA602" s="103" t="str">
        <f aca="false">IF(OR($B602="", $N602="", $O602="", $T602="", $Z602=""),"",ROUND(($N602*Lists!$AD$16)-($O602*Lists!$AD$17)-($T602*Lists!$AD$18)+($Z602*Lists!$AD$19),2))</f>
        <v/>
      </c>
      <c r="AB602" s="102" t="str">
        <f aca="false">IF(OR($B602="", $N602="", $Z602=""),"",IF($N602&gt;=Lists!$AG$2,IF($Z602&gt;=Lists!$AG$3,"Invest","Migrate"),IF($Z602&gt;=Lists!$AG$3,"Tolerate","Eliminate")))</f>
        <v/>
      </c>
      <c r="AC602" s="102" t="str">
        <f aca="false">IF($B602="","",IF($J602&gt;=4,"Yes",""))</f>
        <v/>
      </c>
      <c r="AD602" s="102" t="str">
        <f aca="false">IF($A602="","",IFERROR(IF(VLOOKUP($A602,'Risk Register'!$B$2:$H$1000,4,FALSE())&gt;=4,"Yes",""),""))</f>
        <v/>
      </c>
      <c r="AE602" s="102" t="str">
        <f aca="false">IF(OR($N602="", $O602=""),"",IF($N602&gt;=Lists!$AG$2,IF($O602&gt;=Lists!$AG$4,"High Value / High Risk","High Value / Low Risk"),IF($O602&gt;=Lists!$AG$4,"Low Value / High Risk","Low Value / Low Risk")))</f>
        <v/>
      </c>
      <c r="AF602" s="101"/>
      <c r="AG602" s="126"/>
      <c r="AH602" s="106" t="str">
        <f aca="false">IF($B602="","",COUNTIFS('Debt Backlog'!$AF$2:$AF$1000,$A602,'Debt Backlog'!$B$2:$B$1000,"&lt;&gt;",'Debt Backlog'!$N$2:$N$1000,"&lt;&gt;Done",'Debt Backlog'!$N$2:$N$1000,"&lt;&gt;Won't Fix",'Debt Backlog'!$N$2:$N$1000,"&lt;&gt;Duplicate"))</f>
        <v/>
      </c>
      <c r="AI602" s="103" t="str">
        <f aca="false">IF($B602="","",ROUND(SUMIFS('Debt Backlog'!$L$2:$L$1000,'Debt Backlog'!$AF$2:$AF$1000,$A602,'Debt Backlog'!$B$2:$B$1000,"&lt;&gt;",'Debt Backlog'!$N$2:$N$1000,"&lt;&gt;Done",'Debt Backlog'!$N$2:$N$1000,"&lt;&gt;Won't Fix",'Debt Backlog'!$N$2:$N$1000,"&lt;&gt;Duplicate"),2))</f>
        <v/>
      </c>
    </row>
    <row r="603" customFormat="false" ht="15.75" hidden="false" customHeight="true" outlineLevel="0" collapsed="false">
      <c r="A603" s="125"/>
      <c r="B603" s="101"/>
      <c r="C603" s="101"/>
      <c r="D603" s="101"/>
      <c r="E603" s="101"/>
      <c r="F603" s="101"/>
      <c r="G603" s="101"/>
      <c r="H603" s="101"/>
      <c r="I603" s="106"/>
      <c r="J603" s="106"/>
      <c r="K603" s="106"/>
      <c r="L603" s="106"/>
      <c r="M603" s="106"/>
      <c r="N603" s="103" t="str">
        <f aca="false">IF(OR($B603="", $I603="", $J603="", $K603="", $L603="", $M603=""),"",ROUND(($I603*Lists!$AD$2)+($J603*Lists!$AD$3)+($K603*Lists!$AD$4)+($L603*Lists!$AD$5)+($M603*Lists!$AD$6),2))</f>
        <v/>
      </c>
      <c r="O603" s="103" t="str">
        <f aca="false">IF($A603="","",IFERROR(VLOOKUP($A603,'Risk Register'!$B$2:$I$1000,8,FALSE()),""))</f>
        <v/>
      </c>
      <c r="P603" s="106"/>
      <c r="Q603" s="106"/>
      <c r="R603" s="106"/>
      <c r="S603" s="106"/>
      <c r="T603" s="103" t="str">
        <f aca="false">IF(OR($B603="", $P603="", $Q603="", $R603="", $S603=""),"",ROUND(($P603*Lists!$AD$7)+($Q603*Lists!$AD$8)+($R603*Lists!$AD$9)+($S603*Lists!$AD$10),2))</f>
        <v/>
      </c>
      <c r="U603" s="106"/>
      <c r="V603" s="106"/>
      <c r="W603" s="106"/>
      <c r="X603" s="106"/>
      <c r="Y603" s="106"/>
      <c r="Z603" s="103" t="str">
        <f aca="false">IF(OR($B603="", $U603="", $V603="", $W603="", $X603="", $Y603=""),"",ROUND(($U603*Lists!$AD$11)+($V603*Lists!$AD$12)+($W603*Lists!$AD$13)+($X603*Lists!$AD$14)+($Y603*Lists!$AD$15),2))</f>
        <v/>
      </c>
      <c r="AA603" s="103" t="str">
        <f aca="false">IF(OR($B603="", $N603="", $O603="", $T603="", $Z603=""),"",ROUND(($N603*Lists!$AD$16)-($O603*Lists!$AD$17)-($T603*Lists!$AD$18)+($Z603*Lists!$AD$19),2))</f>
        <v/>
      </c>
      <c r="AB603" s="102" t="str">
        <f aca="false">IF(OR($B603="", $N603="", $Z603=""),"",IF($N603&gt;=Lists!$AG$2,IF($Z603&gt;=Lists!$AG$3,"Invest","Migrate"),IF($Z603&gt;=Lists!$AG$3,"Tolerate","Eliminate")))</f>
        <v/>
      </c>
      <c r="AC603" s="102" t="str">
        <f aca="false">IF($B603="","",IF($J603&gt;=4,"Yes",""))</f>
        <v/>
      </c>
      <c r="AD603" s="102" t="str">
        <f aca="false">IF($A603="","",IFERROR(IF(VLOOKUP($A603,'Risk Register'!$B$2:$H$1000,4,FALSE())&gt;=4,"Yes",""),""))</f>
        <v/>
      </c>
      <c r="AE603" s="102" t="str">
        <f aca="false">IF(OR($N603="", $O603=""),"",IF($N603&gt;=Lists!$AG$2,IF($O603&gt;=Lists!$AG$4,"High Value / High Risk","High Value / Low Risk"),IF($O603&gt;=Lists!$AG$4,"Low Value / High Risk","Low Value / Low Risk")))</f>
        <v/>
      </c>
      <c r="AF603" s="101"/>
      <c r="AG603" s="126"/>
      <c r="AH603" s="106" t="str">
        <f aca="false">IF($B603="","",COUNTIFS('Debt Backlog'!$AF$2:$AF$1000,$A603,'Debt Backlog'!$B$2:$B$1000,"&lt;&gt;",'Debt Backlog'!$N$2:$N$1000,"&lt;&gt;Done",'Debt Backlog'!$N$2:$N$1000,"&lt;&gt;Won't Fix",'Debt Backlog'!$N$2:$N$1000,"&lt;&gt;Duplicate"))</f>
        <v/>
      </c>
      <c r="AI603" s="103" t="str">
        <f aca="false">IF($B603="","",ROUND(SUMIFS('Debt Backlog'!$L$2:$L$1000,'Debt Backlog'!$AF$2:$AF$1000,$A603,'Debt Backlog'!$B$2:$B$1000,"&lt;&gt;",'Debt Backlog'!$N$2:$N$1000,"&lt;&gt;Done",'Debt Backlog'!$N$2:$N$1000,"&lt;&gt;Won't Fix",'Debt Backlog'!$N$2:$N$1000,"&lt;&gt;Duplicate"),2))</f>
        <v/>
      </c>
    </row>
    <row r="604" customFormat="false" ht="15.75" hidden="false" customHeight="true" outlineLevel="0" collapsed="false">
      <c r="A604" s="125"/>
      <c r="B604" s="101"/>
      <c r="C604" s="101"/>
      <c r="D604" s="101"/>
      <c r="E604" s="101"/>
      <c r="F604" s="101"/>
      <c r="G604" s="101"/>
      <c r="H604" s="101"/>
      <c r="I604" s="106"/>
      <c r="J604" s="106"/>
      <c r="K604" s="106"/>
      <c r="L604" s="106"/>
      <c r="M604" s="106"/>
      <c r="N604" s="103" t="str">
        <f aca="false">IF(OR($B604="", $I604="", $J604="", $K604="", $L604="", $M604=""),"",ROUND(($I604*Lists!$AD$2)+($J604*Lists!$AD$3)+($K604*Lists!$AD$4)+($L604*Lists!$AD$5)+($M604*Lists!$AD$6),2))</f>
        <v/>
      </c>
      <c r="O604" s="103" t="str">
        <f aca="false">IF($A604="","",IFERROR(VLOOKUP($A604,'Risk Register'!$B$2:$I$1000,8,FALSE()),""))</f>
        <v/>
      </c>
      <c r="P604" s="106"/>
      <c r="Q604" s="106"/>
      <c r="R604" s="106"/>
      <c r="S604" s="106"/>
      <c r="T604" s="103" t="str">
        <f aca="false">IF(OR($B604="", $P604="", $Q604="", $R604="", $S604=""),"",ROUND(($P604*Lists!$AD$7)+($Q604*Lists!$AD$8)+($R604*Lists!$AD$9)+($S604*Lists!$AD$10),2))</f>
        <v/>
      </c>
      <c r="U604" s="106"/>
      <c r="V604" s="106"/>
      <c r="W604" s="106"/>
      <c r="X604" s="106"/>
      <c r="Y604" s="106"/>
      <c r="Z604" s="103" t="str">
        <f aca="false">IF(OR($B604="", $U604="", $V604="", $W604="", $X604="", $Y604=""),"",ROUND(($U604*Lists!$AD$11)+($V604*Lists!$AD$12)+($W604*Lists!$AD$13)+($X604*Lists!$AD$14)+($Y604*Lists!$AD$15),2))</f>
        <v/>
      </c>
      <c r="AA604" s="103" t="str">
        <f aca="false">IF(OR($B604="", $N604="", $O604="", $T604="", $Z604=""),"",ROUND(($N604*Lists!$AD$16)-($O604*Lists!$AD$17)-($T604*Lists!$AD$18)+($Z604*Lists!$AD$19),2))</f>
        <v/>
      </c>
      <c r="AB604" s="102" t="str">
        <f aca="false">IF(OR($B604="", $N604="", $Z604=""),"",IF($N604&gt;=Lists!$AG$2,IF($Z604&gt;=Lists!$AG$3,"Invest","Migrate"),IF($Z604&gt;=Lists!$AG$3,"Tolerate","Eliminate")))</f>
        <v/>
      </c>
      <c r="AC604" s="102" t="str">
        <f aca="false">IF($B604="","",IF($J604&gt;=4,"Yes",""))</f>
        <v/>
      </c>
      <c r="AD604" s="102" t="str">
        <f aca="false">IF($A604="","",IFERROR(IF(VLOOKUP($A604,'Risk Register'!$B$2:$H$1000,4,FALSE())&gt;=4,"Yes",""),""))</f>
        <v/>
      </c>
      <c r="AE604" s="102" t="str">
        <f aca="false">IF(OR($N604="", $O604=""),"",IF($N604&gt;=Lists!$AG$2,IF($O604&gt;=Lists!$AG$4,"High Value / High Risk","High Value / Low Risk"),IF($O604&gt;=Lists!$AG$4,"Low Value / High Risk","Low Value / Low Risk")))</f>
        <v/>
      </c>
      <c r="AF604" s="101"/>
      <c r="AG604" s="126"/>
      <c r="AH604" s="106" t="str">
        <f aca="false">IF($B604="","",COUNTIFS('Debt Backlog'!$AF$2:$AF$1000,$A604,'Debt Backlog'!$B$2:$B$1000,"&lt;&gt;",'Debt Backlog'!$N$2:$N$1000,"&lt;&gt;Done",'Debt Backlog'!$N$2:$N$1000,"&lt;&gt;Won't Fix",'Debt Backlog'!$N$2:$N$1000,"&lt;&gt;Duplicate"))</f>
        <v/>
      </c>
      <c r="AI604" s="103" t="str">
        <f aca="false">IF($B604="","",ROUND(SUMIFS('Debt Backlog'!$L$2:$L$1000,'Debt Backlog'!$AF$2:$AF$1000,$A604,'Debt Backlog'!$B$2:$B$1000,"&lt;&gt;",'Debt Backlog'!$N$2:$N$1000,"&lt;&gt;Done",'Debt Backlog'!$N$2:$N$1000,"&lt;&gt;Won't Fix",'Debt Backlog'!$N$2:$N$1000,"&lt;&gt;Duplicate"),2))</f>
        <v/>
      </c>
    </row>
    <row r="605" customFormat="false" ht="15.75" hidden="false" customHeight="true" outlineLevel="0" collapsed="false">
      <c r="A605" s="125"/>
      <c r="B605" s="101"/>
      <c r="C605" s="101"/>
      <c r="D605" s="101"/>
      <c r="E605" s="101"/>
      <c r="F605" s="101"/>
      <c r="G605" s="101"/>
      <c r="H605" s="101"/>
      <c r="I605" s="106"/>
      <c r="J605" s="106"/>
      <c r="K605" s="106"/>
      <c r="L605" s="106"/>
      <c r="M605" s="106"/>
      <c r="N605" s="103" t="str">
        <f aca="false">IF(OR($B605="", $I605="", $J605="", $K605="", $L605="", $M605=""),"",ROUND(($I605*Lists!$AD$2)+($J605*Lists!$AD$3)+($K605*Lists!$AD$4)+($L605*Lists!$AD$5)+($M605*Lists!$AD$6),2))</f>
        <v/>
      </c>
      <c r="O605" s="103" t="str">
        <f aca="false">IF($A605="","",IFERROR(VLOOKUP($A605,'Risk Register'!$B$2:$I$1000,8,FALSE()),""))</f>
        <v/>
      </c>
      <c r="P605" s="106"/>
      <c r="Q605" s="106"/>
      <c r="R605" s="106"/>
      <c r="S605" s="106"/>
      <c r="T605" s="103" t="str">
        <f aca="false">IF(OR($B605="", $P605="", $Q605="", $R605="", $S605=""),"",ROUND(($P605*Lists!$AD$7)+($Q605*Lists!$AD$8)+($R605*Lists!$AD$9)+($S605*Lists!$AD$10),2))</f>
        <v/>
      </c>
      <c r="U605" s="106"/>
      <c r="V605" s="106"/>
      <c r="W605" s="106"/>
      <c r="X605" s="106"/>
      <c r="Y605" s="106"/>
      <c r="Z605" s="103" t="str">
        <f aca="false">IF(OR($B605="", $U605="", $V605="", $W605="", $X605="", $Y605=""),"",ROUND(($U605*Lists!$AD$11)+($V605*Lists!$AD$12)+($W605*Lists!$AD$13)+($X605*Lists!$AD$14)+($Y605*Lists!$AD$15),2))</f>
        <v/>
      </c>
      <c r="AA605" s="103" t="str">
        <f aca="false">IF(OR($B605="", $N605="", $O605="", $T605="", $Z605=""),"",ROUND(($N605*Lists!$AD$16)-($O605*Lists!$AD$17)-($T605*Lists!$AD$18)+($Z605*Lists!$AD$19),2))</f>
        <v/>
      </c>
      <c r="AB605" s="102" t="str">
        <f aca="false">IF(OR($B605="", $N605="", $Z605=""),"",IF($N605&gt;=Lists!$AG$2,IF($Z605&gt;=Lists!$AG$3,"Invest","Migrate"),IF($Z605&gt;=Lists!$AG$3,"Tolerate","Eliminate")))</f>
        <v/>
      </c>
      <c r="AC605" s="102" t="str">
        <f aca="false">IF($B605="","",IF($J605&gt;=4,"Yes",""))</f>
        <v/>
      </c>
      <c r="AD605" s="102" t="str">
        <f aca="false">IF($A605="","",IFERROR(IF(VLOOKUP($A605,'Risk Register'!$B$2:$H$1000,4,FALSE())&gt;=4,"Yes",""),""))</f>
        <v/>
      </c>
      <c r="AE605" s="102" t="str">
        <f aca="false">IF(OR($N605="", $O605=""),"",IF($N605&gt;=Lists!$AG$2,IF($O605&gt;=Lists!$AG$4,"High Value / High Risk","High Value / Low Risk"),IF($O605&gt;=Lists!$AG$4,"Low Value / High Risk","Low Value / Low Risk")))</f>
        <v/>
      </c>
      <c r="AF605" s="101"/>
      <c r="AG605" s="126"/>
      <c r="AH605" s="106" t="str">
        <f aca="false">IF($B605="","",COUNTIFS('Debt Backlog'!$AF$2:$AF$1000,$A605,'Debt Backlog'!$B$2:$B$1000,"&lt;&gt;",'Debt Backlog'!$N$2:$N$1000,"&lt;&gt;Done",'Debt Backlog'!$N$2:$N$1000,"&lt;&gt;Won't Fix",'Debt Backlog'!$N$2:$N$1000,"&lt;&gt;Duplicate"))</f>
        <v/>
      </c>
      <c r="AI605" s="103" t="str">
        <f aca="false">IF($B605="","",ROUND(SUMIFS('Debt Backlog'!$L$2:$L$1000,'Debt Backlog'!$AF$2:$AF$1000,$A605,'Debt Backlog'!$B$2:$B$1000,"&lt;&gt;",'Debt Backlog'!$N$2:$N$1000,"&lt;&gt;Done",'Debt Backlog'!$N$2:$N$1000,"&lt;&gt;Won't Fix",'Debt Backlog'!$N$2:$N$1000,"&lt;&gt;Duplicate"),2))</f>
        <v/>
      </c>
    </row>
    <row r="606" customFormat="false" ht="15.75" hidden="false" customHeight="true" outlineLevel="0" collapsed="false">
      <c r="A606" s="125"/>
      <c r="B606" s="101"/>
      <c r="C606" s="101"/>
      <c r="D606" s="101"/>
      <c r="E606" s="101"/>
      <c r="F606" s="101"/>
      <c r="G606" s="101"/>
      <c r="H606" s="101"/>
      <c r="I606" s="106"/>
      <c r="J606" s="106"/>
      <c r="K606" s="106"/>
      <c r="L606" s="106"/>
      <c r="M606" s="106"/>
      <c r="N606" s="103" t="str">
        <f aca="false">IF(OR($B606="", $I606="", $J606="", $K606="", $L606="", $M606=""),"",ROUND(($I606*Lists!$AD$2)+($J606*Lists!$AD$3)+($K606*Lists!$AD$4)+($L606*Lists!$AD$5)+($M606*Lists!$AD$6),2))</f>
        <v/>
      </c>
      <c r="O606" s="103" t="str">
        <f aca="false">IF($A606="","",IFERROR(VLOOKUP($A606,'Risk Register'!$B$2:$I$1000,8,FALSE()),""))</f>
        <v/>
      </c>
      <c r="P606" s="106"/>
      <c r="Q606" s="106"/>
      <c r="R606" s="106"/>
      <c r="S606" s="106"/>
      <c r="T606" s="103" t="str">
        <f aca="false">IF(OR($B606="", $P606="", $Q606="", $R606="", $S606=""),"",ROUND(($P606*Lists!$AD$7)+($Q606*Lists!$AD$8)+($R606*Lists!$AD$9)+($S606*Lists!$AD$10),2))</f>
        <v/>
      </c>
      <c r="U606" s="106"/>
      <c r="V606" s="106"/>
      <c r="W606" s="106"/>
      <c r="X606" s="106"/>
      <c r="Y606" s="106"/>
      <c r="Z606" s="103" t="str">
        <f aca="false">IF(OR($B606="", $U606="", $V606="", $W606="", $X606="", $Y606=""),"",ROUND(($U606*Lists!$AD$11)+($V606*Lists!$AD$12)+($W606*Lists!$AD$13)+($X606*Lists!$AD$14)+($Y606*Lists!$AD$15),2))</f>
        <v/>
      </c>
      <c r="AA606" s="103" t="str">
        <f aca="false">IF(OR($B606="", $N606="", $O606="", $T606="", $Z606=""),"",ROUND(($N606*Lists!$AD$16)-($O606*Lists!$AD$17)-($T606*Lists!$AD$18)+($Z606*Lists!$AD$19),2))</f>
        <v/>
      </c>
      <c r="AB606" s="102" t="str">
        <f aca="false">IF(OR($B606="", $N606="", $Z606=""),"",IF($N606&gt;=Lists!$AG$2,IF($Z606&gt;=Lists!$AG$3,"Invest","Migrate"),IF($Z606&gt;=Lists!$AG$3,"Tolerate","Eliminate")))</f>
        <v/>
      </c>
      <c r="AC606" s="102" t="str">
        <f aca="false">IF($B606="","",IF($J606&gt;=4,"Yes",""))</f>
        <v/>
      </c>
      <c r="AD606" s="102" t="str">
        <f aca="false">IF($A606="","",IFERROR(IF(VLOOKUP($A606,'Risk Register'!$B$2:$H$1000,4,FALSE())&gt;=4,"Yes",""),""))</f>
        <v/>
      </c>
      <c r="AE606" s="102" t="str">
        <f aca="false">IF(OR($N606="", $O606=""),"",IF($N606&gt;=Lists!$AG$2,IF($O606&gt;=Lists!$AG$4,"High Value / High Risk","High Value / Low Risk"),IF($O606&gt;=Lists!$AG$4,"Low Value / High Risk","Low Value / Low Risk")))</f>
        <v/>
      </c>
      <c r="AF606" s="101"/>
      <c r="AG606" s="126"/>
      <c r="AH606" s="106" t="str">
        <f aca="false">IF($B606="","",COUNTIFS('Debt Backlog'!$AF$2:$AF$1000,$A606,'Debt Backlog'!$B$2:$B$1000,"&lt;&gt;",'Debt Backlog'!$N$2:$N$1000,"&lt;&gt;Done",'Debt Backlog'!$N$2:$N$1000,"&lt;&gt;Won't Fix",'Debt Backlog'!$N$2:$N$1000,"&lt;&gt;Duplicate"))</f>
        <v/>
      </c>
      <c r="AI606" s="103" t="str">
        <f aca="false">IF($B606="","",ROUND(SUMIFS('Debt Backlog'!$L$2:$L$1000,'Debt Backlog'!$AF$2:$AF$1000,$A606,'Debt Backlog'!$B$2:$B$1000,"&lt;&gt;",'Debt Backlog'!$N$2:$N$1000,"&lt;&gt;Done",'Debt Backlog'!$N$2:$N$1000,"&lt;&gt;Won't Fix",'Debt Backlog'!$N$2:$N$1000,"&lt;&gt;Duplicate"),2))</f>
        <v/>
      </c>
    </row>
    <row r="607" customFormat="false" ht="15.75" hidden="false" customHeight="true" outlineLevel="0" collapsed="false">
      <c r="A607" s="125"/>
      <c r="B607" s="101"/>
      <c r="C607" s="101"/>
      <c r="D607" s="101"/>
      <c r="E607" s="101"/>
      <c r="F607" s="101"/>
      <c r="G607" s="101"/>
      <c r="H607" s="101"/>
      <c r="I607" s="106"/>
      <c r="J607" s="106"/>
      <c r="K607" s="106"/>
      <c r="L607" s="106"/>
      <c r="M607" s="106"/>
      <c r="N607" s="103" t="str">
        <f aca="false">IF(OR($B607="", $I607="", $J607="", $K607="", $L607="", $M607=""),"",ROUND(($I607*Lists!$AD$2)+($J607*Lists!$AD$3)+($K607*Lists!$AD$4)+($L607*Lists!$AD$5)+($M607*Lists!$AD$6),2))</f>
        <v/>
      </c>
      <c r="O607" s="103" t="str">
        <f aca="false">IF($A607="","",IFERROR(VLOOKUP($A607,'Risk Register'!$B$2:$I$1000,8,FALSE()),""))</f>
        <v/>
      </c>
      <c r="P607" s="106"/>
      <c r="Q607" s="106"/>
      <c r="R607" s="106"/>
      <c r="S607" s="106"/>
      <c r="T607" s="103" t="str">
        <f aca="false">IF(OR($B607="", $P607="", $Q607="", $R607="", $S607=""),"",ROUND(($P607*Lists!$AD$7)+($Q607*Lists!$AD$8)+($R607*Lists!$AD$9)+($S607*Lists!$AD$10),2))</f>
        <v/>
      </c>
      <c r="U607" s="106"/>
      <c r="V607" s="106"/>
      <c r="W607" s="106"/>
      <c r="X607" s="106"/>
      <c r="Y607" s="106"/>
      <c r="Z607" s="103" t="str">
        <f aca="false">IF(OR($B607="", $U607="", $V607="", $W607="", $X607="", $Y607=""),"",ROUND(($U607*Lists!$AD$11)+($V607*Lists!$AD$12)+($W607*Lists!$AD$13)+($X607*Lists!$AD$14)+($Y607*Lists!$AD$15),2))</f>
        <v/>
      </c>
      <c r="AA607" s="103" t="str">
        <f aca="false">IF(OR($B607="", $N607="", $O607="", $T607="", $Z607=""),"",ROUND(($N607*Lists!$AD$16)-($O607*Lists!$AD$17)-($T607*Lists!$AD$18)+($Z607*Lists!$AD$19),2))</f>
        <v/>
      </c>
      <c r="AB607" s="102" t="str">
        <f aca="false">IF(OR($B607="", $N607="", $Z607=""),"",IF($N607&gt;=Lists!$AG$2,IF($Z607&gt;=Lists!$AG$3,"Invest","Migrate"),IF($Z607&gt;=Lists!$AG$3,"Tolerate","Eliminate")))</f>
        <v/>
      </c>
      <c r="AC607" s="102" t="str">
        <f aca="false">IF($B607="","",IF($J607&gt;=4,"Yes",""))</f>
        <v/>
      </c>
      <c r="AD607" s="102" t="str">
        <f aca="false">IF($A607="","",IFERROR(IF(VLOOKUP($A607,'Risk Register'!$B$2:$H$1000,4,FALSE())&gt;=4,"Yes",""),""))</f>
        <v/>
      </c>
      <c r="AE607" s="102" t="str">
        <f aca="false">IF(OR($N607="", $O607=""),"",IF($N607&gt;=Lists!$AG$2,IF($O607&gt;=Lists!$AG$4,"High Value / High Risk","High Value / Low Risk"),IF($O607&gt;=Lists!$AG$4,"Low Value / High Risk","Low Value / Low Risk")))</f>
        <v/>
      </c>
      <c r="AF607" s="101"/>
      <c r="AG607" s="126"/>
      <c r="AH607" s="106" t="str">
        <f aca="false">IF($B607="","",COUNTIFS('Debt Backlog'!$AF$2:$AF$1000,$A607,'Debt Backlog'!$B$2:$B$1000,"&lt;&gt;",'Debt Backlog'!$N$2:$N$1000,"&lt;&gt;Done",'Debt Backlog'!$N$2:$N$1000,"&lt;&gt;Won't Fix",'Debt Backlog'!$N$2:$N$1000,"&lt;&gt;Duplicate"))</f>
        <v/>
      </c>
      <c r="AI607" s="103" t="str">
        <f aca="false">IF($B607="","",ROUND(SUMIFS('Debt Backlog'!$L$2:$L$1000,'Debt Backlog'!$AF$2:$AF$1000,$A607,'Debt Backlog'!$B$2:$B$1000,"&lt;&gt;",'Debt Backlog'!$N$2:$N$1000,"&lt;&gt;Done",'Debt Backlog'!$N$2:$N$1000,"&lt;&gt;Won't Fix",'Debt Backlog'!$N$2:$N$1000,"&lt;&gt;Duplicate"),2))</f>
        <v/>
      </c>
    </row>
    <row r="608" customFormat="false" ht="15.75" hidden="false" customHeight="true" outlineLevel="0" collapsed="false">
      <c r="A608" s="125"/>
      <c r="B608" s="101"/>
      <c r="C608" s="101"/>
      <c r="D608" s="101"/>
      <c r="E608" s="101"/>
      <c r="F608" s="101"/>
      <c r="G608" s="101"/>
      <c r="H608" s="101"/>
      <c r="I608" s="106"/>
      <c r="J608" s="106"/>
      <c r="K608" s="106"/>
      <c r="L608" s="106"/>
      <c r="M608" s="106"/>
      <c r="N608" s="103" t="str">
        <f aca="false">IF(OR($B608="", $I608="", $J608="", $K608="", $L608="", $M608=""),"",ROUND(($I608*Lists!$AD$2)+($J608*Lists!$AD$3)+($K608*Lists!$AD$4)+($L608*Lists!$AD$5)+($M608*Lists!$AD$6),2))</f>
        <v/>
      </c>
      <c r="O608" s="103" t="str">
        <f aca="false">IF($A608="","",IFERROR(VLOOKUP($A608,'Risk Register'!$B$2:$I$1000,8,FALSE()),""))</f>
        <v/>
      </c>
      <c r="P608" s="106"/>
      <c r="Q608" s="106"/>
      <c r="R608" s="106"/>
      <c r="S608" s="106"/>
      <c r="T608" s="103" t="str">
        <f aca="false">IF(OR($B608="", $P608="", $Q608="", $R608="", $S608=""),"",ROUND(($P608*Lists!$AD$7)+($Q608*Lists!$AD$8)+($R608*Lists!$AD$9)+($S608*Lists!$AD$10),2))</f>
        <v/>
      </c>
      <c r="U608" s="106"/>
      <c r="V608" s="106"/>
      <c r="W608" s="106"/>
      <c r="X608" s="106"/>
      <c r="Y608" s="106"/>
      <c r="Z608" s="103" t="str">
        <f aca="false">IF(OR($B608="", $U608="", $V608="", $W608="", $X608="", $Y608=""),"",ROUND(($U608*Lists!$AD$11)+($V608*Lists!$AD$12)+($W608*Lists!$AD$13)+($X608*Lists!$AD$14)+($Y608*Lists!$AD$15),2))</f>
        <v/>
      </c>
      <c r="AA608" s="103" t="str">
        <f aca="false">IF(OR($B608="", $N608="", $O608="", $T608="", $Z608=""),"",ROUND(($N608*Lists!$AD$16)-($O608*Lists!$AD$17)-($T608*Lists!$AD$18)+($Z608*Lists!$AD$19),2))</f>
        <v/>
      </c>
      <c r="AB608" s="102" t="str">
        <f aca="false">IF(OR($B608="", $N608="", $Z608=""),"",IF($N608&gt;=Lists!$AG$2,IF($Z608&gt;=Lists!$AG$3,"Invest","Migrate"),IF($Z608&gt;=Lists!$AG$3,"Tolerate","Eliminate")))</f>
        <v/>
      </c>
      <c r="AC608" s="102" t="str">
        <f aca="false">IF($B608="","",IF($J608&gt;=4,"Yes",""))</f>
        <v/>
      </c>
      <c r="AD608" s="102" t="str">
        <f aca="false">IF($A608="","",IFERROR(IF(VLOOKUP($A608,'Risk Register'!$B$2:$H$1000,4,FALSE())&gt;=4,"Yes",""),""))</f>
        <v/>
      </c>
      <c r="AE608" s="102" t="str">
        <f aca="false">IF(OR($N608="", $O608=""),"",IF($N608&gt;=Lists!$AG$2,IF($O608&gt;=Lists!$AG$4,"High Value / High Risk","High Value / Low Risk"),IF($O608&gt;=Lists!$AG$4,"Low Value / High Risk","Low Value / Low Risk")))</f>
        <v/>
      </c>
      <c r="AF608" s="101"/>
      <c r="AG608" s="126"/>
      <c r="AH608" s="106" t="str">
        <f aca="false">IF($B608="","",COUNTIFS('Debt Backlog'!$AF$2:$AF$1000,$A608,'Debt Backlog'!$B$2:$B$1000,"&lt;&gt;",'Debt Backlog'!$N$2:$N$1000,"&lt;&gt;Done",'Debt Backlog'!$N$2:$N$1000,"&lt;&gt;Won't Fix",'Debt Backlog'!$N$2:$N$1000,"&lt;&gt;Duplicate"))</f>
        <v/>
      </c>
      <c r="AI608" s="103" t="str">
        <f aca="false">IF($B608="","",ROUND(SUMIFS('Debt Backlog'!$L$2:$L$1000,'Debt Backlog'!$AF$2:$AF$1000,$A608,'Debt Backlog'!$B$2:$B$1000,"&lt;&gt;",'Debt Backlog'!$N$2:$N$1000,"&lt;&gt;Done",'Debt Backlog'!$N$2:$N$1000,"&lt;&gt;Won't Fix",'Debt Backlog'!$N$2:$N$1000,"&lt;&gt;Duplicate"),2))</f>
        <v/>
      </c>
    </row>
    <row r="609" customFormat="false" ht="15.75" hidden="false" customHeight="true" outlineLevel="0" collapsed="false">
      <c r="A609" s="125"/>
      <c r="B609" s="101"/>
      <c r="C609" s="101"/>
      <c r="D609" s="101"/>
      <c r="E609" s="101"/>
      <c r="F609" s="101"/>
      <c r="G609" s="101"/>
      <c r="H609" s="101"/>
      <c r="I609" s="106"/>
      <c r="J609" s="106"/>
      <c r="K609" s="106"/>
      <c r="L609" s="106"/>
      <c r="M609" s="106"/>
      <c r="N609" s="103" t="str">
        <f aca="false">IF(OR($B609="", $I609="", $J609="", $K609="", $L609="", $M609=""),"",ROUND(($I609*Lists!$AD$2)+($J609*Lists!$AD$3)+($K609*Lists!$AD$4)+($L609*Lists!$AD$5)+($M609*Lists!$AD$6),2))</f>
        <v/>
      </c>
      <c r="O609" s="103" t="str">
        <f aca="false">IF($A609="","",IFERROR(VLOOKUP($A609,'Risk Register'!$B$2:$I$1000,8,FALSE()),""))</f>
        <v/>
      </c>
      <c r="P609" s="106"/>
      <c r="Q609" s="106"/>
      <c r="R609" s="106"/>
      <c r="S609" s="106"/>
      <c r="T609" s="103" t="str">
        <f aca="false">IF(OR($B609="", $P609="", $Q609="", $R609="", $S609=""),"",ROUND(($P609*Lists!$AD$7)+($Q609*Lists!$AD$8)+($R609*Lists!$AD$9)+($S609*Lists!$AD$10),2))</f>
        <v/>
      </c>
      <c r="U609" s="106"/>
      <c r="V609" s="106"/>
      <c r="W609" s="106"/>
      <c r="X609" s="106"/>
      <c r="Y609" s="106"/>
      <c r="Z609" s="103" t="str">
        <f aca="false">IF(OR($B609="", $U609="", $V609="", $W609="", $X609="", $Y609=""),"",ROUND(($U609*Lists!$AD$11)+($V609*Lists!$AD$12)+($W609*Lists!$AD$13)+($X609*Lists!$AD$14)+($Y609*Lists!$AD$15),2))</f>
        <v/>
      </c>
      <c r="AA609" s="103" t="str">
        <f aca="false">IF(OR($B609="", $N609="", $O609="", $T609="", $Z609=""),"",ROUND(($N609*Lists!$AD$16)-($O609*Lists!$AD$17)-($T609*Lists!$AD$18)+($Z609*Lists!$AD$19),2))</f>
        <v/>
      </c>
      <c r="AB609" s="102" t="str">
        <f aca="false">IF(OR($B609="", $N609="", $Z609=""),"",IF($N609&gt;=Lists!$AG$2,IF($Z609&gt;=Lists!$AG$3,"Invest","Migrate"),IF($Z609&gt;=Lists!$AG$3,"Tolerate","Eliminate")))</f>
        <v/>
      </c>
      <c r="AC609" s="102" t="str">
        <f aca="false">IF($B609="","",IF($J609&gt;=4,"Yes",""))</f>
        <v/>
      </c>
      <c r="AD609" s="102" t="str">
        <f aca="false">IF($A609="","",IFERROR(IF(VLOOKUP($A609,'Risk Register'!$B$2:$H$1000,4,FALSE())&gt;=4,"Yes",""),""))</f>
        <v/>
      </c>
      <c r="AE609" s="102" t="str">
        <f aca="false">IF(OR($N609="", $O609=""),"",IF($N609&gt;=Lists!$AG$2,IF($O609&gt;=Lists!$AG$4,"High Value / High Risk","High Value / Low Risk"),IF($O609&gt;=Lists!$AG$4,"Low Value / High Risk","Low Value / Low Risk")))</f>
        <v/>
      </c>
      <c r="AF609" s="101"/>
      <c r="AG609" s="126"/>
      <c r="AH609" s="106" t="str">
        <f aca="false">IF($B609="","",COUNTIFS('Debt Backlog'!$AF$2:$AF$1000,$A609,'Debt Backlog'!$B$2:$B$1000,"&lt;&gt;",'Debt Backlog'!$N$2:$N$1000,"&lt;&gt;Done",'Debt Backlog'!$N$2:$N$1000,"&lt;&gt;Won't Fix",'Debt Backlog'!$N$2:$N$1000,"&lt;&gt;Duplicate"))</f>
        <v/>
      </c>
      <c r="AI609" s="103" t="str">
        <f aca="false">IF($B609="","",ROUND(SUMIFS('Debt Backlog'!$L$2:$L$1000,'Debt Backlog'!$AF$2:$AF$1000,$A609,'Debt Backlog'!$B$2:$B$1000,"&lt;&gt;",'Debt Backlog'!$N$2:$N$1000,"&lt;&gt;Done",'Debt Backlog'!$N$2:$N$1000,"&lt;&gt;Won't Fix",'Debt Backlog'!$N$2:$N$1000,"&lt;&gt;Duplicate"),2))</f>
        <v/>
      </c>
    </row>
    <row r="610" customFormat="false" ht="15.75" hidden="false" customHeight="true" outlineLevel="0" collapsed="false">
      <c r="A610" s="125"/>
      <c r="B610" s="101"/>
      <c r="C610" s="101"/>
      <c r="D610" s="101"/>
      <c r="E610" s="101"/>
      <c r="F610" s="101"/>
      <c r="G610" s="101"/>
      <c r="H610" s="101"/>
      <c r="I610" s="106"/>
      <c r="J610" s="106"/>
      <c r="K610" s="106"/>
      <c r="L610" s="106"/>
      <c r="M610" s="106"/>
      <c r="N610" s="103" t="str">
        <f aca="false">IF(OR($B610="", $I610="", $J610="", $K610="", $L610="", $M610=""),"",ROUND(($I610*Lists!$AD$2)+($J610*Lists!$AD$3)+($K610*Lists!$AD$4)+($L610*Lists!$AD$5)+($M610*Lists!$AD$6),2))</f>
        <v/>
      </c>
      <c r="O610" s="103" t="str">
        <f aca="false">IF($A610="","",IFERROR(VLOOKUP($A610,'Risk Register'!$B$2:$I$1000,8,FALSE()),""))</f>
        <v/>
      </c>
      <c r="P610" s="106"/>
      <c r="Q610" s="106"/>
      <c r="R610" s="106"/>
      <c r="S610" s="106"/>
      <c r="T610" s="103" t="str">
        <f aca="false">IF(OR($B610="", $P610="", $Q610="", $R610="", $S610=""),"",ROUND(($P610*Lists!$AD$7)+($Q610*Lists!$AD$8)+($R610*Lists!$AD$9)+($S610*Lists!$AD$10),2))</f>
        <v/>
      </c>
      <c r="U610" s="106"/>
      <c r="V610" s="106"/>
      <c r="W610" s="106"/>
      <c r="X610" s="106"/>
      <c r="Y610" s="106"/>
      <c r="Z610" s="103" t="str">
        <f aca="false">IF(OR($B610="", $U610="", $V610="", $W610="", $X610="", $Y610=""),"",ROUND(($U610*Lists!$AD$11)+($V610*Lists!$AD$12)+($W610*Lists!$AD$13)+($X610*Lists!$AD$14)+($Y610*Lists!$AD$15),2))</f>
        <v/>
      </c>
      <c r="AA610" s="103" t="str">
        <f aca="false">IF(OR($B610="", $N610="", $O610="", $T610="", $Z610=""),"",ROUND(($N610*Lists!$AD$16)-($O610*Lists!$AD$17)-($T610*Lists!$AD$18)+($Z610*Lists!$AD$19),2))</f>
        <v/>
      </c>
      <c r="AB610" s="102" t="str">
        <f aca="false">IF(OR($B610="", $N610="", $Z610=""),"",IF($N610&gt;=Lists!$AG$2,IF($Z610&gt;=Lists!$AG$3,"Invest","Migrate"),IF($Z610&gt;=Lists!$AG$3,"Tolerate","Eliminate")))</f>
        <v/>
      </c>
      <c r="AC610" s="102" t="str">
        <f aca="false">IF($B610="","",IF($J610&gt;=4,"Yes",""))</f>
        <v/>
      </c>
      <c r="AD610" s="102" t="str">
        <f aca="false">IF($A610="","",IFERROR(IF(VLOOKUP($A610,'Risk Register'!$B$2:$H$1000,4,FALSE())&gt;=4,"Yes",""),""))</f>
        <v/>
      </c>
      <c r="AE610" s="102" t="str">
        <f aca="false">IF(OR($N610="", $O610=""),"",IF($N610&gt;=Lists!$AG$2,IF($O610&gt;=Lists!$AG$4,"High Value / High Risk","High Value / Low Risk"),IF($O610&gt;=Lists!$AG$4,"Low Value / High Risk","Low Value / Low Risk")))</f>
        <v/>
      </c>
      <c r="AF610" s="101"/>
      <c r="AG610" s="126"/>
      <c r="AH610" s="106" t="str">
        <f aca="false">IF($B610="","",COUNTIFS('Debt Backlog'!$AF$2:$AF$1000,$A610,'Debt Backlog'!$B$2:$B$1000,"&lt;&gt;",'Debt Backlog'!$N$2:$N$1000,"&lt;&gt;Done",'Debt Backlog'!$N$2:$N$1000,"&lt;&gt;Won't Fix",'Debt Backlog'!$N$2:$N$1000,"&lt;&gt;Duplicate"))</f>
        <v/>
      </c>
      <c r="AI610" s="103" t="str">
        <f aca="false">IF($B610="","",ROUND(SUMIFS('Debt Backlog'!$L$2:$L$1000,'Debt Backlog'!$AF$2:$AF$1000,$A610,'Debt Backlog'!$B$2:$B$1000,"&lt;&gt;",'Debt Backlog'!$N$2:$N$1000,"&lt;&gt;Done",'Debt Backlog'!$N$2:$N$1000,"&lt;&gt;Won't Fix",'Debt Backlog'!$N$2:$N$1000,"&lt;&gt;Duplicate"),2))</f>
        <v/>
      </c>
    </row>
    <row r="611" customFormat="false" ht="15.75" hidden="false" customHeight="true" outlineLevel="0" collapsed="false">
      <c r="A611" s="125"/>
      <c r="B611" s="101"/>
      <c r="C611" s="101"/>
      <c r="D611" s="101"/>
      <c r="E611" s="101"/>
      <c r="F611" s="101"/>
      <c r="G611" s="101"/>
      <c r="H611" s="101"/>
      <c r="I611" s="106"/>
      <c r="J611" s="106"/>
      <c r="K611" s="106"/>
      <c r="L611" s="106"/>
      <c r="M611" s="106"/>
      <c r="N611" s="103" t="str">
        <f aca="false">IF(OR($B611="", $I611="", $J611="", $K611="", $L611="", $M611=""),"",ROUND(($I611*Lists!$AD$2)+($J611*Lists!$AD$3)+($K611*Lists!$AD$4)+($L611*Lists!$AD$5)+($M611*Lists!$AD$6),2))</f>
        <v/>
      </c>
      <c r="O611" s="103" t="str">
        <f aca="false">IF($A611="","",IFERROR(VLOOKUP($A611,'Risk Register'!$B$2:$I$1000,8,FALSE()),""))</f>
        <v/>
      </c>
      <c r="P611" s="106"/>
      <c r="Q611" s="106"/>
      <c r="R611" s="106"/>
      <c r="S611" s="106"/>
      <c r="T611" s="103" t="str">
        <f aca="false">IF(OR($B611="", $P611="", $Q611="", $R611="", $S611=""),"",ROUND(($P611*Lists!$AD$7)+($Q611*Lists!$AD$8)+($R611*Lists!$AD$9)+($S611*Lists!$AD$10),2))</f>
        <v/>
      </c>
      <c r="U611" s="106"/>
      <c r="V611" s="106"/>
      <c r="W611" s="106"/>
      <c r="X611" s="106"/>
      <c r="Y611" s="106"/>
      <c r="Z611" s="103" t="str">
        <f aca="false">IF(OR($B611="", $U611="", $V611="", $W611="", $X611="", $Y611=""),"",ROUND(($U611*Lists!$AD$11)+($V611*Lists!$AD$12)+($W611*Lists!$AD$13)+($X611*Lists!$AD$14)+($Y611*Lists!$AD$15),2))</f>
        <v/>
      </c>
      <c r="AA611" s="103" t="str">
        <f aca="false">IF(OR($B611="", $N611="", $O611="", $T611="", $Z611=""),"",ROUND(($N611*Lists!$AD$16)-($O611*Lists!$AD$17)-($T611*Lists!$AD$18)+($Z611*Lists!$AD$19),2))</f>
        <v/>
      </c>
      <c r="AB611" s="102" t="str">
        <f aca="false">IF(OR($B611="", $N611="", $Z611=""),"",IF($N611&gt;=Lists!$AG$2,IF($Z611&gt;=Lists!$AG$3,"Invest","Migrate"),IF($Z611&gt;=Lists!$AG$3,"Tolerate","Eliminate")))</f>
        <v/>
      </c>
      <c r="AC611" s="102" t="str">
        <f aca="false">IF($B611="","",IF($J611&gt;=4,"Yes",""))</f>
        <v/>
      </c>
      <c r="AD611" s="102" t="str">
        <f aca="false">IF($A611="","",IFERROR(IF(VLOOKUP($A611,'Risk Register'!$B$2:$H$1000,4,FALSE())&gt;=4,"Yes",""),""))</f>
        <v/>
      </c>
      <c r="AE611" s="102" t="str">
        <f aca="false">IF(OR($N611="", $O611=""),"",IF($N611&gt;=Lists!$AG$2,IF($O611&gt;=Lists!$AG$4,"High Value / High Risk","High Value / Low Risk"),IF($O611&gt;=Lists!$AG$4,"Low Value / High Risk","Low Value / Low Risk")))</f>
        <v/>
      </c>
      <c r="AF611" s="101"/>
      <c r="AG611" s="126"/>
      <c r="AH611" s="106" t="str">
        <f aca="false">IF($B611="","",COUNTIFS('Debt Backlog'!$AF$2:$AF$1000,$A611,'Debt Backlog'!$B$2:$B$1000,"&lt;&gt;",'Debt Backlog'!$N$2:$N$1000,"&lt;&gt;Done",'Debt Backlog'!$N$2:$N$1000,"&lt;&gt;Won't Fix",'Debt Backlog'!$N$2:$N$1000,"&lt;&gt;Duplicate"))</f>
        <v/>
      </c>
      <c r="AI611" s="103" t="str">
        <f aca="false">IF($B611="","",ROUND(SUMIFS('Debt Backlog'!$L$2:$L$1000,'Debt Backlog'!$AF$2:$AF$1000,$A611,'Debt Backlog'!$B$2:$B$1000,"&lt;&gt;",'Debt Backlog'!$N$2:$N$1000,"&lt;&gt;Done",'Debt Backlog'!$N$2:$N$1000,"&lt;&gt;Won't Fix",'Debt Backlog'!$N$2:$N$1000,"&lt;&gt;Duplicate"),2))</f>
        <v/>
      </c>
    </row>
    <row r="612" customFormat="false" ht="15.75" hidden="false" customHeight="true" outlineLevel="0" collapsed="false">
      <c r="A612" s="125"/>
      <c r="B612" s="101"/>
      <c r="C612" s="101"/>
      <c r="D612" s="101"/>
      <c r="E612" s="101"/>
      <c r="F612" s="101"/>
      <c r="G612" s="101"/>
      <c r="H612" s="101"/>
      <c r="I612" s="106"/>
      <c r="J612" s="106"/>
      <c r="K612" s="106"/>
      <c r="L612" s="106"/>
      <c r="M612" s="106"/>
      <c r="N612" s="103" t="str">
        <f aca="false">IF(OR($B612="", $I612="", $J612="", $K612="", $L612="", $M612=""),"",ROUND(($I612*Lists!$AD$2)+($J612*Lists!$AD$3)+($K612*Lists!$AD$4)+($L612*Lists!$AD$5)+($M612*Lists!$AD$6),2))</f>
        <v/>
      </c>
      <c r="O612" s="103" t="str">
        <f aca="false">IF($A612="","",IFERROR(VLOOKUP($A612,'Risk Register'!$B$2:$I$1000,8,FALSE()),""))</f>
        <v/>
      </c>
      <c r="P612" s="106"/>
      <c r="Q612" s="106"/>
      <c r="R612" s="106"/>
      <c r="S612" s="106"/>
      <c r="T612" s="103" t="str">
        <f aca="false">IF(OR($B612="", $P612="", $Q612="", $R612="", $S612=""),"",ROUND(($P612*Lists!$AD$7)+($Q612*Lists!$AD$8)+($R612*Lists!$AD$9)+($S612*Lists!$AD$10),2))</f>
        <v/>
      </c>
      <c r="U612" s="106"/>
      <c r="V612" s="106"/>
      <c r="W612" s="106"/>
      <c r="X612" s="106"/>
      <c r="Y612" s="106"/>
      <c r="Z612" s="103" t="str">
        <f aca="false">IF(OR($B612="", $U612="", $V612="", $W612="", $X612="", $Y612=""),"",ROUND(($U612*Lists!$AD$11)+($V612*Lists!$AD$12)+($W612*Lists!$AD$13)+($X612*Lists!$AD$14)+($Y612*Lists!$AD$15),2))</f>
        <v/>
      </c>
      <c r="AA612" s="103" t="str">
        <f aca="false">IF(OR($B612="", $N612="", $O612="", $T612="", $Z612=""),"",ROUND(($N612*Lists!$AD$16)-($O612*Lists!$AD$17)-($T612*Lists!$AD$18)+($Z612*Lists!$AD$19),2))</f>
        <v/>
      </c>
      <c r="AB612" s="102" t="str">
        <f aca="false">IF(OR($B612="", $N612="", $Z612=""),"",IF($N612&gt;=Lists!$AG$2,IF($Z612&gt;=Lists!$AG$3,"Invest","Migrate"),IF($Z612&gt;=Lists!$AG$3,"Tolerate","Eliminate")))</f>
        <v/>
      </c>
      <c r="AC612" s="102" t="str">
        <f aca="false">IF($B612="","",IF($J612&gt;=4,"Yes",""))</f>
        <v/>
      </c>
      <c r="AD612" s="102" t="str">
        <f aca="false">IF($A612="","",IFERROR(IF(VLOOKUP($A612,'Risk Register'!$B$2:$H$1000,4,FALSE())&gt;=4,"Yes",""),""))</f>
        <v/>
      </c>
      <c r="AE612" s="102" t="str">
        <f aca="false">IF(OR($N612="", $O612=""),"",IF($N612&gt;=Lists!$AG$2,IF($O612&gt;=Lists!$AG$4,"High Value / High Risk","High Value / Low Risk"),IF($O612&gt;=Lists!$AG$4,"Low Value / High Risk","Low Value / Low Risk")))</f>
        <v/>
      </c>
      <c r="AF612" s="101"/>
      <c r="AG612" s="126"/>
      <c r="AH612" s="106" t="str">
        <f aca="false">IF($B612="","",COUNTIFS('Debt Backlog'!$AF$2:$AF$1000,$A612,'Debt Backlog'!$B$2:$B$1000,"&lt;&gt;",'Debt Backlog'!$N$2:$N$1000,"&lt;&gt;Done",'Debt Backlog'!$N$2:$N$1000,"&lt;&gt;Won't Fix",'Debt Backlog'!$N$2:$N$1000,"&lt;&gt;Duplicate"))</f>
        <v/>
      </c>
      <c r="AI612" s="103" t="str">
        <f aca="false">IF($B612="","",ROUND(SUMIFS('Debt Backlog'!$L$2:$L$1000,'Debt Backlog'!$AF$2:$AF$1000,$A612,'Debt Backlog'!$B$2:$B$1000,"&lt;&gt;",'Debt Backlog'!$N$2:$N$1000,"&lt;&gt;Done",'Debt Backlog'!$N$2:$N$1000,"&lt;&gt;Won't Fix",'Debt Backlog'!$N$2:$N$1000,"&lt;&gt;Duplicate"),2))</f>
        <v/>
      </c>
    </row>
    <row r="613" customFormat="false" ht="15.75" hidden="false" customHeight="true" outlineLevel="0" collapsed="false">
      <c r="A613" s="125"/>
      <c r="B613" s="101"/>
      <c r="C613" s="101"/>
      <c r="D613" s="101"/>
      <c r="E613" s="101"/>
      <c r="F613" s="101"/>
      <c r="G613" s="101"/>
      <c r="H613" s="101"/>
      <c r="I613" s="106"/>
      <c r="J613" s="106"/>
      <c r="K613" s="106"/>
      <c r="L613" s="106"/>
      <c r="M613" s="106"/>
      <c r="N613" s="103" t="str">
        <f aca="false">IF(OR($B613="", $I613="", $J613="", $K613="", $L613="", $M613=""),"",ROUND(($I613*Lists!$AD$2)+($J613*Lists!$AD$3)+($K613*Lists!$AD$4)+($L613*Lists!$AD$5)+($M613*Lists!$AD$6),2))</f>
        <v/>
      </c>
      <c r="O613" s="103" t="str">
        <f aca="false">IF($A613="","",IFERROR(VLOOKUP($A613,'Risk Register'!$B$2:$I$1000,8,FALSE()),""))</f>
        <v/>
      </c>
      <c r="P613" s="106"/>
      <c r="Q613" s="106"/>
      <c r="R613" s="106"/>
      <c r="S613" s="106"/>
      <c r="T613" s="103" t="str">
        <f aca="false">IF(OR($B613="", $P613="", $Q613="", $R613="", $S613=""),"",ROUND(($P613*Lists!$AD$7)+($Q613*Lists!$AD$8)+($R613*Lists!$AD$9)+($S613*Lists!$AD$10),2))</f>
        <v/>
      </c>
      <c r="U613" s="106"/>
      <c r="V613" s="106"/>
      <c r="W613" s="106"/>
      <c r="X613" s="106"/>
      <c r="Y613" s="106"/>
      <c r="Z613" s="103" t="str">
        <f aca="false">IF(OR($B613="", $U613="", $V613="", $W613="", $X613="", $Y613=""),"",ROUND(($U613*Lists!$AD$11)+($V613*Lists!$AD$12)+($W613*Lists!$AD$13)+($X613*Lists!$AD$14)+($Y613*Lists!$AD$15),2))</f>
        <v/>
      </c>
      <c r="AA613" s="103" t="str">
        <f aca="false">IF(OR($B613="", $N613="", $O613="", $T613="", $Z613=""),"",ROUND(($N613*Lists!$AD$16)-($O613*Lists!$AD$17)-($T613*Lists!$AD$18)+($Z613*Lists!$AD$19),2))</f>
        <v/>
      </c>
      <c r="AB613" s="102" t="str">
        <f aca="false">IF(OR($B613="", $N613="", $Z613=""),"",IF($N613&gt;=Lists!$AG$2,IF($Z613&gt;=Lists!$AG$3,"Invest","Migrate"),IF($Z613&gt;=Lists!$AG$3,"Tolerate","Eliminate")))</f>
        <v/>
      </c>
      <c r="AC613" s="102" t="str">
        <f aca="false">IF($B613="","",IF($J613&gt;=4,"Yes",""))</f>
        <v/>
      </c>
      <c r="AD613" s="102" t="str">
        <f aca="false">IF($A613="","",IFERROR(IF(VLOOKUP($A613,'Risk Register'!$B$2:$H$1000,4,FALSE())&gt;=4,"Yes",""),""))</f>
        <v/>
      </c>
      <c r="AE613" s="102" t="str">
        <f aca="false">IF(OR($N613="", $O613=""),"",IF($N613&gt;=Lists!$AG$2,IF($O613&gt;=Lists!$AG$4,"High Value / High Risk","High Value / Low Risk"),IF($O613&gt;=Lists!$AG$4,"Low Value / High Risk","Low Value / Low Risk")))</f>
        <v/>
      </c>
      <c r="AF613" s="101"/>
      <c r="AG613" s="126"/>
      <c r="AH613" s="106" t="str">
        <f aca="false">IF($B613="","",COUNTIFS('Debt Backlog'!$AF$2:$AF$1000,$A613,'Debt Backlog'!$B$2:$B$1000,"&lt;&gt;",'Debt Backlog'!$N$2:$N$1000,"&lt;&gt;Done",'Debt Backlog'!$N$2:$N$1000,"&lt;&gt;Won't Fix",'Debt Backlog'!$N$2:$N$1000,"&lt;&gt;Duplicate"))</f>
        <v/>
      </c>
      <c r="AI613" s="103" t="str">
        <f aca="false">IF($B613="","",ROUND(SUMIFS('Debt Backlog'!$L$2:$L$1000,'Debt Backlog'!$AF$2:$AF$1000,$A613,'Debt Backlog'!$B$2:$B$1000,"&lt;&gt;",'Debt Backlog'!$N$2:$N$1000,"&lt;&gt;Done",'Debt Backlog'!$N$2:$N$1000,"&lt;&gt;Won't Fix",'Debt Backlog'!$N$2:$N$1000,"&lt;&gt;Duplicate"),2))</f>
        <v/>
      </c>
    </row>
    <row r="614" customFormat="false" ht="15.75" hidden="false" customHeight="true" outlineLevel="0" collapsed="false">
      <c r="A614" s="125"/>
      <c r="B614" s="101"/>
      <c r="C614" s="101"/>
      <c r="D614" s="101"/>
      <c r="E614" s="101"/>
      <c r="F614" s="101"/>
      <c r="G614" s="101"/>
      <c r="H614" s="101"/>
      <c r="I614" s="106"/>
      <c r="J614" s="106"/>
      <c r="K614" s="106"/>
      <c r="L614" s="106"/>
      <c r="M614" s="106"/>
      <c r="N614" s="103" t="str">
        <f aca="false">IF(OR($B614="", $I614="", $J614="", $K614="", $L614="", $M614=""),"",ROUND(($I614*Lists!$AD$2)+($J614*Lists!$AD$3)+($K614*Lists!$AD$4)+($L614*Lists!$AD$5)+($M614*Lists!$AD$6),2))</f>
        <v/>
      </c>
      <c r="O614" s="103" t="str">
        <f aca="false">IF($A614="","",IFERROR(VLOOKUP($A614,'Risk Register'!$B$2:$I$1000,8,FALSE()),""))</f>
        <v/>
      </c>
      <c r="P614" s="106"/>
      <c r="Q614" s="106"/>
      <c r="R614" s="106"/>
      <c r="S614" s="106"/>
      <c r="T614" s="103" t="str">
        <f aca="false">IF(OR($B614="", $P614="", $Q614="", $R614="", $S614=""),"",ROUND(($P614*Lists!$AD$7)+($Q614*Lists!$AD$8)+($R614*Lists!$AD$9)+($S614*Lists!$AD$10),2))</f>
        <v/>
      </c>
      <c r="U614" s="106"/>
      <c r="V614" s="106"/>
      <c r="W614" s="106"/>
      <c r="X614" s="106"/>
      <c r="Y614" s="106"/>
      <c r="Z614" s="103" t="str">
        <f aca="false">IF(OR($B614="", $U614="", $V614="", $W614="", $X614="", $Y614=""),"",ROUND(($U614*Lists!$AD$11)+($V614*Lists!$AD$12)+($W614*Lists!$AD$13)+($X614*Lists!$AD$14)+($Y614*Lists!$AD$15),2))</f>
        <v/>
      </c>
      <c r="AA614" s="103" t="str">
        <f aca="false">IF(OR($B614="", $N614="", $O614="", $T614="", $Z614=""),"",ROUND(($N614*Lists!$AD$16)-($O614*Lists!$AD$17)-($T614*Lists!$AD$18)+($Z614*Lists!$AD$19),2))</f>
        <v/>
      </c>
      <c r="AB614" s="102" t="str">
        <f aca="false">IF(OR($B614="", $N614="", $Z614=""),"",IF($N614&gt;=Lists!$AG$2,IF($Z614&gt;=Lists!$AG$3,"Invest","Migrate"),IF($Z614&gt;=Lists!$AG$3,"Tolerate","Eliminate")))</f>
        <v/>
      </c>
      <c r="AC614" s="102" t="str">
        <f aca="false">IF($B614="","",IF($J614&gt;=4,"Yes",""))</f>
        <v/>
      </c>
      <c r="AD614" s="102" t="str">
        <f aca="false">IF($A614="","",IFERROR(IF(VLOOKUP($A614,'Risk Register'!$B$2:$H$1000,4,FALSE())&gt;=4,"Yes",""),""))</f>
        <v/>
      </c>
      <c r="AE614" s="102" t="str">
        <f aca="false">IF(OR($N614="", $O614=""),"",IF($N614&gt;=Lists!$AG$2,IF($O614&gt;=Lists!$AG$4,"High Value / High Risk","High Value / Low Risk"),IF($O614&gt;=Lists!$AG$4,"Low Value / High Risk","Low Value / Low Risk")))</f>
        <v/>
      </c>
      <c r="AF614" s="101"/>
      <c r="AG614" s="126"/>
      <c r="AH614" s="106" t="str">
        <f aca="false">IF($B614="","",COUNTIFS('Debt Backlog'!$AF$2:$AF$1000,$A614,'Debt Backlog'!$B$2:$B$1000,"&lt;&gt;",'Debt Backlog'!$N$2:$N$1000,"&lt;&gt;Done",'Debt Backlog'!$N$2:$N$1000,"&lt;&gt;Won't Fix",'Debt Backlog'!$N$2:$N$1000,"&lt;&gt;Duplicate"))</f>
        <v/>
      </c>
      <c r="AI614" s="103" t="str">
        <f aca="false">IF($B614="","",ROUND(SUMIFS('Debt Backlog'!$L$2:$L$1000,'Debt Backlog'!$AF$2:$AF$1000,$A614,'Debt Backlog'!$B$2:$B$1000,"&lt;&gt;",'Debt Backlog'!$N$2:$N$1000,"&lt;&gt;Done",'Debt Backlog'!$N$2:$N$1000,"&lt;&gt;Won't Fix",'Debt Backlog'!$N$2:$N$1000,"&lt;&gt;Duplicate"),2))</f>
        <v/>
      </c>
    </row>
    <row r="615" customFormat="false" ht="15.75" hidden="false" customHeight="true" outlineLevel="0" collapsed="false">
      <c r="A615" s="125"/>
      <c r="B615" s="101"/>
      <c r="C615" s="101"/>
      <c r="D615" s="101"/>
      <c r="E615" s="101"/>
      <c r="F615" s="101"/>
      <c r="G615" s="101"/>
      <c r="H615" s="101"/>
      <c r="I615" s="106"/>
      <c r="J615" s="106"/>
      <c r="K615" s="106"/>
      <c r="L615" s="106"/>
      <c r="M615" s="106"/>
      <c r="N615" s="103" t="str">
        <f aca="false">IF(OR($B615="", $I615="", $J615="", $K615="", $L615="", $M615=""),"",ROUND(($I615*Lists!$AD$2)+($J615*Lists!$AD$3)+($K615*Lists!$AD$4)+($L615*Lists!$AD$5)+($M615*Lists!$AD$6),2))</f>
        <v/>
      </c>
      <c r="O615" s="103" t="str">
        <f aca="false">IF($A615="","",IFERROR(VLOOKUP($A615,'Risk Register'!$B$2:$I$1000,8,FALSE()),""))</f>
        <v/>
      </c>
      <c r="P615" s="106"/>
      <c r="Q615" s="106"/>
      <c r="R615" s="106"/>
      <c r="S615" s="106"/>
      <c r="T615" s="103" t="str">
        <f aca="false">IF(OR($B615="", $P615="", $Q615="", $R615="", $S615=""),"",ROUND(($P615*Lists!$AD$7)+($Q615*Lists!$AD$8)+($R615*Lists!$AD$9)+($S615*Lists!$AD$10),2))</f>
        <v/>
      </c>
      <c r="U615" s="106"/>
      <c r="V615" s="106"/>
      <c r="W615" s="106"/>
      <c r="X615" s="106"/>
      <c r="Y615" s="106"/>
      <c r="Z615" s="103" t="str">
        <f aca="false">IF(OR($B615="", $U615="", $V615="", $W615="", $X615="", $Y615=""),"",ROUND(($U615*Lists!$AD$11)+($V615*Lists!$AD$12)+($W615*Lists!$AD$13)+($X615*Lists!$AD$14)+($Y615*Lists!$AD$15),2))</f>
        <v/>
      </c>
      <c r="AA615" s="103" t="str">
        <f aca="false">IF(OR($B615="", $N615="", $O615="", $T615="", $Z615=""),"",ROUND(($N615*Lists!$AD$16)-($O615*Lists!$AD$17)-($T615*Lists!$AD$18)+($Z615*Lists!$AD$19),2))</f>
        <v/>
      </c>
      <c r="AB615" s="102" t="str">
        <f aca="false">IF(OR($B615="", $N615="", $Z615=""),"",IF($N615&gt;=Lists!$AG$2,IF($Z615&gt;=Lists!$AG$3,"Invest","Migrate"),IF($Z615&gt;=Lists!$AG$3,"Tolerate","Eliminate")))</f>
        <v/>
      </c>
      <c r="AC615" s="102" t="str">
        <f aca="false">IF($B615="","",IF($J615&gt;=4,"Yes",""))</f>
        <v/>
      </c>
      <c r="AD615" s="102" t="str">
        <f aca="false">IF($A615="","",IFERROR(IF(VLOOKUP($A615,'Risk Register'!$B$2:$H$1000,4,FALSE())&gt;=4,"Yes",""),""))</f>
        <v/>
      </c>
      <c r="AE615" s="102" t="str">
        <f aca="false">IF(OR($N615="", $O615=""),"",IF($N615&gt;=Lists!$AG$2,IF($O615&gt;=Lists!$AG$4,"High Value / High Risk","High Value / Low Risk"),IF($O615&gt;=Lists!$AG$4,"Low Value / High Risk","Low Value / Low Risk")))</f>
        <v/>
      </c>
      <c r="AF615" s="101"/>
      <c r="AG615" s="126"/>
      <c r="AH615" s="106" t="str">
        <f aca="false">IF($B615="","",COUNTIFS('Debt Backlog'!$AF$2:$AF$1000,$A615,'Debt Backlog'!$B$2:$B$1000,"&lt;&gt;",'Debt Backlog'!$N$2:$N$1000,"&lt;&gt;Done",'Debt Backlog'!$N$2:$N$1000,"&lt;&gt;Won't Fix",'Debt Backlog'!$N$2:$N$1000,"&lt;&gt;Duplicate"))</f>
        <v/>
      </c>
      <c r="AI615" s="103" t="str">
        <f aca="false">IF($B615="","",ROUND(SUMIFS('Debt Backlog'!$L$2:$L$1000,'Debt Backlog'!$AF$2:$AF$1000,$A615,'Debt Backlog'!$B$2:$B$1000,"&lt;&gt;",'Debt Backlog'!$N$2:$N$1000,"&lt;&gt;Done",'Debt Backlog'!$N$2:$N$1000,"&lt;&gt;Won't Fix",'Debt Backlog'!$N$2:$N$1000,"&lt;&gt;Duplicate"),2))</f>
        <v/>
      </c>
    </row>
    <row r="616" customFormat="false" ht="15.75" hidden="false" customHeight="true" outlineLevel="0" collapsed="false">
      <c r="A616" s="125"/>
      <c r="B616" s="101"/>
      <c r="C616" s="101"/>
      <c r="D616" s="101"/>
      <c r="E616" s="101"/>
      <c r="F616" s="101"/>
      <c r="G616" s="101"/>
      <c r="H616" s="101"/>
      <c r="I616" s="106"/>
      <c r="J616" s="106"/>
      <c r="K616" s="106"/>
      <c r="L616" s="106"/>
      <c r="M616" s="106"/>
      <c r="N616" s="103" t="str">
        <f aca="false">IF(OR($B616="", $I616="", $J616="", $K616="", $L616="", $M616=""),"",ROUND(($I616*Lists!$AD$2)+($J616*Lists!$AD$3)+($K616*Lists!$AD$4)+($L616*Lists!$AD$5)+($M616*Lists!$AD$6),2))</f>
        <v/>
      </c>
      <c r="O616" s="103" t="str">
        <f aca="false">IF($A616="","",IFERROR(VLOOKUP($A616,'Risk Register'!$B$2:$I$1000,8,FALSE()),""))</f>
        <v/>
      </c>
      <c r="P616" s="106"/>
      <c r="Q616" s="106"/>
      <c r="R616" s="106"/>
      <c r="S616" s="106"/>
      <c r="T616" s="103" t="str">
        <f aca="false">IF(OR($B616="", $P616="", $Q616="", $R616="", $S616=""),"",ROUND(($P616*Lists!$AD$7)+($Q616*Lists!$AD$8)+($R616*Lists!$AD$9)+($S616*Lists!$AD$10),2))</f>
        <v/>
      </c>
      <c r="U616" s="106"/>
      <c r="V616" s="106"/>
      <c r="W616" s="106"/>
      <c r="X616" s="106"/>
      <c r="Y616" s="106"/>
      <c r="Z616" s="103" t="str">
        <f aca="false">IF(OR($B616="", $U616="", $V616="", $W616="", $X616="", $Y616=""),"",ROUND(($U616*Lists!$AD$11)+($V616*Lists!$AD$12)+($W616*Lists!$AD$13)+($X616*Lists!$AD$14)+($Y616*Lists!$AD$15),2))</f>
        <v/>
      </c>
      <c r="AA616" s="103" t="str">
        <f aca="false">IF(OR($B616="", $N616="", $O616="", $T616="", $Z616=""),"",ROUND(($N616*Lists!$AD$16)-($O616*Lists!$AD$17)-($T616*Lists!$AD$18)+($Z616*Lists!$AD$19),2))</f>
        <v/>
      </c>
      <c r="AB616" s="102" t="str">
        <f aca="false">IF(OR($B616="", $N616="", $Z616=""),"",IF($N616&gt;=Lists!$AG$2,IF($Z616&gt;=Lists!$AG$3,"Invest","Migrate"),IF($Z616&gt;=Lists!$AG$3,"Tolerate","Eliminate")))</f>
        <v/>
      </c>
      <c r="AC616" s="102" t="str">
        <f aca="false">IF($B616="","",IF($J616&gt;=4,"Yes",""))</f>
        <v/>
      </c>
      <c r="AD616" s="102" t="str">
        <f aca="false">IF($A616="","",IFERROR(IF(VLOOKUP($A616,'Risk Register'!$B$2:$H$1000,4,FALSE())&gt;=4,"Yes",""),""))</f>
        <v/>
      </c>
      <c r="AE616" s="102" t="str">
        <f aca="false">IF(OR($N616="", $O616=""),"",IF($N616&gt;=Lists!$AG$2,IF($O616&gt;=Lists!$AG$4,"High Value / High Risk","High Value / Low Risk"),IF($O616&gt;=Lists!$AG$4,"Low Value / High Risk","Low Value / Low Risk")))</f>
        <v/>
      </c>
      <c r="AF616" s="101"/>
      <c r="AG616" s="126"/>
      <c r="AH616" s="106" t="str">
        <f aca="false">IF($B616="","",COUNTIFS('Debt Backlog'!$AF$2:$AF$1000,$A616,'Debt Backlog'!$B$2:$B$1000,"&lt;&gt;",'Debt Backlog'!$N$2:$N$1000,"&lt;&gt;Done",'Debt Backlog'!$N$2:$N$1000,"&lt;&gt;Won't Fix",'Debt Backlog'!$N$2:$N$1000,"&lt;&gt;Duplicate"))</f>
        <v/>
      </c>
      <c r="AI616" s="103" t="str">
        <f aca="false">IF($B616="","",ROUND(SUMIFS('Debt Backlog'!$L$2:$L$1000,'Debt Backlog'!$AF$2:$AF$1000,$A616,'Debt Backlog'!$B$2:$B$1000,"&lt;&gt;",'Debt Backlog'!$N$2:$N$1000,"&lt;&gt;Done",'Debt Backlog'!$N$2:$N$1000,"&lt;&gt;Won't Fix",'Debt Backlog'!$N$2:$N$1000,"&lt;&gt;Duplicate"),2))</f>
        <v/>
      </c>
    </row>
    <row r="617" customFormat="false" ht="15.75" hidden="false" customHeight="true" outlineLevel="0" collapsed="false">
      <c r="A617" s="125"/>
      <c r="B617" s="101"/>
      <c r="C617" s="101"/>
      <c r="D617" s="101"/>
      <c r="E617" s="101"/>
      <c r="F617" s="101"/>
      <c r="G617" s="101"/>
      <c r="H617" s="101"/>
      <c r="I617" s="106"/>
      <c r="J617" s="106"/>
      <c r="K617" s="106"/>
      <c r="L617" s="106"/>
      <c r="M617" s="106"/>
      <c r="N617" s="103" t="str">
        <f aca="false">IF(OR($B617="", $I617="", $J617="", $K617="", $L617="", $M617=""),"",ROUND(($I617*Lists!$AD$2)+($J617*Lists!$AD$3)+($K617*Lists!$AD$4)+($L617*Lists!$AD$5)+($M617*Lists!$AD$6),2))</f>
        <v/>
      </c>
      <c r="O617" s="103" t="str">
        <f aca="false">IF($A617="","",IFERROR(VLOOKUP($A617,'Risk Register'!$B$2:$I$1000,8,FALSE()),""))</f>
        <v/>
      </c>
      <c r="P617" s="106"/>
      <c r="Q617" s="106"/>
      <c r="R617" s="106"/>
      <c r="S617" s="106"/>
      <c r="T617" s="103" t="str">
        <f aca="false">IF(OR($B617="", $P617="", $Q617="", $R617="", $S617=""),"",ROUND(($P617*Lists!$AD$7)+($Q617*Lists!$AD$8)+($R617*Lists!$AD$9)+($S617*Lists!$AD$10),2))</f>
        <v/>
      </c>
      <c r="U617" s="106"/>
      <c r="V617" s="106"/>
      <c r="W617" s="106"/>
      <c r="X617" s="106"/>
      <c r="Y617" s="106"/>
      <c r="Z617" s="103" t="str">
        <f aca="false">IF(OR($B617="", $U617="", $V617="", $W617="", $X617="", $Y617=""),"",ROUND(($U617*Lists!$AD$11)+($V617*Lists!$AD$12)+($W617*Lists!$AD$13)+($X617*Lists!$AD$14)+($Y617*Lists!$AD$15),2))</f>
        <v/>
      </c>
      <c r="AA617" s="103" t="str">
        <f aca="false">IF(OR($B617="", $N617="", $O617="", $T617="", $Z617=""),"",ROUND(($N617*Lists!$AD$16)-($O617*Lists!$AD$17)-($T617*Lists!$AD$18)+($Z617*Lists!$AD$19),2))</f>
        <v/>
      </c>
      <c r="AB617" s="102" t="str">
        <f aca="false">IF(OR($B617="", $N617="", $Z617=""),"",IF($N617&gt;=Lists!$AG$2,IF($Z617&gt;=Lists!$AG$3,"Invest","Migrate"),IF($Z617&gt;=Lists!$AG$3,"Tolerate","Eliminate")))</f>
        <v/>
      </c>
      <c r="AC617" s="102" t="str">
        <f aca="false">IF($B617="","",IF($J617&gt;=4,"Yes",""))</f>
        <v/>
      </c>
      <c r="AD617" s="102" t="str">
        <f aca="false">IF($A617="","",IFERROR(IF(VLOOKUP($A617,'Risk Register'!$B$2:$H$1000,4,FALSE())&gt;=4,"Yes",""),""))</f>
        <v/>
      </c>
      <c r="AE617" s="102" t="str">
        <f aca="false">IF(OR($N617="", $O617=""),"",IF($N617&gt;=Lists!$AG$2,IF($O617&gt;=Lists!$AG$4,"High Value / High Risk","High Value / Low Risk"),IF($O617&gt;=Lists!$AG$4,"Low Value / High Risk","Low Value / Low Risk")))</f>
        <v/>
      </c>
      <c r="AF617" s="101"/>
      <c r="AG617" s="126"/>
      <c r="AH617" s="106" t="str">
        <f aca="false">IF($B617="","",COUNTIFS('Debt Backlog'!$AF$2:$AF$1000,$A617,'Debt Backlog'!$B$2:$B$1000,"&lt;&gt;",'Debt Backlog'!$N$2:$N$1000,"&lt;&gt;Done",'Debt Backlog'!$N$2:$N$1000,"&lt;&gt;Won't Fix",'Debt Backlog'!$N$2:$N$1000,"&lt;&gt;Duplicate"))</f>
        <v/>
      </c>
      <c r="AI617" s="103" t="str">
        <f aca="false">IF($B617="","",ROUND(SUMIFS('Debt Backlog'!$L$2:$L$1000,'Debt Backlog'!$AF$2:$AF$1000,$A617,'Debt Backlog'!$B$2:$B$1000,"&lt;&gt;",'Debt Backlog'!$N$2:$N$1000,"&lt;&gt;Done",'Debt Backlog'!$N$2:$N$1000,"&lt;&gt;Won't Fix",'Debt Backlog'!$N$2:$N$1000,"&lt;&gt;Duplicate"),2))</f>
        <v/>
      </c>
    </row>
    <row r="618" customFormat="false" ht="15.75" hidden="false" customHeight="true" outlineLevel="0" collapsed="false">
      <c r="A618" s="125"/>
      <c r="B618" s="101"/>
      <c r="C618" s="101"/>
      <c r="D618" s="101"/>
      <c r="E618" s="101"/>
      <c r="F618" s="101"/>
      <c r="G618" s="101"/>
      <c r="H618" s="101"/>
      <c r="I618" s="106"/>
      <c r="J618" s="106"/>
      <c r="K618" s="106"/>
      <c r="L618" s="106"/>
      <c r="M618" s="106"/>
      <c r="N618" s="103" t="str">
        <f aca="false">IF(OR($B618="", $I618="", $J618="", $K618="", $L618="", $M618=""),"",ROUND(($I618*Lists!$AD$2)+($J618*Lists!$AD$3)+($K618*Lists!$AD$4)+($L618*Lists!$AD$5)+($M618*Lists!$AD$6),2))</f>
        <v/>
      </c>
      <c r="O618" s="103" t="str">
        <f aca="false">IF($A618="","",IFERROR(VLOOKUP($A618,'Risk Register'!$B$2:$I$1000,8,FALSE()),""))</f>
        <v/>
      </c>
      <c r="P618" s="106"/>
      <c r="Q618" s="106"/>
      <c r="R618" s="106"/>
      <c r="S618" s="106"/>
      <c r="T618" s="103" t="str">
        <f aca="false">IF(OR($B618="", $P618="", $Q618="", $R618="", $S618=""),"",ROUND(($P618*Lists!$AD$7)+($Q618*Lists!$AD$8)+($R618*Lists!$AD$9)+($S618*Lists!$AD$10),2))</f>
        <v/>
      </c>
      <c r="U618" s="106"/>
      <c r="V618" s="106"/>
      <c r="W618" s="106"/>
      <c r="X618" s="106"/>
      <c r="Y618" s="106"/>
      <c r="Z618" s="103" t="str">
        <f aca="false">IF(OR($B618="", $U618="", $V618="", $W618="", $X618="", $Y618=""),"",ROUND(($U618*Lists!$AD$11)+($V618*Lists!$AD$12)+($W618*Lists!$AD$13)+($X618*Lists!$AD$14)+($Y618*Lists!$AD$15),2))</f>
        <v/>
      </c>
      <c r="AA618" s="103" t="str">
        <f aca="false">IF(OR($B618="", $N618="", $O618="", $T618="", $Z618=""),"",ROUND(($N618*Lists!$AD$16)-($O618*Lists!$AD$17)-($T618*Lists!$AD$18)+($Z618*Lists!$AD$19),2))</f>
        <v/>
      </c>
      <c r="AB618" s="102" t="str">
        <f aca="false">IF(OR($B618="", $N618="", $Z618=""),"",IF($N618&gt;=Lists!$AG$2,IF($Z618&gt;=Lists!$AG$3,"Invest","Migrate"),IF($Z618&gt;=Lists!$AG$3,"Tolerate","Eliminate")))</f>
        <v/>
      </c>
      <c r="AC618" s="102" t="str">
        <f aca="false">IF($B618="","",IF($J618&gt;=4,"Yes",""))</f>
        <v/>
      </c>
      <c r="AD618" s="102" t="str">
        <f aca="false">IF($A618="","",IFERROR(IF(VLOOKUP($A618,'Risk Register'!$B$2:$H$1000,4,FALSE())&gt;=4,"Yes",""),""))</f>
        <v/>
      </c>
      <c r="AE618" s="102" t="str">
        <f aca="false">IF(OR($N618="", $O618=""),"",IF($N618&gt;=Lists!$AG$2,IF($O618&gt;=Lists!$AG$4,"High Value / High Risk","High Value / Low Risk"),IF($O618&gt;=Lists!$AG$4,"Low Value / High Risk","Low Value / Low Risk")))</f>
        <v/>
      </c>
      <c r="AF618" s="101"/>
      <c r="AG618" s="126"/>
      <c r="AH618" s="106" t="str">
        <f aca="false">IF($B618="","",COUNTIFS('Debt Backlog'!$AF$2:$AF$1000,$A618,'Debt Backlog'!$B$2:$B$1000,"&lt;&gt;",'Debt Backlog'!$N$2:$N$1000,"&lt;&gt;Done",'Debt Backlog'!$N$2:$N$1000,"&lt;&gt;Won't Fix",'Debt Backlog'!$N$2:$N$1000,"&lt;&gt;Duplicate"))</f>
        <v/>
      </c>
      <c r="AI618" s="103" t="str">
        <f aca="false">IF($B618="","",ROUND(SUMIFS('Debt Backlog'!$L$2:$L$1000,'Debt Backlog'!$AF$2:$AF$1000,$A618,'Debt Backlog'!$B$2:$B$1000,"&lt;&gt;",'Debt Backlog'!$N$2:$N$1000,"&lt;&gt;Done",'Debt Backlog'!$N$2:$N$1000,"&lt;&gt;Won't Fix",'Debt Backlog'!$N$2:$N$1000,"&lt;&gt;Duplicate"),2))</f>
        <v/>
      </c>
    </row>
    <row r="619" customFormat="false" ht="15.75" hidden="false" customHeight="true" outlineLevel="0" collapsed="false">
      <c r="A619" s="125"/>
      <c r="B619" s="101"/>
      <c r="C619" s="101"/>
      <c r="D619" s="101"/>
      <c r="E619" s="101"/>
      <c r="F619" s="101"/>
      <c r="G619" s="101"/>
      <c r="H619" s="101"/>
      <c r="I619" s="106"/>
      <c r="J619" s="106"/>
      <c r="K619" s="106"/>
      <c r="L619" s="106"/>
      <c r="M619" s="106"/>
      <c r="N619" s="103" t="str">
        <f aca="false">IF(OR($B619="", $I619="", $J619="", $K619="", $L619="", $M619=""),"",ROUND(($I619*Lists!$AD$2)+($J619*Lists!$AD$3)+($K619*Lists!$AD$4)+($L619*Lists!$AD$5)+($M619*Lists!$AD$6),2))</f>
        <v/>
      </c>
      <c r="O619" s="103" t="str">
        <f aca="false">IF($A619="","",IFERROR(VLOOKUP($A619,'Risk Register'!$B$2:$I$1000,8,FALSE()),""))</f>
        <v/>
      </c>
      <c r="P619" s="106"/>
      <c r="Q619" s="106"/>
      <c r="R619" s="106"/>
      <c r="S619" s="106"/>
      <c r="T619" s="103" t="str">
        <f aca="false">IF(OR($B619="", $P619="", $Q619="", $R619="", $S619=""),"",ROUND(($P619*Lists!$AD$7)+($Q619*Lists!$AD$8)+($R619*Lists!$AD$9)+($S619*Lists!$AD$10),2))</f>
        <v/>
      </c>
      <c r="U619" s="106"/>
      <c r="V619" s="106"/>
      <c r="W619" s="106"/>
      <c r="X619" s="106"/>
      <c r="Y619" s="106"/>
      <c r="Z619" s="103" t="str">
        <f aca="false">IF(OR($B619="", $U619="", $V619="", $W619="", $X619="", $Y619=""),"",ROUND(($U619*Lists!$AD$11)+($V619*Lists!$AD$12)+($W619*Lists!$AD$13)+($X619*Lists!$AD$14)+($Y619*Lists!$AD$15),2))</f>
        <v/>
      </c>
      <c r="AA619" s="103" t="str">
        <f aca="false">IF(OR($B619="", $N619="", $O619="", $T619="", $Z619=""),"",ROUND(($N619*Lists!$AD$16)-($O619*Lists!$AD$17)-($T619*Lists!$AD$18)+($Z619*Lists!$AD$19),2))</f>
        <v/>
      </c>
      <c r="AB619" s="102" t="str">
        <f aca="false">IF(OR($B619="", $N619="", $Z619=""),"",IF($N619&gt;=Lists!$AG$2,IF($Z619&gt;=Lists!$AG$3,"Invest","Migrate"),IF($Z619&gt;=Lists!$AG$3,"Tolerate","Eliminate")))</f>
        <v/>
      </c>
      <c r="AC619" s="102" t="str">
        <f aca="false">IF($B619="","",IF($J619&gt;=4,"Yes",""))</f>
        <v/>
      </c>
      <c r="AD619" s="102" t="str">
        <f aca="false">IF($A619="","",IFERROR(IF(VLOOKUP($A619,'Risk Register'!$B$2:$H$1000,4,FALSE())&gt;=4,"Yes",""),""))</f>
        <v/>
      </c>
      <c r="AE619" s="102" t="str">
        <f aca="false">IF(OR($N619="", $O619=""),"",IF($N619&gt;=Lists!$AG$2,IF($O619&gt;=Lists!$AG$4,"High Value / High Risk","High Value / Low Risk"),IF($O619&gt;=Lists!$AG$4,"Low Value / High Risk","Low Value / Low Risk")))</f>
        <v/>
      </c>
      <c r="AF619" s="101"/>
      <c r="AG619" s="126"/>
      <c r="AH619" s="106" t="str">
        <f aca="false">IF($B619="","",COUNTIFS('Debt Backlog'!$AF$2:$AF$1000,$A619,'Debt Backlog'!$B$2:$B$1000,"&lt;&gt;",'Debt Backlog'!$N$2:$N$1000,"&lt;&gt;Done",'Debt Backlog'!$N$2:$N$1000,"&lt;&gt;Won't Fix",'Debt Backlog'!$N$2:$N$1000,"&lt;&gt;Duplicate"))</f>
        <v/>
      </c>
      <c r="AI619" s="103" t="str">
        <f aca="false">IF($B619="","",ROUND(SUMIFS('Debt Backlog'!$L$2:$L$1000,'Debt Backlog'!$AF$2:$AF$1000,$A619,'Debt Backlog'!$B$2:$B$1000,"&lt;&gt;",'Debt Backlog'!$N$2:$N$1000,"&lt;&gt;Done",'Debt Backlog'!$N$2:$N$1000,"&lt;&gt;Won't Fix",'Debt Backlog'!$N$2:$N$1000,"&lt;&gt;Duplicate"),2))</f>
        <v/>
      </c>
    </row>
    <row r="620" customFormat="false" ht="15.75" hidden="false" customHeight="true" outlineLevel="0" collapsed="false">
      <c r="A620" s="125"/>
      <c r="B620" s="101"/>
      <c r="C620" s="101"/>
      <c r="D620" s="101"/>
      <c r="E620" s="101"/>
      <c r="F620" s="101"/>
      <c r="G620" s="101"/>
      <c r="H620" s="101"/>
      <c r="I620" s="106"/>
      <c r="J620" s="106"/>
      <c r="K620" s="106"/>
      <c r="L620" s="106"/>
      <c r="M620" s="106"/>
      <c r="N620" s="103" t="str">
        <f aca="false">IF(OR($B620="", $I620="", $J620="", $K620="", $L620="", $M620=""),"",ROUND(($I620*Lists!$AD$2)+($J620*Lists!$AD$3)+($K620*Lists!$AD$4)+($L620*Lists!$AD$5)+($M620*Lists!$AD$6),2))</f>
        <v/>
      </c>
      <c r="O620" s="103" t="str">
        <f aca="false">IF($A620="","",IFERROR(VLOOKUP($A620,'Risk Register'!$B$2:$I$1000,8,FALSE()),""))</f>
        <v/>
      </c>
      <c r="P620" s="106"/>
      <c r="Q620" s="106"/>
      <c r="R620" s="106"/>
      <c r="S620" s="106"/>
      <c r="T620" s="103" t="str">
        <f aca="false">IF(OR($B620="", $P620="", $Q620="", $R620="", $S620=""),"",ROUND(($P620*Lists!$AD$7)+($Q620*Lists!$AD$8)+($R620*Lists!$AD$9)+($S620*Lists!$AD$10),2))</f>
        <v/>
      </c>
      <c r="U620" s="106"/>
      <c r="V620" s="106"/>
      <c r="W620" s="106"/>
      <c r="X620" s="106"/>
      <c r="Y620" s="106"/>
      <c r="Z620" s="103" t="str">
        <f aca="false">IF(OR($B620="", $U620="", $V620="", $W620="", $X620="", $Y620=""),"",ROUND(($U620*Lists!$AD$11)+($V620*Lists!$AD$12)+($W620*Lists!$AD$13)+($X620*Lists!$AD$14)+($Y620*Lists!$AD$15),2))</f>
        <v/>
      </c>
      <c r="AA620" s="103" t="str">
        <f aca="false">IF(OR($B620="", $N620="", $O620="", $T620="", $Z620=""),"",ROUND(($N620*Lists!$AD$16)-($O620*Lists!$AD$17)-($T620*Lists!$AD$18)+($Z620*Lists!$AD$19),2))</f>
        <v/>
      </c>
      <c r="AB620" s="102" t="str">
        <f aca="false">IF(OR($B620="", $N620="", $Z620=""),"",IF($N620&gt;=Lists!$AG$2,IF($Z620&gt;=Lists!$AG$3,"Invest","Migrate"),IF($Z620&gt;=Lists!$AG$3,"Tolerate","Eliminate")))</f>
        <v/>
      </c>
      <c r="AC620" s="102" t="str">
        <f aca="false">IF($B620="","",IF($J620&gt;=4,"Yes",""))</f>
        <v/>
      </c>
      <c r="AD620" s="102" t="str">
        <f aca="false">IF($A620="","",IFERROR(IF(VLOOKUP($A620,'Risk Register'!$B$2:$H$1000,4,FALSE())&gt;=4,"Yes",""),""))</f>
        <v/>
      </c>
      <c r="AE620" s="102" t="str">
        <f aca="false">IF(OR($N620="", $O620=""),"",IF($N620&gt;=Lists!$AG$2,IF($O620&gt;=Lists!$AG$4,"High Value / High Risk","High Value / Low Risk"),IF($O620&gt;=Lists!$AG$4,"Low Value / High Risk","Low Value / Low Risk")))</f>
        <v/>
      </c>
      <c r="AF620" s="101"/>
      <c r="AG620" s="126"/>
      <c r="AH620" s="106" t="str">
        <f aca="false">IF($B620="","",COUNTIFS('Debt Backlog'!$AF$2:$AF$1000,$A620,'Debt Backlog'!$B$2:$B$1000,"&lt;&gt;",'Debt Backlog'!$N$2:$N$1000,"&lt;&gt;Done",'Debt Backlog'!$N$2:$N$1000,"&lt;&gt;Won't Fix",'Debt Backlog'!$N$2:$N$1000,"&lt;&gt;Duplicate"))</f>
        <v/>
      </c>
      <c r="AI620" s="103" t="str">
        <f aca="false">IF($B620="","",ROUND(SUMIFS('Debt Backlog'!$L$2:$L$1000,'Debt Backlog'!$AF$2:$AF$1000,$A620,'Debt Backlog'!$B$2:$B$1000,"&lt;&gt;",'Debt Backlog'!$N$2:$N$1000,"&lt;&gt;Done",'Debt Backlog'!$N$2:$N$1000,"&lt;&gt;Won't Fix",'Debt Backlog'!$N$2:$N$1000,"&lt;&gt;Duplicate"),2))</f>
        <v/>
      </c>
    </row>
    <row r="621" customFormat="false" ht="15.75" hidden="false" customHeight="true" outlineLevel="0" collapsed="false">
      <c r="A621" s="125"/>
      <c r="B621" s="101"/>
      <c r="C621" s="101"/>
      <c r="D621" s="101"/>
      <c r="E621" s="101"/>
      <c r="F621" s="101"/>
      <c r="G621" s="101"/>
      <c r="H621" s="101"/>
      <c r="I621" s="106"/>
      <c r="J621" s="106"/>
      <c r="K621" s="106"/>
      <c r="L621" s="106"/>
      <c r="M621" s="106"/>
      <c r="N621" s="103" t="str">
        <f aca="false">IF(OR($B621="", $I621="", $J621="", $K621="", $L621="", $M621=""),"",ROUND(($I621*Lists!$AD$2)+($J621*Lists!$AD$3)+($K621*Lists!$AD$4)+($L621*Lists!$AD$5)+($M621*Lists!$AD$6),2))</f>
        <v/>
      </c>
      <c r="O621" s="103" t="str">
        <f aca="false">IF($A621="","",IFERROR(VLOOKUP($A621,'Risk Register'!$B$2:$I$1000,8,FALSE()),""))</f>
        <v/>
      </c>
      <c r="P621" s="106"/>
      <c r="Q621" s="106"/>
      <c r="R621" s="106"/>
      <c r="S621" s="106"/>
      <c r="T621" s="103" t="str">
        <f aca="false">IF(OR($B621="", $P621="", $Q621="", $R621="", $S621=""),"",ROUND(($P621*Lists!$AD$7)+($Q621*Lists!$AD$8)+($R621*Lists!$AD$9)+($S621*Lists!$AD$10),2))</f>
        <v/>
      </c>
      <c r="U621" s="106"/>
      <c r="V621" s="106"/>
      <c r="W621" s="106"/>
      <c r="X621" s="106"/>
      <c r="Y621" s="106"/>
      <c r="Z621" s="103" t="str">
        <f aca="false">IF(OR($B621="", $U621="", $V621="", $W621="", $X621="", $Y621=""),"",ROUND(($U621*Lists!$AD$11)+($V621*Lists!$AD$12)+($W621*Lists!$AD$13)+($X621*Lists!$AD$14)+($Y621*Lists!$AD$15),2))</f>
        <v/>
      </c>
      <c r="AA621" s="103" t="str">
        <f aca="false">IF(OR($B621="", $N621="", $O621="", $T621="", $Z621=""),"",ROUND(($N621*Lists!$AD$16)-($O621*Lists!$AD$17)-($T621*Lists!$AD$18)+($Z621*Lists!$AD$19),2))</f>
        <v/>
      </c>
      <c r="AB621" s="102" t="str">
        <f aca="false">IF(OR($B621="", $N621="", $Z621=""),"",IF($N621&gt;=Lists!$AG$2,IF($Z621&gt;=Lists!$AG$3,"Invest","Migrate"),IF($Z621&gt;=Lists!$AG$3,"Tolerate","Eliminate")))</f>
        <v/>
      </c>
      <c r="AC621" s="102" t="str">
        <f aca="false">IF($B621="","",IF($J621&gt;=4,"Yes",""))</f>
        <v/>
      </c>
      <c r="AD621" s="102" t="str">
        <f aca="false">IF($A621="","",IFERROR(IF(VLOOKUP($A621,'Risk Register'!$B$2:$H$1000,4,FALSE())&gt;=4,"Yes",""),""))</f>
        <v/>
      </c>
      <c r="AE621" s="102" t="str">
        <f aca="false">IF(OR($N621="", $O621=""),"",IF($N621&gt;=Lists!$AG$2,IF($O621&gt;=Lists!$AG$4,"High Value / High Risk","High Value / Low Risk"),IF($O621&gt;=Lists!$AG$4,"Low Value / High Risk","Low Value / Low Risk")))</f>
        <v/>
      </c>
      <c r="AF621" s="101"/>
      <c r="AG621" s="126"/>
      <c r="AH621" s="106" t="str">
        <f aca="false">IF($B621="","",COUNTIFS('Debt Backlog'!$AF$2:$AF$1000,$A621,'Debt Backlog'!$B$2:$B$1000,"&lt;&gt;",'Debt Backlog'!$N$2:$N$1000,"&lt;&gt;Done",'Debt Backlog'!$N$2:$N$1000,"&lt;&gt;Won't Fix",'Debt Backlog'!$N$2:$N$1000,"&lt;&gt;Duplicate"))</f>
        <v/>
      </c>
      <c r="AI621" s="103" t="str">
        <f aca="false">IF($B621="","",ROUND(SUMIFS('Debt Backlog'!$L$2:$L$1000,'Debt Backlog'!$AF$2:$AF$1000,$A621,'Debt Backlog'!$B$2:$B$1000,"&lt;&gt;",'Debt Backlog'!$N$2:$N$1000,"&lt;&gt;Done",'Debt Backlog'!$N$2:$N$1000,"&lt;&gt;Won't Fix",'Debt Backlog'!$N$2:$N$1000,"&lt;&gt;Duplicate"),2))</f>
        <v/>
      </c>
    </row>
    <row r="622" customFormat="false" ht="15.75" hidden="false" customHeight="true" outlineLevel="0" collapsed="false">
      <c r="A622" s="125"/>
      <c r="B622" s="101"/>
      <c r="C622" s="101"/>
      <c r="D622" s="101"/>
      <c r="E622" s="101"/>
      <c r="F622" s="101"/>
      <c r="G622" s="101"/>
      <c r="H622" s="101"/>
      <c r="I622" s="106"/>
      <c r="J622" s="106"/>
      <c r="K622" s="106"/>
      <c r="L622" s="106"/>
      <c r="M622" s="106"/>
      <c r="N622" s="103" t="str">
        <f aca="false">IF(OR($B622="", $I622="", $J622="", $K622="", $L622="", $M622=""),"",ROUND(($I622*Lists!$AD$2)+($J622*Lists!$AD$3)+($K622*Lists!$AD$4)+($L622*Lists!$AD$5)+($M622*Lists!$AD$6),2))</f>
        <v/>
      </c>
      <c r="O622" s="103" t="str">
        <f aca="false">IF($A622="","",IFERROR(VLOOKUP($A622,'Risk Register'!$B$2:$I$1000,8,FALSE()),""))</f>
        <v/>
      </c>
      <c r="P622" s="106"/>
      <c r="Q622" s="106"/>
      <c r="R622" s="106"/>
      <c r="S622" s="106"/>
      <c r="T622" s="103" t="str">
        <f aca="false">IF(OR($B622="", $P622="", $Q622="", $R622="", $S622=""),"",ROUND(($P622*Lists!$AD$7)+($Q622*Lists!$AD$8)+($R622*Lists!$AD$9)+($S622*Lists!$AD$10),2))</f>
        <v/>
      </c>
      <c r="U622" s="106"/>
      <c r="V622" s="106"/>
      <c r="W622" s="106"/>
      <c r="X622" s="106"/>
      <c r="Y622" s="106"/>
      <c r="Z622" s="103" t="str">
        <f aca="false">IF(OR($B622="", $U622="", $V622="", $W622="", $X622="", $Y622=""),"",ROUND(($U622*Lists!$AD$11)+($V622*Lists!$AD$12)+($W622*Lists!$AD$13)+($X622*Lists!$AD$14)+($Y622*Lists!$AD$15),2))</f>
        <v/>
      </c>
      <c r="AA622" s="103" t="str">
        <f aca="false">IF(OR($B622="", $N622="", $O622="", $T622="", $Z622=""),"",ROUND(($N622*Lists!$AD$16)-($O622*Lists!$AD$17)-($T622*Lists!$AD$18)+($Z622*Lists!$AD$19),2))</f>
        <v/>
      </c>
      <c r="AB622" s="102" t="str">
        <f aca="false">IF(OR($B622="", $N622="", $Z622=""),"",IF($N622&gt;=Lists!$AG$2,IF($Z622&gt;=Lists!$AG$3,"Invest","Migrate"),IF($Z622&gt;=Lists!$AG$3,"Tolerate","Eliminate")))</f>
        <v/>
      </c>
      <c r="AC622" s="102" t="str">
        <f aca="false">IF($B622="","",IF($J622&gt;=4,"Yes",""))</f>
        <v/>
      </c>
      <c r="AD622" s="102" t="str">
        <f aca="false">IF($A622="","",IFERROR(IF(VLOOKUP($A622,'Risk Register'!$B$2:$H$1000,4,FALSE())&gt;=4,"Yes",""),""))</f>
        <v/>
      </c>
      <c r="AE622" s="102" t="str">
        <f aca="false">IF(OR($N622="", $O622=""),"",IF($N622&gt;=Lists!$AG$2,IF($O622&gt;=Lists!$AG$4,"High Value / High Risk","High Value / Low Risk"),IF($O622&gt;=Lists!$AG$4,"Low Value / High Risk","Low Value / Low Risk")))</f>
        <v/>
      </c>
      <c r="AF622" s="101"/>
      <c r="AG622" s="126"/>
      <c r="AH622" s="106" t="str">
        <f aca="false">IF($B622="","",COUNTIFS('Debt Backlog'!$AF$2:$AF$1000,$A622,'Debt Backlog'!$B$2:$B$1000,"&lt;&gt;",'Debt Backlog'!$N$2:$N$1000,"&lt;&gt;Done",'Debt Backlog'!$N$2:$N$1000,"&lt;&gt;Won't Fix",'Debt Backlog'!$N$2:$N$1000,"&lt;&gt;Duplicate"))</f>
        <v/>
      </c>
      <c r="AI622" s="103" t="str">
        <f aca="false">IF($B622="","",ROUND(SUMIFS('Debt Backlog'!$L$2:$L$1000,'Debt Backlog'!$AF$2:$AF$1000,$A622,'Debt Backlog'!$B$2:$B$1000,"&lt;&gt;",'Debt Backlog'!$N$2:$N$1000,"&lt;&gt;Done",'Debt Backlog'!$N$2:$N$1000,"&lt;&gt;Won't Fix",'Debt Backlog'!$N$2:$N$1000,"&lt;&gt;Duplicate"),2))</f>
        <v/>
      </c>
    </row>
    <row r="623" customFormat="false" ht="15.75" hidden="false" customHeight="true" outlineLevel="0" collapsed="false">
      <c r="A623" s="125"/>
      <c r="B623" s="101"/>
      <c r="C623" s="101"/>
      <c r="D623" s="101"/>
      <c r="E623" s="101"/>
      <c r="F623" s="101"/>
      <c r="G623" s="101"/>
      <c r="H623" s="101"/>
      <c r="I623" s="106"/>
      <c r="J623" s="106"/>
      <c r="K623" s="106"/>
      <c r="L623" s="106"/>
      <c r="M623" s="106"/>
      <c r="N623" s="103" t="str">
        <f aca="false">IF(OR($B623="", $I623="", $J623="", $K623="", $L623="", $M623=""),"",ROUND(($I623*Lists!$AD$2)+($J623*Lists!$AD$3)+($K623*Lists!$AD$4)+($L623*Lists!$AD$5)+($M623*Lists!$AD$6),2))</f>
        <v/>
      </c>
      <c r="O623" s="103" t="str">
        <f aca="false">IF($A623="","",IFERROR(VLOOKUP($A623,'Risk Register'!$B$2:$I$1000,8,FALSE()),""))</f>
        <v/>
      </c>
      <c r="P623" s="106"/>
      <c r="Q623" s="106"/>
      <c r="R623" s="106"/>
      <c r="S623" s="106"/>
      <c r="T623" s="103" t="str">
        <f aca="false">IF(OR($B623="", $P623="", $Q623="", $R623="", $S623=""),"",ROUND(($P623*Lists!$AD$7)+($Q623*Lists!$AD$8)+($R623*Lists!$AD$9)+($S623*Lists!$AD$10),2))</f>
        <v/>
      </c>
      <c r="U623" s="106"/>
      <c r="V623" s="106"/>
      <c r="W623" s="106"/>
      <c r="X623" s="106"/>
      <c r="Y623" s="106"/>
      <c r="Z623" s="103" t="str">
        <f aca="false">IF(OR($B623="", $U623="", $V623="", $W623="", $X623="", $Y623=""),"",ROUND(($U623*Lists!$AD$11)+($V623*Lists!$AD$12)+($W623*Lists!$AD$13)+($X623*Lists!$AD$14)+($Y623*Lists!$AD$15),2))</f>
        <v/>
      </c>
      <c r="AA623" s="103" t="str">
        <f aca="false">IF(OR($B623="", $N623="", $O623="", $T623="", $Z623=""),"",ROUND(($N623*Lists!$AD$16)-($O623*Lists!$AD$17)-($T623*Lists!$AD$18)+($Z623*Lists!$AD$19),2))</f>
        <v/>
      </c>
      <c r="AB623" s="102" t="str">
        <f aca="false">IF(OR($B623="", $N623="", $Z623=""),"",IF($N623&gt;=Lists!$AG$2,IF($Z623&gt;=Lists!$AG$3,"Invest","Migrate"),IF($Z623&gt;=Lists!$AG$3,"Tolerate","Eliminate")))</f>
        <v/>
      </c>
      <c r="AC623" s="102" t="str">
        <f aca="false">IF($B623="","",IF($J623&gt;=4,"Yes",""))</f>
        <v/>
      </c>
      <c r="AD623" s="102" t="str">
        <f aca="false">IF($A623="","",IFERROR(IF(VLOOKUP($A623,'Risk Register'!$B$2:$H$1000,4,FALSE())&gt;=4,"Yes",""),""))</f>
        <v/>
      </c>
      <c r="AE623" s="102" t="str">
        <f aca="false">IF(OR($N623="", $O623=""),"",IF($N623&gt;=Lists!$AG$2,IF($O623&gt;=Lists!$AG$4,"High Value / High Risk","High Value / Low Risk"),IF($O623&gt;=Lists!$AG$4,"Low Value / High Risk","Low Value / Low Risk")))</f>
        <v/>
      </c>
      <c r="AF623" s="101"/>
      <c r="AG623" s="126"/>
      <c r="AH623" s="106" t="str">
        <f aca="false">IF($B623="","",COUNTIFS('Debt Backlog'!$AF$2:$AF$1000,$A623,'Debt Backlog'!$B$2:$B$1000,"&lt;&gt;",'Debt Backlog'!$N$2:$N$1000,"&lt;&gt;Done",'Debt Backlog'!$N$2:$N$1000,"&lt;&gt;Won't Fix",'Debt Backlog'!$N$2:$N$1000,"&lt;&gt;Duplicate"))</f>
        <v/>
      </c>
      <c r="AI623" s="103" t="str">
        <f aca="false">IF($B623="","",ROUND(SUMIFS('Debt Backlog'!$L$2:$L$1000,'Debt Backlog'!$AF$2:$AF$1000,$A623,'Debt Backlog'!$B$2:$B$1000,"&lt;&gt;",'Debt Backlog'!$N$2:$N$1000,"&lt;&gt;Done",'Debt Backlog'!$N$2:$N$1000,"&lt;&gt;Won't Fix",'Debt Backlog'!$N$2:$N$1000,"&lt;&gt;Duplicate"),2))</f>
        <v/>
      </c>
    </row>
    <row r="624" customFormat="false" ht="15.75" hidden="false" customHeight="true" outlineLevel="0" collapsed="false">
      <c r="A624" s="125"/>
      <c r="B624" s="101"/>
      <c r="C624" s="101"/>
      <c r="D624" s="101"/>
      <c r="E624" s="101"/>
      <c r="F624" s="101"/>
      <c r="G624" s="101"/>
      <c r="H624" s="101"/>
      <c r="I624" s="106"/>
      <c r="J624" s="106"/>
      <c r="K624" s="106"/>
      <c r="L624" s="106"/>
      <c r="M624" s="106"/>
      <c r="N624" s="103" t="str">
        <f aca="false">IF(OR($B624="", $I624="", $J624="", $K624="", $L624="", $M624=""),"",ROUND(($I624*Lists!$AD$2)+($J624*Lists!$AD$3)+($K624*Lists!$AD$4)+($L624*Lists!$AD$5)+($M624*Lists!$AD$6),2))</f>
        <v/>
      </c>
      <c r="O624" s="103" t="str">
        <f aca="false">IF($A624="","",IFERROR(VLOOKUP($A624,'Risk Register'!$B$2:$I$1000,8,FALSE()),""))</f>
        <v/>
      </c>
      <c r="P624" s="106"/>
      <c r="Q624" s="106"/>
      <c r="R624" s="106"/>
      <c r="S624" s="106"/>
      <c r="T624" s="103" t="str">
        <f aca="false">IF(OR($B624="", $P624="", $Q624="", $R624="", $S624=""),"",ROUND(($P624*Lists!$AD$7)+($Q624*Lists!$AD$8)+($R624*Lists!$AD$9)+($S624*Lists!$AD$10),2))</f>
        <v/>
      </c>
      <c r="U624" s="106"/>
      <c r="V624" s="106"/>
      <c r="W624" s="106"/>
      <c r="X624" s="106"/>
      <c r="Y624" s="106"/>
      <c r="Z624" s="103" t="str">
        <f aca="false">IF(OR($B624="", $U624="", $V624="", $W624="", $X624="", $Y624=""),"",ROUND(($U624*Lists!$AD$11)+($V624*Lists!$AD$12)+($W624*Lists!$AD$13)+($X624*Lists!$AD$14)+($Y624*Lists!$AD$15),2))</f>
        <v/>
      </c>
      <c r="AA624" s="103" t="str">
        <f aca="false">IF(OR($B624="", $N624="", $O624="", $T624="", $Z624=""),"",ROUND(($N624*Lists!$AD$16)-($O624*Lists!$AD$17)-($T624*Lists!$AD$18)+($Z624*Lists!$AD$19),2))</f>
        <v/>
      </c>
      <c r="AB624" s="102" t="str">
        <f aca="false">IF(OR($B624="", $N624="", $Z624=""),"",IF($N624&gt;=Lists!$AG$2,IF($Z624&gt;=Lists!$AG$3,"Invest","Migrate"),IF($Z624&gt;=Lists!$AG$3,"Tolerate","Eliminate")))</f>
        <v/>
      </c>
      <c r="AC624" s="102" t="str">
        <f aca="false">IF($B624="","",IF($J624&gt;=4,"Yes",""))</f>
        <v/>
      </c>
      <c r="AD624" s="102" t="str">
        <f aca="false">IF($A624="","",IFERROR(IF(VLOOKUP($A624,'Risk Register'!$B$2:$H$1000,4,FALSE())&gt;=4,"Yes",""),""))</f>
        <v/>
      </c>
      <c r="AE624" s="102" t="str">
        <f aca="false">IF(OR($N624="", $O624=""),"",IF($N624&gt;=Lists!$AG$2,IF($O624&gt;=Lists!$AG$4,"High Value / High Risk","High Value / Low Risk"),IF($O624&gt;=Lists!$AG$4,"Low Value / High Risk","Low Value / Low Risk")))</f>
        <v/>
      </c>
      <c r="AF624" s="101"/>
      <c r="AG624" s="126"/>
      <c r="AH624" s="106" t="str">
        <f aca="false">IF($B624="","",COUNTIFS('Debt Backlog'!$AF$2:$AF$1000,$A624,'Debt Backlog'!$B$2:$B$1000,"&lt;&gt;",'Debt Backlog'!$N$2:$N$1000,"&lt;&gt;Done",'Debt Backlog'!$N$2:$N$1000,"&lt;&gt;Won't Fix",'Debt Backlog'!$N$2:$N$1000,"&lt;&gt;Duplicate"))</f>
        <v/>
      </c>
      <c r="AI624" s="103" t="str">
        <f aca="false">IF($B624="","",ROUND(SUMIFS('Debt Backlog'!$L$2:$L$1000,'Debt Backlog'!$AF$2:$AF$1000,$A624,'Debt Backlog'!$B$2:$B$1000,"&lt;&gt;",'Debt Backlog'!$N$2:$N$1000,"&lt;&gt;Done",'Debt Backlog'!$N$2:$N$1000,"&lt;&gt;Won't Fix",'Debt Backlog'!$N$2:$N$1000,"&lt;&gt;Duplicate"),2))</f>
        <v/>
      </c>
    </row>
    <row r="625" customFormat="false" ht="15.75" hidden="false" customHeight="true" outlineLevel="0" collapsed="false">
      <c r="A625" s="125"/>
      <c r="B625" s="101"/>
      <c r="C625" s="101"/>
      <c r="D625" s="101"/>
      <c r="E625" s="101"/>
      <c r="F625" s="101"/>
      <c r="G625" s="101"/>
      <c r="H625" s="101"/>
      <c r="I625" s="106"/>
      <c r="J625" s="106"/>
      <c r="K625" s="106"/>
      <c r="L625" s="106"/>
      <c r="M625" s="106"/>
      <c r="N625" s="103" t="str">
        <f aca="false">IF(OR($B625="", $I625="", $J625="", $K625="", $L625="", $M625=""),"",ROUND(($I625*Lists!$AD$2)+($J625*Lists!$AD$3)+($K625*Lists!$AD$4)+($L625*Lists!$AD$5)+($M625*Lists!$AD$6),2))</f>
        <v/>
      </c>
      <c r="O625" s="103" t="str">
        <f aca="false">IF($A625="","",IFERROR(VLOOKUP($A625,'Risk Register'!$B$2:$I$1000,8,FALSE()),""))</f>
        <v/>
      </c>
      <c r="P625" s="106"/>
      <c r="Q625" s="106"/>
      <c r="R625" s="106"/>
      <c r="S625" s="106"/>
      <c r="T625" s="103" t="str">
        <f aca="false">IF(OR($B625="", $P625="", $Q625="", $R625="", $S625=""),"",ROUND(($P625*Lists!$AD$7)+($Q625*Lists!$AD$8)+($R625*Lists!$AD$9)+($S625*Lists!$AD$10),2))</f>
        <v/>
      </c>
      <c r="U625" s="106"/>
      <c r="V625" s="106"/>
      <c r="W625" s="106"/>
      <c r="X625" s="106"/>
      <c r="Y625" s="106"/>
      <c r="Z625" s="103" t="str">
        <f aca="false">IF(OR($B625="", $U625="", $V625="", $W625="", $X625="", $Y625=""),"",ROUND(($U625*Lists!$AD$11)+($V625*Lists!$AD$12)+($W625*Lists!$AD$13)+($X625*Lists!$AD$14)+($Y625*Lists!$AD$15),2))</f>
        <v/>
      </c>
      <c r="AA625" s="103" t="str">
        <f aca="false">IF(OR($B625="", $N625="", $O625="", $T625="", $Z625=""),"",ROUND(($N625*Lists!$AD$16)-($O625*Lists!$AD$17)-($T625*Lists!$AD$18)+($Z625*Lists!$AD$19),2))</f>
        <v/>
      </c>
      <c r="AB625" s="102" t="str">
        <f aca="false">IF(OR($B625="", $N625="", $Z625=""),"",IF($N625&gt;=Lists!$AG$2,IF($Z625&gt;=Lists!$AG$3,"Invest","Migrate"),IF($Z625&gt;=Lists!$AG$3,"Tolerate","Eliminate")))</f>
        <v/>
      </c>
      <c r="AC625" s="102" t="str">
        <f aca="false">IF($B625="","",IF($J625&gt;=4,"Yes",""))</f>
        <v/>
      </c>
      <c r="AD625" s="102" t="str">
        <f aca="false">IF($A625="","",IFERROR(IF(VLOOKUP($A625,'Risk Register'!$B$2:$H$1000,4,FALSE())&gt;=4,"Yes",""),""))</f>
        <v/>
      </c>
      <c r="AE625" s="102" t="str">
        <f aca="false">IF(OR($N625="", $O625=""),"",IF($N625&gt;=Lists!$AG$2,IF($O625&gt;=Lists!$AG$4,"High Value / High Risk","High Value / Low Risk"),IF($O625&gt;=Lists!$AG$4,"Low Value / High Risk","Low Value / Low Risk")))</f>
        <v/>
      </c>
      <c r="AF625" s="101"/>
      <c r="AG625" s="126"/>
      <c r="AH625" s="106" t="str">
        <f aca="false">IF($B625="","",COUNTIFS('Debt Backlog'!$AF$2:$AF$1000,$A625,'Debt Backlog'!$B$2:$B$1000,"&lt;&gt;",'Debt Backlog'!$N$2:$N$1000,"&lt;&gt;Done",'Debt Backlog'!$N$2:$N$1000,"&lt;&gt;Won't Fix",'Debt Backlog'!$N$2:$N$1000,"&lt;&gt;Duplicate"))</f>
        <v/>
      </c>
      <c r="AI625" s="103" t="str">
        <f aca="false">IF($B625="","",ROUND(SUMIFS('Debt Backlog'!$L$2:$L$1000,'Debt Backlog'!$AF$2:$AF$1000,$A625,'Debt Backlog'!$B$2:$B$1000,"&lt;&gt;",'Debt Backlog'!$N$2:$N$1000,"&lt;&gt;Done",'Debt Backlog'!$N$2:$N$1000,"&lt;&gt;Won't Fix",'Debt Backlog'!$N$2:$N$1000,"&lt;&gt;Duplicate"),2))</f>
        <v/>
      </c>
    </row>
    <row r="626" customFormat="false" ht="15.75" hidden="false" customHeight="true" outlineLevel="0" collapsed="false">
      <c r="A626" s="125"/>
      <c r="B626" s="101"/>
      <c r="C626" s="101"/>
      <c r="D626" s="101"/>
      <c r="E626" s="101"/>
      <c r="F626" s="101"/>
      <c r="G626" s="101"/>
      <c r="H626" s="101"/>
      <c r="I626" s="106"/>
      <c r="J626" s="106"/>
      <c r="K626" s="106"/>
      <c r="L626" s="106"/>
      <c r="M626" s="106"/>
      <c r="N626" s="103" t="str">
        <f aca="false">IF(OR($B626="", $I626="", $J626="", $K626="", $L626="", $M626=""),"",ROUND(($I626*Lists!$AD$2)+($J626*Lists!$AD$3)+($K626*Lists!$AD$4)+($L626*Lists!$AD$5)+($M626*Lists!$AD$6),2))</f>
        <v/>
      </c>
      <c r="O626" s="103" t="str">
        <f aca="false">IF($A626="","",IFERROR(VLOOKUP($A626,'Risk Register'!$B$2:$I$1000,8,FALSE()),""))</f>
        <v/>
      </c>
      <c r="P626" s="106"/>
      <c r="Q626" s="106"/>
      <c r="R626" s="106"/>
      <c r="S626" s="106"/>
      <c r="T626" s="103" t="str">
        <f aca="false">IF(OR($B626="", $P626="", $Q626="", $R626="", $S626=""),"",ROUND(($P626*Lists!$AD$7)+($Q626*Lists!$AD$8)+($R626*Lists!$AD$9)+($S626*Lists!$AD$10),2))</f>
        <v/>
      </c>
      <c r="U626" s="106"/>
      <c r="V626" s="106"/>
      <c r="W626" s="106"/>
      <c r="X626" s="106"/>
      <c r="Y626" s="106"/>
      <c r="Z626" s="103" t="str">
        <f aca="false">IF(OR($B626="", $U626="", $V626="", $W626="", $X626="", $Y626=""),"",ROUND(($U626*Lists!$AD$11)+($V626*Lists!$AD$12)+($W626*Lists!$AD$13)+($X626*Lists!$AD$14)+($Y626*Lists!$AD$15),2))</f>
        <v/>
      </c>
      <c r="AA626" s="103" t="str">
        <f aca="false">IF(OR($B626="", $N626="", $O626="", $T626="", $Z626=""),"",ROUND(($N626*Lists!$AD$16)-($O626*Lists!$AD$17)-($T626*Lists!$AD$18)+($Z626*Lists!$AD$19),2))</f>
        <v/>
      </c>
      <c r="AB626" s="102" t="str">
        <f aca="false">IF(OR($B626="", $N626="", $Z626=""),"",IF($N626&gt;=Lists!$AG$2,IF($Z626&gt;=Lists!$AG$3,"Invest","Migrate"),IF($Z626&gt;=Lists!$AG$3,"Tolerate","Eliminate")))</f>
        <v/>
      </c>
      <c r="AC626" s="102" t="str">
        <f aca="false">IF($B626="","",IF($J626&gt;=4,"Yes",""))</f>
        <v/>
      </c>
      <c r="AD626" s="102" t="str">
        <f aca="false">IF($A626="","",IFERROR(IF(VLOOKUP($A626,'Risk Register'!$B$2:$H$1000,4,FALSE())&gt;=4,"Yes",""),""))</f>
        <v/>
      </c>
      <c r="AE626" s="102" t="str">
        <f aca="false">IF(OR($N626="", $O626=""),"",IF($N626&gt;=Lists!$AG$2,IF($O626&gt;=Lists!$AG$4,"High Value / High Risk","High Value / Low Risk"),IF($O626&gt;=Lists!$AG$4,"Low Value / High Risk","Low Value / Low Risk")))</f>
        <v/>
      </c>
      <c r="AF626" s="101"/>
      <c r="AG626" s="126"/>
      <c r="AH626" s="106" t="str">
        <f aca="false">IF($B626="","",COUNTIFS('Debt Backlog'!$AF$2:$AF$1000,$A626,'Debt Backlog'!$B$2:$B$1000,"&lt;&gt;",'Debt Backlog'!$N$2:$N$1000,"&lt;&gt;Done",'Debt Backlog'!$N$2:$N$1000,"&lt;&gt;Won't Fix",'Debt Backlog'!$N$2:$N$1000,"&lt;&gt;Duplicate"))</f>
        <v/>
      </c>
      <c r="AI626" s="103" t="str">
        <f aca="false">IF($B626="","",ROUND(SUMIFS('Debt Backlog'!$L$2:$L$1000,'Debt Backlog'!$AF$2:$AF$1000,$A626,'Debt Backlog'!$B$2:$B$1000,"&lt;&gt;",'Debt Backlog'!$N$2:$N$1000,"&lt;&gt;Done",'Debt Backlog'!$N$2:$N$1000,"&lt;&gt;Won't Fix",'Debt Backlog'!$N$2:$N$1000,"&lt;&gt;Duplicate"),2))</f>
        <v/>
      </c>
    </row>
    <row r="627" customFormat="false" ht="15.75" hidden="false" customHeight="true" outlineLevel="0" collapsed="false">
      <c r="A627" s="125"/>
      <c r="B627" s="101"/>
      <c r="C627" s="101"/>
      <c r="D627" s="101"/>
      <c r="E627" s="101"/>
      <c r="F627" s="101"/>
      <c r="G627" s="101"/>
      <c r="H627" s="101"/>
      <c r="I627" s="106"/>
      <c r="J627" s="106"/>
      <c r="K627" s="106"/>
      <c r="L627" s="106"/>
      <c r="M627" s="106"/>
      <c r="N627" s="103" t="str">
        <f aca="false">IF(OR($B627="", $I627="", $J627="", $K627="", $L627="", $M627=""),"",ROUND(($I627*Lists!$AD$2)+($J627*Lists!$AD$3)+($K627*Lists!$AD$4)+($L627*Lists!$AD$5)+($M627*Lists!$AD$6),2))</f>
        <v/>
      </c>
      <c r="O627" s="103" t="str">
        <f aca="false">IF($A627="","",IFERROR(VLOOKUP($A627,'Risk Register'!$B$2:$I$1000,8,FALSE()),""))</f>
        <v/>
      </c>
      <c r="P627" s="106"/>
      <c r="Q627" s="106"/>
      <c r="R627" s="106"/>
      <c r="S627" s="106"/>
      <c r="T627" s="103" t="str">
        <f aca="false">IF(OR($B627="", $P627="", $Q627="", $R627="", $S627=""),"",ROUND(($P627*Lists!$AD$7)+($Q627*Lists!$AD$8)+($R627*Lists!$AD$9)+($S627*Lists!$AD$10),2))</f>
        <v/>
      </c>
      <c r="U627" s="106"/>
      <c r="V627" s="106"/>
      <c r="W627" s="106"/>
      <c r="X627" s="106"/>
      <c r="Y627" s="106"/>
      <c r="Z627" s="103" t="str">
        <f aca="false">IF(OR($B627="", $U627="", $V627="", $W627="", $X627="", $Y627=""),"",ROUND(($U627*Lists!$AD$11)+($V627*Lists!$AD$12)+($W627*Lists!$AD$13)+($X627*Lists!$AD$14)+($Y627*Lists!$AD$15),2))</f>
        <v/>
      </c>
      <c r="AA627" s="103" t="str">
        <f aca="false">IF(OR($B627="", $N627="", $O627="", $T627="", $Z627=""),"",ROUND(($N627*Lists!$AD$16)-($O627*Lists!$AD$17)-($T627*Lists!$AD$18)+($Z627*Lists!$AD$19),2))</f>
        <v/>
      </c>
      <c r="AB627" s="102" t="str">
        <f aca="false">IF(OR($B627="", $N627="", $Z627=""),"",IF($N627&gt;=Lists!$AG$2,IF($Z627&gt;=Lists!$AG$3,"Invest","Migrate"),IF($Z627&gt;=Lists!$AG$3,"Tolerate","Eliminate")))</f>
        <v/>
      </c>
      <c r="AC627" s="102" t="str">
        <f aca="false">IF($B627="","",IF($J627&gt;=4,"Yes",""))</f>
        <v/>
      </c>
      <c r="AD627" s="102" t="str">
        <f aca="false">IF($A627="","",IFERROR(IF(VLOOKUP($A627,'Risk Register'!$B$2:$H$1000,4,FALSE())&gt;=4,"Yes",""),""))</f>
        <v/>
      </c>
      <c r="AE627" s="102" t="str">
        <f aca="false">IF(OR($N627="", $O627=""),"",IF($N627&gt;=Lists!$AG$2,IF($O627&gt;=Lists!$AG$4,"High Value / High Risk","High Value / Low Risk"),IF($O627&gt;=Lists!$AG$4,"Low Value / High Risk","Low Value / Low Risk")))</f>
        <v/>
      </c>
      <c r="AF627" s="101"/>
      <c r="AG627" s="126"/>
      <c r="AH627" s="106" t="str">
        <f aca="false">IF($B627="","",COUNTIFS('Debt Backlog'!$AF$2:$AF$1000,$A627,'Debt Backlog'!$B$2:$B$1000,"&lt;&gt;",'Debt Backlog'!$N$2:$N$1000,"&lt;&gt;Done",'Debt Backlog'!$N$2:$N$1000,"&lt;&gt;Won't Fix",'Debt Backlog'!$N$2:$N$1000,"&lt;&gt;Duplicate"))</f>
        <v/>
      </c>
      <c r="AI627" s="103" t="str">
        <f aca="false">IF($B627="","",ROUND(SUMIFS('Debt Backlog'!$L$2:$L$1000,'Debt Backlog'!$AF$2:$AF$1000,$A627,'Debt Backlog'!$B$2:$B$1000,"&lt;&gt;",'Debt Backlog'!$N$2:$N$1000,"&lt;&gt;Done",'Debt Backlog'!$N$2:$N$1000,"&lt;&gt;Won't Fix",'Debt Backlog'!$N$2:$N$1000,"&lt;&gt;Duplicate"),2))</f>
        <v/>
      </c>
    </row>
    <row r="628" customFormat="false" ht="15.75" hidden="false" customHeight="true" outlineLevel="0" collapsed="false">
      <c r="A628" s="125"/>
      <c r="B628" s="101"/>
      <c r="C628" s="101"/>
      <c r="D628" s="101"/>
      <c r="E628" s="101"/>
      <c r="F628" s="101"/>
      <c r="G628" s="101"/>
      <c r="H628" s="101"/>
      <c r="I628" s="106"/>
      <c r="J628" s="106"/>
      <c r="K628" s="106"/>
      <c r="L628" s="106"/>
      <c r="M628" s="106"/>
      <c r="N628" s="103" t="str">
        <f aca="false">IF(OR($B628="", $I628="", $J628="", $K628="", $L628="", $M628=""),"",ROUND(($I628*Lists!$AD$2)+($J628*Lists!$AD$3)+($K628*Lists!$AD$4)+($L628*Lists!$AD$5)+($M628*Lists!$AD$6),2))</f>
        <v/>
      </c>
      <c r="O628" s="103" t="str">
        <f aca="false">IF($A628="","",IFERROR(VLOOKUP($A628,'Risk Register'!$B$2:$I$1000,8,FALSE()),""))</f>
        <v/>
      </c>
      <c r="P628" s="106"/>
      <c r="Q628" s="106"/>
      <c r="R628" s="106"/>
      <c r="S628" s="106"/>
      <c r="T628" s="103" t="str">
        <f aca="false">IF(OR($B628="", $P628="", $Q628="", $R628="", $S628=""),"",ROUND(($P628*Lists!$AD$7)+($Q628*Lists!$AD$8)+($R628*Lists!$AD$9)+($S628*Lists!$AD$10),2))</f>
        <v/>
      </c>
      <c r="U628" s="106"/>
      <c r="V628" s="106"/>
      <c r="W628" s="106"/>
      <c r="X628" s="106"/>
      <c r="Y628" s="106"/>
      <c r="Z628" s="103" t="str">
        <f aca="false">IF(OR($B628="", $U628="", $V628="", $W628="", $X628="", $Y628=""),"",ROUND(($U628*Lists!$AD$11)+($V628*Lists!$AD$12)+($W628*Lists!$AD$13)+($X628*Lists!$AD$14)+($Y628*Lists!$AD$15),2))</f>
        <v/>
      </c>
      <c r="AA628" s="103" t="str">
        <f aca="false">IF(OR($B628="", $N628="", $O628="", $T628="", $Z628=""),"",ROUND(($N628*Lists!$AD$16)-($O628*Lists!$AD$17)-($T628*Lists!$AD$18)+($Z628*Lists!$AD$19),2))</f>
        <v/>
      </c>
      <c r="AB628" s="102" t="str">
        <f aca="false">IF(OR($B628="", $N628="", $Z628=""),"",IF($N628&gt;=Lists!$AG$2,IF($Z628&gt;=Lists!$AG$3,"Invest","Migrate"),IF($Z628&gt;=Lists!$AG$3,"Tolerate","Eliminate")))</f>
        <v/>
      </c>
      <c r="AC628" s="102" t="str">
        <f aca="false">IF($B628="","",IF($J628&gt;=4,"Yes",""))</f>
        <v/>
      </c>
      <c r="AD628" s="102" t="str">
        <f aca="false">IF($A628="","",IFERROR(IF(VLOOKUP($A628,'Risk Register'!$B$2:$H$1000,4,FALSE())&gt;=4,"Yes",""),""))</f>
        <v/>
      </c>
      <c r="AE628" s="102" t="str">
        <f aca="false">IF(OR($N628="", $O628=""),"",IF($N628&gt;=Lists!$AG$2,IF($O628&gt;=Lists!$AG$4,"High Value / High Risk","High Value / Low Risk"),IF($O628&gt;=Lists!$AG$4,"Low Value / High Risk","Low Value / Low Risk")))</f>
        <v/>
      </c>
      <c r="AF628" s="101"/>
      <c r="AG628" s="126"/>
      <c r="AH628" s="106" t="str">
        <f aca="false">IF($B628="","",COUNTIFS('Debt Backlog'!$AF$2:$AF$1000,$A628,'Debt Backlog'!$B$2:$B$1000,"&lt;&gt;",'Debt Backlog'!$N$2:$N$1000,"&lt;&gt;Done",'Debt Backlog'!$N$2:$N$1000,"&lt;&gt;Won't Fix",'Debt Backlog'!$N$2:$N$1000,"&lt;&gt;Duplicate"))</f>
        <v/>
      </c>
      <c r="AI628" s="103" t="str">
        <f aca="false">IF($B628="","",ROUND(SUMIFS('Debt Backlog'!$L$2:$L$1000,'Debt Backlog'!$AF$2:$AF$1000,$A628,'Debt Backlog'!$B$2:$B$1000,"&lt;&gt;",'Debt Backlog'!$N$2:$N$1000,"&lt;&gt;Done",'Debt Backlog'!$N$2:$N$1000,"&lt;&gt;Won't Fix",'Debt Backlog'!$N$2:$N$1000,"&lt;&gt;Duplicate"),2))</f>
        <v/>
      </c>
    </row>
    <row r="629" customFormat="false" ht="15.75" hidden="false" customHeight="true" outlineLevel="0" collapsed="false">
      <c r="A629" s="125"/>
      <c r="B629" s="101"/>
      <c r="C629" s="101"/>
      <c r="D629" s="101"/>
      <c r="E629" s="101"/>
      <c r="F629" s="101"/>
      <c r="G629" s="101"/>
      <c r="H629" s="101"/>
      <c r="I629" s="106"/>
      <c r="J629" s="106"/>
      <c r="K629" s="106"/>
      <c r="L629" s="106"/>
      <c r="M629" s="106"/>
      <c r="N629" s="103" t="str">
        <f aca="false">IF(OR($B629="", $I629="", $J629="", $K629="", $L629="", $M629=""),"",ROUND(($I629*Lists!$AD$2)+($J629*Lists!$AD$3)+($K629*Lists!$AD$4)+($L629*Lists!$AD$5)+($M629*Lists!$AD$6),2))</f>
        <v/>
      </c>
      <c r="O629" s="103" t="str">
        <f aca="false">IF($A629="","",IFERROR(VLOOKUP($A629,'Risk Register'!$B$2:$I$1000,8,FALSE()),""))</f>
        <v/>
      </c>
      <c r="P629" s="106"/>
      <c r="Q629" s="106"/>
      <c r="R629" s="106"/>
      <c r="S629" s="106"/>
      <c r="T629" s="103" t="str">
        <f aca="false">IF(OR($B629="", $P629="", $Q629="", $R629="", $S629=""),"",ROUND(($P629*Lists!$AD$7)+($Q629*Lists!$AD$8)+($R629*Lists!$AD$9)+($S629*Lists!$AD$10),2))</f>
        <v/>
      </c>
      <c r="U629" s="106"/>
      <c r="V629" s="106"/>
      <c r="W629" s="106"/>
      <c r="X629" s="106"/>
      <c r="Y629" s="106"/>
      <c r="Z629" s="103" t="str">
        <f aca="false">IF(OR($B629="", $U629="", $V629="", $W629="", $X629="", $Y629=""),"",ROUND(($U629*Lists!$AD$11)+($V629*Lists!$AD$12)+($W629*Lists!$AD$13)+($X629*Lists!$AD$14)+($Y629*Lists!$AD$15),2))</f>
        <v/>
      </c>
      <c r="AA629" s="103" t="str">
        <f aca="false">IF(OR($B629="", $N629="", $O629="", $T629="", $Z629=""),"",ROUND(($N629*Lists!$AD$16)-($O629*Lists!$AD$17)-($T629*Lists!$AD$18)+($Z629*Lists!$AD$19),2))</f>
        <v/>
      </c>
      <c r="AB629" s="102" t="str">
        <f aca="false">IF(OR($B629="", $N629="", $Z629=""),"",IF($N629&gt;=Lists!$AG$2,IF($Z629&gt;=Lists!$AG$3,"Invest","Migrate"),IF($Z629&gt;=Lists!$AG$3,"Tolerate","Eliminate")))</f>
        <v/>
      </c>
      <c r="AC629" s="102" t="str">
        <f aca="false">IF($B629="","",IF($J629&gt;=4,"Yes",""))</f>
        <v/>
      </c>
      <c r="AD629" s="102" t="str">
        <f aca="false">IF($A629="","",IFERROR(IF(VLOOKUP($A629,'Risk Register'!$B$2:$H$1000,4,FALSE())&gt;=4,"Yes",""),""))</f>
        <v/>
      </c>
      <c r="AE629" s="102" t="str">
        <f aca="false">IF(OR($N629="", $O629=""),"",IF($N629&gt;=Lists!$AG$2,IF($O629&gt;=Lists!$AG$4,"High Value / High Risk","High Value / Low Risk"),IF($O629&gt;=Lists!$AG$4,"Low Value / High Risk","Low Value / Low Risk")))</f>
        <v/>
      </c>
      <c r="AF629" s="101"/>
      <c r="AG629" s="126"/>
      <c r="AH629" s="106" t="str">
        <f aca="false">IF($B629="","",COUNTIFS('Debt Backlog'!$AF$2:$AF$1000,$A629,'Debt Backlog'!$B$2:$B$1000,"&lt;&gt;",'Debt Backlog'!$N$2:$N$1000,"&lt;&gt;Done",'Debt Backlog'!$N$2:$N$1000,"&lt;&gt;Won't Fix",'Debt Backlog'!$N$2:$N$1000,"&lt;&gt;Duplicate"))</f>
        <v/>
      </c>
      <c r="AI629" s="103" t="str">
        <f aca="false">IF($B629="","",ROUND(SUMIFS('Debt Backlog'!$L$2:$L$1000,'Debt Backlog'!$AF$2:$AF$1000,$A629,'Debt Backlog'!$B$2:$B$1000,"&lt;&gt;",'Debt Backlog'!$N$2:$N$1000,"&lt;&gt;Done",'Debt Backlog'!$N$2:$N$1000,"&lt;&gt;Won't Fix",'Debt Backlog'!$N$2:$N$1000,"&lt;&gt;Duplicate"),2))</f>
        <v/>
      </c>
    </row>
    <row r="630" customFormat="false" ht="15.75" hidden="false" customHeight="true" outlineLevel="0" collapsed="false">
      <c r="A630" s="125"/>
      <c r="B630" s="101"/>
      <c r="C630" s="101"/>
      <c r="D630" s="101"/>
      <c r="E630" s="101"/>
      <c r="F630" s="101"/>
      <c r="G630" s="101"/>
      <c r="H630" s="101"/>
      <c r="I630" s="106"/>
      <c r="J630" s="106"/>
      <c r="K630" s="106"/>
      <c r="L630" s="106"/>
      <c r="M630" s="106"/>
      <c r="N630" s="103" t="str">
        <f aca="false">IF(OR($B630="", $I630="", $J630="", $K630="", $L630="", $M630=""),"",ROUND(($I630*Lists!$AD$2)+($J630*Lists!$AD$3)+($K630*Lists!$AD$4)+($L630*Lists!$AD$5)+($M630*Lists!$AD$6),2))</f>
        <v/>
      </c>
      <c r="O630" s="103" t="str">
        <f aca="false">IF($A630="","",IFERROR(VLOOKUP($A630,'Risk Register'!$B$2:$I$1000,8,FALSE()),""))</f>
        <v/>
      </c>
      <c r="P630" s="106"/>
      <c r="Q630" s="106"/>
      <c r="R630" s="106"/>
      <c r="S630" s="106"/>
      <c r="T630" s="103" t="str">
        <f aca="false">IF(OR($B630="", $P630="", $Q630="", $R630="", $S630=""),"",ROUND(($P630*Lists!$AD$7)+($Q630*Lists!$AD$8)+($R630*Lists!$AD$9)+($S630*Lists!$AD$10),2))</f>
        <v/>
      </c>
      <c r="U630" s="106"/>
      <c r="V630" s="106"/>
      <c r="W630" s="106"/>
      <c r="X630" s="106"/>
      <c r="Y630" s="106"/>
      <c r="Z630" s="103" t="str">
        <f aca="false">IF(OR($B630="", $U630="", $V630="", $W630="", $X630="", $Y630=""),"",ROUND(($U630*Lists!$AD$11)+($V630*Lists!$AD$12)+($W630*Lists!$AD$13)+($X630*Lists!$AD$14)+($Y630*Lists!$AD$15),2))</f>
        <v/>
      </c>
      <c r="AA630" s="103" t="str">
        <f aca="false">IF(OR($B630="", $N630="", $O630="", $T630="", $Z630=""),"",ROUND(($N630*Lists!$AD$16)-($O630*Lists!$AD$17)-($T630*Lists!$AD$18)+($Z630*Lists!$AD$19),2))</f>
        <v/>
      </c>
      <c r="AB630" s="102" t="str">
        <f aca="false">IF(OR($B630="", $N630="", $Z630=""),"",IF($N630&gt;=Lists!$AG$2,IF($Z630&gt;=Lists!$AG$3,"Invest","Migrate"),IF($Z630&gt;=Lists!$AG$3,"Tolerate","Eliminate")))</f>
        <v/>
      </c>
      <c r="AC630" s="102" t="str">
        <f aca="false">IF($B630="","",IF($J630&gt;=4,"Yes",""))</f>
        <v/>
      </c>
      <c r="AD630" s="102" t="str">
        <f aca="false">IF($A630="","",IFERROR(IF(VLOOKUP($A630,'Risk Register'!$B$2:$H$1000,4,FALSE())&gt;=4,"Yes",""),""))</f>
        <v/>
      </c>
      <c r="AE630" s="102" t="str">
        <f aca="false">IF(OR($N630="", $O630=""),"",IF($N630&gt;=Lists!$AG$2,IF($O630&gt;=Lists!$AG$4,"High Value / High Risk","High Value / Low Risk"),IF($O630&gt;=Lists!$AG$4,"Low Value / High Risk","Low Value / Low Risk")))</f>
        <v/>
      </c>
      <c r="AF630" s="101"/>
      <c r="AG630" s="126"/>
      <c r="AH630" s="106" t="str">
        <f aca="false">IF($B630="","",COUNTIFS('Debt Backlog'!$AF$2:$AF$1000,$A630,'Debt Backlog'!$B$2:$B$1000,"&lt;&gt;",'Debt Backlog'!$N$2:$N$1000,"&lt;&gt;Done",'Debt Backlog'!$N$2:$N$1000,"&lt;&gt;Won't Fix",'Debt Backlog'!$N$2:$N$1000,"&lt;&gt;Duplicate"))</f>
        <v/>
      </c>
      <c r="AI630" s="103" t="str">
        <f aca="false">IF($B630="","",ROUND(SUMIFS('Debt Backlog'!$L$2:$L$1000,'Debt Backlog'!$AF$2:$AF$1000,$A630,'Debt Backlog'!$B$2:$B$1000,"&lt;&gt;",'Debt Backlog'!$N$2:$N$1000,"&lt;&gt;Done",'Debt Backlog'!$N$2:$N$1000,"&lt;&gt;Won't Fix",'Debt Backlog'!$N$2:$N$1000,"&lt;&gt;Duplicate"),2))</f>
        <v/>
      </c>
    </row>
    <row r="631" customFormat="false" ht="15.75" hidden="false" customHeight="true" outlineLevel="0" collapsed="false">
      <c r="A631" s="125"/>
      <c r="B631" s="101"/>
      <c r="C631" s="101"/>
      <c r="D631" s="101"/>
      <c r="E631" s="101"/>
      <c r="F631" s="101"/>
      <c r="G631" s="101"/>
      <c r="H631" s="101"/>
      <c r="I631" s="106"/>
      <c r="J631" s="106"/>
      <c r="K631" s="106"/>
      <c r="L631" s="106"/>
      <c r="M631" s="106"/>
      <c r="N631" s="103" t="str">
        <f aca="false">IF(OR($B631="", $I631="", $J631="", $K631="", $L631="", $M631=""),"",ROUND(($I631*Lists!$AD$2)+($J631*Lists!$AD$3)+($K631*Lists!$AD$4)+($L631*Lists!$AD$5)+($M631*Lists!$AD$6),2))</f>
        <v/>
      </c>
      <c r="O631" s="103" t="str">
        <f aca="false">IF($A631="","",IFERROR(VLOOKUP($A631,'Risk Register'!$B$2:$I$1000,8,FALSE()),""))</f>
        <v/>
      </c>
      <c r="P631" s="106"/>
      <c r="Q631" s="106"/>
      <c r="R631" s="106"/>
      <c r="S631" s="106"/>
      <c r="T631" s="103" t="str">
        <f aca="false">IF(OR($B631="", $P631="", $Q631="", $R631="", $S631=""),"",ROUND(($P631*Lists!$AD$7)+($Q631*Lists!$AD$8)+($R631*Lists!$AD$9)+($S631*Lists!$AD$10),2))</f>
        <v/>
      </c>
      <c r="U631" s="106"/>
      <c r="V631" s="106"/>
      <c r="W631" s="106"/>
      <c r="X631" s="106"/>
      <c r="Y631" s="106"/>
      <c r="Z631" s="103" t="str">
        <f aca="false">IF(OR($B631="", $U631="", $V631="", $W631="", $X631="", $Y631=""),"",ROUND(($U631*Lists!$AD$11)+($V631*Lists!$AD$12)+($W631*Lists!$AD$13)+($X631*Lists!$AD$14)+($Y631*Lists!$AD$15),2))</f>
        <v/>
      </c>
      <c r="AA631" s="103" t="str">
        <f aca="false">IF(OR($B631="", $N631="", $O631="", $T631="", $Z631=""),"",ROUND(($N631*Lists!$AD$16)-($O631*Lists!$AD$17)-($T631*Lists!$AD$18)+($Z631*Lists!$AD$19),2))</f>
        <v/>
      </c>
      <c r="AB631" s="102" t="str">
        <f aca="false">IF(OR($B631="", $N631="", $Z631=""),"",IF($N631&gt;=Lists!$AG$2,IF($Z631&gt;=Lists!$AG$3,"Invest","Migrate"),IF($Z631&gt;=Lists!$AG$3,"Tolerate","Eliminate")))</f>
        <v/>
      </c>
      <c r="AC631" s="102" t="str">
        <f aca="false">IF($B631="","",IF($J631&gt;=4,"Yes",""))</f>
        <v/>
      </c>
      <c r="AD631" s="102" t="str">
        <f aca="false">IF($A631="","",IFERROR(IF(VLOOKUP($A631,'Risk Register'!$B$2:$H$1000,4,FALSE())&gt;=4,"Yes",""),""))</f>
        <v/>
      </c>
      <c r="AE631" s="102" t="str">
        <f aca="false">IF(OR($N631="", $O631=""),"",IF($N631&gt;=Lists!$AG$2,IF($O631&gt;=Lists!$AG$4,"High Value / High Risk","High Value / Low Risk"),IF($O631&gt;=Lists!$AG$4,"Low Value / High Risk","Low Value / Low Risk")))</f>
        <v/>
      </c>
      <c r="AF631" s="101"/>
      <c r="AG631" s="126"/>
      <c r="AH631" s="106" t="str">
        <f aca="false">IF($B631="","",COUNTIFS('Debt Backlog'!$AF$2:$AF$1000,$A631,'Debt Backlog'!$B$2:$B$1000,"&lt;&gt;",'Debt Backlog'!$N$2:$N$1000,"&lt;&gt;Done",'Debt Backlog'!$N$2:$N$1000,"&lt;&gt;Won't Fix",'Debt Backlog'!$N$2:$N$1000,"&lt;&gt;Duplicate"))</f>
        <v/>
      </c>
      <c r="AI631" s="103" t="str">
        <f aca="false">IF($B631="","",ROUND(SUMIFS('Debt Backlog'!$L$2:$L$1000,'Debt Backlog'!$AF$2:$AF$1000,$A631,'Debt Backlog'!$B$2:$B$1000,"&lt;&gt;",'Debt Backlog'!$N$2:$N$1000,"&lt;&gt;Done",'Debt Backlog'!$N$2:$N$1000,"&lt;&gt;Won't Fix",'Debt Backlog'!$N$2:$N$1000,"&lt;&gt;Duplicate"),2))</f>
        <v/>
      </c>
    </row>
    <row r="632" customFormat="false" ht="15.75" hidden="false" customHeight="true" outlineLevel="0" collapsed="false">
      <c r="A632" s="125"/>
      <c r="B632" s="101"/>
      <c r="C632" s="101"/>
      <c r="D632" s="101"/>
      <c r="E632" s="101"/>
      <c r="F632" s="101"/>
      <c r="G632" s="101"/>
      <c r="H632" s="101"/>
      <c r="I632" s="106"/>
      <c r="J632" s="106"/>
      <c r="K632" s="106"/>
      <c r="L632" s="106"/>
      <c r="M632" s="106"/>
      <c r="N632" s="103" t="str">
        <f aca="false">IF(OR($B632="", $I632="", $J632="", $K632="", $L632="", $M632=""),"",ROUND(($I632*Lists!$AD$2)+($J632*Lists!$AD$3)+($K632*Lists!$AD$4)+($L632*Lists!$AD$5)+($M632*Lists!$AD$6),2))</f>
        <v/>
      </c>
      <c r="O632" s="103" t="str">
        <f aca="false">IF($A632="","",IFERROR(VLOOKUP($A632,'Risk Register'!$B$2:$I$1000,8,FALSE()),""))</f>
        <v/>
      </c>
      <c r="P632" s="106"/>
      <c r="Q632" s="106"/>
      <c r="R632" s="106"/>
      <c r="S632" s="106"/>
      <c r="T632" s="103" t="str">
        <f aca="false">IF(OR($B632="", $P632="", $Q632="", $R632="", $S632=""),"",ROUND(($P632*Lists!$AD$7)+($Q632*Lists!$AD$8)+($R632*Lists!$AD$9)+($S632*Lists!$AD$10),2))</f>
        <v/>
      </c>
      <c r="U632" s="106"/>
      <c r="V632" s="106"/>
      <c r="W632" s="106"/>
      <c r="X632" s="106"/>
      <c r="Y632" s="106"/>
      <c r="Z632" s="103" t="str">
        <f aca="false">IF(OR($B632="", $U632="", $V632="", $W632="", $X632="", $Y632=""),"",ROUND(($U632*Lists!$AD$11)+($V632*Lists!$AD$12)+($W632*Lists!$AD$13)+($X632*Lists!$AD$14)+($Y632*Lists!$AD$15),2))</f>
        <v/>
      </c>
      <c r="AA632" s="103" t="str">
        <f aca="false">IF(OR($B632="", $N632="", $O632="", $T632="", $Z632=""),"",ROUND(($N632*Lists!$AD$16)-($O632*Lists!$AD$17)-($T632*Lists!$AD$18)+($Z632*Lists!$AD$19),2))</f>
        <v/>
      </c>
      <c r="AB632" s="102" t="str">
        <f aca="false">IF(OR($B632="", $N632="", $Z632=""),"",IF($N632&gt;=Lists!$AG$2,IF($Z632&gt;=Lists!$AG$3,"Invest","Migrate"),IF($Z632&gt;=Lists!$AG$3,"Tolerate","Eliminate")))</f>
        <v/>
      </c>
      <c r="AC632" s="102" t="str">
        <f aca="false">IF($B632="","",IF($J632&gt;=4,"Yes",""))</f>
        <v/>
      </c>
      <c r="AD632" s="102" t="str">
        <f aca="false">IF($A632="","",IFERROR(IF(VLOOKUP($A632,'Risk Register'!$B$2:$H$1000,4,FALSE())&gt;=4,"Yes",""),""))</f>
        <v/>
      </c>
      <c r="AE632" s="102" t="str">
        <f aca="false">IF(OR($N632="", $O632=""),"",IF($N632&gt;=Lists!$AG$2,IF($O632&gt;=Lists!$AG$4,"High Value / High Risk","High Value / Low Risk"),IF($O632&gt;=Lists!$AG$4,"Low Value / High Risk","Low Value / Low Risk")))</f>
        <v/>
      </c>
      <c r="AF632" s="101"/>
      <c r="AG632" s="126"/>
      <c r="AH632" s="106" t="str">
        <f aca="false">IF($B632="","",COUNTIFS('Debt Backlog'!$AF$2:$AF$1000,$A632,'Debt Backlog'!$B$2:$B$1000,"&lt;&gt;",'Debt Backlog'!$N$2:$N$1000,"&lt;&gt;Done",'Debt Backlog'!$N$2:$N$1000,"&lt;&gt;Won't Fix",'Debt Backlog'!$N$2:$N$1000,"&lt;&gt;Duplicate"))</f>
        <v/>
      </c>
      <c r="AI632" s="103" t="str">
        <f aca="false">IF($B632="","",ROUND(SUMIFS('Debt Backlog'!$L$2:$L$1000,'Debt Backlog'!$AF$2:$AF$1000,$A632,'Debt Backlog'!$B$2:$B$1000,"&lt;&gt;",'Debt Backlog'!$N$2:$N$1000,"&lt;&gt;Done",'Debt Backlog'!$N$2:$N$1000,"&lt;&gt;Won't Fix",'Debt Backlog'!$N$2:$N$1000,"&lt;&gt;Duplicate"),2))</f>
        <v/>
      </c>
    </row>
    <row r="633" customFormat="false" ht="15.75" hidden="false" customHeight="true" outlineLevel="0" collapsed="false">
      <c r="A633" s="125"/>
      <c r="B633" s="101"/>
      <c r="C633" s="101"/>
      <c r="D633" s="101"/>
      <c r="E633" s="101"/>
      <c r="F633" s="101"/>
      <c r="G633" s="101"/>
      <c r="H633" s="101"/>
      <c r="I633" s="106"/>
      <c r="J633" s="106"/>
      <c r="K633" s="106"/>
      <c r="L633" s="106"/>
      <c r="M633" s="106"/>
      <c r="N633" s="103" t="str">
        <f aca="false">IF(OR($B633="", $I633="", $J633="", $K633="", $L633="", $M633=""),"",ROUND(($I633*Lists!$AD$2)+($J633*Lists!$AD$3)+($K633*Lists!$AD$4)+($L633*Lists!$AD$5)+($M633*Lists!$AD$6),2))</f>
        <v/>
      </c>
      <c r="O633" s="103" t="str">
        <f aca="false">IF($A633="","",IFERROR(VLOOKUP($A633,'Risk Register'!$B$2:$I$1000,8,FALSE()),""))</f>
        <v/>
      </c>
      <c r="P633" s="106"/>
      <c r="Q633" s="106"/>
      <c r="R633" s="106"/>
      <c r="S633" s="106"/>
      <c r="T633" s="103" t="str">
        <f aca="false">IF(OR($B633="", $P633="", $Q633="", $R633="", $S633=""),"",ROUND(($P633*Lists!$AD$7)+($Q633*Lists!$AD$8)+($R633*Lists!$AD$9)+($S633*Lists!$AD$10),2))</f>
        <v/>
      </c>
      <c r="U633" s="106"/>
      <c r="V633" s="106"/>
      <c r="W633" s="106"/>
      <c r="X633" s="106"/>
      <c r="Y633" s="106"/>
      <c r="Z633" s="103" t="str">
        <f aca="false">IF(OR($B633="", $U633="", $V633="", $W633="", $X633="", $Y633=""),"",ROUND(($U633*Lists!$AD$11)+($V633*Lists!$AD$12)+($W633*Lists!$AD$13)+($X633*Lists!$AD$14)+($Y633*Lists!$AD$15),2))</f>
        <v/>
      </c>
      <c r="AA633" s="103" t="str">
        <f aca="false">IF(OR($B633="", $N633="", $O633="", $T633="", $Z633=""),"",ROUND(($N633*Lists!$AD$16)-($O633*Lists!$AD$17)-($T633*Lists!$AD$18)+($Z633*Lists!$AD$19),2))</f>
        <v/>
      </c>
      <c r="AB633" s="102" t="str">
        <f aca="false">IF(OR($B633="", $N633="", $Z633=""),"",IF($N633&gt;=Lists!$AG$2,IF($Z633&gt;=Lists!$AG$3,"Invest","Migrate"),IF($Z633&gt;=Lists!$AG$3,"Tolerate","Eliminate")))</f>
        <v/>
      </c>
      <c r="AC633" s="102" t="str">
        <f aca="false">IF($B633="","",IF($J633&gt;=4,"Yes",""))</f>
        <v/>
      </c>
      <c r="AD633" s="102" t="str">
        <f aca="false">IF($A633="","",IFERROR(IF(VLOOKUP($A633,'Risk Register'!$B$2:$H$1000,4,FALSE())&gt;=4,"Yes",""),""))</f>
        <v/>
      </c>
      <c r="AE633" s="102" t="str">
        <f aca="false">IF(OR($N633="", $O633=""),"",IF($N633&gt;=Lists!$AG$2,IF($O633&gt;=Lists!$AG$4,"High Value / High Risk","High Value / Low Risk"),IF($O633&gt;=Lists!$AG$4,"Low Value / High Risk","Low Value / Low Risk")))</f>
        <v/>
      </c>
      <c r="AF633" s="101"/>
      <c r="AG633" s="126"/>
      <c r="AH633" s="106" t="str">
        <f aca="false">IF($B633="","",COUNTIFS('Debt Backlog'!$AF$2:$AF$1000,$A633,'Debt Backlog'!$B$2:$B$1000,"&lt;&gt;",'Debt Backlog'!$N$2:$N$1000,"&lt;&gt;Done",'Debt Backlog'!$N$2:$N$1000,"&lt;&gt;Won't Fix",'Debt Backlog'!$N$2:$N$1000,"&lt;&gt;Duplicate"))</f>
        <v/>
      </c>
      <c r="AI633" s="103" t="str">
        <f aca="false">IF($B633="","",ROUND(SUMIFS('Debt Backlog'!$L$2:$L$1000,'Debt Backlog'!$AF$2:$AF$1000,$A633,'Debt Backlog'!$B$2:$B$1000,"&lt;&gt;",'Debt Backlog'!$N$2:$N$1000,"&lt;&gt;Done",'Debt Backlog'!$N$2:$N$1000,"&lt;&gt;Won't Fix",'Debt Backlog'!$N$2:$N$1000,"&lt;&gt;Duplicate"),2))</f>
        <v/>
      </c>
    </row>
    <row r="634" customFormat="false" ht="15.75" hidden="false" customHeight="true" outlineLevel="0" collapsed="false">
      <c r="A634" s="125"/>
      <c r="B634" s="101"/>
      <c r="C634" s="101"/>
      <c r="D634" s="101"/>
      <c r="E634" s="101"/>
      <c r="F634" s="101"/>
      <c r="G634" s="101"/>
      <c r="H634" s="101"/>
      <c r="I634" s="106"/>
      <c r="J634" s="106"/>
      <c r="K634" s="106"/>
      <c r="L634" s="106"/>
      <c r="M634" s="106"/>
      <c r="N634" s="103" t="str">
        <f aca="false">IF(OR($B634="", $I634="", $J634="", $K634="", $L634="", $M634=""),"",ROUND(($I634*Lists!$AD$2)+($J634*Lists!$AD$3)+($K634*Lists!$AD$4)+($L634*Lists!$AD$5)+($M634*Lists!$AD$6),2))</f>
        <v/>
      </c>
      <c r="O634" s="103" t="str">
        <f aca="false">IF($A634="","",IFERROR(VLOOKUP($A634,'Risk Register'!$B$2:$I$1000,8,FALSE()),""))</f>
        <v/>
      </c>
      <c r="P634" s="106"/>
      <c r="Q634" s="106"/>
      <c r="R634" s="106"/>
      <c r="S634" s="106"/>
      <c r="T634" s="103" t="str">
        <f aca="false">IF(OR($B634="", $P634="", $Q634="", $R634="", $S634=""),"",ROUND(($P634*Lists!$AD$7)+($Q634*Lists!$AD$8)+($R634*Lists!$AD$9)+($S634*Lists!$AD$10),2))</f>
        <v/>
      </c>
      <c r="U634" s="106"/>
      <c r="V634" s="106"/>
      <c r="W634" s="106"/>
      <c r="X634" s="106"/>
      <c r="Y634" s="106"/>
      <c r="Z634" s="103" t="str">
        <f aca="false">IF(OR($B634="", $U634="", $V634="", $W634="", $X634="", $Y634=""),"",ROUND(($U634*Lists!$AD$11)+($V634*Lists!$AD$12)+($W634*Lists!$AD$13)+($X634*Lists!$AD$14)+($Y634*Lists!$AD$15),2))</f>
        <v/>
      </c>
      <c r="AA634" s="103" t="str">
        <f aca="false">IF(OR($B634="", $N634="", $O634="", $T634="", $Z634=""),"",ROUND(($N634*Lists!$AD$16)-($O634*Lists!$AD$17)-($T634*Lists!$AD$18)+($Z634*Lists!$AD$19),2))</f>
        <v/>
      </c>
      <c r="AB634" s="102" t="str">
        <f aca="false">IF(OR($B634="", $N634="", $Z634=""),"",IF($N634&gt;=Lists!$AG$2,IF($Z634&gt;=Lists!$AG$3,"Invest","Migrate"),IF($Z634&gt;=Lists!$AG$3,"Tolerate","Eliminate")))</f>
        <v/>
      </c>
      <c r="AC634" s="102" t="str">
        <f aca="false">IF($B634="","",IF($J634&gt;=4,"Yes",""))</f>
        <v/>
      </c>
      <c r="AD634" s="102" t="str">
        <f aca="false">IF($A634="","",IFERROR(IF(VLOOKUP($A634,'Risk Register'!$B$2:$H$1000,4,FALSE())&gt;=4,"Yes",""),""))</f>
        <v/>
      </c>
      <c r="AE634" s="102" t="str">
        <f aca="false">IF(OR($N634="", $O634=""),"",IF($N634&gt;=Lists!$AG$2,IF($O634&gt;=Lists!$AG$4,"High Value / High Risk","High Value / Low Risk"),IF($O634&gt;=Lists!$AG$4,"Low Value / High Risk","Low Value / Low Risk")))</f>
        <v/>
      </c>
      <c r="AF634" s="101"/>
      <c r="AG634" s="126"/>
      <c r="AH634" s="106" t="str">
        <f aca="false">IF($B634="","",COUNTIFS('Debt Backlog'!$AF$2:$AF$1000,$A634,'Debt Backlog'!$B$2:$B$1000,"&lt;&gt;",'Debt Backlog'!$N$2:$N$1000,"&lt;&gt;Done",'Debt Backlog'!$N$2:$N$1000,"&lt;&gt;Won't Fix",'Debt Backlog'!$N$2:$N$1000,"&lt;&gt;Duplicate"))</f>
        <v/>
      </c>
      <c r="AI634" s="103" t="str">
        <f aca="false">IF($B634="","",ROUND(SUMIFS('Debt Backlog'!$L$2:$L$1000,'Debt Backlog'!$AF$2:$AF$1000,$A634,'Debt Backlog'!$B$2:$B$1000,"&lt;&gt;",'Debt Backlog'!$N$2:$N$1000,"&lt;&gt;Done",'Debt Backlog'!$N$2:$N$1000,"&lt;&gt;Won't Fix",'Debt Backlog'!$N$2:$N$1000,"&lt;&gt;Duplicate"),2))</f>
        <v/>
      </c>
    </row>
    <row r="635" customFormat="false" ht="15.75" hidden="false" customHeight="true" outlineLevel="0" collapsed="false">
      <c r="A635" s="125"/>
      <c r="B635" s="101"/>
      <c r="C635" s="101"/>
      <c r="D635" s="101"/>
      <c r="E635" s="101"/>
      <c r="F635" s="101"/>
      <c r="G635" s="101"/>
      <c r="H635" s="101"/>
      <c r="I635" s="106"/>
      <c r="J635" s="106"/>
      <c r="K635" s="106"/>
      <c r="L635" s="106"/>
      <c r="M635" s="106"/>
      <c r="N635" s="103" t="str">
        <f aca="false">IF(OR($B635="", $I635="", $J635="", $K635="", $L635="", $M635=""),"",ROUND(($I635*Lists!$AD$2)+($J635*Lists!$AD$3)+($K635*Lists!$AD$4)+($L635*Lists!$AD$5)+($M635*Lists!$AD$6),2))</f>
        <v/>
      </c>
      <c r="O635" s="103" t="str">
        <f aca="false">IF($A635="","",IFERROR(VLOOKUP($A635,'Risk Register'!$B$2:$I$1000,8,FALSE()),""))</f>
        <v/>
      </c>
      <c r="P635" s="106"/>
      <c r="Q635" s="106"/>
      <c r="R635" s="106"/>
      <c r="S635" s="106"/>
      <c r="T635" s="103" t="str">
        <f aca="false">IF(OR($B635="", $P635="", $Q635="", $R635="", $S635=""),"",ROUND(($P635*Lists!$AD$7)+($Q635*Lists!$AD$8)+($R635*Lists!$AD$9)+($S635*Lists!$AD$10),2))</f>
        <v/>
      </c>
      <c r="U635" s="106"/>
      <c r="V635" s="106"/>
      <c r="W635" s="106"/>
      <c r="X635" s="106"/>
      <c r="Y635" s="106"/>
      <c r="Z635" s="103" t="str">
        <f aca="false">IF(OR($B635="", $U635="", $V635="", $W635="", $X635="", $Y635=""),"",ROUND(($U635*Lists!$AD$11)+($V635*Lists!$AD$12)+($W635*Lists!$AD$13)+($X635*Lists!$AD$14)+($Y635*Lists!$AD$15),2))</f>
        <v/>
      </c>
      <c r="AA635" s="103" t="str">
        <f aca="false">IF(OR($B635="", $N635="", $O635="", $T635="", $Z635=""),"",ROUND(($N635*Lists!$AD$16)-($O635*Lists!$AD$17)-($T635*Lists!$AD$18)+($Z635*Lists!$AD$19),2))</f>
        <v/>
      </c>
      <c r="AB635" s="102" t="str">
        <f aca="false">IF(OR($B635="", $N635="", $Z635=""),"",IF($N635&gt;=Lists!$AG$2,IF($Z635&gt;=Lists!$AG$3,"Invest","Migrate"),IF($Z635&gt;=Lists!$AG$3,"Tolerate","Eliminate")))</f>
        <v/>
      </c>
      <c r="AC635" s="102" t="str">
        <f aca="false">IF($B635="","",IF($J635&gt;=4,"Yes",""))</f>
        <v/>
      </c>
      <c r="AD635" s="102" t="str">
        <f aca="false">IF($A635="","",IFERROR(IF(VLOOKUP($A635,'Risk Register'!$B$2:$H$1000,4,FALSE())&gt;=4,"Yes",""),""))</f>
        <v/>
      </c>
      <c r="AE635" s="102" t="str">
        <f aca="false">IF(OR($N635="", $O635=""),"",IF($N635&gt;=Lists!$AG$2,IF($O635&gt;=Lists!$AG$4,"High Value / High Risk","High Value / Low Risk"),IF($O635&gt;=Lists!$AG$4,"Low Value / High Risk","Low Value / Low Risk")))</f>
        <v/>
      </c>
      <c r="AF635" s="101"/>
      <c r="AG635" s="126"/>
      <c r="AH635" s="106" t="str">
        <f aca="false">IF($B635="","",COUNTIFS('Debt Backlog'!$AF$2:$AF$1000,$A635,'Debt Backlog'!$B$2:$B$1000,"&lt;&gt;",'Debt Backlog'!$N$2:$N$1000,"&lt;&gt;Done",'Debt Backlog'!$N$2:$N$1000,"&lt;&gt;Won't Fix",'Debt Backlog'!$N$2:$N$1000,"&lt;&gt;Duplicate"))</f>
        <v/>
      </c>
      <c r="AI635" s="103" t="str">
        <f aca="false">IF($B635="","",ROUND(SUMIFS('Debt Backlog'!$L$2:$L$1000,'Debt Backlog'!$AF$2:$AF$1000,$A635,'Debt Backlog'!$B$2:$B$1000,"&lt;&gt;",'Debt Backlog'!$N$2:$N$1000,"&lt;&gt;Done",'Debt Backlog'!$N$2:$N$1000,"&lt;&gt;Won't Fix",'Debt Backlog'!$N$2:$N$1000,"&lt;&gt;Duplicate"),2))</f>
        <v/>
      </c>
    </row>
    <row r="636" customFormat="false" ht="15.75" hidden="false" customHeight="true" outlineLevel="0" collapsed="false">
      <c r="A636" s="125"/>
      <c r="B636" s="101"/>
      <c r="C636" s="101"/>
      <c r="D636" s="101"/>
      <c r="E636" s="101"/>
      <c r="F636" s="101"/>
      <c r="G636" s="101"/>
      <c r="H636" s="101"/>
      <c r="I636" s="106"/>
      <c r="J636" s="106"/>
      <c r="K636" s="106"/>
      <c r="L636" s="106"/>
      <c r="M636" s="106"/>
      <c r="N636" s="103" t="str">
        <f aca="false">IF(OR($B636="", $I636="", $J636="", $K636="", $L636="", $M636=""),"",ROUND(($I636*Lists!$AD$2)+($J636*Lists!$AD$3)+($K636*Lists!$AD$4)+($L636*Lists!$AD$5)+($M636*Lists!$AD$6),2))</f>
        <v/>
      </c>
      <c r="O636" s="103" t="str">
        <f aca="false">IF($A636="","",IFERROR(VLOOKUP($A636,'Risk Register'!$B$2:$I$1000,8,FALSE()),""))</f>
        <v/>
      </c>
      <c r="P636" s="106"/>
      <c r="Q636" s="106"/>
      <c r="R636" s="106"/>
      <c r="S636" s="106"/>
      <c r="T636" s="103" t="str">
        <f aca="false">IF(OR($B636="", $P636="", $Q636="", $R636="", $S636=""),"",ROUND(($P636*Lists!$AD$7)+($Q636*Lists!$AD$8)+($R636*Lists!$AD$9)+($S636*Lists!$AD$10),2))</f>
        <v/>
      </c>
      <c r="U636" s="106"/>
      <c r="V636" s="106"/>
      <c r="W636" s="106"/>
      <c r="X636" s="106"/>
      <c r="Y636" s="106"/>
      <c r="Z636" s="103" t="str">
        <f aca="false">IF(OR($B636="", $U636="", $V636="", $W636="", $X636="", $Y636=""),"",ROUND(($U636*Lists!$AD$11)+($V636*Lists!$AD$12)+($W636*Lists!$AD$13)+($X636*Lists!$AD$14)+($Y636*Lists!$AD$15),2))</f>
        <v/>
      </c>
      <c r="AA636" s="103" t="str">
        <f aca="false">IF(OR($B636="", $N636="", $O636="", $T636="", $Z636=""),"",ROUND(($N636*Lists!$AD$16)-($O636*Lists!$AD$17)-($T636*Lists!$AD$18)+($Z636*Lists!$AD$19),2))</f>
        <v/>
      </c>
      <c r="AB636" s="102" t="str">
        <f aca="false">IF(OR($B636="", $N636="", $Z636=""),"",IF($N636&gt;=Lists!$AG$2,IF($Z636&gt;=Lists!$AG$3,"Invest","Migrate"),IF($Z636&gt;=Lists!$AG$3,"Tolerate","Eliminate")))</f>
        <v/>
      </c>
      <c r="AC636" s="102" t="str">
        <f aca="false">IF($B636="","",IF($J636&gt;=4,"Yes",""))</f>
        <v/>
      </c>
      <c r="AD636" s="102" t="str">
        <f aca="false">IF($A636="","",IFERROR(IF(VLOOKUP($A636,'Risk Register'!$B$2:$H$1000,4,FALSE())&gt;=4,"Yes",""),""))</f>
        <v/>
      </c>
      <c r="AE636" s="102" t="str">
        <f aca="false">IF(OR($N636="", $O636=""),"",IF($N636&gt;=Lists!$AG$2,IF($O636&gt;=Lists!$AG$4,"High Value / High Risk","High Value / Low Risk"),IF($O636&gt;=Lists!$AG$4,"Low Value / High Risk","Low Value / Low Risk")))</f>
        <v/>
      </c>
      <c r="AF636" s="101"/>
      <c r="AG636" s="126"/>
      <c r="AH636" s="106" t="str">
        <f aca="false">IF($B636="","",COUNTIFS('Debt Backlog'!$AF$2:$AF$1000,$A636,'Debt Backlog'!$B$2:$B$1000,"&lt;&gt;",'Debt Backlog'!$N$2:$N$1000,"&lt;&gt;Done",'Debt Backlog'!$N$2:$N$1000,"&lt;&gt;Won't Fix",'Debt Backlog'!$N$2:$N$1000,"&lt;&gt;Duplicate"))</f>
        <v/>
      </c>
      <c r="AI636" s="103" t="str">
        <f aca="false">IF($B636="","",ROUND(SUMIFS('Debt Backlog'!$L$2:$L$1000,'Debt Backlog'!$AF$2:$AF$1000,$A636,'Debt Backlog'!$B$2:$B$1000,"&lt;&gt;",'Debt Backlog'!$N$2:$N$1000,"&lt;&gt;Done",'Debt Backlog'!$N$2:$N$1000,"&lt;&gt;Won't Fix",'Debt Backlog'!$N$2:$N$1000,"&lt;&gt;Duplicate"),2))</f>
        <v/>
      </c>
    </row>
    <row r="637" customFormat="false" ht="15.75" hidden="false" customHeight="true" outlineLevel="0" collapsed="false">
      <c r="A637" s="125"/>
      <c r="B637" s="101"/>
      <c r="C637" s="101"/>
      <c r="D637" s="101"/>
      <c r="E637" s="101"/>
      <c r="F637" s="101"/>
      <c r="G637" s="101"/>
      <c r="H637" s="101"/>
      <c r="I637" s="106"/>
      <c r="J637" s="106"/>
      <c r="K637" s="106"/>
      <c r="L637" s="106"/>
      <c r="M637" s="106"/>
      <c r="N637" s="103" t="str">
        <f aca="false">IF(OR($B637="", $I637="", $J637="", $K637="", $L637="", $M637=""),"",ROUND(($I637*Lists!$AD$2)+($J637*Lists!$AD$3)+($K637*Lists!$AD$4)+($L637*Lists!$AD$5)+($M637*Lists!$AD$6),2))</f>
        <v/>
      </c>
      <c r="O637" s="103" t="str">
        <f aca="false">IF($A637="","",IFERROR(VLOOKUP($A637,'Risk Register'!$B$2:$I$1000,8,FALSE()),""))</f>
        <v/>
      </c>
      <c r="P637" s="106"/>
      <c r="Q637" s="106"/>
      <c r="R637" s="106"/>
      <c r="S637" s="106"/>
      <c r="T637" s="103" t="str">
        <f aca="false">IF(OR($B637="", $P637="", $Q637="", $R637="", $S637=""),"",ROUND(($P637*Lists!$AD$7)+($Q637*Lists!$AD$8)+($R637*Lists!$AD$9)+($S637*Lists!$AD$10),2))</f>
        <v/>
      </c>
      <c r="U637" s="106"/>
      <c r="V637" s="106"/>
      <c r="W637" s="106"/>
      <c r="X637" s="106"/>
      <c r="Y637" s="106"/>
      <c r="Z637" s="103" t="str">
        <f aca="false">IF(OR($B637="", $U637="", $V637="", $W637="", $X637="", $Y637=""),"",ROUND(($U637*Lists!$AD$11)+($V637*Lists!$AD$12)+($W637*Lists!$AD$13)+($X637*Lists!$AD$14)+($Y637*Lists!$AD$15),2))</f>
        <v/>
      </c>
      <c r="AA637" s="103" t="str">
        <f aca="false">IF(OR($B637="", $N637="", $O637="", $T637="", $Z637=""),"",ROUND(($N637*Lists!$AD$16)-($O637*Lists!$AD$17)-($T637*Lists!$AD$18)+($Z637*Lists!$AD$19),2))</f>
        <v/>
      </c>
      <c r="AB637" s="102" t="str">
        <f aca="false">IF(OR($B637="", $N637="", $Z637=""),"",IF($N637&gt;=Lists!$AG$2,IF($Z637&gt;=Lists!$AG$3,"Invest","Migrate"),IF($Z637&gt;=Lists!$AG$3,"Tolerate","Eliminate")))</f>
        <v/>
      </c>
      <c r="AC637" s="102" t="str">
        <f aca="false">IF($B637="","",IF($J637&gt;=4,"Yes",""))</f>
        <v/>
      </c>
      <c r="AD637" s="102" t="str">
        <f aca="false">IF($A637="","",IFERROR(IF(VLOOKUP($A637,'Risk Register'!$B$2:$H$1000,4,FALSE())&gt;=4,"Yes",""),""))</f>
        <v/>
      </c>
      <c r="AE637" s="102" t="str">
        <f aca="false">IF(OR($N637="", $O637=""),"",IF($N637&gt;=Lists!$AG$2,IF($O637&gt;=Lists!$AG$4,"High Value / High Risk","High Value / Low Risk"),IF($O637&gt;=Lists!$AG$4,"Low Value / High Risk","Low Value / Low Risk")))</f>
        <v/>
      </c>
      <c r="AF637" s="101"/>
      <c r="AG637" s="126"/>
      <c r="AH637" s="106" t="str">
        <f aca="false">IF($B637="","",COUNTIFS('Debt Backlog'!$AF$2:$AF$1000,$A637,'Debt Backlog'!$B$2:$B$1000,"&lt;&gt;",'Debt Backlog'!$N$2:$N$1000,"&lt;&gt;Done",'Debt Backlog'!$N$2:$N$1000,"&lt;&gt;Won't Fix",'Debt Backlog'!$N$2:$N$1000,"&lt;&gt;Duplicate"))</f>
        <v/>
      </c>
      <c r="AI637" s="103" t="str">
        <f aca="false">IF($B637="","",ROUND(SUMIFS('Debt Backlog'!$L$2:$L$1000,'Debt Backlog'!$AF$2:$AF$1000,$A637,'Debt Backlog'!$B$2:$B$1000,"&lt;&gt;",'Debt Backlog'!$N$2:$N$1000,"&lt;&gt;Done",'Debt Backlog'!$N$2:$N$1000,"&lt;&gt;Won't Fix",'Debt Backlog'!$N$2:$N$1000,"&lt;&gt;Duplicate"),2))</f>
        <v/>
      </c>
    </row>
    <row r="638" customFormat="false" ht="15.75" hidden="false" customHeight="true" outlineLevel="0" collapsed="false">
      <c r="A638" s="125"/>
      <c r="B638" s="101"/>
      <c r="C638" s="101"/>
      <c r="D638" s="101"/>
      <c r="E638" s="101"/>
      <c r="F638" s="101"/>
      <c r="G638" s="101"/>
      <c r="H638" s="101"/>
      <c r="I638" s="106"/>
      <c r="J638" s="106"/>
      <c r="K638" s="106"/>
      <c r="L638" s="106"/>
      <c r="M638" s="106"/>
      <c r="N638" s="103" t="str">
        <f aca="false">IF(OR($B638="", $I638="", $J638="", $K638="", $L638="", $M638=""),"",ROUND(($I638*Lists!$AD$2)+($J638*Lists!$AD$3)+($K638*Lists!$AD$4)+($L638*Lists!$AD$5)+($M638*Lists!$AD$6),2))</f>
        <v/>
      </c>
      <c r="O638" s="103" t="str">
        <f aca="false">IF($A638="","",IFERROR(VLOOKUP($A638,'Risk Register'!$B$2:$I$1000,8,FALSE()),""))</f>
        <v/>
      </c>
      <c r="P638" s="106"/>
      <c r="Q638" s="106"/>
      <c r="R638" s="106"/>
      <c r="S638" s="106"/>
      <c r="T638" s="103" t="str">
        <f aca="false">IF(OR($B638="", $P638="", $Q638="", $R638="", $S638=""),"",ROUND(($P638*Lists!$AD$7)+($Q638*Lists!$AD$8)+($R638*Lists!$AD$9)+($S638*Lists!$AD$10),2))</f>
        <v/>
      </c>
      <c r="U638" s="106"/>
      <c r="V638" s="106"/>
      <c r="W638" s="106"/>
      <c r="X638" s="106"/>
      <c r="Y638" s="106"/>
      <c r="Z638" s="103" t="str">
        <f aca="false">IF(OR($B638="", $U638="", $V638="", $W638="", $X638="", $Y638=""),"",ROUND(($U638*Lists!$AD$11)+($V638*Lists!$AD$12)+($W638*Lists!$AD$13)+($X638*Lists!$AD$14)+($Y638*Lists!$AD$15),2))</f>
        <v/>
      </c>
      <c r="AA638" s="103" t="str">
        <f aca="false">IF(OR($B638="", $N638="", $O638="", $T638="", $Z638=""),"",ROUND(($N638*Lists!$AD$16)-($O638*Lists!$AD$17)-($T638*Lists!$AD$18)+($Z638*Lists!$AD$19),2))</f>
        <v/>
      </c>
      <c r="AB638" s="102" t="str">
        <f aca="false">IF(OR($B638="", $N638="", $Z638=""),"",IF($N638&gt;=Lists!$AG$2,IF($Z638&gt;=Lists!$AG$3,"Invest","Migrate"),IF($Z638&gt;=Lists!$AG$3,"Tolerate","Eliminate")))</f>
        <v/>
      </c>
      <c r="AC638" s="102" t="str">
        <f aca="false">IF($B638="","",IF($J638&gt;=4,"Yes",""))</f>
        <v/>
      </c>
      <c r="AD638" s="102" t="str">
        <f aca="false">IF($A638="","",IFERROR(IF(VLOOKUP($A638,'Risk Register'!$B$2:$H$1000,4,FALSE())&gt;=4,"Yes",""),""))</f>
        <v/>
      </c>
      <c r="AE638" s="102" t="str">
        <f aca="false">IF(OR($N638="", $O638=""),"",IF($N638&gt;=Lists!$AG$2,IF($O638&gt;=Lists!$AG$4,"High Value / High Risk","High Value / Low Risk"),IF($O638&gt;=Lists!$AG$4,"Low Value / High Risk","Low Value / Low Risk")))</f>
        <v/>
      </c>
      <c r="AF638" s="101"/>
      <c r="AG638" s="126"/>
      <c r="AH638" s="106" t="str">
        <f aca="false">IF($B638="","",COUNTIFS('Debt Backlog'!$AF$2:$AF$1000,$A638,'Debt Backlog'!$B$2:$B$1000,"&lt;&gt;",'Debt Backlog'!$N$2:$N$1000,"&lt;&gt;Done",'Debt Backlog'!$N$2:$N$1000,"&lt;&gt;Won't Fix",'Debt Backlog'!$N$2:$N$1000,"&lt;&gt;Duplicate"))</f>
        <v/>
      </c>
      <c r="AI638" s="103" t="str">
        <f aca="false">IF($B638="","",ROUND(SUMIFS('Debt Backlog'!$L$2:$L$1000,'Debt Backlog'!$AF$2:$AF$1000,$A638,'Debt Backlog'!$B$2:$B$1000,"&lt;&gt;",'Debt Backlog'!$N$2:$N$1000,"&lt;&gt;Done",'Debt Backlog'!$N$2:$N$1000,"&lt;&gt;Won't Fix",'Debt Backlog'!$N$2:$N$1000,"&lt;&gt;Duplicate"),2))</f>
        <v/>
      </c>
    </row>
    <row r="639" customFormat="false" ht="15.75" hidden="false" customHeight="true" outlineLevel="0" collapsed="false">
      <c r="A639" s="125"/>
      <c r="B639" s="101"/>
      <c r="C639" s="101"/>
      <c r="D639" s="101"/>
      <c r="E639" s="101"/>
      <c r="F639" s="101"/>
      <c r="G639" s="101"/>
      <c r="H639" s="101"/>
      <c r="I639" s="106"/>
      <c r="J639" s="106"/>
      <c r="K639" s="106"/>
      <c r="L639" s="106"/>
      <c r="M639" s="106"/>
      <c r="N639" s="103" t="str">
        <f aca="false">IF(OR($B639="", $I639="", $J639="", $K639="", $L639="", $M639=""),"",ROUND(($I639*Lists!$AD$2)+($J639*Lists!$AD$3)+($K639*Lists!$AD$4)+($L639*Lists!$AD$5)+($M639*Lists!$AD$6),2))</f>
        <v/>
      </c>
      <c r="O639" s="103" t="str">
        <f aca="false">IF($A639="","",IFERROR(VLOOKUP($A639,'Risk Register'!$B$2:$I$1000,8,FALSE()),""))</f>
        <v/>
      </c>
      <c r="P639" s="106"/>
      <c r="Q639" s="106"/>
      <c r="R639" s="106"/>
      <c r="S639" s="106"/>
      <c r="T639" s="103" t="str">
        <f aca="false">IF(OR($B639="", $P639="", $Q639="", $R639="", $S639=""),"",ROUND(($P639*Lists!$AD$7)+($Q639*Lists!$AD$8)+($R639*Lists!$AD$9)+($S639*Lists!$AD$10),2))</f>
        <v/>
      </c>
      <c r="U639" s="106"/>
      <c r="V639" s="106"/>
      <c r="W639" s="106"/>
      <c r="X639" s="106"/>
      <c r="Y639" s="106"/>
      <c r="Z639" s="103" t="str">
        <f aca="false">IF(OR($B639="", $U639="", $V639="", $W639="", $X639="", $Y639=""),"",ROUND(($U639*Lists!$AD$11)+($V639*Lists!$AD$12)+($W639*Lists!$AD$13)+($X639*Lists!$AD$14)+($Y639*Lists!$AD$15),2))</f>
        <v/>
      </c>
      <c r="AA639" s="103" t="str">
        <f aca="false">IF(OR($B639="", $N639="", $O639="", $T639="", $Z639=""),"",ROUND(($N639*Lists!$AD$16)-($O639*Lists!$AD$17)-($T639*Lists!$AD$18)+($Z639*Lists!$AD$19),2))</f>
        <v/>
      </c>
      <c r="AB639" s="102" t="str">
        <f aca="false">IF(OR($B639="", $N639="", $Z639=""),"",IF($N639&gt;=Lists!$AG$2,IF($Z639&gt;=Lists!$AG$3,"Invest","Migrate"),IF($Z639&gt;=Lists!$AG$3,"Tolerate","Eliminate")))</f>
        <v/>
      </c>
      <c r="AC639" s="102" t="str">
        <f aca="false">IF($B639="","",IF($J639&gt;=4,"Yes",""))</f>
        <v/>
      </c>
      <c r="AD639" s="102" t="str">
        <f aca="false">IF($A639="","",IFERROR(IF(VLOOKUP($A639,'Risk Register'!$B$2:$H$1000,4,FALSE())&gt;=4,"Yes",""),""))</f>
        <v/>
      </c>
      <c r="AE639" s="102" t="str">
        <f aca="false">IF(OR($N639="", $O639=""),"",IF($N639&gt;=Lists!$AG$2,IF($O639&gt;=Lists!$AG$4,"High Value / High Risk","High Value / Low Risk"),IF($O639&gt;=Lists!$AG$4,"Low Value / High Risk","Low Value / Low Risk")))</f>
        <v/>
      </c>
      <c r="AF639" s="101"/>
      <c r="AG639" s="126"/>
      <c r="AH639" s="106" t="str">
        <f aca="false">IF($B639="","",COUNTIFS('Debt Backlog'!$AF$2:$AF$1000,$A639,'Debt Backlog'!$B$2:$B$1000,"&lt;&gt;",'Debt Backlog'!$N$2:$N$1000,"&lt;&gt;Done",'Debt Backlog'!$N$2:$N$1000,"&lt;&gt;Won't Fix",'Debt Backlog'!$N$2:$N$1000,"&lt;&gt;Duplicate"))</f>
        <v/>
      </c>
      <c r="AI639" s="103" t="str">
        <f aca="false">IF($B639="","",ROUND(SUMIFS('Debt Backlog'!$L$2:$L$1000,'Debt Backlog'!$AF$2:$AF$1000,$A639,'Debt Backlog'!$B$2:$B$1000,"&lt;&gt;",'Debt Backlog'!$N$2:$N$1000,"&lt;&gt;Done",'Debt Backlog'!$N$2:$N$1000,"&lt;&gt;Won't Fix",'Debt Backlog'!$N$2:$N$1000,"&lt;&gt;Duplicate"),2))</f>
        <v/>
      </c>
    </row>
    <row r="640" customFormat="false" ht="15.75" hidden="false" customHeight="true" outlineLevel="0" collapsed="false">
      <c r="A640" s="125"/>
      <c r="B640" s="101"/>
      <c r="C640" s="101"/>
      <c r="D640" s="101"/>
      <c r="E640" s="101"/>
      <c r="F640" s="101"/>
      <c r="G640" s="101"/>
      <c r="H640" s="101"/>
      <c r="I640" s="106"/>
      <c r="J640" s="106"/>
      <c r="K640" s="106"/>
      <c r="L640" s="106"/>
      <c r="M640" s="106"/>
      <c r="N640" s="103" t="str">
        <f aca="false">IF(OR($B640="", $I640="", $J640="", $K640="", $L640="", $M640=""),"",ROUND(($I640*Lists!$AD$2)+($J640*Lists!$AD$3)+($K640*Lists!$AD$4)+($L640*Lists!$AD$5)+($M640*Lists!$AD$6),2))</f>
        <v/>
      </c>
      <c r="O640" s="103" t="str">
        <f aca="false">IF($A640="","",IFERROR(VLOOKUP($A640,'Risk Register'!$B$2:$I$1000,8,FALSE()),""))</f>
        <v/>
      </c>
      <c r="P640" s="106"/>
      <c r="Q640" s="106"/>
      <c r="R640" s="106"/>
      <c r="S640" s="106"/>
      <c r="T640" s="103" t="str">
        <f aca="false">IF(OR($B640="", $P640="", $Q640="", $R640="", $S640=""),"",ROUND(($P640*Lists!$AD$7)+($Q640*Lists!$AD$8)+($R640*Lists!$AD$9)+($S640*Lists!$AD$10),2))</f>
        <v/>
      </c>
      <c r="U640" s="106"/>
      <c r="V640" s="106"/>
      <c r="W640" s="106"/>
      <c r="X640" s="106"/>
      <c r="Y640" s="106"/>
      <c r="Z640" s="103" t="str">
        <f aca="false">IF(OR($B640="", $U640="", $V640="", $W640="", $X640="", $Y640=""),"",ROUND(($U640*Lists!$AD$11)+($V640*Lists!$AD$12)+($W640*Lists!$AD$13)+($X640*Lists!$AD$14)+($Y640*Lists!$AD$15),2))</f>
        <v/>
      </c>
      <c r="AA640" s="103" t="str">
        <f aca="false">IF(OR($B640="", $N640="", $O640="", $T640="", $Z640=""),"",ROUND(($N640*Lists!$AD$16)-($O640*Lists!$AD$17)-($T640*Lists!$AD$18)+($Z640*Lists!$AD$19),2))</f>
        <v/>
      </c>
      <c r="AB640" s="102" t="str">
        <f aca="false">IF(OR($B640="", $N640="", $Z640=""),"",IF($N640&gt;=Lists!$AG$2,IF($Z640&gt;=Lists!$AG$3,"Invest","Migrate"),IF($Z640&gt;=Lists!$AG$3,"Tolerate","Eliminate")))</f>
        <v/>
      </c>
      <c r="AC640" s="102" t="str">
        <f aca="false">IF($B640="","",IF($J640&gt;=4,"Yes",""))</f>
        <v/>
      </c>
      <c r="AD640" s="102" t="str">
        <f aca="false">IF($A640="","",IFERROR(IF(VLOOKUP($A640,'Risk Register'!$B$2:$H$1000,4,FALSE())&gt;=4,"Yes",""),""))</f>
        <v/>
      </c>
      <c r="AE640" s="102" t="str">
        <f aca="false">IF(OR($N640="", $O640=""),"",IF($N640&gt;=Lists!$AG$2,IF($O640&gt;=Lists!$AG$4,"High Value / High Risk","High Value / Low Risk"),IF($O640&gt;=Lists!$AG$4,"Low Value / High Risk","Low Value / Low Risk")))</f>
        <v/>
      </c>
      <c r="AF640" s="101"/>
      <c r="AG640" s="126"/>
      <c r="AH640" s="106" t="str">
        <f aca="false">IF($B640="","",COUNTIFS('Debt Backlog'!$AF$2:$AF$1000,$A640,'Debt Backlog'!$B$2:$B$1000,"&lt;&gt;",'Debt Backlog'!$N$2:$N$1000,"&lt;&gt;Done",'Debt Backlog'!$N$2:$N$1000,"&lt;&gt;Won't Fix",'Debt Backlog'!$N$2:$N$1000,"&lt;&gt;Duplicate"))</f>
        <v/>
      </c>
      <c r="AI640" s="103" t="str">
        <f aca="false">IF($B640="","",ROUND(SUMIFS('Debt Backlog'!$L$2:$L$1000,'Debt Backlog'!$AF$2:$AF$1000,$A640,'Debt Backlog'!$B$2:$B$1000,"&lt;&gt;",'Debt Backlog'!$N$2:$N$1000,"&lt;&gt;Done",'Debt Backlog'!$N$2:$N$1000,"&lt;&gt;Won't Fix",'Debt Backlog'!$N$2:$N$1000,"&lt;&gt;Duplicate"),2))</f>
        <v/>
      </c>
    </row>
    <row r="641" customFormat="false" ht="15.75" hidden="false" customHeight="true" outlineLevel="0" collapsed="false">
      <c r="A641" s="125"/>
      <c r="B641" s="101"/>
      <c r="C641" s="101"/>
      <c r="D641" s="101"/>
      <c r="E641" s="101"/>
      <c r="F641" s="101"/>
      <c r="G641" s="101"/>
      <c r="H641" s="101"/>
      <c r="I641" s="106"/>
      <c r="J641" s="106"/>
      <c r="K641" s="106"/>
      <c r="L641" s="106"/>
      <c r="M641" s="106"/>
      <c r="N641" s="103" t="str">
        <f aca="false">IF(OR($B641="", $I641="", $J641="", $K641="", $L641="", $M641=""),"",ROUND(($I641*Lists!$AD$2)+($J641*Lists!$AD$3)+($K641*Lists!$AD$4)+($L641*Lists!$AD$5)+($M641*Lists!$AD$6),2))</f>
        <v/>
      </c>
      <c r="O641" s="103" t="str">
        <f aca="false">IF($A641="","",IFERROR(VLOOKUP($A641,'Risk Register'!$B$2:$I$1000,8,FALSE()),""))</f>
        <v/>
      </c>
      <c r="P641" s="106"/>
      <c r="Q641" s="106"/>
      <c r="R641" s="106"/>
      <c r="S641" s="106"/>
      <c r="T641" s="103" t="str">
        <f aca="false">IF(OR($B641="", $P641="", $Q641="", $R641="", $S641=""),"",ROUND(($P641*Lists!$AD$7)+($Q641*Lists!$AD$8)+($R641*Lists!$AD$9)+($S641*Lists!$AD$10),2))</f>
        <v/>
      </c>
      <c r="U641" s="106"/>
      <c r="V641" s="106"/>
      <c r="W641" s="106"/>
      <c r="X641" s="106"/>
      <c r="Y641" s="106"/>
      <c r="Z641" s="103" t="str">
        <f aca="false">IF(OR($B641="", $U641="", $V641="", $W641="", $X641="", $Y641=""),"",ROUND(($U641*Lists!$AD$11)+($V641*Lists!$AD$12)+($W641*Lists!$AD$13)+($X641*Lists!$AD$14)+($Y641*Lists!$AD$15),2))</f>
        <v/>
      </c>
      <c r="AA641" s="103" t="str">
        <f aca="false">IF(OR($B641="", $N641="", $O641="", $T641="", $Z641=""),"",ROUND(($N641*Lists!$AD$16)-($O641*Lists!$AD$17)-($T641*Lists!$AD$18)+($Z641*Lists!$AD$19),2))</f>
        <v/>
      </c>
      <c r="AB641" s="102" t="str">
        <f aca="false">IF(OR($B641="", $N641="", $Z641=""),"",IF($N641&gt;=Lists!$AG$2,IF($Z641&gt;=Lists!$AG$3,"Invest","Migrate"),IF($Z641&gt;=Lists!$AG$3,"Tolerate","Eliminate")))</f>
        <v/>
      </c>
      <c r="AC641" s="102" t="str">
        <f aca="false">IF($B641="","",IF($J641&gt;=4,"Yes",""))</f>
        <v/>
      </c>
      <c r="AD641" s="102" t="str">
        <f aca="false">IF($A641="","",IFERROR(IF(VLOOKUP($A641,'Risk Register'!$B$2:$H$1000,4,FALSE())&gt;=4,"Yes",""),""))</f>
        <v/>
      </c>
      <c r="AE641" s="102" t="str">
        <f aca="false">IF(OR($N641="", $O641=""),"",IF($N641&gt;=Lists!$AG$2,IF($O641&gt;=Lists!$AG$4,"High Value / High Risk","High Value / Low Risk"),IF($O641&gt;=Lists!$AG$4,"Low Value / High Risk","Low Value / Low Risk")))</f>
        <v/>
      </c>
      <c r="AF641" s="101"/>
      <c r="AG641" s="126"/>
      <c r="AH641" s="106" t="str">
        <f aca="false">IF($B641="","",COUNTIFS('Debt Backlog'!$AF$2:$AF$1000,$A641,'Debt Backlog'!$B$2:$B$1000,"&lt;&gt;",'Debt Backlog'!$N$2:$N$1000,"&lt;&gt;Done",'Debt Backlog'!$N$2:$N$1000,"&lt;&gt;Won't Fix",'Debt Backlog'!$N$2:$N$1000,"&lt;&gt;Duplicate"))</f>
        <v/>
      </c>
      <c r="AI641" s="103" t="str">
        <f aca="false">IF($B641="","",ROUND(SUMIFS('Debt Backlog'!$L$2:$L$1000,'Debt Backlog'!$AF$2:$AF$1000,$A641,'Debt Backlog'!$B$2:$B$1000,"&lt;&gt;",'Debt Backlog'!$N$2:$N$1000,"&lt;&gt;Done",'Debt Backlog'!$N$2:$N$1000,"&lt;&gt;Won't Fix",'Debt Backlog'!$N$2:$N$1000,"&lt;&gt;Duplicate"),2))</f>
        <v/>
      </c>
    </row>
    <row r="642" customFormat="false" ht="15.75" hidden="false" customHeight="true" outlineLevel="0" collapsed="false">
      <c r="A642" s="125"/>
      <c r="B642" s="101"/>
      <c r="C642" s="101"/>
      <c r="D642" s="101"/>
      <c r="E642" s="101"/>
      <c r="F642" s="101"/>
      <c r="G642" s="101"/>
      <c r="H642" s="101"/>
      <c r="I642" s="106"/>
      <c r="J642" s="106"/>
      <c r="K642" s="106"/>
      <c r="L642" s="106"/>
      <c r="M642" s="106"/>
      <c r="N642" s="103" t="str">
        <f aca="false">IF(OR($B642="", $I642="", $J642="", $K642="", $L642="", $M642=""),"",ROUND(($I642*Lists!$AD$2)+($J642*Lists!$AD$3)+($K642*Lists!$AD$4)+($L642*Lists!$AD$5)+($M642*Lists!$AD$6),2))</f>
        <v/>
      </c>
      <c r="O642" s="103" t="str">
        <f aca="false">IF($A642="","",IFERROR(VLOOKUP($A642,'Risk Register'!$B$2:$I$1000,8,FALSE()),""))</f>
        <v/>
      </c>
      <c r="P642" s="106"/>
      <c r="Q642" s="106"/>
      <c r="R642" s="106"/>
      <c r="S642" s="106"/>
      <c r="T642" s="103" t="str">
        <f aca="false">IF(OR($B642="", $P642="", $Q642="", $R642="", $S642=""),"",ROUND(($P642*Lists!$AD$7)+($Q642*Lists!$AD$8)+($R642*Lists!$AD$9)+($S642*Lists!$AD$10),2))</f>
        <v/>
      </c>
      <c r="U642" s="106"/>
      <c r="V642" s="106"/>
      <c r="W642" s="106"/>
      <c r="X642" s="106"/>
      <c r="Y642" s="106"/>
      <c r="Z642" s="103" t="str">
        <f aca="false">IF(OR($B642="", $U642="", $V642="", $W642="", $X642="", $Y642=""),"",ROUND(($U642*Lists!$AD$11)+($V642*Lists!$AD$12)+($W642*Lists!$AD$13)+($X642*Lists!$AD$14)+($Y642*Lists!$AD$15),2))</f>
        <v/>
      </c>
      <c r="AA642" s="103" t="str">
        <f aca="false">IF(OR($B642="", $N642="", $O642="", $T642="", $Z642=""),"",ROUND(($N642*Lists!$AD$16)-($O642*Lists!$AD$17)-($T642*Lists!$AD$18)+($Z642*Lists!$AD$19),2))</f>
        <v/>
      </c>
      <c r="AB642" s="102" t="str">
        <f aca="false">IF(OR($B642="", $N642="", $Z642=""),"",IF($N642&gt;=Lists!$AG$2,IF($Z642&gt;=Lists!$AG$3,"Invest","Migrate"),IF($Z642&gt;=Lists!$AG$3,"Tolerate","Eliminate")))</f>
        <v/>
      </c>
      <c r="AC642" s="102" t="str">
        <f aca="false">IF($B642="","",IF($J642&gt;=4,"Yes",""))</f>
        <v/>
      </c>
      <c r="AD642" s="102" t="str">
        <f aca="false">IF($A642="","",IFERROR(IF(VLOOKUP($A642,'Risk Register'!$B$2:$H$1000,4,FALSE())&gt;=4,"Yes",""),""))</f>
        <v/>
      </c>
      <c r="AE642" s="102" t="str">
        <f aca="false">IF(OR($N642="", $O642=""),"",IF($N642&gt;=Lists!$AG$2,IF($O642&gt;=Lists!$AG$4,"High Value / High Risk","High Value / Low Risk"),IF($O642&gt;=Lists!$AG$4,"Low Value / High Risk","Low Value / Low Risk")))</f>
        <v/>
      </c>
      <c r="AF642" s="101"/>
      <c r="AG642" s="126"/>
      <c r="AH642" s="106" t="str">
        <f aca="false">IF($B642="","",COUNTIFS('Debt Backlog'!$AF$2:$AF$1000,$A642,'Debt Backlog'!$B$2:$B$1000,"&lt;&gt;",'Debt Backlog'!$N$2:$N$1000,"&lt;&gt;Done",'Debt Backlog'!$N$2:$N$1000,"&lt;&gt;Won't Fix",'Debt Backlog'!$N$2:$N$1000,"&lt;&gt;Duplicate"))</f>
        <v/>
      </c>
      <c r="AI642" s="103" t="str">
        <f aca="false">IF($B642="","",ROUND(SUMIFS('Debt Backlog'!$L$2:$L$1000,'Debt Backlog'!$AF$2:$AF$1000,$A642,'Debt Backlog'!$B$2:$B$1000,"&lt;&gt;",'Debt Backlog'!$N$2:$N$1000,"&lt;&gt;Done",'Debt Backlog'!$N$2:$N$1000,"&lt;&gt;Won't Fix",'Debt Backlog'!$N$2:$N$1000,"&lt;&gt;Duplicate"),2))</f>
        <v/>
      </c>
    </row>
    <row r="643" customFormat="false" ht="15.75" hidden="false" customHeight="true" outlineLevel="0" collapsed="false">
      <c r="A643" s="125"/>
      <c r="B643" s="101"/>
      <c r="C643" s="101"/>
      <c r="D643" s="101"/>
      <c r="E643" s="101"/>
      <c r="F643" s="101"/>
      <c r="G643" s="101"/>
      <c r="H643" s="101"/>
      <c r="I643" s="106"/>
      <c r="J643" s="106"/>
      <c r="K643" s="106"/>
      <c r="L643" s="106"/>
      <c r="M643" s="106"/>
      <c r="N643" s="103" t="str">
        <f aca="false">IF(OR($B643="", $I643="", $J643="", $K643="", $L643="", $M643=""),"",ROUND(($I643*Lists!$AD$2)+($J643*Lists!$AD$3)+($K643*Lists!$AD$4)+($L643*Lists!$AD$5)+($M643*Lists!$AD$6),2))</f>
        <v/>
      </c>
      <c r="O643" s="103" t="str">
        <f aca="false">IF($A643="","",IFERROR(VLOOKUP($A643,'Risk Register'!$B$2:$I$1000,8,FALSE()),""))</f>
        <v/>
      </c>
      <c r="P643" s="106"/>
      <c r="Q643" s="106"/>
      <c r="R643" s="106"/>
      <c r="S643" s="106"/>
      <c r="T643" s="103" t="str">
        <f aca="false">IF(OR($B643="", $P643="", $Q643="", $R643="", $S643=""),"",ROUND(($P643*Lists!$AD$7)+($Q643*Lists!$AD$8)+($R643*Lists!$AD$9)+($S643*Lists!$AD$10),2))</f>
        <v/>
      </c>
      <c r="U643" s="106"/>
      <c r="V643" s="106"/>
      <c r="W643" s="106"/>
      <c r="X643" s="106"/>
      <c r="Y643" s="106"/>
      <c r="Z643" s="103" t="str">
        <f aca="false">IF(OR($B643="", $U643="", $V643="", $W643="", $X643="", $Y643=""),"",ROUND(($U643*Lists!$AD$11)+($V643*Lists!$AD$12)+($W643*Lists!$AD$13)+($X643*Lists!$AD$14)+($Y643*Lists!$AD$15),2))</f>
        <v/>
      </c>
      <c r="AA643" s="103" t="str">
        <f aca="false">IF(OR($B643="", $N643="", $O643="", $T643="", $Z643=""),"",ROUND(($N643*Lists!$AD$16)-($O643*Lists!$AD$17)-($T643*Lists!$AD$18)+($Z643*Lists!$AD$19),2))</f>
        <v/>
      </c>
      <c r="AB643" s="102" t="str">
        <f aca="false">IF(OR($B643="", $N643="", $Z643=""),"",IF($N643&gt;=Lists!$AG$2,IF($Z643&gt;=Lists!$AG$3,"Invest","Migrate"),IF($Z643&gt;=Lists!$AG$3,"Tolerate","Eliminate")))</f>
        <v/>
      </c>
      <c r="AC643" s="102" t="str">
        <f aca="false">IF($B643="","",IF($J643&gt;=4,"Yes",""))</f>
        <v/>
      </c>
      <c r="AD643" s="102" t="str">
        <f aca="false">IF($A643="","",IFERROR(IF(VLOOKUP($A643,'Risk Register'!$B$2:$H$1000,4,FALSE())&gt;=4,"Yes",""),""))</f>
        <v/>
      </c>
      <c r="AE643" s="102" t="str">
        <f aca="false">IF(OR($N643="", $O643=""),"",IF($N643&gt;=Lists!$AG$2,IF($O643&gt;=Lists!$AG$4,"High Value / High Risk","High Value / Low Risk"),IF($O643&gt;=Lists!$AG$4,"Low Value / High Risk","Low Value / Low Risk")))</f>
        <v/>
      </c>
      <c r="AF643" s="101"/>
      <c r="AG643" s="126"/>
      <c r="AH643" s="106" t="str">
        <f aca="false">IF($B643="","",COUNTIFS('Debt Backlog'!$AF$2:$AF$1000,$A643,'Debt Backlog'!$B$2:$B$1000,"&lt;&gt;",'Debt Backlog'!$N$2:$N$1000,"&lt;&gt;Done",'Debt Backlog'!$N$2:$N$1000,"&lt;&gt;Won't Fix",'Debt Backlog'!$N$2:$N$1000,"&lt;&gt;Duplicate"))</f>
        <v/>
      </c>
      <c r="AI643" s="103" t="str">
        <f aca="false">IF($B643="","",ROUND(SUMIFS('Debt Backlog'!$L$2:$L$1000,'Debt Backlog'!$AF$2:$AF$1000,$A643,'Debt Backlog'!$B$2:$B$1000,"&lt;&gt;",'Debt Backlog'!$N$2:$N$1000,"&lt;&gt;Done",'Debt Backlog'!$N$2:$N$1000,"&lt;&gt;Won't Fix",'Debt Backlog'!$N$2:$N$1000,"&lt;&gt;Duplicate"),2))</f>
        <v/>
      </c>
    </row>
    <row r="644" customFormat="false" ht="15.75" hidden="false" customHeight="true" outlineLevel="0" collapsed="false">
      <c r="A644" s="125"/>
      <c r="B644" s="101"/>
      <c r="C644" s="101"/>
      <c r="D644" s="101"/>
      <c r="E644" s="101"/>
      <c r="F644" s="101"/>
      <c r="G644" s="101"/>
      <c r="H644" s="101"/>
      <c r="I644" s="106"/>
      <c r="J644" s="106"/>
      <c r="K644" s="106"/>
      <c r="L644" s="106"/>
      <c r="M644" s="106"/>
      <c r="N644" s="103" t="str">
        <f aca="false">IF(OR($B644="", $I644="", $J644="", $K644="", $L644="", $M644=""),"",ROUND(($I644*Lists!$AD$2)+($J644*Lists!$AD$3)+($K644*Lists!$AD$4)+($L644*Lists!$AD$5)+($M644*Lists!$AD$6),2))</f>
        <v/>
      </c>
      <c r="O644" s="103" t="str">
        <f aca="false">IF($A644="","",IFERROR(VLOOKUP($A644,'Risk Register'!$B$2:$I$1000,8,FALSE()),""))</f>
        <v/>
      </c>
      <c r="P644" s="106"/>
      <c r="Q644" s="106"/>
      <c r="R644" s="106"/>
      <c r="S644" s="106"/>
      <c r="T644" s="103" t="str">
        <f aca="false">IF(OR($B644="", $P644="", $Q644="", $R644="", $S644=""),"",ROUND(($P644*Lists!$AD$7)+($Q644*Lists!$AD$8)+($R644*Lists!$AD$9)+($S644*Lists!$AD$10),2))</f>
        <v/>
      </c>
      <c r="U644" s="106"/>
      <c r="V644" s="106"/>
      <c r="W644" s="106"/>
      <c r="X644" s="106"/>
      <c r="Y644" s="106"/>
      <c r="Z644" s="103" t="str">
        <f aca="false">IF(OR($B644="", $U644="", $V644="", $W644="", $X644="", $Y644=""),"",ROUND(($U644*Lists!$AD$11)+($V644*Lists!$AD$12)+($W644*Lists!$AD$13)+($X644*Lists!$AD$14)+($Y644*Lists!$AD$15),2))</f>
        <v/>
      </c>
      <c r="AA644" s="103" t="str">
        <f aca="false">IF(OR($B644="", $N644="", $O644="", $T644="", $Z644=""),"",ROUND(($N644*Lists!$AD$16)-($O644*Lists!$AD$17)-($T644*Lists!$AD$18)+($Z644*Lists!$AD$19),2))</f>
        <v/>
      </c>
      <c r="AB644" s="102" t="str">
        <f aca="false">IF(OR($B644="", $N644="", $Z644=""),"",IF($N644&gt;=Lists!$AG$2,IF($Z644&gt;=Lists!$AG$3,"Invest","Migrate"),IF($Z644&gt;=Lists!$AG$3,"Tolerate","Eliminate")))</f>
        <v/>
      </c>
      <c r="AC644" s="102" t="str">
        <f aca="false">IF($B644="","",IF($J644&gt;=4,"Yes",""))</f>
        <v/>
      </c>
      <c r="AD644" s="102" t="str">
        <f aca="false">IF($A644="","",IFERROR(IF(VLOOKUP($A644,'Risk Register'!$B$2:$H$1000,4,FALSE())&gt;=4,"Yes",""),""))</f>
        <v/>
      </c>
      <c r="AE644" s="102" t="str">
        <f aca="false">IF(OR($N644="", $O644=""),"",IF($N644&gt;=Lists!$AG$2,IF($O644&gt;=Lists!$AG$4,"High Value / High Risk","High Value / Low Risk"),IF($O644&gt;=Lists!$AG$4,"Low Value / High Risk","Low Value / Low Risk")))</f>
        <v/>
      </c>
      <c r="AF644" s="101"/>
      <c r="AG644" s="126"/>
      <c r="AH644" s="106" t="str">
        <f aca="false">IF($B644="","",COUNTIFS('Debt Backlog'!$AF$2:$AF$1000,$A644,'Debt Backlog'!$B$2:$B$1000,"&lt;&gt;",'Debt Backlog'!$N$2:$N$1000,"&lt;&gt;Done",'Debt Backlog'!$N$2:$N$1000,"&lt;&gt;Won't Fix",'Debt Backlog'!$N$2:$N$1000,"&lt;&gt;Duplicate"))</f>
        <v/>
      </c>
      <c r="AI644" s="103" t="str">
        <f aca="false">IF($B644="","",ROUND(SUMIFS('Debt Backlog'!$L$2:$L$1000,'Debt Backlog'!$AF$2:$AF$1000,$A644,'Debt Backlog'!$B$2:$B$1000,"&lt;&gt;",'Debt Backlog'!$N$2:$N$1000,"&lt;&gt;Done",'Debt Backlog'!$N$2:$N$1000,"&lt;&gt;Won't Fix",'Debt Backlog'!$N$2:$N$1000,"&lt;&gt;Duplicate"),2))</f>
        <v/>
      </c>
    </row>
    <row r="645" customFormat="false" ht="15.75" hidden="false" customHeight="true" outlineLevel="0" collapsed="false">
      <c r="A645" s="125"/>
      <c r="B645" s="101"/>
      <c r="C645" s="101"/>
      <c r="D645" s="101"/>
      <c r="E645" s="101"/>
      <c r="F645" s="101"/>
      <c r="G645" s="101"/>
      <c r="H645" s="101"/>
      <c r="I645" s="106"/>
      <c r="J645" s="106"/>
      <c r="K645" s="106"/>
      <c r="L645" s="106"/>
      <c r="M645" s="106"/>
      <c r="N645" s="103" t="str">
        <f aca="false">IF(OR($B645="", $I645="", $J645="", $K645="", $L645="", $M645=""),"",ROUND(($I645*Lists!$AD$2)+($J645*Lists!$AD$3)+($K645*Lists!$AD$4)+($L645*Lists!$AD$5)+($M645*Lists!$AD$6),2))</f>
        <v/>
      </c>
      <c r="O645" s="103" t="str">
        <f aca="false">IF($A645="","",IFERROR(VLOOKUP($A645,'Risk Register'!$B$2:$I$1000,8,FALSE()),""))</f>
        <v/>
      </c>
      <c r="P645" s="106"/>
      <c r="Q645" s="106"/>
      <c r="R645" s="106"/>
      <c r="S645" s="106"/>
      <c r="T645" s="103" t="str">
        <f aca="false">IF(OR($B645="", $P645="", $Q645="", $R645="", $S645=""),"",ROUND(($P645*Lists!$AD$7)+($Q645*Lists!$AD$8)+($R645*Lists!$AD$9)+($S645*Lists!$AD$10),2))</f>
        <v/>
      </c>
      <c r="U645" s="106"/>
      <c r="V645" s="106"/>
      <c r="W645" s="106"/>
      <c r="X645" s="106"/>
      <c r="Y645" s="106"/>
      <c r="Z645" s="103" t="str">
        <f aca="false">IF(OR($B645="", $U645="", $V645="", $W645="", $X645="", $Y645=""),"",ROUND(($U645*Lists!$AD$11)+($V645*Lists!$AD$12)+($W645*Lists!$AD$13)+($X645*Lists!$AD$14)+($Y645*Lists!$AD$15),2))</f>
        <v/>
      </c>
      <c r="AA645" s="103" t="str">
        <f aca="false">IF(OR($B645="", $N645="", $O645="", $T645="", $Z645=""),"",ROUND(($N645*Lists!$AD$16)-($O645*Lists!$AD$17)-($T645*Lists!$AD$18)+($Z645*Lists!$AD$19),2))</f>
        <v/>
      </c>
      <c r="AB645" s="102" t="str">
        <f aca="false">IF(OR($B645="", $N645="", $Z645=""),"",IF($N645&gt;=Lists!$AG$2,IF($Z645&gt;=Lists!$AG$3,"Invest","Migrate"),IF($Z645&gt;=Lists!$AG$3,"Tolerate","Eliminate")))</f>
        <v/>
      </c>
      <c r="AC645" s="102" t="str">
        <f aca="false">IF($B645="","",IF($J645&gt;=4,"Yes",""))</f>
        <v/>
      </c>
      <c r="AD645" s="102" t="str">
        <f aca="false">IF($A645="","",IFERROR(IF(VLOOKUP($A645,'Risk Register'!$B$2:$H$1000,4,FALSE())&gt;=4,"Yes",""),""))</f>
        <v/>
      </c>
      <c r="AE645" s="102" t="str">
        <f aca="false">IF(OR($N645="", $O645=""),"",IF($N645&gt;=Lists!$AG$2,IF($O645&gt;=Lists!$AG$4,"High Value / High Risk","High Value / Low Risk"),IF($O645&gt;=Lists!$AG$4,"Low Value / High Risk","Low Value / Low Risk")))</f>
        <v/>
      </c>
      <c r="AF645" s="101"/>
      <c r="AG645" s="126"/>
      <c r="AH645" s="106" t="str">
        <f aca="false">IF($B645="","",COUNTIFS('Debt Backlog'!$AF$2:$AF$1000,$A645,'Debt Backlog'!$B$2:$B$1000,"&lt;&gt;",'Debt Backlog'!$N$2:$N$1000,"&lt;&gt;Done",'Debt Backlog'!$N$2:$N$1000,"&lt;&gt;Won't Fix",'Debt Backlog'!$N$2:$N$1000,"&lt;&gt;Duplicate"))</f>
        <v/>
      </c>
      <c r="AI645" s="103" t="str">
        <f aca="false">IF($B645="","",ROUND(SUMIFS('Debt Backlog'!$L$2:$L$1000,'Debt Backlog'!$AF$2:$AF$1000,$A645,'Debt Backlog'!$B$2:$B$1000,"&lt;&gt;",'Debt Backlog'!$N$2:$N$1000,"&lt;&gt;Done",'Debt Backlog'!$N$2:$N$1000,"&lt;&gt;Won't Fix",'Debt Backlog'!$N$2:$N$1000,"&lt;&gt;Duplicate"),2))</f>
        <v/>
      </c>
    </row>
    <row r="646" customFormat="false" ht="15.75" hidden="false" customHeight="true" outlineLevel="0" collapsed="false">
      <c r="A646" s="125"/>
      <c r="B646" s="101"/>
      <c r="C646" s="101"/>
      <c r="D646" s="101"/>
      <c r="E646" s="101"/>
      <c r="F646" s="101"/>
      <c r="G646" s="101"/>
      <c r="H646" s="101"/>
      <c r="I646" s="106"/>
      <c r="J646" s="106"/>
      <c r="K646" s="106"/>
      <c r="L646" s="106"/>
      <c r="M646" s="106"/>
      <c r="N646" s="103" t="str">
        <f aca="false">IF(OR($B646="", $I646="", $J646="", $K646="", $L646="", $M646=""),"",ROUND(($I646*Lists!$AD$2)+($J646*Lists!$AD$3)+($K646*Lists!$AD$4)+($L646*Lists!$AD$5)+($M646*Lists!$AD$6),2))</f>
        <v/>
      </c>
      <c r="O646" s="103" t="str">
        <f aca="false">IF($A646="","",IFERROR(VLOOKUP($A646,'Risk Register'!$B$2:$I$1000,8,FALSE()),""))</f>
        <v/>
      </c>
      <c r="P646" s="106"/>
      <c r="Q646" s="106"/>
      <c r="R646" s="106"/>
      <c r="S646" s="106"/>
      <c r="T646" s="103" t="str">
        <f aca="false">IF(OR($B646="", $P646="", $Q646="", $R646="", $S646=""),"",ROUND(($P646*Lists!$AD$7)+($Q646*Lists!$AD$8)+($R646*Lists!$AD$9)+($S646*Lists!$AD$10),2))</f>
        <v/>
      </c>
      <c r="U646" s="106"/>
      <c r="V646" s="106"/>
      <c r="W646" s="106"/>
      <c r="X646" s="106"/>
      <c r="Y646" s="106"/>
      <c r="Z646" s="103" t="str">
        <f aca="false">IF(OR($B646="", $U646="", $V646="", $W646="", $X646="", $Y646=""),"",ROUND(($U646*Lists!$AD$11)+($V646*Lists!$AD$12)+($W646*Lists!$AD$13)+($X646*Lists!$AD$14)+($Y646*Lists!$AD$15),2))</f>
        <v/>
      </c>
      <c r="AA646" s="103" t="str">
        <f aca="false">IF(OR($B646="", $N646="", $O646="", $T646="", $Z646=""),"",ROUND(($N646*Lists!$AD$16)-($O646*Lists!$AD$17)-($T646*Lists!$AD$18)+($Z646*Lists!$AD$19),2))</f>
        <v/>
      </c>
      <c r="AB646" s="102" t="str">
        <f aca="false">IF(OR($B646="", $N646="", $Z646=""),"",IF($N646&gt;=Lists!$AG$2,IF($Z646&gt;=Lists!$AG$3,"Invest","Migrate"),IF($Z646&gt;=Lists!$AG$3,"Tolerate","Eliminate")))</f>
        <v/>
      </c>
      <c r="AC646" s="102" t="str">
        <f aca="false">IF($B646="","",IF($J646&gt;=4,"Yes",""))</f>
        <v/>
      </c>
      <c r="AD646" s="102" t="str">
        <f aca="false">IF($A646="","",IFERROR(IF(VLOOKUP($A646,'Risk Register'!$B$2:$H$1000,4,FALSE())&gt;=4,"Yes",""),""))</f>
        <v/>
      </c>
      <c r="AE646" s="102" t="str">
        <f aca="false">IF(OR($N646="", $O646=""),"",IF($N646&gt;=Lists!$AG$2,IF($O646&gt;=Lists!$AG$4,"High Value / High Risk","High Value / Low Risk"),IF($O646&gt;=Lists!$AG$4,"Low Value / High Risk","Low Value / Low Risk")))</f>
        <v/>
      </c>
      <c r="AF646" s="101"/>
      <c r="AG646" s="126"/>
      <c r="AH646" s="106" t="str">
        <f aca="false">IF($B646="","",COUNTIFS('Debt Backlog'!$AF$2:$AF$1000,$A646,'Debt Backlog'!$B$2:$B$1000,"&lt;&gt;",'Debt Backlog'!$N$2:$N$1000,"&lt;&gt;Done",'Debt Backlog'!$N$2:$N$1000,"&lt;&gt;Won't Fix",'Debt Backlog'!$N$2:$N$1000,"&lt;&gt;Duplicate"))</f>
        <v/>
      </c>
      <c r="AI646" s="103" t="str">
        <f aca="false">IF($B646="","",ROUND(SUMIFS('Debt Backlog'!$L$2:$L$1000,'Debt Backlog'!$AF$2:$AF$1000,$A646,'Debt Backlog'!$B$2:$B$1000,"&lt;&gt;",'Debt Backlog'!$N$2:$N$1000,"&lt;&gt;Done",'Debt Backlog'!$N$2:$N$1000,"&lt;&gt;Won't Fix",'Debt Backlog'!$N$2:$N$1000,"&lt;&gt;Duplicate"),2))</f>
        <v/>
      </c>
    </row>
    <row r="647" customFormat="false" ht="15.75" hidden="false" customHeight="true" outlineLevel="0" collapsed="false">
      <c r="A647" s="125"/>
      <c r="B647" s="101"/>
      <c r="C647" s="101"/>
      <c r="D647" s="101"/>
      <c r="E647" s="101"/>
      <c r="F647" s="101"/>
      <c r="G647" s="101"/>
      <c r="H647" s="101"/>
      <c r="I647" s="106"/>
      <c r="J647" s="106"/>
      <c r="K647" s="106"/>
      <c r="L647" s="106"/>
      <c r="M647" s="106"/>
      <c r="N647" s="103" t="str">
        <f aca="false">IF(OR($B647="", $I647="", $J647="", $K647="", $L647="", $M647=""),"",ROUND(($I647*Lists!$AD$2)+($J647*Lists!$AD$3)+($K647*Lists!$AD$4)+($L647*Lists!$AD$5)+($M647*Lists!$AD$6),2))</f>
        <v/>
      </c>
      <c r="O647" s="103" t="str">
        <f aca="false">IF($A647="","",IFERROR(VLOOKUP($A647,'Risk Register'!$B$2:$I$1000,8,FALSE()),""))</f>
        <v/>
      </c>
      <c r="P647" s="106"/>
      <c r="Q647" s="106"/>
      <c r="R647" s="106"/>
      <c r="S647" s="106"/>
      <c r="T647" s="103" t="str">
        <f aca="false">IF(OR($B647="", $P647="", $Q647="", $R647="", $S647=""),"",ROUND(($P647*Lists!$AD$7)+($Q647*Lists!$AD$8)+($R647*Lists!$AD$9)+($S647*Lists!$AD$10),2))</f>
        <v/>
      </c>
      <c r="U647" s="106"/>
      <c r="V647" s="106"/>
      <c r="W647" s="106"/>
      <c r="X647" s="106"/>
      <c r="Y647" s="106"/>
      <c r="Z647" s="103" t="str">
        <f aca="false">IF(OR($B647="", $U647="", $V647="", $W647="", $X647="", $Y647=""),"",ROUND(($U647*Lists!$AD$11)+($V647*Lists!$AD$12)+($W647*Lists!$AD$13)+($X647*Lists!$AD$14)+($Y647*Lists!$AD$15),2))</f>
        <v/>
      </c>
      <c r="AA647" s="103" t="str">
        <f aca="false">IF(OR($B647="", $N647="", $O647="", $T647="", $Z647=""),"",ROUND(($N647*Lists!$AD$16)-($O647*Lists!$AD$17)-($T647*Lists!$AD$18)+($Z647*Lists!$AD$19),2))</f>
        <v/>
      </c>
      <c r="AB647" s="102" t="str">
        <f aca="false">IF(OR($B647="", $N647="", $Z647=""),"",IF($N647&gt;=Lists!$AG$2,IF($Z647&gt;=Lists!$AG$3,"Invest","Migrate"),IF($Z647&gt;=Lists!$AG$3,"Tolerate","Eliminate")))</f>
        <v/>
      </c>
      <c r="AC647" s="102" t="str">
        <f aca="false">IF($B647="","",IF($J647&gt;=4,"Yes",""))</f>
        <v/>
      </c>
      <c r="AD647" s="102" t="str">
        <f aca="false">IF($A647="","",IFERROR(IF(VLOOKUP($A647,'Risk Register'!$B$2:$H$1000,4,FALSE())&gt;=4,"Yes",""),""))</f>
        <v/>
      </c>
      <c r="AE647" s="102" t="str">
        <f aca="false">IF(OR($N647="", $O647=""),"",IF($N647&gt;=Lists!$AG$2,IF($O647&gt;=Lists!$AG$4,"High Value / High Risk","High Value / Low Risk"),IF($O647&gt;=Lists!$AG$4,"Low Value / High Risk","Low Value / Low Risk")))</f>
        <v/>
      </c>
      <c r="AF647" s="101"/>
      <c r="AG647" s="126"/>
      <c r="AH647" s="106" t="str">
        <f aca="false">IF($B647="","",COUNTIFS('Debt Backlog'!$AF$2:$AF$1000,$A647,'Debt Backlog'!$B$2:$B$1000,"&lt;&gt;",'Debt Backlog'!$N$2:$N$1000,"&lt;&gt;Done",'Debt Backlog'!$N$2:$N$1000,"&lt;&gt;Won't Fix",'Debt Backlog'!$N$2:$N$1000,"&lt;&gt;Duplicate"))</f>
        <v/>
      </c>
      <c r="AI647" s="103" t="str">
        <f aca="false">IF($B647="","",ROUND(SUMIFS('Debt Backlog'!$L$2:$L$1000,'Debt Backlog'!$AF$2:$AF$1000,$A647,'Debt Backlog'!$B$2:$B$1000,"&lt;&gt;",'Debt Backlog'!$N$2:$N$1000,"&lt;&gt;Done",'Debt Backlog'!$N$2:$N$1000,"&lt;&gt;Won't Fix",'Debt Backlog'!$N$2:$N$1000,"&lt;&gt;Duplicate"),2))</f>
        <v/>
      </c>
    </row>
    <row r="648" customFormat="false" ht="15.75" hidden="false" customHeight="true" outlineLevel="0" collapsed="false">
      <c r="A648" s="125"/>
      <c r="B648" s="101"/>
      <c r="C648" s="101"/>
      <c r="D648" s="101"/>
      <c r="E648" s="101"/>
      <c r="F648" s="101"/>
      <c r="G648" s="101"/>
      <c r="H648" s="101"/>
      <c r="I648" s="106"/>
      <c r="J648" s="106"/>
      <c r="K648" s="106"/>
      <c r="L648" s="106"/>
      <c r="M648" s="106"/>
      <c r="N648" s="103" t="str">
        <f aca="false">IF(OR($B648="", $I648="", $J648="", $K648="", $L648="", $M648=""),"",ROUND(($I648*Lists!$AD$2)+($J648*Lists!$AD$3)+($K648*Lists!$AD$4)+($L648*Lists!$AD$5)+($M648*Lists!$AD$6),2))</f>
        <v/>
      </c>
      <c r="O648" s="103" t="str">
        <f aca="false">IF($A648="","",IFERROR(VLOOKUP($A648,'Risk Register'!$B$2:$I$1000,8,FALSE()),""))</f>
        <v/>
      </c>
      <c r="P648" s="106"/>
      <c r="Q648" s="106"/>
      <c r="R648" s="106"/>
      <c r="S648" s="106"/>
      <c r="T648" s="103" t="str">
        <f aca="false">IF(OR($B648="", $P648="", $Q648="", $R648="", $S648=""),"",ROUND(($P648*Lists!$AD$7)+($Q648*Lists!$AD$8)+($R648*Lists!$AD$9)+($S648*Lists!$AD$10),2))</f>
        <v/>
      </c>
      <c r="U648" s="106"/>
      <c r="V648" s="106"/>
      <c r="W648" s="106"/>
      <c r="X648" s="106"/>
      <c r="Y648" s="106"/>
      <c r="Z648" s="103" t="str">
        <f aca="false">IF(OR($B648="", $U648="", $V648="", $W648="", $X648="", $Y648=""),"",ROUND(($U648*Lists!$AD$11)+($V648*Lists!$AD$12)+($W648*Lists!$AD$13)+($X648*Lists!$AD$14)+($Y648*Lists!$AD$15),2))</f>
        <v/>
      </c>
      <c r="AA648" s="103" t="str">
        <f aca="false">IF(OR($B648="", $N648="", $O648="", $T648="", $Z648=""),"",ROUND(($N648*Lists!$AD$16)-($O648*Lists!$AD$17)-($T648*Lists!$AD$18)+($Z648*Lists!$AD$19),2))</f>
        <v/>
      </c>
      <c r="AB648" s="102" t="str">
        <f aca="false">IF(OR($B648="", $N648="", $Z648=""),"",IF($N648&gt;=Lists!$AG$2,IF($Z648&gt;=Lists!$AG$3,"Invest","Migrate"),IF($Z648&gt;=Lists!$AG$3,"Tolerate","Eliminate")))</f>
        <v/>
      </c>
      <c r="AC648" s="102" t="str">
        <f aca="false">IF($B648="","",IF($J648&gt;=4,"Yes",""))</f>
        <v/>
      </c>
      <c r="AD648" s="102" t="str">
        <f aca="false">IF($A648="","",IFERROR(IF(VLOOKUP($A648,'Risk Register'!$B$2:$H$1000,4,FALSE())&gt;=4,"Yes",""),""))</f>
        <v/>
      </c>
      <c r="AE648" s="102" t="str">
        <f aca="false">IF(OR($N648="", $O648=""),"",IF($N648&gt;=Lists!$AG$2,IF($O648&gt;=Lists!$AG$4,"High Value / High Risk","High Value / Low Risk"),IF($O648&gt;=Lists!$AG$4,"Low Value / High Risk","Low Value / Low Risk")))</f>
        <v/>
      </c>
      <c r="AF648" s="101"/>
      <c r="AG648" s="126"/>
      <c r="AH648" s="106" t="str">
        <f aca="false">IF($B648="","",COUNTIFS('Debt Backlog'!$AF$2:$AF$1000,$A648,'Debt Backlog'!$B$2:$B$1000,"&lt;&gt;",'Debt Backlog'!$N$2:$N$1000,"&lt;&gt;Done",'Debt Backlog'!$N$2:$N$1000,"&lt;&gt;Won't Fix",'Debt Backlog'!$N$2:$N$1000,"&lt;&gt;Duplicate"))</f>
        <v/>
      </c>
      <c r="AI648" s="103" t="str">
        <f aca="false">IF($B648="","",ROUND(SUMIFS('Debt Backlog'!$L$2:$L$1000,'Debt Backlog'!$AF$2:$AF$1000,$A648,'Debt Backlog'!$B$2:$B$1000,"&lt;&gt;",'Debt Backlog'!$N$2:$N$1000,"&lt;&gt;Done",'Debt Backlog'!$N$2:$N$1000,"&lt;&gt;Won't Fix",'Debt Backlog'!$N$2:$N$1000,"&lt;&gt;Duplicate"),2))</f>
        <v/>
      </c>
    </row>
    <row r="649" customFormat="false" ht="15.75" hidden="false" customHeight="true" outlineLevel="0" collapsed="false">
      <c r="A649" s="125"/>
      <c r="B649" s="101"/>
      <c r="C649" s="101"/>
      <c r="D649" s="101"/>
      <c r="E649" s="101"/>
      <c r="F649" s="101"/>
      <c r="G649" s="101"/>
      <c r="H649" s="101"/>
      <c r="I649" s="106"/>
      <c r="J649" s="106"/>
      <c r="K649" s="106"/>
      <c r="L649" s="106"/>
      <c r="M649" s="106"/>
      <c r="N649" s="103" t="str">
        <f aca="false">IF(OR($B649="", $I649="", $J649="", $K649="", $L649="", $M649=""),"",ROUND(($I649*Lists!$AD$2)+($J649*Lists!$AD$3)+($K649*Lists!$AD$4)+($L649*Lists!$AD$5)+($M649*Lists!$AD$6),2))</f>
        <v/>
      </c>
      <c r="O649" s="103" t="str">
        <f aca="false">IF($A649="","",IFERROR(VLOOKUP($A649,'Risk Register'!$B$2:$I$1000,8,FALSE()),""))</f>
        <v/>
      </c>
      <c r="P649" s="106"/>
      <c r="Q649" s="106"/>
      <c r="R649" s="106"/>
      <c r="S649" s="106"/>
      <c r="T649" s="103" t="str">
        <f aca="false">IF(OR($B649="", $P649="", $Q649="", $R649="", $S649=""),"",ROUND(($P649*Lists!$AD$7)+($Q649*Lists!$AD$8)+($R649*Lists!$AD$9)+($S649*Lists!$AD$10),2))</f>
        <v/>
      </c>
      <c r="U649" s="106"/>
      <c r="V649" s="106"/>
      <c r="W649" s="106"/>
      <c r="X649" s="106"/>
      <c r="Y649" s="106"/>
      <c r="Z649" s="103" t="str">
        <f aca="false">IF(OR($B649="", $U649="", $V649="", $W649="", $X649="", $Y649=""),"",ROUND(($U649*Lists!$AD$11)+($V649*Lists!$AD$12)+($W649*Lists!$AD$13)+($X649*Lists!$AD$14)+($Y649*Lists!$AD$15),2))</f>
        <v/>
      </c>
      <c r="AA649" s="103" t="str">
        <f aca="false">IF(OR($B649="", $N649="", $O649="", $T649="", $Z649=""),"",ROUND(($N649*Lists!$AD$16)-($O649*Lists!$AD$17)-($T649*Lists!$AD$18)+($Z649*Lists!$AD$19),2))</f>
        <v/>
      </c>
      <c r="AB649" s="102" t="str">
        <f aca="false">IF(OR($B649="", $N649="", $Z649=""),"",IF($N649&gt;=Lists!$AG$2,IF($Z649&gt;=Lists!$AG$3,"Invest","Migrate"),IF($Z649&gt;=Lists!$AG$3,"Tolerate","Eliminate")))</f>
        <v/>
      </c>
      <c r="AC649" s="102" t="str">
        <f aca="false">IF($B649="","",IF($J649&gt;=4,"Yes",""))</f>
        <v/>
      </c>
      <c r="AD649" s="102" t="str">
        <f aca="false">IF($A649="","",IFERROR(IF(VLOOKUP($A649,'Risk Register'!$B$2:$H$1000,4,FALSE())&gt;=4,"Yes",""),""))</f>
        <v/>
      </c>
      <c r="AE649" s="102" t="str">
        <f aca="false">IF(OR($N649="", $O649=""),"",IF($N649&gt;=Lists!$AG$2,IF($O649&gt;=Lists!$AG$4,"High Value / High Risk","High Value / Low Risk"),IF($O649&gt;=Lists!$AG$4,"Low Value / High Risk","Low Value / Low Risk")))</f>
        <v/>
      </c>
      <c r="AF649" s="101"/>
      <c r="AG649" s="126"/>
      <c r="AH649" s="106" t="str">
        <f aca="false">IF($B649="","",COUNTIFS('Debt Backlog'!$AF$2:$AF$1000,$A649,'Debt Backlog'!$B$2:$B$1000,"&lt;&gt;",'Debt Backlog'!$N$2:$N$1000,"&lt;&gt;Done",'Debt Backlog'!$N$2:$N$1000,"&lt;&gt;Won't Fix",'Debt Backlog'!$N$2:$N$1000,"&lt;&gt;Duplicate"))</f>
        <v/>
      </c>
      <c r="AI649" s="103" t="str">
        <f aca="false">IF($B649="","",ROUND(SUMIFS('Debt Backlog'!$L$2:$L$1000,'Debt Backlog'!$AF$2:$AF$1000,$A649,'Debt Backlog'!$B$2:$B$1000,"&lt;&gt;",'Debt Backlog'!$N$2:$N$1000,"&lt;&gt;Done",'Debt Backlog'!$N$2:$N$1000,"&lt;&gt;Won't Fix",'Debt Backlog'!$N$2:$N$1000,"&lt;&gt;Duplicate"),2))</f>
        <v/>
      </c>
    </row>
    <row r="650" customFormat="false" ht="15.75" hidden="false" customHeight="true" outlineLevel="0" collapsed="false">
      <c r="A650" s="125"/>
      <c r="B650" s="101"/>
      <c r="C650" s="101"/>
      <c r="D650" s="101"/>
      <c r="E650" s="101"/>
      <c r="F650" s="101"/>
      <c r="G650" s="101"/>
      <c r="H650" s="101"/>
      <c r="I650" s="106"/>
      <c r="J650" s="106"/>
      <c r="K650" s="106"/>
      <c r="L650" s="106"/>
      <c r="M650" s="106"/>
      <c r="N650" s="103" t="str">
        <f aca="false">IF(OR($B650="", $I650="", $J650="", $K650="", $L650="", $M650=""),"",ROUND(($I650*Lists!$AD$2)+($J650*Lists!$AD$3)+($K650*Lists!$AD$4)+($L650*Lists!$AD$5)+($M650*Lists!$AD$6),2))</f>
        <v/>
      </c>
      <c r="O650" s="103" t="str">
        <f aca="false">IF($A650="","",IFERROR(VLOOKUP($A650,'Risk Register'!$B$2:$I$1000,8,FALSE()),""))</f>
        <v/>
      </c>
      <c r="P650" s="106"/>
      <c r="Q650" s="106"/>
      <c r="R650" s="106"/>
      <c r="S650" s="106"/>
      <c r="T650" s="103" t="str">
        <f aca="false">IF(OR($B650="", $P650="", $Q650="", $R650="", $S650=""),"",ROUND(($P650*Lists!$AD$7)+($Q650*Lists!$AD$8)+($R650*Lists!$AD$9)+($S650*Lists!$AD$10),2))</f>
        <v/>
      </c>
      <c r="U650" s="106"/>
      <c r="V650" s="106"/>
      <c r="W650" s="106"/>
      <c r="X650" s="106"/>
      <c r="Y650" s="106"/>
      <c r="Z650" s="103" t="str">
        <f aca="false">IF(OR($B650="", $U650="", $V650="", $W650="", $X650="", $Y650=""),"",ROUND(($U650*Lists!$AD$11)+($V650*Lists!$AD$12)+($W650*Lists!$AD$13)+($X650*Lists!$AD$14)+($Y650*Lists!$AD$15),2))</f>
        <v/>
      </c>
      <c r="AA650" s="103" t="str">
        <f aca="false">IF(OR($B650="", $N650="", $O650="", $T650="", $Z650=""),"",ROUND(($N650*Lists!$AD$16)-($O650*Lists!$AD$17)-($T650*Lists!$AD$18)+($Z650*Lists!$AD$19),2))</f>
        <v/>
      </c>
      <c r="AB650" s="102" t="str">
        <f aca="false">IF(OR($B650="", $N650="", $Z650=""),"",IF($N650&gt;=Lists!$AG$2,IF($Z650&gt;=Lists!$AG$3,"Invest","Migrate"),IF($Z650&gt;=Lists!$AG$3,"Tolerate","Eliminate")))</f>
        <v/>
      </c>
      <c r="AC650" s="102" t="str">
        <f aca="false">IF($B650="","",IF($J650&gt;=4,"Yes",""))</f>
        <v/>
      </c>
      <c r="AD650" s="102" t="str">
        <f aca="false">IF($A650="","",IFERROR(IF(VLOOKUP($A650,'Risk Register'!$B$2:$H$1000,4,FALSE())&gt;=4,"Yes",""),""))</f>
        <v/>
      </c>
      <c r="AE650" s="102" t="str">
        <f aca="false">IF(OR($N650="", $O650=""),"",IF($N650&gt;=Lists!$AG$2,IF($O650&gt;=Lists!$AG$4,"High Value / High Risk","High Value / Low Risk"),IF($O650&gt;=Lists!$AG$4,"Low Value / High Risk","Low Value / Low Risk")))</f>
        <v/>
      </c>
      <c r="AF650" s="101"/>
      <c r="AG650" s="126"/>
      <c r="AH650" s="106" t="str">
        <f aca="false">IF($B650="","",COUNTIFS('Debt Backlog'!$AF$2:$AF$1000,$A650,'Debt Backlog'!$B$2:$B$1000,"&lt;&gt;",'Debt Backlog'!$N$2:$N$1000,"&lt;&gt;Done",'Debt Backlog'!$N$2:$N$1000,"&lt;&gt;Won't Fix",'Debt Backlog'!$N$2:$N$1000,"&lt;&gt;Duplicate"))</f>
        <v/>
      </c>
      <c r="AI650" s="103" t="str">
        <f aca="false">IF($B650="","",ROUND(SUMIFS('Debt Backlog'!$L$2:$L$1000,'Debt Backlog'!$AF$2:$AF$1000,$A650,'Debt Backlog'!$B$2:$B$1000,"&lt;&gt;",'Debt Backlog'!$N$2:$N$1000,"&lt;&gt;Done",'Debt Backlog'!$N$2:$N$1000,"&lt;&gt;Won't Fix",'Debt Backlog'!$N$2:$N$1000,"&lt;&gt;Duplicate"),2))</f>
        <v/>
      </c>
    </row>
    <row r="651" customFormat="false" ht="15.75" hidden="false" customHeight="true" outlineLevel="0" collapsed="false">
      <c r="A651" s="125"/>
      <c r="B651" s="101"/>
      <c r="C651" s="101"/>
      <c r="D651" s="101"/>
      <c r="E651" s="101"/>
      <c r="F651" s="101"/>
      <c r="G651" s="101"/>
      <c r="H651" s="101"/>
      <c r="I651" s="106"/>
      <c r="J651" s="106"/>
      <c r="K651" s="106"/>
      <c r="L651" s="106"/>
      <c r="M651" s="106"/>
      <c r="N651" s="103" t="str">
        <f aca="false">IF(OR($B651="", $I651="", $J651="", $K651="", $L651="", $M651=""),"",ROUND(($I651*Lists!$AD$2)+($J651*Lists!$AD$3)+($K651*Lists!$AD$4)+($L651*Lists!$AD$5)+($M651*Lists!$AD$6),2))</f>
        <v/>
      </c>
      <c r="O651" s="103" t="str">
        <f aca="false">IF($A651="","",IFERROR(VLOOKUP($A651,'Risk Register'!$B$2:$I$1000,8,FALSE()),""))</f>
        <v/>
      </c>
      <c r="P651" s="106"/>
      <c r="Q651" s="106"/>
      <c r="R651" s="106"/>
      <c r="S651" s="106"/>
      <c r="T651" s="103" t="str">
        <f aca="false">IF(OR($B651="", $P651="", $Q651="", $R651="", $S651=""),"",ROUND(($P651*Lists!$AD$7)+($Q651*Lists!$AD$8)+($R651*Lists!$AD$9)+($S651*Lists!$AD$10),2))</f>
        <v/>
      </c>
      <c r="U651" s="106"/>
      <c r="V651" s="106"/>
      <c r="W651" s="106"/>
      <c r="X651" s="106"/>
      <c r="Y651" s="106"/>
      <c r="Z651" s="103" t="str">
        <f aca="false">IF(OR($B651="", $U651="", $V651="", $W651="", $X651="", $Y651=""),"",ROUND(($U651*Lists!$AD$11)+($V651*Lists!$AD$12)+($W651*Lists!$AD$13)+($X651*Lists!$AD$14)+($Y651*Lists!$AD$15),2))</f>
        <v/>
      </c>
      <c r="AA651" s="103" t="str">
        <f aca="false">IF(OR($B651="", $N651="", $O651="", $T651="", $Z651=""),"",ROUND(($N651*Lists!$AD$16)-($O651*Lists!$AD$17)-($T651*Lists!$AD$18)+($Z651*Lists!$AD$19),2))</f>
        <v/>
      </c>
      <c r="AB651" s="102" t="str">
        <f aca="false">IF(OR($B651="", $N651="", $Z651=""),"",IF($N651&gt;=Lists!$AG$2,IF($Z651&gt;=Lists!$AG$3,"Invest","Migrate"),IF($Z651&gt;=Lists!$AG$3,"Tolerate","Eliminate")))</f>
        <v/>
      </c>
      <c r="AC651" s="102" t="str">
        <f aca="false">IF($B651="","",IF($J651&gt;=4,"Yes",""))</f>
        <v/>
      </c>
      <c r="AD651" s="102" t="str">
        <f aca="false">IF($A651="","",IFERROR(IF(VLOOKUP($A651,'Risk Register'!$B$2:$H$1000,4,FALSE())&gt;=4,"Yes",""),""))</f>
        <v/>
      </c>
      <c r="AE651" s="102" t="str">
        <f aca="false">IF(OR($N651="", $O651=""),"",IF($N651&gt;=Lists!$AG$2,IF($O651&gt;=Lists!$AG$4,"High Value / High Risk","High Value / Low Risk"),IF($O651&gt;=Lists!$AG$4,"Low Value / High Risk","Low Value / Low Risk")))</f>
        <v/>
      </c>
      <c r="AF651" s="101"/>
      <c r="AG651" s="126"/>
      <c r="AH651" s="106" t="str">
        <f aca="false">IF($B651="","",COUNTIFS('Debt Backlog'!$AF$2:$AF$1000,$A651,'Debt Backlog'!$B$2:$B$1000,"&lt;&gt;",'Debt Backlog'!$N$2:$N$1000,"&lt;&gt;Done",'Debt Backlog'!$N$2:$N$1000,"&lt;&gt;Won't Fix",'Debt Backlog'!$N$2:$N$1000,"&lt;&gt;Duplicate"))</f>
        <v/>
      </c>
      <c r="AI651" s="103" t="str">
        <f aca="false">IF($B651="","",ROUND(SUMIFS('Debt Backlog'!$L$2:$L$1000,'Debt Backlog'!$AF$2:$AF$1000,$A651,'Debt Backlog'!$B$2:$B$1000,"&lt;&gt;",'Debt Backlog'!$N$2:$N$1000,"&lt;&gt;Done",'Debt Backlog'!$N$2:$N$1000,"&lt;&gt;Won't Fix",'Debt Backlog'!$N$2:$N$1000,"&lt;&gt;Duplicate"),2))</f>
        <v/>
      </c>
    </row>
    <row r="652" customFormat="false" ht="15.75" hidden="false" customHeight="true" outlineLevel="0" collapsed="false">
      <c r="A652" s="125"/>
      <c r="B652" s="101"/>
      <c r="C652" s="101"/>
      <c r="D652" s="101"/>
      <c r="E652" s="101"/>
      <c r="F652" s="101"/>
      <c r="G652" s="101"/>
      <c r="H652" s="101"/>
      <c r="I652" s="106"/>
      <c r="J652" s="106"/>
      <c r="K652" s="106"/>
      <c r="L652" s="106"/>
      <c r="M652" s="106"/>
      <c r="N652" s="103" t="str">
        <f aca="false">IF(OR($B652="", $I652="", $J652="", $K652="", $L652="", $M652=""),"",ROUND(($I652*Lists!$AD$2)+($J652*Lists!$AD$3)+($K652*Lists!$AD$4)+($L652*Lists!$AD$5)+($M652*Lists!$AD$6),2))</f>
        <v/>
      </c>
      <c r="O652" s="103" t="str">
        <f aca="false">IF($A652="","",IFERROR(VLOOKUP($A652,'Risk Register'!$B$2:$I$1000,8,FALSE()),""))</f>
        <v/>
      </c>
      <c r="P652" s="106"/>
      <c r="Q652" s="106"/>
      <c r="R652" s="106"/>
      <c r="S652" s="106"/>
      <c r="T652" s="103" t="str">
        <f aca="false">IF(OR($B652="", $P652="", $Q652="", $R652="", $S652=""),"",ROUND(($P652*Lists!$AD$7)+($Q652*Lists!$AD$8)+($R652*Lists!$AD$9)+($S652*Lists!$AD$10),2))</f>
        <v/>
      </c>
      <c r="U652" s="106"/>
      <c r="V652" s="106"/>
      <c r="W652" s="106"/>
      <c r="X652" s="106"/>
      <c r="Y652" s="106"/>
      <c r="Z652" s="103" t="str">
        <f aca="false">IF(OR($B652="", $U652="", $V652="", $W652="", $X652="", $Y652=""),"",ROUND(($U652*Lists!$AD$11)+($V652*Lists!$AD$12)+($W652*Lists!$AD$13)+($X652*Lists!$AD$14)+($Y652*Lists!$AD$15),2))</f>
        <v/>
      </c>
      <c r="AA652" s="103" t="str">
        <f aca="false">IF(OR($B652="", $N652="", $O652="", $T652="", $Z652=""),"",ROUND(($N652*Lists!$AD$16)-($O652*Lists!$AD$17)-($T652*Lists!$AD$18)+($Z652*Lists!$AD$19),2))</f>
        <v/>
      </c>
      <c r="AB652" s="102" t="str">
        <f aca="false">IF(OR($B652="", $N652="", $Z652=""),"",IF($N652&gt;=Lists!$AG$2,IF($Z652&gt;=Lists!$AG$3,"Invest","Migrate"),IF($Z652&gt;=Lists!$AG$3,"Tolerate","Eliminate")))</f>
        <v/>
      </c>
      <c r="AC652" s="102" t="str">
        <f aca="false">IF($B652="","",IF($J652&gt;=4,"Yes",""))</f>
        <v/>
      </c>
      <c r="AD652" s="102" t="str">
        <f aca="false">IF($A652="","",IFERROR(IF(VLOOKUP($A652,'Risk Register'!$B$2:$H$1000,4,FALSE())&gt;=4,"Yes",""),""))</f>
        <v/>
      </c>
      <c r="AE652" s="102" t="str">
        <f aca="false">IF(OR($N652="", $O652=""),"",IF($N652&gt;=Lists!$AG$2,IF($O652&gt;=Lists!$AG$4,"High Value / High Risk","High Value / Low Risk"),IF($O652&gt;=Lists!$AG$4,"Low Value / High Risk","Low Value / Low Risk")))</f>
        <v/>
      </c>
      <c r="AF652" s="101"/>
      <c r="AG652" s="126"/>
      <c r="AH652" s="106" t="str">
        <f aca="false">IF($B652="","",COUNTIFS('Debt Backlog'!$AF$2:$AF$1000,$A652,'Debt Backlog'!$B$2:$B$1000,"&lt;&gt;",'Debt Backlog'!$N$2:$N$1000,"&lt;&gt;Done",'Debt Backlog'!$N$2:$N$1000,"&lt;&gt;Won't Fix",'Debt Backlog'!$N$2:$N$1000,"&lt;&gt;Duplicate"))</f>
        <v/>
      </c>
      <c r="AI652" s="103" t="str">
        <f aca="false">IF($B652="","",ROUND(SUMIFS('Debt Backlog'!$L$2:$L$1000,'Debt Backlog'!$AF$2:$AF$1000,$A652,'Debt Backlog'!$B$2:$B$1000,"&lt;&gt;",'Debt Backlog'!$N$2:$N$1000,"&lt;&gt;Done",'Debt Backlog'!$N$2:$N$1000,"&lt;&gt;Won't Fix",'Debt Backlog'!$N$2:$N$1000,"&lt;&gt;Duplicate"),2))</f>
        <v/>
      </c>
    </row>
    <row r="653" customFormat="false" ht="15.75" hidden="false" customHeight="true" outlineLevel="0" collapsed="false">
      <c r="A653" s="125"/>
      <c r="B653" s="101"/>
      <c r="C653" s="101"/>
      <c r="D653" s="101"/>
      <c r="E653" s="101"/>
      <c r="F653" s="101"/>
      <c r="G653" s="101"/>
      <c r="H653" s="101"/>
      <c r="I653" s="106"/>
      <c r="J653" s="106"/>
      <c r="K653" s="106"/>
      <c r="L653" s="106"/>
      <c r="M653" s="106"/>
      <c r="N653" s="103" t="str">
        <f aca="false">IF(OR($B653="", $I653="", $J653="", $K653="", $L653="", $M653=""),"",ROUND(($I653*Lists!$AD$2)+($J653*Lists!$AD$3)+($K653*Lists!$AD$4)+($L653*Lists!$AD$5)+($M653*Lists!$AD$6),2))</f>
        <v/>
      </c>
      <c r="O653" s="103" t="str">
        <f aca="false">IF($A653="","",IFERROR(VLOOKUP($A653,'Risk Register'!$B$2:$I$1000,8,FALSE()),""))</f>
        <v/>
      </c>
      <c r="P653" s="106"/>
      <c r="Q653" s="106"/>
      <c r="R653" s="106"/>
      <c r="S653" s="106"/>
      <c r="T653" s="103" t="str">
        <f aca="false">IF(OR($B653="", $P653="", $Q653="", $R653="", $S653=""),"",ROUND(($P653*Lists!$AD$7)+($Q653*Lists!$AD$8)+($R653*Lists!$AD$9)+($S653*Lists!$AD$10),2))</f>
        <v/>
      </c>
      <c r="U653" s="106"/>
      <c r="V653" s="106"/>
      <c r="W653" s="106"/>
      <c r="X653" s="106"/>
      <c r="Y653" s="106"/>
      <c r="Z653" s="103" t="str">
        <f aca="false">IF(OR($B653="", $U653="", $V653="", $W653="", $X653="", $Y653=""),"",ROUND(($U653*Lists!$AD$11)+($V653*Lists!$AD$12)+($W653*Lists!$AD$13)+($X653*Lists!$AD$14)+($Y653*Lists!$AD$15),2))</f>
        <v/>
      </c>
      <c r="AA653" s="103" t="str">
        <f aca="false">IF(OR($B653="", $N653="", $O653="", $T653="", $Z653=""),"",ROUND(($N653*Lists!$AD$16)-($O653*Lists!$AD$17)-($T653*Lists!$AD$18)+($Z653*Lists!$AD$19),2))</f>
        <v/>
      </c>
      <c r="AB653" s="102" t="str">
        <f aca="false">IF(OR($B653="", $N653="", $Z653=""),"",IF($N653&gt;=Lists!$AG$2,IF($Z653&gt;=Lists!$AG$3,"Invest","Migrate"),IF($Z653&gt;=Lists!$AG$3,"Tolerate","Eliminate")))</f>
        <v/>
      </c>
      <c r="AC653" s="102" t="str">
        <f aca="false">IF($B653="","",IF($J653&gt;=4,"Yes",""))</f>
        <v/>
      </c>
      <c r="AD653" s="102" t="str">
        <f aca="false">IF($A653="","",IFERROR(IF(VLOOKUP($A653,'Risk Register'!$B$2:$H$1000,4,FALSE())&gt;=4,"Yes",""),""))</f>
        <v/>
      </c>
      <c r="AE653" s="102" t="str">
        <f aca="false">IF(OR($N653="", $O653=""),"",IF($N653&gt;=Lists!$AG$2,IF($O653&gt;=Lists!$AG$4,"High Value / High Risk","High Value / Low Risk"),IF($O653&gt;=Lists!$AG$4,"Low Value / High Risk","Low Value / Low Risk")))</f>
        <v/>
      </c>
      <c r="AF653" s="101"/>
      <c r="AG653" s="126"/>
      <c r="AH653" s="106" t="str">
        <f aca="false">IF($B653="","",COUNTIFS('Debt Backlog'!$AF$2:$AF$1000,$A653,'Debt Backlog'!$B$2:$B$1000,"&lt;&gt;",'Debt Backlog'!$N$2:$N$1000,"&lt;&gt;Done",'Debt Backlog'!$N$2:$N$1000,"&lt;&gt;Won't Fix",'Debt Backlog'!$N$2:$N$1000,"&lt;&gt;Duplicate"))</f>
        <v/>
      </c>
      <c r="AI653" s="103" t="str">
        <f aca="false">IF($B653="","",ROUND(SUMIFS('Debt Backlog'!$L$2:$L$1000,'Debt Backlog'!$AF$2:$AF$1000,$A653,'Debt Backlog'!$B$2:$B$1000,"&lt;&gt;",'Debt Backlog'!$N$2:$N$1000,"&lt;&gt;Done",'Debt Backlog'!$N$2:$N$1000,"&lt;&gt;Won't Fix",'Debt Backlog'!$N$2:$N$1000,"&lt;&gt;Duplicate"),2))</f>
        <v/>
      </c>
    </row>
    <row r="654" customFormat="false" ht="15.75" hidden="false" customHeight="true" outlineLevel="0" collapsed="false">
      <c r="A654" s="125"/>
      <c r="B654" s="101"/>
      <c r="C654" s="101"/>
      <c r="D654" s="101"/>
      <c r="E654" s="101"/>
      <c r="F654" s="101"/>
      <c r="G654" s="101"/>
      <c r="H654" s="101"/>
      <c r="I654" s="106"/>
      <c r="J654" s="106"/>
      <c r="K654" s="106"/>
      <c r="L654" s="106"/>
      <c r="M654" s="106"/>
      <c r="N654" s="103" t="str">
        <f aca="false">IF(OR($B654="", $I654="", $J654="", $K654="", $L654="", $M654=""),"",ROUND(($I654*Lists!$AD$2)+($J654*Lists!$AD$3)+($K654*Lists!$AD$4)+($L654*Lists!$AD$5)+($M654*Lists!$AD$6),2))</f>
        <v/>
      </c>
      <c r="O654" s="103" t="str">
        <f aca="false">IF($A654="","",IFERROR(VLOOKUP($A654,'Risk Register'!$B$2:$I$1000,8,FALSE()),""))</f>
        <v/>
      </c>
      <c r="P654" s="106"/>
      <c r="Q654" s="106"/>
      <c r="R654" s="106"/>
      <c r="S654" s="106"/>
      <c r="T654" s="103" t="str">
        <f aca="false">IF(OR($B654="", $P654="", $Q654="", $R654="", $S654=""),"",ROUND(($P654*Lists!$AD$7)+($Q654*Lists!$AD$8)+($R654*Lists!$AD$9)+($S654*Lists!$AD$10),2))</f>
        <v/>
      </c>
      <c r="U654" s="106"/>
      <c r="V654" s="106"/>
      <c r="W654" s="106"/>
      <c r="X654" s="106"/>
      <c r="Y654" s="106"/>
      <c r="Z654" s="103" t="str">
        <f aca="false">IF(OR($B654="", $U654="", $V654="", $W654="", $X654="", $Y654=""),"",ROUND(($U654*Lists!$AD$11)+($V654*Lists!$AD$12)+($W654*Lists!$AD$13)+($X654*Lists!$AD$14)+($Y654*Lists!$AD$15),2))</f>
        <v/>
      </c>
      <c r="AA654" s="103" t="str">
        <f aca="false">IF(OR($B654="", $N654="", $O654="", $T654="", $Z654=""),"",ROUND(($N654*Lists!$AD$16)-($O654*Lists!$AD$17)-($T654*Lists!$AD$18)+($Z654*Lists!$AD$19),2))</f>
        <v/>
      </c>
      <c r="AB654" s="102" t="str">
        <f aca="false">IF(OR($B654="", $N654="", $Z654=""),"",IF($N654&gt;=Lists!$AG$2,IF($Z654&gt;=Lists!$AG$3,"Invest","Migrate"),IF($Z654&gt;=Lists!$AG$3,"Tolerate","Eliminate")))</f>
        <v/>
      </c>
      <c r="AC654" s="102" t="str">
        <f aca="false">IF($B654="","",IF($J654&gt;=4,"Yes",""))</f>
        <v/>
      </c>
      <c r="AD654" s="102" t="str">
        <f aca="false">IF($A654="","",IFERROR(IF(VLOOKUP($A654,'Risk Register'!$B$2:$H$1000,4,FALSE())&gt;=4,"Yes",""),""))</f>
        <v/>
      </c>
      <c r="AE654" s="102" t="str">
        <f aca="false">IF(OR($N654="", $O654=""),"",IF($N654&gt;=Lists!$AG$2,IF($O654&gt;=Lists!$AG$4,"High Value / High Risk","High Value / Low Risk"),IF($O654&gt;=Lists!$AG$4,"Low Value / High Risk","Low Value / Low Risk")))</f>
        <v/>
      </c>
      <c r="AF654" s="101"/>
      <c r="AG654" s="126"/>
      <c r="AH654" s="106" t="str">
        <f aca="false">IF($B654="","",COUNTIFS('Debt Backlog'!$AF$2:$AF$1000,$A654,'Debt Backlog'!$B$2:$B$1000,"&lt;&gt;",'Debt Backlog'!$N$2:$N$1000,"&lt;&gt;Done",'Debt Backlog'!$N$2:$N$1000,"&lt;&gt;Won't Fix",'Debt Backlog'!$N$2:$N$1000,"&lt;&gt;Duplicate"))</f>
        <v/>
      </c>
      <c r="AI654" s="103" t="str">
        <f aca="false">IF($B654="","",ROUND(SUMIFS('Debt Backlog'!$L$2:$L$1000,'Debt Backlog'!$AF$2:$AF$1000,$A654,'Debt Backlog'!$B$2:$B$1000,"&lt;&gt;",'Debt Backlog'!$N$2:$N$1000,"&lt;&gt;Done",'Debt Backlog'!$N$2:$N$1000,"&lt;&gt;Won't Fix",'Debt Backlog'!$N$2:$N$1000,"&lt;&gt;Duplicate"),2))</f>
        <v/>
      </c>
    </row>
    <row r="655" customFormat="false" ht="15.75" hidden="false" customHeight="true" outlineLevel="0" collapsed="false">
      <c r="A655" s="125"/>
      <c r="B655" s="101"/>
      <c r="C655" s="101"/>
      <c r="D655" s="101"/>
      <c r="E655" s="101"/>
      <c r="F655" s="101"/>
      <c r="G655" s="101"/>
      <c r="H655" s="101"/>
      <c r="I655" s="106"/>
      <c r="J655" s="106"/>
      <c r="K655" s="106"/>
      <c r="L655" s="106"/>
      <c r="M655" s="106"/>
      <c r="N655" s="103" t="str">
        <f aca="false">IF(OR($B655="", $I655="", $J655="", $K655="", $L655="", $M655=""),"",ROUND(($I655*Lists!$AD$2)+($J655*Lists!$AD$3)+($K655*Lists!$AD$4)+($L655*Lists!$AD$5)+($M655*Lists!$AD$6),2))</f>
        <v/>
      </c>
      <c r="O655" s="103" t="str">
        <f aca="false">IF($A655="","",IFERROR(VLOOKUP($A655,'Risk Register'!$B$2:$I$1000,8,FALSE()),""))</f>
        <v/>
      </c>
      <c r="P655" s="106"/>
      <c r="Q655" s="106"/>
      <c r="R655" s="106"/>
      <c r="S655" s="106"/>
      <c r="T655" s="103" t="str">
        <f aca="false">IF(OR($B655="", $P655="", $Q655="", $R655="", $S655=""),"",ROUND(($P655*Lists!$AD$7)+($Q655*Lists!$AD$8)+($R655*Lists!$AD$9)+($S655*Lists!$AD$10),2))</f>
        <v/>
      </c>
      <c r="U655" s="106"/>
      <c r="V655" s="106"/>
      <c r="W655" s="106"/>
      <c r="X655" s="106"/>
      <c r="Y655" s="106"/>
      <c r="Z655" s="103" t="str">
        <f aca="false">IF(OR($B655="", $U655="", $V655="", $W655="", $X655="", $Y655=""),"",ROUND(($U655*Lists!$AD$11)+($V655*Lists!$AD$12)+($W655*Lists!$AD$13)+($X655*Lists!$AD$14)+($Y655*Lists!$AD$15),2))</f>
        <v/>
      </c>
      <c r="AA655" s="103" t="str">
        <f aca="false">IF(OR($B655="", $N655="", $O655="", $T655="", $Z655=""),"",ROUND(($N655*Lists!$AD$16)-($O655*Lists!$AD$17)-($T655*Lists!$AD$18)+($Z655*Lists!$AD$19),2))</f>
        <v/>
      </c>
      <c r="AB655" s="102" t="str">
        <f aca="false">IF(OR($B655="", $N655="", $Z655=""),"",IF($N655&gt;=Lists!$AG$2,IF($Z655&gt;=Lists!$AG$3,"Invest","Migrate"),IF($Z655&gt;=Lists!$AG$3,"Tolerate","Eliminate")))</f>
        <v/>
      </c>
      <c r="AC655" s="102" t="str">
        <f aca="false">IF($B655="","",IF($J655&gt;=4,"Yes",""))</f>
        <v/>
      </c>
      <c r="AD655" s="102" t="str">
        <f aca="false">IF($A655="","",IFERROR(IF(VLOOKUP($A655,'Risk Register'!$B$2:$H$1000,4,FALSE())&gt;=4,"Yes",""),""))</f>
        <v/>
      </c>
      <c r="AE655" s="102" t="str">
        <f aca="false">IF(OR($N655="", $O655=""),"",IF($N655&gt;=Lists!$AG$2,IF($O655&gt;=Lists!$AG$4,"High Value / High Risk","High Value / Low Risk"),IF($O655&gt;=Lists!$AG$4,"Low Value / High Risk","Low Value / Low Risk")))</f>
        <v/>
      </c>
      <c r="AF655" s="101"/>
      <c r="AG655" s="126"/>
      <c r="AH655" s="106" t="str">
        <f aca="false">IF($B655="","",COUNTIFS('Debt Backlog'!$AF$2:$AF$1000,$A655,'Debt Backlog'!$B$2:$B$1000,"&lt;&gt;",'Debt Backlog'!$N$2:$N$1000,"&lt;&gt;Done",'Debt Backlog'!$N$2:$N$1000,"&lt;&gt;Won't Fix",'Debt Backlog'!$N$2:$N$1000,"&lt;&gt;Duplicate"))</f>
        <v/>
      </c>
      <c r="AI655" s="103" t="str">
        <f aca="false">IF($B655="","",ROUND(SUMIFS('Debt Backlog'!$L$2:$L$1000,'Debt Backlog'!$AF$2:$AF$1000,$A655,'Debt Backlog'!$B$2:$B$1000,"&lt;&gt;",'Debt Backlog'!$N$2:$N$1000,"&lt;&gt;Done",'Debt Backlog'!$N$2:$N$1000,"&lt;&gt;Won't Fix",'Debt Backlog'!$N$2:$N$1000,"&lt;&gt;Duplicate"),2))</f>
        <v/>
      </c>
    </row>
    <row r="656" customFormat="false" ht="15.75" hidden="false" customHeight="true" outlineLevel="0" collapsed="false">
      <c r="A656" s="125"/>
      <c r="B656" s="101"/>
      <c r="C656" s="101"/>
      <c r="D656" s="101"/>
      <c r="E656" s="101"/>
      <c r="F656" s="101"/>
      <c r="G656" s="101"/>
      <c r="H656" s="101"/>
      <c r="I656" s="106"/>
      <c r="J656" s="106"/>
      <c r="K656" s="106"/>
      <c r="L656" s="106"/>
      <c r="M656" s="106"/>
      <c r="N656" s="103" t="str">
        <f aca="false">IF(OR($B656="", $I656="", $J656="", $K656="", $L656="", $M656=""),"",ROUND(($I656*Lists!$AD$2)+($J656*Lists!$AD$3)+($K656*Lists!$AD$4)+($L656*Lists!$AD$5)+($M656*Lists!$AD$6),2))</f>
        <v/>
      </c>
      <c r="O656" s="103" t="str">
        <f aca="false">IF($A656="","",IFERROR(VLOOKUP($A656,'Risk Register'!$B$2:$I$1000,8,FALSE()),""))</f>
        <v/>
      </c>
      <c r="P656" s="106"/>
      <c r="Q656" s="106"/>
      <c r="R656" s="106"/>
      <c r="S656" s="106"/>
      <c r="T656" s="103" t="str">
        <f aca="false">IF(OR($B656="", $P656="", $Q656="", $R656="", $S656=""),"",ROUND(($P656*Lists!$AD$7)+($Q656*Lists!$AD$8)+($R656*Lists!$AD$9)+($S656*Lists!$AD$10),2))</f>
        <v/>
      </c>
      <c r="U656" s="106"/>
      <c r="V656" s="106"/>
      <c r="W656" s="106"/>
      <c r="X656" s="106"/>
      <c r="Y656" s="106"/>
      <c r="Z656" s="103" t="str">
        <f aca="false">IF(OR($B656="", $U656="", $V656="", $W656="", $X656="", $Y656=""),"",ROUND(($U656*Lists!$AD$11)+($V656*Lists!$AD$12)+($W656*Lists!$AD$13)+($X656*Lists!$AD$14)+($Y656*Lists!$AD$15),2))</f>
        <v/>
      </c>
      <c r="AA656" s="103" t="str">
        <f aca="false">IF(OR($B656="", $N656="", $O656="", $T656="", $Z656=""),"",ROUND(($N656*Lists!$AD$16)-($O656*Lists!$AD$17)-($T656*Lists!$AD$18)+($Z656*Lists!$AD$19),2))</f>
        <v/>
      </c>
      <c r="AB656" s="102" t="str">
        <f aca="false">IF(OR($B656="", $N656="", $Z656=""),"",IF($N656&gt;=Lists!$AG$2,IF($Z656&gt;=Lists!$AG$3,"Invest","Migrate"),IF($Z656&gt;=Lists!$AG$3,"Tolerate","Eliminate")))</f>
        <v/>
      </c>
      <c r="AC656" s="102" t="str">
        <f aca="false">IF($B656="","",IF($J656&gt;=4,"Yes",""))</f>
        <v/>
      </c>
      <c r="AD656" s="102" t="str">
        <f aca="false">IF($A656="","",IFERROR(IF(VLOOKUP($A656,'Risk Register'!$B$2:$H$1000,4,FALSE())&gt;=4,"Yes",""),""))</f>
        <v/>
      </c>
      <c r="AE656" s="102" t="str">
        <f aca="false">IF(OR($N656="", $O656=""),"",IF($N656&gt;=Lists!$AG$2,IF($O656&gt;=Lists!$AG$4,"High Value / High Risk","High Value / Low Risk"),IF($O656&gt;=Lists!$AG$4,"Low Value / High Risk","Low Value / Low Risk")))</f>
        <v/>
      </c>
      <c r="AF656" s="101"/>
      <c r="AG656" s="126"/>
      <c r="AH656" s="106" t="str">
        <f aca="false">IF($B656="","",COUNTIFS('Debt Backlog'!$AF$2:$AF$1000,$A656,'Debt Backlog'!$B$2:$B$1000,"&lt;&gt;",'Debt Backlog'!$N$2:$N$1000,"&lt;&gt;Done",'Debt Backlog'!$N$2:$N$1000,"&lt;&gt;Won't Fix",'Debt Backlog'!$N$2:$N$1000,"&lt;&gt;Duplicate"))</f>
        <v/>
      </c>
      <c r="AI656" s="103" t="str">
        <f aca="false">IF($B656="","",ROUND(SUMIFS('Debt Backlog'!$L$2:$L$1000,'Debt Backlog'!$AF$2:$AF$1000,$A656,'Debt Backlog'!$B$2:$B$1000,"&lt;&gt;",'Debt Backlog'!$N$2:$N$1000,"&lt;&gt;Done",'Debt Backlog'!$N$2:$N$1000,"&lt;&gt;Won't Fix",'Debt Backlog'!$N$2:$N$1000,"&lt;&gt;Duplicate"),2))</f>
        <v/>
      </c>
    </row>
    <row r="657" customFormat="false" ht="15.75" hidden="false" customHeight="true" outlineLevel="0" collapsed="false">
      <c r="A657" s="125"/>
      <c r="B657" s="101"/>
      <c r="C657" s="101"/>
      <c r="D657" s="101"/>
      <c r="E657" s="101"/>
      <c r="F657" s="101"/>
      <c r="G657" s="101"/>
      <c r="H657" s="101"/>
      <c r="I657" s="106"/>
      <c r="J657" s="106"/>
      <c r="K657" s="106"/>
      <c r="L657" s="106"/>
      <c r="M657" s="106"/>
      <c r="N657" s="103" t="str">
        <f aca="false">IF(OR($B657="", $I657="", $J657="", $K657="", $L657="", $M657=""),"",ROUND(($I657*Lists!$AD$2)+($J657*Lists!$AD$3)+($K657*Lists!$AD$4)+($L657*Lists!$AD$5)+($M657*Lists!$AD$6),2))</f>
        <v/>
      </c>
      <c r="O657" s="103" t="str">
        <f aca="false">IF($A657="","",IFERROR(VLOOKUP($A657,'Risk Register'!$B$2:$I$1000,8,FALSE()),""))</f>
        <v/>
      </c>
      <c r="P657" s="106"/>
      <c r="Q657" s="106"/>
      <c r="R657" s="106"/>
      <c r="S657" s="106"/>
      <c r="T657" s="103" t="str">
        <f aca="false">IF(OR($B657="", $P657="", $Q657="", $R657="", $S657=""),"",ROUND(($P657*Lists!$AD$7)+($Q657*Lists!$AD$8)+($R657*Lists!$AD$9)+($S657*Lists!$AD$10),2))</f>
        <v/>
      </c>
      <c r="U657" s="106"/>
      <c r="V657" s="106"/>
      <c r="W657" s="106"/>
      <c r="X657" s="106"/>
      <c r="Y657" s="106"/>
      <c r="Z657" s="103" t="str">
        <f aca="false">IF(OR($B657="", $U657="", $V657="", $W657="", $X657="", $Y657=""),"",ROUND(($U657*Lists!$AD$11)+($V657*Lists!$AD$12)+($W657*Lists!$AD$13)+($X657*Lists!$AD$14)+($Y657*Lists!$AD$15),2))</f>
        <v/>
      </c>
      <c r="AA657" s="103" t="str">
        <f aca="false">IF(OR($B657="", $N657="", $O657="", $T657="", $Z657=""),"",ROUND(($N657*Lists!$AD$16)-($O657*Lists!$AD$17)-($T657*Lists!$AD$18)+($Z657*Lists!$AD$19),2))</f>
        <v/>
      </c>
      <c r="AB657" s="102" t="str">
        <f aca="false">IF(OR($B657="", $N657="", $Z657=""),"",IF($N657&gt;=Lists!$AG$2,IF($Z657&gt;=Lists!$AG$3,"Invest","Migrate"),IF($Z657&gt;=Lists!$AG$3,"Tolerate","Eliminate")))</f>
        <v/>
      </c>
      <c r="AC657" s="102" t="str">
        <f aca="false">IF($B657="","",IF($J657&gt;=4,"Yes",""))</f>
        <v/>
      </c>
      <c r="AD657" s="102" t="str">
        <f aca="false">IF($A657="","",IFERROR(IF(VLOOKUP($A657,'Risk Register'!$B$2:$H$1000,4,FALSE())&gt;=4,"Yes",""),""))</f>
        <v/>
      </c>
      <c r="AE657" s="102" t="str">
        <f aca="false">IF(OR($N657="", $O657=""),"",IF($N657&gt;=Lists!$AG$2,IF($O657&gt;=Lists!$AG$4,"High Value / High Risk","High Value / Low Risk"),IF($O657&gt;=Lists!$AG$4,"Low Value / High Risk","Low Value / Low Risk")))</f>
        <v/>
      </c>
      <c r="AF657" s="101"/>
      <c r="AG657" s="126"/>
      <c r="AH657" s="106" t="str">
        <f aca="false">IF($B657="","",COUNTIFS('Debt Backlog'!$AF$2:$AF$1000,$A657,'Debt Backlog'!$B$2:$B$1000,"&lt;&gt;",'Debt Backlog'!$N$2:$N$1000,"&lt;&gt;Done",'Debt Backlog'!$N$2:$N$1000,"&lt;&gt;Won't Fix",'Debt Backlog'!$N$2:$N$1000,"&lt;&gt;Duplicate"))</f>
        <v/>
      </c>
      <c r="AI657" s="103" t="str">
        <f aca="false">IF($B657="","",ROUND(SUMIFS('Debt Backlog'!$L$2:$L$1000,'Debt Backlog'!$AF$2:$AF$1000,$A657,'Debt Backlog'!$B$2:$B$1000,"&lt;&gt;",'Debt Backlog'!$N$2:$N$1000,"&lt;&gt;Done",'Debt Backlog'!$N$2:$N$1000,"&lt;&gt;Won't Fix",'Debt Backlog'!$N$2:$N$1000,"&lt;&gt;Duplicate"),2))</f>
        <v/>
      </c>
    </row>
    <row r="658" customFormat="false" ht="15.75" hidden="false" customHeight="true" outlineLevel="0" collapsed="false">
      <c r="A658" s="125"/>
      <c r="B658" s="101"/>
      <c r="C658" s="101"/>
      <c r="D658" s="101"/>
      <c r="E658" s="101"/>
      <c r="F658" s="101"/>
      <c r="G658" s="101"/>
      <c r="H658" s="101"/>
      <c r="I658" s="106"/>
      <c r="J658" s="106"/>
      <c r="K658" s="106"/>
      <c r="L658" s="106"/>
      <c r="M658" s="106"/>
      <c r="N658" s="103" t="str">
        <f aca="false">IF(OR($B658="", $I658="", $J658="", $K658="", $L658="", $M658=""),"",ROUND(($I658*Lists!$AD$2)+($J658*Lists!$AD$3)+($K658*Lists!$AD$4)+($L658*Lists!$AD$5)+($M658*Lists!$AD$6),2))</f>
        <v/>
      </c>
      <c r="O658" s="103" t="str">
        <f aca="false">IF($A658="","",IFERROR(VLOOKUP($A658,'Risk Register'!$B$2:$I$1000,8,FALSE()),""))</f>
        <v/>
      </c>
      <c r="P658" s="106"/>
      <c r="Q658" s="106"/>
      <c r="R658" s="106"/>
      <c r="S658" s="106"/>
      <c r="T658" s="103" t="str">
        <f aca="false">IF(OR($B658="", $P658="", $Q658="", $R658="", $S658=""),"",ROUND(($P658*Lists!$AD$7)+($Q658*Lists!$AD$8)+($R658*Lists!$AD$9)+($S658*Lists!$AD$10),2))</f>
        <v/>
      </c>
      <c r="U658" s="106"/>
      <c r="V658" s="106"/>
      <c r="W658" s="106"/>
      <c r="X658" s="106"/>
      <c r="Y658" s="106"/>
      <c r="Z658" s="103" t="str">
        <f aca="false">IF(OR($B658="", $U658="", $V658="", $W658="", $X658="", $Y658=""),"",ROUND(($U658*Lists!$AD$11)+($V658*Lists!$AD$12)+($W658*Lists!$AD$13)+($X658*Lists!$AD$14)+($Y658*Lists!$AD$15),2))</f>
        <v/>
      </c>
      <c r="AA658" s="103" t="str">
        <f aca="false">IF(OR($B658="", $N658="", $O658="", $T658="", $Z658=""),"",ROUND(($N658*Lists!$AD$16)-($O658*Lists!$AD$17)-($T658*Lists!$AD$18)+($Z658*Lists!$AD$19),2))</f>
        <v/>
      </c>
      <c r="AB658" s="102" t="str">
        <f aca="false">IF(OR($B658="", $N658="", $Z658=""),"",IF($N658&gt;=Lists!$AG$2,IF($Z658&gt;=Lists!$AG$3,"Invest","Migrate"),IF($Z658&gt;=Lists!$AG$3,"Tolerate","Eliminate")))</f>
        <v/>
      </c>
      <c r="AC658" s="102" t="str">
        <f aca="false">IF($B658="","",IF($J658&gt;=4,"Yes",""))</f>
        <v/>
      </c>
      <c r="AD658" s="102" t="str">
        <f aca="false">IF($A658="","",IFERROR(IF(VLOOKUP($A658,'Risk Register'!$B$2:$H$1000,4,FALSE())&gt;=4,"Yes",""),""))</f>
        <v/>
      </c>
      <c r="AE658" s="102" t="str">
        <f aca="false">IF(OR($N658="", $O658=""),"",IF($N658&gt;=Lists!$AG$2,IF($O658&gt;=Lists!$AG$4,"High Value / High Risk","High Value / Low Risk"),IF($O658&gt;=Lists!$AG$4,"Low Value / High Risk","Low Value / Low Risk")))</f>
        <v/>
      </c>
      <c r="AF658" s="101"/>
      <c r="AG658" s="126"/>
      <c r="AH658" s="106" t="str">
        <f aca="false">IF($B658="","",COUNTIFS('Debt Backlog'!$AF$2:$AF$1000,$A658,'Debt Backlog'!$B$2:$B$1000,"&lt;&gt;",'Debt Backlog'!$N$2:$N$1000,"&lt;&gt;Done",'Debt Backlog'!$N$2:$N$1000,"&lt;&gt;Won't Fix",'Debt Backlog'!$N$2:$N$1000,"&lt;&gt;Duplicate"))</f>
        <v/>
      </c>
      <c r="AI658" s="103" t="str">
        <f aca="false">IF($B658="","",ROUND(SUMIFS('Debt Backlog'!$L$2:$L$1000,'Debt Backlog'!$AF$2:$AF$1000,$A658,'Debt Backlog'!$B$2:$B$1000,"&lt;&gt;",'Debt Backlog'!$N$2:$N$1000,"&lt;&gt;Done",'Debt Backlog'!$N$2:$N$1000,"&lt;&gt;Won't Fix",'Debt Backlog'!$N$2:$N$1000,"&lt;&gt;Duplicate"),2))</f>
        <v/>
      </c>
    </row>
    <row r="659" customFormat="false" ht="15.75" hidden="false" customHeight="true" outlineLevel="0" collapsed="false">
      <c r="A659" s="125"/>
      <c r="B659" s="101"/>
      <c r="C659" s="101"/>
      <c r="D659" s="101"/>
      <c r="E659" s="101"/>
      <c r="F659" s="101"/>
      <c r="G659" s="101"/>
      <c r="H659" s="101"/>
      <c r="I659" s="106"/>
      <c r="J659" s="106"/>
      <c r="K659" s="106"/>
      <c r="L659" s="106"/>
      <c r="M659" s="106"/>
      <c r="N659" s="103" t="str">
        <f aca="false">IF(OR($B659="", $I659="", $J659="", $K659="", $L659="", $M659=""),"",ROUND(($I659*Lists!$AD$2)+($J659*Lists!$AD$3)+($K659*Lists!$AD$4)+($L659*Lists!$AD$5)+($M659*Lists!$AD$6),2))</f>
        <v/>
      </c>
      <c r="O659" s="103" t="str">
        <f aca="false">IF($A659="","",IFERROR(VLOOKUP($A659,'Risk Register'!$B$2:$I$1000,8,FALSE()),""))</f>
        <v/>
      </c>
      <c r="P659" s="106"/>
      <c r="Q659" s="106"/>
      <c r="R659" s="106"/>
      <c r="S659" s="106"/>
      <c r="T659" s="103" t="str">
        <f aca="false">IF(OR($B659="", $P659="", $Q659="", $R659="", $S659=""),"",ROUND(($P659*Lists!$AD$7)+($Q659*Lists!$AD$8)+($R659*Lists!$AD$9)+($S659*Lists!$AD$10),2))</f>
        <v/>
      </c>
      <c r="U659" s="106"/>
      <c r="V659" s="106"/>
      <c r="W659" s="106"/>
      <c r="X659" s="106"/>
      <c r="Y659" s="106"/>
      <c r="Z659" s="103" t="str">
        <f aca="false">IF(OR($B659="", $U659="", $V659="", $W659="", $X659="", $Y659=""),"",ROUND(($U659*Lists!$AD$11)+($V659*Lists!$AD$12)+($W659*Lists!$AD$13)+($X659*Lists!$AD$14)+($Y659*Lists!$AD$15),2))</f>
        <v/>
      </c>
      <c r="AA659" s="103" t="str">
        <f aca="false">IF(OR($B659="", $N659="", $O659="", $T659="", $Z659=""),"",ROUND(($N659*Lists!$AD$16)-($O659*Lists!$AD$17)-($T659*Lists!$AD$18)+($Z659*Lists!$AD$19),2))</f>
        <v/>
      </c>
      <c r="AB659" s="102" t="str">
        <f aca="false">IF(OR($B659="", $N659="", $Z659=""),"",IF($N659&gt;=Lists!$AG$2,IF($Z659&gt;=Lists!$AG$3,"Invest","Migrate"),IF($Z659&gt;=Lists!$AG$3,"Tolerate","Eliminate")))</f>
        <v/>
      </c>
      <c r="AC659" s="102" t="str">
        <f aca="false">IF($B659="","",IF($J659&gt;=4,"Yes",""))</f>
        <v/>
      </c>
      <c r="AD659" s="102" t="str">
        <f aca="false">IF($A659="","",IFERROR(IF(VLOOKUP($A659,'Risk Register'!$B$2:$H$1000,4,FALSE())&gt;=4,"Yes",""),""))</f>
        <v/>
      </c>
      <c r="AE659" s="102" t="str">
        <f aca="false">IF(OR($N659="", $O659=""),"",IF($N659&gt;=Lists!$AG$2,IF($O659&gt;=Lists!$AG$4,"High Value / High Risk","High Value / Low Risk"),IF($O659&gt;=Lists!$AG$4,"Low Value / High Risk","Low Value / Low Risk")))</f>
        <v/>
      </c>
      <c r="AF659" s="101"/>
      <c r="AG659" s="126"/>
      <c r="AH659" s="106" t="str">
        <f aca="false">IF($B659="","",COUNTIFS('Debt Backlog'!$AF$2:$AF$1000,$A659,'Debt Backlog'!$B$2:$B$1000,"&lt;&gt;",'Debt Backlog'!$N$2:$N$1000,"&lt;&gt;Done",'Debt Backlog'!$N$2:$N$1000,"&lt;&gt;Won't Fix",'Debt Backlog'!$N$2:$N$1000,"&lt;&gt;Duplicate"))</f>
        <v/>
      </c>
      <c r="AI659" s="103" t="str">
        <f aca="false">IF($B659="","",ROUND(SUMIFS('Debt Backlog'!$L$2:$L$1000,'Debt Backlog'!$AF$2:$AF$1000,$A659,'Debt Backlog'!$B$2:$B$1000,"&lt;&gt;",'Debt Backlog'!$N$2:$N$1000,"&lt;&gt;Done",'Debt Backlog'!$N$2:$N$1000,"&lt;&gt;Won't Fix",'Debt Backlog'!$N$2:$N$1000,"&lt;&gt;Duplicate"),2))</f>
        <v/>
      </c>
    </row>
    <row r="660" customFormat="false" ht="15.75" hidden="false" customHeight="true" outlineLevel="0" collapsed="false">
      <c r="A660" s="125"/>
      <c r="B660" s="101"/>
      <c r="C660" s="101"/>
      <c r="D660" s="101"/>
      <c r="E660" s="101"/>
      <c r="F660" s="101"/>
      <c r="G660" s="101"/>
      <c r="H660" s="101"/>
      <c r="I660" s="106"/>
      <c r="J660" s="106"/>
      <c r="K660" s="106"/>
      <c r="L660" s="106"/>
      <c r="M660" s="106"/>
      <c r="N660" s="103" t="str">
        <f aca="false">IF(OR($B660="", $I660="", $J660="", $K660="", $L660="", $M660=""),"",ROUND(($I660*Lists!$AD$2)+($J660*Lists!$AD$3)+($K660*Lists!$AD$4)+($L660*Lists!$AD$5)+($M660*Lists!$AD$6),2))</f>
        <v/>
      </c>
      <c r="O660" s="103" t="str">
        <f aca="false">IF($A660="","",IFERROR(VLOOKUP($A660,'Risk Register'!$B$2:$I$1000,8,FALSE()),""))</f>
        <v/>
      </c>
      <c r="P660" s="106"/>
      <c r="Q660" s="106"/>
      <c r="R660" s="106"/>
      <c r="S660" s="106"/>
      <c r="T660" s="103" t="str">
        <f aca="false">IF(OR($B660="", $P660="", $Q660="", $R660="", $S660=""),"",ROUND(($P660*Lists!$AD$7)+($Q660*Lists!$AD$8)+($R660*Lists!$AD$9)+($S660*Lists!$AD$10),2))</f>
        <v/>
      </c>
      <c r="U660" s="106"/>
      <c r="V660" s="106"/>
      <c r="W660" s="106"/>
      <c r="X660" s="106"/>
      <c r="Y660" s="106"/>
      <c r="Z660" s="103" t="str">
        <f aca="false">IF(OR($B660="", $U660="", $V660="", $W660="", $X660="", $Y660=""),"",ROUND(($U660*Lists!$AD$11)+($V660*Lists!$AD$12)+($W660*Lists!$AD$13)+($X660*Lists!$AD$14)+($Y660*Lists!$AD$15),2))</f>
        <v/>
      </c>
      <c r="AA660" s="103" t="str">
        <f aca="false">IF(OR($B660="", $N660="", $O660="", $T660="", $Z660=""),"",ROUND(($N660*Lists!$AD$16)-($O660*Lists!$AD$17)-($T660*Lists!$AD$18)+($Z660*Lists!$AD$19),2))</f>
        <v/>
      </c>
      <c r="AB660" s="102" t="str">
        <f aca="false">IF(OR($B660="", $N660="", $Z660=""),"",IF($N660&gt;=Lists!$AG$2,IF($Z660&gt;=Lists!$AG$3,"Invest","Migrate"),IF($Z660&gt;=Lists!$AG$3,"Tolerate","Eliminate")))</f>
        <v/>
      </c>
      <c r="AC660" s="102" t="str">
        <f aca="false">IF($B660="","",IF($J660&gt;=4,"Yes",""))</f>
        <v/>
      </c>
      <c r="AD660" s="102" t="str">
        <f aca="false">IF($A660="","",IFERROR(IF(VLOOKUP($A660,'Risk Register'!$B$2:$H$1000,4,FALSE())&gt;=4,"Yes",""),""))</f>
        <v/>
      </c>
      <c r="AE660" s="102" t="str">
        <f aca="false">IF(OR($N660="", $O660=""),"",IF($N660&gt;=Lists!$AG$2,IF($O660&gt;=Lists!$AG$4,"High Value / High Risk","High Value / Low Risk"),IF($O660&gt;=Lists!$AG$4,"Low Value / High Risk","Low Value / Low Risk")))</f>
        <v/>
      </c>
      <c r="AF660" s="101"/>
      <c r="AG660" s="126"/>
      <c r="AH660" s="106" t="str">
        <f aca="false">IF($B660="","",COUNTIFS('Debt Backlog'!$AF$2:$AF$1000,$A660,'Debt Backlog'!$B$2:$B$1000,"&lt;&gt;",'Debt Backlog'!$N$2:$N$1000,"&lt;&gt;Done",'Debt Backlog'!$N$2:$N$1000,"&lt;&gt;Won't Fix",'Debt Backlog'!$N$2:$N$1000,"&lt;&gt;Duplicate"))</f>
        <v/>
      </c>
      <c r="AI660" s="103" t="str">
        <f aca="false">IF($B660="","",ROUND(SUMIFS('Debt Backlog'!$L$2:$L$1000,'Debt Backlog'!$AF$2:$AF$1000,$A660,'Debt Backlog'!$B$2:$B$1000,"&lt;&gt;",'Debt Backlog'!$N$2:$N$1000,"&lt;&gt;Done",'Debt Backlog'!$N$2:$N$1000,"&lt;&gt;Won't Fix",'Debt Backlog'!$N$2:$N$1000,"&lt;&gt;Duplicate"),2))</f>
        <v/>
      </c>
    </row>
    <row r="661" customFormat="false" ht="15.75" hidden="false" customHeight="true" outlineLevel="0" collapsed="false">
      <c r="A661" s="125"/>
      <c r="B661" s="101"/>
      <c r="C661" s="101"/>
      <c r="D661" s="101"/>
      <c r="E661" s="101"/>
      <c r="F661" s="101"/>
      <c r="G661" s="101"/>
      <c r="H661" s="101"/>
      <c r="I661" s="106"/>
      <c r="J661" s="106"/>
      <c r="K661" s="106"/>
      <c r="L661" s="106"/>
      <c r="M661" s="106"/>
      <c r="N661" s="103" t="str">
        <f aca="false">IF(OR($B661="", $I661="", $J661="", $K661="", $L661="", $M661=""),"",ROUND(($I661*Lists!$AD$2)+($J661*Lists!$AD$3)+($K661*Lists!$AD$4)+($L661*Lists!$AD$5)+($M661*Lists!$AD$6),2))</f>
        <v/>
      </c>
      <c r="O661" s="103" t="str">
        <f aca="false">IF($A661="","",IFERROR(VLOOKUP($A661,'Risk Register'!$B$2:$I$1000,8,FALSE()),""))</f>
        <v/>
      </c>
      <c r="P661" s="106"/>
      <c r="Q661" s="106"/>
      <c r="R661" s="106"/>
      <c r="S661" s="106"/>
      <c r="T661" s="103" t="str">
        <f aca="false">IF(OR($B661="", $P661="", $Q661="", $R661="", $S661=""),"",ROUND(($P661*Lists!$AD$7)+($Q661*Lists!$AD$8)+($R661*Lists!$AD$9)+($S661*Lists!$AD$10),2))</f>
        <v/>
      </c>
      <c r="U661" s="106"/>
      <c r="V661" s="106"/>
      <c r="W661" s="106"/>
      <c r="X661" s="106"/>
      <c r="Y661" s="106"/>
      <c r="Z661" s="103" t="str">
        <f aca="false">IF(OR($B661="", $U661="", $V661="", $W661="", $X661="", $Y661=""),"",ROUND(($U661*Lists!$AD$11)+($V661*Lists!$AD$12)+($W661*Lists!$AD$13)+($X661*Lists!$AD$14)+($Y661*Lists!$AD$15),2))</f>
        <v/>
      </c>
      <c r="AA661" s="103" t="str">
        <f aca="false">IF(OR($B661="", $N661="", $O661="", $T661="", $Z661=""),"",ROUND(($N661*Lists!$AD$16)-($O661*Lists!$AD$17)-($T661*Lists!$AD$18)+($Z661*Lists!$AD$19),2))</f>
        <v/>
      </c>
      <c r="AB661" s="102" t="str">
        <f aca="false">IF(OR($B661="", $N661="", $Z661=""),"",IF($N661&gt;=Lists!$AG$2,IF($Z661&gt;=Lists!$AG$3,"Invest","Migrate"),IF($Z661&gt;=Lists!$AG$3,"Tolerate","Eliminate")))</f>
        <v/>
      </c>
      <c r="AC661" s="102" t="str">
        <f aca="false">IF($B661="","",IF($J661&gt;=4,"Yes",""))</f>
        <v/>
      </c>
      <c r="AD661" s="102" t="str">
        <f aca="false">IF($A661="","",IFERROR(IF(VLOOKUP($A661,'Risk Register'!$B$2:$H$1000,4,FALSE())&gt;=4,"Yes",""),""))</f>
        <v/>
      </c>
      <c r="AE661" s="102" t="str">
        <f aca="false">IF(OR($N661="", $O661=""),"",IF($N661&gt;=Lists!$AG$2,IF($O661&gt;=Lists!$AG$4,"High Value / High Risk","High Value / Low Risk"),IF($O661&gt;=Lists!$AG$4,"Low Value / High Risk","Low Value / Low Risk")))</f>
        <v/>
      </c>
      <c r="AF661" s="101"/>
      <c r="AG661" s="126"/>
      <c r="AH661" s="106" t="str">
        <f aca="false">IF($B661="","",COUNTIFS('Debt Backlog'!$AF$2:$AF$1000,$A661,'Debt Backlog'!$B$2:$B$1000,"&lt;&gt;",'Debt Backlog'!$N$2:$N$1000,"&lt;&gt;Done",'Debt Backlog'!$N$2:$N$1000,"&lt;&gt;Won't Fix",'Debt Backlog'!$N$2:$N$1000,"&lt;&gt;Duplicate"))</f>
        <v/>
      </c>
      <c r="AI661" s="103" t="str">
        <f aca="false">IF($B661="","",ROUND(SUMIFS('Debt Backlog'!$L$2:$L$1000,'Debt Backlog'!$AF$2:$AF$1000,$A661,'Debt Backlog'!$B$2:$B$1000,"&lt;&gt;",'Debt Backlog'!$N$2:$N$1000,"&lt;&gt;Done",'Debt Backlog'!$N$2:$N$1000,"&lt;&gt;Won't Fix",'Debt Backlog'!$N$2:$N$1000,"&lt;&gt;Duplicate"),2))</f>
        <v/>
      </c>
    </row>
    <row r="662" customFormat="false" ht="15.75" hidden="false" customHeight="true" outlineLevel="0" collapsed="false">
      <c r="A662" s="125"/>
      <c r="B662" s="101"/>
      <c r="C662" s="101"/>
      <c r="D662" s="101"/>
      <c r="E662" s="101"/>
      <c r="F662" s="101"/>
      <c r="G662" s="101"/>
      <c r="H662" s="101"/>
      <c r="I662" s="106"/>
      <c r="J662" s="106"/>
      <c r="K662" s="106"/>
      <c r="L662" s="106"/>
      <c r="M662" s="106"/>
      <c r="N662" s="103" t="str">
        <f aca="false">IF(OR($B662="", $I662="", $J662="", $K662="", $L662="", $M662=""),"",ROUND(($I662*Lists!$AD$2)+($J662*Lists!$AD$3)+($K662*Lists!$AD$4)+($L662*Lists!$AD$5)+($M662*Lists!$AD$6),2))</f>
        <v/>
      </c>
      <c r="O662" s="103" t="str">
        <f aca="false">IF($A662="","",IFERROR(VLOOKUP($A662,'Risk Register'!$B$2:$I$1000,8,FALSE()),""))</f>
        <v/>
      </c>
      <c r="P662" s="106"/>
      <c r="Q662" s="106"/>
      <c r="R662" s="106"/>
      <c r="S662" s="106"/>
      <c r="T662" s="103" t="str">
        <f aca="false">IF(OR($B662="", $P662="", $Q662="", $R662="", $S662=""),"",ROUND(($P662*Lists!$AD$7)+($Q662*Lists!$AD$8)+($R662*Lists!$AD$9)+($S662*Lists!$AD$10),2))</f>
        <v/>
      </c>
      <c r="U662" s="106"/>
      <c r="V662" s="106"/>
      <c r="W662" s="106"/>
      <c r="X662" s="106"/>
      <c r="Y662" s="106"/>
      <c r="Z662" s="103" t="str">
        <f aca="false">IF(OR($B662="", $U662="", $V662="", $W662="", $X662="", $Y662=""),"",ROUND(($U662*Lists!$AD$11)+($V662*Lists!$AD$12)+($W662*Lists!$AD$13)+($X662*Lists!$AD$14)+($Y662*Lists!$AD$15),2))</f>
        <v/>
      </c>
      <c r="AA662" s="103" t="str">
        <f aca="false">IF(OR($B662="", $N662="", $O662="", $T662="", $Z662=""),"",ROUND(($N662*Lists!$AD$16)-($O662*Lists!$AD$17)-($T662*Lists!$AD$18)+($Z662*Lists!$AD$19),2))</f>
        <v/>
      </c>
      <c r="AB662" s="102" t="str">
        <f aca="false">IF(OR($B662="", $N662="", $Z662=""),"",IF($N662&gt;=Lists!$AG$2,IF($Z662&gt;=Lists!$AG$3,"Invest","Migrate"),IF($Z662&gt;=Lists!$AG$3,"Tolerate","Eliminate")))</f>
        <v/>
      </c>
      <c r="AC662" s="102" t="str">
        <f aca="false">IF($B662="","",IF($J662&gt;=4,"Yes",""))</f>
        <v/>
      </c>
      <c r="AD662" s="102" t="str">
        <f aca="false">IF($A662="","",IFERROR(IF(VLOOKUP($A662,'Risk Register'!$B$2:$H$1000,4,FALSE())&gt;=4,"Yes",""),""))</f>
        <v/>
      </c>
      <c r="AE662" s="102" t="str">
        <f aca="false">IF(OR($N662="", $O662=""),"",IF($N662&gt;=Lists!$AG$2,IF($O662&gt;=Lists!$AG$4,"High Value / High Risk","High Value / Low Risk"),IF($O662&gt;=Lists!$AG$4,"Low Value / High Risk","Low Value / Low Risk")))</f>
        <v/>
      </c>
      <c r="AF662" s="101"/>
      <c r="AG662" s="126"/>
      <c r="AH662" s="106" t="str">
        <f aca="false">IF($B662="","",COUNTIFS('Debt Backlog'!$AF$2:$AF$1000,$A662,'Debt Backlog'!$B$2:$B$1000,"&lt;&gt;",'Debt Backlog'!$N$2:$N$1000,"&lt;&gt;Done",'Debt Backlog'!$N$2:$N$1000,"&lt;&gt;Won't Fix",'Debt Backlog'!$N$2:$N$1000,"&lt;&gt;Duplicate"))</f>
        <v/>
      </c>
      <c r="AI662" s="103" t="str">
        <f aca="false">IF($B662="","",ROUND(SUMIFS('Debt Backlog'!$L$2:$L$1000,'Debt Backlog'!$AF$2:$AF$1000,$A662,'Debt Backlog'!$B$2:$B$1000,"&lt;&gt;",'Debt Backlog'!$N$2:$N$1000,"&lt;&gt;Done",'Debt Backlog'!$N$2:$N$1000,"&lt;&gt;Won't Fix",'Debt Backlog'!$N$2:$N$1000,"&lt;&gt;Duplicate"),2))</f>
        <v/>
      </c>
    </row>
    <row r="663" customFormat="false" ht="15.75" hidden="false" customHeight="true" outlineLevel="0" collapsed="false">
      <c r="A663" s="125"/>
      <c r="B663" s="101"/>
      <c r="C663" s="101"/>
      <c r="D663" s="101"/>
      <c r="E663" s="101"/>
      <c r="F663" s="101"/>
      <c r="G663" s="101"/>
      <c r="H663" s="101"/>
      <c r="I663" s="106"/>
      <c r="J663" s="106"/>
      <c r="K663" s="106"/>
      <c r="L663" s="106"/>
      <c r="M663" s="106"/>
      <c r="N663" s="103" t="str">
        <f aca="false">IF(OR($B663="", $I663="", $J663="", $K663="", $L663="", $M663=""),"",ROUND(($I663*Lists!$AD$2)+($J663*Lists!$AD$3)+($K663*Lists!$AD$4)+($L663*Lists!$AD$5)+($M663*Lists!$AD$6),2))</f>
        <v/>
      </c>
      <c r="O663" s="103" t="str">
        <f aca="false">IF($A663="","",IFERROR(VLOOKUP($A663,'Risk Register'!$B$2:$I$1000,8,FALSE()),""))</f>
        <v/>
      </c>
      <c r="P663" s="106"/>
      <c r="Q663" s="106"/>
      <c r="R663" s="106"/>
      <c r="S663" s="106"/>
      <c r="T663" s="103" t="str">
        <f aca="false">IF(OR($B663="", $P663="", $Q663="", $R663="", $S663=""),"",ROUND(($P663*Lists!$AD$7)+($Q663*Lists!$AD$8)+($R663*Lists!$AD$9)+($S663*Lists!$AD$10),2))</f>
        <v/>
      </c>
      <c r="U663" s="106"/>
      <c r="V663" s="106"/>
      <c r="W663" s="106"/>
      <c r="X663" s="106"/>
      <c r="Y663" s="106"/>
      <c r="Z663" s="103" t="str">
        <f aca="false">IF(OR($B663="", $U663="", $V663="", $W663="", $X663="", $Y663=""),"",ROUND(($U663*Lists!$AD$11)+($V663*Lists!$AD$12)+($W663*Lists!$AD$13)+($X663*Lists!$AD$14)+($Y663*Lists!$AD$15),2))</f>
        <v/>
      </c>
      <c r="AA663" s="103" t="str">
        <f aca="false">IF(OR($B663="", $N663="", $O663="", $T663="", $Z663=""),"",ROUND(($N663*Lists!$AD$16)-($O663*Lists!$AD$17)-($T663*Lists!$AD$18)+($Z663*Lists!$AD$19),2))</f>
        <v/>
      </c>
      <c r="AB663" s="102" t="str">
        <f aca="false">IF(OR($B663="", $N663="", $Z663=""),"",IF($N663&gt;=Lists!$AG$2,IF($Z663&gt;=Lists!$AG$3,"Invest","Migrate"),IF($Z663&gt;=Lists!$AG$3,"Tolerate","Eliminate")))</f>
        <v/>
      </c>
      <c r="AC663" s="102" t="str">
        <f aca="false">IF($B663="","",IF($J663&gt;=4,"Yes",""))</f>
        <v/>
      </c>
      <c r="AD663" s="102" t="str">
        <f aca="false">IF($A663="","",IFERROR(IF(VLOOKUP($A663,'Risk Register'!$B$2:$H$1000,4,FALSE())&gt;=4,"Yes",""),""))</f>
        <v/>
      </c>
      <c r="AE663" s="102" t="str">
        <f aca="false">IF(OR($N663="", $O663=""),"",IF($N663&gt;=Lists!$AG$2,IF($O663&gt;=Lists!$AG$4,"High Value / High Risk","High Value / Low Risk"),IF($O663&gt;=Lists!$AG$4,"Low Value / High Risk","Low Value / Low Risk")))</f>
        <v/>
      </c>
      <c r="AF663" s="101"/>
      <c r="AG663" s="126"/>
      <c r="AH663" s="106" t="str">
        <f aca="false">IF($B663="","",COUNTIFS('Debt Backlog'!$AF$2:$AF$1000,$A663,'Debt Backlog'!$B$2:$B$1000,"&lt;&gt;",'Debt Backlog'!$N$2:$N$1000,"&lt;&gt;Done",'Debt Backlog'!$N$2:$N$1000,"&lt;&gt;Won't Fix",'Debt Backlog'!$N$2:$N$1000,"&lt;&gt;Duplicate"))</f>
        <v/>
      </c>
      <c r="AI663" s="103" t="str">
        <f aca="false">IF($B663="","",ROUND(SUMIFS('Debt Backlog'!$L$2:$L$1000,'Debt Backlog'!$AF$2:$AF$1000,$A663,'Debt Backlog'!$B$2:$B$1000,"&lt;&gt;",'Debt Backlog'!$N$2:$N$1000,"&lt;&gt;Done",'Debt Backlog'!$N$2:$N$1000,"&lt;&gt;Won't Fix",'Debt Backlog'!$N$2:$N$1000,"&lt;&gt;Duplicate"),2))</f>
        <v/>
      </c>
    </row>
    <row r="664" customFormat="false" ht="15.75" hidden="false" customHeight="true" outlineLevel="0" collapsed="false">
      <c r="A664" s="125"/>
      <c r="B664" s="101"/>
      <c r="C664" s="101"/>
      <c r="D664" s="101"/>
      <c r="E664" s="101"/>
      <c r="F664" s="101"/>
      <c r="G664" s="101"/>
      <c r="H664" s="101"/>
      <c r="I664" s="106"/>
      <c r="J664" s="106"/>
      <c r="K664" s="106"/>
      <c r="L664" s="106"/>
      <c r="M664" s="106"/>
      <c r="N664" s="103" t="str">
        <f aca="false">IF(OR($B664="", $I664="", $J664="", $K664="", $L664="", $M664=""),"",ROUND(($I664*Lists!$AD$2)+($J664*Lists!$AD$3)+($K664*Lists!$AD$4)+($L664*Lists!$AD$5)+($M664*Lists!$AD$6),2))</f>
        <v/>
      </c>
      <c r="O664" s="103" t="str">
        <f aca="false">IF($A664="","",IFERROR(VLOOKUP($A664,'Risk Register'!$B$2:$I$1000,8,FALSE()),""))</f>
        <v/>
      </c>
      <c r="P664" s="106"/>
      <c r="Q664" s="106"/>
      <c r="R664" s="106"/>
      <c r="S664" s="106"/>
      <c r="T664" s="103" t="str">
        <f aca="false">IF(OR($B664="", $P664="", $Q664="", $R664="", $S664=""),"",ROUND(($P664*Lists!$AD$7)+($Q664*Lists!$AD$8)+($R664*Lists!$AD$9)+($S664*Lists!$AD$10),2))</f>
        <v/>
      </c>
      <c r="U664" s="106"/>
      <c r="V664" s="106"/>
      <c r="W664" s="106"/>
      <c r="X664" s="106"/>
      <c r="Y664" s="106"/>
      <c r="Z664" s="103" t="str">
        <f aca="false">IF(OR($B664="", $U664="", $V664="", $W664="", $X664="", $Y664=""),"",ROUND(($U664*Lists!$AD$11)+($V664*Lists!$AD$12)+($W664*Lists!$AD$13)+($X664*Lists!$AD$14)+($Y664*Lists!$AD$15),2))</f>
        <v/>
      </c>
      <c r="AA664" s="103" t="str">
        <f aca="false">IF(OR($B664="", $N664="", $O664="", $T664="", $Z664=""),"",ROUND(($N664*Lists!$AD$16)-($O664*Lists!$AD$17)-($T664*Lists!$AD$18)+($Z664*Lists!$AD$19),2))</f>
        <v/>
      </c>
      <c r="AB664" s="102" t="str">
        <f aca="false">IF(OR($B664="", $N664="", $Z664=""),"",IF($N664&gt;=Lists!$AG$2,IF($Z664&gt;=Lists!$AG$3,"Invest","Migrate"),IF($Z664&gt;=Lists!$AG$3,"Tolerate","Eliminate")))</f>
        <v/>
      </c>
      <c r="AC664" s="102" t="str">
        <f aca="false">IF($B664="","",IF($J664&gt;=4,"Yes",""))</f>
        <v/>
      </c>
      <c r="AD664" s="102" t="str">
        <f aca="false">IF($A664="","",IFERROR(IF(VLOOKUP($A664,'Risk Register'!$B$2:$H$1000,4,FALSE())&gt;=4,"Yes",""),""))</f>
        <v/>
      </c>
      <c r="AE664" s="102" t="str">
        <f aca="false">IF(OR($N664="", $O664=""),"",IF($N664&gt;=Lists!$AG$2,IF($O664&gt;=Lists!$AG$4,"High Value / High Risk","High Value / Low Risk"),IF($O664&gt;=Lists!$AG$4,"Low Value / High Risk","Low Value / Low Risk")))</f>
        <v/>
      </c>
      <c r="AF664" s="101"/>
      <c r="AG664" s="126"/>
      <c r="AH664" s="106" t="str">
        <f aca="false">IF($B664="","",COUNTIFS('Debt Backlog'!$AF$2:$AF$1000,$A664,'Debt Backlog'!$B$2:$B$1000,"&lt;&gt;",'Debt Backlog'!$N$2:$N$1000,"&lt;&gt;Done",'Debt Backlog'!$N$2:$N$1000,"&lt;&gt;Won't Fix",'Debt Backlog'!$N$2:$N$1000,"&lt;&gt;Duplicate"))</f>
        <v/>
      </c>
      <c r="AI664" s="103" t="str">
        <f aca="false">IF($B664="","",ROUND(SUMIFS('Debt Backlog'!$L$2:$L$1000,'Debt Backlog'!$AF$2:$AF$1000,$A664,'Debt Backlog'!$B$2:$B$1000,"&lt;&gt;",'Debt Backlog'!$N$2:$N$1000,"&lt;&gt;Done",'Debt Backlog'!$N$2:$N$1000,"&lt;&gt;Won't Fix",'Debt Backlog'!$N$2:$N$1000,"&lt;&gt;Duplicate"),2))</f>
        <v/>
      </c>
    </row>
    <row r="665" customFormat="false" ht="15.75" hidden="false" customHeight="true" outlineLevel="0" collapsed="false">
      <c r="A665" s="125"/>
      <c r="B665" s="101"/>
      <c r="C665" s="101"/>
      <c r="D665" s="101"/>
      <c r="E665" s="101"/>
      <c r="F665" s="101"/>
      <c r="G665" s="101"/>
      <c r="H665" s="101"/>
      <c r="I665" s="106"/>
      <c r="J665" s="106"/>
      <c r="K665" s="106"/>
      <c r="L665" s="106"/>
      <c r="M665" s="106"/>
      <c r="N665" s="103" t="str">
        <f aca="false">IF(OR($B665="", $I665="", $J665="", $K665="", $L665="", $M665=""),"",ROUND(($I665*Lists!$AD$2)+($J665*Lists!$AD$3)+($K665*Lists!$AD$4)+($L665*Lists!$AD$5)+($M665*Lists!$AD$6),2))</f>
        <v/>
      </c>
      <c r="O665" s="103" t="str">
        <f aca="false">IF($A665="","",IFERROR(VLOOKUP($A665,'Risk Register'!$B$2:$I$1000,8,FALSE()),""))</f>
        <v/>
      </c>
      <c r="P665" s="106"/>
      <c r="Q665" s="106"/>
      <c r="R665" s="106"/>
      <c r="S665" s="106"/>
      <c r="T665" s="103" t="str">
        <f aca="false">IF(OR($B665="", $P665="", $Q665="", $R665="", $S665=""),"",ROUND(($P665*Lists!$AD$7)+($Q665*Lists!$AD$8)+($R665*Lists!$AD$9)+($S665*Lists!$AD$10),2))</f>
        <v/>
      </c>
      <c r="U665" s="106"/>
      <c r="V665" s="106"/>
      <c r="W665" s="106"/>
      <c r="X665" s="106"/>
      <c r="Y665" s="106"/>
      <c r="Z665" s="103" t="str">
        <f aca="false">IF(OR($B665="", $U665="", $V665="", $W665="", $X665="", $Y665=""),"",ROUND(($U665*Lists!$AD$11)+($V665*Lists!$AD$12)+($W665*Lists!$AD$13)+($X665*Lists!$AD$14)+($Y665*Lists!$AD$15),2))</f>
        <v/>
      </c>
      <c r="AA665" s="103" t="str">
        <f aca="false">IF(OR($B665="", $N665="", $O665="", $T665="", $Z665=""),"",ROUND(($N665*Lists!$AD$16)-($O665*Lists!$AD$17)-($T665*Lists!$AD$18)+($Z665*Lists!$AD$19),2))</f>
        <v/>
      </c>
      <c r="AB665" s="102" t="str">
        <f aca="false">IF(OR($B665="", $N665="", $Z665=""),"",IF($N665&gt;=Lists!$AG$2,IF($Z665&gt;=Lists!$AG$3,"Invest","Migrate"),IF($Z665&gt;=Lists!$AG$3,"Tolerate","Eliminate")))</f>
        <v/>
      </c>
      <c r="AC665" s="102" t="str">
        <f aca="false">IF($B665="","",IF($J665&gt;=4,"Yes",""))</f>
        <v/>
      </c>
      <c r="AD665" s="102" t="str">
        <f aca="false">IF($A665="","",IFERROR(IF(VLOOKUP($A665,'Risk Register'!$B$2:$H$1000,4,FALSE())&gt;=4,"Yes",""),""))</f>
        <v/>
      </c>
      <c r="AE665" s="102" t="str">
        <f aca="false">IF(OR($N665="", $O665=""),"",IF($N665&gt;=Lists!$AG$2,IF($O665&gt;=Lists!$AG$4,"High Value / High Risk","High Value / Low Risk"),IF($O665&gt;=Lists!$AG$4,"Low Value / High Risk","Low Value / Low Risk")))</f>
        <v/>
      </c>
      <c r="AF665" s="101"/>
      <c r="AG665" s="126"/>
      <c r="AH665" s="106" t="str">
        <f aca="false">IF($B665="","",COUNTIFS('Debt Backlog'!$AF$2:$AF$1000,$A665,'Debt Backlog'!$B$2:$B$1000,"&lt;&gt;",'Debt Backlog'!$N$2:$N$1000,"&lt;&gt;Done",'Debt Backlog'!$N$2:$N$1000,"&lt;&gt;Won't Fix",'Debt Backlog'!$N$2:$N$1000,"&lt;&gt;Duplicate"))</f>
        <v/>
      </c>
      <c r="AI665" s="103" t="str">
        <f aca="false">IF($B665="","",ROUND(SUMIFS('Debt Backlog'!$L$2:$L$1000,'Debt Backlog'!$AF$2:$AF$1000,$A665,'Debt Backlog'!$B$2:$B$1000,"&lt;&gt;",'Debt Backlog'!$N$2:$N$1000,"&lt;&gt;Done",'Debt Backlog'!$N$2:$N$1000,"&lt;&gt;Won't Fix",'Debt Backlog'!$N$2:$N$1000,"&lt;&gt;Duplicate"),2))</f>
        <v/>
      </c>
    </row>
    <row r="666" customFormat="false" ht="15.75" hidden="false" customHeight="true" outlineLevel="0" collapsed="false">
      <c r="A666" s="125"/>
      <c r="B666" s="101"/>
      <c r="C666" s="101"/>
      <c r="D666" s="101"/>
      <c r="E666" s="101"/>
      <c r="F666" s="101"/>
      <c r="G666" s="101"/>
      <c r="H666" s="101"/>
      <c r="I666" s="106"/>
      <c r="J666" s="106"/>
      <c r="K666" s="106"/>
      <c r="L666" s="106"/>
      <c r="M666" s="106"/>
      <c r="N666" s="103" t="str">
        <f aca="false">IF(OR($B666="", $I666="", $J666="", $K666="", $L666="", $M666=""),"",ROUND(($I666*Lists!$AD$2)+($J666*Lists!$AD$3)+($K666*Lists!$AD$4)+($L666*Lists!$AD$5)+($M666*Lists!$AD$6),2))</f>
        <v/>
      </c>
      <c r="O666" s="103" t="str">
        <f aca="false">IF($A666="","",IFERROR(VLOOKUP($A666,'Risk Register'!$B$2:$I$1000,8,FALSE()),""))</f>
        <v/>
      </c>
      <c r="P666" s="106"/>
      <c r="Q666" s="106"/>
      <c r="R666" s="106"/>
      <c r="S666" s="106"/>
      <c r="T666" s="103" t="str">
        <f aca="false">IF(OR($B666="", $P666="", $Q666="", $R666="", $S666=""),"",ROUND(($P666*Lists!$AD$7)+($Q666*Lists!$AD$8)+($R666*Lists!$AD$9)+($S666*Lists!$AD$10),2))</f>
        <v/>
      </c>
      <c r="U666" s="106"/>
      <c r="V666" s="106"/>
      <c r="W666" s="106"/>
      <c r="X666" s="106"/>
      <c r="Y666" s="106"/>
      <c r="Z666" s="103" t="str">
        <f aca="false">IF(OR($B666="", $U666="", $V666="", $W666="", $X666="", $Y666=""),"",ROUND(($U666*Lists!$AD$11)+($V666*Lists!$AD$12)+($W666*Lists!$AD$13)+($X666*Lists!$AD$14)+($Y666*Lists!$AD$15),2))</f>
        <v/>
      </c>
      <c r="AA666" s="103" t="str">
        <f aca="false">IF(OR($B666="", $N666="", $O666="", $T666="", $Z666=""),"",ROUND(($N666*Lists!$AD$16)-($O666*Lists!$AD$17)-($T666*Lists!$AD$18)+($Z666*Lists!$AD$19),2))</f>
        <v/>
      </c>
      <c r="AB666" s="102" t="str">
        <f aca="false">IF(OR($B666="", $N666="", $Z666=""),"",IF($N666&gt;=Lists!$AG$2,IF($Z666&gt;=Lists!$AG$3,"Invest","Migrate"),IF($Z666&gt;=Lists!$AG$3,"Tolerate","Eliminate")))</f>
        <v/>
      </c>
      <c r="AC666" s="102" t="str">
        <f aca="false">IF($B666="","",IF($J666&gt;=4,"Yes",""))</f>
        <v/>
      </c>
      <c r="AD666" s="102" t="str">
        <f aca="false">IF($A666="","",IFERROR(IF(VLOOKUP($A666,'Risk Register'!$B$2:$H$1000,4,FALSE())&gt;=4,"Yes",""),""))</f>
        <v/>
      </c>
      <c r="AE666" s="102" t="str">
        <f aca="false">IF(OR($N666="", $O666=""),"",IF($N666&gt;=Lists!$AG$2,IF($O666&gt;=Lists!$AG$4,"High Value / High Risk","High Value / Low Risk"),IF($O666&gt;=Lists!$AG$4,"Low Value / High Risk","Low Value / Low Risk")))</f>
        <v/>
      </c>
      <c r="AF666" s="101"/>
      <c r="AG666" s="126"/>
      <c r="AH666" s="106" t="str">
        <f aca="false">IF($B666="","",COUNTIFS('Debt Backlog'!$AF$2:$AF$1000,$A666,'Debt Backlog'!$B$2:$B$1000,"&lt;&gt;",'Debt Backlog'!$N$2:$N$1000,"&lt;&gt;Done",'Debt Backlog'!$N$2:$N$1000,"&lt;&gt;Won't Fix",'Debt Backlog'!$N$2:$N$1000,"&lt;&gt;Duplicate"))</f>
        <v/>
      </c>
      <c r="AI666" s="103" t="str">
        <f aca="false">IF($B666="","",ROUND(SUMIFS('Debt Backlog'!$L$2:$L$1000,'Debt Backlog'!$AF$2:$AF$1000,$A666,'Debt Backlog'!$B$2:$B$1000,"&lt;&gt;",'Debt Backlog'!$N$2:$N$1000,"&lt;&gt;Done",'Debt Backlog'!$N$2:$N$1000,"&lt;&gt;Won't Fix",'Debt Backlog'!$N$2:$N$1000,"&lt;&gt;Duplicate"),2))</f>
        <v/>
      </c>
    </row>
    <row r="667" customFormat="false" ht="15.75" hidden="false" customHeight="true" outlineLevel="0" collapsed="false">
      <c r="A667" s="125"/>
      <c r="B667" s="101"/>
      <c r="C667" s="101"/>
      <c r="D667" s="101"/>
      <c r="E667" s="101"/>
      <c r="F667" s="101"/>
      <c r="G667" s="101"/>
      <c r="H667" s="101"/>
      <c r="I667" s="106"/>
      <c r="J667" s="106"/>
      <c r="K667" s="106"/>
      <c r="L667" s="106"/>
      <c r="M667" s="106"/>
      <c r="N667" s="103" t="str">
        <f aca="false">IF(OR($B667="", $I667="", $J667="", $K667="", $L667="", $M667=""),"",ROUND(($I667*Lists!$AD$2)+($J667*Lists!$AD$3)+($K667*Lists!$AD$4)+($L667*Lists!$AD$5)+($M667*Lists!$AD$6),2))</f>
        <v/>
      </c>
      <c r="O667" s="103" t="str">
        <f aca="false">IF($A667="","",IFERROR(VLOOKUP($A667,'Risk Register'!$B$2:$I$1000,8,FALSE()),""))</f>
        <v/>
      </c>
      <c r="P667" s="106"/>
      <c r="Q667" s="106"/>
      <c r="R667" s="106"/>
      <c r="S667" s="106"/>
      <c r="T667" s="103" t="str">
        <f aca="false">IF(OR($B667="", $P667="", $Q667="", $R667="", $S667=""),"",ROUND(($P667*Lists!$AD$7)+($Q667*Lists!$AD$8)+($R667*Lists!$AD$9)+($S667*Lists!$AD$10),2))</f>
        <v/>
      </c>
      <c r="U667" s="106"/>
      <c r="V667" s="106"/>
      <c r="W667" s="106"/>
      <c r="X667" s="106"/>
      <c r="Y667" s="106"/>
      <c r="Z667" s="103" t="str">
        <f aca="false">IF(OR($B667="", $U667="", $V667="", $W667="", $X667="", $Y667=""),"",ROUND(($U667*Lists!$AD$11)+($V667*Lists!$AD$12)+($W667*Lists!$AD$13)+($X667*Lists!$AD$14)+($Y667*Lists!$AD$15),2))</f>
        <v/>
      </c>
      <c r="AA667" s="103" t="str">
        <f aca="false">IF(OR($B667="", $N667="", $O667="", $T667="", $Z667=""),"",ROUND(($N667*Lists!$AD$16)-($O667*Lists!$AD$17)-($T667*Lists!$AD$18)+($Z667*Lists!$AD$19),2))</f>
        <v/>
      </c>
      <c r="AB667" s="102" t="str">
        <f aca="false">IF(OR($B667="", $N667="", $Z667=""),"",IF($N667&gt;=Lists!$AG$2,IF($Z667&gt;=Lists!$AG$3,"Invest","Migrate"),IF($Z667&gt;=Lists!$AG$3,"Tolerate","Eliminate")))</f>
        <v/>
      </c>
      <c r="AC667" s="102" t="str">
        <f aca="false">IF($B667="","",IF($J667&gt;=4,"Yes",""))</f>
        <v/>
      </c>
      <c r="AD667" s="102" t="str">
        <f aca="false">IF($A667="","",IFERROR(IF(VLOOKUP($A667,'Risk Register'!$B$2:$H$1000,4,FALSE())&gt;=4,"Yes",""),""))</f>
        <v/>
      </c>
      <c r="AE667" s="102" t="str">
        <f aca="false">IF(OR($N667="", $O667=""),"",IF($N667&gt;=Lists!$AG$2,IF($O667&gt;=Lists!$AG$4,"High Value / High Risk","High Value / Low Risk"),IF($O667&gt;=Lists!$AG$4,"Low Value / High Risk","Low Value / Low Risk")))</f>
        <v/>
      </c>
      <c r="AF667" s="101"/>
      <c r="AG667" s="126"/>
      <c r="AH667" s="106" t="str">
        <f aca="false">IF($B667="","",COUNTIFS('Debt Backlog'!$AF$2:$AF$1000,$A667,'Debt Backlog'!$B$2:$B$1000,"&lt;&gt;",'Debt Backlog'!$N$2:$N$1000,"&lt;&gt;Done",'Debt Backlog'!$N$2:$N$1000,"&lt;&gt;Won't Fix",'Debt Backlog'!$N$2:$N$1000,"&lt;&gt;Duplicate"))</f>
        <v/>
      </c>
      <c r="AI667" s="103" t="str">
        <f aca="false">IF($B667="","",ROUND(SUMIFS('Debt Backlog'!$L$2:$L$1000,'Debt Backlog'!$AF$2:$AF$1000,$A667,'Debt Backlog'!$B$2:$B$1000,"&lt;&gt;",'Debt Backlog'!$N$2:$N$1000,"&lt;&gt;Done",'Debt Backlog'!$N$2:$N$1000,"&lt;&gt;Won't Fix",'Debt Backlog'!$N$2:$N$1000,"&lt;&gt;Duplicate"),2))</f>
        <v/>
      </c>
    </row>
    <row r="668" customFormat="false" ht="15.75" hidden="false" customHeight="true" outlineLevel="0" collapsed="false">
      <c r="A668" s="125"/>
      <c r="B668" s="101"/>
      <c r="C668" s="101"/>
      <c r="D668" s="101"/>
      <c r="E668" s="101"/>
      <c r="F668" s="101"/>
      <c r="G668" s="101"/>
      <c r="H668" s="101"/>
      <c r="I668" s="106"/>
      <c r="J668" s="106"/>
      <c r="K668" s="106"/>
      <c r="L668" s="106"/>
      <c r="M668" s="106"/>
      <c r="N668" s="103" t="str">
        <f aca="false">IF(OR($B668="", $I668="", $J668="", $K668="", $L668="", $M668=""),"",ROUND(($I668*Lists!$AD$2)+($J668*Lists!$AD$3)+($K668*Lists!$AD$4)+($L668*Lists!$AD$5)+($M668*Lists!$AD$6),2))</f>
        <v/>
      </c>
      <c r="O668" s="103" t="str">
        <f aca="false">IF($A668="","",IFERROR(VLOOKUP($A668,'Risk Register'!$B$2:$I$1000,8,FALSE()),""))</f>
        <v/>
      </c>
      <c r="P668" s="106"/>
      <c r="Q668" s="106"/>
      <c r="R668" s="106"/>
      <c r="S668" s="106"/>
      <c r="T668" s="103" t="str">
        <f aca="false">IF(OR($B668="", $P668="", $Q668="", $R668="", $S668=""),"",ROUND(($P668*Lists!$AD$7)+($Q668*Lists!$AD$8)+($R668*Lists!$AD$9)+($S668*Lists!$AD$10),2))</f>
        <v/>
      </c>
      <c r="U668" s="106"/>
      <c r="V668" s="106"/>
      <c r="W668" s="106"/>
      <c r="X668" s="106"/>
      <c r="Y668" s="106"/>
      <c r="Z668" s="103" t="str">
        <f aca="false">IF(OR($B668="", $U668="", $V668="", $W668="", $X668="", $Y668=""),"",ROUND(($U668*Lists!$AD$11)+($V668*Lists!$AD$12)+($W668*Lists!$AD$13)+($X668*Lists!$AD$14)+($Y668*Lists!$AD$15),2))</f>
        <v/>
      </c>
      <c r="AA668" s="103" t="str">
        <f aca="false">IF(OR($B668="", $N668="", $O668="", $T668="", $Z668=""),"",ROUND(($N668*Lists!$AD$16)-($O668*Lists!$AD$17)-($T668*Lists!$AD$18)+($Z668*Lists!$AD$19),2))</f>
        <v/>
      </c>
      <c r="AB668" s="102" t="str">
        <f aca="false">IF(OR($B668="", $N668="", $Z668=""),"",IF($N668&gt;=Lists!$AG$2,IF($Z668&gt;=Lists!$AG$3,"Invest","Migrate"),IF($Z668&gt;=Lists!$AG$3,"Tolerate","Eliminate")))</f>
        <v/>
      </c>
      <c r="AC668" s="102" t="str">
        <f aca="false">IF($B668="","",IF($J668&gt;=4,"Yes",""))</f>
        <v/>
      </c>
      <c r="AD668" s="102" t="str">
        <f aca="false">IF($A668="","",IFERROR(IF(VLOOKUP($A668,'Risk Register'!$B$2:$H$1000,4,FALSE())&gt;=4,"Yes",""),""))</f>
        <v/>
      </c>
      <c r="AE668" s="102" t="str">
        <f aca="false">IF(OR($N668="", $O668=""),"",IF($N668&gt;=Lists!$AG$2,IF($O668&gt;=Lists!$AG$4,"High Value / High Risk","High Value / Low Risk"),IF($O668&gt;=Lists!$AG$4,"Low Value / High Risk","Low Value / Low Risk")))</f>
        <v/>
      </c>
      <c r="AF668" s="101"/>
      <c r="AG668" s="126"/>
      <c r="AH668" s="106" t="str">
        <f aca="false">IF($B668="","",COUNTIFS('Debt Backlog'!$AF$2:$AF$1000,$A668,'Debt Backlog'!$B$2:$B$1000,"&lt;&gt;",'Debt Backlog'!$N$2:$N$1000,"&lt;&gt;Done",'Debt Backlog'!$N$2:$N$1000,"&lt;&gt;Won't Fix",'Debt Backlog'!$N$2:$N$1000,"&lt;&gt;Duplicate"))</f>
        <v/>
      </c>
      <c r="AI668" s="103" t="str">
        <f aca="false">IF($B668="","",ROUND(SUMIFS('Debt Backlog'!$L$2:$L$1000,'Debt Backlog'!$AF$2:$AF$1000,$A668,'Debt Backlog'!$B$2:$B$1000,"&lt;&gt;",'Debt Backlog'!$N$2:$N$1000,"&lt;&gt;Done",'Debt Backlog'!$N$2:$N$1000,"&lt;&gt;Won't Fix",'Debt Backlog'!$N$2:$N$1000,"&lt;&gt;Duplicate"),2))</f>
        <v/>
      </c>
    </row>
    <row r="669" customFormat="false" ht="15.75" hidden="false" customHeight="true" outlineLevel="0" collapsed="false">
      <c r="A669" s="125"/>
      <c r="B669" s="101"/>
      <c r="C669" s="101"/>
      <c r="D669" s="101"/>
      <c r="E669" s="101"/>
      <c r="F669" s="101"/>
      <c r="G669" s="101"/>
      <c r="H669" s="101"/>
      <c r="I669" s="106"/>
      <c r="J669" s="106"/>
      <c r="K669" s="106"/>
      <c r="L669" s="106"/>
      <c r="M669" s="106"/>
      <c r="N669" s="103" t="str">
        <f aca="false">IF(OR($B669="", $I669="", $J669="", $K669="", $L669="", $M669=""),"",ROUND(($I669*Lists!$AD$2)+($J669*Lists!$AD$3)+($K669*Lists!$AD$4)+($L669*Lists!$AD$5)+($M669*Lists!$AD$6),2))</f>
        <v/>
      </c>
      <c r="O669" s="103" t="str">
        <f aca="false">IF($A669="","",IFERROR(VLOOKUP($A669,'Risk Register'!$B$2:$I$1000,8,FALSE()),""))</f>
        <v/>
      </c>
      <c r="P669" s="106"/>
      <c r="Q669" s="106"/>
      <c r="R669" s="106"/>
      <c r="S669" s="106"/>
      <c r="T669" s="103" t="str">
        <f aca="false">IF(OR($B669="", $P669="", $Q669="", $R669="", $S669=""),"",ROUND(($P669*Lists!$AD$7)+($Q669*Lists!$AD$8)+($R669*Lists!$AD$9)+($S669*Lists!$AD$10),2))</f>
        <v/>
      </c>
      <c r="U669" s="106"/>
      <c r="V669" s="106"/>
      <c r="W669" s="106"/>
      <c r="X669" s="106"/>
      <c r="Y669" s="106"/>
      <c r="Z669" s="103" t="str">
        <f aca="false">IF(OR($B669="", $U669="", $V669="", $W669="", $X669="", $Y669=""),"",ROUND(($U669*Lists!$AD$11)+($V669*Lists!$AD$12)+($W669*Lists!$AD$13)+($X669*Lists!$AD$14)+($Y669*Lists!$AD$15),2))</f>
        <v/>
      </c>
      <c r="AA669" s="103" t="str">
        <f aca="false">IF(OR($B669="", $N669="", $O669="", $T669="", $Z669=""),"",ROUND(($N669*Lists!$AD$16)-($O669*Lists!$AD$17)-($T669*Lists!$AD$18)+($Z669*Lists!$AD$19),2))</f>
        <v/>
      </c>
      <c r="AB669" s="102" t="str">
        <f aca="false">IF(OR($B669="", $N669="", $Z669=""),"",IF($N669&gt;=Lists!$AG$2,IF($Z669&gt;=Lists!$AG$3,"Invest","Migrate"),IF($Z669&gt;=Lists!$AG$3,"Tolerate","Eliminate")))</f>
        <v/>
      </c>
      <c r="AC669" s="102" t="str">
        <f aca="false">IF($B669="","",IF($J669&gt;=4,"Yes",""))</f>
        <v/>
      </c>
      <c r="AD669" s="102" t="str">
        <f aca="false">IF($A669="","",IFERROR(IF(VLOOKUP($A669,'Risk Register'!$B$2:$H$1000,4,FALSE())&gt;=4,"Yes",""),""))</f>
        <v/>
      </c>
      <c r="AE669" s="102" t="str">
        <f aca="false">IF(OR($N669="", $O669=""),"",IF($N669&gt;=Lists!$AG$2,IF($O669&gt;=Lists!$AG$4,"High Value / High Risk","High Value / Low Risk"),IF($O669&gt;=Lists!$AG$4,"Low Value / High Risk","Low Value / Low Risk")))</f>
        <v/>
      </c>
      <c r="AF669" s="101"/>
      <c r="AG669" s="126"/>
      <c r="AH669" s="106" t="str">
        <f aca="false">IF($B669="","",COUNTIFS('Debt Backlog'!$AF$2:$AF$1000,$A669,'Debt Backlog'!$B$2:$B$1000,"&lt;&gt;",'Debt Backlog'!$N$2:$N$1000,"&lt;&gt;Done",'Debt Backlog'!$N$2:$N$1000,"&lt;&gt;Won't Fix",'Debt Backlog'!$N$2:$N$1000,"&lt;&gt;Duplicate"))</f>
        <v/>
      </c>
      <c r="AI669" s="103" t="str">
        <f aca="false">IF($B669="","",ROUND(SUMIFS('Debt Backlog'!$L$2:$L$1000,'Debt Backlog'!$AF$2:$AF$1000,$A669,'Debt Backlog'!$B$2:$B$1000,"&lt;&gt;",'Debt Backlog'!$N$2:$N$1000,"&lt;&gt;Done",'Debt Backlog'!$N$2:$N$1000,"&lt;&gt;Won't Fix",'Debt Backlog'!$N$2:$N$1000,"&lt;&gt;Duplicate"),2))</f>
        <v/>
      </c>
    </row>
    <row r="670" customFormat="false" ht="15.75" hidden="false" customHeight="true" outlineLevel="0" collapsed="false">
      <c r="A670" s="125"/>
      <c r="B670" s="101"/>
      <c r="C670" s="101"/>
      <c r="D670" s="101"/>
      <c r="E670" s="101"/>
      <c r="F670" s="101"/>
      <c r="G670" s="101"/>
      <c r="H670" s="101"/>
      <c r="I670" s="106"/>
      <c r="J670" s="106"/>
      <c r="K670" s="106"/>
      <c r="L670" s="106"/>
      <c r="M670" s="106"/>
      <c r="N670" s="103" t="str">
        <f aca="false">IF(OR($B670="", $I670="", $J670="", $K670="", $L670="", $M670=""),"",ROUND(($I670*Lists!$AD$2)+($J670*Lists!$AD$3)+($K670*Lists!$AD$4)+($L670*Lists!$AD$5)+($M670*Lists!$AD$6),2))</f>
        <v/>
      </c>
      <c r="O670" s="103" t="str">
        <f aca="false">IF($A670="","",IFERROR(VLOOKUP($A670,'Risk Register'!$B$2:$I$1000,8,FALSE()),""))</f>
        <v/>
      </c>
      <c r="P670" s="106"/>
      <c r="Q670" s="106"/>
      <c r="R670" s="106"/>
      <c r="S670" s="106"/>
      <c r="T670" s="103" t="str">
        <f aca="false">IF(OR($B670="", $P670="", $Q670="", $R670="", $S670=""),"",ROUND(($P670*Lists!$AD$7)+($Q670*Lists!$AD$8)+($R670*Lists!$AD$9)+($S670*Lists!$AD$10),2))</f>
        <v/>
      </c>
      <c r="U670" s="106"/>
      <c r="V670" s="106"/>
      <c r="W670" s="106"/>
      <c r="X670" s="106"/>
      <c r="Y670" s="106"/>
      <c r="Z670" s="103" t="str">
        <f aca="false">IF(OR($B670="", $U670="", $V670="", $W670="", $X670="", $Y670=""),"",ROUND(($U670*Lists!$AD$11)+($V670*Lists!$AD$12)+($W670*Lists!$AD$13)+($X670*Lists!$AD$14)+($Y670*Lists!$AD$15),2))</f>
        <v/>
      </c>
      <c r="AA670" s="103" t="str">
        <f aca="false">IF(OR($B670="", $N670="", $O670="", $T670="", $Z670=""),"",ROUND(($N670*Lists!$AD$16)-($O670*Lists!$AD$17)-($T670*Lists!$AD$18)+($Z670*Lists!$AD$19),2))</f>
        <v/>
      </c>
      <c r="AB670" s="102" t="str">
        <f aca="false">IF(OR($B670="", $N670="", $Z670=""),"",IF($N670&gt;=Lists!$AG$2,IF($Z670&gt;=Lists!$AG$3,"Invest","Migrate"),IF($Z670&gt;=Lists!$AG$3,"Tolerate","Eliminate")))</f>
        <v/>
      </c>
      <c r="AC670" s="102" t="str">
        <f aca="false">IF($B670="","",IF($J670&gt;=4,"Yes",""))</f>
        <v/>
      </c>
      <c r="AD670" s="102" t="str">
        <f aca="false">IF($A670="","",IFERROR(IF(VLOOKUP($A670,'Risk Register'!$B$2:$H$1000,4,FALSE())&gt;=4,"Yes",""),""))</f>
        <v/>
      </c>
      <c r="AE670" s="102" t="str">
        <f aca="false">IF(OR($N670="", $O670=""),"",IF($N670&gt;=Lists!$AG$2,IF($O670&gt;=Lists!$AG$4,"High Value / High Risk","High Value / Low Risk"),IF($O670&gt;=Lists!$AG$4,"Low Value / High Risk","Low Value / Low Risk")))</f>
        <v/>
      </c>
      <c r="AF670" s="101"/>
      <c r="AG670" s="126"/>
      <c r="AH670" s="106" t="str">
        <f aca="false">IF($B670="","",COUNTIFS('Debt Backlog'!$AF$2:$AF$1000,$A670,'Debt Backlog'!$B$2:$B$1000,"&lt;&gt;",'Debt Backlog'!$N$2:$N$1000,"&lt;&gt;Done",'Debt Backlog'!$N$2:$N$1000,"&lt;&gt;Won't Fix",'Debt Backlog'!$N$2:$N$1000,"&lt;&gt;Duplicate"))</f>
        <v/>
      </c>
      <c r="AI670" s="103" t="str">
        <f aca="false">IF($B670="","",ROUND(SUMIFS('Debt Backlog'!$L$2:$L$1000,'Debt Backlog'!$AF$2:$AF$1000,$A670,'Debt Backlog'!$B$2:$B$1000,"&lt;&gt;",'Debt Backlog'!$N$2:$N$1000,"&lt;&gt;Done",'Debt Backlog'!$N$2:$N$1000,"&lt;&gt;Won't Fix",'Debt Backlog'!$N$2:$N$1000,"&lt;&gt;Duplicate"),2))</f>
        <v/>
      </c>
    </row>
    <row r="671" customFormat="false" ht="15.75" hidden="false" customHeight="true" outlineLevel="0" collapsed="false">
      <c r="A671" s="125"/>
      <c r="B671" s="101"/>
      <c r="C671" s="101"/>
      <c r="D671" s="101"/>
      <c r="E671" s="101"/>
      <c r="F671" s="101"/>
      <c r="G671" s="101"/>
      <c r="H671" s="101"/>
      <c r="I671" s="106"/>
      <c r="J671" s="106"/>
      <c r="K671" s="106"/>
      <c r="L671" s="106"/>
      <c r="M671" s="106"/>
      <c r="N671" s="103" t="str">
        <f aca="false">IF(OR($B671="", $I671="", $J671="", $K671="", $L671="", $M671=""),"",ROUND(($I671*Lists!$AD$2)+($J671*Lists!$AD$3)+($K671*Lists!$AD$4)+($L671*Lists!$AD$5)+($M671*Lists!$AD$6),2))</f>
        <v/>
      </c>
      <c r="O671" s="103" t="str">
        <f aca="false">IF($A671="","",IFERROR(VLOOKUP($A671,'Risk Register'!$B$2:$I$1000,8,FALSE()),""))</f>
        <v/>
      </c>
      <c r="P671" s="106"/>
      <c r="Q671" s="106"/>
      <c r="R671" s="106"/>
      <c r="S671" s="106"/>
      <c r="T671" s="103" t="str">
        <f aca="false">IF(OR($B671="", $P671="", $Q671="", $R671="", $S671=""),"",ROUND(($P671*Lists!$AD$7)+($Q671*Lists!$AD$8)+($R671*Lists!$AD$9)+($S671*Lists!$AD$10),2))</f>
        <v/>
      </c>
      <c r="U671" s="106"/>
      <c r="V671" s="106"/>
      <c r="W671" s="106"/>
      <c r="X671" s="106"/>
      <c r="Y671" s="106"/>
      <c r="Z671" s="103" t="str">
        <f aca="false">IF(OR($B671="", $U671="", $V671="", $W671="", $X671="", $Y671=""),"",ROUND(($U671*Lists!$AD$11)+($V671*Lists!$AD$12)+($W671*Lists!$AD$13)+($X671*Lists!$AD$14)+($Y671*Lists!$AD$15),2))</f>
        <v/>
      </c>
      <c r="AA671" s="103" t="str">
        <f aca="false">IF(OR($B671="", $N671="", $O671="", $T671="", $Z671=""),"",ROUND(($N671*Lists!$AD$16)-($O671*Lists!$AD$17)-($T671*Lists!$AD$18)+($Z671*Lists!$AD$19),2))</f>
        <v/>
      </c>
      <c r="AB671" s="102" t="str">
        <f aca="false">IF(OR($B671="", $N671="", $Z671=""),"",IF($N671&gt;=Lists!$AG$2,IF($Z671&gt;=Lists!$AG$3,"Invest","Migrate"),IF($Z671&gt;=Lists!$AG$3,"Tolerate","Eliminate")))</f>
        <v/>
      </c>
      <c r="AC671" s="102" t="str">
        <f aca="false">IF($B671="","",IF($J671&gt;=4,"Yes",""))</f>
        <v/>
      </c>
      <c r="AD671" s="102" t="str">
        <f aca="false">IF($A671="","",IFERROR(IF(VLOOKUP($A671,'Risk Register'!$B$2:$H$1000,4,FALSE())&gt;=4,"Yes",""),""))</f>
        <v/>
      </c>
      <c r="AE671" s="102" t="str">
        <f aca="false">IF(OR($N671="", $O671=""),"",IF($N671&gt;=Lists!$AG$2,IF($O671&gt;=Lists!$AG$4,"High Value / High Risk","High Value / Low Risk"),IF($O671&gt;=Lists!$AG$4,"Low Value / High Risk","Low Value / Low Risk")))</f>
        <v/>
      </c>
      <c r="AF671" s="101"/>
      <c r="AG671" s="126"/>
      <c r="AH671" s="106" t="str">
        <f aca="false">IF($B671="","",COUNTIFS('Debt Backlog'!$AF$2:$AF$1000,$A671,'Debt Backlog'!$B$2:$B$1000,"&lt;&gt;",'Debt Backlog'!$N$2:$N$1000,"&lt;&gt;Done",'Debt Backlog'!$N$2:$N$1000,"&lt;&gt;Won't Fix",'Debt Backlog'!$N$2:$N$1000,"&lt;&gt;Duplicate"))</f>
        <v/>
      </c>
      <c r="AI671" s="103" t="str">
        <f aca="false">IF($B671="","",ROUND(SUMIFS('Debt Backlog'!$L$2:$L$1000,'Debt Backlog'!$AF$2:$AF$1000,$A671,'Debt Backlog'!$B$2:$B$1000,"&lt;&gt;",'Debt Backlog'!$N$2:$N$1000,"&lt;&gt;Done",'Debt Backlog'!$N$2:$N$1000,"&lt;&gt;Won't Fix",'Debt Backlog'!$N$2:$N$1000,"&lt;&gt;Duplicate"),2))</f>
        <v/>
      </c>
    </row>
    <row r="672" customFormat="false" ht="15.75" hidden="false" customHeight="true" outlineLevel="0" collapsed="false">
      <c r="A672" s="125"/>
      <c r="B672" s="101"/>
      <c r="C672" s="101"/>
      <c r="D672" s="101"/>
      <c r="E672" s="101"/>
      <c r="F672" s="101"/>
      <c r="G672" s="101"/>
      <c r="H672" s="101"/>
      <c r="I672" s="106"/>
      <c r="J672" s="106"/>
      <c r="K672" s="106"/>
      <c r="L672" s="106"/>
      <c r="M672" s="106"/>
      <c r="N672" s="103" t="str">
        <f aca="false">IF(OR($B672="", $I672="", $J672="", $K672="", $L672="", $M672=""),"",ROUND(($I672*Lists!$AD$2)+($J672*Lists!$AD$3)+($K672*Lists!$AD$4)+($L672*Lists!$AD$5)+($M672*Lists!$AD$6),2))</f>
        <v/>
      </c>
      <c r="O672" s="103" t="str">
        <f aca="false">IF($A672="","",IFERROR(VLOOKUP($A672,'Risk Register'!$B$2:$I$1000,8,FALSE()),""))</f>
        <v/>
      </c>
      <c r="P672" s="106"/>
      <c r="Q672" s="106"/>
      <c r="R672" s="106"/>
      <c r="S672" s="106"/>
      <c r="T672" s="103" t="str">
        <f aca="false">IF(OR($B672="", $P672="", $Q672="", $R672="", $S672=""),"",ROUND(($P672*Lists!$AD$7)+($Q672*Lists!$AD$8)+($R672*Lists!$AD$9)+($S672*Lists!$AD$10),2))</f>
        <v/>
      </c>
      <c r="U672" s="106"/>
      <c r="V672" s="106"/>
      <c r="W672" s="106"/>
      <c r="X672" s="106"/>
      <c r="Y672" s="106"/>
      <c r="Z672" s="103" t="str">
        <f aca="false">IF(OR($B672="", $U672="", $V672="", $W672="", $X672="", $Y672=""),"",ROUND(($U672*Lists!$AD$11)+($V672*Lists!$AD$12)+($W672*Lists!$AD$13)+($X672*Lists!$AD$14)+($Y672*Lists!$AD$15),2))</f>
        <v/>
      </c>
      <c r="AA672" s="103" t="str">
        <f aca="false">IF(OR($B672="", $N672="", $O672="", $T672="", $Z672=""),"",ROUND(($N672*Lists!$AD$16)-($O672*Lists!$AD$17)-($T672*Lists!$AD$18)+($Z672*Lists!$AD$19),2))</f>
        <v/>
      </c>
      <c r="AB672" s="102" t="str">
        <f aca="false">IF(OR($B672="", $N672="", $Z672=""),"",IF($N672&gt;=Lists!$AG$2,IF($Z672&gt;=Lists!$AG$3,"Invest","Migrate"),IF($Z672&gt;=Lists!$AG$3,"Tolerate","Eliminate")))</f>
        <v/>
      </c>
      <c r="AC672" s="102" t="str">
        <f aca="false">IF($B672="","",IF($J672&gt;=4,"Yes",""))</f>
        <v/>
      </c>
      <c r="AD672" s="102" t="str">
        <f aca="false">IF($A672="","",IFERROR(IF(VLOOKUP($A672,'Risk Register'!$B$2:$H$1000,4,FALSE())&gt;=4,"Yes",""),""))</f>
        <v/>
      </c>
      <c r="AE672" s="102" t="str">
        <f aca="false">IF(OR($N672="", $O672=""),"",IF($N672&gt;=Lists!$AG$2,IF($O672&gt;=Lists!$AG$4,"High Value / High Risk","High Value / Low Risk"),IF($O672&gt;=Lists!$AG$4,"Low Value / High Risk","Low Value / Low Risk")))</f>
        <v/>
      </c>
      <c r="AF672" s="101"/>
      <c r="AG672" s="126"/>
      <c r="AH672" s="106" t="str">
        <f aca="false">IF($B672="","",COUNTIFS('Debt Backlog'!$AF$2:$AF$1000,$A672,'Debt Backlog'!$B$2:$B$1000,"&lt;&gt;",'Debt Backlog'!$N$2:$N$1000,"&lt;&gt;Done",'Debt Backlog'!$N$2:$N$1000,"&lt;&gt;Won't Fix",'Debt Backlog'!$N$2:$N$1000,"&lt;&gt;Duplicate"))</f>
        <v/>
      </c>
      <c r="AI672" s="103" t="str">
        <f aca="false">IF($B672="","",ROUND(SUMIFS('Debt Backlog'!$L$2:$L$1000,'Debt Backlog'!$AF$2:$AF$1000,$A672,'Debt Backlog'!$B$2:$B$1000,"&lt;&gt;",'Debt Backlog'!$N$2:$N$1000,"&lt;&gt;Done",'Debt Backlog'!$N$2:$N$1000,"&lt;&gt;Won't Fix",'Debt Backlog'!$N$2:$N$1000,"&lt;&gt;Duplicate"),2))</f>
        <v/>
      </c>
    </row>
    <row r="673" customFormat="false" ht="15.75" hidden="false" customHeight="true" outlineLevel="0" collapsed="false">
      <c r="A673" s="125"/>
      <c r="B673" s="101"/>
      <c r="C673" s="101"/>
      <c r="D673" s="101"/>
      <c r="E673" s="101"/>
      <c r="F673" s="101"/>
      <c r="G673" s="101"/>
      <c r="H673" s="101"/>
      <c r="I673" s="106"/>
      <c r="J673" s="106"/>
      <c r="K673" s="106"/>
      <c r="L673" s="106"/>
      <c r="M673" s="106"/>
      <c r="N673" s="103" t="str">
        <f aca="false">IF(OR($B673="", $I673="", $J673="", $K673="", $L673="", $M673=""),"",ROUND(($I673*Lists!$AD$2)+($J673*Lists!$AD$3)+($K673*Lists!$AD$4)+($L673*Lists!$AD$5)+($M673*Lists!$AD$6),2))</f>
        <v/>
      </c>
      <c r="O673" s="103" t="str">
        <f aca="false">IF($A673="","",IFERROR(VLOOKUP($A673,'Risk Register'!$B$2:$I$1000,8,FALSE()),""))</f>
        <v/>
      </c>
      <c r="P673" s="106"/>
      <c r="Q673" s="106"/>
      <c r="R673" s="106"/>
      <c r="S673" s="106"/>
      <c r="T673" s="103" t="str">
        <f aca="false">IF(OR($B673="", $P673="", $Q673="", $R673="", $S673=""),"",ROUND(($P673*Lists!$AD$7)+($Q673*Lists!$AD$8)+($R673*Lists!$AD$9)+($S673*Lists!$AD$10),2))</f>
        <v/>
      </c>
      <c r="U673" s="106"/>
      <c r="V673" s="106"/>
      <c r="W673" s="106"/>
      <c r="X673" s="106"/>
      <c r="Y673" s="106"/>
      <c r="Z673" s="103" t="str">
        <f aca="false">IF(OR($B673="", $U673="", $V673="", $W673="", $X673="", $Y673=""),"",ROUND(($U673*Lists!$AD$11)+($V673*Lists!$AD$12)+($W673*Lists!$AD$13)+($X673*Lists!$AD$14)+($Y673*Lists!$AD$15),2))</f>
        <v/>
      </c>
      <c r="AA673" s="103" t="str">
        <f aca="false">IF(OR($B673="", $N673="", $O673="", $T673="", $Z673=""),"",ROUND(($N673*Lists!$AD$16)-($O673*Lists!$AD$17)-($T673*Lists!$AD$18)+($Z673*Lists!$AD$19),2))</f>
        <v/>
      </c>
      <c r="AB673" s="102" t="str">
        <f aca="false">IF(OR($B673="", $N673="", $Z673=""),"",IF($N673&gt;=Lists!$AG$2,IF($Z673&gt;=Lists!$AG$3,"Invest","Migrate"),IF($Z673&gt;=Lists!$AG$3,"Tolerate","Eliminate")))</f>
        <v/>
      </c>
      <c r="AC673" s="102" t="str">
        <f aca="false">IF($B673="","",IF($J673&gt;=4,"Yes",""))</f>
        <v/>
      </c>
      <c r="AD673" s="102" t="str">
        <f aca="false">IF($A673="","",IFERROR(IF(VLOOKUP($A673,'Risk Register'!$B$2:$H$1000,4,FALSE())&gt;=4,"Yes",""),""))</f>
        <v/>
      </c>
      <c r="AE673" s="102" t="str">
        <f aca="false">IF(OR($N673="", $O673=""),"",IF($N673&gt;=Lists!$AG$2,IF($O673&gt;=Lists!$AG$4,"High Value / High Risk","High Value / Low Risk"),IF($O673&gt;=Lists!$AG$4,"Low Value / High Risk","Low Value / Low Risk")))</f>
        <v/>
      </c>
      <c r="AF673" s="101"/>
      <c r="AG673" s="126"/>
      <c r="AH673" s="106" t="str">
        <f aca="false">IF($B673="","",COUNTIFS('Debt Backlog'!$AF$2:$AF$1000,$A673,'Debt Backlog'!$B$2:$B$1000,"&lt;&gt;",'Debt Backlog'!$N$2:$N$1000,"&lt;&gt;Done",'Debt Backlog'!$N$2:$N$1000,"&lt;&gt;Won't Fix",'Debt Backlog'!$N$2:$N$1000,"&lt;&gt;Duplicate"))</f>
        <v/>
      </c>
      <c r="AI673" s="103" t="str">
        <f aca="false">IF($B673="","",ROUND(SUMIFS('Debt Backlog'!$L$2:$L$1000,'Debt Backlog'!$AF$2:$AF$1000,$A673,'Debt Backlog'!$B$2:$B$1000,"&lt;&gt;",'Debt Backlog'!$N$2:$N$1000,"&lt;&gt;Done",'Debt Backlog'!$N$2:$N$1000,"&lt;&gt;Won't Fix",'Debt Backlog'!$N$2:$N$1000,"&lt;&gt;Duplicate"),2))</f>
        <v/>
      </c>
    </row>
    <row r="674" customFormat="false" ht="15.75" hidden="false" customHeight="true" outlineLevel="0" collapsed="false">
      <c r="A674" s="125"/>
      <c r="B674" s="101"/>
      <c r="C674" s="101"/>
      <c r="D674" s="101"/>
      <c r="E674" s="101"/>
      <c r="F674" s="101"/>
      <c r="G674" s="101"/>
      <c r="H674" s="101"/>
      <c r="I674" s="106"/>
      <c r="J674" s="106"/>
      <c r="K674" s="106"/>
      <c r="L674" s="106"/>
      <c r="M674" s="106"/>
      <c r="N674" s="103" t="str">
        <f aca="false">IF(OR($B674="", $I674="", $J674="", $K674="", $L674="", $M674=""),"",ROUND(($I674*Lists!$AD$2)+($J674*Lists!$AD$3)+($K674*Lists!$AD$4)+($L674*Lists!$AD$5)+($M674*Lists!$AD$6),2))</f>
        <v/>
      </c>
      <c r="O674" s="103" t="str">
        <f aca="false">IF($A674="","",IFERROR(VLOOKUP($A674,'Risk Register'!$B$2:$I$1000,8,FALSE()),""))</f>
        <v/>
      </c>
      <c r="P674" s="106"/>
      <c r="Q674" s="106"/>
      <c r="R674" s="106"/>
      <c r="S674" s="106"/>
      <c r="T674" s="103" t="str">
        <f aca="false">IF(OR($B674="", $P674="", $Q674="", $R674="", $S674=""),"",ROUND(($P674*Lists!$AD$7)+($Q674*Lists!$AD$8)+($R674*Lists!$AD$9)+($S674*Lists!$AD$10),2))</f>
        <v/>
      </c>
      <c r="U674" s="106"/>
      <c r="V674" s="106"/>
      <c r="W674" s="106"/>
      <c r="X674" s="106"/>
      <c r="Y674" s="106"/>
      <c r="Z674" s="103" t="str">
        <f aca="false">IF(OR($B674="", $U674="", $V674="", $W674="", $X674="", $Y674=""),"",ROUND(($U674*Lists!$AD$11)+($V674*Lists!$AD$12)+($W674*Lists!$AD$13)+($X674*Lists!$AD$14)+($Y674*Lists!$AD$15),2))</f>
        <v/>
      </c>
      <c r="AA674" s="103" t="str">
        <f aca="false">IF(OR($B674="", $N674="", $O674="", $T674="", $Z674=""),"",ROUND(($N674*Lists!$AD$16)-($O674*Lists!$AD$17)-($T674*Lists!$AD$18)+($Z674*Lists!$AD$19),2))</f>
        <v/>
      </c>
      <c r="AB674" s="102" t="str">
        <f aca="false">IF(OR($B674="", $N674="", $Z674=""),"",IF($N674&gt;=Lists!$AG$2,IF($Z674&gt;=Lists!$AG$3,"Invest","Migrate"),IF($Z674&gt;=Lists!$AG$3,"Tolerate","Eliminate")))</f>
        <v/>
      </c>
      <c r="AC674" s="102" t="str">
        <f aca="false">IF($B674="","",IF($J674&gt;=4,"Yes",""))</f>
        <v/>
      </c>
      <c r="AD674" s="102" t="str">
        <f aca="false">IF($A674="","",IFERROR(IF(VLOOKUP($A674,'Risk Register'!$B$2:$H$1000,4,FALSE())&gt;=4,"Yes",""),""))</f>
        <v/>
      </c>
      <c r="AE674" s="102" t="str">
        <f aca="false">IF(OR($N674="", $O674=""),"",IF($N674&gt;=Lists!$AG$2,IF($O674&gt;=Lists!$AG$4,"High Value / High Risk","High Value / Low Risk"),IF($O674&gt;=Lists!$AG$4,"Low Value / High Risk","Low Value / Low Risk")))</f>
        <v/>
      </c>
      <c r="AF674" s="101"/>
      <c r="AG674" s="126"/>
      <c r="AH674" s="106" t="str">
        <f aca="false">IF($B674="","",COUNTIFS('Debt Backlog'!$AF$2:$AF$1000,$A674,'Debt Backlog'!$B$2:$B$1000,"&lt;&gt;",'Debt Backlog'!$N$2:$N$1000,"&lt;&gt;Done",'Debt Backlog'!$N$2:$N$1000,"&lt;&gt;Won't Fix",'Debt Backlog'!$N$2:$N$1000,"&lt;&gt;Duplicate"))</f>
        <v/>
      </c>
      <c r="AI674" s="103" t="str">
        <f aca="false">IF($B674="","",ROUND(SUMIFS('Debt Backlog'!$L$2:$L$1000,'Debt Backlog'!$AF$2:$AF$1000,$A674,'Debt Backlog'!$B$2:$B$1000,"&lt;&gt;",'Debt Backlog'!$N$2:$N$1000,"&lt;&gt;Done",'Debt Backlog'!$N$2:$N$1000,"&lt;&gt;Won't Fix",'Debt Backlog'!$N$2:$N$1000,"&lt;&gt;Duplicate"),2))</f>
        <v/>
      </c>
    </row>
    <row r="675" customFormat="false" ht="15.75" hidden="false" customHeight="true" outlineLevel="0" collapsed="false">
      <c r="A675" s="125"/>
      <c r="B675" s="101"/>
      <c r="C675" s="101"/>
      <c r="D675" s="101"/>
      <c r="E675" s="101"/>
      <c r="F675" s="101"/>
      <c r="G675" s="101"/>
      <c r="H675" s="101"/>
      <c r="I675" s="106"/>
      <c r="J675" s="106"/>
      <c r="K675" s="106"/>
      <c r="L675" s="106"/>
      <c r="M675" s="106"/>
      <c r="N675" s="103" t="str">
        <f aca="false">IF(OR($B675="", $I675="", $J675="", $K675="", $L675="", $M675=""),"",ROUND(($I675*Lists!$AD$2)+($J675*Lists!$AD$3)+($K675*Lists!$AD$4)+($L675*Lists!$AD$5)+($M675*Lists!$AD$6),2))</f>
        <v/>
      </c>
      <c r="O675" s="103" t="str">
        <f aca="false">IF($A675="","",IFERROR(VLOOKUP($A675,'Risk Register'!$B$2:$I$1000,8,FALSE()),""))</f>
        <v/>
      </c>
      <c r="P675" s="106"/>
      <c r="Q675" s="106"/>
      <c r="R675" s="106"/>
      <c r="S675" s="106"/>
      <c r="T675" s="103" t="str">
        <f aca="false">IF(OR($B675="", $P675="", $Q675="", $R675="", $S675=""),"",ROUND(($P675*Lists!$AD$7)+($Q675*Lists!$AD$8)+($R675*Lists!$AD$9)+($S675*Lists!$AD$10),2))</f>
        <v/>
      </c>
      <c r="U675" s="106"/>
      <c r="V675" s="106"/>
      <c r="W675" s="106"/>
      <c r="X675" s="106"/>
      <c r="Y675" s="106"/>
      <c r="Z675" s="103" t="str">
        <f aca="false">IF(OR($B675="", $U675="", $V675="", $W675="", $X675="", $Y675=""),"",ROUND(($U675*Lists!$AD$11)+($V675*Lists!$AD$12)+($W675*Lists!$AD$13)+($X675*Lists!$AD$14)+($Y675*Lists!$AD$15),2))</f>
        <v/>
      </c>
      <c r="AA675" s="103" t="str">
        <f aca="false">IF(OR($B675="", $N675="", $O675="", $T675="", $Z675=""),"",ROUND(($N675*Lists!$AD$16)-($O675*Lists!$AD$17)-($T675*Lists!$AD$18)+($Z675*Lists!$AD$19),2))</f>
        <v/>
      </c>
      <c r="AB675" s="102" t="str">
        <f aca="false">IF(OR($B675="", $N675="", $Z675=""),"",IF($N675&gt;=Lists!$AG$2,IF($Z675&gt;=Lists!$AG$3,"Invest","Migrate"),IF($Z675&gt;=Lists!$AG$3,"Tolerate","Eliminate")))</f>
        <v/>
      </c>
      <c r="AC675" s="102" t="str">
        <f aca="false">IF($B675="","",IF($J675&gt;=4,"Yes",""))</f>
        <v/>
      </c>
      <c r="AD675" s="102" t="str">
        <f aca="false">IF($A675="","",IFERROR(IF(VLOOKUP($A675,'Risk Register'!$B$2:$H$1000,4,FALSE())&gt;=4,"Yes",""),""))</f>
        <v/>
      </c>
      <c r="AE675" s="102" t="str">
        <f aca="false">IF(OR($N675="", $O675=""),"",IF($N675&gt;=Lists!$AG$2,IF($O675&gt;=Lists!$AG$4,"High Value / High Risk","High Value / Low Risk"),IF($O675&gt;=Lists!$AG$4,"Low Value / High Risk","Low Value / Low Risk")))</f>
        <v/>
      </c>
      <c r="AF675" s="101"/>
      <c r="AG675" s="126"/>
      <c r="AH675" s="106" t="str">
        <f aca="false">IF($B675="","",COUNTIFS('Debt Backlog'!$AF$2:$AF$1000,$A675,'Debt Backlog'!$B$2:$B$1000,"&lt;&gt;",'Debt Backlog'!$N$2:$N$1000,"&lt;&gt;Done",'Debt Backlog'!$N$2:$N$1000,"&lt;&gt;Won't Fix",'Debt Backlog'!$N$2:$N$1000,"&lt;&gt;Duplicate"))</f>
        <v/>
      </c>
      <c r="AI675" s="103" t="str">
        <f aca="false">IF($B675="","",ROUND(SUMIFS('Debt Backlog'!$L$2:$L$1000,'Debt Backlog'!$AF$2:$AF$1000,$A675,'Debt Backlog'!$B$2:$B$1000,"&lt;&gt;",'Debt Backlog'!$N$2:$N$1000,"&lt;&gt;Done",'Debt Backlog'!$N$2:$N$1000,"&lt;&gt;Won't Fix",'Debt Backlog'!$N$2:$N$1000,"&lt;&gt;Duplicate"),2))</f>
        <v/>
      </c>
    </row>
    <row r="676" customFormat="false" ht="15.75" hidden="false" customHeight="true" outlineLevel="0" collapsed="false">
      <c r="A676" s="125"/>
      <c r="B676" s="101"/>
      <c r="C676" s="101"/>
      <c r="D676" s="101"/>
      <c r="E676" s="101"/>
      <c r="F676" s="101"/>
      <c r="G676" s="101"/>
      <c r="H676" s="101"/>
      <c r="I676" s="106"/>
      <c r="J676" s="106"/>
      <c r="K676" s="106"/>
      <c r="L676" s="106"/>
      <c r="M676" s="106"/>
      <c r="N676" s="103" t="str">
        <f aca="false">IF(OR($B676="", $I676="", $J676="", $K676="", $L676="", $M676=""),"",ROUND(($I676*Lists!$AD$2)+($J676*Lists!$AD$3)+($K676*Lists!$AD$4)+($L676*Lists!$AD$5)+($M676*Lists!$AD$6),2))</f>
        <v/>
      </c>
      <c r="O676" s="103" t="str">
        <f aca="false">IF($A676="","",IFERROR(VLOOKUP($A676,'Risk Register'!$B$2:$I$1000,8,FALSE()),""))</f>
        <v/>
      </c>
      <c r="P676" s="106"/>
      <c r="Q676" s="106"/>
      <c r="R676" s="106"/>
      <c r="S676" s="106"/>
      <c r="T676" s="103" t="str">
        <f aca="false">IF(OR($B676="", $P676="", $Q676="", $R676="", $S676=""),"",ROUND(($P676*Lists!$AD$7)+($Q676*Lists!$AD$8)+($R676*Lists!$AD$9)+($S676*Lists!$AD$10),2))</f>
        <v/>
      </c>
      <c r="U676" s="106"/>
      <c r="V676" s="106"/>
      <c r="W676" s="106"/>
      <c r="X676" s="106"/>
      <c r="Y676" s="106"/>
      <c r="Z676" s="103" t="str">
        <f aca="false">IF(OR($B676="", $U676="", $V676="", $W676="", $X676="", $Y676=""),"",ROUND(($U676*Lists!$AD$11)+($V676*Lists!$AD$12)+($W676*Lists!$AD$13)+($X676*Lists!$AD$14)+($Y676*Lists!$AD$15),2))</f>
        <v/>
      </c>
      <c r="AA676" s="103" t="str">
        <f aca="false">IF(OR($B676="", $N676="", $O676="", $T676="", $Z676=""),"",ROUND(($N676*Lists!$AD$16)-($O676*Lists!$AD$17)-($T676*Lists!$AD$18)+($Z676*Lists!$AD$19),2))</f>
        <v/>
      </c>
      <c r="AB676" s="102" t="str">
        <f aca="false">IF(OR($B676="", $N676="", $Z676=""),"",IF($N676&gt;=Lists!$AG$2,IF($Z676&gt;=Lists!$AG$3,"Invest","Migrate"),IF($Z676&gt;=Lists!$AG$3,"Tolerate","Eliminate")))</f>
        <v/>
      </c>
      <c r="AC676" s="102" t="str">
        <f aca="false">IF($B676="","",IF($J676&gt;=4,"Yes",""))</f>
        <v/>
      </c>
      <c r="AD676" s="102" t="str">
        <f aca="false">IF($A676="","",IFERROR(IF(VLOOKUP($A676,'Risk Register'!$B$2:$H$1000,4,FALSE())&gt;=4,"Yes",""),""))</f>
        <v/>
      </c>
      <c r="AE676" s="102" t="str">
        <f aca="false">IF(OR($N676="", $O676=""),"",IF($N676&gt;=Lists!$AG$2,IF($O676&gt;=Lists!$AG$4,"High Value / High Risk","High Value / Low Risk"),IF($O676&gt;=Lists!$AG$4,"Low Value / High Risk","Low Value / Low Risk")))</f>
        <v/>
      </c>
      <c r="AF676" s="101"/>
      <c r="AG676" s="126"/>
      <c r="AH676" s="106" t="str">
        <f aca="false">IF($B676="","",COUNTIFS('Debt Backlog'!$AF$2:$AF$1000,$A676,'Debt Backlog'!$B$2:$B$1000,"&lt;&gt;",'Debt Backlog'!$N$2:$N$1000,"&lt;&gt;Done",'Debt Backlog'!$N$2:$N$1000,"&lt;&gt;Won't Fix",'Debt Backlog'!$N$2:$N$1000,"&lt;&gt;Duplicate"))</f>
        <v/>
      </c>
      <c r="AI676" s="103" t="str">
        <f aca="false">IF($B676="","",ROUND(SUMIFS('Debt Backlog'!$L$2:$L$1000,'Debt Backlog'!$AF$2:$AF$1000,$A676,'Debt Backlog'!$B$2:$B$1000,"&lt;&gt;",'Debt Backlog'!$N$2:$N$1000,"&lt;&gt;Done",'Debt Backlog'!$N$2:$N$1000,"&lt;&gt;Won't Fix",'Debt Backlog'!$N$2:$N$1000,"&lt;&gt;Duplicate"),2))</f>
        <v/>
      </c>
    </row>
    <row r="677" customFormat="false" ht="15.75" hidden="false" customHeight="true" outlineLevel="0" collapsed="false">
      <c r="A677" s="125"/>
      <c r="B677" s="101"/>
      <c r="C677" s="101"/>
      <c r="D677" s="101"/>
      <c r="E677" s="101"/>
      <c r="F677" s="101"/>
      <c r="G677" s="101"/>
      <c r="H677" s="101"/>
      <c r="I677" s="106"/>
      <c r="J677" s="106"/>
      <c r="K677" s="106"/>
      <c r="L677" s="106"/>
      <c r="M677" s="106"/>
      <c r="N677" s="103" t="str">
        <f aca="false">IF(OR($B677="", $I677="", $J677="", $K677="", $L677="", $M677=""),"",ROUND(($I677*Lists!$AD$2)+($J677*Lists!$AD$3)+($K677*Lists!$AD$4)+($L677*Lists!$AD$5)+($M677*Lists!$AD$6),2))</f>
        <v/>
      </c>
      <c r="O677" s="103" t="str">
        <f aca="false">IF($A677="","",IFERROR(VLOOKUP($A677,'Risk Register'!$B$2:$I$1000,8,FALSE()),""))</f>
        <v/>
      </c>
      <c r="P677" s="106"/>
      <c r="Q677" s="106"/>
      <c r="R677" s="106"/>
      <c r="S677" s="106"/>
      <c r="T677" s="103" t="str">
        <f aca="false">IF(OR($B677="", $P677="", $Q677="", $R677="", $S677=""),"",ROUND(($P677*Lists!$AD$7)+($Q677*Lists!$AD$8)+($R677*Lists!$AD$9)+($S677*Lists!$AD$10),2))</f>
        <v/>
      </c>
      <c r="U677" s="106"/>
      <c r="V677" s="106"/>
      <c r="W677" s="106"/>
      <c r="X677" s="106"/>
      <c r="Y677" s="106"/>
      <c r="Z677" s="103" t="str">
        <f aca="false">IF(OR($B677="", $U677="", $V677="", $W677="", $X677="", $Y677=""),"",ROUND(($U677*Lists!$AD$11)+($V677*Lists!$AD$12)+($W677*Lists!$AD$13)+($X677*Lists!$AD$14)+($Y677*Lists!$AD$15),2))</f>
        <v/>
      </c>
      <c r="AA677" s="103" t="str">
        <f aca="false">IF(OR($B677="", $N677="", $O677="", $T677="", $Z677=""),"",ROUND(($N677*Lists!$AD$16)-($O677*Lists!$AD$17)-($T677*Lists!$AD$18)+($Z677*Lists!$AD$19),2))</f>
        <v/>
      </c>
      <c r="AB677" s="102" t="str">
        <f aca="false">IF(OR($B677="", $N677="", $Z677=""),"",IF($N677&gt;=Lists!$AG$2,IF($Z677&gt;=Lists!$AG$3,"Invest","Migrate"),IF($Z677&gt;=Lists!$AG$3,"Tolerate","Eliminate")))</f>
        <v/>
      </c>
      <c r="AC677" s="102" t="str">
        <f aca="false">IF($B677="","",IF($J677&gt;=4,"Yes",""))</f>
        <v/>
      </c>
      <c r="AD677" s="102" t="str">
        <f aca="false">IF($A677="","",IFERROR(IF(VLOOKUP($A677,'Risk Register'!$B$2:$H$1000,4,FALSE())&gt;=4,"Yes",""),""))</f>
        <v/>
      </c>
      <c r="AE677" s="102" t="str">
        <f aca="false">IF(OR($N677="", $O677=""),"",IF($N677&gt;=Lists!$AG$2,IF($O677&gt;=Lists!$AG$4,"High Value / High Risk","High Value / Low Risk"),IF($O677&gt;=Lists!$AG$4,"Low Value / High Risk","Low Value / Low Risk")))</f>
        <v/>
      </c>
      <c r="AF677" s="101"/>
      <c r="AG677" s="126"/>
      <c r="AH677" s="106" t="str">
        <f aca="false">IF($B677="","",COUNTIFS('Debt Backlog'!$AF$2:$AF$1000,$A677,'Debt Backlog'!$B$2:$B$1000,"&lt;&gt;",'Debt Backlog'!$N$2:$N$1000,"&lt;&gt;Done",'Debt Backlog'!$N$2:$N$1000,"&lt;&gt;Won't Fix",'Debt Backlog'!$N$2:$N$1000,"&lt;&gt;Duplicate"))</f>
        <v/>
      </c>
      <c r="AI677" s="103" t="str">
        <f aca="false">IF($B677="","",ROUND(SUMIFS('Debt Backlog'!$L$2:$L$1000,'Debt Backlog'!$AF$2:$AF$1000,$A677,'Debt Backlog'!$B$2:$B$1000,"&lt;&gt;",'Debt Backlog'!$N$2:$N$1000,"&lt;&gt;Done",'Debt Backlog'!$N$2:$N$1000,"&lt;&gt;Won't Fix",'Debt Backlog'!$N$2:$N$1000,"&lt;&gt;Duplicate"),2))</f>
        <v/>
      </c>
    </row>
    <row r="678" customFormat="false" ht="15.75" hidden="false" customHeight="true" outlineLevel="0" collapsed="false">
      <c r="A678" s="125"/>
      <c r="B678" s="101"/>
      <c r="C678" s="101"/>
      <c r="D678" s="101"/>
      <c r="E678" s="101"/>
      <c r="F678" s="101"/>
      <c r="G678" s="101"/>
      <c r="H678" s="101"/>
      <c r="I678" s="106"/>
      <c r="J678" s="106"/>
      <c r="K678" s="106"/>
      <c r="L678" s="106"/>
      <c r="M678" s="106"/>
      <c r="N678" s="103" t="str">
        <f aca="false">IF(OR($B678="", $I678="", $J678="", $K678="", $L678="", $M678=""),"",ROUND(($I678*Lists!$AD$2)+($J678*Lists!$AD$3)+($K678*Lists!$AD$4)+($L678*Lists!$AD$5)+($M678*Lists!$AD$6),2))</f>
        <v/>
      </c>
      <c r="O678" s="103" t="str">
        <f aca="false">IF($A678="","",IFERROR(VLOOKUP($A678,'Risk Register'!$B$2:$I$1000,8,FALSE()),""))</f>
        <v/>
      </c>
      <c r="P678" s="106"/>
      <c r="Q678" s="106"/>
      <c r="R678" s="106"/>
      <c r="S678" s="106"/>
      <c r="T678" s="103" t="str">
        <f aca="false">IF(OR($B678="", $P678="", $Q678="", $R678="", $S678=""),"",ROUND(($P678*Lists!$AD$7)+($Q678*Lists!$AD$8)+($R678*Lists!$AD$9)+($S678*Lists!$AD$10),2))</f>
        <v/>
      </c>
      <c r="U678" s="106"/>
      <c r="V678" s="106"/>
      <c r="W678" s="106"/>
      <c r="X678" s="106"/>
      <c r="Y678" s="106"/>
      <c r="Z678" s="103" t="str">
        <f aca="false">IF(OR($B678="", $U678="", $V678="", $W678="", $X678="", $Y678=""),"",ROUND(($U678*Lists!$AD$11)+($V678*Lists!$AD$12)+($W678*Lists!$AD$13)+($X678*Lists!$AD$14)+($Y678*Lists!$AD$15),2))</f>
        <v/>
      </c>
      <c r="AA678" s="103" t="str">
        <f aca="false">IF(OR($B678="", $N678="", $O678="", $T678="", $Z678=""),"",ROUND(($N678*Lists!$AD$16)-($O678*Lists!$AD$17)-($T678*Lists!$AD$18)+($Z678*Lists!$AD$19),2))</f>
        <v/>
      </c>
      <c r="AB678" s="102" t="str">
        <f aca="false">IF(OR($B678="", $N678="", $Z678=""),"",IF($N678&gt;=Lists!$AG$2,IF($Z678&gt;=Lists!$AG$3,"Invest","Migrate"),IF($Z678&gt;=Lists!$AG$3,"Tolerate","Eliminate")))</f>
        <v/>
      </c>
      <c r="AC678" s="102" t="str">
        <f aca="false">IF($B678="","",IF($J678&gt;=4,"Yes",""))</f>
        <v/>
      </c>
      <c r="AD678" s="102" t="str">
        <f aca="false">IF($A678="","",IFERROR(IF(VLOOKUP($A678,'Risk Register'!$B$2:$H$1000,4,FALSE())&gt;=4,"Yes",""),""))</f>
        <v/>
      </c>
      <c r="AE678" s="102" t="str">
        <f aca="false">IF(OR($N678="", $O678=""),"",IF($N678&gt;=Lists!$AG$2,IF($O678&gt;=Lists!$AG$4,"High Value / High Risk","High Value / Low Risk"),IF($O678&gt;=Lists!$AG$4,"Low Value / High Risk","Low Value / Low Risk")))</f>
        <v/>
      </c>
      <c r="AF678" s="101"/>
      <c r="AG678" s="126"/>
      <c r="AH678" s="106" t="str">
        <f aca="false">IF($B678="","",COUNTIFS('Debt Backlog'!$AF$2:$AF$1000,$A678,'Debt Backlog'!$B$2:$B$1000,"&lt;&gt;",'Debt Backlog'!$N$2:$N$1000,"&lt;&gt;Done",'Debt Backlog'!$N$2:$N$1000,"&lt;&gt;Won't Fix",'Debt Backlog'!$N$2:$N$1000,"&lt;&gt;Duplicate"))</f>
        <v/>
      </c>
      <c r="AI678" s="103" t="str">
        <f aca="false">IF($B678="","",ROUND(SUMIFS('Debt Backlog'!$L$2:$L$1000,'Debt Backlog'!$AF$2:$AF$1000,$A678,'Debt Backlog'!$B$2:$B$1000,"&lt;&gt;",'Debt Backlog'!$N$2:$N$1000,"&lt;&gt;Done",'Debt Backlog'!$N$2:$N$1000,"&lt;&gt;Won't Fix",'Debt Backlog'!$N$2:$N$1000,"&lt;&gt;Duplicate"),2))</f>
        <v/>
      </c>
    </row>
    <row r="679" customFormat="false" ht="15.75" hidden="false" customHeight="true" outlineLevel="0" collapsed="false">
      <c r="A679" s="125"/>
      <c r="B679" s="101"/>
      <c r="C679" s="101"/>
      <c r="D679" s="101"/>
      <c r="E679" s="101"/>
      <c r="F679" s="101"/>
      <c r="G679" s="101"/>
      <c r="H679" s="101"/>
      <c r="I679" s="106"/>
      <c r="J679" s="106"/>
      <c r="K679" s="106"/>
      <c r="L679" s="106"/>
      <c r="M679" s="106"/>
      <c r="N679" s="103" t="str">
        <f aca="false">IF(OR($B679="", $I679="", $J679="", $K679="", $L679="", $M679=""),"",ROUND(($I679*Lists!$AD$2)+($J679*Lists!$AD$3)+($K679*Lists!$AD$4)+($L679*Lists!$AD$5)+($M679*Lists!$AD$6),2))</f>
        <v/>
      </c>
      <c r="O679" s="103" t="str">
        <f aca="false">IF($A679="","",IFERROR(VLOOKUP($A679,'Risk Register'!$B$2:$I$1000,8,FALSE()),""))</f>
        <v/>
      </c>
      <c r="P679" s="106"/>
      <c r="Q679" s="106"/>
      <c r="R679" s="106"/>
      <c r="S679" s="106"/>
      <c r="T679" s="103" t="str">
        <f aca="false">IF(OR($B679="", $P679="", $Q679="", $R679="", $S679=""),"",ROUND(($P679*Lists!$AD$7)+($Q679*Lists!$AD$8)+($R679*Lists!$AD$9)+($S679*Lists!$AD$10),2))</f>
        <v/>
      </c>
      <c r="U679" s="106"/>
      <c r="V679" s="106"/>
      <c r="W679" s="106"/>
      <c r="X679" s="106"/>
      <c r="Y679" s="106"/>
      <c r="Z679" s="103" t="str">
        <f aca="false">IF(OR($B679="", $U679="", $V679="", $W679="", $X679="", $Y679=""),"",ROUND(($U679*Lists!$AD$11)+($V679*Lists!$AD$12)+($W679*Lists!$AD$13)+($X679*Lists!$AD$14)+($Y679*Lists!$AD$15),2))</f>
        <v/>
      </c>
      <c r="AA679" s="103" t="str">
        <f aca="false">IF(OR($B679="", $N679="", $O679="", $T679="", $Z679=""),"",ROUND(($N679*Lists!$AD$16)-($O679*Lists!$AD$17)-($T679*Lists!$AD$18)+($Z679*Lists!$AD$19),2))</f>
        <v/>
      </c>
      <c r="AB679" s="102" t="str">
        <f aca="false">IF(OR($B679="", $N679="", $Z679=""),"",IF($N679&gt;=Lists!$AG$2,IF($Z679&gt;=Lists!$AG$3,"Invest","Migrate"),IF($Z679&gt;=Lists!$AG$3,"Tolerate","Eliminate")))</f>
        <v/>
      </c>
      <c r="AC679" s="102" t="str">
        <f aca="false">IF($B679="","",IF($J679&gt;=4,"Yes",""))</f>
        <v/>
      </c>
      <c r="AD679" s="102" t="str">
        <f aca="false">IF($A679="","",IFERROR(IF(VLOOKUP($A679,'Risk Register'!$B$2:$H$1000,4,FALSE())&gt;=4,"Yes",""),""))</f>
        <v/>
      </c>
      <c r="AE679" s="102" t="str">
        <f aca="false">IF(OR($N679="", $O679=""),"",IF($N679&gt;=Lists!$AG$2,IF($O679&gt;=Lists!$AG$4,"High Value / High Risk","High Value / Low Risk"),IF($O679&gt;=Lists!$AG$4,"Low Value / High Risk","Low Value / Low Risk")))</f>
        <v/>
      </c>
      <c r="AF679" s="101"/>
      <c r="AG679" s="126"/>
      <c r="AH679" s="106" t="str">
        <f aca="false">IF($B679="","",COUNTIFS('Debt Backlog'!$AF$2:$AF$1000,$A679,'Debt Backlog'!$B$2:$B$1000,"&lt;&gt;",'Debt Backlog'!$N$2:$N$1000,"&lt;&gt;Done",'Debt Backlog'!$N$2:$N$1000,"&lt;&gt;Won't Fix",'Debt Backlog'!$N$2:$N$1000,"&lt;&gt;Duplicate"))</f>
        <v/>
      </c>
      <c r="AI679" s="103" t="str">
        <f aca="false">IF($B679="","",ROUND(SUMIFS('Debt Backlog'!$L$2:$L$1000,'Debt Backlog'!$AF$2:$AF$1000,$A679,'Debt Backlog'!$B$2:$B$1000,"&lt;&gt;",'Debt Backlog'!$N$2:$N$1000,"&lt;&gt;Done",'Debt Backlog'!$N$2:$N$1000,"&lt;&gt;Won't Fix",'Debt Backlog'!$N$2:$N$1000,"&lt;&gt;Duplicate"),2))</f>
        <v/>
      </c>
    </row>
    <row r="680" customFormat="false" ht="15.75" hidden="false" customHeight="true" outlineLevel="0" collapsed="false">
      <c r="A680" s="125"/>
      <c r="B680" s="101"/>
      <c r="C680" s="101"/>
      <c r="D680" s="101"/>
      <c r="E680" s="101"/>
      <c r="F680" s="101"/>
      <c r="G680" s="101"/>
      <c r="H680" s="101"/>
      <c r="I680" s="106"/>
      <c r="J680" s="106"/>
      <c r="K680" s="106"/>
      <c r="L680" s="106"/>
      <c r="M680" s="106"/>
      <c r="N680" s="103" t="str">
        <f aca="false">IF(OR($B680="", $I680="", $J680="", $K680="", $L680="", $M680=""),"",ROUND(($I680*Lists!$AD$2)+($J680*Lists!$AD$3)+($K680*Lists!$AD$4)+($L680*Lists!$AD$5)+($M680*Lists!$AD$6),2))</f>
        <v/>
      </c>
      <c r="O680" s="103" t="str">
        <f aca="false">IF($A680="","",IFERROR(VLOOKUP($A680,'Risk Register'!$B$2:$I$1000,8,FALSE()),""))</f>
        <v/>
      </c>
      <c r="P680" s="106"/>
      <c r="Q680" s="106"/>
      <c r="R680" s="106"/>
      <c r="S680" s="106"/>
      <c r="T680" s="103" t="str">
        <f aca="false">IF(OR($B680="", $P680="", $Q680="", $R680="", $S680=""),"",ROUND(($P680*Lists!$AD$7)+($Q680*Lists!$AD$8)+($R680*Lists!$AD$9)+($S680*Lists!$AD$10),2))</f>
        <v/>
      </c>
      <c r="U680" s="106"/>
      <c r="V680" s="106"/>
      <c r="W680" s="106"/>
      <c r="X680" s="106"/>
      <c r="Y680" s="106"/>
      <c r="Z680" s="103" t="str">
        <f aca="false">IF(OR($B680="", $U680="", $V680="", $W680="", $X680="", $Y680=""),"",ROUND(($U680*Lists!$AD$11)+($V680*Lists!$AD$12)+($W680*Lists!$AD$13)+($X680*Lists!$AD$14)+($Y680*Lists!$AD$15),2))</f>
        <v/>
      </c>
      <c r="AA680" s="103" t="str">
        <f aca="false">IF(OR($B680="", $N680="", $O680="", $T680="", $Z680=""),"",ROUND(($N680*Lists!$AD$16)-($O680*Lists!$AD$17)-($T680*Lists!$AD$18)+($Z680*Lists!$AD$19),2))</f>
        <v/>
      </c>
      <c r="AB680" s="102" t="str">
        <f aca="false">IF(OR($B680="", $N680="", $Z680=""),"",IF($N680&gt;=Lists!$AG$2,IF($Z680&gt;=Lists!$AG$3,"Invest","Migrate"),IF($Z680&gt;=Lists!$AG$3,"Tolerate","Eliminate")))</f>
        <v/>
      </c>
      <c r="AC680" s="102" t="str">
        <f aca="false">IF($B680="","",IF($J680&gt;=4,"Yes",""))</f>
        <v/>
      </c>
      <c r="AD680" s="102" t="str">
        <f aca="false">IF($A680="","",IFERROR(IF(VLOOKUP($A680,'Risk Register'!$B$2:$H$1000,4,FALSE())&gt;=4,"Yes",""),""))</f>
        <v/>
      </c>
      <c r="AE680" s="102" t="str">
        <f aca="false">IF(OR($N680="", $O680=""),"",IF($N680&gt;=Lists!$AG$2,IF($O680&gt;=Lists!$AG$4,"High Value / High Risk","High Value / Low Risk"),IF($O680&gt;=Lists!$AG$4,"Low Value / High Risk","Low Value / Low Risk")))</f>
        <v/>
      </c>
      <c r="AF680" s="101"/>
      <c r="AG680" s="126"/>
      <c r="AH680" s="106" t="str">
        <f aca="false">IF($B680="","",COUNTIFS('Debt Backlog'!$AF$2:$AF$1000,$A680,'Debt Backlog'!$B$2:$B$1000,"&lt;&gt;",'Debt Backlog'!$N$2:$N$1000,"&lt;&gt;Done",'Debt Backlog'!$N$2:$N$1000,"&lt;&gt;Won't Fix",'Debt Backlog'!$N$2:$N$1000,"&lt;&gt;Duplicate"))</f>
        <v/>
      </c>
      <c r="AI680" s="103" t="str">
        <f aca="false">IF($B680="","",ROUND(SUMIFS('Debt Backlog'!$L$2:$L$1000,'Debt Backlog'!$AF$2:$AF$1000,$A680,'Debt Backlog'!$B$2:$B$1000,"&lt;&gt;",'Debt Backlog'!$N$2:$N$1000,"&lt;&gt;Done",'Debt Backlog'!$N$2:$N$1000,"&lt;&gt;Won't Fix",'Debt Backlog'!$N$2:$N$1000,"&lt;&gt;Duplicate"),2))</f>
        <v/>
      </c>
    </row>
    <row r="681" customFormat="false" ht="15.75" hidden="false" customHeight="true" outlineLevel="0" collapsed="false">
      <c r="A681" s="125"/>
      <c r="B681" s="101"/>
      <c r="C681" s="101"/>
      <c r="D681" s="101"/>
      <c r="E681" s="101"/>
      <c r="F681" s="101"/>
      <c r="G681" s="101"/>
      <c r="H681" s="101"/>
      <c r="I681" s="106"/>
      <c r="J681" s="106"/>
      <c r="K681" s="106"/>
      <c r="L681" s="106"/>
      <c r="M681" s="106"/>
      <c r="N681" s="103" t="str">
        <f aca="false">IF(OR($B681="", $I681="", $J681="", $K681="", $L681="", $M681=""),"",ROUND(($I681*Lists!$AD$2)+($J681*Lists!$AD$3)+($K681*Lists!$AD$4)+($L681*Lists!$AD$5)+($M681*Lists!$AD$6),2))</f>
        <v/>
      </c>
      <c r="O681" s="103" t="str">
        <f aca="false">IF($A681="","",IFERROR(VLOOKUP($A681,'Risk Register'!$B$2:$I$1000,8,FALSE()),""))</f>
        <v/>
      </c>
      <c r="P681" s="106"/>
      <c r="Q681" s="106"/>
      <c r="R681" s="106"/>
      <c r="S681" s="106"/>
      <c r="T681" s="103" t="str">
        <f aca="false">IF(OR($B681="", $P681="", $Q681="", $R681="", $S681=""),"",ROUND(($P681*Lists!$AD$7)+($Q681*Lists!$AD$8)+($R681*Lists!$AD$9)+($S681*Lists!$AD$10),2))</f>
        <v/>
      </c>
      <c r="U681" s="106"/>
      <c r="V681" s="106"/>
      <c r="W681" s="106"/>
      <c r="X681" s="106"/>
      <c r="Y681" s="106"/>
      <c r="Z681" s="103" t="str">
        <f aca="false">IF(OR($B681="", $U681="", $V681="", $W681="", $X681="", $Y681=""),"",ROUND(($U681*Lists!$AD$11)+($V681*Lists!$AD$12)+($W681*Lists!$AD$13)+($X681*Lists!$AD$14)+($Y681*Lists!$AD$15),2))</f>
        <v/>
      </c>
      <c r="AA681" s="103" t="str">
        <f aca="false">IF(OR($B681="", $N681="", $O681="", $T681="", $Z681=""),"",ROUND(($N681*Lists!$AD$16)-($O681*Lists!$AD$17)-($T681*Lists!$AD$18)+($Z681*Lists!$AD$19),2))</f>
        <v/>
      </c>
      <c r="AB681" s="102" t="str">
        <f aca="false">IF(OR($B681="", $N681="", $Z681=""),"",IF($N681&gt;=Lists!$AG$2,IF($Z681&gt;=Lists!$AG$3,"Invest","Migrate"),IF($Z681&gt;=Lists!$AG$3,"Tolerate","Eliminate")))</f>
        <v/>
      </c>
      <c r="AC681" s="102" t="str">
        <f aca="false">IF($B681="","",IF($J681&gt;=4,"Yes",""))</f>
        <v/>
      </c>
      <c r="AD681" s="102" t="str">
        <f aca="false">IF($A681="","",IFERROR(IF(VLOOKUP($A681,'Risk Register'!$B$2:$H$1000,4,FALSE())&gt;=4,"Yes",""),""))</f>
        <v/>
      </c>
      <c r="AE681" s="102" t="str">
        <f aca="false">IF(OR($N681="", $O681=""),"",IF($N681&gt;=Lists!$AG$2,IF($O681&gt;=Lists!$AG$4,"High Value / High Risk","High Value / Low Risk"),IF($O681&gt;=Lists!$AG$4,"Low Value / High Risk","Low Value / Low Risk")))</f>
        <v/>
      </c>
      <c r="AF681" s="101"/>
      <c r="AG681" s="126"/>
      <c r="AH681" s="106" t="str">
        <f aca="false">IF($B681="","",COUNTIFS('Debt Backlog'!$AF$2:$AF$1000,$A681,'Debt Backlog'!$B$2:$B$1000,"&lt;&gt;",'Debt Backlog'!$N$2:$N$1000,"&lt;&gt;Done",'Debt Backlog'!$N$2:$N$1000,"&lt;&gt;Won't Fix",'Debt Backlog'!$N$2:$N$1000,"&lt;&gt;Duplicate"))</f>
        <v/>
      </c>
      <c r="AI681" s="103" t="str">
        <f aca="false">IF($B681="","",ROUND(SUMIFS('Debt Backlog'!$L$2:$L$1000,'Debt Backlog'!$AF$2:$AF$1000,$A681,'Debt Backlog'!$B$2:$B$1000,"&lt;&gt;",'Debt Backlog'!$N$2:$N$1000,"&lt;&gt;Done",'Debt Backlog'!$N$2:$N$1000,"&lt;&gt;Won't Fix",'Debt Backlog'!$N$2:$N$1000,"&lt;&gt;Duplicate"),2))</f>
        <v/>
      </c>
    </row>
    <row r="682" customFormat="false" ht="15.75" hidden="false" customHeight="true" outlineLevel="0" collapsed="false">
      <c r="A682" s="125"/>
      <c r="B682" s="101"/>
      <c r="C682" s="101"/>
      <c r="D682" s="101"/>
      <c r="E682" s="101"/>
      <c r="F682" s="101"/>
      <c r="G682" s="101"/>
      <c r="H682" s="101"/>
      <c r="I682" s="106"/>
      <c r="J682" s="106"/>
      <c r="K682" s="106"/>
      <c r="L682" s="106"/>
      <c r="M682" s="106"/>
      <c r="N682" s="103" t="str">
        <f aca="false">IF(OR($B682="", $I682="", $J682="", $K682="", $L682="", $M682=""),"",ROUND(($I682*Lists!$AD$2)+($J682*Lists!$AD$3)+($K682*Lists!$AD$4)+($L682*Lists!$AD$5)+($M682*Lists!$AD$6),2))</f>
        <v/>
      </c>
      <c r="O682" s="103" t="str">
        <f aca="false">IF($A682="","",IFERROR(VLOOKUP($A682,'Risk Register'!$B$2:$I$1000,8,FALSE()),""))</f>
        <v/>
      </c>
      <c r="P682" s="106"/>
      <c r="Q682" s="106"/>
      <c r="R682" s="106"/>
      <c r="S682" s="106"/>
      <c r="T682" s="103" t="str">
        <f aca="false">IF(OR($B682="", $P682="", $Q682="", $R682="", $S682=""),"",ROUND(($P682*Lists!$AD$7)+($Q682*Lists!$AD$8)+($R682*Lists!$AD$9)+($S682*Lists!$AD$10),2))</f>
        <v/>
      </c>
      <c r="U682" s="106"/>
      <c r="V682" s="106"/>
      <c r="W682" s="106"/>
      <c r="X682" s="106"/>
      <c r="Y682" s="106"/>
      <c r="Z682" s="103" t="str">
        <f aca="false">IF(OR($B682="", $U682="", $V682="", $W682="", $X682="", $Y682=""),"",ROUND(($U682*Lists!$AD$11)+($V682*Lists!$AD$12)+($W682*Lists!$AD$13)+($X682*Lists!$AD$14)+($Y682*Lists!$AD$15),2))</f>
        <v/>
      </c>
      <c r="AA682" s="103" t="str">
        <f aca="false">IF(OR($B682="", $N682="", $O682="", $T682="", $Z682=""),"",ROUND(($N682*Lists!$AD$16)-($O682*Lists!$AD$17)-($T682*Lists!$AD$18)+($Z682*Lists!$AD$19),2))</f>
        <v/>
      </c>
      <c r="AB682" s="102" t="str">
        <f aca="false">IF(OR($B682="", $N682="", $Z682=""),"",IF($N682&gt;=Lists!$AG$2,IF($Z682&gt;=Lists!$AG$3,"Invest","Migrate"),IF($Z682&gt;=Lists!$AG$3,"Tolerate","Eliminate")))</f>
        <v/>
      </c>
      <c r="AC682" s="102" t="str">
        <f aca="false">IF($B682="","",IF($J682&gt;=4,"Yes",""))</f>
        <v/>
      </c>
      <c r="AD682" s="102" t="str">
        <f aca="false">IF($A682="","",IFERROR(IF(VLOOKUP($A682,'Risk Register'!$B$2:$H$1000,4,FALSE())&gt;=4,"Yes",""),""))</f>
        <v/>
      </c>
      <c r="AE682" s="102" t="str">
        <f aca="false">IF(OR($N682="", $O682=""),"",IF($N682&gt;=Lists!$AG$2,IF($O682&gt;=Lists!$AG$4,"High Value / High Risk","High Value / Low Risk"),IF($O682&gt;=Lists!$AG$4,"Low Value / High Risk","Low Value / Low Risk")))</f>
        <v/>
      </c>
      <c r="AF682" s="101"/>
      <c r="AG682" s="126"/>
      <c r="AH682" s="106" t="str">
        <f aca="false">IF($B682="","",COUNTIFS('Debt Backlog'!$AF$2:$AF$1000,$A682,'Debt Backlog'!$B$2:$B$1000,"&lt;&gt;",'Debt Backlog'!$N$2:$N$1000,"&lt;&gt;Done",'Debt Backlog'!$N$2:$N$1000,"&lt;&gt;Won't Fix",'Debt Backlog'!$N$2:$N$1000,"&lt;&gt;Duplicate"))</f>
        <v/>
      </c>
      <c r="AI682" s="103" t="str">
        <f aca="false">IF($B682="","",ROUND(SUMIFS('Debt Backlog'!$L$2:$L$1000,'Debt Backlog'!$AF$2:$AF$1000,$A682,'Debt Backlog'!$B$2:$B$1000,"&lt;&gt;",'Debt Backlog'!$N$2:$N$1000,"&lt;&gt;Done",'Debt Backlog'!$N$2:$N$1000,"&lt;&gt;Won't Fix",'Debt Backlog'!$N$2:$N$1000,"&lt;&gt;Duplicate"),2))</f>
        <v/>
      </c>
    </row>
    <row r="683" customFormat="false" ht="15.75" hidden="false" customHeight="true" outlineLevel="0" collapsed="false">
      <c r="A683" s="125"/>
      <c r="B683" s="101"/>
      <c r="C683" s="101"/>
      <c r="D683" s="101"/>
      <c r="E683" s="101"/>
      <c r="F683" s="101"/>
      <c r="G683" s="101"/>
      <c r="H683" s="101"/>
      <c r="I683" s="106"/>
      <c r="J683" s="106"/>
      <c r="K683" s="106"/>
      <c r="L683" s="106"/>
      <c r="M683" s="106"/>
      <c r="N683" s="103" t="str">
        <f aca="false">IF(OR($B683="", $I683="", $J683="", $K683="", $L683="", $M683=""),"",ROUND(($I683*Lists!$AD$2)+($J683*Lists!$AD$3)+($K683*Lists!$AD$4)+($L683*Lists!$AD$5)+($M683*Lists!$AD$6),2))</f>
        <v/>
      </c>
      <c r="O683" s="103" t="str">
        <f aca="false">IF($A683="","",IFERROR(VLOOKUP($A683,'Risk Register'!$B$2:$I$1000,8,FALSE()),""))</f>
        <v/>
      </c>
      <c r="P683" s="106"/>
      <c r="Q683" s="106"/>
      <c r="R683" s="106"/>
      <c r="S683" s="106"/>
      <c r="T683" s="103" t="str">
        <f aca="false">IF(OR($B683="", $P683="", $Q683="", $R683="", $S683=""),"",ROUND(($P683*Lists!$AD$7)+($Q683*Lists!$AD$8)+($R683*Lists!$AD$9)+($S683*Lists!$AD$10),2))</f>
        <v/>
      </c>
      <c r="U683" s="106"/>
      <c r="V683" s="106"/>
      <c r="W683" s="106"/>
      <c r="X683" s="106"/>
      <c r="Y683" s="106"/>
      <c r="Z683" s="103" t="str">
        <f aca="false">IF(OR($B683="", $U683="", $V683="", $W683="", $X683="", $Y683=""),"",ROUND(($U683*Lists!$AD$11)+($V683*Lists!$AD$12)+($W683*Lists!$AD$13)+($X683*Lists!$AD$14)+($Y683*Lists!$AD$15),2))</f>
        <v/>
      </c>
      <c r="AA683" s="103" t="str">
        <f aca="false">IF(OR($B683="", $N683="", $O683="", $T683="", $Z683=""),"",ROUND(($N683*Lists!$AD$16)-($O683*Lists!$AD$17)-($T683*Lists!$AD$18)+($Z683*Lists!$AD$19),2))</f>
        <v/>
      </c>
      <c r="AB683" s="102" t="str">
        <f aca="false">IF(OR($B683="", $N683="", $Z683=""),"",IF($N683&gt;=Lists!$AG$2,IF($Z683&gt;=Lists!$AG$3,"Invest","Migrate"),IF($Z683&gt;=Lists!$AG$3,"Tolerate","Eliminate")))</f>
        <v/>
      </c>
      <c r="AC683" s="102" t="str">
        <f aca="false">IF($B683="","",IF($J683&gt;=4,"Yes",""))</f>
        <v/>
      </c>
      <c r="AD683" s="102" t="str">
        <f aca="false">IF($A683="","",IFERROR(IF(VLOOKUP($A683,'Risk Register'!$B$2:$H$1000,4,FALSE())&gt;=4,"Yes",""),""))</f>
        <v/>
      </c>
      <c r="AE683" s="102" t="str">
        <f aca="false">IF(OR($N683="", $O683=""),"",IF($N683&gt;=Lists!$AG$2,IF($O683&gt;=Lists!$AG$4,"High Value / High Risk","High Value / Low Risk"),IF($O683&gt;=Lists!$AG$4,"Low Value / High Risk","Low Value / Low Risk")))</f>
        <v/>
      </c>
      <c r="AF683" s="101"/>
      <c r="AG683" s="126"/>
      <c r="AH683" s="106" t="str">
        <f aca="false">IF($B683="","",COUNTIFS('Debt Backlog'!$AF$2:$AF$1000,$A683,'Debt Backlog'!$B$2:$B$1000,"&lt;&gt;",'Debt Backlog'!$N$2:$N$1000,"&lt;&gt;Done",'Debt Backlog'!$N$2:$N$1000,"&lt;&gt;Won't Fix",'Debt Backlog'!$N$2:$N$1000,"&lt;&gt;Duplicate"))</f>
        <v/>
      </c>
      <c r="AI683" s="103" t="str">
        <f aca="false">IF($B683="","",ROUND(SUMIFS('Debt Backlog'!$L$2:$L$1000,'Debt Backlog'!$AF$2:$AF$1000,$A683,'Debt Backlog'!$B$2:$B$1000,"&lt;&gt;",'Debt Backlog'!$N$2:$N$1000,"&lt;&gt;Done",'Debt Backlog'!$N$2:$N$1000,"&lt;&gt;Won't Fix",'Debt Backlog'!$N$2:$N$1000,"&lt;&gt;Duplicate"),2))</f>
        <v/>
      </c>
    </row>
    <row r="684" customFormat="false" ht="15.75" hidden="false" customHeight="true" outlineLevel="0" collapsed="false">
      <c r="A684" s="125"/>
      <c r="B684" s="101"/>
      <c r="C684" s="101"/>
      <c r="D684" s="101"/>
      <c r="E684" s="101"/>
      <c r="F684" s="101"/>
      <c r="G684" s="101"/>
      <c r="H684" s="101"/>
      <c r="I684" s="106"/>
      <c r="J684" s="106"/>
      <c r="K684" s="106"/>
      <c r="L684" s="106"/>
      <c r="M684" s="106"/>
      <c r="N684" s="103" t="str">
        <f aca="false">IF(OR($B684="", $I684="", $J684="", $K684="", $L684="", $M684=""),"",ROUND(($I684*Lists!$AD$2)+($J684*Lists!$AD$3)+($K684*Lists!$AD$4)+($L684*Lists!$AD$5)+($M684*Lists!$AD$6),2))</f>
        <v/>
      </c>
      <c r="O684" s="103" t="str">
        <f aca="false">IF($A684="","",IFERROR(VLOOKUP($A684,'Risk Register'!$B$2:$I$1000,8,FALSE()),""))</f>
        <v/>
      </c>
      <c r="P684" s="106"/>
      <c r="Q684" s="106"/>
      <c r="R684" s="106"/>
      <c r="S684" s="106"/>
      <c r="T684" s="103" t="str">
        <f aca="false">IF(OR($B684="", $P684="", $Q684="", $R684="", $S684=""),"",ROUND(($P684*Lists!$AD$7)+($Q684*Lists!$AD$8)+($R684*Lists!$AD$9)+($S684*Lists!$AD$10),2))</f>
        <v/>
      </c>
      <c r="U684" s="106"/>
      <c r="V684" s="106"/>
      <c r="W684" s="106"/>
      <c r="X684" s="106"/>
      <c r="Y684" s="106"/>
      <c r="Z684" s="103" t="str">
        <f aca="false">IF(OR($B684="", $U684="", $V684="", $W684="", $X684="", $Y684=""),"",ROUND(($U684*Lists!$AD$11)+($V684*Lists!$AD$12)+($W684*Lists!$AD$13)+($X684*Lists!$AD$14)+($Y684*Lists!$AD$15),2))</f>
        <v/>
      </c>
      <c r="AA684" s="103" t="str">
        <f aca="false">IF(OR($B684="", $N684="", $O684="", $T684="", $Z684=""),"",ROUND(($N684*Lists!$AD$16)-($O684*Lists!$AD$17)-($T684*Lists!$AD$18)+($Z684*Lists!$AD$19),2))</f>
        <v/>
      </c>
      <c r="AB684" s="102" t="str">
        <f aca="false">IF(OR($B684="", $N684="", $Z684=""),"",IF($N684&gt;=Lists!$AG$2,IF($Z684&gt;=Lists!$AG$3,"Invest","Migrate"),IF($Z684&gt;=Lists!$AG$3,"Tolerate","Eliminate")))</f>
        <v/>
      </c>
      <c r="AC684" s="102" t="str">
        <f aca="false">IF($B684="","",IF($J684&gt;=4,"Yes",""))</f>
        <v/>
      </c>
      <c r="AD684" s="102" t="str">
        <f aca="false">IF($A684="","",IFERROR(IF(VLOOKUP($A684,'Risk Register'!$B$2:$H$1000,4,FALSE())&gt;=4,"Yes",""),""))</f>
        <v/>
      </c>
      <c r="AE684" s="102" t="str">
        <f aca="false">IF(OR($N684="", $O684=""),"",IF($N684&gt;=Lists!$AG$2,IF($O684&gt;=Lists!$AG$4,"High Value / High Risk","High Value / Low Risk"),IF($O684&gt;=Lists!$AG$4,"Low Value / High Risk","Low Value / Low Risk")))</f>
        <v/>
      </c>
      <c r="AF684" s="101"/>
      <c r="AG684" s="126"/>
      <c r="AH684" s="106" t="str">
        <f aca="false">IF($B684="","",COUNTIFS('Debt Backlog'!$AF$2:$AF$1000,$A684,'Debt Backlog'!$B$2:$B$1000,"&lt;&gt;",'Debt Backlog'!$N$2:$N$1000,"&lt;&gt;Done",'Debt Backlog'!$N$2:$N$1000,"&lt;&gt;Won't Fix",'Debt Backlog'!$N$2:$N$1000,"&lt;&gt;Duplicate"))</f>
        <v/>
      </c>
      <c r="AI684" s="103" t="str">
        <f aca="false">IF($B684="","",ROUND(SUMIFS('Debt Backlog'!$L$2:$L$1000,'Debt Backlog'!$AF$2:$AF$1000,$A684,'Debt Backlog'!$B$2:$B$1000,"&lt;&gt;",'Debt Backlog'!$N$2:$N$1000,"&lt;&gt;Done",'Debt Backlog'!$N$2:$N$1000,"&lt;&gt;Won't Fix",'Debt Backlog'!$N$2:$N$1000,"&lt;&gt;Duplicate"),2))</f>
        <v/>
      </c>
    </row>
    <row r="685" customFormat="false" ht="15.75" hidden="false" customHeight="true" outlineLevel="0" collapsed="false">
      <c r="A685" s="125"/>
      <c r="B685" s="101"/>
      <c r="C685" s="101"/>
      <c r="D685" s="101"/>
      <c r="E685" s="101"/>
      <c r="F685" s="101"/>
      <c r="G685" s="101"/>
      <c r="H685" s="101"/>
      <c r="I685" s="106"/>
      <c r="J685" s="106"/>
      <c r="K685" s="106"/>
      <c r="L685" s="106"/>
      <c r="M685" s="106"/>
      <c r="N685" s="103" t="str">
        <f aca="false">IF(OR($B685="", $I685="", $J685="", $K685="", $L685="", $M685=""),"",ROUND(($I685*Lists!$AD$2)+($J685*Lists!$AD$3)+($K685*Lists!$AD$4)+($L685*Lists!$AD$5)+($M685*Lists!$AD$6),2))</f>
        <v/>
      </c>
      <c r="O685" s="103" t="str">
        <f aca="false">IF($A685="","",IFERROR(VLOOKUP($A685,'Risk Register'!$B$2:$I$1000,8,FALSE()),""))</f>
        <v/>
      </c>
      <c r="P685" s="106"/>
      <c r="Q685" s="106"/>
      <c r="R685" s="106"/>
      <c r="S685" s="106"/>
      <c r="T685" s="103" t="str">
        <f aca="false">IF(OR($B685="", $P685="", $Q685="", $R685="", $S685=""),"",ROUND(($P685*Lists!$AD$7)+($Q685*Lists!$AD$8)+($R685*Lists!$AD$9)+($S685*Lists!$AD$10),2))</f>
        <v/>
      </c>
      <c r="U685" s="106"/>
      <c r="V685" s="106"/>
      <c r="W685" s="106"/>
      <c r="X685" s="106"/>
      <c r="Y685" s="106"/>
      <c r="Z685" s="103" t="str">
        <f aca="false">IF(OR($B685="", $U685="", $V685="", $W685="", $X685="", $Y685=""),"",ROUND(($U685*Lists!$AD$11)+($V685*Lists!$AD$12)+($W685*Lists!$AD$13)+($X685*Lists!$AD$14)+($Y685*Lists!$AD$15),2))</f>
        <v/>
      </c>
      <c r="AA685" s="103" t="str">
        <f aca="false">IF(OR($B685="", $N685="", $O685="", $T685="", $Z685=""),"",ROUND(($N685*Lists!$AD$16)-($O685*Lists!$AD$17)-($T685*Lists!$AD$18)+($Z685*Lists!$AD$19),2))</f>
        <v/>
      </c>
      <c r="AB685" s="102" t="str">
        <f aca="false">IF(OR($B685="", $N685="", $Z685=""),"",IF($N685&gt;=Lists!$AG$2,IF($Z685&gt;=Lists!$AG$3,"Invest","Migrate"),IF($Z685&gt;=Lists!$AG$3,"Tolerate","Eliminate")))</f>
        <v/>
      </c>
      <c r="AC685" s="102" t="str">
        <f aca="false">IF($B685="","",IF($J685&gt;=4,"Yes",""))</f>
        <v/>
      </c>
      <c r="AD685" s="102" t="str">
        <f aca="false">IF($A685="","",IFERROR(IF(VLOOKUP($A685,'Risk Register'!$B$2:$H$1000,4,FALSE())&gt;=4,"Yes",""),""))</f>
        <v/>
      </c>
      <c r="AE685" s="102" t="str">
        <f aca="false">IF(OR($N685="", $O685=""),"",IF($N685&gt;=Lists!$AG$2,IF($O685&gt;=Lists!$AG$4,"High Value / High Risk","High Value / Low Risk"),IF($O685&gt;=Lists!$AG$4,"Low Value / High Risk","Low Value / Low Risk")))</f>
        <v/>
      </c>
      <c r="AF685" s="101"/>
      <c r="AG685" s="126"/>
      <c r="AH685" s="106" t="str">
        <f aca="false">IF($B685="","",COUNTIFS('Debt Backlog'!$AF$2:$AF$1000,$A685,'Debt Backlog'!$B$2:$B$1000,"&lt;&gt;",'Debt Backlog'!$N$2:$N$1000,"&lt;&gt;Done",'Debt Backlog'!$N$2:$N$1000,"&lt;&gt;Won't Fix",'Debt Backlog'!$N$2:$N$1000,"&lt;&gt;Duplicate"))</f>
        <v/>
      </c>
      <c r="AI685" s="103" t="str">
        <f aca="false">IF($B685="","",ROUND(SUMIFS('Debt Backlog'!$L$2:$L$1000,'Debt Backlog'!$AF$2:$AF$1000,$A685,'Debt Backlog'!$B$2:$B$1000,"&lt;&gt;",'Debt Backlog'!$N$2:$N$1000,"&lt;&gt;Done",'Debt Backlog'!$N$2:$N$1000,"&lt;&gt;Won't Fix",'Debt Backlog'!$N$2:$N$1000,"&lt;&gt;Duplicate"),2))</f>
        <v/>
      </c>
    </row>
    <row r="686" customFormat="false" ht="15.75" hidden="false" customHeight="true" outlineLevel="0" collapsed="false">
      <c r="A686" s="125"/>
      <c r="B686" s="101"/>
      <c r="C686" s="101"/>
      <c r="D686" s="101"/>
      <c r="E686" s="101"/>
      <c r="F686" s="101"/>
      <c r="G686" s="101"/>
      <c r="H686" s="101"/>
      <c r="I686" s="106"/>
      <c r="J686" s="106"/>
      <c r="K686" s="106"/>
      <c r="L686" s="106"/>
      <c r="M686" s="106"/>
      <c r="N686" s="103" t="str">
        <f aca="false">IF(OR($B686="", $I686="", $J686="", $K686="", $L686="", $M686=""),"",ROUND(($I686*Lists!$AD$2)+($J686*Lists!$AD$3)+($K686*Lists!$AD$4)+($L686*Lists!$AD$5)+($M686*Lists!$AD$6),2))</f>
        <v/>
      </c>
      <c r="O686" s="103" t="str">
        <f aca="false">IF($A686="","",IFERROR(VLOOKUP($A686,'Risk Register'!$B$2:$I$1000,8,FALSE()),""))</f>
        <v/>
      </c>
      <c r="P686" s="106"/>
      <c r="Q686" s="106"/>
      <c r="R686" s="106"/>
      <c r="S686" s="106"/>
      <c r="T686" s="103" t="str">
        <f aca="false">IF(OR($B686="", $P686="", $Q686="", $R686="", $S686=""),"",ROUND(($P686*Lists!$AD$7)+($Q686*Lists!$AD$8)+($R686*Lists!$AD$9)+($S686*Lists!$AD$10),2))</f>
        <v/>
      </c>
      <c r="U686" s="106"/>
      <c r="V686" s="106"/>
      <c r="W686" s="106"/>
      <c r="X686" s="106"/>
      <c r="Y686" s="106"/>
      <c r="Z686" s="103" t="str">
        <f aca="false">IF(OR($B686="", $U686="", $V686="", $W686="", $X686="", $Y686=""),"",ROUND(($U686*Lists!$AD$11)+($V686*Lists!$AD$12)+($W686*Lists!$AD$13)+($X686*Lists!$AD$14)+($Y686*Lists!$AD$15),2))</f>
        <v/>
      </c>
      <c r="AA686" s="103" t="str">
        <f aca="false">IF(OR($B686="", $N686="", $O686="", $T686="", $Z686=""),"",ROUND(($N686*Lists!$AD$16)-($O686*Lists!$AD$17)-($T686*Lists!$AD$18)+($Z686*Lists!$AD$19),2))</f>
        <v/>
      </c>
      <c r="AB686" s="102" t="str">
        <f aca="false">IF(OR($B686="", $N686="", $Z686=""),"",IF($N686&gt;=Lists!$AG$2,IF($Z686&gt;=Lists!$AG$3,"Invest","Migrate"),IF($Z686&gt;=Lists!$AG$3,"Tolerate","Eliminate")))</f>
        <v/>
      </c>
      <c r="AC686" s="102" t="str">
        <f aca="false">IF($B686="","",IF($J686&gt;=4,"Yes",""))</f>
        <v/>
      </c>
      <c r="AD686" s="102" t="str">
        <f aca="false">IF($A686="","",IFERROR(IF(VLOOKUP($A686,'Risk Register'!$B$2:$H$1000,4,FALSE())&gt;=4,"Yes",""),""))</f>
        <v/>
      </c>
      <c r="AE686" s="102" t="str">
        <f aca="false">IF(OR($N686="", $O686=""),"",IF($N686&gt;=Lists!$AG$2,IF($O686&gt;=Lists!$AG$4,"High Value / High Risk","High Value / Low Risk"),IF($O686&gt;=Lists!$AG$4,"Low Value / High Risk","Low Value / Low Risk")))</f>
        <v/>
      </c>
      <c r="AF686" s="101"/>
      <c r="AG686" s="126"/>
      <c r="AH686" s="106" t="str">
        <f aca="false">IF($B686="","",COUNTIFS('Debt Backlog'!$AF$2:$AF$1000,$A686,'Debt Backlog'!$B$2:$B$1000,"&lt;&gt;",'Debt Backlog'!$N$2:$N$1000,"&lt;&gt;Done",'Debt Backlog'!$N$2:$N$1000,"&lt;&gt;Won't Fix",'Debt Backlog'!$N$2:$N$1000,"&lt;&gt;Duplicate"))</f>
        <v/>
      </c>
      <c r="AI686" s="103" t="str">
        <f aca="false">IF($B686="","",ROUND(SUMIFS('Debt Backlog'!$L$2:$L$1000,'Debt Backlog'!$AF$2:$AF$1000,$A686,'Debt Backlog'!$B$2:$B$1000,"&lt;&gt;",'Debt Backlog'!$N$2:$N$1000,"&lt;&gt;Done",'Debt Backlog'!$N$2:$N$1000,"&lt;&gt;Won't Fix",'Debt Backlog'!$N$2:$N$1000,"&lt;&gt;Duplicate"),2))</f>
        <v/>
      </c>
    </row>
    <row r="687" customFormat="false" ht="15.75" hidden="false" customHeight="true" outlineLevel="0" collapsed="false">
      <c r="A687" s="125"/>
      <c r="B687" s="101"/>
      <c r="C687" s="101"/>
      <c r="D687" s="101"/>
      <c r="E687" s="101"/>
      <c r="F687" s="101"/>
      <c r="G687" s="101"/>
      <c r="H687" s="101"/>
      <c r="I687" s="106"/>
      <c r="J687" s="106"/>
      <c r="K687" s="106"/>
      <c r="L687" s="106"/>
      <c r="M687" s="106"/>
      <c r="N687" s="103" t="str">
        <f aca="false">IF(OR($B687="", $I687="", $J687="", $K687="", $L687="", $M687=""),"",ROUND(($I687*Lists!$AD$2)+($J687*Lists!$AD$3)+($K687*Lists!$AD$4)+($L687*Lists!$AD$5)+($M687*Lists!$AD$6),2))</f>
        <v/>
      </c>
      <c r="O687" s="103" t="str">
        <f aca="false">IF($A687="","",IFERROR(VLOOKUP($A687,'Risk Register'!$B$2:$I$1000,8,FALSE()),""))</f>
        <v/>
      </c>
      <c r="P687" s="106"/>
      <c r="Q687" s="106"/>
      <c r="R687" s="106"/>
      <c r="S687" s="106"/>
      <c r="T687" s="103" t="str">
        <f aca="false">IF(OR($B687="", $P687="", $Q687="", $R687="", $S687=""),"",ROUND(($P687*Lists!$AD$7)+($Q687*Lists!$AD$8)+($R687*Lists!$AD$9)+($S687*Lists!$AD$10),2))</f>
        <v/>
      </c>
      <c r="U687" s="106"/>
      <c r="V687" s="106"/>
      <c r="W687" s="106"/>
      <c r="X687" s="106"/>
      <c r="Y687" s="106"/>
      <c r="Z687" s="103" t="str">
        <f aca="false">IF(OR($B687="", $U687="", $V687="", $W687="", $X687="", $Y687=""),"",ROUND(($U687*Lists!$AD$11)+($V687*Lists!$AD$12)+($W687*Lists!$AD$13)+($X687*Lists!$AD$14)+($Y687*Lists!$AD$15),2))</f>
        <v/>
      </c>
      <c r="AA687" s="103" t="str">
        <f aca="false">IF(OR($B687="", $N687="", $O687="", $T687="", $Z687=""),"",ROUND(($N687*Lists!$AD$16)-($O687*Lists!$AD$17)-($T687*Lists!$AD$18)+($Z687*Lists!$AD$19),2))</f>
        <v/>
      </c>
      <c r="AB687" s="102" t="str">
        <f aca="false">IF(OR($B687="", $N687="", $Z687=""),"",IF($N687&gt;=Lists!$AG$2,IF($Z687&gt;=Lists!$AG$3,"Invest","Migrate"),IF($Z687&gt;=Lists!$AG$3,"Tolerate","Eliminate")))</f>
        <v/>
      </c>
      <c r="AC687" s="102" t="str">
        <f aca="false">IF($B687="","",IF($J687&gt;=4,"Yes",""))</f>
        <v/>
      </c>
      <c r="AD687" s="102" t="str">
        <f aca="false">IF($A687="","",IFERROR(IF(VLOOKUP($A687,'Risk Register'!$B$2:$H$1000,4,FALSE())&gt;=4,"Yes",""),""))</f>
        <v/>
      </c>
      <c r="AE687" s="102" t="str">
        <f aca="false">IF(OR($N687="", $O687=""),"",IF($N687&gt;=Lists!$AG$2,IF($O687&gt;=Lists!$AG$4,"High Value / High Risk","High Value / Low Risk"),IF($O687&gt;=Lists!$AG$4,"Low Value / High Risk","Low Value / Low Risk")))</f>
        <v/>
      </c>
      <c r="AF687" s="101"/>
      <c r="AG687" s="126"/>
      <c r="AH687" s="106" t="str">
        <f aca="false">IF($B687="","",COUNTIFS('Debt Backlog'!$AF$2:$AF$1000,$A687,'Debt Backlog'!$B$2:$B$1000,"&lt;&gt;",'Debt Backlog'!$N$2:$N$1000,"&lt;&gt;Done",'Debt Backlog'!$N$2:$N$1000,"&lt;&gt;Won't Fix",'Debt Backlog'!$N$2:$N$1000,"&lt;&gt;Duplicate"))</f>
        <v/>
      </c>
      <c r="AI687" s="103" t="str">
        <f aca="false">IF($B687="","",ROUND(SUMIFS('Debt Backlog'!$L$2:$L$1000,'Debt Backlog'!$AF$2:$AF$1000,$A687,'Debt Backlog'!$B$2:$B$1000,"&lt;&gt;",'Debt Backlog'!$N$2:$N$1000,"&lt;&gt;Done",'Debt Backlog'!$N$2:$N$1000,"&lt;&gt;Won't Fix",'Debt Backlog'!$N$2:$N$1000,"&lt;&gt;Duplicate"),2))</f>
        <v/>
      </c>
    </row>
    <row r="688" customFormat="false" ht="15.75" hidden="false" customHeight="true" outlineLevel="0" collapsed="false">
      <c r="A688" s="125"/>
      <c r="B688" s="101"/>
      <c r="C688" s="101"/>
      <c r="D688" s="101"/>
      <c r="E688" s="101"/>
      <c r="F688" s="101"/>
      <c r="G688" s="101"/>
      <c r="H688" s="101"/>
      <c r="I688" s="106"/>
      <c r="J688" s="106"/>
      <c r="K688" s="106"/>
      <c r="L688" s="106"/>
      <c r="M688" s="106"/>
      <c r="N688" s="103" t="str">
        <f aca="false">IF(OR($B688="", $I688="", $J688="", $K688="", $L688="", $M688=""),"",ROUND(($I688*Lists!$AD$2)+($J688*Lists!$AD$3)+($K688*Lists!$AD$4)+($L688*Lists!$AD$5)+($M688*Lists!$AD$6),2))</f>
        <v/>
      </c>
      <c r="O688" s="103" t="str">
        <f aca="false">IF($A688="","",IFERROR(VLOOKUP($A688,'Risk Register'!$B$2:$I$1000,8,FALSE()),""))</f>
        <v/>
      </c>
      <c r="P688" s="106"/>
      <c r="Q688" s="106"/>
      <c r="R688" s="106"/>
      <c r="S688" s="106"/>
      <c r="T688" s="103" t="str">
        <f aca="false">IF(OR($B688="", $P688="", $Q688="", $R688="", $S688=""),"",ROUND(($P688*Lists!$AD$7)+($Q688*Lists!$AD$8)+($R688*Lists!$AD$9)+($S688*Lists!$AD$10),2))</f>
        <v/>
      </c>
      <c r="U688" s="106"/>
      <c r="V688" s="106"/>
      <c r="W688" s="106"/>
      <c r="X688" s="106"/>
      <c r="Y688" s="106"/>
      <c r="Z688" s="103" t="str">
        <f aca="false">IF(OR($B688="", $U688="", $V688="", $W688="", $X688="", $Y688=""),"",ROUND(($U688*Lists!$AD$11)+($V688*Lists!$AD$12)+($W688*Lists!$AD$13)+($X688*Lists!$AD$14)+($Y688*Lists!$AD$15),2))</f>
        <v/>
      </c>
      <c r="AA688" s="103" t="str">
        <f aca="false">IF(OR($B688="", $N688="", $O688="", $T688="", $Z688=""),"",ROUND(($N688*Lists!$AD$16)-($O688*Lists!$AD$17)-($T688*Lists!$AD$18)+($Z688*Lists!$AD$19),2))</f>
        <v/>
      </c>
      <c r="AB688" s="102" t="str">
        <f aca="false">IF(OR($B688="", $N688="", $Z688=""),"",IF($N688&gt;=Lists!$AG$2,IF($Z688&gt;=Lists!$AG$3,"Invest","Migrate"),IF($Z688&gt;=Lists!$AG$3,"Tolerate","Eliminate")))</f>
        <v/>
      </c>
      <c r="AC688" s="102" t="str">
        <f aca="false">IF($B688="","",IF($J688&gt;=4,"Yes",""))</f>
        <v/>
      </c>
      <c r="AD688" s="102" t="str">
        <f aca="false">IF($A688="","",IFERROR(IF(VLOOKUP($A688,'Risk Register'!$B$2:$H$1000,4,FALSE())&gt;=4,"Yes",""),""))</f>
        <v/>
      </c>
      <c r="AE688" s="102" t="str">
        <f aca="false">IF(OR($N688="", $O688=""),"",IF($N688&gt;=Lists!$AG$2,IF($O688&gt;=Lists!$AG$4,"High Value / High Risk","High Value / Low Risk"),IF($O688&gt;=Lists!$AG$4,"Low Value / High Risk","Low Value / Low Risk")))</f>
        <v/>
      </c>
      <c r="AF688" s="101"/>
      <c r="AG688" s="126"/>
      <c r="AH688" s="106" t="str">
        <f aca="false">IF($B688="","",COUNTIFS('Debt Backlog'!$AF$2:$AF$1000,$A688,'Debt Backlog'!$B$2:$B$1000,"&lt;&gt;",'Debt Backlog'!$N$2:$N$1000,"&lt;&gt;Done",'Debt Backlog'!$N$2:$N$1000,"&lt;&gt;Won't Fix",'Debt Backlog'!$N$2:$N$1000,"&lt;&gt;Duplicate"))</f>
        <v/>
      </c>
      <c r="AI688" s="103" t="str">
        <f aca="false">IF($B688="","",ROUND(SUMIFS('Debt Backlog'!$L$2:$L$1000,'Debt Backlog'!$AF$2:$AF$1000,$A688,'Debt Backlog'!$B$2:$B$1000,"&lt;&gt;",'Debt Backlog'!$N$2:$N$1000,"&lt;&gt;Done",'Debt Backlog'!$N$2:$N$1000,"&lt;&gt;Won't Fix",'Debt Backlog'!$N$2:$N$1000,"&lt;&gt;Duplicate"),2))</f>
        <v/>
      </c>
    </row>
    <row r="689" customFormat="false" ht="15.75" hidden="false" customHeight="true" outlineLevel="0" collapsed="false">
      <c r="A689" s="125"/>
      <c r="B689" s="101"/>
      <c r="C689" s="101"/>
      <c r="D689" s="101"/>
      <c r="E689" s="101"/>
      <c r="F689" s="101"/>
      <c r="G689" s="101"/>
      <c r="H689" s="101"/>
      <c r="I689" s="106"/>
      <c r="J689" s="106"/>
      <c r="K689" s="106"/>
      <c r="L689" s="106"/>
      <c r="M689" s="106"/>
      <c r="N689" s="103" t="str">
        <f aca="false">IF(OR($B689="", $I689="", $J689="", $K689="", $L689="", $M689=""),"",ROUND(($I689*Lists!$AD$2)+($J689*Lists!$AD$3)+($K689*Lists!$AD$4)+($L689*Lists!$AD$5)+($M689*Lists!$AD$6),2))</f>
        <v/>
      </c>
      <c r="O689" s="103" t="str">
        <f aca="false">IF($A689="","",IFERROR(VLOOKUP($A689,'Risk Register'!$B$2:$I$1000,8,FALSE()),""))</f>
        <v/>
      </c>
      <c r="P689" s="106"/>
      <c r="Q689" s="106"/>
      <c r="R689" s="106"/>
      <c r="S689" s="106"/>
      <c r="T689" s="103" t="str">
        <f aca="false">IF(OR($B689="", $P689="", $Q689="", $R689="", $S689=""),"",ROUND(($P689*Lists!$AD$7)+($Q689*Lists!$AD$8)+($R689*Lists!$AD$9)+($S689*Lists!$AD$10),2))</f>
        <v/>
      </c>
      <c r="U689" s="106"/>
      <c r="V689" s="106"/>
      <c r="W689" s="106"/>
      <c r="X689" s="106"/>
      <c r="Y689" s="106"/>
      <c r="Z689" s="103" t="str">
        <f aca="false">IF(OR($B689="", $U689="", $V689="", $W689="", $X689="", $Y689=""),"",ROUND(($U689*Lists!$AD$11)+($V689*Lists!$AD$12)+($W689*Lists!$AD$13)+($X689*Lists!$AD$14)+($Y689*Lists!$AD$15),2))</f>
        <v/>
      </c>
      <c r="AA689" s="103" t="str">
        <f aca="false">IF(OR($B689="", $N689="", $O689="", $T689="", $Z689=""),"",ROUND(($N689*Lists!$AD$16)-($O689*Lists!$AD$17)-($T689*Lists!$AD$18)+($Z689*Lists!$AD$19),2))</f>
        <v/>
      </c>
      <c r="AB689" s="102" t="str">
        <f aca="false">IF(OR($B689="", $N689="", $Z689=""),"",IF($N689&gt;=Lists!$AG$2,IF($Z689&gt;=Lists!$AG$3,"Invest","Migrate"),IF($Z689&gt;=Lists!$AG$3,"Tolerate","Eliminate")))</f>
        <v/>
      </c>
      <c r="AC689" s="102" t="str">
        <f aca="false">IF($B689="","",IF($J689&gt;=4,"Yes",""))</f>
        <v/>
      </c>
      <c r="AD689" s="102" t="str">
        <f aca="false">IF($A689="","",IFERROR(IF(VLOOKUP($A689,'Risk Register'!$B$2:$H$1000,4,FALSE())&gt;=4,"Yes",""),""))</f>
        <v/>
      </c>
      <c r="AE689" s="102" t="str">
        <f aca="false">IF(OR($N689="", $O689=""),"",IF($N689&gt;=Lists!$AG$2,IF($O689&gt;=Lists!$AG$4,"High Value / High Risk","High Value / Low Risk"),IF($O689&gt;=Lists!$AG$4,"Low Value / High Risk","Low Value / Low Risk")))</f>
        <v/>
      </c>
      <c r="AF689" s="101"/>
      <c r="AG689" s="126"/>
      <c r="AH689" s="106" t="str">
        <f aca="false">IF($B689="","",COUNTIFS('Debt Backlog'!$AF$2:$AF$1000,$A689,'Debt Backlog'!$B$2:$B$1000,"&lt;&gt;",'Debt Backlog'!$N$2:$N$1000,"&lt;&gt;Done",'Debt Backlog'!$N$2:$N$1000,"&lt;&gt;Won't Fix",'Debt Backlog'!$N$2:$N$1000,"&lt;&gt;Duplicate"))</f>
        <v/>
      </c>
      <c r="AI689" s="103" t="str">
        <f aca="false">IF($B689="","",ROUND(SUMIFS('Debt Backlog'!$L$2:$L$1000,'Debt Backlog'!$AF$2:$AF$1000,$A689,'Debt Backlog'!$B$2:$B$1000,"&lt;&gt;",'Debt Backlog'!$N$2:$N$1000,"&lt;&gt;Done",'Debt Backlog'!$N$2:$N$1000,"&lt;&gt;Won't Fix",'Debt Backlog'!$N$2:$N$1000,"&lt;&gt;Duplicate"),2))</f>
        <v/>
      </c>
    </row>
    <row r="690" customFormat="false" ht="15.75" hidden="false" customHeight="true" outlineLevel="0" collapsed="false">
      <c r="A690" s="125"/>
      <c r="B690" s="101"/>
      <c r="C690" s="101"/>
      <c r="D690" s="101"/>
      <c r="E690" s="101"/>
      <c r="F690" s="101"/>
      <c r="G690" s="101"/>
      <c r="H690" s="101"/>
      <c r="I690" s="106"/>
      <c r="J690" s="106"/>
      <c r="K690" s="106"/>
      <c r="L690" s="106"/>
      <c r="M690" s="106"/>
      <c r="N690" s="103" t="str">
        <f aca="false">IF(OR($B690="", $I690="", $J690="", $K690="", $L690="", $M690=""),"",ROUND(($I690*Lists!$AD$2)+($J690*Lists!$AD$3)+($K690*Lists!$AD$4)+($L690*Lists!$AD$5)+($M690*Lists!$AD$6),2))</f>
        <v/>
      </c>
      <c r="O690" s="103" t="str">
        <f aca="false">IF($A690="","",IFERROR(VLOOKUP($A690,'Risk Register'!$B$2:$I$1000,8,FALSE()),""))</f>
        <v/>
      </c>
      <c r="P690" s="106"/>
      <c r="Q690" s="106"/>
      <c r="R690" s="106"/>
      <c r="S690" s="106"/>
      <c r="T690" s="103" t="str">
        <f aca="false">IF(OR($B690="", $P690="", $Q690="", $R690="", $S690=""),"",ROUND(($P690*Lists!$AD$7)+($Q690*Lists!$AD$8)+($R690*Lists!$AD$9)+($S690*Lists!$AD$10),2))</f>
        <v/>
      </c>
      <c r="U690" s="106"/>
      <c r="V690" s="106"/>
      <c r="W690" s="106"/>
      <c r="X690" s="106"/>
      <c r="Y690" s="106"/>
      <c r="Z690" s="103" t="str">
        <f aca="false">IF(OR($B690="", $U690="", $V690="", $W690="", $X690="", $Y690=""),"",ROUND(($U690*Lists!$AD$11)+($V690*Lists!$AD$12)+($W690*Lists!$AD$13)+($X690*Lists!$AD$14)+($Y690*Lists!$AD$15),2))</f>
        <v/>
      </c>
      <c r="AA690" s="103" t="str">
        <f aca="false">IF(OR($B690="", $N690="", $O690="", $T690="", $Z690=""),"",ROUND(($N690*Lists!$AD$16)-($O690*Lists!$AD$17)-($T690*Lists!$AD$18)+($Z690*Lists!$AD$19),2))</f>
        <v/>
      </c>
      <c r="AB690" s="102" t="str">
        <f aca="false">IF(OR($B690="", $N690="", $Z690=""),"",IF($N690&gt;=Lists!$AG$2,IF($Z690&gt;=Lists!$AG$3,"Invest","Migrate"),IF($Z690&gt;=Lists!$AG$3,"Tolerate","Eliminate")))</f>
        <v/>
      </c>
      <c r="AC690" s="102" t="str">
        <f aca="false">IF($B690="","",IF($J690&gt;=4,"Yes",""))</f>
        <v/>
      </c>
      <c r="AD690" s="102" t="str">
        <f aca="false">IF($A690="","",IFERROR(IF(VLOOKUP($A690,'Risk Register'!$B$2:$H$1000,4,FALSE())&gt;=4,"Yes",""),""))</f>
        <v/>
      </c>
      <c r="AE690" s="102" t="str">
        <f aca="false">IF(OR($N690="", $O690=""),"",IF($N690&gt;=Lists!$AG$2,IF($O690&gt;=Lists!$AG$4,"High Value / High Risk","High Value / Low Risk"),IF($O690&gt;=Lists!$AG$4,"Low Value / High Risk","Low Value / Low Risk")))</f>
        <v/>
      </c>
      <c r="AF690" s="101"/>
      <c r="AG690" s="126"/>
      <c r="AH690" s="106" t="str">
        <f aca="false">IF($B690="","",COUNTIFS('Debt Backlog'!$AF$2:$AF$1000,$A690,'Debt Backlog'!$B$2:$B$1000,"&lt;&gt;",'Debt Backlog'!$N$2:$N$1000,"&lt;&gt;Done",'Debt Backlog'!$N$2:$N$1000,"&lt;&gt;Won't Fix",'Debt Backlog'!$N$2:$N$1000,"&lt;&gt;Duplicate"))</f>
        <v/>
      </c>
      <c r="AI690" s="103" t="str">
        <f aca="false">IF($B690="","",ROUND(SUMIFS('Debt Backlog'!$L$2:$L$1000,'Debt Backlog'!$AF$2:$AF$1000,$A690,'Debt Backlog'!$B$2:$B$1000,"&lt;&gt;",'Debt Backlog'!$N$2:$N$1000,"&lt;&gt;Done",'Debt Backlog'!$N$2:$N$1000,"&lt;&gt;Won't Fix",'Debt Backlog'!$N$2:$N$1000,"&lt;&gt;Duplicate"),2))</f>
        <v/>
      </c>
    </row>
    <row r="691" customFormat="false" ht="15.75" hidden="false" customHeight="true" outlineLevel="0" collapsed="false">
      <c r="A691" s="125"/>
      <c r="B691" s="101"/>
      <c r="C691" s="101"/>
      <c r="D691" s="101"/>
      <c r="E691" s="101"/>
      <c r="F691" s="101"/>
      <c r="G691" s="101"/>
      <c r="H691" s="101"/>
      <c r="I691" s="106"/>
      <c r="J691" s="106"/>
      <c r="K691" s="106"/>
      <c r="L691" s="106"/>
      <c r="M691" s="106"/>
      <c r="N691" s="103" t="str">
        <f aca="false">IF(OR($B691="", $I691="", $J691="", $K691="", $L691="", $M691=""),"",ROUND(($I691*Lists!$AD$2)+($J691*Lists!$AD$3)+($K691*Lists!$AD$4)+($L691*Lists!$AD$5)+($M691*Lists!$AD$6),2))</f>
        <v/>
      </c>
      <c r="O691" s="103" t="str">
        <f aca="false">IF($A691="","",IFERROR(VLOOKUP($A691,'Risk Register'!$B$2:$I$1000,8,FALSE()),""))</f>
        <v/>
      </c>
      <c r="P691" s="106"/>
      <c r="Q691" s="106"/>
      <c r="R691" s="106"/>
      <c r="S691" s="106"/>
      <c r="T691" s="103" t="str">
        <f aca="false">IF(OR($B691="", $P691="", $Q691="", $R691="", $S691=""),"",ROUND(($P691*Lists!$AD$7)+($Q691*Lists!$AD$8)+($R691*Lists!$AD$9)+($S691*Lists!$AD$10),2))</f>
        <v/>
      </c>
      <c r="U691" s="106"/>
      <c r="V691" s="106"/>
      <c r="W691" s="106"/>
      <c r="X691" s="106"/>
      <c r="Y691" s="106"/>
      <c r="Z691" s="103" t="str">
        <f aca="false">IF(OR($B691="", $U691="", $V691="", $W691="", $X691="", $Y691=""),"",ROUND(($U691*Lists!$AD$11)+($V691*Lists!$AD$12)+($W691*Lists!$AD$13)+($X691*Lists!$AD$14)+($Y691*Lists!$AD$15),2))</f>
        <v/>
      </c>
      <c r="AA691" s="103" t="str">
        <f aca="false">IF(OR($B691="", $N691="", $O691="", $T691="", $Z691=""),"",ROUND(($N691*Lists!$AD$16)-($O691*Lists!$AD$17)-($T691*Lists!$AD$18)+($Z691*Lists!$AD$19),2))</f>
        <v/>
      </c>
      <c r="AB691" s="102" t="str">
        <f aca="false">IF(OR($B691="", $N691="", $Z691=""),"",IF($N691&gt;=Lists!$AG$2,IF($Z691&gt;=Lists!$AG$3,"Invest","Migrate"),IF($Z691&gt;=Lists!$AG$3,"Tolerate","Eliminate")))</f>
        <v/>
      </c>
      <c r="AC691" s="102" t="str">
        <f aca="false">IF($B691="","",IF($J691&gt;=4,"Yes",""))</f>
        <v/>
      </c>
      <c r="AD691" s="102" t="str">
        <f aca="false">IF($A691="","",IFERROR(IF(VLOOKUP($A691,'Risk Register'!$B$2:$H$1000,4,FALSE())&gt;=4,"Yes",""),""))</f>
        <v/>
      </c>
      <c r="AE691" s="102" t="str">
        <f aca="false">IF(OR($N691="", $O691=""),"",IF($N691&gt;=Lists!$AG$2,IF($O691&gt;=Lists!$AG$4,"High Value / High Risk","High Value / Low Risk"),IF($O691&gt;=Lists!$AG$4,"Low Value / High Risk","Low Value / Low Risk")))</f>
        <v/>
      </c>
      <c r="AF691" s="101"/>
      <c r="AG691" s="126"/>
      <c r="AH691" s="106" t="str">
        <f aca="false">IF($B691="","",COUNTIFS('Debt Backlog'!$AF$2:$AF$1000,$A691,'Debt Backlog'!$B$2:$B$1000,"&lt;&gt;",'Debt Backlog'!$N$2:$N$1000,"&lt;&gt;Done",'Debt Backlog'!$N$2:$N$1000,"&lt;&gt;Won't Fix",'Debt Backlog'!$N$2:$N$1000,"&lt;&gt;Duplicate"))</f>
        <v/>
      </c>
      <c r="AI691" s="103" t="str">
        <f aca="false">IF($B691="","",ROUND(SUMIFS('Debt Backlog'!$L$2:$L$1000,'Debt Backlog'!$AF$2:$AF$1000,$A691,'Debt Backlog'!$B$2:$B$1000,"&lt;&gt;",'Debt Backlog'!$N$2:$N$1000,"&lt;&gt;Done",'Debt Backlog'!$N$2:$N$1000,"&lt;&gt;Won't Fix",'Debt Backlog'!$N$2:$N$1000,"&lt;&gt;Duplicate"),2))</f>
        <v/>
      </c>
    </row>
    <row r="692" customFormat="false" ht="15.75" hidden="false" customHeight="true" outlineLevel="0" collapsed="false">
      <c r="A692" s="125"/>
      <c r="B692" s="101"/>
      <c r="C692" s="101"/>
      <c r="D692" s="101"/>
      <c r="E692" s="101"/>
      <c r="F692" s="101"/>
      <c r="G692" s="101"/>
      <c r="H692" s="101"/>
      <c r="I692" s="106"/>
      <c r="J692" s="106"/>
      <c r="K692" s="106"/>
      <c r="L692" s="106"/>
      <c r="M692" s="106"/>
      <c r="N692" s="103" t="str">
        <f aca="false">IF(OR($B692="", $I692="", $J692="", $K692="", $L692="", $M692=""),"",ROUND(($I692*Lists!$AD$2)+($J692*Lists!$AD$3)+($K692*Lists!$AD$4)+($L692*Lists!$AD$5)+($M692*Lists!$AD$6),2))</f>
        <v/>
      </c>
      <c r="O692" s="103" t="str">
        <f aca="false">IF($A692="","",IFERROR(VLOOKUP($A692,'Risk Register'!$B$2:$I$1000,8,FALSE()),""))</f>
        <v/>
      </c>
      <c r="P692" s="106"/>
      <c r="Q692" s="106"/>
      <c r="R692" s="106"/>
      <c r="S692" s="106"/>
      <c r="T692" s="103" t="str">
        <f aca="false">IF(OR($B692="", $P692="", $Q692="", $R692="", $S692=""),"",ROUND(($P692*Lists!$AD$7)+($Q692*Lists!$AD$8)+($R692*Lists!$AD$9)+($S692*Lists!$AD$10),2))</f>
        <v/>
      </c>
      <c r="U692" s="106"/>
      <c r="V692" s="106"/>
      <c r="W692" s="106"/>
      <c r="X692" s="106"/>
      <c r="Y692" s="106"/>
      <c r="Z692" s="103" t="str">
        <f aca="false">IF(OR($B692="", $U692="", $V692="", $W692="", $X692="", $Y692=""),"",ROUND(($U692*Lists!$AD$11)+($V692*Lists!$AD$12)+($W692*Lists!$AD$13)+($X692*Lists!$AD$14)+($Y692*Lists!$AD$15),2))</f>
        <v/>
      </c>
      <c r="AA692" s="103" t="str">
        <f aca="false">IF(OR($B692="", $N692="", $O692="", $T692="", $Z692=""),"",ROUND(($N692*Lists!$AD$16)-($O692*Lists!$AD$17)-($T692*Lists!$AD$18)+($Z692*Lists!$AD$19),2))</f>
        <v/>
      </c>
      <c r="AB692" s="102" t="str">
        <f aca="false">IF(OR($B692="", $N692="", $Z692=""),"",IF($N692&gt;=Lists!$AG$2,IF($Z692&gt;=Lists!$AG$3,"Invest","Migrate"),IF($Z692&gt;=Lists!$AG$3,"Tolerate","Eliminate")))</f>
        <v/>
      </c>
      <c r="AC692" s="102" t="str">
        <f aca="false">IF($B692="","",IF($J692&gt;=4,"Yes",""))</f>
        <v/>
      </c>
      <c r="AD692" s="102" t="str">
        <f aca="false">IF($A692="","",IFERROR(IF(VLOOKUP($A692,'Risk Register'!$B$2:$H$1000,4,FALSE())&gt;=4,"Yes",""),""))</f>
        <v/>
      </c>
      <c r="AE692" s="102" t="str">
        <f aca="false">IF(OR($N692="", $O692=""),"",IF($N692&gt;=Lists!$AG$2,IF($O692&gt;=Lists!$AG$4,"High Value / High Risk","High Value / Low Risk"),IF($O692&gt;=Lists!$AG$4,"Low Value / High Risk","Low Value / Low Risk")))</f>
        <v/>
      </c>
      <c r="AF692" s="101"/>
      <c r="AG692" s="126"/>
      <c r="AH692" s="106" t="str">
        <f aca="false">IF($B692="","",COUNTIFS('Debt Backlog'!$AF$2:$AF$1000,$A692,'Debt Backlog'!$B$2:$B$1000,"&lt;&gt;",'Debt Backlog'!$N$2:$N$1000,"&lt;&gt;Done",'Debt Backlog'!$N$2:$N$1000,"&lt;&gt;Won't Fix",'Debt Backlog'!$N$2:$N$1000,"&lt;&gt;Duplicate"))</f>
        <v/>
      </c>
      <c r="AI692" s="103" t="str">
        <f aca="false">IF($B692="","",ROUND(SUMIFS('Debt Backlog'!$L$2:$L$1000,'Debt Backlog'!$AF$2:$AF$1000,$A692,'Debt Backlog'!$B$2:$B$1000,"&lt;&gt;",'Debt Backlog'!$N$2:$N$1000,"&lt;&gt;Done",'Debt Backlog'!$N$2:$N$1000,"&lt;&gt;Won't Fix",'Debt Backlog'!$N$2:$N$1000,"&lt;&gt;Duplicate"),2))</f>
        <v/>
      </c>
    </row>
    <row r="693" customFormat="false" ht="15.75" hidden="false" customHeight="true" outlineLevel="0" collapsed="false">
      <c r="A693" s="125"/>
      <c r="B693" s="101"/>
      <c r="C693" s="101"/>
      <c r="D693" s="101"/>
      <c r="E693" s="101"/>
      <c r="F693" s="101"/>
      <c r="G693" s="101"/>
      <c r="H693" s="101"/>
      <c r="I693" s="106"/>
      <c r="J693" s="106"/>
      <c r="K693" s="106"/>
      <c r="L693" s="106"/>
      <c r="M693" s="106"/>
      <c r="N693" s="103" t="str">
        <f aca="false">IF(OR($B693="", $I693="", $J693="", $K693="", $L693="", $M693=""),"",ROUND(($I693*Lists!$AD$2)+($J693*Lists!$AD$3)+($K693*Lists!$AD$4)+($L693*Lists!$AD$5)+($M693*Lists!$AD$6),2))</f>
        <v/>
      </c>
      <c r="O693" s="103" t="str">
        <f aca="false">IF($A693="","",IFERROR(VLOOKUP($A693,'Risk Register'!$B$2:$I$1000,8,FALSE()),""))</f>
        <v/>
      </c>
      <c r="P693" s="106"/>
      <c r="Q693" s="106"/>
      <c r="R693" s="106"/>
      <c r="S693" s="106"/>
      <c r="T693" s="103" t="str">
        <f aca="false">IF(OR($B693="", $P693="", $Q693="", $R693="", $S693=""),"",ROUND(($P693*Lists!$AD$7)+($Q693*Lists!$AD$8)+($R693*Lists!$AD$9)+($S693*Lists!$AD$10),2))</f>
        <v/>
      </c>
      <c r="U693" s="106"/>
      <c r="V693" s="106"/>
      <c r="W693" s="106"/>
      <c r="X693" s="106"/>
      <c r="Y693" s="106"/>
      <c r="Z693" s="103" t="str">
        <f aca="false">IF(OR($B693="", $U693="", $V693="", $W693="", $X693="", $Y693=""),"",ROUND(($U693*Lists!$AD$11)+($V693*Lists!$AD$12)+($W693*Lists!$AD$13)+($X693*Lists!$AD$14)+($Y693*Lists!$AD$15),2))</f>
        <v/>
      </c>
      <c r="AA693" s="103" t="str">
        <f aca="false">IF(OR($B693="", $N693="", $O693="", $T693="", $Z693=""),"",ROUND(($N693*Lists!$AD$16)-($O693*Lists!$AD$17)-($T693*Lists!$AD$18)+($Z693*Lists!$AD$19),2))</f>
        <v/>
      </c>
      <c r="AB693" s="102" t="str">
        <f aca="false">IF(OR($B693="", $N693="", $Z693=""),"",IF($N693&gt;=Lists!$AG$2,IF($Z693&gt;=Lists!$AG$3,"Invest","Migrate"),IF($Z693&gt;=Lists!$AG$3,"Tolerate","Eliminate")))</f>
        <v/>
      </c>
      <c r="AC693" s="102" t="str">
        <f aca="false">IF($B693="","",IF($J693&gt;=4,"Yes",""))</f>
        <v/>
      </c>
      <c r="AD693" s="102" t="str">
        <f aca="false">IF($A693="","",IFERROR(IF(VLOOKUP($A693,'Risk Register'!$B$2:$H$1000,4,FALSE())&gt;=4,"Yes",""),""))</f>
        <v/>
      </c>
      <c r="AE693" s="102" t="str">
        <f aca="false">IF(OR($N693="", $O693=""),"",IF($N693&gt;=Lists!$AG$2,IF($O693&gt;=Lists!$AG$4,"High Value / High Risk","High Value / Low Risk"),IF($O693&gt;=Lists!$AG$4,"Low Value / High Risk","Low Value / Low Risk")))</f>
        <v/>
      </c>
      <c r="AF693" s="101"/>
      <c r="AG693" s="126"/>
      <c r="AH693" s="106" t="str">
        <f aca="false">IF($B693="","",COUNTIFS('Debt Backlog'!$AF$2:$AF$1000,$A693,'Debt Backlog'!$B$2:$B$1000,"&lt;&gt;",'Debt Backlog'!$N$2:$N$1000,"&lt;&gt;Done",'Debt Backlog'!$N$2:$N$1000,"&lt;&gt;Won't Fix",'Debt Backlog'!$N$2:$N$1000,"&lt;&gt;Duplicate"))</f>
        <v/>
      </c>
      <c r="AI693" s="103" t="str">
        <f aca="false">IF($B693="","",ROUND(SUMIFS('Debt Backlog'!$L$2:$L$1000,'Debt Backlog'!$AF$2:$AF$1000,$A693,'Debt Backlog'!$B$2:$B$1000,"&lt;&gt;",'Debt Backlog'!$N$2:$N$1000,"&lt;&gt;Done",'Debt Backlog'!$N$2:$N$1000,"&lt;&gt;Won't Fix",'Debt Backlog'!$N$2:$N$1000,"&lt;&gt;Duplicate"),2))</f>
        <v/>
      </c>
    </row>
    <row r="694" customFormat="false" ht="15.75" hidden="false" customHeight="true" outlineLevel="0" collapsed="false">
      <c r="A694" s="125"/>
      <c r="B694" s="101"/>
      <c r="C694" s="101"/>
      <c r="D694" s="101"/>
      <c r="E694" s="101"/>
      <c r="F694" s="101"/>
      <c r="G694" s="101"/>
      <c r="H694" s="101"/>
      <c r="I694" s="106"/>
      <c r="J694" s="106"/>
      <c r="K694" s="106"/>
      <c r="L694" s="106"/>
      <c r="M694" s="106"/>
      <c r="N694" s="103" t="str">
        <f aca="false">IF(OR($B694="", $I694="", $J694="", $K694="", $L694="", $M694=""),"",ROUND(($I694*Lists!$AD$2)+($J694*Lists!$AD$3)+($K694*Lists!$AD$4)+($L694*Lists!$AD$5)+($M694*Lists!$AD$6),2))</f>
        <v/>
      </c>
      <c r="O694" s="103" t="str">
        <f aca="false">IF($A694="","",IFERROR(VLOOKUP($A694,'Risk Register'!$B$2:$I$1000,8,FALSE()),""))</f>
        <v/>
      </c>
      <c r="P694" s="106"/>
      <c r="Q694" s="106"/>
      <c r="R694" s="106"/>
      <c r="S694" s="106"/>
      <c r="T694" s="103" t="str">
        <f aca="false">IF(OR($B694="", $P694="", $Q694="", $R694="", $S694=""),"",ROUND(($P694*Lists!$AD$7)+($Q694*Lists!$AD$8)+($R694*Lists!$AD$9)+($S694*Lists!$AD$10),2))</f>
        <v/>
      </c>
      <c r="U694" s="106"/>
      <c r="V694" s="106"/>
      <c r="W694" s="106"/>
      <c r="X694" s="106"/>
      <c r="Y694" s="106"/>
      <c r="Z694" s="103" t="str">
        <f aca="false">IF(OR($B694="", $U694="", $V694="", $W694="", $X694="", $Y694=""),"",ROUND(($U694*Lists!$AD$11)+($V694*Lists!$AD$12)+($W694*Lists!$AD$13)+($X694*Lists!$AD$14)+($Y694*Lists!$AD$15),2))</f>
        <v/>
      </c>
      <c r="AA694" s="103" t="str">
        <f aca="false">IF(OR($B694="", $N694="", $O694="", $T694="", $Z694=""),"",ROUND(($N694*Lists!$AD$16)-($O694*Lists!$AD$17)-($T694*Lists!$AD$18)+($Z694*Lists!$AD$19),2))</f>
        <v/>
      </c>
      <c r="AB694" s="102" t="str">
        <f aca="false">IF(OR($B694="", $N694="", $Z694=""),"",IF($N694&gt;=Lists!$AG$2,IF($Z694&gt;=Lists!$AG$3,"Invest","Migrate"),IF($Z694&gt;=Lists!$AG$3,"Tolerate","Eliminate")))</f>
        <v/>
      </c>
      <c r="AC694" s="102" t="str">
        <f aca="false">IF($B694="","",IF($J694&gt;=4,"Yes",""))</f>
        <v/>
      </c>
      <c r="AD694" s="102" t="str">
        <f aca="false">IF($A694="","",IFERROR(IF(VLOOKUP($A694,'Risk Register'!$B$2:$H$1000,4,FALSE())&gt;=4,"Yes",""),""))</f>
        <v/>
      </c>
      <c r="AE694" s="102" t="str">
        <f aca="false">IF(OR($N694="", $O694=""),"",IF($N694&gt;=Lists!$AG$2,IF($O694&gt;=Lists!$AG$4,"High Value / High Risk","High Value / Low Risk"),IF($O694&gt;=Lists!$AG$4,"Low Value / High Risk","Low Value / Low Risk")))</f>
        <v/>
      </c>
      <c r="AF694" s="101"/>
      <c r="AG694" s="126"/>
      <c r="AH694" s="106" t="str">
        <f aca="false">IF($B694="","",COUNTIFS('Debt Backlog'!$AF$2:$AF$1000,$A694,'Debt Backlog'!$B$2:$B$1000,"&lt;&gt;",'Debt Backlog'!$N$2:$N$1000,"&lt;&gt;Done",'Debt Backlog'!$N$2:$N$1000,"&lt;&gt;Won't Fix",'Debt Backlog'!$N$2:$N$1000,"&lt;&gt;Duplicate"))</f>
        <v/>
      </c>
      <c r="AI694" s="103" t="str">
        <f aca="false">IF($B694="","",ROUND(SUMIFS('Debt Backlog'!$L$2:$L$1000,'Debt Backlog'!$AF$2:$AF$1000,$A694,'Debt Backlog'!$B$2:$B$1000,"&lt;&gt;",'Debt Backlog'!$N$2:$N$1000,"&lt;&gt;Done",'Debt Backlog'!$N$2:$N$1000,"&lt;&gt;Won't Fix",'Debt Backlog'!$N$2:$N$1000,"&lt;&gt;Duplicate"),2))</f>
        <v/>
      </c>
    </row>
    <row r="695" customFormat="false" ht="15.75" hidden="false" customHeight="true" outlineLevel="0" collapsed="false">
      <c r="A695" s="125"/>
      <c r="B695" s="101"/>
      <c r="C695" s="101"/>
      <c r="D695" s="101"/>
      <c r="E695" s="101"/>
      <c r="F695" s="101"/>
      <c r="G695" s="101"/>
      <c r="H695" s="101"/>
      <c r="I695" s="106"/>
      <c r="J695" s="106"/>
      <c r="K695" s="106"/>
      <c r="L695" s="106"/>
      <c r="M695" s="106"/>
      <c r="N695" s="103" t="str">
        <f aca="false">IF(OR($B695="", $I695="", $J695="", $K695="", $L695="", $M695=""),"",ROUND(($I695*Lists!$AD$2)+($J695*Lists!$AD$3)+($K695*Lists!$AD$4)+($L695*Lists!$AD$5)+($M695*Lists!$AD$6),2))</f>
        <v/>
      </c>
      <c r="O695" s="103" t="str">
        <f aca="false">IF($A695="","",IFERROR(VLOOKUP($A695,'Risk Register'!$B$2:$I$1000,8,FALSE()),""))</f>
        <v/>
      </c>
      <c r="P695" s="106"/>
      <c r="Q695" s="106"/>
      <c r="R695" s="106"/>
      <c r="S695" s="106"/>
      <c r="T695" s="103" t="str">
        <f aca="false">IF(OR($B695="", $P695="", $Q695="", $R695="", $S695=""),"",ROUND(($P695*Lists!$AD$7)+($Q695*Lists!$AD$8)+($R695*Lists!$AD$9)+($S695*Lists!$AD$10),2))</f>
        <v/>
      </c>
      <c r="U695" s="106"/>
      <c r="V695" s="106"/>
      <c r="W695" s="106"/>
      <c r="X695" s="106"/>
      <c r="Y695" s="106"/>
      <c r="Z695" s="103" t="str">
        <f aca="false">IF(OR($B695="", $U695="", $V695="", $W695="", $X695="", $Y695=""),"",ROUND(($U695*Lists!$AD$11)+($V695*Lists!$AD$12)+($W695*Lists!$AD$13)+($X695*Lists!$AD$14)+($Y695*Lists!$AD$15),2))</f>
        <v/>
      </c>
      <c r="AA695" s="103" t="str">
        <f aca="false">IF(OR($B695="", $N695="", $O695="", $T695="", $Z695=""),"",ROUND(($N695*Lists!$AD$16)-($O695*Lists!$AD$17)-($T695*Lists!$AD$18)+($Z695*Lists!$AD$19),2))</f>
        <v/>
      </c>
      <c r="AB695" s="102" t="str">
        <f aca="false">IF(OR($B695="", $N695="", $Z695=""),"",IF($N695&gt;=Lists!$AG$2,IF($Z695&gt;=Lists!$AG$3,"Invest","Migrate"),IF($Z695&gt;=Lists!$AG$3,"Tolerate","Eliminate")))</f>
        <v/>
      </c>
      <c r="AC695" s="102" t="str">
        <f aca="false">IF($B695="","",IF($J695&gt;=4,"Yes",""))</f>
        <v/>
      </c>
      <c r="AD695" s="102" t="str">
        <f aca="false">IF($A695="","",IFERROR(IF(VLOOKUP($A695,'Risk Register'!$B$2:$H$1000,4,FALSE())&gt;=4,"Yes",""),""))</f>
        <v/>
      </c>
      <c r="AE695" s="102" t="str">
        <f aca="false">IF(OR($N695="", $O695=""),"",IF($N695&gt;=Lists!$AG$2,IF($O695&gt;=Lists!$AG$4,"High Value / High Risk","High Value / Low Risk"),IF($O695&gt;=Lists!$AG$4,"Low Value / High Risk","Low Value / Low Risk")))</f>
        <v/>
      </c>
      <c r="AF695" s="101"/>
      <c r="AG695" s="126"/>
      <c r="AH695" s="106" t="str">
        <f aca="false">IF($B695="","",COUNTIFS('Debt Backlog'!$AF$2:$AF$1000,$A695,'Debt Backlog'!$B$2:$B$1000,"&lt;&gt;",'Debt Backlog'!$N$2:$N$1000,"&lt;&gt;Done",'Debt Backlog'!$N$2:$N$1000,"&lt;&gt;Won't Fix",'Debt Backlog'!$N$2:$N$1000,"&lt;&gt;Duplicate"))</f>
        <v/>
      </c>
      <c r="AI695" s="103" t="str">
        <f aca="false">IF($B695="","",ROUND(SUMIFS('Debt Backlog'!$L$2:$L$1000,'Debt Backlog'!$AF$2:$AF$1000,$A695,'Debt Backlog'!$B$2:$B$1000,"&lt;&gt;",'Debt Backlog'!$N$2:$N$1000,"&lt;&gt;Done",'Debt Backlog'!$N$2:$N$1000,"&lt;&gt;Won't Fix",'Debt Backlog'!$N$2:$N$1000,"&lt;&gt;Duplicate"),2))</f>
        <v/>
      </c>
    </row>
    <row r="696" customFormat="false" ht="15.75" hidden="false" customHeight="true" outlineLevel="0" collapsed="false">
      <c r="A696" s="125"/>
      <c r="B696" s="101"/>
      <c r="C696" s="101"/>
      <c r="D696" s="101"/>
      <c r="E696" s="101"/>
      <c r="F696" s="101"/>
      <c r="G696" s="101"/>
      <c r="H696" s="101"/>
      <c r="I696" s="106"/>
      <c r="J696" s="106"/>
      <c r="K696" s="106"/>
      <c r="L696" s="106"/>
      <c r="M696" s="106"/>
      <c r="N696" s="103" t="str">
        <f aca="false">IF(OR($B696="", $I696="", $J696="", $K696="", $L696="", $M696=""),"",ROUND(($I696*Lists!$AD$2)+($J696*Lists!$AD$3)+($K696*Lists!$AD$4)+($L696*Lists!$AD$5)+($M696*Lists!$AD$6),2))</f>
        <v/>
      </c>
      <c r="O696" s="103" t="str">
        <f aca="false">IF($A696="","",IFERROR(VLOOKUP($A696,'Risk Register'!$B$2:$I$1000,8,FALSE()),""))</f>
        <v/>
      </c>
      <c r="P696" s="106"/>
      <c r="Q696" s="106"/>
      <c r="R696" s="106"/>
      <c r="S696" s="106"/>
      <c r="T696" s="103" t="str">
        <f aca="false">IF(OR($B696="", $P696="", $Q696="", $R696="", $S696=""),"",ROUND(($P696*Lists!$AD$7)+($Q696*Lists!$AD$8)+($R696*Lists!$AD$9)+($S696*Lists!$AD$10),2))</f>
        <v/>
      </c>
      <c r="U696" s="106"/>
      <c r="V696" s="106"/>
      <c r="W696" s="106"/>
      <c r="X696" s="106"/>
      <c r="Y696" s="106"/>
      <c r="Z696" s="103" t="str">
        <f aca="false">IF(OR($B696="", $U696="", $V696="", $W696="", $X696="", $Y696=""),"",ROUND(($U696*Lists!$AD$11)+($V696*Lists!$AD$12)+($W696*Lists!$AD$13)+($X696*Lists!$AD$14)+($Y696*Lists!$AD$15),2))</f>
        <v/>
      </c>
      <c r="AA696" s="103" t="str">
        <f aca="false">IF(OR($B696="", $N696="", $O696="", $T696="", $Z696=""),"",ROUND(($N696*Lists!$AD$16)-($O696*Lists!$AD$17)-($T696*Lists!$AD$18)+($Z696*Lists!$AD$19),2))</f>
        <v/>
      </c>
      <c r="AB696" s="102" t="str">
        <f aca="false">IF(OR($B696="", $N696="", $Z696=""),"",IF($N696&gt;=Lists!$AG$2,IF($Z696&gt;=Lists!$AG$3,"Invest","Migrate"),IF($Z696&gt;=Lists!$AG$3,"Tolerate","Eliminate")))</f>
        <v/>
      </c>
      <c r="AC696" s="102" t="str">
        <f aca="false">IF($B696="","",IF($J696&gt;=4,"Yes",""))</f>
        <v/>
      </c>
      <c r="AD696" s="102" t="str">
        <f aca="false">IF($A696="","",IFERROR(IF(VLOOKUP($A696,'Risk Register'!$B$2:$H$1000,4,FALSE())&gt;=4,"Yes",""),""))</f>
        <v/>
      </c>
      <c r="AE696" s="102" t="str">
        <f aca="false">IF(OR($N696="", $O696=""),"",IF($N696&gt;=Lists!$AG$2,IF($O696&gt;=Lists!$AG$4,"High Value / High Risk","High Value / Low Risk"),IF($O696&gt;=Lists!$AG$4,"Low Value / High Risk","Low Value / Low Risk")))</f>
        <v/>
      </c>
      <c r="AF696" s="101"/>
      <c r="AG696" s="126"/>
      <c r="AH696" s="106" t="str">
        <f aca="false">IF($B696="","",COUNTIFS('Debt Backlog'!$AF$2:$AF$1000,$A696,'Debt Backlog'!$B$2:$B$1000,"&lt;&gt;",'Debt Backlog'!$N$2:$N$1000,"&lt;&gt;Done",'Debt Backlog'!$N$2:$N$1000,"&lt;&gt;Won't Fix",'Debt Backlog'!$N$2:$N$1000,"&lt;&gt;Duplicate"))</f>
        <v/>
      </c>
      <c r="AI696" s="103" t="str">
        <f aca="false">IF($B696="","",ROUND(SUMIFS('Debt Backlog'!$L$2:$L$1000,'Debt Backlog'!$AF$2:$AF$1000,$A696,'Debt Backlog'!$B$2:$B$1000,"&lt;&gt;",'Debt Backlog'!$N$2:$N$1000,"&lt;&gt;Done",'Debt Backlog'!$N$2:$N$1000,"&lt;&gt;Won't Fix",'Debt Backlog'!$N$2:$N$1000,"&lt;&gt;Duplicate"),2))</f>
        <v/>
      </c>
    </row>
    <row r="697" customFormat="false" ht="15.75" hidden="false" customHeight="true" outlineLevel="0" collapsed="false">
      <c r="A697" s="125"/>
      <c r="B697" s="101"/>
      <c r="C697" s="101"/>
      <c r="D697" s="101"/>
      <c r="E697" s="101"/>
      <c r="F697" s="101"/>
      <c r="G697" s="101"/>
      <c r="H697" s="101"/>
      <c r="I697" s="106"/>
      <c r="J697" s="106"/>
      <c r="K697" s="106"/>
      <c r="L697" s="106"/>
      <c r="M697" s="106"/>
      <c r="N697" s="103" t="str">
        <f aca="false">IF(OR($B697="", $I697="", $J697="", $K697="", $L697="", $M697=""),"",ROUND(($I697*Lists!$AD$2)+($J697*Lists!$AD$3)+($K697*Lists!$AD$4)+($L697*Lists!$AD$5)+($M697*Lists!$AD$6),2))</f>
        <v/>
      </c>
      <c r="O697" s="103" t="str">
        <f aca="false">IF($A697="","",IFERROR(VLOOKUP($A697,'Risk Register'!$B$2:$I$1000,8,FALSE()),""))</f>
        <v/>
      </c>
      <c r="P697" s="106"/>
      <c r="Q697" s="106"/>
      <c r="R697" s="106"/>
      <c r="S697" s="106"/>
      <c r="T697" s="103" t="str">
        <f aca="false">IF(OR($B697="", $P697="", $Q697="", $R697="", $S697=""),"",ROUND(($P697*Lists!$AD$7)+($Q697*Lists!$AD$8)+($R697*Lists!$AD$9)+($S697*Lists!$AD$10),2))</f>
        <v/>
      </c>
      <c r="U697" s="106"/>
      <c r="V697" s="106"/>
      <c r="W697" s="106"/>
      <c r="X697" s="106"/>
      <c r="Y697" s="106"/>
      <c r="Z697" s="103" t="str">
        <f aca="false">IF(OR($B697="", $U697="", $V697="", $W697="", $X697="", $Y697=""),"",ROUND(($U697*Lists!$AD$11)+($V697*Lists!$AD$12)+($W697*Lists!$AD$13)+($X697*Lists!$AD$14)+($Y697*Lists!$AD$15),2))</f>
        <v/>
      </c>
      <c r="AA697" s="103" t="str">
        <f aca="false">IF(OR($B697="", $N697="", $O697="", $T697="", $Z697=""),"",ROUND(($N697*Lists!$AD$16)-($O697*Lists!$AD$17)-($T697*Lists!$AD$18)+($Z697*Lists!$AD$19),2))</f>
        <v/>
      </c>
      <c r="AB697" s="102" t="str">
        <f aca="false">IF(OR($B697="", $N697="", $Z697=""),"",IF($N697&gt;=Lists!$AG$2,IF($Z697&gt;=Lists!$AG$3,"Invest","Migrate"),IF($Z697&gt;=Lists!$AG$3,"Tolerate","Eliminate")))</f>
        <v/>
      </c>
      <c r="AC697" s="102" t="str">
        <f aca="false">IF($B697="","",IF($J697&gt;=4,"Yes",""))</f>
        <v/>
      </c>
      <c r="AD697" s="102" t="str">
        <f aca="false">IF($A697="","",IFERROR(IF(VLOOKUP($A697,'Risk Register'!$B$2:$H$1000,4,FALSE())&gt;=4,"Yes",""),""))</f>
        <v/>
      </c>
      <c r="AE697" s="102" t="str">
        <f aca="false">IF(OR($N697="", $O697=""),"",IF($N697&gt;=Lists!$AG$2,IF($O697&gt;=Lists!$AG$4,"High Value / High Risk","High Value / Low Risk"),IF($O697&gt;=Lists!$AG$4,"Low Value / High Risk","Low Value / Low Risk")))</f>
        <v/>
      </c>
      <c r="AF697" s="101"/>
      <c r="AG697" s="126"/>
      <c r="AH697" s="106" t="str">
        <f aca="false">IF($B697="","",COUNTIFS('Debt Backlog'!$AF$2:$AF$1000,$A697,'Debt Backlog'!$B$2:$B$1000,"&lt;&gt;",'Debt Backlog'!$N$2:$N$1000,"&lt;&gt;Done",'Debt Backlog'!$N$2:$N$1000,"&lt;&gt;Won't Fix",'Debt Backlog'!$N$2:$N$1000,"&lt;&gt;Duplicate"))</f>
        <v/>
      </c>
      <c r="AI697" s="103" t="str">
        <f aca="false">IF($B697="","",ROUND(SUMIFS('Debt Backlog'!$L$2:$L$1000,'Debt Backlog'!$AF$2:$AF$1000,$A697,'Debt Backlog'!$B$2:$B$1000,"&lt;&gt;",'Debt Backlog'!$N$2:$N$1000,"&lt;&gt;Done",'Debt Backlog'!$N$2:$N$1000,"&lt;&gt;Won't Fix",'Debt Backlog'!$N$2:$N$1000,"&lt;&gt;Duplicate"),2))</f>
        <v/>
      </c>
    </row>
    <row r="698" customFormat="false" ht="15.75" hidden="false" customHeight="true" outlineLevel="0" collapsed="false">
      <c r="A698" s="125"/>
      <c r="B698" s="101"/>
      <c r="C698" s="101"/>
      <c r="D698" s="101"/>
      <c r="E698" s="101"/>
      <c r="F698" s="101"/>
      <c r="G698" s="101"/>
      <c r="H698" s="101"/>
      <c r="I698" s="106"/>
      <c r="J698" s="106"/>
      <c r="K698" s="106"/>
      <c r="L698" s="106"/>
      <c r="M698" s="106"/>
      <c r="N698" s="103" t="str">
        <f aca="false">IF(OR($B698="", $I698="", $J698="", $K698="", $L698="", $M698=""),"",ROUND(($I698*Lists!$AD$2)+($J698*Lists!$AD$3)+($K698*Lists!$AD$4)+($L698*Lists!$AD$5)+($M698*Lists!$AD$6),2))</f>
        <v/>
      </c>
      <c r="O698" s="103" t="str">
        <f aca="false">IF($A698="","",IFERROR(VLOOKUP($A698,'Risk Register'!$B$2:$I$1000,8,FALSE()),""))</f>
        <v/>
      </c>
      <c r="P698" s="106"/>
      <c r="Q698" s="106"/>
      <c r="R698" s="106"/>
      <c r="S698" s="106"/>
      <c r="T698" s="103" t="str">
        <f aca="false">IF(OR($B698="", $P698="", $Q698="", $R698="", $S698=""),"",ROUND(($P698*Lists!$AD$7)+($Q698*Lists!$AD$8)+($R698*Lists!$AD$9)+($S698*Lists!$AD$10),2))</f>
        <v/>
      </c>
      <c r="U698" s="106"/>
      <c r="V698" s="106"/>
      <c r="W698" s="106"/>
      <c r="X698" s="106"/>
      <c r="Y698" s="106"/>
      <c r="Z698" s="103" t="str">
        <f aca="false">IF(OR($B698="", $U698="", $V698="", $W698="", $X698="", $Y698=""),"",ROUND(($U698*Lists!$AD$11)+($V698*Lists!$AD$12)+($W698*Lists!$AD$13)+($X698*Lists!$AD$14)+($Y698*Lists!$AD$15),2))</f>
        <v/>
      </c>
      <c r="AA698" s="103" t="str">
        <f aca="false">IF(OR($B698="", $N698="", $O698="", $T698="", $Z698=""),"",ROUND(($N698*Lists!$AD$16)-($O698*Lists!$AD$17)-($T698*Lists!$AD$18)+($Z698*Lists!$AD$19),2))</f>
        <v/>
      </c>
      <c r="AB698" s="102" t="str">
        <f aca="false">IF(OR($B698="", $N698="", $Z698=""),"",IF($N698&gt;=Lists!$AG$2,IF($Z698&gt;=Lists!$AG$3,"Invest","Migrate"),IF($Z698&gt;=Lists!$AG$3,"Tolerate","Eliminate")))</f>
        <v/>
      </c>
      <c r="AC698" s="102" t="str">
        <f aca="false">IF($B698="","",IF($J698&gt;=4,"Yes",""))</f>
        <v/>
      </c>
      <c r="AD698" s="102" t="str">
        <f aca="false">IF($A698="","",IFERROR(IF(VLOOKUP($A698,'Risk Register'!$B$2:$H$1000,4,FALSE())&gt;=4,"Yes",""),""))</f>
        <v/>
      </c>
      <c r="AE698" s="102" t="str">
        <f aca="false">IF(OR($N698="", $O698=""),"",IF($N698&gt;=Lists!$AG$2,IF($O698&gt;=Lists!$AG$4,"High Value / High Risk","High Value / Low Risk"),IF($O698&gt;=Lists!$AG$4,"Low Value / High Risk","Low Value / Low Risk")))</f>
        <v/>
      </c>
      <c r="AF698" s="101"/>
      <c r="AG698" s="126"/>
      <c r="AH698" s="106" t="str">
        <f aca="false">IF($B698="","",COUNTIFS('Debt Backlog'!$AF$2:$AF$1000,$A698,'Debt Backlog'!$B$2:$B$1000,"&lt;&gt;",'Debt Backlog'!$N$2:$N$1000,"&lt;&gt;Done",'Debt Backlog'!$N$2:$N$1000,"&lt;&gt;Won't Fix",'Debt Backlog'!$N$2:$N$1000,"&lt;&gt;Duplicate"))</f>
        <v/>
      </c>
      <c r="AI698" s="103" t="str">
        <f aca="false">IF($B698="","",ROUND(SUMIFS('Debt Backlog'!$L$2:$L$1000,'Debt Backlog'!$AF$2:$AF$1000,$A698,'Debt Backlog'!$B$2:$B$1000,"&lt;&gt;",'Debt Backlog'!$N$2:$N$1000,"&lt;&gt;Done",'Debt Backlog'!$N$2:$N$1000,"&lt;&gt;Won't Fix",'Debt Backlog'!$N$2:$N$1000,"&lt;&gt;Duplicate"),2))</f>
        <v/>
      </c>
    </row>
    <row r="699" customFormat="false" ht="15.75" hidden="false" customHeight="true" outlineLevel="0" collapsed="false">
      <c r="A699" s="125"/>
      <c r="B699" s="101"/>
      <c r="C699" s="101"/>
      <c r="D699" s="101"/>
      <c r="E699" s="101"/>
      <c r="F699" s="101"/>
      <c r="G699" s="101"/>
      <c r="H699" s="101"/>
      <c r="I699" s="106"/>
      <c r="J699" s="106"/>
      <c r="K699" s="106"/>
      <c r="L699" s="106"/>
      <c r="M699" s="106"/>
      <c r="N699" s="103" t="str">
        <f aca="false">IF(OR($B699="", $I699="", $J699="", $K699="", $L699="", $M699=""),"",ROUND(($I699*Lists!$AD$2)+($J699*Lists!$AD$3)+($K699*Lists!$AD$4)+($L699*Lists!$AD$5)+($M699*Lists!$AD$6),2))</f>
        <v/>
      </c>
      <c r="O699" s="103" t="str">
        <f aca="false">IF($A699="","",IFERROR(VLOOKUP($A699,'Risk Register'!$B$2:$I$1000,8,FALSE()),""))</f>
        <v/>
      </c>
      <c r="P699" s="106"/>
      <c r="Q699" s="106"/>
      <c r="R699" s="106"/>
      <c r="S699" s="106"/>
      <c r="T699" s="103" t="str">
        <f aca="false">IF(OR($B699="", $P699="", $Q699="", $R699="", $S699=""),"",ROUND(($P699*Lists!$AD$7)+($Q699*Lists!$AD$8)+($R699*Lists!$AD$9)+($S699*Lists!$AD$10),2))</f>
        <v/>
      </c>
      <c r="U699" s="106"/>
      <c r="V699" s="106"/>
      <c r="W699" s="106"/>
      <c r="X699" s="106"/>
      <c r="Y699" s="106"/>
      <c r="Z699" s="103" t="str">
        <f aca="false">IF(OR($B699="", $U699="", $V699="", $W699="", $X699="", $Y699=""),"",ROUND(($U699*Lists!$AD$11)+($V699*Lists!$AD$12)+($W699*Lists!$AD$13)+($X699*Lists!$AD$14)+($Y699*Lists!$AD$15),2))</f>
        <v/>
      </c>
      <c r="AA699" s="103" t="str">
        <f aca="false">IF(OR($B699="", $N699="", $O699="", $T699="", $Z699=""),"",ROUND(($N699*Lists!$AD$16)-($O699*Lists!$AD$17)-($T699*Lists!$AD$18)+($Z699*Lists!$AD$19),2))</f>
        <v/>
      </c>
      <c r="AB699" s="102" t="str">
        <f aca="false">IF(OR($B699="", $N699="", $Z699=""),"",IF($N699&gt;=Lists!$AG$2,IF($Z699&gt;=Lists!$AG$3,"Invest","Migrate"),IF($Z699&gt;=Lists!$AG$3,"Tolerate","Eliminate")))</f>
        <v/>
      </c>
      <c r="AC699" s="102" t="str">
        <f aca="false">IF($B699="","",IF($J699&gt;=4,"Yes",""))</f>
        <v/>
      </c>
      <c r="AD699" s="102" t="str">
        <f aca="false">IF($A699="","",IFERROR(IF(VLOOKUP($A699,'Risk Register'!$B$2:$H$1000,4,FALSE())&gt;=4,"Yes",""),""))</f>
        <v/>
      </c>
      <c r="AE699" s="102" t="str">
        <f aca="false">IF(OR($N699="", $O699=""),"",IF($N699&gt;=Lists!$AG$2,IF($O699&gt;=Lists!$AG$4,"High Value / High Risk","High Value / Low Risk"),IF($O699&gt;=Lists!$AG$4,"Low Value / High Risk","Low Value / Low Risk")))</f>
        <v/>
      </c>
      <c r="AF699" s="101"/>
      <c r="AG699" s="126"/>
      <c r="AH699" s="106" t="str">
        <f aca="false">IF($B699="","",COUNTIFS('Debt Backlog'!$AF$2:$AF$1000,$A699,'Debt Backlog'!$B$2:$B$1000,"&lt;&gt;",'Debt Backlog'!$N$2:$N$1000,"&lt;&gt;Done",'Debt Backlog'!$N$2:$N$1000,"&lt;&gt;Won't Fix",'Debt Backlog'!$N$2:$N$1000,"&lt;&gt;Duplicate"))</f>
        <v/>
      </c>
      <c r="AI699" s="103" t="str">
        <f aca="false">IF($B699="","",ROUND(SUMIFS('Debt Backlog'!$L$2:$L$1000,'Debt Backlog'!$AF$2:$AF$1000,$A699,'Debt Backlog'!$B$2:$B$1000,"&lt;&gt;",'Debt Backlog'!$N$2:$N$1000,"&lt;&gt;Done",'Debt Backlog'!$N$2:$N$1000,"&lt;&gt;Won't Fix",'Debt Backlog'!$N$2:$N$1000,"&lt;&gt;Duplicate"),2))</f>
        <v/>
      </c>
    </row>
    <row r="700" customFormat="false" ht="15.75" hidden="false" customHeight="true" outlineLevel="0" collapsed="false">
      <c r="A700" s="125"/>
      <c r="B700" s="101"/>
      <c r="C700" s="101"/>
      <c r="D700" s="101"/>
      <c r="E700" s="101"/>
      <c r="F700" s="101"/>
      <c r="G700" s="101"/>
      <c r="H700" s="101"/>
      <c r="I700" s="106"/>
      <c r="J700" s="106"/>
      <c r="K700" s="106"/>
      <c r="L700" s="106"/>
      <c r="M700" s="106"/>
      <c r="N700" s="103" t="str">
        <f aca="false">IF(OR($B700="", $I700="", $J700="", $K700="", $L700="", $M700=""),"",ROUND(($I700*Lists!$AD$2)+($J700*Lists!$AD$3)+($K700*Lists!$AD$4)+($L700*Lists!$AD$5)+($M700*Lists!$AD$6),2))</f>
        <v/>
      </c>
      <c r="O700" s="103" t="str">
        <f aca="false">IF($A700="","",IFERROR(VLOOKUP($A700,'Risk Register'!$B$2:$I$1000,8,FALSE()),""))</f>
        <v/>
      </c>
      <c r="P700" s="106"/>
      <c r="Q700" s="106"/>
      <c r="R700" s="106"/>
      <c r="S700" s="106"/>
      <c r="T700" s="103" t="str">
        <f aca="false">IF(OR($B700="", $P700="", $Q700="", $R700="", $S700=""),"",ROUND(($P700*Lists!$AD$7)+($Q700*Lists!$AD$8)+($R700*Lists!$AD$9)+($S700*Lists!$AD$10),2))</f>
        <v/>
      </c>
      <c r="U700" s="106"/>
      <c r="V700" s="106"/>
      <c r="W700" s="106"/>
      <c r="X700" s="106"/>
      <c r="Y700" s="106"/>
      <c r="Z700" s="103" t="str">
        <f aca="false">IF(OR($B700="", $U700="", $V700="", $W700="", $X700="", $Y700=""),"",ROUND(($U700*Lists!$AD$11)+($V700*Lists!$AD$12)+($W700*Lists!$AD$13)+($X700*Lists!$AD$14)+($Y700*Lists!$AD$15),2))</f>
        <v/>
      </c>
      <c r="AA700" s="103" t="str">
        <f aca="false">IF(OR($B700="", $N700="", $O700="", $T700="", $Z700=""),"",ROUND(($N700*Lists!$AD$16)-($O700*Lists!$AD$17)-($T700*Lists!$AD$18)+($Z700*Lists!$AD$19),2))</f>
        <v/>
      </c>
      <c r="AB700" s="102" t="str">
        <f aca="false">IF(OR($B700="", $N700="", $Z700=""),"",IF($N700&gt;=Lists!$AG$2,IF($Z700&gt;=Lists!$AG$3,"Invest","Migrate"),IF($Z700&gt;=Lists!$AG$3,"Tolerate","Eliminate")))</f>
        <v/>
      </c>
      <c r="AC700" s="102" t="str">
        <f aca="false">IF($B700="","",IF($J700&gt;=4,"Yes",""))</f>
        <v/>
      </c>
      <c r="AD700" s="102" t="str">
        <f aca="false">IF($A700="","",IFERROR(IF(VLOOKUP($A700,'Risk Register'!$B$2:$H$1000,4,FALSE())&gt;=4,"Yes",""),""))</f>
        <v/>
      </c>
      <c r="AE700" s="102" t="str">
        <f aca="false">IF(OR($N700="", $O700=""),"",IF($N700&gt;=Lists!$AG$2,IF($O700&gt;=Lists!$AG$4,"High Value / High Risk","High Value / Low Risk"),IF($O700&gt;=Lists!$AG$4,"Low Value / High Risk","Low Value / Low Risk")))</f>
        <v/>
      </c>
      <c r="AF700" s="101"/>
      <c r="AG700" s="126"/>
      <c r="AH700" s="106" t="str">
        <f aca="false">IF($B700="","",COUNTIFS('Debt Backlog'!$AF$2:$AF$1000,$A700,'Debt Backlog'!$B$2:$B$1000,"&lt;&gt;",'Debt Backlog'!$N$2:$N$1000,"&lt;&gt;Done",'Debt Backlog'!$N$2:$N$1000,"&lt;&gt;Won't Fix",'Debt Backlog'!$N$2:$N$1000,"&lt;&gt;Duplicate"))</f>
        <v/>
      </c>
      <c r="AI700" s="103" t="str">
        <f aca="false">IF($B700="","",ROUND(SUMIFS('Debt Backlog'!$L$2:$L$1000,'Debt Backlog'!$AF$2:$AF$1000,$A700,'Debt Backlog'!$B$2:$B$1000,"&lt;&gt;",'Debt Backlog'!$N$2:$N$1000,"&lt;&gt;Done",'Debt Backlog'!$N$2:$N$1000,"&lt;&gt;Won't Fix",'Debt Backlog'!$N$2:$N$1000,"&lt;&gt;Duplicate"),2))</f>
        <v/>
      </c>
    </row>
    <row r="701" customFormat="false" ht="15.75" hidden="false" customHeight="true" outlineLevel="0" collapsed="false">
      <c r="A701" s="125"/>
      <c r="B701" s="101"/>
      <c r="C701" s="101"/>
      <c r="D701" s="101"/>
      <c r="E701" s="101"/>
      <c r="F701" s="101"/>
      <c r="G701" s="101"/>
      <c r="H701" s="101"/>
      <c r="I701" s="106"/>
      <c r="J701" s="106"/>
      <c r="K701" s="106"/>
      <c r="L701" s="106"/>
      <c r="M701" s="106"/>
      <c r="N701" s="103" t="str">
        <f aca="false">IF(OR($B701="", $I701="", $J701="", $K701="", $L701="", $M701=""),"",ROUND(($I701*Lists!$AD$2)+($J701*Lists!$AD$3)+($K701*Lists!$AD$4)+($L701*Lists!$AD$5)+($M701*Lists!$AD$6),2))</f>
        <v/>
      </c>
      <c r="O701" s="103" t="str">
        <f aca="false">IF($A701="","",IFERROR(VLOOKUP($A701,'Risk Register'!$B$2:$I$1000,8,FALSE()),""))</f>
        <v/>
      </c>
      <c r="P701" s="106"/>
      <c r="Q701" s="106"/>
      <c r="R701" s="106"/>
      <c r="S701" s="106"/>
      <c r="T701" s="103" t="str">
        <f aca="false">IF(OR($B701="", $P701="", $Q701="", $R701="", $S701=""),"",ROUND(($P701*Lists!$AD$7)+($Q701*Lists!$AD$8)+($R701*Lists!$AD$9)+($S701*Lists!$AD$10),2))</f>
        <v/>
      </c>
      <c r="U701" s="106"/>
      <c r="V701" s="106"/>
      <c r="W701" s="106"/>
      <c r="X701" s="106"/>
      <c r="Y701" s="106"/>
      <c r="Z701" s="103" t="str">
        <f aca="false">IF(OR($B701="", $U701="", $V701="", $W701="", $X701="", $Y701=""),"",ROUND(($U701*Lists!$AD$11)+($V701*Lists!$AD$12)+($W701*Lists!$AD$13)+($X701*Lists!$AD$14)+($Y701*Lists!$AD$15),2))</f>
        <v/>
      </c>
      <c r="AA701" s="103" t="str">
        <f aca="false">IF(OR($B701="", $N701="", $O701="", $T701="", $Z701=""),"",ROUND(($N701*Lists!$AD$16)-($O701*Lists!$AD$17)-($T701*Lists!$AD$18)+($Z701*Lists!$AD$19),2))</f>
        <v/>
      </c>
      <c r="AB701" s="102" t="str">
        <f aca="false">IF(OR($B701="", $N701="", $Z701=""),"",IF($N701&gt;=Lists!$AG$2,IF($Z701&gt;=Lists!$AG$3,"Invest","Migrate"),IF($Z701&gt;=Lists!$AG$3,"Tolerate","Eliminate")))</f>
        <v/>
      </c>
      <c r="AC701" s="102" t="str">
        <f aca="false">IF($B701="","",IF($J701&gt;=4,"Yes",""))</f>
        <v/>
      </c>
      <c r="AD701" s="102" t="str">
        <f aca="false">IF($A701="","",IFERROR(IF(VLOOKUP($A701,'Risk Register'!$B$2:$H$1000,4,FALSE())&gt;=4,"Yes",""),""))</f>
        <v/>
      </c>
      <c r="AE701" s="102" t="str">
        <f aca="false">IF(OR($N701="", $O701=""),"",IF($N701&gt;=Lists!$AG$2,IF($O701&gt;=Lists!$AG$4,"High Value / High Risk","High Value / Low Risk"),IF($O701&gt;=Lists!$AG$4,"Low Value / High Risk","Low Value / Low Risk")))</f>
        <v/>
      </c>
      <c r="AF701" s="101"/>
      <c r="AG701" s="126"/>
      <c r="AH701" s="106" t="str">
        <f aca="false">IF($B701="","",COUNTIFS('Debt Backlog'!$AF$2:$AF$1000,$A701,'Debt Backlog'!$B$2:$B$1000,"&lt;&gt;",'Debt Backlog'!$N$2:$N$1000,"&lt;&gt;Done",'Debt Backlog'!$N$2:$N$1000,"&lt;&gt;Won't Fix",'Debt Backlog'!$N$2:$N$1000,"&lt;&gt;Duplicate"))</f>
        <v/>
      </c>
      <c r="AI701" s="103" t="str">
        <f aca="false">IF($B701="","",ROUND(SUMIFS('Debt Backlog'!$L$2:$L$1000,'Debt Backlog'!$AF$2:$AF$1000,$A701,'Debt Backlog'!$B$2:$B$1000,"&lt;&gt;",'Debt Backlog'!$N$2:$N$1000,"&lt;&gt;Done",'Debt Backlog'!$N$2:$N$1000,"&lt;&gt;Won't Fix",'Debt Backlog'!$N$2:$N$1000,"&lt;&gt;Duplicate"),2))</f>
        <v/>
      </c>
    </row>
    <row r="702" customFormat="false" ht="15.75" hidden="false" customHeight="true" outlineLevel="0" collapsed="false">
      <c r="A702" s="125"/>
      <c r="B702" s="101"/>
      <c r="C702" s="101"/>
      <c r="D702" s="101"/>
      <c r="E702" s="101"/>
      <c r="F702" s="101"/>
      <c r="G702" s="101"/>
      <c r="H702" s="101"/>
      <c r="I702" s="106"/>
      <c r="J702" s="106"/>
      <c r="K702" s="106"/>
      <c r="L702" s="106"/>
      <c r="M702" s="106"/>
      <c r="N702" s="103" t="str">
        <f aca="false">IF(OR($B702="", $I702="", $J702="", $K702="", $L702="", $M702=""),"",ROUND(($I702*Lists!$AD$2)+($J702*Lists!$AD$3)+($K702*Lists!$AD$4)+($L702*Lists!$AD$5)+($M702*Lists!$AD$6),2))</f>
        <v/>
      </c>
      <c r="O702" s="103" t="str">
        <f aca="false">IF($A702="","",IFERROR(VLOOKUP($A702,'Risk Register'!$B$2:$I$1000,8,FALSE()),""))</f>
        <v/>
      </c>
      <c r="P702" s="106"/>
      <c r="Q702" s="106"/>
      <c r="R702" s="106"/>
      <c r="S702" s="106"/>
      <c r="T702" s="103" t="str">
        <f aca="false">IF(OR($B702="", $P702="", $Q702="", $R702="", $S702=""),"",ROUND(($P702*Lists!$AD$7)+($Q702*Lists!$AD$8)+($R702*Lists!$AD$9)+($S702*Lists!$AD$10),2))</f>
        <v/>
      </c>
      <c r="U702" s="106"/>
      <c r="V702" s="106"/>
      <c r="W702" s="106"/>
      <c r="X702" s="106"/>
      <c r="Y702" s="106"/>
      <c r="Z702" s="103" t="str">
        <f aca="false">IF(OR($B702="", $U702="", $V702="", $W702="", $X702="", $Y702=""),"",ROUND(($U702*Lists!$AD$11)+($V702*Lists!$AD$12)+($W702*Lists!$AD$13)+($X702*Lists!$AD$14)+($Y702*Lists!$AD$15),2))</f>
        <v/>
      </c>
      <c r="AA702" s="103" t="str">
        <f aca="false">IF(OR($B702="", $N702="", $O702="", $T702="", $Z702=""),"",ROUND(($N702*Lists!$AD$16)-($O702*Lists!$AD$17)-($T702*Lists!$AD$18)+($Z702*Lists!$AD$19),2))</f>
        <v/>
      </c>
      <c r="AB702" s="102" t="str">
        <f aca="false">IF(OR($B702="", $N702="", $Z702=""),"",IF($N702&gt;=Lists!$AG$2,IF($Z702&gt;=Lists!$AG$3,"Invest","Migrate"),IF($Z702&gt;=Lists!$AG$3,"Tolerate","Eliminate")))</f>
        <v/>
      </c>
      <c r="AC702" s="102" t="str">
        <f aca="false">IF($B702="","",IF($J702&gt;=4,"Yes",""))</f>
        <v/>
      </c>
      <c r="AD702" s="102" t="str">
        <f aca="false">IF($A702="","",IFERROR(IF(VLOOKUP($A702,'Risk Register'!$B$2:$H$1000,4,FALSE())&gt;=4,"Yes",""),""))</f>
        <v/>
      </c>
      <c r="AE702" s="102" t="str">
        <f aca="false">IF(OR($N702="", $O702=""),"",IF($N702&gt;=Lists!$AG$2,IF($O702&gt;=Lists!$AG$4,"High Value / High Risk","High Value / Low Risk"),IF($O702&gt;=Lists!$AG$4,"Low Value / High Risk","Low Value / Low Risk")))</f>
        <v/>
      </c>
      <c r="AF702" s="101"/>
      <c r="AG702" s="126"/>
      <c r="AH702" s="106" t="str">
        <f aca="false">IF($B702="","",COUNTIFS('Debt Backlog'!$AF$2:$AF$1000,$A702,'Debt Backlog'!$B$2:$B$1000,"&lt;&gt;",'Debt Backlog'!$N$2:$N$1000,"&lt;&gt;Done",'Debt Backlog'!$N$2:$N$1000,"&lt;&gt;Won't Fix",'Debt Backlog'!$N$2:$N$1000,"&lt;&gt;Duplicate"))</f>
        <v/>
      </c>
      <c r="AI702" s="103" t="str">
        <f aca="false">IF($B702="","",ROUND(SUMIFS('Debt Backlog'!$L$2:$L$1000,'Debt Backlog'!$AF$2:$AF$1000,$A702,'Debt Backlog'!$B$2:$B$1000,"&lt;&gt;",'Debt Backlog'!$N$2:$N$1000,"&lt;&gt;Done",'Debt Backlog'!$N$2:$N$1000,"&lt;&gt;Won't Fix",'Debt Backlog'!$N$2:$N$1000,"&lt;&gt;Duplicate"),2))</f>
        <v/>
      </c>
    </row>
    <row r="703" customFormat="false" ht="15.75" hidden="false" customHeight="true" outlineLevel="0" collapsed="false">
      <c r="A703" s="125"/>
      <c r="B703" s="101"/>
      <c r="C703" s="101"/>
      <c r="D703" s="101"/>
      <c r="E703" s="101"/>
      <c r="F703" s="101"/>
      <c r="G703" s="101"/>
      <c r="H703" s="101"/>
      <c r="I703" s="106"/>
      <c r="J703" s="106"/>
      <c r="K703" s="106"/>
      <c r="L703" s="106"/>
      <c r="M703" s="106"/>
      <c r="N703" s="103" t="str">
        <f aca="false">IF(OR($B703="", $I703="", $J703="", $K703="", $L703="", $M703=""),"",ROUND(($I703*Lists!$AD$2)+($J703*Lists!$AD$3)+($K703*Lists!$AD$4)+($L703*Lists!$AD$5)+($M703*Lists!$AD$6),2))</f>
        <v/>
      </c>
      <c r="O703" s="103" t="str">
        <f aca="false">IF($A703="","",IFERROR(VLOOKUP($A703,'Risk Register'!$B$2:$I$1000,8,FALSE()),""))</f>
        <v/>
      </c>
      <c r="P703" s="106"/>
      <c r="Q703" s="106"/>
      <c r="R703" s="106"/>
      <c r="S703" s="106"/>
      <c r="T703" s="103" t="str">
        <f aca="false">IF(OR($B703="", $P703="", $Q703="", $R703="", $S703=""),"",ROUND(($P703*Lists!$AD$7)+($Q703*Lists!$AD$8)+($R703*Lists!$AD$9)+($S703*Lists!$AD$10),2))</f>
        <v/>
      </c>
      <c r="U703" s="106"/>
      <c r="V703" s="106"/>
      <c r="W703" s="106"/>
      <c r="X703" s="106"/>
      <c r="Y703" s="106"/>
      <c r="Z703" s="103" t="str">
        <f aca="false">IF(OR($B703="", $U703="", $V703="", $W703="", $X703="", $Y703=""),"",ROUND(($U703*Lists!$AD$11)+($V703*Lists!$AD$12)+($W703*Lists!$AD$13)+($X703*Lists!$AD$14)+($Y703*Lists!$AD$15),2))</f>
        <v/>
      </c>
      <c r="AA703" s="103" t="str">
        <f aca="false">IF(OR($B703="", $N703="", $O703="", $T703="", $Z703=""),"",ROUND(($N703*Lists!$AD$16)-($O703*Lists!$AD$17)-($T703*Lists!$AD$18)+($Z703*Lists!$AD$19),2))</f>
        <v/>
      </c>
      <c r="AB703" s="102" t="str">
        <f aca="false">IF(OR($B703="", $N703="", $Z703=""),"",IF($N703&gt;=Lists!$AG$2,IF($Z703&gt;=Lists!$AG$3,"Invest","Migrate"),IF($Z703&gt;=Lists!$AG$3,"Tolerate","Eliminate")))</f>
        <v/>
      </c>
      <c r="AC703" s="102" t="str">
        <f aca="false">IF($B703="","",IF($J703&gt;=4,"Yes",""))</f>
        <v/>
      </c>
      <c r="AD703" s="102" t="str">
        <f aca="false">IF($A703="","",IFERROR(IF(VLOOKUP($A703,'Risk Register'!$B$2:$H$1000,4,FALSE())&gt;=4,"Yes",""),""))</f>
        <v/>
      </c>
      <c r="AE703" s="102" t="str">
        <f aca="false">IF(OR($N703="", $O703=""),"",IF($N703&gt;=Lists!$AG$2,IF($O703&gt;=Lists!$AG$4,"High Value / High Risk","High Value / Low Risk"),IF($O703&gt;=Lists!$AG$4,"Low Value / High Risk","Low Value / Low Risk")))</f>
        <v/>
      </c>
      <c r="AF703" s="101"/>
      <c r="AG703" s="126"/>
      <c r="AH703" s="106" t="str">
        <f aca="false">IF($B703="","",COUNTIFS('Debt Backlog'!$AF$2:$AF$1000,$A703,'Debt Backlog'!$B$2:$B$1000,"&lt;&gt;",'Debt Backlog'!$N$2:$N$1000,"&lt;&gt;Done",'Debt Backlog'!$N$2:$N$1000,"&lt;&gt;Won't Fix",'Debt Backlog'!$N$2:$N$1000,"&lt;&gt;Duplicate"))</f>
        <v/>
      </c>
      <c r="AI703" s="103" t="str">
        <f aca="false">IF($B703="","",ROUND(SUMIFS('Debt Backlog'!$L$2:$L$1000,'Debt Backlog'!$AF$2:$AF$1000,$A703,'Debt Backlog'!$B$2:$B$1000,"&lt;&gt;",'Debt Backlog'!$N$2:$N$1000,"&lt;&gt;Done",'Debt Backlog'!$N$2:$N$1000,"&lt;&gt;Won't Fix",'Debt Backlog'!$N$2:$N$1000,"&lt;&gt;Duplicate"),2))</f>
        <v/>
      </c>
    </row>
    <row r="704" customFormat="false" ht="15.75" hidden="false" customHeight="true" outlineLevel="0" collapsed="false">
      <c r="A704" s="125"/>
      <c r="B704" s="101"/>
      <c r="C704" s="101"/>
      <c r="D704" s="101"/>
      <c r="E704" s="101"/>
      <c r="F704" s="101"/>
      <c r="G704" s="101"/>
      <c r="H704" s="101"/>
      <c r="I704" s="106"/>
      <c r="J704" s="106"/>
      <c r="K704" s="106"/>
      <c r="L704" s="106"/>
      <c r="M704" s="106"/>
      <c r="N704" s="103" t="str">
        <f aca="false">IF(OR($B704="", $I704="", $J704="", $K704="", $L704="", $M704=""),"",ROUND(($I704*Lists!$AD$2)+($J704*Lists!$AD$3)+($K704*Lists!$AD$4)+($L704*Lists!$AD$5)+($M704*Lists!$AD$6),2))</f>
        <v/>
      </c>
      <c r="O704" s="103" t="str">
        <f aca="false">IF($A704="","",IFERROR(VLOOKUP($A704,'Risk Register'!$B$2:$I$1000,8,FALSE()),""))</f>
        <v/>
      </c>
      <c r="P704" s="106"/>
      <c r="Q704" s="106"/>
      <c r="R704" s="106"/>
      <c r="S704" s="106"/>
      <c r="T704" s="103" t="str">
        <f aca="false">IF(OR($B704="", $P704="", $Q704="", $R704="", $S704=""),"",ROUND(($P704*Lists!$AD$7)+($Q704*Lists!$AD$8)+($R704*Lists!$AD$9)+($S704*Lists!$AD$10),2))</f>
        <v/>
      </c>
      <c r="U704" s="106"/>
      <c r="V704" s="106"/>
      <c r="W704" s="106"/>
      <c r="X704" s="106"/>
      <c r="Y704" s="106"/>
      <c r="Z704" s="103" t="str">
        <f aca="false">IF(OR($B704="", $U704="", $V704="", $W704="", $X704="", $Y704=""),"",ROUND(($U704*Lists!$AD$11)+($V704*Lists!$AD$12)+($W704*Lists!$AD$13)+($X704*Lists!$AD$14)+($Y704*Lists!$AD$15),2))</f>
        <v/>
      </c>
      <c r="AA704" s="103" t="str">
        <f aca="false">IF(OR($B704="", $N704="", $O704="", $T704="", $Z704=""),"",ROUND(($N704*Lists!$AD$16)-($O704*Lists!$AD$17)-($T704*Lists!$AD$18)+($Z704*Lists!$AD$19),2))</f>
        <v/>
      </c>
      <c r="AB704" s="102" t="str">
        <f aca="false">IF(OR($B704="", $N704="", $Z704=""),"",IF($N704&gt;=Lists!$AG$2,IF($Z704&gt;=Lists!$AG$3,"Invest","Migrate"),IF($Z704&gt;=Lists!$AG$3,"Tolerate","Eliminate")))</f>
        <v/>
      </c>
      <c r="AC704" s="102" t="str">
        <f aca="false">IF($B704="","",IF($J704&gt;=4,"Yes",""))</f>
        <v/>
      </c>
      <c r="AD704" s="102" t="str">
        <f aca="false">IF($A704="","",IFERROR(IF(VLOOKUP($A704,'Risk Register'!$B$2:$H$1000,4,FALSE())&gt;=4,"Yes",""),""))</f>
        <v/>
      </c>
      <c r="AE704" s="102" t="str">
        <f aca="false">IF(OR($N704="", $O704=""),"",IF($N704&gt;=Lists!$AG$2,IF($O704&gt;=Lists!$AG$4,"High Value / High Risk","High Value / Low Risk"),IF($O704&gt;=Lists!$AG$4,"Low Value / High Risk","Low Value / Low Risk")))</f>
        <v/>
      </c>
      <c r="AF704" s="101"/>
      <c r="AG704" s="126"/>
      <c r="AH704" s="106" t="str">
        <f aca="false">IF($B704="","",COUNTIFS('Debt Backlog'!$AF$2:$AF$1000,$A704,'Debt Backlog'!$B$2:$B$1000,"&lt;&gt;",'Debt Backlog'!$N$2:$N$1000,"&lt;&gt;Done",'Debt Backlog'!$N$2:$N$1000,"&lt;&gt;Won't Fix",'Debt Backlog'!$N$2:$N$1000,"&lt;&gt;Duplicate"))</f>
        <v/>
      </c>
      <c r="AI704" s="103" t="str">
        <f aca="false">IF($B704="","",ROUND(SUMIFS('Debt Backlog'!$L$2:$L$1000,'Debt Backlog'!$AF$2:$AF$1000,$A704,'Debt Backlog'!$B$2:$B$1000,"&lt;&gt;",'Debt Backlog'!$N$2:$N$1000,"&lt;&gt;Done",'Debt Backlog'!$N$2:$N$1000,"&lt;&gt;Won't Fix",'Debt Backlog'!$N$2:$N$1000,"&lt;&gt;Duplicate"),2))</f>
        <v/>
      </c>
    </row>
    <row r="705" customFormat="false" ht="15.75" hidden="false" customHeight="true" outlineLevel="0" collapsed="false">
      <c r="A705" s="125"/>
      <c r="B705" s="101"/>
      <c r="C705" s="101"/>
      <c r="D705" s="101"/>
      <c r="E705" s="101"/>
      <c r="F705" s="101"/>
      <c r="G705" s="101"/>
      <c r="H705" s="101"/>
      <c r="I705" s="106"/>
      <c r="J705" s="106"/>
      <c r="K705" s="106"/>
      <c r="L705" s="106"/>
      <c r="M705" s="106"/>
      <c r="N705" s="103" t="str">
        <f aca="false">IF(OR($B705="", $I705="", $J705="", $K705="", $L705="", $M705=""),"",ROUND(($I705*Lists!$AD$2)+($J705*Lists!$AD$3)+($K705*Lists!$AD$4)+($L705*Lists!$AD$5)+($M705*Lists!$AD$6),2))</f>
        <v/>
      </c>
      <c r="O705" s="103" t="str">
        <f aca="false">IF($A705="","",IFERROR(VLOOKUP($A705,'Risk Register'!$B$2:$I$1000,8,FALSE()),""))</f>
        <v/>
      </c>
      <c r="P705" s="106"/>
      <c r="Q705" s="106"/>
      <c r="R705" s="106"/>
      <c r="S705" s="106"/>
      <c r="T705" s="103" t="str">
        <f aca="false">IF(OR($B705="", $P705="", $Q705="", $R705="", $S705=""),"",ROUND(($P705*Lists!$AD$7)+($Q705*Lists!$AD$8)+($R705*Lists!$AD$9)+($S705*Lists!$AD$10),2))</f>
        <v/>
      </c>
      <c r="U705" s="106"/>
      <c r="V705" s="106"/>
      <c r="W705" s="106"/>
      <c r="X705" s="106"/>
      <c r="Y705" s="106"/>
      <c r="Z705" s="103" t="str">
        <f aca="false">IF(OR($B705="", $U705="", $V705="", $W705="", $X705="", $Y705=""),"",ROUND(($U705*Lists!$AD$11)+($V705*Lists!$AD$12)+($W705*Lists!$AD$13)+($X705*Lists!$AD$14)+($Y705*Lists!$AD$15),2))</f>
        <v/>
      </c>
      <c r="AA705" s="103" t="str">
        <f aca="false">IF(OR($B705="", $N705="", $O705="", $T705="", $Z705=""),"",ROUND(($N705*Lists!$AD$16)-($O705*Lists!$AD$17)-($T705*Lists!$AD$18)+($Z705*Lists!$AD$19),2))</f>
        <v/>
      </c>
      <c r="AB705" s="102" t="str">
        <f aca="false">IF(OR($B705="", $N705="", $Z705=""),"",IF($N705&gt;=Lists!$AG$2,IF($Z705&gt;=Lists!$AG$3,"Invest","Migrate"),IF($Z705&gt;=Lists!$AG$3,"Tolerate","Eliminate")))</f>
        <v/>
      </c>
      <c r="AC705" s="102" t="str">
        <f aca="false">IF($B705="","",IF($J705&gt;=4,"Yes",""))</f>
        <v/>
      </c>
      <c r="AD705" s="102" t="str">
        <f aca="false">IF($A705="","",IFERROR(IF(VLOOKUP($A705,'Risk Register'!$B$2:$H$1000,4,FALSE())&gt;=4,"Yes",""),""))</f>
        <v/>
      </c>
      <c r="AE705" s="102" t="str">
        <f aca="false">IF(OR($N705="", $O705=""),"",IF($N705&gt;=Lists!$AG$2,IF($O705&gt;=Lists!$AG$4,"High Value / High Risk","High Value / Low Risk"),IF($O705&gt;=Lists!$AG$4,"Low Value / High Risk","Low Value / Low Risk")))</f>
        <v/>
      </c>
      <c r="AF705" s="101"/>
      <c r="AG705" s="126"/>
      <c r="AH705" s="106" t="str">
        <f aca="false">IF($B705="","",COUNTIFS('Debt Backlog'!$AF$2:$AF$1000,$A705,'Debt Backlog'!$B$2:$B$1000,"&lt;&gt;",'Debt Backlog'!$N$2:$N$1000,"&lt;&gt;Done",'Debt Backlog'!$N$2:$N$1000,"&lt;&gt;Won't Fix",'Debt Backlog'!$N$2:$N$1000,"&lt;&gt;Duplicate"))</f>
        <v/>
      </c>
      <c r="AI705" s="103" t="str">
        <f aca="false">IF($B705="","",ROUND(SUMIFS('Debt Backlog'!$L$2:$L$1000,'Debt Backlog'!$AF$2:$AF$1000,$A705,'Debt Backlog'!$B$2:$B$1000,"&lt;&gt;",'Debt Backlog'!$N$2:$N$1000,"&lt;&gt;Done",'Debt Backlog'!$N$2:$N$1000,"&lt;&gt;Won't Fix",'Debt Backlog'!$N$2:$N$1000,"&lt;&gt;Duplicate"),2))</f>
        <v/>
      </c>
    </row>
    <row r="706" customFormat="false" ht="15.75" hidden="false" customHeight="true" outlineLevel="0" collapsed="false">
      <c r="A706" s="125"/>
      <c r="B706" s="101"/>
      <c r="C706" s="101"/>
      <c r="D706" s="101"/>
      <c r="E706" s="101"/>
      <c r="F706" s="101"/>
      <c r="G706" s="101"/>
      <c r="H706" s="101"/>
      <c r="I706" s="106"/>
      <c r="J706" s="106"/>
      <c r="K706" s="106"/>
      <c r="L706" s="106"/>
      <c r="M706" s="106"/>
      <c r="N706" s="103" t="str">
        <f aca="false">IF(OR($B706="", $I706="", $J706="", $K706="", $L706="", $M706=""),"",ROUND(($I706*Lists!$AD$2)+($J706*Lists!$AD$3)+($K706*Lists!$AD$4)+($L706*Lists!$AD$5)+($M706*Lists!$AD$6),2))</f>
        <v/>
      </c>
      <c r="O706" s="103" t="str">
        <f aca="false">IF($A706="","",IFERROR(VLOOKUP($A706,'Risk Register'!$B$2:$I$1000,8,FALSE()),""))</f>
        <v/>
      </c>
      <c r="P706" s="106"/>
      <c r="Q706" s="106"/>
      <c r="R706" s="106"/>
      <c r="S706" s="106"/>
      <c r="T706" s="103" t="str">
        <f aca="false">IF(OR($B706="", $P706="", $Q706="", $R706="", $S706=""),"",ROUND(($P706*Lists!$AD$7)+($Q706*Lists!$AD$8)+($R706*Lists!$AD$9)+($S706*Lists!$AD$10),2))</f>
        <v/>
      </c>
      <c r="U706" s="106"/>
      <c r="V706" s="106"/>
      <c r="W706" s="106"/>
      <c r="X706" s="106"/>
      <c r="Y706" s="106"/>
      <c r="Z706" s="103" t="str">
        <f aca="false">IF(OR($B706="", $U706="", $V706="", $W706="", $X706="", $Y706=""),"",ROUND(($U706*Lists!$AD$11)+($V706*Lists!$AD$12)+($W706*Lists!$AD$13)+($X706*Lists!$AD$14)+($Y706*Lists!$AD$15),2))</f>
        <v/>
      </c>
      <c r="AA706" s="103" t="str">
        <f aca="false">IF(OR($B706="", $N706="", $O706="", $T706="", $Z706=""),"",ROUND(($N706*Lists!$AD$16)-($O706*Lists!$AD$17)-($T706*Lists!$AD$18)+($Z706*Lists!$AD$19),2))</f>
        <v/>
      </c>
      <c r="AB706" s="102" t="str">
        <f aca="false">IF(OR($B706="", $N706="", $Z706=""),"",IF($N706&gt;=Lists!$AG$2,IF($Z706&gt;=Lists!$AG$3,"Invest","Migrate"),IF($Z706&gt;=Lists!$AG$3,"Tolerate","Eliminate")))</f>
        <v/>
      </c>
      <c r="AC706" s="102" t="str">
        <f aca="false">IF($B706="","",IF($J706&gt;=4,"Yes",""))</f>
        <v/>
      </c>
      <c r="AD706" s="102" t="str">
        <f aca="false">IF($A706="","",IFERROR(IF(VLOOKUP($A706,'Risk Register'!$B$2:$H$1000,4,FALSE())&gt;=4,"Yes",""),""))</f>
        <v/>
      </c>
      <c r="AE706" s="102" t="str">
        <f aca="false">IF(OR($N706="", $O706=""),"",IF($N706&gt;=Lists!$AG$2,IF($O706&gt;=Lists!$AG$4,"High Value / High Risk","High Value / Low Risk"),IF($O706&gt;=Lists!$AG$4,"Low Value / High Risk","Low Value / Low Risk")))</f>
        <v/>
      </c>
      <c r="AF706" s="101"/>
      <c r="AG706" s="126"/>
      <c r="AH706" s="106" t="str">
        <f aca="false">IF($B706="","",COUNTIFS('Debt Backlog'!$AF$2:$AF$1000,$A706,'Debt Backlog'!$B$2:$B$1000,"&lt;&gt;",'Debt Backlog'!$N$2:$N$1000,"&lt;&gt;Done",'Debt Backlog'!$N$2:$N$1000,"&lt;&gt;Won't Fix",'Debt Backlog'!$N$2:$N$1000,"&lt;&gt;Duplicate"))</f>
        <v/>
      </c>
      <c r="AI706" s="103" t="str">
        <f aca="false">IF($B706="","",ROUND(SUMIFS('Debt Backlog'!$L$2:$L$1000,'Debt Backlog'!$AF$2:$AF$1000,$A706,'Debt Backlog'!$B$2:$B$1000,"&lt;&gt;",'Debt Backlog'!$N$2:$N$1000,"&lt;&gt;Done",'Debt Backlog'!$N$2:$N$1000,"&lt;&gt;Won't Fix",'Debt Backlog'!$N$2:$N$1000,"&lt;&gt;Duplicate"),2))</f>
        <v/>
      </c>
    </row>
    <row r="707" customFormat="false" ht="15.75" hidden="false" customHeight="true" outlineLevel="0" collapsed="false">
      <c r="A707" s="125"/>
      <c r="B707" s="101"/>
      <c r="C707" s="101"/>
      <c r="D707" s="101"/>
      <c r="E707" s="101"/>
      <c r="F707" s="101"/>
      <c r="G707" s="101"/>
      <c r="H707" s="101"/>
      <c r="I707" s="106"/>
      <c r="J707" s="106"/>
      <c r="K707" s="106"/>
      <c r="L707" s="106"/>
      <c r="M707" s="106"/>
      <c r="N707" s="103" t="str">
        <f aca="false">IF(OR($B707="", $I707="", $J707="", $K707="", $L707="", $M707=""),"",ROUND(($I707*Lists!$AD$2)+($J707*Lists!$AD$3)+($K707*Lists!$AD$4)+($L707*Lists!$AD$5)+($M707*Lists!$AD$6),2))</f>
        <v/>
      </c>
      <c r="O707" s="103" t="str">
        <f aca="false">IF($A707="","",IFERROR(VLOOKUP($A707,'Risk Register'!$B$2:$I$1000,8,FALSE()),""))</f>
        <v/>
      </c>
      <c r="P707" s="106"/>
      <c r="Q707" s="106"/>
      <c r="R707" s="106"/>
      <c r="S707" s="106"/>
      <c r="T707" s="103" t="str">
        <f aca="false">IF(OR($B707="", $P707="", $Q707="", $R707="", $S707=""),"",ROUND(($P707*Lists!$AD$7)+($Q707*Lists!$AD$8)+($R707*Lists!$AD$9)+($S707*Lists!$AD$10),2))</f>
        <v/>
      </c>
      <c r="U707" s="106"/>
      <c r="V707" s="106"/>
      <c r="W707" s="106"/>
      <c r="X707" s="106"/>
      <c r="Y707" s="106"/>
      <c r="Z707" s="103" t="str">
        <f aca="false">IF(OR($B707="", $U707="", $V707="", $W707="", $X707="", $Y707=""),"",ROUND(($U707*Lists!$AD$11)+($V707*Lists!$AD$12)+($W707*Lists!$AD$13)+($X707*Lists!$AD$14)+($Y707*Lists!$AD$15),2))</f>
        <v/>
      </c>
      <c r="AA707" s="103" t="str">
        <f aca="false">IF(OR($B707="", $N707="", $O707="", $T707="", $Z707=""),"",ROUND(($N707*Lists!$AD$16)-($O707*Lists!$AD$17)-($T707*Lists!$AD$18)+($Z707*Lists!$AD$19),2))</f>
        <v/>
      </c>
      <c r="AB707" s="102" t="str">
        <f aca="false">IF(OR($B707="", $N707="", $Z707=""),"",IF($N707&gt;=Lists!$AG$2,IF($Z707&gt;=Lists!$AG$3,"Invest","Migrate"),IF($Z707&gt;=Lists!$AG$3,"Tolerate","Eliminate")))</f>
        <v/>
      </c>
      <c r="AC707" s="102" t="str">
        <f aca="false">IF($B707="","",IF($J707&gt;=4,"Yes",""))</f>
        <v/>
      </c>
      <c r="AD707" s="102" t="str">
        <f aca="false">IF($A707="","",IFERROR(IF(VLOOKUP($A707,'Risk Register'!$B$2:$H$1000,4,FALSE())&gt;=4,"Yes",""),""))</f>
        <v/>
      </c>
      <c r="AE707" s="102" t="str">
        <f aca="false">IF(OR($N707="", $O707=""),"",IF($N707&gt;=Lists!$AG$2,IF($O707&gt;=Lists!$AG$4,"High Value / High Risk","High Value / Low Risk"),IF($O707&gt;=Lists!$AG$4,"Low Value / High Risk","Low Value / Low Risk")))</f>
        <v/>
      </c>
      <c r="AF707" s="101"/>
      <c r="AG707" s="126"/>
      <c r="AH707" s="106" t="str">
        <f aca="false">IF($B707="","",COUNTIFS('Debt Backlog'!$AF$2:$AF$1000,$A707,'Debt Backlog'!$B$2:$B$1000,"&lt;&gt;",'Debt Backlog'!$N$2:$N$1000,"&lt;&gt;Done",'Debt Backlog'!$N$2:$N$1000,"&lt;&gt;Won't Fix",'Debt Backlog'!$N$2:$N$1000,"&lt;&gt;Duplicate"))</f>
        <v/>
      </c>
      <c r="AI707" s="103" t="str">
        <f aca="false">IF($B707="","",ROUND(SUMIFS('Debt Backlog'!$L$2:$L$1000,'Debt Backlog'!$AF$2:$AF$1000,$A707,'Debt Backlog'!$B$2:$B$1000,"&lt;&gt;",'Debt Backlog'!$N$2:$N$1000,"&lt;&gt;Done",'Debt Backlog'!$N$2:$N$1000,"&lt;&gt;Won't Fix",'Debt Backlog'!$N$2:$N$1000,"&lt;&gt;Duplicate"),2))</f>
        <v/>
      </c>
    </row>
    <row r="708" customFormat="false" ht="15.75" hidden="false" customHeight="true" outlineLevel="0" collapsed="false">
      <c r="A708" s="125"/>
      <c r="B708" s="101"/>
      <c r="C708" s="101"/>
      <c r="D708" s="101"/>
      <c r="E708" s="101"/>
      <c r="F708" s="101"/>
      <c r="G708" s="101"/>
      <c r="H708" s="101"/>
      <c r="I708" s="106"/>
      <c r="J708" s="106"/>
      <c r="K708" s="106"/>
      <c r="L708" s="106"/>
      <c r="M708" s="106"/>
      <c r="N708" s="103" t="str">
        <f aca="false">IF(OR($B708="", $I708="", $J708="", $K708="", $L708="", $M708=""),"",ROUND(($I708*Lists!$AD$2)+($J708*Lists!$AD$3)+($K708*Lists!$AD$4)+($L708*Lists!$AD$5)+($M708*Lists!$AD$6),2))</f>
        <v/>
      </c>
      <c r="O708" s="103" t="str">
        <f aca="false">IF($A708="","",IFERROR(VLOOKUP($A708,'Risk Register'!$B$2:$I$1000,8,FALSE()),""))</f>
        <v/>
      </c>
      <c r="P708" s="106"/>
      <c r="Q708" s="106"/>
      <c r="R708" s="106"/>
      <c r="S708" s="106"/>
      <c r="T708" s="103" t="str">
        <f aca="false">IF(OR($B708="", $P708="", $Q708="", $R708="", $S708=""),"",ROUND(($P708*Lists!$AD$7)+($Q708*Lists!$AD$8)+($R708*Lists!$AD$9)+($S708*Lists!$AD$10),2))</f>
        <v/>
      </c>
      <c r="U708" s="106"/>
      <c r="V708" s="106"/>
      <c r="W708" s="106"/>
      <c r="X708" s="106"/>
      <c r="Y708" s="106"/>
      <c r="Z708" s="103" t="str">
        <f aca="false">IF(OR($B708="", $U708="", $V708="", $W708="", $X708="", $Y708=""),"",ROUND(($U708*Lists!$AD$11)+($V708*Lists!$AD$12)+($W708*Lists!$AD$13)+($X708*Lists!$AD$14)+($Y708*Lists!$AD$15),2))</f>
        <v/>
      </c>
      <c r="AA708" s="103" t="str">
        <f aca="false">IF(OR($B708="", $N708="", $O708="", $T708="", $Z708=""),"",ROUND(($N708*Lists!$AD$16)-($O708*Lists!$AD$17)-($T708*Lists!$AD$18)+($Z708*Lists!$AD$19),2))</f>
        <v/>
      </c>
      <c r="AB708" s="102" t="str">
        <f aca="false">IF(OR($B708="", $N708="", $Z708=""),"",IF($N708&gt;=Lists!$AG$2,IF($Z708&gt;=Lists!$AG$3,"Invest","Migrate"),IF($Z708&gt;=Lists!$AG$3,"Tolerate","Eliminate")))</f>
        <v/>
      </c>
      <c r="AC708" s="102" t="str">
        <f aca="false">IF($B708="","",IF($J708&gt;=4,"Yes",""))</f>
        <v/>
      </c>
      <c r="AD708" s="102" t="str">
        <f aca="false">IF($A708="","",IFERROR(IF(VLOOKUP($A708,'Risk Register'!$B$2:$H$1000,4,FALSE())&gt;=4,"Yes",""),""))</f>
        <v/>
      </c>
      <c r="AE708" s="102" t="str">
        <f aca="false">IF(OR($N708="", $O708=""),"",IF($N708&gt;=Lists!$AG$2,IF($O708&gt;=Lists!$AG$4,"High Value / High Risk","High Value / Low Risk"),IF($O708&gt;=Lists!$AG$4,"Low Value / High Risk","Low Value / Low Risk")))</f>
        <v/>
      </c>
      <c r="AF708" s="101"/>
      <c r="AG708" s="126"/>
      <c r="AH708" s="106" t="str">
        <f aca="false">IF($B708="","",COUNTIFS('Debt Backlog'!$AF$2:$AF$1000,$A708,'Debt Backlog'!$B$2:$B$1000,"&lt;&gt;",'Debt Backlog'!$N$2:$N$1000,"&lt;&gt;Done",'Debt Backlog'!$N$2:$N$1000,"&lt;&gt;Won't Fix",'Debt Backlog'!$N$2:$N$1000,"&lt;&gt;Duplicate"))</f>
        <v/>
      </c>
      <c r="AI708" s="103" t="str">
        <f aca="false">IF($B708="","",ROUND(SUMIFS('Debt Backlog'!$L$2:$L$1000,'Debt Backlog'!$AF$2:$AF$1000,$A708,'Debt Backlog'!$B$2:$B$1000,"&lt;&gt;",'Debt Backlog'!$N$2:$N$1000,"&lt;&gt;Done",'Debt Backlog'!$N$2:$N$1000,"&lt;&gt;Won't Fix",'Debt Backlog'!$N$2:$N$1000,"&lt;&gt;Duplicate"),2))</f>
        <v/>
      </c>
    </row>
    <row r="709" customFormat="false" ht="15.75" hidden="false" customHeight="true" outlineLevel="0" collapsed="false">
      <c r="A709" s="125"/>
      <c r="B709" s="101"/>
      <c r="C709" s="101"/>
      <c r="D709" s="101"/>
      <c r="E709" s="101"/>
      <c r="F709" s="101"/>
      <c r="G709" s="101"/>
      <c r="H709" s="101"/>
      <c r="I709" s="106"/>
      <c r="J709" s="106"/>
      <c r="K709" s="106"/>
      <c r="L709" s="106"/>
      <c r="M709" s="106"/>
      <c r="N709" s="103" t="str">
        <f aca="false">IF(OR($B709="", $I709="", $J709="", $K709="", $L709="", $M709=""),"",ROUND(($I709*Lists!$AD$2)+($J709*Lists!$AD$3)+($K709*Lists!$AD$4)+($L709*Lists!$AD$5)+($M709*Lists!$AD$6),2))</f>
        <v/>
      </c>
      <c r="O709" s="103" t="str">
        <f aca="false">IF($A709="","",IFERROR(VLOOKUP($A709,'Risk Register'!$B$2:$I$1000,8,FALSE()),""))</f>
        <v/>
      </c>
      <c r="P709" s="106"/>
      <c r="Q709" s="106"/>
      <c r="R709" s="106"/>
      <c r="S709" s="106"/>
      <c r="T709" s="103" t="str">
        <f aca="false">IF(OR($B709="", $P709="", $Q709="", $R709="", $S709=""),"",ROUND(($P709*Lists!$AD$7)+($Q709*Lists!$AD$8)+($R709*Lists!$AD$9)+($S709*Lists!$AD$10),2))</f>
        <v/>
      </c>
      <c r="U709" s="106"/>
      <c r="V709" s="106"/>
      <c r="W709" s="106"/>
      <c r="X709" s="106"/>
      <c r="Y709" s="106"/>
      <c r="Z709" s="103" t="str">
        <f aca="false">IF(OR($B709="", $U709="", $V709="", $W709="", $X709="", $Y709=""),"",ROUND(($U709*Lists!$AD$11)+($V709*Lists!$AD$12)+($W709*Lists!$AD$13)+($X709*Lists!$AD$14)+($Y709*Lists!$AD$15),2))</f>
        <v/>
      </c>
      <c r="AA709" s="103" t="str">
        <f aca="false">IF(OR($B709="", $N709="", $O709="", $T709="", $Z709=""),"",ROUND(($N709*Lists!$AD$16)-($O709*Lists!$AD$17)-($T709*Lists!$AD$18)+($Z709*Lists!$AD$19),2))</f>
        <v/>
      </c>
      <c r="AB709" s="102" t="str">
        <f aca="false">IF(OR($B709="", $N709="", $Z709=""),"",IF($N709&gt;=Lists!$AG$2,IF($Z709&gt;=Lists!$AG$3,"Invest","Migrate"),IF($Z709&gt;=Lists!$AG$3,"Tolerate","Eliminate")))</f>
        <v/>
      </c>
      <c r="AC709" s="102" t="str">
        <f aca="false">IF($B709="","",IF($J709&gt;=4,"Yes",""))</f>
        <v/>
      </c>
      <c r="AD709" s="102" t="str">
        <f aca="false">IF($A709="","",IFERROR(IF(VLOOKUP($A709,'Risk Register'!$B$2:$H$1000,4,FALSE())&gt;=4,"Yes",""),""))</f>
        <v/>
      </c>
      <c r="AE709" s="102" t="str">
        <f aca="false">IF(OR($N709="", $O709=""),"",IF($N709&gt;=Lists!$AG$2,IF($O709&gt;=Lists!$AG$4,"High Value / High Risk","High Value / Low Risk"),IF($O709&gt;=Lists!$AG$4,"Low Value / High Risk","Low Value / Low Risk")))</f>
        <v/>
      </c>
      <c r="AF709" s="101"/>
      <c r="AG709" s="126"/>
      <c r="AH709" s="106" t="str">
        <f aca="false">IF($B709="","",COUNTIFS('Debt Backlog'!$AF$2:$AF$1000,$A709,'Debt Backlog'!$B$2:$B$1000,"&lt;&gt;",'Debt Backlog'!$N$2:$N$1000,"&lt;&gt;Done",'Debt Backlog'!$N$2:$N$1000,"&lt;&gt;Won't Fix",'Debt Backlog'!$N$2:$N$1000,"&lt;&gt;Duplicate"))</f>
        <v/>
      </c>
      <c r="AI709" s="103" t="str">
        <f aca="false">IF($B709="","",ROUND(SUMIFS('Debt Backlog'!$L$2:$L$1000,'Debt Backlog'!$AF$2:$AF$1000,$A709,'Debt Backlog'!$B$2:$B$1000,"&lt;&gt;",'Debt Backlog'!$N$2:$N$1000,"&lt;&gt;Done",'Debt Backlog'!$N$2:$N$1000,"&lt;&gt;Won't Fix",'Debt Backlog'!$N$2:$N$1000,"&lt;&gt;Duplicate"),2))</f>
        <v/>
      </c>
    </row>
    <row r="710" customFormat="false" ht="15.75" hidden="false" customHeight="true" outlineLevel="0" collapsed="false">
      <c r="A710" s="125"/>
      <c r="B710" s="101"/>
      <c r="C710" s="101"/>
      <c r="D710" s="101"/>
      <c r="E710" s="101"/>
      <c r="F710" s="101"/>
      <c r="G710" s="101"/>
      <c r="H710" s="101"/>
      <c r="I710" s="106"/>
      <c r="J710" s="106"/>
      <c r="K710" s="106"/>
      <c r="L710" s="106"/>
      <c r="M710" s="106"/>
      <c r="N710" s="103" t="str">
        <f aca="false">IF(OR($B710="", $I710="", $J710="", $K710="", $L710="", $M710=""),"",ROUND(($I710*Lists!$AD$2)+($J710*Lists!$AD$3)+($K710*Lists!$AD$4)+($L710*Lists!$AD$5)+($M710*Lists!$AD$6),2))</f>
        <v/>
      </c>
      <c r="O710" s="103" t="str">
        <f aca="false">IF($A710="","",IFERROR(VLOOKUP($A710,'Risk Register'!$B$2:$I$1000,8,FALSE()),""))</f>
        <v/>
      </c>
      <c r="P710" s="106"/>
      <c r="Q710" s="106"/>
      <c r="R710" s="106"/>
      <c r="S710" s="106"/>
      <c r="T710" s="103" t="str">
        <f aca="false">IF(OR($B710="", $P710="", $Q710="", $R710="", $S710=""),"",ROUND(($P710*Lists!$AD$7)+($Q710*Lists!$AD$8)+($R710*Lists!$AD$9)+($S710*Lists!$AD$10),2))</f>
        <v/>
      </c>
      <c r="U710" s="106"/>
      <c r="V710" s="106"/>
      <c r="W710" s="106"/>
      <c r="X710" s="106"/>
      <c r="Y710" s="106"/>
      <c r="Z710" s="103" t="str">
        <f aca="false">IF(OR($B710="", $U710="", $V710="", $W710="", $X710="", $Y710=""),"",ROUND(($U710*Lists!$AD$11)+($V710*Lists!$AD$12)+($W710*Lists!$AD$13)+($X710*Lists!$AD$14)+($Y710*Lists!$AD$15),2))</f>
        <v/>
      </c>
      <c r="AA710" s="103" t="str">
        <f aca="false">IF(OR($B710="", $N710="", $O710="", $T710="", $Z710=""),"",ROUND(($N710*Lists!$AD$16)-($O710*Lists!$AD$17)-($T710*Lists!$AD$18)+($Z710*Lists!$AD$19),2))</f>
        <v/>
      </c>
      <c r="AB710" s="102" t="str">
        <f aca="false">IF(OR($B710="", $N710="", $Z710=""),"",IF($N710&gt;=Lists!$AG$2,IF($Z710&gt;=Lists!$AG$3,"Invest","Migrate"),IF($Z710&gt;=Lists!$AG$3,"Tolerate","Eliminate")))</f>
        <v/>
      </c>
      <c r="AC710" s="102" t="str">
        <f aca="false">IF($B710="","",IF($J710&gt;=4,"Yes",""))</f>
        <v/>
      </c>
      <c r="AD710" s="102" t="str">
        <f aca="false">IF($A710="","",IFERROR(IF(VLOOKUP($A710,'Risk Register'!$B$2:$H$1000,4,FALSE())&gt;=4,"Yes",""),""))</f>
        <v/>
      </c>
      <c r="AE710" s="102" t="str">
        <f aca="false">IF(OR($N710="", $O710=""),"",IF($N710&gt;=Lists!$AG$2,IF($O710&gt;=Lists!$AG$4,"High Value / High Risk","High Value / Low Risk"),IF($O710&gt;=Lists!$AG$4,"Low Value / High Risk","Low Value / Low Risk")))</f>
        <v/>
      </c>
      <c r="AF710" s="101"/>
      <c r="AG710" s="126"/>
      <c r="AH710" s="106" t="str">
        <f aca="false">IF($B710="","",COUNTIFS('Debt Backlog'!$AF$2:$AF$1000,$A710,'Debt Backlog'!$B$2:$B$1000,"&lt;&gt;",'Debt Backlog'!$N$2:$N$1000,"&lt;&gt;Done",'Debt Backlog'!$N$2:$N$1000,"&lt;&gt;Won't Fix",'Debt Backlog'!$N$2:$N$1000,"&lt;&gt;Duplicate"))</f>
        <v/>
      </c>
      <c r="AI710" s="103" t="str">
        <f aca="false">IF($B710="","",ROUND(SUMIFS('Debt Backlog'!$L$2:$L$1000,'Debt Backlog'!$AF$2:$AF$1000,$A710,'Debt Backlog'!$B$2:$B$1000,"&lt;&gt;",'Debt Backlog'!$N$2:$N$1000,"&lt;&gt;Done",'Debt Backlog'!$N$2:$N$1000,"&lt;&gt;Won't Fix",'Debt Backlog'!$N$2:$N$1000,"&lt;&gt;Duplicate"),2))</f>
        <v/>
      </c>
    </row>
    <row r="711" customFormat="false" ht="15.75" hidden="false" customHeight="true" outlineLevel="0" collapsed="false">
      <c r="A711" s="125"/>
      <c r="B711" s="101"/>
      <c r="C711" s="101"/>
      <c r="D711" s="101"/>
      <c r="E711" s="101"/>
      <c r="F711" s="101"/>
      <c r="G711" s="101"/>
      <c r="H711" s="101"/>
      <c r="I711" s="106"/>
      <c r="J711" s="106"/>
      <c r="K711" s="106"/>
      <c r="L711" s="106"/>
      <c r="M711" s="106"/>
      <c r="N711" s="103" t="str">
        <f aca="false">IF(OR($B711="", $I711="", $J711="", $K711="", $L711="", $M711=""),"",ROUND(($I711*Lists!$AD$2)+($J711*Lists!$AD$3)+($K711*Lists!$AD$4)+($L711*Lists!$AD$5)+($M711*Lists!$AD$6),2))</f>
        <v/>
      </c>
      <c r="O711" s="103" t="str">
        <f aca="false">IF($A711="","",IFERROR(VLOOKUP($A711,'Risk Register'!$B$2:$I$1000,8,FALSE()),""))</f>
        <v/>
      </c>
      <c r="P711" s="106"/>
      <c r="Q711" s="106"/>
      <c r="R711" s="106"/>
      <c r="S711" s="106"/>
      <c r="T711" s="103" t="str">
        <f aca="false">IF(OR($B711="", $P711="", $Q711="", $R711="", $S711=""),"",ROUND(($P711*Lists!$AD$7)+($Q711*Lists!$AD$8)+($R711*Lists!$AD$9)+($S711*Lists!$AD$10),2))</f>
        <v/>
      </c>
      <c r="U711" s="106"/>
      <c r="V711" s="106"/>
      <c r="W711" s="106"/>
      <c r="X711" s="106"/>
      <c r="Y711" s="106"/>
      <c r="Z711" s="103" t="str">
        <f aca="false">IF(OR($B711="", $U711="", $V711="", $W711="", $X711="", $Y711=""),"",ROUND(($U711*Lists!$AD$11)+($V711*Lists!$AD$12)+($W711*Lists!$AD$13)+($X711*Lists!$AD$14)+($Y711*Lists!$AD$15),2))</f>
        <v/>
      </c>
      <c r="AA711" s="103" t="str">
        <f aca="false">IF(OR($B711="", $N711="", $O711="", $T711="", $Z711=""),"",ROUND(($N711*Lists!$AD$16)-($O711*Lists!$AD$17)-($T711*Lists!$AD$18)+($Z711*Lists!$AD$19),2))</f>
        <v/>
      </c>
      <c r="AB711" s="102" t="str">
        <f aca="false">IF(OR($B711="", $N711="", $Z711=""),"",IF($N711&gt;=Lists!$AG$2,IF($Z711&gt;=Lists!$AG$3,"Invest","Migrate"),IF($Z711&gt;=Lists!$AG$3,"Tolerate","Eliminate")))</f>
        <v/>
      </c>
      <c r="AC711" s="102" t="str">
        <f aca="false">IF($B711="","",IF($J711&gt;=4,"Yes",""))</f>
        <v/>
      </c>
      <c r="AD711" s="102" t="str">
        <f aca="false">IF($A711="","",IFERROR(IF(VLOOKUP($A711,'Risk Register'!$B$2:$H$1000,4,FALSE())&gt;=4,"Yes",""),""))</f>
        <v/>
      </c>
      <c r="AE711" s="102" t="str">
        <f aca="false">IF(OR($N711="", $O711=""),"",IF($N711&gt;=Lists!$AG$2,IF($O711&gt;=Lists!$AG$4,"High Value / High Risk","High Value / Low Risk"),IF($O711&gt;=Lists!$AG$4,"Low Value / High Risk","Low Value / Low Risk")))</f>
        <v/>
      </c>
      <c r="AF711" s="101"/>
      <c r="AG711" s="126"/>
      <c r="AH711" s="106" t="str">
        <f aca="false">IF($B711="","",COUNTIFS('Debt Backlog'!$AF$2:$AF$1000,$A711,'Debt Backlog'!$B$2:$B$1000,"&lt;&gt;",'Debt Backlog'!$N$2:$N$1000,"&lt;&gt;Done",'Debt Backlog'!$N$2:$N$1000,"&lt;&gt;Won't Fix",'Debt Backlog'!$N$2:$N$1000,"&lt;&gt;Duplicate"))</f>
        <v/>
      </c>
      <c r="AI711" s="103" t="str">
        <f aca="false">IF($B711="","",ROUND(SUMIFS('Debt Backlog'!$L$2:$L$1000,'Debt Backlog'!$AF$2:$AF$1000,$A711,'Debt Backlog'!$B$2:$B$1000,"&lt;&gt;",'Debt Backlog'!$N$2:$N$1000,"&lt;&gt;Done",'Debt Backlog'!$N$2:$N$1000,"&lt;&gt;Won't Fix",'Debt Backlog'!$N$2:$N$1000,"&lt;&gt;Duplicate"),2))</f>
        <v/>
      </c>
    </row>
    <row r="712" customFormat="false" ht="15.75" hidden="false" customHeight="true" outlineLevel="0" collapsed="false">
      <c r="A712" s="125"/>
      <c r="B712" s="101"/>
      <c r="C712" s="101"/>
      <c r="D712" s="101"/>
      <c r="E712" s="101"/>
      <c r="F712" s="101"/>
      <c r="G712" s="101"/>
      <c r="H712" s="101"/>
      <c r="I712" s="106"/>
      <c r="J712" s="106"/>
      <c r="K712" s="106"/>
      <c r="L712" s="106"/>
      <c r="M712" s="106"/>
      <c r="N712" s="103" t="str">
        <f aca="false">IF(OR($B712="", $I712="", $J712="", $K712="", $L712="", $M712=""),"",ROUND(($I712*Lists!$AD$2)+($J712*Lists!$AD$3)+($K712*Lists!$AD$4)+($L712*Lists!$AD$5)+($M712*Lists!$AD$6),2))</f>
        <v/>
      </c>
      <c r="O712" s="103" t="str">
        <f aca="false">IF($A712="","",IFERROR(VLOOKUP($A712,'Risk Register'!$B$2:$I$1000,8,FALSE()),""))</f>
        <v/>
      </c>
      <c r="P712" s="106"/>
      <c r="Q712" s="106"/>
      <c r="R712" s="106"/>
      <c r="S712" s="106"/>
      <c r="T712" s="103" t="str">
        <f aca="false">IF(OR($B712="", $P712="", $Q712="", $R712="", $S712=""),"",ROUND(($P712*Lists!$AD$7)+($Q712*Lists!$AD$8)+($R712*Lists!$AD$9)+($S712*Lists!$AD$10),2))</f>
        <v/>
      </c>
      <c r="U712" s="106"/>
      <c r="V712" s="106"/>
      <c r="W712" s="106"/>
      <c r="X712" s="106"/>
      <c r="Y712" s="106"/>
      <c r="Z712" s="103" t="str">
        <f aca="false">IF(OR($B712="", $U712="", $V712="", $W712="", $X712="", $Y712=""),"",ROUND(($U712*Lists!$AD$11)+($V712*Lists!$AD$12)+($W712*Lists!$AD$13)+($X712*Lists!$AD$14)+($Y712*Lists!$AD$15),2))</f>
        <v/>
      </c>
      <c r="AA712" s="103" t="str">
        <f aca="false">IF(OR($B712="", $N712="", $O712="", $T712="", $Z712=""),"",ROUND(($N712*Lists!$AD$16)-($O712*Lists!$AD$17)-($T712*Lists!$AD$18)+($Z712*Lists!$AD$19),2))</f>
        <v/>
      </c>
      <c r="AB712" s="102" t="str">
        <f aca="false">IF(OR($B712="", $N712="", $Z712=""),"",IF($N712&gt;=Lists!$AG$2,IF($Z712&gt;=Lists!$AG$3,"Invest","Migrate"),IF($Z712&gt;=Lists!$AG$3,"Tolerate","Eliminate")))</f>
        <v/>
      </c>
      <c r="AC712" s="102" t="str">
        <f aca="false">IF($B712="","",IF($J712&gt;=4,"Yes",""))</f>
        <v/>
      </c>
      <c r="AD712" s="102" t="str">
        <f aca="false">IF($A712="","",IFERROR(IF(VLOOKUP($A712,'Risk Register'!$B$2:$H$1000,4,FALSE())&gt;=4,"Yes",""),""))</f>
        <v/>
      </c>
      <c r="AE712" s="102" t="str">
        <f aca="false">IF(OR($N712="", $O712=""),"",IF($N712&gt;=Lists!$AG$2,IF($O712&gt;=Lists!$AG$4,"High Value / High Risk","High Value / Low Risk"),IF($O712&gt;=Lists!$AG$4,"Low Value / High Risk","Low Value / Low Risk")))</f>
        <v/>
      </c>
      <c r="AF712" s="101"/>
      <c r="AG712" s="126"/>
      <c r="AH712" s="106" t="str">
        <f aca="false">IF($B712="","",COUNTIFS('Debt Backlog'!$AF$2:$AF$1000,$A712,'Debt Backlog'!$B$2:$B$1000,"&lt;&gt;",'Debt Backlog'!$N$2:$N$1000,"&lt;&gt;Done",'Debt Backlog'!$N$2:$N$1000,"&lt;&gt;Won't Fix",'Debt Backlog'!$N$2:$N$1000,"&lt;&gt;Duplicate"))</f>
        <v/>
      </c>
      <c r="AI712" s="103" t="str">
        <f aca="false">IF($B712="","",ROUND(SUMIFS('Debt Backlog'!$L$2:$L$1000,'Debt Backlog'!$AF$2:$AF$1000,$A712,'Debt Backlog'!$B$2:$B$1000,"&lt;&gt;",'Debt Backlog'!$N$2:$N$1000,"&lt;&gt;Done",'Debt Backlog'!$N$2:$N$1000,"&lt;&gt;Won't Fix",'Debt Backlog'!$N$2:$N$1000,"&lt;&gt;Duplicate"),2))</f>
        <v/>
      </c>
    </row>
    <row r="713" customFormat="false" ht="15.75" hidden="false" customHeight="true" outlineLevel="0" collapsed="false">
      <c r="A713" s="125"/>
      <c r="B713" s="101"/>
      <c r="C713" s="101"/>
      <c r="D713" s="101"/>
      <c r="E713" s="101"/>
      <c r="F713" s="101"/>
      <c r="G713" s="101"/>
      <c r="H713" s="101"/>
      <c r="I713" s="106"/>
      <c r="J713" s="106"/>
      <c r="K713" s="106"/>
      <c r="L713" s="106"/>
      <c r="M713" s="106"/>
      <c r="N713" s="103" t="str">
        <f aca="false">IF(OR($B713="", $I713="", $J713="", $K713="", $L713="", $M713=""),"",ROUND(($I713*Lists!$AD$2)+($J713*Lists!$AD$3)+($K713*Lists!$AD$4)+($L713*Lists!$AD$5)+($M713*Lists!$AD$6),2))</f>
        <v/>
      </c>
      <c r="O713" s="103" t="str">
        <f aca="false">IF($A713="","",IFERROR(VLOOKUP($A713,'Risk Register'!$B$2:$I$1000,8,FALSE()),""))</f>
        <v/>
      </c>
      <c r="P713" s="106"/>
      <c r="Q713" s="106"/>
      <c r="R713" s="106"/>
      <c r="S713" s="106"/>
      <c r="T713" s="103" t="str">
        <f aca="false">IF(OR($B713="", $P713="", $Q713="", $R713="", $S713=""),"",ROUND(($P713*Lists!$AD$7)+($Q713*Lists!$AD$8)+($R713*Lists!$AD$9)+($S713*Lists!$AD$10),2))</f>
        <v/>
      </c>
      <c r="U713" s="106"/>
      <c r="V713" s="106"/>
      <c r="W713" s="106"/>
      <c r="X713" s="106"/>
      <c r="Y713" s="106"/>
      <c r="Z713" s="103" t="str">
        <f aca="false">IF(OR($B713="", $U713="", $V713="", $W713="", $X713="", $Y713=""),"",ROUND(($U713*Lists!$AD$11)+($V713*Lists!$AD$12)+($W713*Lists!$AD$13)+($X713*Lists!$AD$14)+($Y713*Lists!$AD$15),2))</f>
        <v/>
      </c>
      <c r="AA713" s="103" t="str">
        <f aca="false">IF(OR($B713="", $N713="", $O713="", $T713="", $Z713=""),"",ROUND(($N713*Lists!$AD$16)-($O713*Lists!$AD$17)-($T713*Lists!$AD$18)+($Z713*Lists!$AD$19),2))</f>
        <v/>
      </c>
      <c r="AB713" s="102" t="str">
        <f aca="false">IF(OR($B713="", $N713="", $Z713=""),"",IF($N713&gt;=Lists!$AG$2,IF($Z713&gt;=Lists!$AG$3,"Invest","Migrate"),IF($Z713&gt;=Lists!$AG$3,"Tolerate","Eliminate")))</f>
        <v/>
      </c>
      <c r="AC713" s="102" t="str">
        <f aca="false">IF($B713="","",IF($J713&gt;=4,"Yes",""))</f>
        <v/>
      </c>
      <c r="AD713" s="102" t="str">
        <f aca="false">IF($A713="","",IFERROR(IF(VLOOKUP($A713,'Risk Register'!$B$2:$H$1000,4,FALSE())&gt;=4,"Yes",""),""))</f>
        <v/>
      </c>
      <c r="AE713" s="102" t="str">
        <f aca="false">IF(OR($N713="", $O713=""),"",IF($N713&gt;=Lists!$AG$2,IF($O713&gt;=Lists!$AG$4,"High Value / High Risk","High Value / Low Risk"),IF($O713&gt;=Lists!$AG$4,"Low Value / High Risk","Low Value / Low Risk")))</f>
        <v/>
      </c>
      <c r="AF713" s="101"/>
      <c r="AG713" s="126"/>
      <c r="AH713" s="106" t="str">
        <f aca="false">IF($B713="","",COUNTIFS('Debt Backlog'!$AF$2:$AF$1000,$A713,'Debt Backlog'!$B$2:$B$1000,"&lt;&gt;",'Debt Backlog'!$N$2:$N$1000,"&lt;&gt;Done",'Debt Backlog'!$N$2:$N$1000,"&lt;&gt;Won't Fix",'Debt Backlog'!$N$2:$N$1000,"&lt;&gt;Duplicate"))</f>
        <v/>
      </c>
      <c r="AI713" s="103" t="str">
        <f aca="false">IF($B713="","",ROUND(SUMIFS('Debt Backlog'!$L$2:$L$1000,'Debt Backlog'!$AF$2:$AF$1000,$A713,'Debt Backlog'!$B$2:$B$1000,"&lt;&gt;",'Debt Backlog'!$N$2:$N$1000,"&lt;&gt;Done",'Debt Backlog'!$N$2:$N$1000,"&lt;&gt;Won't Fix",'Debt Backlog'!$N$2:$N$1000,"&lt;&gt;Duplicate"),2))</f>
        <v/>
      </c>
    </row>
    <row r="714" customFormat="false" ht="15.75" hidden="false" customHeight="true" outlineLevel="0" collapsed="false">
      <c r="A714" s="125"/>
      <c r="B714" s="101"/>
      <c r="C714" s="101"/>
      <c r="D714" s="101"/>
      <c r="E714" s="101"/>
      <c r="F714" s="101"/>
      <c r="G714" s="101"/>
      <c r="H714" s="101"/>
      <c r="I714" s="106"/>
      <c r="J714" s="106"/>
      <c r="K714" s="106"/>
      <c r="L714" s="106"/>
      <c r="M714" s="106"/>
      <c r="N714" s="103" t="str">
        <f aca="false">IF(OR($B714="", $I714="", $J714="", $K714="", $L714="", $M714=""),"",ROUND(($I714*Lists!$AD$2)+($J714*Lists!$AD$3)+($K714*Lists!$AD$4)+($L714*Lists!$AD$5)+($M714*Lists!$AD$6),2))</f>
        <v/>
      </c>
      <c r="O714" s="103" t="str">
        <f aca="false">IF($A714="","",IFERROR(VLOOKUP($A714,'Risk Register'!$B$2:$I$1000,8,FALSE()),""))</f>
        <v/>
      </c>
      <c r="P714" s="106"/>
      <c r="Q714" s="106"/>
      <c r="R714" s="106"/>
      <c r="S714" s="106"/>
      <c r="T714" s="103" t="str">
        <f aca="false">IF(OR($B714="", $P714="", $Q714="", $R714="", $S714=""),"",ROUND(($P714*Lists!$AD$7)+($Q714*Lists!$AD$8)+($R714*Lists!$AD$9)+($S714*Lists!$AD$10),2))</f>
        <v/>
      </c>
      <c r="U714" s="106"/>
      <c r="V714" s="106"/>
      <c r="W714" s="106"/>
      <c r="X714" s="106"/>
      <c r="Y714" s="106"/>
      <c r="Z714" s="103" t="str">
        <f aca="false">IF(OR($B714="", $U714="", $V714="", $W714="", $X714="", $Y714=""),"",ROUND(($U714*Lists!$AD$11)+($V714*Lists!$AD$12)+($W714*Lists!$AD$13)+($X714*Lists!$AD$14)+($Y714*Lists!$AD$15),2))</f>
        <v/>
      </c>
      <c r="AA714" s="103" t="str">
        <f aca="false">IF(OR($B714="", $N714="", $O714="", $T714="", $Z714=""),"",ROUND(($N714*Lists!$AD$16)-($O714*Lists!$AD$17)-($T714*Lists!$AD$18)+($Z714*Lists!$AD$19),2))</f>
        <v/>
      </c>
      <c r="AB714" s="102" t="str">
        <f aca="false">IF(OR($B714="", $N714="", $Z714=""),"",IF($N714&gt;=Lists!$AG$2,IF($Z714&gt;=Lists!$AG$3,"Invest","Migrate"),IF($Z714&gt;=Lists!$AG$3,"Tolerate","Eliminate")))</f>
        <v/>
      </c>
      <c r="AC714" s="102" t="str">
        <f aca="false">IF($B714="","",IF($J714&gt;=4,"Yes",""))</f>
        <v/>
      </c>
      <c r="AD714" s="102" t="str">
        <f aca="false">IF($A714="","",IFERROR(IF(VLOOKUP($A714,'Risk Register'!$B$2:$H$1000,4,FALSE())&gt;=4,"Yes",""),""))</f>
        <v/>
      </c>
      <c r="AE714" s="102" t="str">
        <f aca="false">IF(OR($N714="", $O714=""),"",IF($N714&gt;=Lists!$AG$2,IF($O714&gt;=Lists!$AG$4,"High Value / High Risk","High Value / Low Risk"),IF($O714&gt;=Lists!$AG$4,"Low Value / High Risk","Low Value / Low Risk")))</f>
        <v/>
      </c>
      <c r="AF714" s="101"/>
      <c r="AG714" s="126"/>
      <c r="AH714" s="106" t="str">
        <f aca="false">IF($B714="","",COUNTIFS('Debt Backlog'!$AF$2:$AF$1000,$A714,'Debt Backlog'!$B$2:$B$1000,"&lt;&gt;",'Debt Backlog'!$N$2:$N$1000,"&lt;&gt;Done",'Debt Backlog'!$N$2:$N$1000,"&lt;&gt;Won't Fix",'Debt Backlog'!$N$2:$N$1000,"&lt;&gt;Duplicate"))</f>
        <v/>
      </c>
      <c r="AI714" s="103" t="str">
        <f aca="false">IF($B714="","",ROUND(SUMIFS('Debt Backlog'!$L$2:$L$1000,'Debt Backlog'!$AF$2:$AF$1000,$A714,'Debt Backlog'!$B$2:$B$1000,"&lt;&gt;",'Debt Backlog'!$N$2:$N$1000,"&lt;&gt;Done",'Debt Backlog'!$N$2:$N$1000,"&lt;&gt;Won't Fix",'Debt Backlog'!$N$2:$N$1000,"&lt;&gt;Duplicate"),2))</f>
        <v/>
      </c>
    </row>
    <row r="715" customFormat="false" ht="15.75" hidden="false" customHeight="true" outlineLevel="0" collapsed="false">
      <c r="A715" s="125"/>
      <c r="B715" s="101"/>
      <c r="C715" s="101"/>
      <c r="D715" s="101"/>
      <c r="E715" s="101"/>
      <c r="F715" s="101"/>
      <c r="G715" s="101"/>
      <c r="H715" s="101"/>
      <c r="I715" s="106"/>
      <c r="J715" s="106"/>
      <c r="K715" s="106"/>
      <c r="L715" s="106"/>
      <c r="M715" s="106"/>
      <c r="N715" s="103" t="str">
        <f aca="false">IF(OR($B715="", $I715="", $J715="", $K715="", $L715="", $M715=""),"",ROUND(($I715*Lists!$AD$2)+($J715*Lists!$AD$3)+($K715*Lists!$AD$4)+($L715*Lists!$AD$5)+($M715*Lists!$AD$6),2))</f>
        <v/>
      </c>
      <c r="O715" s="103" t="str">
        <f aca="false">IF($A715="","",IFERROR(VLOOKUP($A715,'Risk Register'!$B$2:$I$1000,8,FALSE()),""))</f>
        <v/>
      </c>
      <c r="P715" s="106"/>
      <c r="Q715" s="106"/>
      <c r="R715" s="106"/>
      <c r="S715" s="106"/>
      <c r="T715" s="103" t="str">
        <f aca="false">IF(OR($B715="", $P715="", $Q715="", $R715="", $S715=""),"",ROUND(($P715*Lists!$AD$7)+($Q715*Lists!$AD$8)+($R715*Lists!$AD$9)+($S715*Lists!$AD$10),2))</f>
        <v/>
      </c>
      <c r="U715" s="106"/>
      <c r="V715" s="106"/>
      <c r="W715" s="106"/>
      <c r="X715" s="106"/>
      <c r="Y715" s="106"/>
      <c r="Z715" s="103" t="str">
        <f aca="false">IF(OR($B715="", $U715="", $V715="", $W715="", $X715="", $Y715=""),"",ROUND(($U715*Lists!$AD$11)+($V715*Lists!$AD$12)+($W715*Lists!$AD$13)+($X715*Lists!$AD$14)+($Y715*Lists!$AD$15),2))</f>
        <v/>
      </c>
      <c r="AA715" s="103" t="str">
        <f aca="false">IF(OR($B715="", $N715="", $O715="", $T715="", $Z715=""),"",ROUND(($N715*Lists!$AD$16)-($O715*Lists!$AD$17)-($T715*Lists!$AD$18)+($Z715*Lists!$AD$19),2))</f>
        <v/>
      </c>
      <c r="AB715" s="102" t="str">
        <f aca="false">IF(OR($B715="", $N715="", $Z715=""),"",IF($N715&gt;=Lists!$AG$2,IF($Z715&gt;=Lists!$AG$3,"Invest","Migrate"),IF($Z715&gt;=Lists!$AG$3,"Tolerate","Eliminate")))</f>
        <v/>
      </c>
      <c r="AC715" s="102" t="str">
        <f aca="false">IF($B715="","",IF($J715&gt;=4,"Yes",""))</f>
        <v/>
      </c>
      <c r="AD715" s="102" t="str">
        <f aca="false">IF($A715="","",IFERROR(IF(VLOOKUP($A715,'Risk Register'!$B$2:$H$1000,4,FALSE())&gt;=4,"Yes",""),""))</f>
        <v/>
      </c>
      <c r="AE715" s="102" t="str">
        <f aca="false">IF(OR($N715="", $O715=""),"",IF($N715&gt;=Lists!$AG$2,IF($O715&gt;=Lists!$AG$4,"High Value / High Risk","High Value / Low Risk"),IF($O715&gt;=Lists!$AG$4,"Low Value / High Risk","Low Value / Low Risk")))</f>
        <v/>
      </c>
      <c r="AF715" s="101"/>
      <c r="AG715" s="126"/>
      <c r="AH715" s="106" t="str">
        <f aca="false">IF($B715="","",COUNTIFS('Debt Backlog'!$AF$2:$AF$1000,$A715,'Debt Backlog'!$B$2:$B$1000,"&lt;&gt;",'Debt Backlog'!$N$2:$N$1000,"&lt;&gt;Done",'Debt Backlog'!$N$2:$N$1000,"&lt;&gt;Won't Fix",'Debt Backlog'!$N$2:$N$1000,"&lt;&gt;Duplicate"))</f>
        <v/>
      </c>
      <c r="AI715" s="103" t="str">
        <f aca="false">IF($B715="","",ROUND(SUMIFS('Debt Backlog'!$L$2:$L$1000,'Debt Backlog'!$AF$2:$AF$1000,$A715,'Debt Backlog'!$B$2:$B$1000,"&lt;&gt;",'Debt Backlog'!$N$2:$N$1000,"&lt;&gt;Done",'Debt Backlog'!$N$2:$N$1000,"&lt;&gt;Won't Fix",'Debt Backlog'!$N$2:$N$1000,"&lt;&gt;Duplicate"),2))</f>
        <v/>
      </c>
    </row>
    <row r="716" customFormat="false" ht="15.75" hidden="false" customHeight="true" outlineLevel="0" collapsed="false">
      <c r="A716" s="125"/>
      <c r="B716" s="101"/>
      <c r="C716" s="101"/>
      <c r="D716" s="101"/>
      <c r="E716" s="101"/>
      <c r="F716" s="101"/>
      <c r="G716" s="101"/>
      <c r="H716" s="101"/>
      <c r="I716" s="106"/>
      <c r="J716" s="106"/>
      <c r="K716" s="106"/>
      <c r="L716" s="106"/>
      <c r="M716" s="106"/>
      <c r="N716" s="103" t="str">
        <f aca="false">IF(OR($B716="", $I716="", $J716="", $K716="", $L716="", $M716=""),"",ROUND(($I716*Lists!$AD$2)+($J716*Lists!$AD$3)+($K716*Lists!$AD$4)+($L716*Lists!$AD$5)+($M716*Lists!$AD$6),2))</f>
        <v/>
      </c>
      <c r="O716" s="103" t="str">
        <f aca="false">IF($A716="","",IFERROR(VLOOKUP($A716,'Risk Register'!$B$2:$I$1000,8,FALSE()),""))</f>
        <v/>
      </c>
      <c r="P716" s="106"/>
      <c r="Q716" s="106"/>
      <c r="R716" s="106"/>
      <c r="S716" s="106"/>
      <c r="T716" s="103" t="str">
        <f aca="false">IF(OR($B716="", $P716="", $Q716="", $R716="", $S716=""),"",ROUND(($P716*Lists!$AD$7)+($Q716*Lists!$AD$8)+($R716*Lists!$AD$9)+($S716*Lists!$AD$10),2))</f>
        <v/>
      </c>
      <c r="U716" s="106"/>
      <c r="V716" s="106"/>
      <c r="W716" s="106"/>
      <c r="X716" s="106"/>
      <c r="Y716" s="106"/>
      <c r="Z716" s="103" t="str">
        <f aca="false">IF(OR($B716="", $U716="", $V716="", $W716="", $X716="", $Y716=""),"",ROUND(($U716*Lists!$AD$11)+($V716*Lists!$AD$12)+($W716*Lists!$AD$13)+($X716*Lists!$AD$14)+($Y716*Lists!$AD$15),2))</f>
        <v/>
      </c>
      <c r="AA716" s="103" t="str">
        <f aca="false">IF(OR($B716="", $N716="", $O716="", $T716="", $Z716=""),"",ROUND(($N716*Lists!$AD$16)-($O716*Lists!$AD$17)-($T716*Lists!$AD$18)+($Z716*Lists!$AD$19),2))</f>
        <v/>
      </c>
      <c r="AB716" s="102" t="str">
        <f aca="false">IF(OR($B716="", $N716="", $Z716=""),"",IF($N716&gt;=Lists!$AG$2,IF($Z716&gt;=Lists!$AG$3,"Invest","Migrate"),IF($Z716&gt;=Lists!$AG$3,"Tolerate","Eliminate")))</f>
        <v/>
      </c>
      <c r="AC716" s="102" t="str">
        <f aca="false">IF($B716="","",IF($J716&gt;=4,"Yes",""))</f>
        <v/>
      </c>
      <c r="AD716" s="102" t="str">
        <f aca="false">IF($A716="","",IFERROR(IF(VLOOKUP($A716,'Risk Register'!$B$2:$H$1000,4,FALSE())&gt;=4,"Yes",""),""))</f>
        <v/>
      </c>
      <c r="AE716" s="102" t="str">
        <f aca="false">IF(OR($N716="", $O716=""),"",IF($N716&gt;=Lists!$AG$2,IF($O716&gt;=Lists!$AG$4,"High Value / High Risk","High Value / Low Risk"),IF($O716&gt;=Lists!$AG$4,"Low Value / High Risk","Low Value / Low Risk")))</f>
        <v/>
      </c>
      <c r="AF716" s="101"/>
      <c r="AG716" s="126"/>
      <c r="AH716" s="106" t="str">
        <f aca="false">IF($B716="","",COUNTIFS('Debt Backlog'!$AF$2:$AF$1000,$A716,'Debt Backlog'!$B$2:$B$1000,"&lt;&gt;",'Debt Backlog'!$N$2:$N$1000,"&lt;&gt;Done",'Debt Backlog'!$N$2:$N$1000,"&lt;&gt;Won't Fix",'Debt Backlog'!$N$2:$N$1000,"&lt;&gt;Duplicate"))</f>
        <v/>
      </c>
      <c r="AI716" s="103" t="str">
        <f aca="false">IF($B716="","",ROUND(SUMIFS('Debt Backlog'!$L$2:$L$1000,'Debt Backlog'!$AF$2:$AF$1000,$A716,'Debt Backlog'!$B$2:$B$1000,"&lt;&gt;",'Debt Backlog'!$N$2:$N$1000,"&lt;&gt;Done",'Debt Backlog'!$N$2:$N$1000,"&lt;&gt;Won't Fix",'Debt Backlog'!$N$2:$N$1000,"&lt;&gt;Duplicate"),2))</f>
        <v/>
      </c>
    </row>
    <row r="717" customFormat="false" ht="15.75" hidden="false" customHeight="true" outlineLevel="0" collapsed="false">
      <c r="A717" s="125"/>
      <c r="B717" s="101"/>
      <c r="C717" s="101"/>
      <c r="D717" s="101"/>
      <c r="E717" s="101"/>
      <c r="F717" s="101"/>
      <c r="G717" s="101"/>
      <c r="H717" s="101"/>
      <c r="I717" s="106"/>
      <c r="J717" s="106"/>
      <c r="K717" s="106"/>
      <c r="L717" s="106"/>
      <c r="M717" s="106"/>
      <c r="N717" s="103" t="str">
        <f aca="false">IF(OR($B717="", $I717="", $J717="", $K717="", $L717="", $M717=""),"",ROUND(($I717*Lists!$AD$2)+($J717*Lists!$AD$3)+($K717*Lists!$AD$4)+($L717*Lists!$AD$5)+($M717*Lists!$AD$6),2))</f>
        <v/>
      </c>
      <c r="O717" s="103" t="str">
        <f aca="false">IF($A717="","",IFERROR(VLOOKUP($A717,'Risk Register'!$B$2:$I$1000,8,FALSE()),""))</f>
        <v/>
      </c>
      <c r="P717" s="106"/>
      <c r="Q717" s="106"/>
      <c r="R717" s="106"/>
      <c r="S717" s="106"/>
      <c r="T717" s="103" t="str">
        <f aca="false">IF(OR($B717="", $P717="", $Q717="", $R717="", $S717=""),"",ROUND(($P717*Lists!$AD$7)+($Q717*Lists!$AD$8)+($R717*Lists!$AD$9)+($S717*Lists!$AD$10),2))</f>
        <v/>
      </c>
      <c r="U717" s="106"/>
      <c r="V717" s="106"/>
      <c r="W717" s="106"/>
      <c r="X717" s="106"/>
      <c r="Y717" s="106"/>
      <c r="Z717" s="103" t="str">
        <f aca="false">IF(OR($B717="", $U717="", $V717="", $W717="", $X717="", $Y717=""),"",ROUND(($U717*Lists!$AD$11)+($V717*Lists!$AD$12)+($W717*Lists!$AD$13)+($X717*Lists!$AD$14)+($Y717*Lists!$AD$15),2))</f>
        <v/>
      </c>
      <c r="AA717" s="103" t="str">
        <f aca="false">IF(OR($B717="", $N717="", $O717="", $T717="", $Z717=""),"",ROUND(($N717*Lists!$AD$16)-($O717*Lists!$AD$17)-($T717*Lists!$AD$18)+($Z717*Lists!$AD$19),2))</f>
        <v/>
      </c>
      <c r="AB717" s="102" t="str">
        <f aca="false">IF(OR($B717="", $N717="", $Z717=""),"",IF($N717&gt;=Lists!$AG$2,IF($Z717&gt;=Lists!$AG$3,"Invest","Migrate"),IF($Z717&gt;=Lists!$AG$3,"Tolerate","Eliminate")))</f>
        <v/>
      </c>
      <c r="AC717" s="102" t="str">
        <f aca="false">IF($B717="","",IF($J717&gt;=4,"Yes",""))</f>
        <v/>
      </c>
      <c r="AD717" s="102" t="str">
        <f aca="false">IF($A717="","",IFERROR(IF(VLOOKUP($A717,'Risk Register'!$B$2:$H$1000,4,FALSE())&gt;=4,"Yes",""),""))</f>
        <v/>
      </c>
      <c r="AE717" s="102" t="str">
        <f aca="false">IF(OR($N717="", $O717=""),"",IF($N717&gt;=Lists!$AG$2,IF($O717&gt;=Lists!$AG$4,"High Value / High Risk","High Value / Low Risk"),IF($O717&gt;=Lists!$AG$4,"Low Value / High Risk","Low Value / Low Risk")))</f>
        <v/>
      </c>
      <c r="AF717" s="101"/>
      <c r="AG717" s="126"/>
      <c r="AH717" s="106" t="str">
        <f aca="false">IF($B717="","",COUNTIFS('Debt Backlog'!$AF$2:$AF$1000,$A717,'Debt Backlog'!$B$2:$B$1000,"&lt;&gt;",'Debt Backlog'!$N$2:$N$1000,"&lt;&gt;Done",'Debt Backlog'!$N$2:$N$1000,"&lt;&gt;Won't Fix",'Debt Backlog'!$N$2:$N$1000,"&lt;&gt;Duplicate"))</f>
        <v/>
      </c>
      <c r="AI717" s="103" t="str">
        <f aca="false">IF($B717="","",ROUND(SUMIFS('Debt Backlog'!$L$2:$L$1000,'Debt Backlog'!$AF$2:$AF$1000,$A717,'Debt Backlog'!$B$2:$B$1000,"&lt;&gt;",'Debt Backlog'!$N$2:$N$1000,"&lt;&gt;Done",'Debt Backlog'!$N$2:$N$1000,"&lt;&gt;Won't Fix",'Debt Backlog'!$N$2:$N$1000,"&lt;&gt;Duplicate"),2))</f>
        <v/>
      </c>
    </row>
    <row r="718" customFormat="false" ht="15.75" hidden="false" customHeight="true" outlineLevel="0" collapsed="false">
      <c r="A718" s="125"/>
      <c r="B718" s="101"/>
      <c r="C718" s="101"/>
      <c r="D718" s="101"/>
      <c r="E718" s="101"/>
      <c r="F718" s="101"/>
      <c r="G718" s="101"/>
      <c r="H718" s="101"/>
      <c r="I718" s="106"/>
      <c r="J718" s="106"/>
      <c r="K718" s="106"/>
      <c r="L718" s="106"/>
      <c r="M718" s="106"/>
      <c r="N718" s="103" t="str">
        <f aca="false">IF(OR($B718="", $I718="", $J718="", $K718="", $L718="", $M718=""),"",ROUND(($I718*Lists!$AD$2)+($J718*Lists!$AD$3)+($K718*Lists!$AD$4)+($L718*Lists!$AD$5)+($M718*Lists!$AD$6),2))</f>
        <v/>
      </c>
      <c r="O718" s="103" t="str">
        <f aca="false">IF($A718="","",IFERROR(VLOOKUP($A718,'Risk Register'!$B$2:$I$1000,8,FALSE()),""))</f>
        <v/>
      </c>
      <c r="P718" s="106"/>
      <c r="Q718" s="106"/>
      <c r="R718" s="106"/>
      <c r="S718" s="106"/>
      <c r="T718" s="103" t="str">
        <f aca="false">IF(OR($B718="", $P718="", $Q718="", $R718="", $S718=""),"",ROUND(($P718*Lists!$AD$7)+($Q718*Lists!$AD$8)+($R718*Lists!$AD$9)+($S718*Lists!$AD$10),2))</f>
        <v/>
      </c>
      <c r="U718" s="106"/>
      <c r="V718" s="106"/>
      <c r="W718" s="106"/>
      <c r="X718" s="106"/>
      <c r="Y718" s="106"/>
      <c r="Z718" s="103" t="str">
        <f aca="false">IF(OR($B718="", $U718="", $V718="", $W718="", $X718="", $Y718=""),"",ROUND(($U718*Lists!$AD$11)+($V718*Lists!$AD$12)+($W718*Lists!$AD$13)+($X718*Lists!$AD$14)+($Y718*Lists!$AD$15),2))</f>
        <v/>
      </c>
      <c r="AA718" s="103" t="str">
        <f aca="false">IF(OR($B718="", $N718="", $O718="", $T718="", $Z718=""),"",ROUND(($N718*Lists!$AD$16)-($O718*Lists!$AD$17)-($T718*Lists!$AD$18)+($Z718*Lists!$AD$19),2))</f>
        <v/>
      </c>
      <c r="AB718" s="102" t="str">
        <f aca="false">IF(OR($B718="", $N718="", $Z718=""),"",IF($N718&gt;=Lists!$AG$2,IF($Z718&gt;=Lists!$AG$3,"Invest","Migrate"),IF($Z718&gt;=Lists!$AG$3,"Tolerate","Eliminate")))</f>
        <v/>
      </c>
      <c r="AC718" s="102" t="str">
        <f aca="false">IF($B718="","",IF($J718&gt;=4,"Yes",""))</f>
        <v/>
      </c>
      <c r="AD718" s="102" t="str">
        <f aca="false">IF($A718="","",IFERROR(IF(VLOOKUP($A718,'Risk Register'!$B$2:$H$1000,4,FALSE())&gt;=4,"Yes",""),""))</f>
        <v/>
      </c>
      <c r="AE718" s="102" t="str">
        <f aca="false">IF(OR($N718="", $O718=""),"",IF($N718&gt;=Lists!$AG$2,IF($O718&gt;=Lists!$AG$4,"High Value / High Risk","High Value / Low Risk"),IF($O718&gt;=Lists!$AG$4,"Low Value / High Risk","Low Value / Low Risk")))</f>
        <v/>
      </c>
      <c r="AF718" s="101"/>
      <c r="AG718" s="126"/>
      <c r="AH718" s="106" t="str">
        <f aca="false">IF($B718="","",COUNTIFS('Debt Backlog'!$AF$2:$AF$1000,$A718,'Debt Backlog'!$B$2:$B$1000,"&lt;&gt;",'Debt Backlog'!$N$2:$N$1000,"&lt;&gt;Done",'Debt Backlog'!$N$2:$N$1000,"&lt;&gt;Won't Fix",'Debt Backlog'!$N$2:$N$1000,"&lt;&gt;Duplicate"))</f>
        <v/>
      </c>
      <c r="AI718" s="103" t="str">
        <f aca="false">IF($B718="","",ROUND(SUMIFS('Debt Backlog'!$L$2:$L$1000,'Debt Backlog'!$AF$2:$AF$1000,$A718,'Debt Backlog'!$B$2:$B$1000,"&lt;&gt;",'Debt Backlog'!$N$2:$N$1000,"&lt;&gt;Done",'Debt Backlog'!$N$2:$N$1000,"&lt;&gt;Won't Fix",'Debt Backlog'!$N$2:$N$1000,"&lt;&gt;Duplicate"),2))</f>
        <v/>
      </c>
    </row>
    <row r="719" customFormat="false" ht="15.75" hidden="false" customHeight="true" outlineLevel="0" collapsed="false">
      <c r="A719" s="125"/>
      <c r="B719" s="101"/>
      <c r="C719" s="101"/>
      <c r="D719" s="101"/>
      <c r="E719" s="101"/>
      <c r="F719" s="101"/>
      <c r="G719" s="101"/>
      <c r="H719" s="101"/>
      <c r="I719" s="106"/>
      <c r="J719" s="106"/>
      <c r="K719" s="106"/>
      <c r="L719" s="106"/>
      <c r="M719" s="106"/>
      <c r="N719" s="103" t="str">
        <f aca="false">IF(OR($B719="", $I719="", $J719="", $K719="", $L719="", $M719=""),"",ROUND(($I719*Lists!$AD$2)+($J719*Lists!$AD$3)+($K719*Lists!$AD$4)+($L719*Lists!$AD$5)+($M719*Lists!$AD$6),2))</f>
        <v/>
      </c>
      <c r="O719" s="103" t="str">
        <f aca="false">IF($A719="","",IFERROR(VLOOKUP($A719,'Risk Register'!$B$2:$I$1000,8,FALSE()),""))</f>
        <v/>
      </c>
      <c r="P719" s="106"/>
      <c r="Q719" s="106"/>
      <c r="R719" s="106"/>
      <c r="S719" s="106"/>
      <c r="T719" s="103" t="str">
        <f aca="false">IF(OR($B719="", $P719="", $Q719="", $R719="", $S719=""),"",ROUND(($P719*Lists!$AD$7)+($Q719*Lists!$AD$8)+($R719*Lists!$AD$9)+($S719*Lists!$AD$10),2))</f>
        <v/>
      </c>
      <c r="U719" s="106"/>
      <c r="V719" s="106"/>
      <c r="W719" s="106"/>
      <c r="X719" s="106"/>
      <c r="Y719" s="106"/>
      <c r="Z719" s="103" t="str">
        <f aca="false">IF(OR($B719="", $U719="", $V719="", $W719="", $X719="", $Y719=""),"",ROUND(($U719*Lists!$AD$11)+($V719*Lists!$AD$12)+($W719*Lists!$AD$13)+($X719*Lists!$AD$14)+($Y719*Lists!$AD$15),2))</f>
        <v/>
      </c>
      <c r="AA719" s="103" t="str">
        <f aca="false">IF(OR($B719="", $N719="", $O719="", $T719="", $Z719=""),"",ROUND(($N719*Lists!$AD$16)-($O719*Lists!$AD$17)-($T719*Lists!$AD$18)+($Z719*Lists!$AD$19),2))</f>
        <v/>
      </c>
      <c r="AB719" s="102" t="str">
        <f aca="false">IF(OR($B719="", $N719="", $Z719=""),"",IF($N719&gt;=Lists!$AG$2,IF($Z719&gt;=Lists!$AG$3,"Invest","Migrate"),IF($Z719&gt;=Lists!$AG$3,"Tolerate","Eliminate")))</f>
        <v/>
      </c>
      <c r="AC719" s="102" t="str">
        <f aca="false">IF($B719="","",IF($J719&gt;=4,"Yes",""))</f>
        <v/>
      </c>
      <c r="AD719" s="102" t="str">
        <f aca="false">IF($A719="","",IFERROR(IF(VLOOKUP($A719,'Risk Register'!$B$2:$H$1000,4,FALSE())&gt;=4,"Yes",""),""))</f>
        <v/>
      </c>
      <c r="AE719" s="102" t="str">
        <f aca="false">IF(OR($N719="", $O719=""),"",IF($N719&gt;=Lists!$AG$2,IF($O719&gt;=Lists!$AG$4,"High Value / High Risk","High Value / Low Risk"),IF($O719&gt;=Lists!$AG$4,"Low Value / High Risk","Low Value / Low Risk")))</f>
        <v/>
      </c>
      <c r="AF719" s="101"/>
      <c r="AG719" s="126"/>
      <c r="AH719" s="106" t="str">
        <f aca="false">IF($B719="","",COUNTIFS('Debt Backlog'!$AF$2:$AF$1000,$A719,'Debt Backlog'!$B$2:$B$1000,"&lt;&gt;",'Debt Backlog'!$N$2:$N$1000,"&lt;&gt;Done",'Debt Backlog'!$N$2:$N$1000,"&lt;&gt;Won't Fix",'Debt Backlog'!$N$2:$N$1000,"&lt;&gt;Duplicate"))</f>
        <v/>
      </c>
      <c r="AI719" s="103" t="str">
        <f aca="false">IF($B719="","",ROUND(SUMIFS('Debt Backlog'!$L$2:$L$1000,'Debt Backlog'!$AF$2:$AF$1000,$A719,'Debt Backlog'!$B$2:$B$1000,"&lt;&gt;",'Debt Backlog'!$N$2:$N$1000,"&lt;&gt;Done",'Debt Backlog'!$N$2:$N$1000,"&lt;&gt;Won't Fix",'Debt Backlog'!$N$2:$N$1000,"&lt;&gt;Duplicate"),2))</f>
        <v/>
      </c>
    </row>
    <row r="720" customFormat="false" ht="15.75" hidden="false" customHeight="true" outlineLevel="0" collapsed="false">
      <c r="A720" s="125"/>
      <c r="B720" s="101"/>
      <c r="C720" s="101"/>
      <c r="D720" s="101"/>
      <c r="E720" s="101"/>
      <c r="F720" s="101"/>
      <c r="G720" s="101"/>
      <c r="H720" s="101"/>
      <c r="I720" s="106"/>
      <c r="J720" s="106"/>
      <c r="K720" s="106"/>
      <c r="L720" s="106"/>
      <c r="M720" s="106"/>
      <c r="N720" s="103" t="str">
        <f aca="false">IF(OR($B720="", $I720="", $J720="", $K720="", $L720="", $M720=""),"",ROUND(($I720*Lists!$AD$2)+($J720*Lists!$AD$3)+($K720*Lists!$AD$4)+($L720*Lists!$AD$5)+($M720*Lists!$AD$6),2))</f>
        <v/>
      </c>
      <c r="O720" s="103" t="str">
        <f aca="false">IF($A720="","",IFERROR(VLOOKUP($A720,'Risk Register'!$B$2:$I$1000,8,FALSE()),""))</f>
        <v/>
      </c>
      <c r="P720" s="106"/>
      <c r="Q720" s="106"/>
      <c r="R720" s="106"/>
      <c r="S720" s="106"/>
      <c r="T720" s="103" t="str">
        <f aca="false">IF(OR($B720="", $P720="", $Q720="", $R720="", $S720=""),"",ROUND(($P720*Lists!$AD$7)+($Q720*Lists!$AD$8)+($R720*Lists!$AD$9)+($S720*Lists!$AD$10),2))</f>
        <v/>
      </c>
      <c r="U720" s="106"/>
      <c r="V720" s="106"/>
      <c r="W720" s="106"/>
      <c r="X720" s="106"/>
      <c r="Y720" s="106"/>
      <c r="Z720" s="103" t="str">
        <f aca="false">IF(OR($B720="", $U720="", $V720="", $W720="", $X720="", $Y720=""),"",ROUND(($U720*Lists!$AD$11)+($V720*Lists!$AD$12)+($W720*Lists!$AD$13)+($X720*Lists!$AD$14)+($Y720*Lists!$AD$15),2))</f>
        <v/>
      </c>
      <c r="AA720" s="103" t="str">
        <f aca="false">IF(OR($B720="", $N720="", $O720="", $T720="", $Z720=""),"",ROUND(($N720*Lists!$AD$16)-($O720*Lists!$AD$17)-($T720*Lists!$AD$18)+($Z720*Lists!$AD$19),2))</f>
        <v/>
      </c>
      <c r="AB720" s="102" t="str">
        <f aca="false">IF(OR($B720="", $N720="", $Z720=""),"",IF($N720&gt;=Lists!$AG$2,IF($Z720&gt;=Lists!$AG$3,"Invest","Migrate"),IF($Z720&gt;=Lists!$AG$3,"Tolerate","Eliminate")))</f>
        <v/>
      </c>
      <c r="AC720" s="102" t="str">
        <f aca="false">IF($B720="","",IF($J720&gt;=4,"Yes",""))</f>
        <v/>
      </c>
      <c r="AD720" s="102" t="str">
        <f aca="false">IF($A720="","",IFERROR(IF(VLOOKUP($A720,'Risk Register'!$B$2:$H$1000,4,FALSE())&gt;=4,"Yes",""),""))</f>
        <v/>
      </c>
      <c r="AE720" s="102" t="str">
        <f aca="false">IF(OR($N720="", $O720=""),"",IF($N720&gt;=Lists!$AG$2,IF($O720&gt;=Lists!$AG$4,"High Value / High Risk","High Value / Low Risk"),IF($O720&gt;=Lists!$AG$4,"Low Value / High Risk","Low Value / Low Risk")))</f>
        <v/>
      </c>
      <c r="AF720" s="101"/>
      <c r="AG720" s="126"/>
      <c r="AH720" s="106" t="str">
        <f aca="false">IF($B720="","",COUNTIFS('Debt Backlog'!$AF$2:$AF$1000,$A720,'Debt Backlog'!$B$2:$B$1000,"&lt;&gt;",'Debt Backlog'!$N$2:$N$1000,"&lt;&gt;Done",'Debt Backlog'!$N$2:$N$1000,"&lt;&gt;Won't Fix",'Debt Backlog'!$N$2:$N$1000,"&lt;&gt;Duplicate"))</f>
        <v/>
      </c>
      <c r="AI720" s="103" t="str">
        <f aca="false">IF($B720="","",ROUND(SUMIFS('Debt Backlog'!$L$2:$L$1000,'Debt Backlog'!$AF$2:$AF$1000,$A720,'Debt Backlog'!$B$2:$B$1000,"&lt;&gt;",'Debt Backlog'!$N$2:$N$1000,"&lt;&gt;Done",'Debt Backlog'!$N$2:$N$1000,"&lt;&gt;Won't Fix",'Debt Backlog'!$N$2:$N$1000,"&lt;&gt;Duplicate"),2))</f>
        <v/>
      </c>
    </row>
    <row r="721" customFormat="false" ht="15.75" hidden="false" customHeight="true" outlineLevel="0" collapsed="false">
      <c r="A721" s="125"/>
      <c r="B721" s="101"/>
      <c r="C721" s="101"/>
      <c r="D721" s="101"/>
      <c r="E721" s="101"/>
      <c r="F721" s="101"/>
      <c r="G721" s="101"/>
      <c r="H721" s="101"/>
      <c r="I721" s="106"/>
      <c r="J721" s="106"/>
      <c r="K721" s="106"/>
      <c r="L721" s="106"/>
      <c r="M721" s="106"/>
      <c r="N721" s="103" t="str">
        <f aca="false">IF(OR($B721="", $I721="", $J721="", $K721="", $L721="", $M721=""),"",ROUND(($I721*Lists!$AD$2)+($J721*Lists!$AD$3)+($K721*Lists!$AD$4)+($L721*Lists!$AD$5)+($M721*Lists!$AD$6),2))</f>
        <v/>
      </c>
      <c r="O721" s="103" t="str">
        <f aca="false">IF($A721="","",IFERROR(VLOOKUP($A721,'Risk Register'!$B$2:$I$1000,8,FALSE()),""))</f>
        <v/>
      </c>
      <c r="P721" s="106"/>
      <c r="Q721" s="106"/>
      <c r="R721" s="106"/>
      <c r="S721" s="106"/>
      <c r="T721" s="103" t="str">
        <f aca="false">IF(OR($B721="", $P721="", $Q721="", $R721="", $S721=""),"",ROUND(($P721*Lists!$AD$7)+($Q721*Lists!$AD$8)+($R721*Lists!$AD$9)+($S721*Lists!$AD$10),2))</f>
        <v/>
      </c>
      <c r="U721" s="106"/>
      <c r="V721" s="106"/>
      <c r="W721" s="106"/>
      <c r="X721" s="106"/>
      <c r="Y721" s="106"/>
      <c r="Z721" s="103" t="str">
        <f aca="false">IF(OR($B721="", $U721="", $V721="", $W721="", $X721="", $Y721=""),"",ROUND(($U721*Lists!$AD$11)+($V721*Lists!$AD$12)+($W721*Lists!$AD$13)+($X721*Lists!$AD$14)+($Y721*Lists!$AD$15),2))</f>
        <v/>
      </c>
      <c r="AA721" s="103" t="str">
        <f aca="false">IF(OR($B721="", $N721="", $O721="", $T721="", $Z721=""),"",ROUND(($N721*Lists!$AD$16)-($O721*Lists!$AD$17)-($T721*Lists!$AD$18)+($Z721*Lists!$AD$19),2))</f>
        <v/>
      </c>
      <c r="AB721" s="102" t="str">
        <f aca="false">IF(OR($B721="", $N721="", $Z721=""),"",IF($N721&gt;=Lists!$AG$2,IF($Z721&gt;=Lists!$AG$3,"Invest","Migrate"),IF($Z721&gt;=Lists!$AG$3,"Tolerate","Eliminate")))</f>
        <v/>
      </c>
      <c r="AC721" s="102" t="str">
        <f aca="false">IF($B721="","",IF($J721&gt;=4,"Yes",""))</f>
        <v/>
      </c>
      <c r="AD721" s="102" t="str">
        <f aca="false">IF($A721="","",IFERROR(IF(VLOOKUP($A721,'Risk Register'!$B$2:$H$1000,4,FALSE())&gt;=4,"Yes",""),""))</f>
        <v/>
      </c>
      <c r="AE721" s="102" t="str">
        <f aca="false">IF(OR($N721="", $O721=""),"",IF($N721&gt;=Lists!$AG$2,IF($O721&gt;=Lists!$AG$4,"High Value / High Risk","High Value / Low Risk"),IF($O721&gt;=Lists!$AG$4,"Low Value / High Risk","Low Value / Low Risk")))</f>
        <v/>
      </c>
      <c r="AF721" s="101"/>
      <c r="AG721" s="126"/>
      <c r="AH721" s="106" t="str">
        <f aca="false">IF($B721="","",COUNTIFS('Debt Backlog'!$AF$2:$AF$1000,$A721,'Debt Backlog'!$B$2:$B$1000,"&lt;&gt;",'Debt Backlog'!$N$2:$N$1000,"&lt;&gt;Done",'Debt Backlog'!$N$2:$N$1000,"&lt;&gt;Won't Fix",'Debt Backlog'!$N$2:$N$1000,"&lt;&gt;Duplicate"))</f>
        <v/>
      </c>
      <c r="AI721" s="103" t="str">
        <f aca="false">IF($B721="","",ROUND(SUMIFS('Debt Backlog'!$L$2:$L$1000,'Debt Backlog'!$AF$2:$AF$1000,$A721,'Debt Backlog'!$B$2:$B$1000,"&lt;&gt;",'Debt Backlog'!$N$2:$N$1000,"&lt;&gt;Done",'Debt Backlog'!$N$2:$N$1000,"&lt;&gt;Won't Fix",'Debt Backlog'!$N$2:$N$1000,"&lt;&gt;Duplicate"),2))</f>
        <v/>
      </c>
    </row>
    <row r="722" customFormat="false" ht="15.75" hidden="false" customHeight="true" outlineLevel="0" collapsed="false">
      <c r="A722" s="125"/>
      <c r="B722" s="101"/>
      <c r="C722" s="101"/>
      <c r="D722" s="101"/>
      <c r="E722" s="101"/>
      <c r="F722" s="101"/>
      <c r="G722" s="101"/>
      <c r="H722" s="101"/>
      <c r="I722" s="106"/>
      <c r="J722" s="106"/>
      <c r="K722" s="106"/>
      <c r="L722" s="106"/>
      <c r="M722" s="106"/>
      <c r="N722" s="103" t="str">
        <f aca="false">IF(OR($B722="", $I722="", $J722="", $K722="", $L722="", $M722=""),"",ROUND(($I722*Lists!$AD$2)+($J722*Lists!$AD$3)+($K722*Lists!$AD$4)+($L722*Lists!$AD$5)+($M722*Lists!$AD$6),2))</f>
        <v/>
      </c>
      <c r="O722" s="103" t="str">
        <f aca="false">IF($A722="","",IFERROR(VLOOKUP($A722,'Risk Register'!$B$2:$I$1000,8,FALSE()),""))</f>
        <v/>
      </c>
      <c r="P722" s="106"/>
      <c r="Q722" s="106"/>
      <c r="R722" s="106"/>
      <c r="S722" s="106"/>
      <c r="T722" s="103" t="str">
        <f aca="false">IF(OR($B722="", $P722="", $Q722="", $R722="", $S722=""),"",ROUND(($P722*Lists!$AD$7)+($Q722*Lists!$AD$8)+($R722*Lists!$AD$9)+($S722*Lists!$AD$10),2))</f>
        <v/>
      </c>
      <c r="U722" s="106"/>
      <c r="V722" s="106"/>
      <c r="W722" s="106"/>
      <c r="X722" s="106"/>
      <c r="Y722" s="106"/>
      <c r="Z722" s="103" t="str">
        <f aca="false">IF(OR($B722="", $U722="", $V722="", $W722="", $X722="", $Y722=""),"",ROUND(($U722*Lists!$AD$11)+($V722*Lists!$AD$12)+($W722*Lists!$AD$13)+($X722*Lists!$AD$14)+($Y722*Lists!$AD$15),2))</f>
        <v/>
      </c>
      <c r="AA722" s="103" t="str">
        <f aca="false">IF(OR($B722="", $N722="", $O722="", $T722="", $Z722=""),"",ROUND(($N722*Lists!$AD$16)-($O722*Lists!$AD$17)-($T722*Lists!$AD$18)+($Z722*Lists!$AD$19),2))</f>
        <v/>
      </c>
      <c r="AB722" s="102" t="str">
        <f aca="false">IF(OR($B722="", $N722="", $Z722=""),"",IF($N722&gt;=Lists!$AG$2,IF($Z722&gt;=Lists!$AG$3,"Invest","Migrate"),IF($Z722&gt;=Lists!$AG$3,"Tolerate","Eliminate")))</f>
        <v/>
      </c>
      <c r="AC722" s="102" t="str">
        <f aca="false">IF($B722="","",IF($J722&gt;=4,"Yes",""))</f>
        <v/>
      </c>
      <c r="AD722" s="102" t="str">
        <f aca="false">IF($A722="","",IFERROR(IF(VLOOKUP($A722,'Risk Register'!$B$2:$H$1000,4,FALSE())&gt;=4,"Yes",""),""))</f>
        <v/>
      </c>
      <c r="AE722" s="102" t="str">
        <f aca="false">IF(OR($N722="", $O722=""),"",IF($N722&gt;=Lists!$AG$2,IF($O722&gt;=Lists!$AG$4,"High Value / High Risk","High Value / Low Risk"),IF($O722&gt;=Lists!$AG$4,"Low Value / High Risk","Low Value / Low Risk")))</f>
        <v/>
      </c>
      <c r="AF722" s="101"/>
      <c r="AG722" s="126"/>
      <c r="AH722" s="106" t="str">
        <f aca="false">IF($B722="","",COUNTIFS('Debt Backlog'!$AF$2:$AF$1000,$A722,'Debt Backlog'!$B$2:$B$1000,"&lt;&gt;",'Debt Backlog'!$N$2:$N$1000,"&lt;&gt;Done",'Debt Backlog'!$N$2:$N$1000,"&lt;&gt;Won't Fix",'Debt Backlog'!$N$2:$N$1000,"&lt;&gt;Duplicate"))</f>
        <v/>
      </c>
      <c r="AI722" s="103" t="str">
        <f aca="false">IF($B722="","",ROUND(SUMIFS('Debt Backlog'!$L$2:$L$1000,'Debt Backlog'!$AF$2:$AF$1000,$A722,'Debt Backlog'!$B$2:$B$1000,"&lt;&gt;",'Debt Backlog'!$N$2:$N$1000,"&lt;&gt;Done",'Debt Backlog'!$N$2:$N$1000,"&lt;&gt;Won't Fix",'Debt Backlog'!$N$2:$N$1000,"&lt;&gt;Duplicate"),2))</f>
        <v/>
      </c>
    </row>
    <row r="723" customFormat="false" ht="15.75" hidden="false" customHeight="true" outlineLevel="0" collapsed="false">
      <c r="A723" s="125"/>
      <c r="B723" s="101"/>
      <c r="C723" s="101"/>
      <c r="D723" s="101"/>
      <c r="E723" s="101"/>
      <c r="F723" s="101"/>
      <c r="G723" s="101"/>
      <c r="H723" s="101"/>
      <c r="I723" s="106"/>
      <c r="J723" s="106"/>
      <c r="K723" s="106"/>
      <c r="L723" s="106"/>
      <c r="M723" s="106"/>
      <c r="N723" s="103" t="str">
        <f aca="false">IF(OR($B723="", $I723="", $J723="", $K723="", $L723="", $M723=""),"",ROUND(($I723*Lists!$AD$2)+($J723*Lists!$AD$3)+($K723*Lists!$AD$4)+($L723*Lists!$AD$5)+($M723*Lists!$AD$6),2))</f>
        <v/>
      </c>
      <c r="O723" s="103" t="str">
        <f aca="false">IF($A723="","",IFERROR(VLOOKUP($A723,'Risk Register'!$B$2:$I$1000,8,FALSE()),""))</f>
        <v/>
      </c>
      <c r="P723" s="106"/>
      <c r="Q723" s="106"/>
      <c r="R723" s="106"/>
      <c r="S723" s="106"/>
      <c r="T723" s="103" t="str">
        <f aca="false">IF(OR($B723="", $P723="", $Q723="", $R723="", $S723=""),"",ROUND(($P723*Lists!$AD$7)+($Q723*Lists!$AD$8)+($R723*Lists!$AD$9)+($S723*Lists!$AD$10),2))</f>
        <v/>
      </c>
      <c r="U723" s="106"/>
      <c r="V723" s="106"/>
      <c r="W723" s="106"/>
      <c r="X723" s="106"/>
      <c r="Y723" s="106"/>
      <c r="Z723" s="103" t="str">
        <f aca="false">IF(OR($B723="", $U723="", $V723="", $W723="", $X723="", $Y723=""),"",ROUND(($U723*Lists!$AD$11)+($V723*Lists!$AD$12)+($W723*Lists!$AD$13)+($X723*Lists!$AD$14)+($Y723*Lists!$AD$15),2))</f>
        <v/>
      </c>
      <c r="AA723" s="103" t="str">
        <f aca="false">IF(OR($B723="", $N723="", $O723="", $T723="", $Z723=""),"",ROUND(($N723*Lists!$AD$16)-($O723*Lists!$AD$17)-($T723*Lists!$AD$18)+($Z723*Lists!$AD$19),2))</f>
        <v/>
      </c>
      <c r="AB723" s="102" t="str">
        <f aca="false">IF(OR($B723="", $N723="", $Z723=""),"",IF($N723&gt;=Lists!$AG$2,IF($Z723&gt;=Lists!$AG$3,"Invest","Migrate"),IF($Z723&gt;=Lists!$AG$3,"Tolerate","Eliminate")))</f>
        <v/>
      </c>
      <c r="AC723" s="102" t="str">
        <f aca="false">IF($B723="","",IF($J723&gt;=4,"Yes",""))</f>
        <v/>
      </c>
      <c r="AD723" s="102" t="str">
        <f aca="false">IF($A723="","",IFERROR(IF(VLOOKUP($A723,'Risk Register'!$B$2:$H$1000,4,FALSE())&gt;=4,"Yes",""),""))</f>
        <v/>
      </c>
      <c r="AE723" s="102" t="str">
        <f aca="false">IF(OR($N723="", $O723=""),"",IF($N723&gt;=Lists!$AG$2,IF($O723&gt;=Lists!$AG$4,"High Value / High Risk","High Value / Low Risk"),IF($O723&gt;=Lists!$AG$4,"Low Value / High Risk","Low Value / Low Risk")))</f>
        <v/>
      </c>
      <c r="AF723" s="101"/>
      <c r="AG723" s="126"/>
      <c r="AH723" s="106" t="str">
        <f aca="false">IF($B723="","",COUNTIFS('Debt Backlog'!$AF$2:$AF$1000,$A723,'Debt Backlog'!$B$2:$B$1000,"&lt;&gt;",'Debt Backlog'!$N$2:$N$1000,"&lt;&gt;Done",'Debt Backlog'!$N$2:$N$1000,"&lt;&gt;Won't Fix",'Debt Backlog'!$N$2:$N$1000,"&lt;&gt;Duplicate"))</f>
        <v/>
      </c>
      <c r="AI723" s="103" t="str">
        <f aca="false">IF($B723="","",ROUND(SUMIFS('Debt Backlog'!$L$2:$L$1000,'Debt Backlog'!$AF$2:$AF$1000,$A723,'Debt Backlog'!$B$2:$B$1000,"&lt;&gt;",'Debt Backlog'!$N$2:$N$1000,"&lt;&gt;Done",'Debt Backlog'!$N$2:$N$1000,"&lt;&gt;Won't Fix",'Debt Backlog'!$N$2:$N$1000,"&lt;&gt;Duplicate"),2))</f>
        <v/>
      </c>
    </row>
    <row r="724" customFormat="false" ht="15.75" hidden="false" customHeight="true" outlineLevel="0" collapsed="false">
      <c r="A724" s="125"/>
      <c r="B724" s="101"/>
      <c r="C724" s="101"/>
      <c r="D724" s="101"/>
      <c r="E724" s="101"/>
      <c r="F724" s="101"/>
      <c r="G724" s="101"/>
      <c r="H724" s="101"/>
      <c r="I724" s="106"/>
      <c r="J724" s="106"/>
      <c r="K724" s="106"/>
      <c r="L724" s="106"/>
      <c r="M724" s="106"/>
      <c r="N724" s="103" t="str">
        <f aca="false">IF(OR($B724="", $I724="", $J724="", $K724="", $L724="", $M724=""),"",ROUND(($I724*Lists!$AD$2)+($J724*Lists!$AD$3)+($K724*Lists!$AD$4)+($L724*Lists!$AD$5)+($M724*Lists!$AD$6),2))</f>
        <v/>
      </c>
      <c r="O724" s="103" t="str">
        <f aca="false">IF($A724="","",IFERROR(VLOOKUP($A724,'Risk Register'!$B$2:$I$1000,8,FALSE()),""))</f>
        <v/>
      </c>
      <c r="P724" s="106"/>
      <c r="Q724" s="106"/>
      <c r="R724" s="106"/>
      <c r="S724" s="106"/>
      <c r="T724" s="103" t="str">
        <f aca="false">IF(OR($B724="", $P724="", $Q724="", $R724="", $S724=""),"",ROUND(($P724*Lists!$AD$7)+($Q724*Lists!$AD$8)+($R724*Lists!$AD$9)+($S724*Lists!$AD$10),2))</f>
        <v/>
      </c>
      <c r="U724" s="106"/>
      <c r="V724" s="106"/>
      <c r="W724" s="106"/>
      <c r="X724" s="106"/>
      <c r="Y724" s="106"/>
      <c r="Z724" s="103" t="str">
        <f aca="false">IF(OR($B724="", $U724="", $V724="", $W724="", $X724="", $Y724=""),"",ROUND(($U724*Lists!$AD$11)+($V724*Lists!$AD$12)+($W724*Lists!$AD$13)+($X724*Lists!$AD$14)+($Y724*Lists!$AD$15),2))</f>
        <v/>
      </c>
      <c r="AA724" s="103" t="str">
        <f aca="false">IF(OR($B724="", $N724="", $O724="", $T724="", $Z724=""),"",ROUND(($N724*Lists!$AD$16)-($O724*Lists!$AD$17)-($T724*Lists!$AD$18)+($Z724*Lists!$AD$19),2))</f>
        <v/>
      </c>
      <c r="AB724" s="102" t="str">
        <f aca="false">IF(OR($B724="", $N724="", $Z724=""),"",IF($N724&gt;=Lists!$AG$2,IF($Z724&gt;=Lists!$AG$3,"Invest","Migrate"),IF($Z724&gt;=Lists!$AG$3,"Tolerate","Eliminate")))</f>
        <v/>
      </c>
      <c r="AC724" s="102" t="str">
        <f aca="false">IF($B724="","",IF($J724&gt;=4,"Yes",""))</f>
        <v/>
      </c>
      <c r="AD724" s="102" t="str">
        <f aca="false">IF($A724="","",IFERROR(IF(VLOOKUP($A724,'Risk Register'!$B$2:$H$1000,4,FALSE())&gt;=4,"Yes",""),""))</f>
        <v/>
      </c>
      <c r="AE724" s="102" t="str">
        <f aca="false">IF(OR($N724="", $O724=""),"",IF($N724&gt;=Lists!$AG$2,IF($O724&gt;=Lists!$AG$4,"High Value / High Risk","High Value / Low Risk"),IF($O724&gt;=Lists!$AG$4,"Low Value / High Risk","Low Value / Low Risk")))</f>
        <v/>
      </c>
      <c r="AF724" s="101"/>
      <c r="AG724" s="126"/>
      <c r="AH724" s="106" t="str">
        <f aca="false">IF($B724="","",COUNTIFS('Debt Backlog'!$AF$2:$AF$1000,$A724,'Debt Backlog'!$B$2:$B$1000,"&lt;&gt;",'Debt Backlog'!$N$2:$N$1000,"&lt;&gt;Done",'Debt Backlog'!$N$2:$N$1000,"&lt;&gt;Won't Fix",'Debt Backlog'!$N$2:$N$1000,"&lt;&gt;Duplicate"))</f>
        <v/>
      </c>
      <c r="AI724" s="103" t="str">
        <f aca="false">IF($B724="","",ROUND(SUMIFS('Debt Backlog'!$L$2:$L$1000,'Debt Backlog'!$AF$2:$AF$1000,$A724,'Debt Backlog'!$B$2:$B$1000,"&lt;&gt;",'Debt Backlog'!$N$2:$N$1000,"&lt;&gt;Done",'Debt Backlog'!$N$2:$N$1000,"&lt;&gt;Won't Fix",'Debt Backlog'!$N$2:$N$1000,"&lt;&gt;Duplicate"),2))</f>
        <v/>
      </c>
    </row>
    <row r="725" customFormat="false" ht="15.75" hidden="false" customHeight="true" outlineLevel="0" collapsed="false">
      <c r="A725" s="125"/>
      <c r="B725" s="101"/>
      <c r="C725" s="101"/>
      <c r="D725" s="101"/>
      <c r="E725" s="101"/>
      <c r="F725" s="101"/>
      <c r="G725" s="101"/>
      <c r="H725" s="101"/>
      <c r="I725" s="106"/>
      <c r="J725" s="106"/>
      <c r="K725" s="106"/>
      <c r="L725" s="106"/>
      <c r="M725" s="106"/>
      <c r="N725" s="103" t="str">
        <f aca="false">IF(OR($B725="", $I725="", $J725="", $K725="", $L725="", $M725=""),"",ROUND(($I725*Lists!$AD$2)+($J725*Lists!$AD$3)+($K725*Lists!$AD$4)+($L725*Lists!$AD$5)+($M725*Lists!$AD$6),2))</f>
        <v/>
      </c>
      <c r="O725" s="103" t="str">
        <f aca="false">IF($A725="","",IFERROR(VLOOKUP($A725,'Risk Register'!$B$2:$I$1000,8,FALSE()),""))</f>
        <v/>
      </c>
      <c r="P725" s="106"/>
      <c r="Q725" s="106"/>
      <c r="R725" s="106"/>
      <c r="S725" s="106"/>
      <c r="T725" s="103" t="str">
        <f aca="false">IF(OR($B725="", $P725="", $Q725="", $R725="", $S725=""),"",ROUND(($P725*Lists!$AD$7)+($Q725*Lists!$AD$8)+($R725*Lists!$AD$9)+($S725*Lists!$AD$10),2))</f>
        <v/>
      </c>
      <c r="U725" s="106"/>
      <c r="V725" s="106"/>
      <c r="W725" s="106"/>
      <c r="X725" s="106"/>
      <c r="Y725" s="106"/>
      <c r="Z725" s="103" t="str">
        <f aca="false">IF(OR($B725="", $U725="", $V725="", $W725="", $X725="", $Y725=""),"",ROUND(($U725*Lists!$AD$11)+($V725*Lists!$AD$12)+($W725*Lists!$AD$13)+($X725*Lists!$AD$14)+($Y725*Lists!$AD$15),2))</f>
        <v/>
      </c>
      <c r="AA725" s="103" t="str">
        <f aca="false">IF(OR($B725="", $N725="", $O725="", $T725="", $Z725=""),"",ROUND(($N725*Lists!$AD$16)-($O725*Lists!$AD$17)-($T725*Lists!$AD$18)+($Z725*Lists!$AD$19),2))</f>
        <v/>
      </c>
      <c r="AB725" s="102" t="str">
        <f aca="false">IF(OR($B725="", $N725="", $Z725=""),"",IF($N725&gt;=Lists!$AG$2,IF($Z725&gt;=Lists!$AG$3,"Invest","Migrate"),IF($Z725&gt;=Lists!$AG$3,"Tolerate","Eliminate")))</f>
        <v/>
      </c>
      <c r="AC725" s="102" t="str">
        <f aca="false">IF($B725="","",IF($J725&gt;=4,"Yes",""))</f>
        <v/>
      </c>
      <c r="AD725" s="102" t="str">
        <f aca="false">IF($A725="","",IFERROR(IF(VLOOKUP($A725,'Risk Register'!$B$2:$H$1000,4,FALSE())&gt;=4,"Yes",""),""))</f>
        <v/>
      </c>
      <c r="AE725" s="102" t="str">
        <f aca="false">IF(OR($N725="", $O725=""),"",IF($N725&gt;=Lists!$AG$2,IF($O725&gt;=Lists!$AG$4,"High Value / High Risk","High Value / Low Risk"),IF($O725&gt;=Lists!$AG$4,"Low Value / High Risk","Low Value / Low Risk")))</f>
        <v/>
      </c>
      <c r="AF725" s="101"/>
      <c r="AG725" s="126"/>
      <c r="AH725" s="106" t="str">
        <f aca="false">IF($B725="","",COUNTIFS('Debt Backlog'!$AF$2:$AF$1000,$A725,'Debt Backlog'!$B$2:$B$1000,"&lt;&gt;",'Debt Backlog'!$N$2:$N$1000,"&lt;&gt;Done",'Debt Backlog'!$N$2:$N$1000,"&lt;&gt;Won't Fix",'Debt Backlog'!$N$2:$N$1000,"&lt;&gt;Duplicate"))</f>
        <v/>
      </c>
      <c r="AI725" s="103" t="str">
        <f aca="false">IF($B725="","",ROUND(SUMIFS('Debt Backlog'!$L$2:$L$1000,'Debt Backlog'!$AF$2:$AF$1000,$A725,'Debt Backlog'!$B$2:$B$1000,"&lt;&gt;",'Debt Backlog'!$N$2:$N$1000,"&lt;&gt;Done",'Debt Backlog'!$N$2:$N$1000,"&lt;&gt;Won't Fix",'Debt Backlog'!$N$2:$N$1000,"&lt;&gt;Duplicate"),2))</f>
        <v/>
      </c>
    </row>
    <row r="726" customFormat="false" ht="15.75" hidden="false" customHeight="true" outlineLevel="0" collapsed="false">
      <c r="A726" s="125"/>
      <c r="B726" s="101"/>
      <c r="C726" s="101"/>
      <c r="D726" s="101"/>
      <c r="E726" s="101"/>
      <c r="F726" s="101"/>
      <c r="G726" s="101"/>
      <c r="H726" s="101"/>
      <c r="I726" s="106"/>
      <c r="J726" s="106"/>
      <c r="K726" s="106"/>
      <c r="L726" s="106"/>
      <c r="M726" s="106"/>
      <c r="N726" s="103" t="str">
        <f aca="false">IF(OR($B726="", $I726="", $J726="", $K726="", $L726="", $M726=""),"",ROUND(($I726*Lists!$AD$2)+($J726*Lists!$AD$3)+($K726*Lists!$AD$4)+($L726*Lists!$AD$5)+($M726*Lists!$AD$6),2))</f>
        <v/>
      </c>
      <c r="O726" s="103" t="str">
        <f aca="false">IF($A726="","",IFERROR(VLOOKUP($A726,'Risk Register'!$B$2:$I$1000,8,FALSE()),""))</f>
        <v/>
      </c>
      <c r="P726" s="106"/>
      <c r="Q726" s="106"/>
      <c r="R726" s="106"/>
      <c r="S726" s="106"/>
      <c r="T726" s="103" t="str">
        <f aca="false">IF(OR($B726="", $P726="", $Q726="", $R726="", $S726=""),"",ROUND(($P726*Lists!$AD$7)+($Q726*Lists!$AD$8)+($R726*Lists!$AD$9)+($S726*Lists!$AD$10),2))</f>
        <v/>
      </c>
      <c r="U726" s="106"/>
      <c r="V726" s="106"/>
      <c r="W726" s="106"/>
      <c r="X726" s="106"/>
      <c r="Y726" s="106"/>
      <c r="Z726" s="103" t="str">
        <f aca="false">IF(OR($B726="", $U726="", $V726="", $W726="", $X726="", $Y726=""),"",ROUND(($U726*Lists!$AD$11)+($V726*Lists!$AD$12)+($W726*Lists!$AD$13)+($X726*Lists!$AD$14)+($Y726*Lists!$AD$15),2))</f>
        <v/>
      </c>
      <c r="AA726" s="103" t="str">
        <f aca="false">IF(OR($B726="", $N726="", $O726="", $T726="", $Z726=""),"",ROUND(($N726*Lists!$AD$16)-($O726*Lists!$AD$17)-($T726*Lists!$AD$18)+($Z726*Lists!$AD$19),2))</f>
        <v/>
      </c>
      <c r="AB726" s="102" t="str">
        <f aca="false">IF(OR($B726="", $N726="", $Z726=""),"",IF($N726&gt;=Lists!$AG$2,IF($Z726&gt;=Lists!$AG$3,"Invest","Migrate"),IF($Z726&gt;=Lists!$AG$3,"Tolerate","Eliminate")))</f>
        <v/>
      </c>
      <c r="AC726" s="102" t="str">
        <f aca="false">IF($B726="","",IF($J726&gt;=4,"Yes",""))</f>
        <v/>
      </c>
      <c r="AD726" s="102" t="str">
        <f aca="false">IF($A726="","",IFERROR(IF(VLOOKUP($A726,'Risk Register'!$B$2:$H$1000,4,FALSE())&gt;=4,"Yes",""),""))</f>
        <v/>
      </c>
      <c r="AE726" s="102" t="str">
        <f aca="false">IF(OR($N726="", $O726=""),"",IF($N726&gt;=Lists!$AG$2,IF($O726&gt;=Lists!$AG$4,"High Value / High Risk","High Value / Low Risk"),IF($O726&gt;=Lists!$AG$4,"Low Value / High Risk","Low Value / Low Risk")))</f>
        <v/>
      </c>
      <c r="AF726" s="101"/>
      <c r="AG726" s="126"/>
      <c r="AH726" s="106" t="str">
        <f aca="false">IF($B726="","",COUNTIFS('Debt Backlog'!$AF$2:$AF$1000,$A726,'Debt Backlog'!$B$2:$B$1000,"&lt;&gt;",'Debt Backlog'!$N$2:$N$1000,"&lt;&gt;Done",'Debt Backlog'!$N$2:$N$1000,"&lt;&gt;Won't Fix",'Debt Backlog'!$N$2:$N$1000,"&lt;&gt;Duplicate"))</f>
        <v/>
      </c>
      <c r="AI726" s="103" t="str">
        <f aca="false">IF($B726="","",ROUND(SUMIFS('Debt Backlog'!$L$2:$L$1000,'Debt Backlog'!$AF$2:$AF$1000,$A726,'Debt Backlog'!$B$2:$B$1000,"&lt;&gt;",'Debt Backlog'!$N$2:$N$1000,"&lt;&gt;Done",'Debt Backlog'!$N$2:$N$1000,"&lt;&gt;Won't Fix",'Debt Backlog'!$N$2:$N$1000,"&lt;&gt;Duplicate"),2))</f>
        <v/>
      </c>
    </row>
    <row r="727" customFormat="false" ht="15.75" hidden="false" customHeight="true" outlineLevel="0" collapsed="false">
      <c r="A727" s="125"/>
      <c r="B727" s="101"/>
      <c r="C727" s="101"/>
      <c r="D727" s="101"/>
      <c r="E727" s="101"/>
      <c r="F727" s="101"/>
      <c r="G727" s="101"/>
      <c r="H727" s="101"/>
      <c r="I727" s="106"/>
      <c r="J727" s="106"/>
      <c r="K727" s="106"/>
      <c r="L727" s="106"/>
      <c r="M727" s="106"/>
      <c r="N727" s="103" t="str">
        <f aca="false">IF(OR($B727="", $I727="", $J727="", $K727="", $L727="", $M727=""),"",ROUND(($I727*Lists!$AD$2)+($J727*Lists!$AD$3)+($K727*Lists!$AD$4)+($L727*Lists!$AD$5)+($M727*Lists!$AD$6),2))</f>
        <v/>
      </c>
      <c r="O727" s="103" t="str">
        <f aca="false">IF($A727="","",IFERROR(VLOOKUP($A727,'Risk Register'!$B$2:$I$1000,8,FALSE()),""))</f>
        <v/>
      </c>
      <c r="P727" s="106"/>
      <c r="Q727" s="106"/>
      <c r="R727" s="106"/>
      <c r="S727" s="106"/>
      <c r="T727" s="103" t="str">
        <f aca="false">IF(OR($B727="", $P727="", $Q727="", $R727="", $S727=""),"",ROUND(($P727*Lists!$AD$7)+($Q727*Lists!$AD$8)+($R727*Lists!$AD$9)+($S727*Lists!$AD$10),2))</f>
        <v/>
      </c>
      <c r="U727" s="106"/>
      <c r="V727" s="106"/>
      <c r="W727" s="106"/>
      <c r="X727" s="106"/>
      <c r="Y727" s="106"/>
      <c r="Z727" s="103" t="str">
        <f aca="false">IF(OR($B727="", $U727="", $V727="", $W727="", $X727="", $Y727=""),"",ROUND(($U727*Lists!$AD$11)+($V727*Lists!$AD$12)+($W727*Lists!$AD$13)+($X727*Lists!$AD$14)+($Y727*Lists!$AD$15),2))</f>
        <v/>
      </c>
      <c r="AA727" s="103" t="str">
        <f aca="false">IF(OR($B727="", $N727="", $O727="", $T727="", $Z727=""),"",ROUND(($N727*Lists!$AD$16)-($O727*Lists!$AD$17)-($T727*Lists!$AD$18)+($Z727*Lists!$AD$19),2))</f>
        <v/>
      </c>
      <c r="AB727" s="102" t="str">
        <f aca="false">IF(OR($B727="", $N727="", $Z727=""),"",IF($N727&gt;=Lists!$AG$2,IF($Z727&gt;=Lists!$AG$3,"Invest","Migrate"),IF($Z727&gt;=Lists!$AG$3,"Tolerate","Eliminate")))</f>
        <v/>
      </c>
      <c r="AC727" s="102" t="str">
        <f aca="false">IF($B727="","",IF($J727&gt;=4,"Yes",""))</f>
        <v/>
      </c>
      <c r="AD727" s="102" t="str">
        <f aca="false">IF($A727="","",IFERROR(IF(VLOOKUP($A727,'Risk Register'!$B$2:$H$1000,4,FALSE())&gt;=4,"Yes",""),""))</f>
        <v/>
      </c>
      <c r="AE727" s="102" t="str">
        <f aca="false">IF(OR($N727="", $O727=""),"",IF($N727&gt;=Lists!$AG$2,IF($O727&gt;=Lists!$AG$4,"High Value / High Risk","High Value / Low Risk"),IF($O727&gt;=Lists!$AG$4,"Low Value / High Risk","Low Value / Low Risk")))</f>
        <v/>
      </c>
      <c r="AF727" s="101"/>
      <c r="AG727" s="126"/>
      <c r="AH727" s="106" t="str">
        <f aca="false">IF($B727="","",COUNTIFS('Debt Backlog'!$AF$2:$AF$1000,$A727,'Debt Backlog'!$B$2:$B$1000,"&lt;&gt;",'Debt Backlog'!$N$2:$N$1000,"&lt;&gt;Done",'Debt Backlog'!$N$2:$N$1000,"&lt;&gt;Won't Fix",'Debt Backlog'!$N$2:$N$1000,"&lt;&gt;Duplicate"))</f>
        <v/>
      </c>
      <c r="AI727" s="103" t="str">
        <f aca="false">IF($B727="","",ROUND(SUMIFS('Debt Backlog'!$L$2:$L$1000,'Debt Backlog'!$AF$2:$AF$1000,$A727,'Debt Backlog'!$B$2:$B$1000,"&lt;&gt;",'Debt Backlog'!$N$2:$N$1000,"&lt;&gt;Done",'Debt Backlog'!$N$2:$N$1000,"&lt;&gt;Won't Fix",'Debt Backlog'!$N$2:$N$1000,"&lt;&gt;Duplicate"),2))</f>
        <v/>
      </c>
    </row>
    <row r="728" customFormat="false" ht="15.75" hidden="false" customHeight="true" outlineLevel="0" collapsed="false">
      <c r="A728" s="125"/>
      <c r="B728" s="101"/>
      <c r="C728" s="101"/>
      <c r="D728" s="101"/>
      <c r="E728" s="101"/>
      <c r="F728" s="101"/>
      <c r="G728" s="101"/>
      <c r="H728" s="101"/>
      <c r="I728" s="106"/>
      <c r="J728" s="106"/>
      <c r="K728" s="106"/>
      <c r="L728" s="106"/>
      <c r="M728" s="106"/>
      <c r="N728" s="103" t="str">
        <f aca="false">IF(OR($B728="", $I728="", $J728="", $K728="", $L728="", $M728=""),"",ROUND(($I728*Lists!$AD$2)+($J728*Lists!$AD$3)+($K728*Lists!$AD$4)+($L728*Lists!$AD$5)+($M728*Lists!$AD$6),2))</f>
        <v/>
      </c>
      <c r="O728" s="103" t="str">
        <f aca="false">IF($A728="","",IFERROR(VLOOKUP($A728,'Risk Register'!$B$2:$I$1000,8,FALSE()),""))</f>
        <v/>
      </c>
      <c r="P728" s="106"/>
      <c r="Q728" s="106"/>
      <c r="R728" s="106"/>
      <c r="S728" s="106"/>
      <c r="T728" s="103" t="str">
        <f aca="false">IF(OR($B728="", $P728="", $Q728="", $R728="", $S728=""),"",ROUND(($P728*Lists!$AD$7)+($Q728*Lists!$AD$8)+($R728*Lists!$AD$9)+($S728*Lists!$AD$10),2))</f>
        <v/>
      </c>
      <c r="U728" s="106"/>
      <c r="V728" s="106"/>
      <c r="W728" s="106"/>
      <c r="X728" s="106"/>
      <c r="Y728" s="106"/>
      <c r="Z728" s="103" t="str">
        <f aca="false">IF(OR($B728="", $U728="", $V728="", $W728="", $X728="", $Y728=""),"",ROUND(($U728*Lists!$AD$11)+($V728*Lists!$AD$12)+($W728*Lists!$AD$13)+($X728*Lists!$AD$14)+($Y728*Lists!$AD$15),2))</f>
        <v/>
      </c>
      <c r="AA728" s="103" t="str">
        <f aca="false">IF(OR($B728="", $N728="", $O728="", $T728="", $Z728=""),"",ROUND(($N728*Lists!$AD$16)-($O728*Lists!$AD$17)-($T728*Lists!$AD$18)+($Z728*Lists!$AD$19),2))</f>
        <v/>
      </c>
      <c r="AB728" s="102" t="str">
        <f aca="false">IF(OR($B728="", $N728="", $Z728=""),"",IF($N728&gt;=Lists!$AG$2,IF($Z728&gt;=Lists!$AG$3,"Invest","Migrate"),IF($Z728&gt;=Lists!$AG$3,"Tolerate","Eliminate")))</f>
        <v/>
      </c>
      <c r="AC728" s="102" t="str">
        <f aca="false">IF($B728="","",IF($J728&gt;=4,"Yes",""))</f>
        <v/>
      </c>
      <c r="AD728" s="102" t="str">
        <f aca="false">IF($A728="","",IFERROR(IF(VLOOKUP($A728,'Risk Register'!$B$2:$H$1000,4,FALSE())&gt;=4,"Yes",""),""))</f>
        <v/>
      </c>
      <c r="AE728" s="102" t="str">
        <f aca="false">IF(OR($N728="", $O728=""),"",IF($N728&gt;=Lists!$AG$2,IF($O728&gt;=Lists!$AG$4,"High Value / High Risk","High Value / Low Risk"),IF($O728&gt;=Lists!$AG$4,"Low Value / High Risk","Low Value / Low Risk")))</f>
        <v/>
      </c>
      <c r="AF728" s="101"/>
      <c r="AG728" s="126"/>
      <c r="AH728" s="106" t="str">
        <f aca="false">IF($B728="","",COUNTIFS('Debt Backlog'!$AF$2:$AF$1000,$A728,'Debt Backlog'!$B$2:$B$1000,"&lt;&gt;",'Debt Backlog'!$N$2:$N$1000,"&lt;&gt;Done",'Debt Backlog'!$N$2:$N$1000,"&lt;&gt;Won't Fix",'Debt Backlog'!$N$2:$N$1000,"&lt;&gt;Duplicate"))</f>
        <v/>
      </c>
      <c r="AI728" s="103" t="str">
        <f aca="false">IF($B728="","",ROUND(SUMIFS('Debt Backlog'!$L$2:$L$1000,'Debt Backlog'!$AF$2:$AF$1000,$A728,'Debt Backlog'!$B$2:$B$1000,"&lt;&gt;",'Debt Backlog'!$N$2:$N$1000,"&lt;&gt;Done",'Debt Backlog'!$N$2:$N$1000,"&lt;&gt;Won't Fix",'Debt Backlog'!$N$2:$N$1000,"&lt;&gt;Duplicate"),2))</f>
        <v/>
      </c>
    </row>
    <row r="729" customFormat="false" ht="15.75" hidden="false" customHeight="true" outlineLevel="0" collapsed="false">
      <c r="A729" s="125"/>
      <c r="B729" s="101"/>
      <c r="C729" s="101"/>
      <c r="D729" s="101"/>
      <c r="E729" s="101"/>
      <c r="F729" s="101"/>
      <c r="G729" s="101"/>
      <c r="H729" s="101"/>
      <c r="I729" s="106"/>
      <c r="J729" s="106"/>
      <c r="K729" s="106"/>
      <c r="L729" s="106"/>
      <c r="M729" s="106"/>
      <c r="N729" s="103" t="str">
        <f aca="false">IF(OR($B729="", $I729="", $J729="", $K729="", $L729="", $M729=""),"",ROUND(($I729*Lists!$AD$2)+($J729*Lists!$AD$3)+($K729*Lists!$AD$4)+($L729*Lists!$AD$5)+($M729*Lists!$AD$6),2))</f>
        <v/>
      </c>
      <c r="O729" s="103" t="str">
        <f aca="false">IF($A729="","",IFERROR(VLOOKUP($A729,'Risk Register'!$B$2:$I$1000,8,FALSE()),""))</f>
        <v/>
      </c>
      <c r="P729" s="106"/>
      <c r="Q729" s="106"/>
      <c r="R729" s="106"/>
      <c r="S729" s="106"/>
      <c r="T729" s="103" t="str">
        <f aca="false">IF(OR($B729="", $P729="", $Q729="", $R729="", $S729=""),"",ROUND(($P729*Lists!$AD$7)+($Q729*Lists!$AD$8)+($R729*Lists!$AD$9)+($S729*Lists!$AD$10),2))</f>
        <v/>
      </c>
      <c r="U729" s="106"/>
      <c r="V729" s="106"/>
      <c r="W729" s="106"/>
      <c r="X729" s="106"/>
      <c r="Y729" s="106"/>
      <c r="Z729" s="103" t="str">
        <f aca="false">IF(OR($B729="", $U729="", $V729="", $W729="", $X729="", $Y729=""),"",ROUND(($U729*Lists!$AD$11)+($V729*Lists!$AD$12)+($W729*Lists!$AD$13)+($X729*Lists!$AD$14)+($Y729*Lists!$AD$15),2))</f>
        <v/>
      </c>
      <c r="AA729" s="103" t="str">
        <f aca="false">IF(OR($B729="", $N729="", $O729="", $T729="", $Z729=""),"",ROUND(($N729*Lists!$AD$16)-($O729*Lists!$AD$17)-($T729*Lists!$AD$18)+($Z729*Lists!$AD$19),2))</f>
        <v/>
      </c>
      <c r="AB729" s="102" t="str">
        <f aca="false">IF(OR($B729="", $N729="", $Z729=""),"",IF($N729&gt;=Lists!$AG$2,IF($Z729&gt;=Lists!$AG$3,"Invest","Migrate"),IF($Z729&gt;=Lists!$AG$3,"Tolerate","Eliminate")))</f>
        <v/>
      </c>
      <c r="AC729" s="102" t="str">
        <f aca="false">IF($B729="","",IF($J729&gt;=4,"Yes",""))</f>
        <v/>
      </c>
      <c r="AD729" s="102" t="str">
        <f aca="false">IF($A729="","",IFERROR(IF(VLOOKUP($A729,'Risk Register'!$B$2:$H$1000,4,FALSE())&gt;=4,"Yes",""),""))</f>
        <v/>
      </c>
      <c r="AE729" s="102" t="str">
        <f aca="false">IF(OR($N729="", $O729=""),"",IF($N729&gt;=Lists!$AG$2,IF($O729&gt;=Lists!$AG$4,"High Value / High Risk","High Value / Low Risk"),IF($O729&gt;=Lists!$AG$4,"Low Value / High Risk","Low Value / Low Risk")))</f>
        <v/>
      </c>
      <c r="AF729" s="101"/>
      <c r="AG729" s="126"/>
      <c r="AH729" s="106" t="str">
        <f aca="false">IF($B729="","",COUNTIFS('Debt Backlog'!$AF$2:$AF$1000,$A729,'Debt Backlog'!$B$2:$B$1000,"&lt;&gt;",'Debt Backlog'!$N$2:$N$1000,"&lt;&gt;Done",'Debt Backlog'!$N$2:$N$1000,"&lt;&gt;Won't Fix",'Debt Backlog'!$N$2:$N$1000,"&lt;&gt;Duplicate"))</f>
        <v/>
      </c>
      <c r="AI729" s="103" t="str">
        <f aca="false">IF($B729="","",ROUND(SUMIFS('Debt Backlog'!$L$2:$L$1000,'Debt Backlog'!$AF$2:$AF$1000,$A729,'Debt Backlog'!$B$2:$B$1000,"&lt;&gt;",'Debt Backlog'!$N$2:$N$1000,"&lt;&gt;Done",'Debt Backlog'!$N$2:$N$1000,"&lt;&gt;Won't Fix",'Debt Backlog'!$N$2:$N$1000,"&lt;&gt;Duplicate"),2))</f>
        <v/>
      </c>
    </row>
    <row r="730" customFormat="false" ht="15.75" hidden="false" customHeight="true" outlineLevel="0" collapsed="false">
      <c r="A730" s="125"/>
      <c r="B730" s="101"/>
      <c r="C730" s="101"/>
      <c r="D730" s="101"/>
      <c r="E730" s="101"/>
      <c r="F730" s="101"/>
      <c r="G730" s="101"/>
      <c r="H730" s="101"/>
      <c r="I730" s="106"/>
      <c r="J730" s="106"/>
      <c r="K730" s="106"/>
      <c r="L730" s="106"/>
      <c r="M730" s="106"/>
      <c r="N730" s="103" t="str">
        <f aca="false">IF(OR($B730="", $I730="", $J730="", $K730="", $L730="", $M730=""),"",ROUND(($I730*Lists!$AD$2)+($J730*Lists!$AD$3)+($K730*Lists!$AD$4)+($L730*Lists!$AD$5)+($M730*Lists!$AD$6),2))</f>
        <v/>
      </c>
      <c r="O730" s="103" t="str">
        <f aca="false">IF($A730="","",IFERROR(VLOOKUP($A730,'Risk Register'!$B$2:$I$1000,8,FALSE()),""))</f>
        <v/>
      </c>
      <c r="P730" s="106"/>
      <c r="Q730" s="106"/>
      <c r="R730" s="106"/>
      <c r="S730" s="106"/>
      <c r="T730" s="103" t="str">
        <f aca="false">IF(OR($B730="", $P730="", $Q730="", $R730="", $S730=""),"",ROUND(($P730*Lists!$AD$7)+($Q730*Lists!$AD$8)+($R730*Lists!$AD$9)+($S730*Lists!$AD$10),2))</f>
        <v/>
      </c>
      <c r="U730" s="106"/>
      <c r="V730" s="106"/>
      <c r="W730" s="106"/>
      <c r="X730" s="106"/>
      <c r="Y730" s="106"/>
      <c r="Z730" s="103" t="str">
        <f aca="false">IF(OR($B730="", $U730="", $V730="", $W730="", $X730="", $Y730=""),"",ROUND(($U730*Lists!$AD$11)+($V730*Lists!$AD$12)+($W730*Lists!$AD$13)+($X730*Lists!$AD$14)+($Y730*Lists!$AD$15),2))</f>
        <v/>
      </c>
      <c r="AA730" s="103" t="str">
        <f aca="false">IF(OR($B730="", $N730="", $O730="", $T730="", $Z730=""),"",ROUND(($N730*Lists!$AD$16)-($O730*Lists!$AD$17)-($T730*Lists!$AD$18)+($Z730*Lists!$AD$19),2))</f>
        <v/>
      </c>
      <c r="AB730" s="102" t="str">
        <f aca="false">IF(OR($B730="", $N730="", $Z730=""),"",IF($N730&gt;=Lists!$AG$2,IF($Z730&gt;=Lists!$AG$3,"Invest","Migrate"),IF($Z730&gt;=Lists!$AG$3,"Tolerate","Eliminate")))</f>
        <v/>
      </c>
      <c r="AC730" s="102" t="str">
        <f aca="false">IF($B730="","",IF($J730&gt;=4,"Yes",""))</f>
        <v/>
      </c>
      <c r="AD730" s="102" t="str">
        <f aca="false">IF($A730="","",IFERROR(IF(VLOOKUP($A730,'Risk Register'!$B$2:$H$1000,4,FALSE())&gt;=4,"Yes",""),""))</f>
        <v/>
      </c>
      <c r="AE730" s="102" t="str">
        <f aca="false">IF(OR($N730="", $O730=""),"",IF($N730&gt;=Lists!$AG$2,IF($O730&gt;=Lists!$AG$4,"High Value / High Risk","High Value / Low Risk"),IF($O730&gt;=Lists!$AG$4,"Low Value / High Risk","Low Value / Low Risk")))</f>
        <v/>
      </c>
      <c r="AF730" s="101"/>
      <c r="AG730" s="126"/>
      <c r="AH730" s="106" t="str">
        <f aca="false">IF($B730="","",COUNTIFS('Debt Backlog'!$AF$2:$AF$1000,$A730,'Debt Backlog'!$B$2:$B$1000,"&lt;&gt;",'Debt Backlog'!$N$2:$N$1000,"&lt;&gt;Done",'Debt Backlog'!$N$2:$N$1000,"&lt;&gt;Won't Fix",'Debt Backlog'!$N$2:$N$1000,"&lt;&gt;Duplicate"))</f>
        <v/>
      </c>
      <c r="AI730" s="103" t="str">
        <f aca="false">IF($B730="","",ROUND(SUMIFS('Debt Backlog'!$L$2:$L$1000,'Debt Backlog'!$AF$2:$AF$1000,$A730,'Debt Backlog'!$B$2:$B$1000,"&lt;&gt;",'Debt Backlog'!$N$2:$N$1000,"&lt;&gt;Done",'Debt Backlog'!$N$2:$N$1000,"&lt;&gt;Won't Fix",'Debt Backlog'!$N$2:$N$1000,"&lt;&gt;Duplicate"),2))</f>
        <v/>
      </c>
    </row>
    <row r="731" customFormat="false" ht="15.75" hidden="false" customHeight="true" outlineLevel="0" collapsed="false">
      <c r="A731" s="125"/>
      <c r="B731" s="101"/>
      <c r="C731" s="101"/>
      <c r="D731" s="101"/>
      <c r="E731" s="101"/>
      <c r="F731" s="101"/>
      <c r="G731" s="101"/>
      <c r="H731" s="101"/>
      <c r="I731" s="106"/>
      <c r="J731" s="106"/>
      <c r="K731" s="106"/>
      <c r="L731" s="106"/>
      <c r="M731" s="106"/>
      <c r="N731" s="103" t="str">
        <f aca="false">IF(OR($B731="", $I731="", $J731="", $K731="", $L731="", $M731=""),"",ROUND(($I731*Lists!$AD$2)+($J731*Lists!$AD$3)+($K731*Lists!$AD$4)+($L731*Lists!$AD$5)+($M731*Lists!$AD$6),2))</f>
        <v/>
      </c>
      <c r="O731" s="103" t="str">
        <f aca="false">IF($A731="","",IFERROR(VLOOKUP($A731,'Risk Register'!$B$2:$I$1000,8,FALSE()),""))</f>
        <v/>
      </c>
      <c r="P731" s="106"/>
      <c r="Q731" s="106"/>
      <c r="R731" s="106"/>
      <c r="S731" s="106"/>
      <c r="T731" s="103" t="str">
        <f aca="false">IF(OR($B731="", $P731="", $Q731="", $R731="", $S731=""),"",ROUND(($P731*Lists!$AD$7)+($Q731*Lists!$AD$8)+($R731*Lists!$AD$9)+($S731*Lists!$AD$10),2))</f>
        <v/>
      </c>
      <c r="U731" s="106"/>
      <c r="V731" s="106"/>
      <c r="W731" s="106"/>
      <c r="X731" s="106"/>
      <c r="Y731" s="106"/>
      <c r="Z731" s="103" t="str">
        <f aca="false">IF(OR($B731="", $U731="", $V731="", $W731="", $X731="", $Y731=""),"",ROUND(($U731*Lists!$AD$11)+($V731*Lists!$AD$12)+($W731*Lists!$AD$13)+($X731*Lists!$AD$14)+($Y731*Lists!$AD$15),2))</f>
        <v/>
      </c>
      <c r="AA731" s="103" t="str">
        <f aca="false">IF(OR($B731="", $N731="", $O731="", $T731="", $Z731=""),"",ROUND(($N731*Lists!$AD$16)-($O731*Lists!$AD$17)-($T731*Lists!$AD$18)+($Z731*Lists!$AD$19),2))</f>
        <v/>
      </c>
      <c r="AB731" s="102" t="str">
        <f aca="false">IF(OR($B731="", $N731="", $Z731=""),"",IF($N731&gt;=Lists!$AG$2,IF($Z731&gt;=Lists!$AG$3,"Invest","Migrate"),IF($Z731&gt;=Lists!$AG$3,"Tolerate","Eliminate")))</f>
        <v/>
      </c>
      <c r="AC731" s="102" t="str">
        <f aca="false">IF($B731="","",IF($J731&gt;=4,"Yes",""))</f>
        <v/>
      </c>
      <c r="AD731" s="102" t="str">
        <f aca="false">IF($A731="","",IFERROR(IF(VLOOKUP($A731,'Risk Register'!$B$2:$H$1000,4,FALSE())&gt;=4,"Yes",""),""))</f>
        <v/>
      </c>
      <c r="AE731" s="102" t="str">
        <f aca="false">IF(OR($N731="", $O731=""),"",IF($N731&gt;=Lists!$AG$2,IF($O731&gt;=Lists!$AG$4,"High Value / High Risk","High Value / Low Risk"),IF($O731&gt;=Lists!$AG$4,"Low Value / High Risk","Low Value / Low Risk")))</f>
        <v/>
      </c>
      <c r="AF731" s="101"/>
      <c r="AG731" s="126"/>
      <c r="AH731" s="106" t="str">
        <f aca="false">IF($B731="","",COUNTIFS('Debt Backlog'!$AF$2:$AF$1000,$A731,'Debt Backlog'!$B$2:$B$1000,"&lt;&gt;",'Debt Backlog'!$N$2:$N$1000,"&lt;&gt;Done",'Debt Backlog'!$N$2:$N$1000,"&lt;&gt;Won't Fix",'Debt Backlog'!$N$2:$N$1000,"&lt;&gt;Duplicate"))</f>
        <v/>
      </c>
      <c r="AI731" s="103" t="str">
        <f aca="false">IF($B731="","",ROUND(SUMIFS('Debt Backlog'!$L$2:$L$1000,'Debt Backlog'!$AF$2:$AF$1000,$A731,'Debt Backlog'!$B$2:$B$1000,"&lt;&gt;",'Debt Backlog'!$N$2:$N$1000,"&lt;&gt;Done",'Debt Backlog'!$N$2:$N$1000,"&lt;&gt;Won't Fix",'Debt Backlog'!$N$2:$N$1000,"&lt;&gt;Duplicate"),2))</f>
        <v/>
      </c>
    </row>
    <row r="732" customFormat="false" ht="15.75" hidden="false" customHeight="true" outlineLevel="0" collapsed="false">
      <c r="A732" s="125"/>
      <c r="B732" s="101"/>
      <c r="C732" s="101"/>
      <c r="D732" s="101"/>
      <c r="E732" s="101"/>
      <c r="F732" s="101"/>
      <c r="G732" s="101"/>
      <c r="H732" s="101"/>
      <c r="I732" s="106"/>
      <c r="J732" s="106"/>
      <c r="K732" s="106"/>
      <c r="L732" s="106"/>
      <c r="M732" s="106"/>
      <c r="N732" s="103" t="str">
        <f aca="false">IF(OR($B732="", $I732="", $J732="", $K732="", $L732="", $M732=""),"",ROUND(($I732*Lists!$AD$2)+($J732*Lists!$AD$3)+($K732*Lists!$AD$4)+($L732*Lists!$AD$5)+($M732*Lists!$AD$6),2))</f>
        <v/>
      </c>
      <c r="O732" s="103" t="str">
        <f aca="false">IF($A732="","",IFERROR(VLOOKUP($A732,'Risk Register'!$B$2:$I$1000,8,FALSE()),""))</f>
        <v/>
      </c>
      <c r="P732" s="106"/>
      <c r="Q732" s="106"/>
      <c r="R732" s="106"/>
      <c r="S732" s="106"/>
      <c r="T732" s="103" t="str">
        <f aca="false">IF(OR($B732="", $P732="", $Q732="", $R732="", $S732=""),"",ROUND(($P732*Lists!$AD$7)+($Q732*Lists!$AD$8)+($R732*Lists!$AD$9)+($S732*Lists!$AD$10),2))</f>
        <v/>
      </c>
      <c r="U732" s="106"/>
      <c r="V732" s="106"/>
      <c r="W732" s="106"/>
      <c r="X732" s="106"/>
      <c r="Y732" s="106"/>
      <c r="Z732" s="103" t="str">
        <f aca="false">IF(OR($B732="", $U732="", $V732="", $W732="", $X732="", $Y732=""),"",ROUND(($U732*Lists!$AD$11)+($V732*Lists!$AD$12)+($W732*Lists!$AD$13)+($X732*Lists!$AD$14)+($Y732*Lists!$AD$15),2))</f>
        <v/>
      </c>
      <c r="AA732" s="103" t="str">
        <f aca="false">IF(OR($B732="", $N732="", $O732="", $T732="", $Z732=""),"",ROUND(($N732*Lists!$AD$16)-($O732*Lists!$AD$17)-($T732*Lists!$AD$18)+($Z732*Lists!$AD$19),2))</f>
        <v/>
      </c>
      <c r="AB732" s="102" t="str">
        <f aca="false">IF(OR($B732="", $N732="", $Z732=""),"",IF($N732&gt;=Lists!$AG$2,IF($Z732&gt;=Lists!$AG$3,"Invest","Migrate"),IF($Z732&gt;=Lists!$AG$3,"Tolerate","Eliminate")))</f>
        <v/>
      </c>
      <c r="AC732" s="102" t="str">
        <f aca="false">IF($B732="","",IF($J732&gt;=4,"Yes",""))</f>
        <v/>
      </c>
      <c r="AD732" s="102" t="str">
        <f aca="false">IF($A732="","",IFERROR(IF(VLOOKUP($A732,'Risk Register'!$B$2:$H$1000,4,FALSE())&gt;=4,"Yes",""),""))</f>
        <v/>
      </c>
      <c r="AE732" s="102" t="str">
        <f aca="false">IF(OR($N732="", $O732=""),"",IF($N732&gt;=Lists!$AG$2,IF($O732&gt;=Lists!$AG$4,"High Value / High Risk","High Value / Low Risk"),IF($O732&gt;=Lists!$AG$4,"Low Value / High Risk","Low Value / Low Risk")))</f>
        <v/>
      </c>
      <c r="AF732" s="101"/>
      <c r="AG732" s="126"/>
      <c r="AH732" s="106" t="str">
        <f aca="false">IF($B732="","",COUNTIFS('Debt Backlog'!$AF$2:$AF$1000,$A732,'Debt Backlog'!$B$2:$B$1000,"&lt;&gt;",'Debt Backlog'!$N$2:$N$1000,"&lt;&gt;Done",'Debt Backlog'!$N$2:$N$1000,"&lt;&gt;Won't Fix",'Debt Backlog'!$N$2:$N$1000,"&lt;&gt;Duplicate"))</f>
        <v/>
      </c>
      <c r="AI732" s="103" t="str">
        <f aca="false">IF($B732="","",ROUND(SUMIFS('Debt Backlog'!$L$2:$L$1000,'Debt Backlog'!$AF$2:$AF$1000,$A732,'Debt Backlog'!$B$2:$B$1000,"&lt;&gt;",'Debt Backlog'!$N$2:$N$1000,"&lt;&gt;Done",'Debt Backlog'!$N$2:$N$1000,"&lt;&gt;Won't Fix",'Debt Backlog'!$N$2:$N$1000,"&lt;&gt;Duplicate"),2))</f>
        <v/>
      </c>
    </row>
    <row r="733" customFormat="false" ht="15.75" hidden="false" customHeight="true" outlineLevel="0" collapsed="false">
      <c r="A733" s="125"/>
      <c r="B733" s="101"/>
      <c r="C733" s="101"/>
      <c r="D733" s="101"/>
      <c r="E733" s="101"/>
      <c r="F733" s="101"/>
      <c r="G733" s="101"/>
      <c r="H733" s="101"/>
      <c r="I733" s="106"/>
      <c r="J733" s="106"/>
      <c r="K733" s="106"/>
      <c r="L733" s="106"/>
      <c r="M733" s="106"/>
      <c r="N733" s="103" t="str">
        <f aca="false">IF(OR($B733="", $I733="", $J733="", $K733="", $L733="", $M733=""),"",ROUND(($I733*Lists!$AD$2)+($J733*Lists!$AD$3)+($K733*Lists!$AD$4)+($L733*Lists!$AD$5)+($M733*Lists!$AD$6),2))</f>
        <v/>
      </c>
      <c r="O733" s="103" t="str">
        <f aca="false">IF($A733="","",IFERROR(VLOOKUP($A733,'Risk Register'!$B$2:$I$1000,8,FALSE()),""))</f>
        <v/>
      </c>
      <c r="P733" s="106"/>
      <c r="Q733" s="106"/>
      <c r="R733" s="106"/>
      <c r="S733" s="106"/>
      <c r="T733" s="103" t="str">
        <f aca="false">IF(OR($B733="", $P733="", $Q733="", $R733="", $S733=""),"",ROUND(($P733*Lists!$AD$7)+($Q733*Lists!$AD$8)+($R733*Lists!$AD$9)+($S733*Lists!$AD$10),2))</f>
        <v/>
      </c>
      <c r="U733" s="106"/>
      <c r="V733" s="106"/>
      <c r="W733" s="106"/>
      <c r="X733" s="106"/>
      <c r="Y733" s="106"/>
      <c r="Z733" s="103" t="str">
        <f aca="false">IF(OR($B733="", $U733="", $V733="", $W733="", $X733="", $Y733=""),"",ROUND(($U733*Lists!$AD$11)+($V733*Lists!$AD$12)+($W733*Lists!$AD$13)+($X733*Lists!$AD$14)+($Y733*Lists!$AD$15),2))</f>
        <v/>
      </c>
      <c r="AA733" s="103" t="str">
        <f aca="false">IF(OR($B733="", $N733="", $O733="", $T733="", $Z733=""),"",ROUND(($N733*Lists!$AD$16)-($O733*Lists!$AD$17)-($T733*Lists!$AD$18)+($Z733*Lists!$AD$19),2))</f>
        <v/>
      </c>
      <c r="AB733" s="102" t="str">
        <f aca="false">IF(OR($B733="", $N733="", $Z733=""),"",IF($N733&gt;=Lists!$AG$2,IF($Z733&gt;=Lists!$AG$3,"Invest","Migrate"),IF($Z733&gt;=Lists!$AG$3,"Tolerate","Eliminate")))</f>
        <v/>
      </c>
      <c r="AC733" s="102" t="str">
        <f aca="false">IF($B733="","",IF($J733&gt;=4,"Yes",""))</f>
        <v/>
      </c>
      <c r="AD733" s="102" t="str">
        <f aca="false">IF($A733="","",IFERROR(IF(VLOOKUP($A733,'Risk Register'!$B$2:$H$1000,4,FALSE())&gt;=4,"Yes",""),""))</f>
        <v/>
      </c>
      <c r="AE733" s="102" t="str">
        <f aca="false">IF(OR($N733="", $O733=""),"",IF($N733&gt;=Lists!$AG$2,IF($O733&gt;=Lists!$AG$4,"High Value / High Risk","High Value / Low Risk"),IF($O733&gt;=Lists!$AG$4,"Low Value / High Risk","Low Value / Low Risk")))</f>
        <v/>
      </c>
      <c r="AF733" s="101"/>
      <c r="AG733" s="126"/>
      <c r="AH733" s="106" t="str">
        <f aca="false">IF($B733="","",COUNTIFS('Debt Backlog'!$AF$2:$AF$1000,$A733,'Debt Backlog'!$B$2:$B$1000,"&lt;&gt;",'Debt Backlog'!$N$2:$N$1000,"&lt;&gt;Done",'Debt Backlog'!$N$2:$N$1000,"&lt;&gt;Won't Fix",'Debt Backlog'!$N$2:$N$1000,"&lt;&gt;Duplicate"))</f>
        <v/>
      </c>
      <c r="AI733" s="103" t="str">
        <f aca="false">IF($B733="","",ROUND(SUMIFS('Debt Backlog'!$L$2:$L$1000,'Debt Backlog'!$AF$2:$AF$1000,$A733,'Debt Backlog'!$B$2:$B$1000,"&lt;&gt;",'Debt Backlog'!$N$2:$N$1000,"&lt;&gt;Done",'Debt Backlog'!$N$2:$N$1000,"&lt;&gt;Won't Fix",'Debt Backlog'!$N$2:$N$1000,"&lt;&gt;Duplicate"),2))</f>
        <v/>
      </c>
    </row>
    <row r="734" customFormat="false" ht="15.75" hidden="false" customHeight="true" outlineLevel="0" collapsed="false">
      <c r="A734" s="125"/>
      <c r="B734" s="101"/>
      <c r="C734" s="101"/>
      <c r="D734" s="101"/>
      <c r="E734" s="101"/>
      <c r="F734" s="101"/>
      <c r="G734" s="101"/>
      <c r="H734" s="101"/>
      <c r="I734" s="106"/>
      <c r="J734" s="106"/>
      <c r="K734" s="106"/>
      <c r="L734" s="106"/>
      <c r="M734" s="106"/>
      <c r="N734" s="103" t="str">
        <f aca="false">IF(OR($B734="", $I734="", $J734="", $K734="", $L734="", $M734=""),"",ROUND(($I734*Lists!$AD$2)+($J734*Lists!$AD$3)+($K734*Lists!$AD$4)+($L734*Lists!$AD$5)+($M734*Lists!$AD$6),2))</f>
        <v/>
      </c>
      <c r="O734" s="103" t="str">
        <f aca="false">IF($A734="","",IFERROR(VLOOKUP($A734,'Risk Register'!$B$2:$I$1000,8,FALSE()),""))</f>
        <v/>
      </c>
      <c r="P734" s="106"/>
      <c r="Q734" s="106"/>
      <c r="R734" s="106"/>
      <c r="S734" s="106"/>
      <c r="T734" s="103" t="str">
        <f aca="false">IF(OR($B734="", $P734="", $Q734="", $R734="", $S734=""),"",ROUND(($P734*Lists!$AD$7)+($Q734*Lists!$AD$8)+($R734*Lists!$AD$9)+($S734*Lists!$AD$10),2))</f>
        <v/>
      </c>
      <c r="U734" s="106"/>
      <c r="V734" s="106"/>
      <c r="W734" s="106"/>
      <c r="X734" s="106"/>
      <c r="Y734" s="106"/>
      <c r="Z734" s="103" t="str">
        <f aca="false">IF(OR($B734="", $U734="", $V734="", $W734="", $X734="", $Y734=""),"",ROUND(($U734*Lists!$AD$11)+($V734*Lists!$AD$12)+($W734*Lists!$AD$13)+($X734*Lists!$AD$14)+($Y734*Lists!$AD$15),2))</f>
        <v/>
      </c>
      <c r="AA734" s="103" t="str">
        <f aca="false">IF(OR($B734="", $N734="", $O734="", $T734="", $Z734=""),"",ROUND(($N734*Lists!$AD$16)-($O734*Lists!$AD$17)-($T734*Lists!$AD$18)+($Z734*Lists!$AD$19),2))</f>
        <v/>
      </c>
      <c r="AB734" s="102" t="str">
        <f aca="false">IF(OR($B734="", $N734="", $Z734=""),"",IF($N734&gt;=Lists!$AG$2,IF($Z734&gt;=Lists!$AG$3,"Invest","Migrate"),IF($Z734&gt;=Lists!$AG$3,"Tolerate","Eliminate")))</f>
        <v/>
      </c>
      <c r="AC734" s="102" t="str">
        <f aca="false">IF($B734="","",IF($J734&gt;=4,"Yes",""))</f>
        <v/>
      </c>
      <c r="AD734" s="102" t="str">
        <f aca="false">IF($A734="","",IFERROR(IF(VLOOKUP($A734,'Risk Register'!$B$2:$H$1000,4,FALSE())&gt;=4,"Yes",""),""))</f>
        <v/>
      </c>
      <c r="AE734" s="102" t="str">
        <f aca="false">IF(OR($N734="", $O734=""),"",IF($N734&gt;=Lists!$AG$2,IF($O734&gt;=Lists!$AG$4,"High Value / High Risk","High Value / Low Risk"),IF($O734&gt;=Lists!$AG$4,"Low Value / High Risk","Low Value / Low Risk")))</f>
        <v/>
      </c>
      <c r="AF734" s="101"/>
      <c r="AG734" s="126"/>
      <c r="AH734" s="106" t="str">
        <f aca="false">IF($B734="","",COUNTIFS('Debt Backlog'!$AF$2:$AF$1000,$A734,'Debt Backlog'!$B$2:$B$1000,"&lt;&gt;",'Debt Backlog'!$N$2:$N$1000,"&lt;&gt;Done",'Debt Backlog'!$N$2:$N$1000,"&lt;&gt;Won't Fix",'Debt Backlog'!$N$2:$N$1000,"&lt;&gt;Duplicate"))</f>
        <v/>
      </c>
      <c r="AI734" s="103" t="str">
        <f aca="false">IF($B734="","",ROUND(SUMIFS('Debt Backlog'!$L$2:$L$1000,'Debt Backlog'!$AF$2:$AF$1000,$A734,'Debt Backlog'!$B$2:$B$1000,"&lt;&gt;",'Debt Backlog'!$N$2:$N$1000,"&lt;&gt;Done",'Debt Backlog'!$N$2:$N$1000,"&lt;&gt;Won't Fix",'Debt Backlog'!$N$2:$N$1000,"&lt;&gt;Duplicate"),2))</f>
        <v/>
      </c>
    </row>
    <row r="735" customFormat="false" ht="15.75" hidden="false" customHeight="true" outlineLevel="0" collapsed="false">
      <c r="A735" s="125"/>
      <c r="B735" s="101"/>
      <c r="C735" s="101"/>
      <c r="D735" s="101"/>
      <c r="E735" s="101"/>
      <c r="F735" s="101"/>
      <c r="G735" s="101"/>
      <c r="H735" s="101"/>
      <c r="I735" s="106"/>
      <c r="J735" s="106"/>
      <c r="K735" s="106"/>
      <c r="L735" s="106"/>
      <c r="M735" s="106"/>
      <c r="N735" s="103" t="str">
        <f aca="false">IF(OR($B735="", $I735="", $J735="", $K735="", $L735="", $M735=""),"",ROUND(($I735*Lists!$AD$2)+($J735*Lists!$AD$3)+($K735*Lists!$AD$4)+($L735*Lists!$AD$5)+($M735*Lists!$AD$6),2))</f>
        <v/>
      </c>
      <c r="O735" s="103" t="str">
        <f aca="false">IF($A735="","",IFERROR(VLOOKUP($A735,'Risk Register'!$B$2:$I$1000,8,FALSE()),""))</f>
        <v/>
      </c>
      <c r="P735" s="106"/>
      <c r="Q735" s="106"/>
      <c r="R735" s="106"/>
      <c r="S735" s="106"/>
      <c r="T735" s="103" t="str">
        <f aca="false">IF(OR($B735="", $P735="", $Q735="", $R735="", $S735=""),"",ROUND(($P735*Lists!$AD$7)+($Q735*Lists!$AD$8)+($R735*Lists!$AD$9)+($S735*Lists!$AD$10),2))</f>
        <v/>
      </c>
      <c r="U735" s="106"/>
      <c r="V735" s="106"/>
      <c r="W735" s="106"/>
      <c r="X735" s="106"/>
      <c r="Y735" s="106"/>
      <c r="Z735" s="103" t="str">
        <f aca="false">IF(OR($B735="", $U735="", $V735="", $W735="", $X735="", $Y735=""),"",ROUND(($U735*Lists!$AD$11)+($V735*Lists!$AD$12)+($W735*Lists!$AD$13)+($X735*Lists!$AD$14)+($Y735*Lists!$AD$15),2))</f>
        <v/>
      </c>
      <c r="AA735" s="103" t="str">
        <f aca="false">IF(OR($B735="", $N735="", $O735="", $T735="", $Z735=""),"",ROUND(($N735*Lists!$AD$16)-($O735*Lists!$AD$17)-($T735*Lists!$AD$18)+($Z735*Lists!$AD$19),2))</f>
        <v/>
      </c>
      <c r="AB735" s="102" t="str">
        <f aca="false">IF(OR($B735="", $N735="", $Z735=""),"",IF($N735&gt;=Lists!$AG$2,IF($Z735&gt;=Lists!$AG$3,"Invest","Migrate"),IF($Z735&gt;=Lists!$AG$3,"Tolerate","Eliminate")))</f>
        <v/>
      </c>
      <c r="AC735" s="102" t="str">
        <f aca="false">IF($B735="","",IF($J735&gt;=4,"Yes",""))</f>
        <v/>
      </c>
      <c r="AD735" s="102" t="str">
        <f aca="false">IF($A735="","",IFERROR(IF(VLOOKUP($A735,'Risk Register'!$B$2:$H$1000,4,FALSE())&gt;=4,"Yes",""),""))</f>
        <v/>
      </c>
      <c r="AE735" s="102" t="str">
        <f aca="false">IF(OR($N735="", $O735=""),"",IF($N735&gt;=Lists!$AG$2,IF($O735&gt;=Lists!$AG$4,"High Value / High Risk","High Value / Low Risk"),IF($O735&gt;=Lists!$AG$4,"Low Value / High Risk","Low Value / Low Risk")))</f>
        <v/>
      </c>
      <c r="AF735" s="101"/>
      <c r="AG735" s="126"/>
      <c r="AH735" s="106" t="str">
        <f aca="false">IF($B735="","",COUNTIFS('Debt Backlog'!$AF$2:$AF$1000,$A735,'Debt Backlog'!$B$2:$B$1000,"&lt;&gt;",'Debt Backlog'!$N$2:$N$1000,"&lt;&gt;Done",'Debt Backlog'!$N$2:$N$1000,"&lt;&gt;Won't Fix",'Debt Backlog'!$N$2:$N$1000,"&lt;&gt;Duplicate"))</f>
        <v/>
      </c>
      <c r="AI735" s="103" t="str">
        <f aca="false">IF($B735="","",ROUND(SUMIFS('Debt Backlog'!$L$2:$L$1000,'Debt Backlog'!$AF$2:$AF$1000,$A735,'Debt Backlog'!$B$2:$B$1000,"&lt;&gt;",'Debt Backlog'!$N$2:$N$1000,"&lt;&gt;Done",'Debt Backlog'!$N$2:$N$1000,"&lt;&gt;Won't Fix",'Debt Backlog'!$N$2:$N$1000,"&lt;&gt;Duplicate"),2))</f>
        <v/>
      </c>
    </row>
    <row r="736" customFormat="false" ht="15.75" hidden="false" customHeight="true" outlineLevel="0" collapsed="false">
      <c r="A736" s="125"/>
      <c r="B736" s="101"/>
      <c r="C736" s="101"/>
      <c r="D736" s="101"/>
      <c r="E736" s="101"/>
      <c r="F736" s="101"/>
      <c r="G736" s="101"/>
      <c r="H736" s="101"/>
      <c r="I736" s="106"/>
      <c r="J736" s="106"/>
      <c r="K736" s="106"/>
      <c r="L736" s="106"/>
      <c r="M736" s="106"/>
      <c r="N736" s="103" t="str">
        <f aca="false">IF(OR($B736="", $I736="", $J736="", $K736="", $L736="", $M736=""),"",ROUND(($I736*Lists!$AD$2)+($J736*Lists!$AD$3)+($K736*Lists!$AD$4)+($L736*Lists!$AD$5)+($M736*Lists!$AD$6),2))</f>
        <v/>
      </c>
      <c r="O736" s="103" t="str">
        <f aca="false">IF($A736="","",IFERROR(VLOOKUP($A736,'Risk Register'!$B$2:$I$1000,8,FALSE()),""))</f>
        <v/>
      </c>
      <c r="P736" s="106"/>
      <c r="Q736" s="106"/>
      <c r="R736" s="106"/>
      <c r="S736" s="106"/>
      <c r="T736" s="103" t="str">
        <f aca="false">IF(OR($B736="", $P736="", $Q736="", $R736="", $S736=""),"",ROUND(($P736*Lists!$AD$7)+($Q736*Lists!$AD$8)+($R736*Lists!$AD$9)+($S736*Lists!$AD$10),2))</f>
        <v/>
      </c>
      <c r="U736" s="106"/>
      <c r="V736" s="106"/>
      <c r="W736" s="106"/>
      <c r="X736" s="106"/>
      <c r="Y736" s="106"/>
      <c r="Z736" s="103" t="str">
        <f aca="false">IF(OR($B736="", $U736="", $V736="", $W736="", $X736="", $Y736=""),"",ROUND(($U736*Lists!$AD$11)+($V736*Lists!$AD$12)+($W736*Lists!$AD$13)+($X736*Lists!$AD$14)+($Y736*Lists!$AD$15),2))</f>
        <v/>
      </c>
      <c r="AA736" s="103" t="str">
        <f aca="false">IF(OR($B736="", $N736="", $O736="", $T736="", $Z736=""),"",ROUND(($N736*Lists!$AD$16)-($O736*Lists!$AD$17)-($T736*Lists!$AD$18)+($Z736*Lists!$AD$19),2))</f>
        <v/>
      </c>
      <c r="AB736" s="102" t="str">
        <f aca="false">IF(OR($B736="", $N736="", $Z736=""),"",IF($N736&gt;=Lists!$AG$2,IF($Z736&gt;=Lists!$AG$3,"Invest","Migrate"),IF($Z736&gt;=Lists!$AG$3,"Tolerate","Eliminate")))</f>
        <v/>
      </c>
      <c r="AC736" s="102" t="str">
        <f aca="false">IF($B736="","",IF($J736&gt;=4,"Yes",""))</f>
        <v/>
      </c>
      <c r="AD736" s="102" t="str">
        <f aca="false">IF($A736="","",IFERROR(IF(VLOOKUP($A736,'Risk Register'!$B$2:$H$1000,4,FALSE())&gt;=4,"Yes",""),""))</f>
        <v/>
      </c>
      <c r="AE736" s="102" t="str">
        <f aca="false">IF(OR($N736="", $O736=""),"",IF($N736&gt;=Lists!$AG$2,IF($O736&gt;=Lists!$AG$4,"High Value / High Risk","High Value / Low Risk"),IF($O736&gt;=Lists!$AG$4,"Low Value / High Risk","Low Value / Low Risk")))</f>
        <v/>
      </c>
      <c r="AF736" s="101"/>
      <c r="AG736" s="126"/>
      <c r="AH736" s="106" t="str">
        <f aca="false">IF($B736="","",COUNTIFS('Debt Backlog'!$AF$2:$AF$1000,$A736,'Debt Backlog'!$B$2:$B$1000,"&lt;&gt;",'Debt Backlog'!$N$2:$N$1000,"&lt;&gt;Done",'Debt Backlog'!$N$2:$N$1000,"&lt;&gt;Won't Fix",'Debt Backlog'!$N$2:$N$1000,"&lt;&gt;Duplicate"))</f>
        <v/>
      </c>
      <c r="AI736" s="103" t="str">
        <f aca="false">IF($B736="","",ROUND(SUMIFS('Debt Backlog'!$L$2:$L$1000,'Debt Backlog'!$AF$2:$AF$1000,$A736,'Debt Backlog'!$B$2:$B$1000,"&lt;&gt;",'Debt Backlog'!$N$2:$N$1000,"&lt;&gt;Done",'Debt Backlog'!$N$2:$N$1000,"&lt;&gt;Won't Fix",'Debt Backlog'!$N$2:$N$1000,"&lt;&gt;Duplicate"),2))</f>
        <v/>
      </c>
    </row>
    <row r="737" customFormat="false" ht="15.75" hidden="false" customHeight="true" outlineLevel="0" collapsed="false">
      <c r="A737" s="125"/>
      <c r="B737" s="101"/>
      <c r="C737" s="101"/>
      <c r="D737" s="101"/>
      <c r="E737" s="101"/>
      <c r="F737" s="101"/>
      <c r="G737" s="101"/>
      <c r="H737" s="101"/>
      <c r="I737" s="106"/>
      <c r="J737" s="106"/>
      <c r="K737" s="106"/>
      <c r="L737" s="106"/>
      <c r="M737" s="106"/>
      <c r="N737" s="103" t="str">
        <f aca="false">IF(OR($B737="", $I737="", $J737="", $K737="", $L737="", $M737=""),"",ROUND(($I737*Lists!$AD$2)+($J737*Lists!$AD$3)+($K737*Lists!$AD$4)+($L737*Lists!$AD$5)+($M737*Lists!$AD$6),2))</f>
        <v/>
      </c>
      <c r="O737" s="103" t="str">
        <f aca="false">IF($A737="","",IFERROR(VLOOKUP($A737,'Risk Register'!$B$2:$I$1000,8,FALSE()),""))</f>
        <v/>
      </c>
      <c r="P737" s="106"/>
      <c r="Q737" s="106"/>
      <c r="R737" s="106"/>
      <c r="S737" s="106"/>
      <c r="T737" s="103" t="str">
        <f aca="false">IF(OR($B737="", $P737="", $Q737="", $R737="", $S737=""),"",ROUND(($P737*Lists!$AD$7)+($Q737*Lists!$AD$8)+($R737*Lists!$AD$9)+($S737*Lists!$AD$10),2))</f>
        <v/>
      </c>
      <c r="U737" s="106"/>
      <c r="V737" s="106"/>
      <c r="W737" s="106"/>
      <c r="X737" s="106"/>
      <c r="Y737" s="106"/>
      <c r="Z737" s="103" t="str">
        <f aca="false">IF(OR($B737="", $U737="", $V737="", $W737="", $X737="", $Y737=""),"",ROUND(($U737*Lists!$AD$11)+($V737*Lists!$AD$12)+($W737*Lists!$AD$13)+($X737*Lists!$AD$14)+($Y737*Lists!$AD$15),2))</f>
        <v/>
      </c>
      <c r="AA737" s="103" t="str">
        <f aca="false">IF(OR($B737="", $N737="", $O737="", $T737="", $Z737=""),"",ROUND(($N737*Lists!$AD$16)-($O737*Lists!$AD$17)-($T737*Lists!$AD$18)+($Z737*Lists!$AD$19),2))</f>
        <v/>
      </c>
      <c r="AB737" s="102" t="str">
        <f aca="false">IF(OR($B737="", $N737="", $Z737=""),"",IF($N737&gt;=Lists!$AG$2,IF($Z737&gt;=Lists!$AG$3,"Invest","Migrate"),IF($Z737&gt;=Lists!$AG$3,"Tolerate","Eliminate")))</f>
        <v/>
      </c>
      <c r="AC737" s="102" t="str">
        <f aca="false">IF($B737="","",IF($J737&gt;=4,"Yes",""))</f>
        <v/>
      </c>
      <c r="AD737" s="102" t="str">
        <f aca="false">IF($A737="","",IFERROR(IF(VLOOKUP($A737,'Risk Register'!$B$2:$H$1000,4,FALSE())&gt;=4,"Yes",""),""))</f>
        <v/>
      </c>
      <c r="AE737" s="102" t="str">
        <f aca="false">IF(OR($N737="", $O737=""),"",IF($N737&gt;=Lists!$AG$2,IF($O737&gt;=Lists!$AG$4,"High Value / High Risk","High Value / Low Risk"),IF($O737&gt;=Lists!$AG$4,"Low Value / High Risk","Low Value / Low Risk")))</f>
        <v/>
      </c>
      <c r="AF737" s="101"/>
      <c r="AG737" s="126"/>
      <c r="AH737" s="106" t="str">
        <f aca="false">IF($B737="","",COUNTIFS('Debt Backlog'!$AF$2:$AF$1000,$A737,'Debt Backlog'!$B$2:$B$1000,"&lt;&gt;",'Debt Backlog'!$N$2:$N$1000,"&lt;&gt;Done",'Debt Backlog'!$N$2:$N$1000,"&lt;&gt;Won't Fix",'Debt Backlog'!$N$2:$N$1000,"&lt;&gt;Duplicate"))</f>
        <v/>
      </c>
      <c r="AI737" s="103" t="str">
        <f aca="false">IF($B737="","",ROUND(SUMIFS('Debt Backlog'!$L$2:$L$1000,'Debt Backlog'!$AF$2:$AF$1000,$A737,'Debt Backlog'!$B$2:$B$1000,"&lt;&gt;",'Debt Backlog'!$N$2:$N$1000,"&lt;&gt;Done",'Debt Backlog'!$N$2:$N$1000,"&lt;&gt;Won't Fix",'Debt Backlog'!$N$2:$N$1000,"&lt;&gt;Duplicate"),2))</f>
        <v/>
      </c>
    </row>
    <row r="738" customFormat="false" ht="15.75" hidden="false" customHeight="true" outlineLevel="0" collapsed="false">
      <c r="A738" s="125"/>
      <c r="B738" s="101"/>
      <c r="C738" s="101"/>
      <c r="D738" s="101"/>
      <c r="E738" s="101"/>
      <c r="F738" s="101"/>
      <c r="G738" s="101"/>
      <c r="H738" s="101"/>
      <c r="I738" s="106"/>
      <c r="J738" s="106"/>
      <c r="K738" s="106"/>
      <c r="L738" s="106"/>
      <c r="M738" s="106"/>
      <c r="N738" s="103" t="str">
        <f aca="false">IF(OR($B738="", $I738="", $J738="", $K738="", $L738="", $M738=""),"",ROUND(($I738*Lists!$AD$2)+($J738*Lists!$AD$3)+($K738*Lists!$AD$4)+($L738*Lists!$AD$5)+($M738*Lists!$AD$6),2))</f>
        <v/>
      </c>
      <c r="O738" s="103" t="str">
        <f aca="false">IF($A738="","",IFERROR(VLOOKUP($A738,'Risk Register'!$B$2:$I$1000,8,FALSE()),""))</f>
        <v/>
      </c>
      <c r="P738" s="106"/>
      <c r="Q738" s="106"/>
      <c r="R738" s="106"/>
      <c r="S738" s="106"/>
      <c r="T738" s="103" t="str">
        <f aca="false">IF(OR($B738="", $P738="", $Q738="", $R738="", $S738=""),"",ROUND(($P738*Lists!$AD$7)+($Q738*Lists!$AD$8)+($R738*Lists!$AD$9)+($S738*Lists!$AD$10),2))</f>
        <v/>
      </c>
      <c r="U738" s="106"/>
      <c r="V738" s="106"/>
      <c r="W738" s="106"/>
      <c r="X738" s="106"/>
      <c r="Y738" s="106"/>
      <c r="Z738" s="103" t="str">
        <f aca="false">IF(OR($B738="", $U738="", $V738="", $W738="", $X738="", $Y738=""),"",ROUND(($U738*Lists!$AD$11)+($V738*Lists!$AD$12)+($W738*Lists!$AD$13)+($X738*Lists!$AD$14)+($Y738*Lists!$AD$15),2))</f>
        <v/>
      </c>
      <c r="AA738" s="103" t="str">
        <f aca="false">IF(OR($B738="", $N738="", $O738="", $T738="", $Z738=""),"",ROUND(($N738*Lists!$AD$16)-($O738*Lists!$AD$17)-($T738*Lists!$AD$18)+($Z738*Lists!$AD$19),2))</f>
        <v/>
      </c>
      <c r="AB738" s="102" t="str">
        <f aca="false">IF(OR($B738="", $N738="", $Z738=""),"",IF($N738&gt;=Lists!$AG$2,IF($Z738&gt;=Lists!$AG$3,"Invest","Migrate"),IF($Z738&gt;=Lists!$AG$3,"Tolerate","Eliminate")))</f>
        <v/>
      </c>
      <c r="AC738" s="102" t="str">
        <f aca="false">IF($B738="","",IF($J738&gt;=4,"Yes",""))</f>
        <v/>
      </c>
      <c r="AD738" s="102" t="str">
        <f aca="false">IF($A738="","",IFERROR(IF(VLOOKUP($A738,'Risk Register'!$B$2:$H$1000,4,FALSE())&gt;=4,"Yes",""),""))</f>
        <v/>
      </c>
      <c r="AE738" s="102" t="str">
        <f aca="false">IF(OR($N738="", $O738=""),"",IF($N738&gt;=Lists!$AG$2,IF($O738&gt;=Lists!$AG$4,"High Value / High Risk","High Value / Low Risk"),IF($O738&gt;=Lists!$AG$4,"Low Value / High Risk","Low Value / Low Risk")))</f>
        <v/>
      </c>
      <c r="AF738" s="101"/>
      <c r="AG738" s="126"/>
      <c r="AH738" s="106" t="str">
        <f aca="false">IF($B738="","",COUNTIFS('Debt Backlog'!$AF$2:$AF$1000,$A738,'Debt Backlog'!$B$2:$B$1000,"&lt;&gt;",'Debt Backlog'!$N$2:$N$1000,"&lt;&gt;Done",'Debt Backlog'!$N$2:$N$1000,"&lt;&gt;Won't Fix",'Debt Backlog'!$N$2:$N$1000,"&lt;&gt;Duplicate"))</f>
        <v/>
      </c>
      <c r="AI738" s="103" t="str">
        <f aca="false">IF($B738="","",ROUND(SUMIFS('Debt Backlog'!$L$2:$L$1000,'Debt Backlog'!$AF$2:$AF$1000,$A738,'Debt Backlog'!$B$2:$B$1000,"&lt;&gt;",'Debt Backlog'!$N$2:$N$1000,"&lt;&gt;Done",'Debt Backlog'!$N$2:$N$1000,"&lt;&gt;Won't Fix",'Debt Backlog'!$N$2:$N$1000,"&lt;&gt;Duplicate"),2))</f>
        <v/>
      </c>
    </row>
    <row r="739" customFormat="false" ht="15.75" hidden="false" customHeight="true" outlineLevel="0" collapsed="false">
      <c r="A739" s="125"/>
      <c r="B739" s="101"/>
      <c r="C739" s="101"/>
      <c r="D739" s="101"/>
      <c r="E739" s="101"/>
      <c r="F739" s="101"/>
      <c r="G739" s="101"/>
      <c r="H739" s="101"/>
      <c r="I739" s="106"/>
      <c r="J739" s="106"/>
      <c r="K739" s="106"/>
      <c r="L739" s="106"/>
      <c r="M739" s="106"/>
      <c r="N739" s="103" t="str">
        <f aca="false">IF(OR($B739="", $I739="", $J739="", $K739="", $L739="", $M739=""),"",ROUND(($I739*Lists!$AD$2)+($J739*Lists!$AD$3)+($K739*Lists!$AD$4)+($L739*Lists!$AD$5)+($M739*Lists!$AD$6),2))</f>
        <v/>
      </c>
      <c r="O739" s="103" t="str">
        <f aca="false">IF($A739="","",IFERROR(VLOOKUP($A739,'Risk Register'!$B$2:$I$1000,8,FALSE()),""))</f>
        <v/>
      </c>
      <c r="P739" s="106"/>
      <c r="Q739" s="106"/>
      <c r="R739" s="106"/>
      <c r="S739" s="106"/>
      <c r="T739" s="103" t="str">
        <f aca="false">IF(OR($B739="", $P739="", $Q739="", $R739="", $S739=""),"",ROUND(($P739*Lists!$AD$7)+($Q739*Lists!$AD$8)+($R739*Lists!$AD$9)+($S739*Lists!$AD$10),2))</f>
        <v/>
      </c>
      <c r="U739" s="106"/>
      <c r="V739" s="106"/>
      <c r="W739" s="106"/>
      <c r="X739" s="106"/>
      <c r="Y739" s="106"/>
      <c r="Z739" s="103" t="str">
        <f aca="false">IF(OR($B739="", $U739="", $V739="", $W739="", $X739="", $Y739=""),"",ROUND(($U739*Lists!$AD$11)+($V739*Lists!$AD$12)+($W739*Lists!$AD$13)+($X739*Lists!$AD$14)+($Y739*Lists!$AD$15),2))</f>
        <v/>
      </c>
      <c r="AA739" s="103" t="str">
        <f aca="false">IF(OR($B739="", $N739="", $O739="", $T739="", $Z739=""),"",ROUND(($N739*Lists!$AD$16)-($O739*Lists!$AD$17)-($T739*Lists!$AD$18)+($Z739*Lists!$AD$19),2))</f>
        <v/>
      </c>
      <c r="AB739" s="102" t="str">
        <f aca="false">IF(OR($B739="", $N739="", $Z739=""),"",IF($N739&gt;=Lists!$AG$2,IF($Z739&gt;=Lists!$AG$3,"Invest","Migrate"),IF($Z739&gt;=Lists!$AG$3,"Tolerate","Eliminate")))</f>
        <v/>
      </c>
      <c r="AC739" s="102" t="str">
        <f aca="false">IF($B739="","",IF($J739&gt;=4,"Yes",""))</f>
        <v/>
      </c>
      <c r="AD739" s="102" t="str">
        <f aca="false">IF($A739="","",IFERROR(IF(VLOOKUP($A739,'Risk Register'!$B$2:$H$1000,4,FALSE())&gt;=4,"Yes",""),""))</f>
        <v/>
      </c>
      <c r="AE739" s="102" t="str">
        <f aca="false">IF(OR($N739="", $O739=""),"",IF($N739&gt;=Lists!$AG$2,IF($O739&gt;=Lists!$AG$4,"High Value / High Risk","High Value / Low Risk"),IF($O739&gt;=Lists!$AG$4,"Low Value / High Risk","Low Value / Low Risk")))</f>
        <v/>
      </c>
      <c r="AF739" s="101"/>
      <c r="AG739" s="126"/>
      <c r="AH739" s="106" t="str">
        <f aca="false">IF($B739="","",COUNTIFS('Debt Backlog'!$AF$2:$AF$1000,$A739,'Debt Backlog'!$B$2:$B$1000,"&lt;&gt;",'Debt Backlog'!$N$2:$N$1000,"&lt;&gt;Done",'Debt Backlog'!$N$2:$N$1000,"&lt;&gt;Won't Fix",'Debt Backlog'!$N$2:$N$1000,"&lt;&gt;Duplicate"))</f>
        <v/>
      </c>
      <c r="AI739" s="103" t="str">
        <f aca="false">IF($B739="","",ROUND(SUMIFS('Debt Backlog'!$L$2:$L$1000,'Debt Backlog'!$AF$2:$AF$1000,$A739,'Debt Backlog'!$B$2:$B$1000,"&lt;&gt;",'Debt Backlog'!$N$2:$N$1000,"&lt;&gt;Done",'Debt Backlog'!$N$2:$N$1000,"&lt;&gt;Won't Fix",'Debt Backlog'!$N$2:$N$1000,"&lt;&gt;Duplicate"),2))</f>
        <v/>
      </c>
    </row>
    <row r="740" customFormat="false" ht="15.75" hidden="false" customHeight="true" outlineLevel="0" collapsed="false">
      <c r="A740" s="125"/>
      <c r="B740" s="101"/>
      <c r="C740" s="101"/>
      <c r="D740" s="101"/>
      <c r="E740" s="101"/>
      <c r="F740" s="101"/>
      <c r="G740" s="101"/>
      <c r="H740" s="101"/>
      <c r="I740" s="106"/>
      <c r="J740" s="106"/>
      <c r="K740" s="106"/>
      <c r="L740" s="106"/>
      <c r="M740" s="106"/>
      <c r="N740" s="103" t="str">
        <f aca="false">IF(OR($B740="", $I740="", $J740="", $K740="", $L740="", $M740=""),"",ROUND(($I740*Lists!$AD$2)+($J740*Lists!$AD$3)+($K740*Lists!$AD$4)+($L740*Lists!$AD$5)+($M740*Lists!$AD$6),2))</f>
        <v/>
      </c>
      <c r="O740" s="103" t="str">
        <f aca="false">IF($A740="","",IFERROR(VLOOKUP($A740,'Risk Register'!$B$2:$I$1000,8,FALSE()),""))</f>
        <v/>
      </c>
      <c r="P740" s="106"/>
      <c r="Q740" s="106"/>
      <c r="R740" s="106"/>
      <c r="S740" s="106"/>
      <c r="T740" s="103" t="str">
        <f aca="false">IF(OR($B740="", $P740="", $Q740="", $R740="", $S740=""),"",ROUND(($P740*Lists!$AD$7)+($Q740*Lists!$AD$8)+($R740*Lists!$AD$9)+($S740*Lists!$AD$10),2))</f>
        <v/>
      </c>
      <c r="U740" s="106"/>
      <c r="V740" s="106"/>
      <c r="W740" s="106"/>
      <c r="X740" s="106"/>
      <c r="Y740" s="106"/>
      <c r="Z740" s="103" t="str">
        <f aca="false">IF(OR($B740="", $U740="", $V740="", $W740="", $X740="", $Y740=""),"",ROUND(($U740*Lists!$AD$11)+($V740*Lists!$AD$12)+($W740*Lists!$AD$13)+($X740*Lists!$AD$14)+($Y740*Lists!$AD$15),2))</f>
        <v/>
      </c>
      <c r="AA740" s="103" t="str">
        <f aca="false">IF(OR($B740="", $N740="", $O740="", $T740="", $Z740=""),"",ROUND(($N740*Lists!$AD$16)-($O740*Lists!$AD$17)-($T740*Lists!$AD$18)+($Z740*Lists!$AD$19),2))</f>
        <v/>
      </c>
      <c r="AB740" s="102" t="str">
        <f aca="false">IF(OR($B740="", $N740="", $Z740=""),"",IF($N740&gt;=Lists!$AG$2,IF($Z740&gt;=Lists!$AG$3,"Invest","Migrate"),IF($Z740&gt;=Lists!$AG$3,"Tolerate","Eliminate")))</f>
        <v/>
      </c>
      <c r="AC740" s="102" t="str">
        <f aca="false">IF($B740="","",IF($J740&gt;=4,"Yes",""))</f>
        <v/>
      </c>
      <c r="AD740" s="102" t="str">
        <f aca="false">IF($A740="","",IFERROR(IF(VLOOKUP($A740,'Risk Register'!$B$2:$H$1000,4,FALSE())&gt;=4,"Yes",""),""))</f>
        <v/>
      </c>
      <c r="AE740" s="102" t="str">
        <f aca="false">IF(OR($N740="", $O740=""),"",IF($N740&gt;=Lists!$AG$2,IF($O740&gt;=Lists!$AG$4,"High Value / High Risk","High Value / Low Risk"),IF($O740&gt;=Lists!$AG$4,"Low Value / High Risk","Low Value / Low Risk")))</f>
        <v/>
      </c>
      <c r="AF740" s="101"/>
      <c r="AG740" s="126"/>
      <c r="AH740" s="106" t="str">
        <f aca="false">IF($B740="","",COUNTIFS('Debt Backlog'!$AF$2:$AF$1000,$A740,'Debt Backlog'!$B$2:$B$1000,"&lt;&gt;",'Debt Backlog'!$N$2:$N$1000,"&lt;&gt;Done",'Debt Backlog'!$N$2:$N$1000,"&lt;&gt;Won't Fix",'Debt Backlog'!$N$2:$N$1000,"&lt;&gt;Duplicate"))</f>
        <v/>
      </c>
      <c r="AI740" s="103" t="str">
        <f aca="false">IF($B740="","",ROUND(SUMIFS('Debt Backlog'!$L$2:$L$1000,'Debt Backlog'!$AF$2:$AF$1000,$A740,'Debt Backlog'!$B$2:$B$1000,"&lt;&gt;",'Debt Backlog'!$N$2:$N$1000,"&lt;&gt;Done",'Debt Backlog'!$N$2:$N$1000,"&lt;&gt;Won't Fix",'Debt Backlog'!$N$2:$N$1000,"&lt;&gt;Duplicate"),2))</f>
        <v/>
      </c>
    </row>
    <row r="741" customFormat="false" ht="15.75" hidden="false" customHeight="true" outlineLevel="0" collapsed="false">
      <c r="A741" s="125"/>
      <c r="B741" s="101"/>
      <c r="C741" s="101"/>
      <c r="D741" s="101"/>
      <c r="E741" s="101"/>
      <c r="F741" s="101"/>
      <c r="G741" s="101"/>
      <c r="H741" s="101"/>
      <c r="I741" s="106"/>
      <c r="J741" s="106"/>
      <c r="K741" s="106"/>
      <c r="L741" s="106"/>
      <c r="M741" s="106"/>
      <c r="N741" s="103" t="str">
        <f aca="false">IF(OR($B741="", $I741="", $J741="", $K741="", $L741="", $M741=""),"",ROUND(($I741*Lists!$AD$2)+($J741*Lists!$AD$3)+($K741*Lists!$AD$4)+($L741*Lists!$AD$5)+($M741*Lists!$AD$6),2))</f>
        <v/>
      </c>
      <c r="O741" s="103" t="str">
        <f aca="false">IF($A741="","",IFERROR(VLOOKUP($A741,'Risk Register'!$B$2:$I$1000,8,FALSE()),""))</f>
        <v/>
      </c>
      <c r="P741" s="106"/>
      <c r="Q741" s="106"/>
      <c r="R741" s="106"/>
      <c r="S741" s="106"/>
      <c r="T741" s="103" t="str">
        <f aca="false">IF(OR($B741="", $P741="", $Q741="", $R741="", $S741=""),"",ROUND(($P741*Lists!$AD$7)+($Q741*Lists!$AD$8)+($R741*Lists!$AD$9)+($S741*Lists!$AD$10),2))</f>
        <v/>
      </c>
      <c r="U741" s="106"/>
      <c r="V741" s="106"/>
      <c r="W741" s="106"/>
      <c r="X741" s="106"/>
      <c r="Y741" s="106"/>
      <c r="Z741" s="103" t="str">
        <f aca="false">IF(OR($B741="", $U741="", $V741="", $W741="", $X741="", $Y741=""),"",ROUND(($U741*Lists!$AD$11)+($V741*Lists!$AD$12)+($W741*Lists!$AD$13)+($X741*Lists!$AD$14)+($Y741*Lists!$AD$15),2))</f>
        <v/>
      </c>
      <c r="AA741" s="103" t="str">
        <f aca="false">IF(OR($B741="", $N741="", $O741="", $T741="", $Z741=""),"",ROUND(($N741*Lists!$AD$16)-($O741*Lists!$AD$17)-($T741*Lists!$AD$18)+($Z741*Lists!$AD$19),2))</f>
        <v/>
      </c>
      <c r="AB741" s="102" t="str">
        <f aca="false">IF(OR($B741="", $N741="", $Z741=""),"",IF($N741&gt;=Lists!$AG$2,IF($Z741&gt;=Lists!$AG$3,"Invest","Migrate"),IF($Z741&gt;=Lists!$AG$3,"Tolerate","Eliminate")))</f>
        <v/>
      </c>
      <c r="AC741" s="102" t="str">
        <f aca="false">IF($B741="","",IF($J741&gt;=4,"Yes",""))</f>
        <v/>
      </c>
      <c r="AD741" s="102" t="str">
        <f aca="false">IF($A741="","",IFERROR(IF(VLOOKUP($A741,'Risk Register'!$B$2:$H$1000,4,FALSE())&gt;=4,"Yes",""),""))</f>
        <v/>
      </c>
      <c r="AE741" s="102" t="str">
        <f aca="false">IF(OR($N741="", $O741=""),"",IF($N741&gt;=Lists!$AG$2,IF($O741&gt;=Lists!$AG$4,"High Value / High Risk","High Value / Low Risk"),IF($O741&gt;=Lists!$AG$4,"Low Value / High Risk","Low Value / Low Risk")))</f>
        <v/>
      </c>
      <c r="AF741" s="101"/>
      <c r="AG741" s="126"/>
      <c r="AH741" s="106" t="str">
        <f aca="false">IF($B741="","",COUNTIFS('Debt Backlog'!$AF$2:$AF$1000,$A741,'Debt Backlog'!$B$2:$B$1000,"&lt;&gt;",'Debt Backlog'!$N$2:$N$1000,"&lt;&gt;Done",'Debt Backlog'!$N$2:$N$1000,"&lt;&gt;Won't Fix",'Debt Backlog'!$N$2:$N$1000,"&lt;&gt;Duplicate"))</f>
        <v/>
      </c>
      <c r="AI741" s="103" t="str">
        <f aca="false">IF($B741="","",ROUND(SUMIFS('Debt Backlog'!$L$2:$L$1000,'Debt Backlog'!$AF$2:$AF$1000,$A741,'Debt Backlog'!$B$2:$B$1000,"&lt;&gt;",'Debt Backlog'!$N$2:$N$1000,"&lt;&gt;Done",'Debt Backlog'!$N$2:$N$1000,"&lt;&gt;Won't Fix",'Debt Backlog'!$N$2:$N$1000,"&lt;&gt;Duplicate"),2))</f>
        <v/>
      </c>
    </row>
    <row r="742" customFormat="false" ht="15.75" hidden="false" customHeight="true" outlineLevel="0" collapsed="false">
      <c r="A742" s="125"/>
      <c r="B742" s="101"/>
      <c r="C742" s="101"/>
      <c r="D742" s="101"/>
      <c r="E742" s="101"/>
      <c r="F742" s="101"/>
      <c r="G742" s="101"/>
      <c r="H742" s="101"/>
      <c r="I742" s="106"/>
      <c r="J742" s="106"/>
      <c r="K742" s="106"/>
      <c r="L742" s="106"/>
      <c r="M742" s="106"/>
      <c r="N742" s="103" t="str">
        <f aca="false">IF(OR($B742="", $I742="", $J742="", $K742="", $L742="", $M742=""),"",ROUND(($I742*Lists!$AD$2)+($J742*Lists!$AD$3)+($K742*Lists!$AD$4)+($L742*Lists!$AD$5)+($M742*Lists!$AD$6),2))</f>
        <v/>
      </c>
      <c r="O742" s="103" t="str">
        <f aca="false">IF($A742="","",IFERROR(VLOOKUP($A742,'Risk Register'!$B$2:$I$1000,8,FALSE()),""))</f>
        <v/>
      </c>
      <c r="P742" s="106"/>
      <c r="Q742" s="106"/>
      <c r="R742" s="106"/>
      <c r="S742" s="106"/>
      <c r="T742" s="103" t="str">
        <f aca="false">IF(OR($B742="", $P742="", $Q742="", $R742="", $S742=""),"",ROUND(($P742*Lists!$AD$7)+($Q742*Lists!$AD$8)+($R742*Lists!$AD$9)+($S742*Lists!$AD$10),2))</f>
        <v/>
      </c>
      <c r="U742" s="106"/>
      <c r="V742" s="106"/>
      <c r="W742" s="106"/>
      <c r="X742" s="106"/>
      <c r="Y742" s="106"/>
      <c r="Z742" s="103" t="str">
        <f aca="false">IF(OR($B742="", $U742="", $V742="", $W742="", $X742="", $Y742=""),"",ROUND(($U742*Lists!$AD$11)+($V742*Lists!$AD$12)+($W742*Lists!$AD$13)+($X742*Lists!$AD$14)+($Y742*Lists!$AD$15),2))</f>
        <v/>
      </c>
      <c r="AA742" s="103" t="str">
        <f aca="false">IF(OR($B742="", $N742="", $O742="", $T742="", $Z742=""),"",ROUND(($N742*Lists!$AD$16)-($O742*Lists!$AD$17)-($T742*Lists!$AD$18)+($Z742*Lists!$AD$19),2))</f>
        <v/>
      </c>
      <c r="AB742" s="102" t="str">
        <f aca="false">IF(OR($B742="", $N742="", $Z742=""),"",IF($N742&gt;=Lists!$AG$2,IF($Z742&gt;=Lists!$AG$3,"Invest","Migrate"),IF($Z742&gt;=Lists!$AG$3,"Tolerate","Eliminate")))</f>
        <v/>
      </c>
      <c r="AC742" s="102" t="str">
        <f aca="false">IF($B742="","",IF($J742&gt;=4,"Yes",""))</f>
        <v/>
      </c>
      <c r="AD742" s="102" t="str">
        <f aca="false">IF($A742="","",IFERROR(IF(VLOOKUP($A742,'Risk Register'!$B$2:$H$1000,4,FALSE())&gt;=4,"Yes",""),""))</f>
        <v/>
      </c>
      <c r="AE742" s="102" t="str">
        <f aca="false">IF(OR($N742="", $O742=""),"",IF($N742&gt;=Lists!$AG$2,IF($O742&gt;=Lists!$AG$4,"High Value / High Risk","High Value / Low Risk"),IF($O742&gt;=Lists!$AG$4,"Low Value / High Risk","Low Value / Low Risk")))</f>
        <v/>
      </c>
      <c r="AF742" s="101"/>
      <c r="AG742" s="126"/>
      <c r="AH742" s="106" t="str">
        <f aca="false">IF($B742="","",COUNTIFS('Debt Backlog'!$AF$2:$AF$1000,$A742,'Debt Backlog'!$B$2:$B$1000,"&lt;&gt;",'Debt Backlog'!$N$2:$N$1000,"&lt;&gt;Done",'Debt Backlog'!$N$2:$N$1000,"&lt;&gt;Won't Fix",'Debt Backlog'!$N$2:$N$1000,"&lt;&gt;Duplicate"))</f>
        <v/>
      </c>
      <c r="AI742" s="103" t="str">
        <f aca="false">IF($B742="","",ROUND(SUMIFS('Debt Backlog'!$L$2:$L$1000,'Debt Backlog'!$AF$2:$AF$1000,$A742,'Debt Backlog'!$B$2:$B$1000,"&lt;&gt;",'Debt Backlog'!$N$2:$N$1000,"&lt;&gt;Done",'Debt Backlog'!$N$2:$N$1000,"&lt;&gt;Won't Fix",'Debt Backlog'!$N$2:$N$1000,"&lt;&gt;Duplicate"),2))</f>
        <v/>
      </c>
    </row>
    <row r="743" customFormat="false" ht="15.75" hidden="false" customHeight="true" outlineLevel="0" collapsed="false">
      <c r="A743" s="125"/>
      <c r="B743" s="101"/>
      <c r="C743" s="101"/>
      <c r="D743" s="101"/>
      <c r="E743" s="101"/>
      <c r="F743" s="101"/>
      <c r="G743" s="101"/>
      <c r="H743" s="101"/>
      <c r="I743" s="106"/>
      <c r="J743" s="106"/>
      <c r="K743" s="106"/>
      <c r="L743" s="106"/>
      <c r="M743" s="106"/>
      <c r="N743" s="103" t="str">
        <f aca="false">IF(OR($B743="", $I743="", $J743="", $K743="", $L743="", $M743=""),"",ROUND(($I743*Lists!$AD$2)+($J743*Lists!$AD$3)+($K743*Lists!$AD$4)+($L743*Lists!$AD$5)+($M743*Lists!$AD$6),2))</f>
        <v/>
      </c>
      <c r="O743" s="103" t="str">
        <f aca="false">IF($A743="","",IFERROR(VLOOKUP($A743,'Risk Register'!$B$2:$I$1000,8,FALSE()),""))</f>
        <v/>
      </c>
      <c r="P743" s="106"/>
      <c r="Q743" s="106"/>
      <c r="R743" s="106"/>
      <c r="S743" s="106"/>
      <c r="T743" s="103" t="str">
        <f aca="false">IF(OR($B743="", $P743="", $Q743="", $R743="", $S743=""),"",ROUND(($P743*Lists!$AD$7)+($Q743*Lists!$AD$8)+($R743*Lists!$AD$9)+($S743*Lists!$AD$10),2))</f>
        <v/>
      </c>
      <c r="U743" s="106"/>
      <c r="V743" s="106"/>
      <c r="W743" s="106"/>
      <c r="X743" s="106"/>
      <c r="Y743" s="106"/>
      <c r="Z743" s="103" t="str">
        <f aca="false">IF(OR($B743="", $U743="", $V743="", $W743="", $X743="", $Y743=""),"",ROUND(($U743*Lists!$AD$11)+($V743*Lists!$AD$12)+($W743*Lists!$AD$13)+($X743*Lists!$AD$14)+($Y743*Lists!$AD$15),2))</f>
        <v/>
      </c>
      <c r="AA743" s="103" t="str">
        <f aca="false">IF(OR($B743="", $N743="", $O743="", $T743="", $Z743=""),"",ROUND(($N743*Lists!$AD$16)-($O743*Lists!$AD$17)-($T743*Lists!$AD$18)+($Z743*Lists!$AD$19),2))</f>
        <v/>
      </c>
      <c r="AB743" s="102" t="str">
        <f aca="false">IF(OR($B743="", $N743="", $Z743=""),"",IF($N743&gt;=Lists!$AG$2,IF($Z743&gt;=Lists!$AG$3,"Invest","Migrate"),IF($Z743&gt;=Lists!$AG$3,"Tolerate","Eliminate")))</f>
        <v/>
      </c>
      <c r="AC743" s="102" t="str">
        <f aca="false">IF($B743="","",IF($J743&gt;=4,"Yes",""))</f>
        <v/>
      </c>
      <c r="AD743" s="102" t="str">
        <f aca="false">IF($A743="","",IFERROR(IF(VLOOKUP($A743,'Risk Register'!$B$2:$H$1000,4,FALSE())&gt;=4,"Yes",""),""))</f>
        <v/>
      </c>
      <c r="AE743" s="102" t="str">
        <f aca="false">IF(OR($N743="", $O743=""),"",IF($N743&gt;=Lists!$AG$2,IF($O743&gt;=Lists!$AG$4,"High Value / High Risk","High Value / Low Risk"),IF($O743&gt;=Lists!$AG$4,"Low Value / High Risk","Low Value / Low Risk")))</f>
        <v/>
      </c>
      <c r="AF743" s="101"/>
      <c r="AG743" s="126"/>
      <c r="AH743" s="106" t="str">
        <f aca="false">IF($B743="","",COUNTIFS('Debt Backlog'!$AF$2:$AF$1000,$A743,'Debt Backlog'!$B$2:$B$1000,"&lt;&gt;",'Debt Backlog'!$N$2:$N$1000,"&lt;&gt;Done",'Debt Backlog'!$N$2:$N$1000,"&lt;&gt;Won't Fix",'Debt Backlog'!$N$2:$N$1000,"&lt;&gt;Duplicate"))</f>
        <v/>
      </c>
      <c r="AI743" s="103" t="str">
        <f aca="false">IF($B743="","",ROUND(SUMIFS('Debt Backlog'!$L$2:$L$1000,'Debt Backlog'!$AF$2:$AF$1000,$A743,'Debt Backlog'!$B$2:$B$1000,"&lt;&gt;",'Debt Backlog'!$N$2:$N$1000,"&lt;&gt;Done",'Debt Backlog'!$N$2:$N$1000,"&lt;&gt;Won't Fix",'Debt Backlog'!$N$2:$N$1000,"&lt;&gt;Duplicate"),2))</f>
        <v/>
      </c>
    </row>
    <row r="744" customFormat="false" ht="15.75" hidden="false" customHeight="true" outlineLevel="0" collapsed="false">
      <c r="A744" s="125"/>
      <c r="B744" s="101"/>
      <c r="C744" s="101"/>
      <c r="D744" s="101"/>
      <c r="E744" s="101"/>
      <c r="F744" s="101"/>
      <c r="G744" s="101"/>
      <c r="H744" s="101"/>
      <c r="I744" s="106"/>
      <c r="J744" s="106"/>
      <c r="K744" s="106"/>
      <c r="L744" s="106"/>
      <c r="M744" s="106"/>
      <c r="N744" s="103" t="str">
        <f aca="false">IF(OR($B744="", $I744="", $J744="", $K744="", $L744="", $M744=""),"",ROUND(($I744*Lists!$AD$2)+($J744*Lists!$AD$3)+($K744*Lists!$AD$4)+($L744*Lists!$AD$5)+($M744*Lists!$AD$6),2))</f>
        <v/>
      </c>
      <c r="O744" s="103" t="str">
        <f aca="false">IF($A744="","",IFERROR(VLOOKUP($A744,'Risk Register'!$B$2:$I$1000,8,FALSE()),""))</f>
        <v/>
      </c>
      <c r="P744" s="106"/>
      <c r="Q744" s="106"/>
      <c r="R744" s="106"/>
      <c r="S744" s="106"/>
      <c r="T744" s="103" t="str">
        <f aca="false">IF(OR($B744="", $P744="", $Q744="", $R744="", $S744=""),"",ROUND(($P744*Lists!$AD$7)+($Q744*Lists!$AD$8)+($R744*Lists!$AD$9)+($S744*Lists!$AD$10),2))</f>
        <v/>
      </c>
      <c r="U744" s="106"/>
      <c r="V744" s="106"/>
      <c r="W744" s="106"/>
      <c r="X744" s="106"/>
      <c r="Y744" s="106"/>
      <c r="Z744" s="103" t="str">
        <f aca="false">IF(OR($B744="", $U744="", $V744="", $W744="", $X744="", $Y744=""),"",ROUND(($U744*Lists!$AD$11)+($V744*Lists!$AD$12)+($W744*Lists!$AD$13)+($X744*Lists!$AD$14)+($Y744*Lists!$AD$15),2))</f>
        <v/>
      </c>
      <c r="AA744" s="103" t="str">
        <f aca="false">IF(OR($B744="", $N744="", $O744="", $T744="", $Z744=""),"",ROUND(($N744*Lists!$AD$16)-($O744*Lists!$AD$17)-($T744*Lists!$AD$18)+($Z744*Lists!$AD$19),2))</f>
        <v/>
      </c>
      <c r="AB744" s="102" t="str">
        <f aca="false">IF(OR($B744="", $N744="", $Z744=""),"",IF($N744&gt;=Lists!$AG$2,IF($Z744&gt;=Lists!$AG$3,"Invest","Migrate"),IF($Z744&gt;=Lists!$AG$3,"Tolerate","Eliminate")))</f>
        <v/>
      </c>
      <c r="AC744" s="102" t="str">
        <f aca="false">IF($B744="","",IF($J744&gt;=4,"Yes",""))</f>
        <v/>
      </c>
      <c r="AD744" s="102" t="str">
        <f aca="false">IF($A744="","",IFERROR(IF(VLOOKUP($A744,'Risk Register'!$B$2:$H$1000,4,FALSE())&gt;=4,"Yes",""),""))</f>
        <v/>
      </c>
      <c r="AE744" s="102" t="str">
        <f aca="false">IF(OR($N744="", $O744=""),"",IF($N744&gt;=Lists!$AG$2,IF($O744&gt;=Lists!$AG$4,"High Value / High Risk","High Value / Low Risk"),IF($O744&gt;=Lists!$AG$4,"Low Value / High Risk","Low Value / Low Risk")))</f>
        <v/>
      </c>
      <c r="AF744" s="101"/>
      <c r="AG744" s="126"/>
      <c r="AH744" s="106" t="str">
        <f aca="false">IF($B744="","",COUNTIFS('Debt Backlog'!$AF$2:$AF$1000,$A744,'Debt Backlog'!$B$2:$B$1000,"&lt;&gt;",'Debt Backlog'!$N$2:$N$1000,"&lt;&gt;Done",'Debt Backlog'!$N$2:$N$1000,"&lt;&gt;Won't Fix",'Debt Backlog'!$N$2:$N$1000,"&lt;&gt;Duplicate"))</f>
        <v/>
      </c>
      <c r="AI744" s="103" t="str">
        <f aca="false">IF($B744="","",ROUND(SUMIFS('Debt Backlog'!$L$2:$L$1000,'Debt Backlog'!$AF$2:$AF$1000,$A744,'Debt Backlog'!$B$2:$B$1000,"&lt;&gt;",'Debt Backlog'!$N$2:$N$1000,"&lt;&gt;Done",'Debt Backlog'!$N$2:$N$1000,"&lt;&gt;Won't Fix",'Debt Backlog'!$N$2:$N$1000,"&lt;&gt;Duplicate"),2))</f>
        <v/>
      </c>
    </row>
    <row r="745" customFormat="false" ht="15.75" hidden="false" customHeight="true" outlineLevel="0" collapsed="false">
      <c r="A745" s="125"/>
      <c r="B745" s="101"/>
      <c r="C745" s="101"/>
      <c r="D745" s="101"/>
      <c r="E745" s="101"/>
      <c r="F745" s="101"/>
      <c r="G745" s="101"/>
      <c r="H745" s="101"/>
      <c r="I745" s="106"/>
      <c r="J745" s="106"/>
      <c r="K745" s="106"/>
      <c r="L745" s="106"/>
      <c r="M745" s="106"/>
      <c r="N745" s="103" t="str">
        <f aca="false">IF(OR($B745="", $I745="", $J745="", $K745="", $L745="", $M745=""),"",ROUND(($I745*Lists!$AD$2)+($J745*Lists!$AD$3)+($K745*Lists!$AD$4)+($L745*Lists!$AD$5)+($M745*Lists!$AD$6),2))</f>
        <v/>
      </c>
      <c r="O745" s="103" t="str">
        <f aca="false">IF($A745="","",IFERROR(VLOOKUP($A745,'Risk Register'!$B$2:$I$1000,8,FALSE()),""))</f>
        <v/>
      </c>
      <c r="P745" s="106"/>
      <c r="Q745" s="106"/>
      <c r="R745" s="106"/>
      <c r="S745" s="106"/>
      <c r="T745" s="103" t="str">
        <f aca="false">IF(OR($B745="", $P745="", $Q745="", $R745="", $S745=""),"",ROUND(($P745*Lists!$AD$7)+($Q745*Lists!$AD$8)+($R745*Lists!$AD$9)+($S745*Lists!$AD$10),2))</f>
        <v/>
      </c>
      <c r="U745" s="106"/>
      <c r="V745" s="106"/>
      <c r="W745" s="106"/>
      <c r="X745" s="106"/>
      <c r="Y745" s="106"/>
      <c r="Z745" s="103" t="str">
        <f aca="false">IF(OR($B745="", $U745="", $V745="", $W745="", $X745="", $Y745=""),"",ROUND(($U745*Lists!$AD$11)+($V745*Lists!$AD$12)+($W745*Lists!$AD$13)+($X745*Lists!$AD$14)+($Y745*Lists!$AD$15),2))</f>
        <v/>
      </c>
      <c r="AA745" s="103" t="str">
        <f aca="false">IF(OR($B745="", $N745="", $O745="", $T745="", $Z745=""),"",ROUND(($N745*Lists!$AD$16)-($O745*Lists!$AD$17)-($T745*Lists!$AD$18)+($Z745*Lists!$AD$19),2))</f>
        <v/>
      </c>
      <c r="AB745" s="102" t="str">
        <f aca="false">IF(OR($B745="", $N745="", $Z745=""),"",IF($N745&gt;=Lists!$AG$2,IF($Z745&gt;=Lists!$AG$3,"Invest","Migrate"),IF($Z745&gt;=Lists!$AG$3,"Tolerate","Eliminate")))</f>
        <v/>
      </c>
      <c r="AC745" s="102" t="str">
        <f aca="false">IF($B745="","",IF($J745&gt;=4,"Yes",""))</f>
        <v/>
      </c>
      <c r="AD745" s="102" t="str">
        <f aca="false">IF($A745="","",IFERROR(IF(VLOOKUP($A745,'Risk Register'!$B$2:$H$1000,4,FALSE())&gt;=4,"Yes",""),""))</f>
        <v/>
      </c>
      <c r="AE745" s="102" t="str">
        <f aca="false">IF(OR($N745="", $O745=""),"",IF($N745&gt;=Lists!$AG$2,IF($O745&gt;=Lists!$AG$4,"High Value / High Risk","High Value / Low Risk"),IF($O745&gt;=Lists!$AG$4,"Low Value / High Risk","Low Value / Low Risk")))</f>
        <v/>
      </c>
      <c r="AF745" s="101"/>
      <c r="AG745" s="126"/>
      <c r="AH745" s="106" t="str">
        <f aca="false">IF($B745="","",COUNTIFS('Debt Backlog'!$AF$2:$AF$1000,$A745,'Debt Backlog'!$B$2:$B$1000,"&lt;&gt;",'Debt Backlog'!$N$2:$N$1000,"&lt;&gt;Done",'Debt Backlog'!$N$2:$N$1000,"&lt;&gt;Won't Fix",'Debt Backlog'!$N$2:$N$1000,"&lt;&gt;Duplicate"))</f>
        <v/>
      </c>
      <c r="AI745" s="103" t="str">
        <f aca="false">IF($B745="","",ROUND(SUMIFS('Debt Backlog'!$L$2:$L$1000,'Debt Backlog'!$AF$2:$AF$1000,$A745,'Debt Backlog'!$B$2:$B$1000,"&lt;&gt;",'Debt Backlog'!$N$2:$N$1000,"&lt;&gt;Done",'Debt Backlog'!$N$2:$N$1000,"&lt;&gt;Won't Fix",'Debt Backlog'!$N$2:$N$1000,"&lt;&gt;Duplicate"),2))</f>
        <v/>
      </c>
    </row>
    <row r="746" customFormat="false" ht="15.75" hidden="false" customHeight="true" outlineLevel="0" collapsed="false">
      <c r="A746" s="125"/>
      <c r="B746" s="101"/>
      <c r="C746" s="101"/>
      <c r="D746" s="101"/>
      <c r="E746" s="101"/>
      <c r="F746" s="101"/>
      <c r="G746" s="101"/>
      <c r="H746" s="101"/>
      <c r="I746" s="106"/>
      <c r="J746" s="106"/>
      <c r="K746" s="106"/>
      <c r="L746" s="106"/>
      <c r="M746" s="106"/>
      <c r="N746" s="103" t="str">
        <f aca="false">IF(OR($B746="", $I746="", $J746="", $K746="", $L746="", $M746=""),"",ROUND(($I746*Lists!$AD$2)+($J746*Lists!$AD$3)+($K746*Lists!$AD$4)+($L746*Lists!$AD$5)+($M746*Lists!$AD$6),2))</f>
        <v/>
      </c>
      <c r="O746" s="103" t="str">
        <f aca="false">IF($A746="","",IFERROR(VLOOKUP($A746,'Risk Register'!$B$2:$I$1000,8,FALSE()),""))</f>
        <v/>
      </c>
      <c r="P746" s="106"/>
      <c r="Q746" s="106"/>
      <c r="R746" s="106"/>
      <c r="S746" s="106"/>
      <c r="T746" s="103" t="str">
        <f aca="false">IF(OR($B746="", $P746="", $Q746="", $R746="", $S746=""),"",ROUND(($P746*Lists!$AD$7)+($Q746*Lists!$AD$8)+($R746*Lists!$AD$9)+($S746*Lists!$AD$10),2))</f>
        <v/>
      </c>
      <c r="U746" s="106"/>
      <c r="V746" s="106"/>
      <c r="W746" s="106"/>
      <c r="X746" s="106"/>
      <c r="Y746" s="106"/>
      <c r="Z746" s="103" t="str">
        <f aca="false">IF(OR($B746="", $U746="", $V746="", $W746="", $X746="", $Y746=""),"",ROUND(($U746*Lists!$AD$11)+($V746*Lists!$AD$12)+($W746*Lists!$AD$13)+($X746*Lists!$AD$14)+($Y746*Lists!$AD$15),2))</f>
        <v/>
      </c>
      <c r="AA746" s="103" t="str">
        <f aca="false">IF(OR($B746="", $N746="", $O746="", $T746="", $Z746=""),"",ROUND(($N746*Lists!$AD$16)-($O746*Lists!$AD$17)-($T746*Lists!$AD$18)+($Z746*Lists!$AD$19),2))</f>
        <v/>
      </c>
      <c r="AB746" s="102" t="str">
        <f aca="false">IF(OR($B746="", $N746="", $Z746=""),"",IF($N746&gt;=Lists!$AG$2,IF($Z746&gt;=Lists!$AG$3,"Invest","Migrate"),IF($Z746&gt;=Lists!$AG$3,"Tolerate","Eliminate")))</f>
        <v/>
      </c>
      <c r="AC746" s="102" t="str">
        <f aca="false">IF($B746="","",IF($J746&gt;=4,"Yes",""))</f>
        <v/>
      </c>
      <c r="AD746" s="102" t="str">
        <f aca="false">IF($A746="","",IFERROR(IF(VLOOKUP($A746,'Risk Register'!$B$2:$H$1000,4,FALSE())&gt;=4,"Yes",""),""))</f>
        <v/>
      </c>
      <c r="AE746" s="102" t="str">
        <f aca="false">IF(OR($N746="", $O746=""),"",IF($N746&gt;=Lists!$AG$2,IF($O746&gt;=Lists!$AG$4,"High Value / High Risk","High Value / Low Risk"),IF($O746&gt;=Lists!$AG$4,"Low Value / High Risk","Low Value / Low Risk")))</f>
        <v/>
      </c>
      <c r="AF746" s="101"/>
      <c r="AG746" s="126"/>
      <c r="AH746" s="106" t="str">
        <f aca="false">IF($B746="","",COUNTIFS('Debt Backlog'!$AF$2:$AF$1000,$A746,'Debt Backlog'!$B$2:$B$1000,"&lt;&gt;",'Debt Backlog'!$N$2:$N$1000,"&lt;&gt;Done",'Debt Backlog'!$N$2:$N$1000,"&lt;&gt;Won't Fix",'Debt Backlog'!$N$2:$N$1000,"&lt;&gt;Duplicate"))</f>
        <v/>
      </c>
      <c r="AI746" s="103" t="str">
        <f aca="false">IF($B746="","",ROUND(SUMIFS('Debt Backlog'!$L$2:$L$1000,'Debt Backlog'!$AF$2:$AF$1000,$A746,'Debt Backlog'!$B$2:$B$1000,"&lt;&gt;",'Debt Backlog'!$N$2:$N$1000,"&lt;&gt;Done",'Debt Backlog'!$N$2:$N$1000,"&lt;&gt;Won't Fix",'Debt Backlog'!$N$2:$N$1000,"&lt;&gt;Duplicate"),2))</f>
        <v/>
      </c>
    </row>
    <row r="747" customFormat="false" ht="15.75" hidden="false" customHeight="true" outlineLevel="0" collapsed="false">
      <c r="A747" s="125"/>
      <c r="B747" s="101"/>
      <c r="C747" s="101"/>
      <c r="D747" s="101"/>
      <c r="E747" s="101"/>
      <c r="F747" s="101"/>
      <c r="G747" s="101"/>
      <c r="H747" s="101"/>
      <c r="I747" s="106"/>
      <c r="J747" s="106"/>
      <c r="K747" s="106"/>
      <c r="L747" s="106"/>
      <c r="M747" s="106"/>
      <c r="N747" s="103" t="str">
        <f aca="false">IF(OR($B747="", $I747="", $J747="", $K747="", $L747="", $M747=""),"",ROUND(($I747*Lists!$AD$2)+($J747*Lists!$AD$3)+($K747*Lists!$AD$4)+($L747*Lists!$AD$5)+($M747*Lists!$AD$6),2))</f>
        <v/>
      </c>
      <c r="O747" s="103" t="str">
        <f aca="false">IF($A747="","",IFERROR(VLOOKUP($A747,'Risk Register'!$B$2:$I$1000,8,FALSE()),""))</f>
        <v/>
      </c>
      <c r="P747" s="106"/>
      <c r="Q747" s="106"/>
      <c r="R747" s="106"/>
      <c r="S747" s="106"/>
      <c r="T747" s="103" t="str">
        <f aca="false">IF(OR($B747="", $P747="", $Q747="", $R747="", $S747=""),"",ROUND(($P747*Lists!$AD$7)+($Q747*Lists!$AD$8)+($R747*Lists!$AD$9)+($S747*Lists!$AD$10),2))</f>
        <v/>
      </c>
      <c r="U747" s="106"/>
      <c r="V747" s="106"/>
      <c r="W747" s="106"/>
      <c r="X747" s="106"/>
      <c r="Y747" s="106"/>
      <c r="Z747" s="103" t="str">
        <f aca="false">IF(OR($B747="", $U747="", $V747="", $W747="", $X747="", $Y747=""),"",ROUND(($U747*Lists!$AD$11)+($V747*Lists!$AD$12)+($W747*Lists!$AD$13)+($X747*Lists!$AD$14)+($Y747*Lists!$AD$15),2))</f>
        <v/>
      </c>
      <c r="AA747" s="103" t="str">
        <f aca="false">IF(OR($B747="", $N747="", $O747="", $T747="", $Z747=""),"",ROUND(($N747*Lists!$AD$16)-($O747*Lists!$AD$17)-($T747*Lists!$AD$18)+($Z747*Lists!$AD$19),2))</f>
        <v/>
      </c>
      <c r="AB747" s="102" t="str">
        <f aca="false">IF(OR($B747="", $N747="", $Z747=""),"",IF($N747&gt;=Lists!$AG$2,IF($Z747&gt;=Lists!$AG$3,"Invest","Migrate"),IF($Z747&gt;=Lists!$AG$3,"Tolerate","Eliminate")))</f>
        <v/>
      </c>
      <c r="AC747" s="102" t="str">
        <f aca="false">IF($B747="","",IF($J747&gt;=4,"Yes",""))</f>
        <v/>
      </c>
      <c r="AD747" s="102" t="str">
        <f aca="false">IF($A747="","",IFERROR(IF(VLOOKUP($A747,'Risk Register'!$B$2:$H$1000,4,FALSE())&gt;=4,"Yes",""),""))</f>
        <v/>
      </c>
      <c r="AE747" s="102" t="str">
        <f aca="false">IF(OR($N747="", $O747=""),"",IF($N747&gt;=Lists!$AG$2,IF($O747&gt;=Lists!$AG$4,"High Value / High Risk","High Value / Low Risk"),IF($O747&gt;=Lists!$AG$4,"Low Value / High Risk","Low Value / Low Risk")))</f>
        <v/>
      </c>
      <c r="AF747" s="101"/>
      <c r="AG747" s="126"/>
      <c r="AH747" s="106" t="str">
        <f aca="false">IF($B747="","",COUNTIFS('Debt Backlog'!$AF$2:$AF$1000,$A747,'Debt Backlog'!$B$2:$B$1000,"&lt;&gt;",'Debt Backlog'!$N$2:$N$1000,"&lt;&gt;Done",'Debt Backlog'!$N$2:$N$1000,"&lt;&gt;Won't Fix",'Debt Backlog'!$N$2:$N$1000,"&lt;&gt;Duplicate"))</f>
        <v/>
      </c>
      <c r="AI747" s="103" t="str">
        <f aca="false">IF($B747="","",ROUND(SUMIFS('Debt Backlog'!$L$2:$L$1000,'Debt Backlog'!$AF$2:$AF$1000,$A747,'Debt Backlog'!$B$2:$B$1000,"&lt;&gt;",'Debt Backlog'!$N$2:$N$1000,"&lt;&gt;Done",'Debt Backlog'!$N$2:$N$1000,"&lt;&gt;Won't Fix",'Debt Backlog'!$N$2:$N$1000,"&lt;&gt;Duplicate"),2))</f>
        <v/>
      </c>
    </row>
    <row r="748" customFormat="false" ht="15.75" hidden="false" customHeight="true" outlineLevel="0" collapsed="false">
      <c r="A748" s="125"/>
      <c r="B748" s="101"/>
      <c r="C748" s="101"/>
      <c r="D748" s="101"/>
      <c r="E748" s="101"/>
      <c r="F748" s="101"/>
      <c r="G748" s="101"/>
      <c r="H748" s="101"/>
      <c r="I748" s="106"/>
      <c r="J748" s="106"/>
      <c r="K748" s="106"/>
      <c r="L748" s="106"/>
      <c r="M748" s="106"/>
      <c r="N748" s="103" t="str">
        <f aca="false">IF(OR($B748="", $I748="", $J748="", $K748="", $L748="", $M748=""),"",ROUND(($I748*Lists!$AD$2)+($J748*Lists!$AD$3)+($K748*Lists!$AD$4)+($L748*Lists!$AD$5)+($M748*Lists!$AD$6),2))</f>
        <v/>
      </c>
      <c r="O748" s="103" t="str">
        <f aca="false">IF($A748="","",IFERROR(VLOOKUP($A748,'Risk Register'!$B$2:$I$1000,8,FALSE()),""))</f>
        <v/>
      </c>
      <c r="P748" s="106"/>
      <c r="Q748" s="106"/>
      <c r="R748" s="106"/>
      <c r="S748" s="106"/>
      <c r="T748" s="103" t="str">
        <f aca="false">IF(OR($B748="", $P748="", $Q748="", $R748="", $S748=""),"",ROUND(($P748*Lists!$AD$7)+($Q748*Lists!$AD$8)+($R748*Lists!$AD$9)+($S748*Lists!$AD$10),2))</f>
        <v/>
      </c>
      <c r="U748" s="106"/>
      <c r="V748" s="106"/>
      <c r="W748" s="106"/>
      <c r="X748" s="106"/>
      <c r="Y748" s="106"/>
      <c r="Z748" s="103" t="str">
        <f aca="false">IF(OR($B748="", $U748="", $V748="", $W748="", $X748="", $Y748=""),"",ROUND(($U748*Lists!$AD$11)+($V748*Lists!$AD$12)+($W748*Lists!$AD$13)+($X748*Lists!$AD$14)+($Y748*Lists!$AD$15),2))</f>
        <v/>
      </c>
      <c r="AA748" s="103" t="str">
        <f aca="false">IF(OR($B748="", $N748="", $O748="", $T748="", $Z748=""),"",ROUND(($N748*Lists!$AD$16)-($O748*Lists!$AD$17)-($T748*Lists!$AD$18)+($Z748*Lists!$AD$19),2))</f>
        <v/>
      </c>
      <c r="AB748" s="102" t="str">
        <f aca="false">IF(OR($B748="", $N748="", $Z748=""),"",IF($N748&gt;=Lists!$AG$2,IF($Z748&gt;=Lists!$AG$3,"Invest","Migrate"),IF($Z748&gt;=Lists!$AG$3,"Tolerate","Eliminate")))</f>
        <v/>
      </c>
      <c r="AC748" s="102" t="str">
        <f aca="false">IF($B748="","",IF($J748&gt;=4,"Yes",""))</f>
        <v/>
      </c>
      <c r="AD748" s="102" t="str">
        <f aca="false">IF($A748="","",IFERROR(IF(VLOOKUP($A748,'Risk Register'!$B$2:$H$1000,4,FALSE())&gt;=4,"Yes",""),""))</f>
        <v/>
      </c>
      <c r="AE748" s="102" t="str">
        <f aca="false">IF(OR($N748="", $O748=""),"",IF($N748&gt;=Lists!$AG$2,IF($O748&gt;=Lists!$AG$4,"High Value / High Risk","High Value / Low Risk"),IF($O748&gt;=Lists!$AG$4,"Low Value / High Risk","Low Value / Low Risk")))</f>
        <v/>
      </c>
      <c r="AF748" s="101"/>
      <c r="AG748" s="126"/>
      <c r="AH748" s="106" t="str">
        <f aca="false">IF($B748="","",COUNTIFS('Debt Backlog'!$AF$2:$AF$1000,$A748,'Debt Backlog'!$B$2:$B$1000,"&lt;&gt;",'Debt Backlog'!$N$2:$N$1000,"&lt;&gt;Done",'Debt Backlog'!$N$2:$N$1000,"&lt;&gt;Won't Fix",'Debt Backlog'!$N$2:$N$1000,"&lt;&gt;Duplicate"))</f>
        <v/>
      </c>
      <c r="AI748" s="103" t="str">
        <f aca="false">IF($B748="","",ROUND(SUMIFS('Debt Backlog'!$L$2:$L$1000,'Debt Backlog'!$AF$2:$AF$1000,$A748,'Debt Backlog'!$B$2:$B$1000,"&lt;&gt;",'Debt Backlog'!$N$2:$N$1000,"&lt;&gt;Done",'Debt Backlog'!$N$2:$N$1000,"&lt;&gt;Won't Fix",'Debt Backlog'!$N$2:$N$1000,"&lt;&gt;Duplicate"),2))</f>
        <v/>
      </c>
    </row>
    <row r="749" customFormat="false" ht="15.75" hidden="false" customHeight="true" outlineLevel="0" collapsed="false">
      <c r="A749" s="125"/>
      <c r="B749" s="101"/>
      <c r="C749" s="101"/>
      <c r="D749" s="101"/>
      <c r="E749" s="101"/>
      <c r="F749" s="101"/>
      <c r="G749" s="101"/>
      <c r="H749" s="101"/>
      <c r="I749" s="106"/>
      <c r="J749" s="106"/>
      <c r="K749" s="106"/>
      <c r="L749" s="106"/>
      <c r="M749" s="106"/>
      <c r="N749" s="103" t="str">
        <f aca="false">IF(OR($B749="", $I749="", $J749="", $K749="", $L749="", $M749=""),"",ROUND(($I749*Lists!$AD$2)+($J749*Lists!$AD$3)+($K749*Lists!$AD$4)+($L749*Lists!$AD$5)+($M749*Lists!$AD$6),2))</f>
        <v/>
      </c>
      <c r="O749" s="103" t="str">
        <f aca="false">IF($A749="","",IFERROR(VLOOKUP($A749,'Risk Register'!$B$2:$I$1000,8,FALSE()),""))</f>
        <v/>
      </c>
      <c r="P749" s="106"/>
      <c r="Q749" s="106"/>
      <c r="R749" s="106"/>
      <c r="S749" s="106"/>
      <c r="T749" s="103" t="str">
        <f aca="false">IF(OR($B749="", $P749="", $Q749="", $R749="", $S749=""),"",ROUND(($P749*Lists!$AD$7)+($Q749*Lists!$AD$8)+($R749*Lists!$AD$9)+($S749*Lists!$AD$10),2))</f>
        <v/>
      </c>
      <c r="U749" s="106"/>
      <c r="V749" s="106"/>
      <c r="W749" s="106"/>
      <c r="X749" s="106"/>
      <c r="Y749" s="106"/>
      <c r="Z749" s="103" t="str">
        <f aca="false">IF(OR($B749="", $U749="", $V749="", $W749="", $X749="", $Y749=""),"",ROUND(($U749*Lists!$AD$11)+($V749*Lists!$AD$12)+($W749*Lists!$AD$13)+($X749*Lists!$AD$14)+($Y749*Lists!$AD$15),2))</f>
        <v/>
      </c>
      <c r="AA749" s="103" t="str">
        <f aca="false">IF(OR($B749="", $N749="", $O749="", $T749="", $Z749=""),"",ROUND(($N749*Lists!$AD$16)-($O749*Lists!$AD$17)-($T749*Lists!$AD$18)+($Z749*Lists!$AD$19),2))</f>
        <v/>
      </c>
      <c r="AB749" s="102" t="str">
        <f aca="false">IF(OR($B749="", $N749="", $Z749=""),"",IF($N749&gt;=Lists!$AG$2,IF($Z749&gt;=Lists!$AG$3,"Invest","Migrate"),IF($Z749&gt;=Lists!$AG$3,"Tolerate","Eliminate")))</f>
        <v/>
      </c>
      <c r="AC749" s="102" t="str">
        <f aca="false">IF($B749="","",IF($J749&gt;=4,"Yes",""))</f>
        <v/>
      </c>
      <c r="AD749" s="102" t="str">
        <f aca="false">IF($A749="","",IFERROR(IF(VLOOKUP($A749,'Risk Register'!$B$2:$H$1000,4,FALSE())&gt;=4,"Yes",""),""))</f>
        <v/>
      </c>
      <c r="AE749" s="102" t="str">
        <f aca="false">IF(OR($N749="", $O749=""),"",IF($N749&gt;=Lists!$AG$2,IF($O749&gt;=Lists!$AG$4,"High Value / High Risk","High Value / Low Risk"),IF($O749&gt;=Lists!$AG$4,"Low Value / High Risk","Low Value / Low Risk")))</f>
        <v/>
      </c>
      <c r="AF749" s="101"/>
      <c r="AG749" s="126"/>
      <c r="AH749" s="106" t="str">
        <f aca="false">IF($B749="","",COUNTIFS('Debt Backlog'!$AF$2:$AF$1000,$A749,'Debt Backlog'!$B$2:$B$1000,"&lt;&gt;",'Debt Backlog'!$N$2:$N$1000,"&lt;&gt;Done",'Debt Backlog'!$N$2:$N$1000,"&lt;&gt;Won't Fix",'Debt Backlog'!$N$2:$N$1000,"&lt;&gt;Duplicate"))</f>
        <v/>
      </c>
      <c r="AI749" s="103" t="str">
        <f aca="false">IF($B749="","",ROUND(SUMIFS('Debt Backlog'!$L$2:$L$1000,'Debt Backlog'!$AF$2:$AF$1000,$A749,'Debt Backlog'!$B$2:$B$1000,"&lt;&gt;",'Debt Backlog'!$N$2:$N$1000,"&lt;&gt;Done",'Debt Backlog'!$N$2:$N$1000,"&lt;&gt;Won't Fix",'Debt Backlog'!$N$2:$N$1000,"&lt;&gt;Duplicate"),2))</f>
        <v/>
      </c>
    </row>
    <row r="750" customFormat="false" ht="15.75" hidden="false" customHeight="true" outlineLevel="0" collapsed="false">
      <c r="A750" s="125"/>
      <c r="B750" s="101"/>
      <c r="C750" s="101"/>
      <c r="D750" s="101"/>
      <c r="E750" s="101"/>
      <c r="F750" s="101"/>
      <c r="G750" s="101"/>
      <c r="H750" s="101"/>
      <c r="I750" s="106"/>
      <c r="J750" s="106"/>
      <c r="K750" s="106"/>
      <c r="L750" s="106"/>
      <c r="M750" s="106"/>
      <c r="N750" s="103" t="str">
        <f aca="false">IF(OR($B750="", $I750="", $J750="", $K750="", $L750="", $M750=""),"",ROUND(($I750*Lists!$AD$2)+($J750*Lists!$AD$3)+($K750*Lists!$AD$4)+($L750*Lists!$AD$5)+($M750*Lists!$AD$6),2))</f>
        <v/>
      </c>
      <c r="O750" s="103" t="str">
        <f aca="false">IF($A750="","",IFERROR(VLOOKUP($A750,'Risk Register'!$B$2:$I$1000,8,FALSE()),""))</f>
        <v/>
      </c>
      <c r="P750" s="106"/>
      <c r="Q750" s="106"/>
      <c r="R750" s="106"/>
      <c r="S750" s="106"/>
      <c r="T750" s="103" t="str">
        <f aca="false">IF(OR($B750="", $P750="", $Q750="", $R750="", $S750=""),"",ROUND(($P750*Lists!$AD$7)+($Q750*Lists!$AD$8)+($R750*Lists!$AD$9)+($S750*Lists!$AD$10),2))</f>
        <v/>
      </c>
      <c r="U750" s="106"/>
      <c r="V750" s="106"/>
      <c r="W750" s="106"/>
      <c r="X750" s="106"/>
      <c r="Y750" s="106"/>
      <c r="Z750" s="103" t="str">
        <f aca="false">IF(OR($B750="", $U750="", $V750="", $W750="", $X750="", $Y750=""),"",ROUND(($U750*Lists!$AD$11)+($V750*Lists!$AD$12)+($W750*Lists!$AD$13)+($X750*Lists!$AD$14)+($Y750*Lists!$AD$15),2))</f>
        <v/>
      </c>
      <c r="AA750" s="103" t="str">
        <f aca="false">IF(OR($B750="", $N750="", $O750="", $T750="", $Z750=""),"",ROUND(($N750*Lists!$AD$16)-($O750*Lists!$AD$17)-($T750*Lists!$AD$18)+($Z750*Lists!$AD$19),2))</f>
        <v/>
      </c>
      <c r="AB750" s="102" t="str">
        <f aca="false">IF(OR($B750="", $N750="", $Z750=""),"",IF($N750&gt;=Lists!$AG$2,IF($Z750&gt;=Lists!$AG$3,"Invest","Migrate"),IF($Z750&gt;=Lists!$AG$3,"Tolerate","Eliminate")))</f>
        <v/>
      </c>
      <c r="AC750" s="102" t="str">
        <f aca="false">IF($B750="","",IF($J750&gt;=4,"Yes",""))</f>
        <v/>
      </c>
      <c r="AD750" s="102" t="str">
        <f aca="false">IF($A750="","",IFERROR(IF(VLOOKUP($A750,'Risk Register'!$B$2:$H$1000,4,FALSE())&gt;=4,"Yes",""),""))</f>
        <v/>
      </c>
      <c r="AE750" s="102" t="str">
        <f aca="false">IF(OR($N750="", $O750=""),"",IF($N750&gt;=Lists!$AG$2,IF($O750&gt;=Lists!$AG$4,"High Value / High Risk","High Value / Low Risk"),IF($O750&gt;=Lists!$AG$4,"Low Value / High Risk","Low Value / Low Risk")))</f>
        <v/>
      </c>
      <c r="AF750" s="101"/>
      <c r="AG750" s="126"/>
      <c r="AH750" s="106" t="str">
        <f aca="false">IF($B750="","",COUNTIFS('Debt Backlog'!$AF$2:$AF$1000,$A750,'Debt Backlog'!$B$2:$B$1000,"&lt;&gt;",'Debt Backlog'!$N$2:$N$1000,"&lt;&gt;Done",'Debt Backlog'!$N$2:$N$1000,"&lt;&gt;Won't Fix",'Debt Backlog'!$N$2:$N$1000,"&lt;&gt;Duplicate"))</f>
        <v/>
      </c>
      <c r="AI750" s="103" t="str">
        <f aca="false">IF($B750="","",ROUND(SUMIFS('Debt Backlog'!$L$2:$L$1000,'Debt Backlog'!$AF$2:$AF$1000,$A750,'Debt Backlog'!$B$2:$B$1000,"&lt;&gt;",'Debt Backlog'!$N$2:$N$1000,"&lt;&gt;Done",'Debt Backlog'!$N$2:$N$1000,"&lt;&gt;Won't Fix",'Debt Backlog'!$N$2:$N$1000,"&lt;&gt;Duplicate"),2))</f>
        <v/>
      </c>
    </row>
    <row r="751" customFormat="false" ht="15.75" hidden="false" customHeight="true" outlineLevel="0" collapsed="false">
      <c r="A751" s="125"/>
      <c r="B751" s="101"/>
      <c r="C751" s="101"/>
      <c r="D751" s="101"/>
      <c r="E751" s="101"/>
      <c r="F751" s="101"/>
      <c r="G751" s="101"/>
      <c r="H751" s="101"/>
      <c r="I751" s="106"/>
      <c r="J751" s="106"/>
      <c r="K751" s="106"/>
      <c r="L751" s="106"/>
      <c r="M751" s="106"/>
      <c r="N751" s="103" t="str">
        <f aca="false">IF(OR($B751="", $I751="", $J751="", $K751="", $L751="", $M751=""),"",ROUND(($I751*Lists!$AD$2)+($J751*Lists!$AD$3)+($K751*Lists!$AD$4)+($L751*Lists!$AD$5)+($M751*Lists!$AD$6),2))</f>
        <v/>
      </c>
      <c r="O751" s="103" t="str">
        <f aca="false">IF($A751="","",IFERROR(VLOOKUP($A751,'Risk Register'!$B$2:$I$1000,8,FALSE()),""))</f>
        <v/>
      </c>
      <c r="P751" s="106"/>
      <c r="Q751" s="106"/>
      <c r="R751" s="106"/>
      <c r="S751" s="106"/>
      <c r="T751" s="103" t="str">
        <f aca="false">IF(OR($B751="", $P751="", $Q751="", $R751="", $S751=""),"",ROUND(($P751*Lists!$AD$7)+($Q751*Lists!$AD$8)+($R751*Lists!$AD$9)+($S751*Lists!$AD$10),2))</f>
        <v/>
      </c>
      <c r="U751" s="106"/>
      <c r="V751" s="106"/>
      <c r="W751" s="106"/>
      <c r="X751" s="106"/>
      <c r="Y751" s="106"/>
      <c r="Z751" s="103" t="str">
        <f aca="false">IF(OR($B751="", $U751="", $V751="", $W751="", $X751="", $Y751=""),"",ROUND(($U751*Lists!$AD$11)+($V751*Lists!$AD$12)+($W751*Lists!$AD$13)+($X751*Lists!$AD$14)+($Y751*Lists!$AD$15),2))</f>
        <v/>
      </c>
      <c r="AA751" s="103" t="str">
        <f aca="false">IF(OR($B751="", $N751="", $O751="", $T751="", $Z751=""),"",ROUND(($N751*Lists!$AD$16)-($O751*Lists!$AD$17)-($T751*Lists!$AD$18)+($Z751*Lists!$AD$19),2))</f>
        <v/>
      </c>
      <c r="AB751" s="102" t="str">
        <f aca="false">IF(OR($B751="", $N751="", $Z751=""),"",IF($N751&gt;=Lists!$AG$2,IF($Z751&gt;=Lists!$AG$3,"Invest","Migrate"),IF($Z751&gt;=Lists!$AG$3,"Tolerate","Eliminate")))</f>
        <v/>
      </c>
      <c r="AC751" s="102" t="str">
        <f aca="false">IF($B751="","",IF($J751&gt;=4,"Yes",""))</f>
        <v/>
      </c>
      <c r="AD751" s="102" t="str">
        <f aca="false">IF($A751="","",IFERROR(IF(VLOOKUP($A751,'Risk Register'!$B$2:$H$1000,4,FALSE())&gt;=4,"Yes",""),""))</f>
        <v/>
      </c>
      <c r="AE751" s="102" t="str">
        <f aca="false">IF(OR($N751="", $O751=""),"",IF($N751&gt;=Lists!$AG$2,IF($O751&gt;=Lists!$AG$4,"High Value / High Risk","High Value / Low Risk"),IF($O751&gt;=Lists!$AG$4,"Low Value / High Risk","Low Value / Low Risk")))</f>
        <v/>
      </c>
      <c r="AF751" s="101"/>
      <c r="AG751" s="126"/>
      <c r="AH751" s="106" t="str">
        <f aca="false">IF($B751="","",COUNTIFS('Debt Backlog'!$AF$2:$AF$1000,$A751,'Debt Backlog'!$B$2:$B$1000,"&lt;&gt;",'Debt Backlog'!$N$2:$N$1000,"&lt;&gt;Done",'Debt Backlog'!$N$2:$N$1000,"&lt;&gt;Won't Fix",'Debt Backlog'!$N$2:$N$1000,"&lt;&gt;Duplicate"))</f>
        <v/>
      </c>
      <c r="AI751" s="103" t="str">
        <f aca="false">IF($B751="","",ROUND(SUMIFS('Debt Backlog'!$L$2:$L$1000,'Debt Backlog'!$AF$2:$AF$1000,$A751,'Debt Backlog'!$B$2:$B$1000,"&lt;&gt;",'Debt Backlog'!$N$2:$N$1000,"&lt;&gt;Done",'Debt Backlog'!$N$2:$N$1000,"&lt;&gt;Won't Fix",'Debt Backlog'!$N$2:$N$1000,"&lt;&gt;Duplicate"),2))</f>
        <v/>
      </c>
    </row>
    <row r="752" customFormat="false" ht="15.75" hidden="false" customHeight="true" outlineLevel="0" collapsed="false">
      <c r="A752" s="125"/>
      <c r="B752" s="101"/>
      <c r="C752" s="101"/>
      <c r="D752" s="101"/>
      <c r="E752" s="101"/>
      <c r="F752" s="101"/>
      <c r="G752" s="101"/>
      <c r="H752" s="101"/>
      <c r="I752" s="106"/>
      <c r="J752" s="106"/>
      <c r="K752" s="106"/>
      <c r="L752" s="106"/>
      <c r="M752" s="106"/>
      <c r="N752" s="103" t="str">
        <f aca="false">IF(OR($B752="", $I752="", $J752="", $K752="", $L752="", $M752=""),"",ROUND(($I752*Lists!$AD$2)+($J752*Lists!$AD$3)+($K752*Lists!$AD$4)+($L752*Lists!$AD$5)+($M752*Lists!$AD$6),2))</f>
        <v/>
      </c>
      <c r="O752" s="103" t="str">
        <f aca="false">IF($A752="","",IFERROR(VLOOKUP($A752,'Risk Register'!$B$2:$I$1000,8,FALSE()),""))</f>
        <v/>
      </c>
      <c r="P752" s="106"/>
      <c r="Q752" s="106"/>
      <c r="R752" s="106"/>
      <c r="S752" s="106"/>
      <c r="T752" s="103" t="str">
        <f aca="false">IF(OR($B752="", $P752="", $Q752="", $R752="", $S752=""),"",ROUND(($P752*Lists!$AD$7)+($Q752*Lists!$AD$8)+($R752*Lists!$AD$9)+($S752*Lists!$AD$10),2))</f>
        <v/>
      </c>
      <c r="U752" s="106"/>
      <c r="V752" s="106"/>
      <c r="W752" s="106"/>
      <c r="X752" s="106"/>
      <c r="Y752" s="106"/>
      <c r="Z752" s="103" t="str">
        <f aca="false">IF(OR($B752="", $U752="", $V752="", $W752="", $X752="", $Y752=""),"",ROUND(($U752*Lists!$AD$11)+($V752*Lists!$AD$12)+($W752*Lists!$AD$13)+($X752*Lists!$AD$14)+($Y752*Lists!$AD$15),2))</f>
        <v/>
      </c>
      <c r="AA752" s="103" t="str">
        <f aca="false">IF(OR($B752="", $N752="", $O752="", $T752="", $Z752=""),"",ROUND(($N752*Lists!$AD$16)-($O752*Lists!$AD$17)-($T752*Lists!$AD$18)+($Z752*Lists!$AD$19),2))</f>
        <v/>
      </c>
      <c r="AB752" s="102" t="str">
        <f aca="false">IF(OR($B752="", $N752="", $Z752=""),"",IF($N752&gt;=Lists!$AG$2,IF($Z752&gt;=Lists!$AG$3,"Invest","Migrate"),IF($Z752&gt;=Lists!$AG$3,"Tolerate","Eliminate")))</f>
        <v/>
      </c>
      <c r="AC752" s="102" t="str">
        <f aca="false">IF($B752="","",IF($J752&gt;=4,"Yes",""))</f>
        <v/>
      </c>
      <c r="AD752" s="102" t="str">
        <f aca="false">IF($A752="","",IFERROR(IF(VLOOKUP($A752,'Risk Register'!$B$2:$H$1000,4,FALSE())&gt;=4,"Yes",""),""))</f>
        <v/>
      </c>
      <c r="AE752" s="102" t="str">
        <f aca="false">IF(OR($N752="", $O752=""),"",IF($N752&gt;=Lists!$AG$2,IF($O752&gt;=Lists!$AG$4,"High Value / High Risk","High Value / Low Risk"),IF($O752&gt;=Lists!$AG$4,"Low Value / High Risk","Low Value / Low Risk")))</f>
        <v/>
      </c>
      <c r="AF752" s="101"/>
      <c r="AG752" s="126"/>
      <c r="AH752" s="106" t="str">
        <f aca="false">IF($B752="","",COUNTIFS('Debt Backlog'!$AF$2:$AF$1000,$A752,'Debt Backlog'!$B$2:$B$1000,"&lt;&gt;",'Debt Backlog'!$N$2:$N$1000,"&lt;&gt;Done",'Debt Backlog'!$N$2:$N$1000,"&lt;&gt;Won't Fix",'Debt Backlog'!$N$2:$N$1000,"&lt;&gt;Duplicate"))</f>
        <v/>
      </c>
      <c r="AI752" s="103" t="str">
        <f aca="false">IF($B752="","",ROUND(SUMIFS('Debt Backlog'!$L$2:$L$1000,'Debt Backlog'!$AF$2:$AF$1000,$A752,'Debt Backlog'!$B$2:$B$1000,"&lt;&gt;",'Debt Backlog'!$N$2:$N$1000,"&lt;&gt;Done",'Debt Backlog'!$N$2:$N$1000,"&lt;&gt;Won't Fix",'Debt Backlog'!$N$2:$N$1000,"&lt;&gt;Duplicate"),2))</f>
        <v/>
      </c>
    </row>
    <row r="753" customFormat="false" ht="15.75" hidden="false" customHeight="true" outlineLevel="0" collapsed="false">
      <c r="A753" s="125"/>
      <c r="B753" s="101"/>
      <c r="C753" s="101"/>
      <c r="D753" s="101"/>
      <c r="E753" s="101"/>
      <c r="F753" s="101"/>
      <c r="G753" s="101"/>
      <c r="H753" s="101"/>
      <c r="I753" s="106"/>
      <c r="J753" s="106"/>
      <c r="K753" s="106"/>
      <c r="L753" s="106"/>
      <c r="M753" s="106"/>
      <c r="N753" s="103" t="str">
        <f aca="false">IF(OR($B753="", $I753="", $J753="", $K753="", $L753="", $M753=""),"",ROUND(($I753*Lists!$AD$2)+($J753*Lists!$AD$3)+($K753*Lists!$AD$4)+($L753*Lists!$AD$5)+($M753*Lists!$AD$6),2))</f>
        <v/>
      </c>
      <c r="O753" s="103" t="str">
        <f aca="false">IF($A753="","",IFERROR(VLOOKUP($A753,'Risk Register'!$B$2:$I$1000,8,FALSE()),""))</f>
        <v/>
      </c>
      <c r="P753" s="106"/>
      <c r="Q753" s="106"/>
      <c r="R753" s="106"/>
      <c r="S753" s="106"/>
      <c r="T753" s="103" t="str">
        <f aca="false">IF(OR($B753="", $P753="", $Q753="", $R753="", $S753=""),"",ROUND(($P753*Lists!$AD$7)+($Q753*Lists!$AD$8)+($R753*Lists!$AD$9)+($S753*Lists!$AD$10),2))</f>
        <v/>
      </c>
      <c r="U753" s="106"/>
      <c r="V753" s="106"/>
      <c r="W753" s="106"/>
      <c r="X753" s="106"/>
      <c r="Y753" s="106"/>
      <c r="Z753" s="103" t="str">
        <f aca="false">IF(OR($B753="", $U753="", $V753="", $W753="", $X753="", $Y753=""),"",ROUND(($U753*Lists!$AD$11)+($V753*Lists!$AD$12)+($W753*Lists!$AD$13)+($X753*Lists!$AD$14)+($Y753*Lists!$AD$15),2))</f>
        <v/>
      </c>
      <c r="AA753" s="103" t="str">
        <f aca="false">IF(OR($B753="", $N753="", $O753="", $T753="", $Z753=""),"",ROUND(($N753*Lists!$AD$16)-($O753*Lists!$AD$17)-($T753*Lists!$AD$18)+($Z753*Lists!$AD$19),2))</f>
        <v/>
      </c>
      <c r="AB753" s="102" t="str">
        <f aca="false">IF(OR($B753="", $N753="", $Z753=""),"",IF($N753&gt;=Lists!$AG$2,IF($Z753&gt;=Lists!$AG$3,"Invest","Migrate"),IF($Z753&gt;=Lists!$AG$3,"Tolerate","Eliminate")))</f>
        <v/>
      </c>
      <c r="AC753" s="102" t="str">
        <f aca="false">IF($B753="","",IF($J753&gt;=4,"Yes",""))</f>
        <v/>
      </c>
      <c r="AD753" s="102" t="str">
        <f aca="false">IF($A753="","",IFERROR(IF(VLOOKUP($A753,'Risk Register'!$B$2:$H$1000,4,FALSE())&gt;=4,"Yes",""),""))</f>
        <v/>
      </c>
      <c r="AE753" s="102" t="str">
        <f aca="false">IF(OR($N753="", $O753=""),"",IF($N753&gt;=Lists!$AG$2,IF($O753&gt;=Lists!$AG$4,"High Value / High Risk","High Value / Low Risk"),IF($O753&gt;=Lists!$AG$4,"Low Value / High Risk","Low Value / Low Risk")))</f>
        <v/>
      </c>
      <c r="AF753" s="101"/>
      <c r="AG753" s="126"/>
      <c r="AH753" s="106" t="str">
        <f aca="false">IF($B753="","",COUNTIFS('Debt Backlog'!$AF$2:$AF$1000,$A753,'Debt Backlog'!$B$2:$B$1000,"&lt;&gt;",'Debt Backlog'!$N$2:$N$1000,"&lt;&gt;Done",'Debt Backlog'!$N$2:$N$1000,"&lt;&gt;Won't Fix",'Debt Backlog'!$N$2:$N$1000,"&lt;&gt;Duplicate"))</f>
        <v/>
      </c>
      <c r="AI753" s="103" t="str">
        <f aca="false">IF($B753="","",ROUND(SUMIFS('Debt Backlog'!$L$2:$L$1000,'Debt Backlog'!$AF$2:$AF$1000,$A753,'Debt Backlog'!$B$2:$B$1000,"&lt;&gt;",'Debt Backlog'!$N$2:$N$1000,"&lt;&gt;Done",'Debt Backlog'!$N$2:$N$1000,"&lt;&gt;Won't Fix",'Debt Backlog'!$N$2:$N$1000,"&lt;&gt;Duplicate"),2))</f>
        <v/>
      </c>
    </row>
    <row r="754" customFormat="false" ht="15.75" hidden="false" customHeight="true" outlineLevel="0" collapsed="false">
      <c r="A754" s="125"/>
      <c r="B754" s="101"/>
      <c r="C754" s="101"/>
      <c r="D754" s="101"/>
      <c r="E754" s="101"/>
      <c r="F754" s="101"/>
      <c r="G754" s="101"/>
      <c r="H754" s="101"/>
      <c r="I754" s="106"/>
      <c r="J754" s="106"/>
      <c r="K754" s="106"/>
      <c r="L754" s="106"/>
      <c r="M754" s="106"/>
      <c r="N754" s="103" t="str">
        <f aca="false">IF(OR($B754="", $I754="", $J754="", $K754="", $L754="", $M754=""),"",ROUND(($I754*Lists!$AD$2)+($J754*Lists!$AD$3)+($K754*Lists!$AD$4)+($L754*Lists!$AD$5)+($M754*Lists!$AD$6),2))</f>
        <v/>
      </c>
      <c r="O754" s="103" t="str">
        <f aca="false">IF($A754="","",IFERROR(VLOOKUP($A754,'Risk Register'!$B$2:$I$1000,8,FALSE()),""))</f>
        <v/>
      </c>
      <c r="P754" s="106"/>
      <c r="Q754" s="106"/>
      <c r="R754" s="106"/>
      <c r="S754" s="106"/>
      <c r="T754" s="103" t="str">
        <f aca="false">IF(OR($B754="", $P754="", $Q754="", $R754="", $S754=""),"",ROUND(($P754*Lists!$AD$7)+($Q754*Lists!$AD$8)+($R754*Lists!$AD$9)+($S754*Lists!$AD$10),2))</f>
        <v/>
      </c>
      <c r="U754" s="106"/>
      <c r="V754" s="106"/>
      <c r="W754" s="106"/>
      <c r="X754" s="106"/>
      <c r="Y754" s="106"/>
      <c r="Z754" s="103" t="str">
        <f aca="false">IF(OR($B754="", $U754="", $V754="", $W754="", $X754="", $Y754=""),"",ROUND(($U754*Lists!$AD$11)+($V754*Lists!$AD$12)+($W754*Lists!$AD$13)+($X754*Lists!$AD$14)+($Y754*Lists!$AD$15),2))</f>
        <v/>
      </c>
      <c r="AA754" s="103" t="str">
        <f aca="false">IF(OR($B754="", $N754="", $O754="", $T754="", $Z754=""),"",ROUND(($N754*Lists!$AD$16)-($O754*Lists!$AD$17)-($T754*Lists!$AD$18)+($Z754*Lists!$AD$19),2))</f>
        <v/>
      </c>
      <c r="AB754" s="102" t="str">
        <f aca="false">IF(OR($B754="", $N754="", $Z754=""),"",IF($N754&gt;=Lists!$AG$2,IF($Z754&gt;=Lists!$AG$3,"Invest","Migrate"),IF($Z754&gt;=Lists!$AG$3,"Tolerate","Eliminate")))</f>
        <v/>
      </c>
      <c r="AC754" s="102" t="str">
        <f aca="false">IF($B754="","",IF($J754&gt;=4,"Yes",""))</f>
        <v/>
      </c>
      <c r="AD754" s="102" t="str">
        <f aca="false">IF($A754="","",IFERROR(IF(VLOOKUP($A754,'Risk Register'!$B$2:$H$1000,4,FALSE())&gt;=4,"Yes",""),""))</f>
        <v/>
      </c>
      <c r="AE754" s="102" t="str">
        <f aca="false">IF(OR($N754="", $O754=""),"",IF($N754&gt;=Lists!$AG$2,IF($O754&gt;=Lists!$AG$4,"High Value / High Risk","High Value / Low Risk"),IF($O754&gt;=Lists!$AG$4,"Low Value / High Risk","Low Value / Low Risk")))</f>
        <v/>
      </c>
      <c r="AF754" s="101"/>
      <c r="AG754" s="126"/>
      <c r="AH754" s="106" t="str">
        <f aca="false">IF($B754="","",COUNTIFS('Debt Backlog'!$AF$2:$AF$1000,$A754,'Debt Backlog'!$B$2:$B$1000,"&lt;&gt;",'Debt Backlog'!$N$2:$N$1000,"&lt;&gt;Done",'Debt Backlog'!$N$2:$N$1000,"&lt;&gt;Won't Fix",'Debt Backlog'!$N$2:$N$1000,"&lt;&gt;Duplicate"))</f>
        <v/>
      </c>
      <c r="AI754" s="103" t="str">
        <f aca="false">IF($B754="","",ROUND(SUMIFS('Debt Backlog'!$L$2:$L$1000,'Debt Backlog'!$AF$2:$AF$1000,$A754,'Debt Backlog'!$B$2:$B$1000,"&lt;&gt;",'Debt Backlog'!$N$2:$N$1000,"&lt;&gt;Done",'Debt Backlog'!$N$2:$N$1000,"&lt;&gt;Won't Fix",'Debt Backlog'!$N$2:$N$1000,"&lt;&gt;Duplicate"),2))</f>
        <v/>
      </c>
    </row>
    <row r="755" customFormat="false" ht="15.75" hidden="false" customHeight="true" outlineLevel="0" collapsed="false">
      <c r="A755" s="125"/>
      <c r="B755" s="101"/>
      <c r="C755" s="101"/>
      <c r="D755" s="101"/>
      <c r="E755" s="101"/>
      <c r="F755" s="101"/>
      <c r="G755" s="101"/>
      <c r="H755" s="101"/>
      <c r="I755" s="106"/>
      <c r="J755" s="106"/>
      <c r="K755" s="106"/>
      <c r="L755" s="106"/>
      <c r="M755" s="106"/>
      <c r="N755" s="103" t="str">
        <f aca="false">IF(OR($B755="", $I755="", $J755="", $K755="", $L755="", $M755=""),"",ROUND(($I755*Lists!$AD$2)+($J755*Lists!$AD$3)+($K755*Lists!$AD$4)+($L755*Lists!$AD$5)+($M755*Lists!$AD$6),2))</f>
        <v/>
      </c>
      <c r="O755" s="103" t="str">
        <f aca="false">IF($A755="","",IFERROR(VLOOKUP($A755,'Risk Register'!$B$2:$I$1000,8,FALSE()),""))</f>
        <v/>
      </c>
      <c r="P755" s="106"/>
      <c r="Q755" s="106"/>
      <c r="R755" s="106"/>
      <c r="S755" s="106"/>
      <c r="T755" s="103" t="str">
        <f aca="false">IF(OR($B755="", $P755="", $Q755="", $R755="", $S755=""),"",ROUND(($P755*Lists!$AD$7)+($Q755*Lists!$AD$8)+($R755*Lists!$AD$9)+($S755*Lists!$AD$10),2))</f>
        <v/>
      </c>
      <c r="U755" s="106"/>
      <c r="V755" s="106"/>
      <c r="W755" s="106"/>
      <c r="X755" s="106"/>
      <c r="Y755" s="106"/>
      <c r="Z755" s="103" t="str">
        <f aca="false">IF(OR($B755="", $U755="", $V755="", $W755="", $X755="", $Y755=""),"",ROUND(($U755*Lists!$AD$11)+($V755*Lists!$AD$12)+($W755*Lists!$AD$13)+($X755*Lists!$AD$14)+($Y755*Lists!$AD$15),2))</f>
        <v/>
      </c>
      <c r="AA755" s="103" t="str">
        <f aca="false">IF(OR($B755="", $N755="", $O755="", $T755="", $Z755=""),"",ROUND(($N755*Lists!$AD$16)-($O755*Lists!$AD$17)-($T755*Lists!$AD$18)+($Z755*Lists!$AD$19),2))</f>
        <v/>
      </c>
      <c r="AB755" s="102" t="str">
        <f aca="false">IF(OR($B755="", $N755="", $Z755=""),"",IF($N755&gt;=Lists!$AG$2,IF($Z755&gt;=Lists!$AG$3,"Invest","Migrate"),IF($Z755&gt;=Lists!$AG$3,"Tolerate","Eliminate")))</f>
        <v/>
      </c>
      <c r="AC755" s="102" t="str">
        <f aca="false">IF($B755="","",IF($J755&gt;=4,"Yes",""))</f>
        <v/>
      </c>
      <c r="AD755" s="102" t="str">
        <f aca="false">IF($A755="","",IFERROR(IF(VLOOKUP($A755,'Risk Register'!$B$2:$H$1000,4,FALSE())&gt;=4,"Yes",""),""))</f>
        <v/>
      </c>
      <c r="AE755" s="102" t="str">
        <f aca="false">IF(OR($N755="", $O755=""),"",IF($N755&gt;=Lists!$AG$2,IF($O755&gt;=Lists!$AG$4,"High Value / High Risk","High Value / Low Risk"),IF($O755&gt;=Lists!$AG$4,"Low Value / High Risk","Low Value / Low Risk")))</f>
        <v/>
      </c>
      <c r="AF755" s="101"/>
      <c r="AG755" s="126"/>
      <c r="AH755" s="106" t="str">
        <f aca="false">IF($B755="","",COUNTIFS('Debt Backlog'!$AF$2:$AF$1000,$A755,'Debt Backlog'!$B$2:$B$1000,"&lt;&gt;",'Debt Backlog'!$N$2:$N$1000,"&lt;&gt;Done",'Debt Backlog'!$N$2:$N$1000,"&lt;&gt;Won't Fix",'Debt Backlog'!$N$2:$N$1000,"&lt;&gt;Duplicate"))</f>
        <v/>
      </c>
      <c r="AI755" s="103" t="str">
        <f aca="false">IF($B755="","",ROUND(SUMIFS('Debt Backlog'!$L$2:$L$1000,'Debt Backlog'!$AF$2:$AF$1000,$A755,'Debt Backlog'!$B$2:$B$1000,"&lt;&gt;",'Debt Backlog'!$N$2:$N$1000,"&lt;&gt;Done",'Debt Backlog'!$N$2:$N$1000,"&lt;&gt;Won't Fix",'Debt Backlog'!$N$2:$N$1000,"&lt;&gt;Duplicate"),2))</f>
        <v/>
      </c>
    </row>
    <row r="756" customFormat="false" ht="15.75" hidden="false" customHeight="true" outlineLevel="0" collapsed="false">
      <c r="A756" s="125"/>
      <c r="B756" s="101"/>
      <c r="C756" s="101"/>
      <c r="D756" s="101"/>
      <c r="E756" s="101"/>
      <c r="F756" s="101"/>
      <c r="G756" s="101"/>
      <c r="H756" s="101"/>
      <c r="I756" s="106"/>
      <c r="J756" s="106"/>
      <c r="K756" s="106"/>
      <c r="L756" s="106"/>
      <c r="M756" s="106"/>
      <c r="N756" s="103" t="str">
        <f aca="false">IF(OR($B756="", $I756="", $J756="", $K756="", $L756="", $M756=""),"",ROUND(($I756*Lists!$AD$2)+($J756*Lists!$AD$3)+($K756*Lists!$AD$4)+($L756*Lists!$AD$5)+($M756*Lists!$AD$6),2))</f>
        <v/>
      </c>
      <c r="O756" s="103" t="str">
        <f aca="false">IF($A756="","",IFERROR(VLOOKUP($A756,'Risk Register'!$B$2:$I$1000,8,FALSE()),""))</f>
        <v/>
      </c>
      <c r="P756" s="106"/>
      <c r="Q756" s="106"/>
      <c r="R756" s="106"/>
      <c r="S756" s="106"/>
      <c r="T756" s="103" t="str">
        <f aca="false">IF(OR($B756="", $P756="", $Q756="", $R756="", $S756=""),"",ROUND(($P756*Lists!$AD$7)+($Q756*Lists!$AD$8)+($R756*Lists!$AD$9)+($S756*Lists!$AD$10),2))</f>
        <v/>
      </c>
      <c r="U756" s="106"/>
      <c r="V756" s="106"/>
      <c r="W756" s="106"/>
      <c r="X756" s="106"/>
      <c r="Y756" s="106"/>
      <c r="Z756" s="103" t="str">
        <f aca="false">IF(OR($B756="", $U756="", $V756="", $W756="", $X756="", $Y756=""),"",ROUND(($U756*Lists!$AD$11)+($V756*Lists!$AD$12)+($W756*Lists!$AD$13)+($X756*Lists!$AD$14)+($Y756*Lists!$AD$15),2))</f>
        <v/>
      </c>
      <c r="AA756" s="103" t="str">
        <f aca="false">IF(OR($B756="", $N756="", $O756="", $T756="", $Z756=""),"",ROUND(($N756*Lists!$AD$16)-($O756*Lists!$AD$17)-($T756*Lists!$AD$18)+($Z756*Lists!$AD$19),2))</f>
        <v/>
      </c>
      <c r="AB756" s="102" t="str">
        <f aca="false">IF(OR($B756="", $N756="", $Z756=""),"",IF($N756&gt;=Lists!$AG$2,IF($Z756&gt;=Lists!$AG$3,"Invest","Migrate"),IF($Z756&gt;=Lists!$AG$3,"Tolerate","Eliminate")))</f>
        <v/>
      </c>
      <c r="AC756" s="102" t="str">
        <f aca="false">IF($B756="","",IF($J756&gt;=4,"Yes",""))</f>
        <v/>
      </c>
      <c r="AD756" s="102" t="str">
        <f aca="false">IF($A756="","",IFERROR(IF(VLOOKUP($A756,'Risk Register'!$B$2:$H$1000,4,FALSE())&gt;=4,"Yes",""),""))</f>
        <v/>
      </c>
      <c r="AE756" s="102" t="str">
        <f aca="false">IF(OR($N756="", $O756=""),"",IF($N756&gt;=Lists!$AG$2,IF($O756&gt;=Lists!$AG$4,"High Value / High Risk","High Value / Low Risk"),IF($O756&gt;=Lists!$AG$4,"Low Value / High Risk","Low Value / Low Risk")))</f>
        <v/>
      </c>
      <c r="AF756" s="101"/>
      <c r="AG756" s="126"/>
      <c r="AH756" s="106" t="str">
        <f aca="false">IF($B756="","",COUNTIFS('Debt Backlog'!$AF$2:$AF$1000,$A756,'Debt Backlog'!$B$2:$B$1000,"&lt;&gt;",'Debt Backlog'!$N$2:$N$1000,"&lt;&gt;Done",'Debt Backlog'!$N$2:$N$1000,"&lt;&gt;Won't Fix",'Debt Backlog'!$N$2:$N$1000,"&lt;&gt;Duplicate"))</f>
        <v/>
      </c>
      <c r="AI756" s="103" t="str">
        <f aca="false">IF($B756="","",ROUND(SUMIFS('Debt Backlog'!$L$2:$L$1000,'Debt Backlog'!$AF$2:$AF$1000,$A756,'Debt Backlog'!$B$2:$B$1000,"&lt;&gt;",'Debt Backlog'!$N$2:$N$1000,"&lt;&gt;Done",'Debt Backlog'!$N$2:$N$1000,"&lt;&gt;Won't Fix",'Debt Backlog'!$N$2:$N$1000,"&lt;&gt;Duplicate"),2))</f>
        <v/>
      </c>
    </row>
    <row r="757" customFormat="false" ht="15.75" hidden="false" customHeight="true" outlineLevel="0" collapsed="false">
      <c r="A757" s="125"/>
      <c r="B757" s="101"/>
      <c r="C757" s="101"/>
      <c r="D757" s="101"/>
      <c r="E757" s="101"/>
      <c r="F757" s="101"/>
      <c r="G757" s="101"/>
      <c r="H757" s="101"/>
      <c r="I757" s="106"/>
      <c r="J757" s="106"/>
      <c r="K757" s="106"/>
      <c r="L757" s="106"/>
      <c r="M757" s="106"/>
      <c r="N757" s="103" t="str">
        <f aca="false">IF(OR($B757="", $I757="", $J757="", $K757="", $L757="", $M757=""),"",ROUND(($I757*Lists!$AD$2)+($J757*Lists!$AD$3)+($K757*Lists!$AD$4)+($L757*Lists!$AD$5)+($M757*Lists!$AD$6),2))</f>
        <v/>
      </c>
      <c r="O757" s="103" t="str">
        <f aca="false">IF($A757="","",IFERROR(VLOOKUP($A757,'Risk Register'!$B$2:$I$1000,8,FALSE()),""))</f>
        <v/>
      </c>
      <c r="P757" s="106"/>
      <c r="Q757" s="106"/>
      <c r="R757" s="106"/>
      <c r="S757" s="106"/>
      <c r="T757" s="103" t="str">
        <f aca="false">IF(OR($B757="", $P757="", $Q757="", $R757="", $S757=""),"",ROUND(($P757*Lists!$AD$7)+($Q757*Lists!$AD$8)+($R757*Lists!$AD$9)+($S757*Lists!$AD$10),2))</f>
        <v/>
      </c>
      <c r="U757" s="106"/>
      <c r="V757" s="106"/>
      <c r="W757" s="106"/>
      <c r="X757" s="106"/>
      <c r="Y757" s="106"/>
      <c r="Z757" s="103" t="str">
        <f aca="false">IF(OR($B757="", $U757="", $V757="", $W757="", $X757="", $Y757=""),"",ROUND(($U757*Lists!$AD$11)+($V757*Lists!$AD$12)+($W757*Lists!$AD$13)+($X757*Lists!$AD$14)+($Y757*Lists!$AD$15),2))</f>
        <v/>
      </c>
      <c r="AA757" s="103" t="str">
        <f aca="false">IF(OR($B757="", $N757="", $O757="", $T757="", $Z757=""),"",ROUND(($N757*Lists!$AD$16)-($O757*Lists!$AD$17)-($T757*Lists!$AD$18)+($Z757*Lists!$AD$19),2))</f>
        <v/>
      </c>
      <c r="AB757" s="102" t="str">
        <f aca="false">IF(OR($B757="", $N757="", $Z757=""),"",IF($N757&gt;=Lists!$AG$2,IF($Z757&gt;=Lists!$AG$3,"Invest","Migrate"),IF($Z757&gt;=Lists!$AG$3,"Tolerate","Eliminate")))</f>
        <v/>
      </c>
      <c r="AC757" s="102" t="str">
        <f aca="false">IF($B757="","",IF($J757&gt;=4,"Yes",""))</f>
        <v/>
      </c>
      <c r="AD757" s="102" t="str">
        <f aca="false">IF($A757="","",IFERROR(IF(VLOOKUP($A757,'Risk Register'!$B$2:$H$1000,4,FALSE())&gt;=4,"Yes",""),""))</f>
        <v/>
      </c>
      <c r="AE757" s="102" t="str">
        <f aca="false">IF(OR($N757="", $O757=""),"",IF($N757&gt;=Lists!$AG$2,IF($O757&gt;=Lists!$AG$4,"High Value / High Risk","High Value / Low Risk"),IF($O757&gt;=Lists!$AG$4,"Low Value / High Risk","Low Value / Low Risk")))</f>
        <v/>
      </c>
      <c r="AF757" s="101"/>
      <c r="AG757" s="126"/>
      <c r="AH757" s="106" t="str">
        <f aca="false">IF($B757="","",COUNTIFS('Debt Backlog'!$AF$2:$AF$1000,$A757,'Debt Backlog'!$B$2:$B$1000,"&lt;&gt;",'Debt Backlog'!$N$2:$N$1000,"&lt;&gt;Done",'Debt Backlog'!$N$2:$N$1000,"&lt;&gt;Won't Fix",'Debt Backlog'!$N$2:$N$1000,"&lt;&gt;Duplicate"))</f>
        <v/>
      </c>
      <c r="AI757" s="103" t="str">
        <f aca="false">IF($B757="","",ROUND(SUMIFS('Debt Backlog'!$L$2:$L$1000,'Debt Backlog'!$AF$2:$AF$1000,$A757,'Debt Backlog'!$B$2:$B$1000,"&lt;&gt;",'Debt Backlog'!$N$2:$N$1000,"&lt;&gt;Done",'Debt Backlog'!$N$2:$N$1000,"&lt;&gt;Won't Fix",'Debt Backlog'!$N$2:$N$1000,"&lt;&gt;Duplicate"),2))</f>
        <v/>
      </c>
    </row>
    <row r="758" customFormat="false" ht="15.75" hidden="false" customHeight="true" outlineLevel="0" collapsed="false">
      <c r="A758" s="125"/>
      <c r="B758" s="101"/>
      <c r="C758" s="101"/>
      <c r="D758" s="101"/>
      <c r="E758" s="101"/>
      <c r="F758" s="101"/>
      <c r="G758" s="101"/>
      <c r="H758" s="101"/>
      <c r="I758" s="106"/>
      <c r="J758" s="106"/>
      <c r="K758" s="106"/>
      <c r="L758" s="106"/>
      <c r="M758" s="106"/>
      <c r="N758" s="103" t="str">
        <f aca="false">IF(OR($B758="", $I758="", $J758="", $K758="", $L758="", $M758=""),"",ROUND(($I758*Lists!$AD$2)+($J758*Lists!$AD$3)+($K758*Lists!$AD$4)+($L758*Lists!$AD$5)+($M758*Lists!$AD$6),2))</f>
        <v/>
      </c>
      <c r="O758" s="103" t="str">
        <f aca="false">IF($A758="","",IFERROR(VLOOKUP($A758,'Risk Register'!$B$2:$I$1000,8,FALSE()),""))</f>
        <v/>
      </c>
      <c r="P758" s="106"/>
      <c r="Q758" s="106"/>
      <c r="R758" s="106"/>
      <c r="S758" s="106"/>
      <c r="T758" s="103" t="str">
        <f aca="false">IF(OR($B758="", $P758="", $Q758="", $R758="", $S758=""),"",ROUND(($P758*Lists!$AD$7)+($Q758*Lists!$AD$8)+($R758*Lists!$AD$9)+($S758*Lists!$AD$10),2))</f>
        <v/>
      </c>
      <c r="U758" s="106"/>
      <c r="V758" s="106"/>
      <c r="W758" s="106"/>
      <c r="X758" s="106"/>
      <c r="Y758" s="106"/>
      <c r="Z758" s="103" t="str">
        <f aca="false">IF(OR($B758="", $U758="", $V758="", $W758="", $X758="", $Y758=""),"",ROUND(($U758*Lists!$AD$11)+($V758*Lists!$AD$12)+($W758*Lists!$AD$13)+($X758*Lists!$AD$14)+($Y758*Lists!$AD$15),2))</f>
        <v/>
      </c>
      <c r="AA758" s="103" t="str">
        <f aca="false">IF(OR($B758="", $N758="", $O758="", $T758="", $Z758=""),"",ROUND(($N758*Lists!$AD$16)-($O758*Lists!$AD$17)-($T758*Lists!$AD$18)+($Z758*Lists!$AD$19),2))</f>
        <v/>
      </c>
      <c r="AB758" s="102" t="str">
        <f aca="false">IF(OR($B758="", $N758="", $Z758=""),"",IF($N758&gt;=Lists!$AG$2,IF($Z758&gt;=Lists!$AG$3,"Invest","Migrate"),IF($Z758&gt;=Lists!$AG$3,"Tolerate","Eliminate")))</f>
        <v/>
      </c>
      <c r="AC758" s="102" t="str">
        <f aca="false">IF($B758="","",IF($J758&gt;=4,"Yes",""))</f>
        <v/>
      </c>
      <c r="AD758" s="102" t="str">
        <f aca="false">IF($A758="","",IFERROR(IF(VLOOKUP($A758,'Risk Register'!$B$2:$H$1000,4,FALSE())&gt;=4,"Yes",""),""))</f>
        <v/>
      </c>
      <c r="AE758" s="102" t="str">
        <f aca="false">IF(OR($N758="", $O758=""),"",IF($N758&gt;=Lists!$AG$2,IF($O758&gt;=Lists!$AG$4,"High Value / High Risk","High Value / Low Risk"),IF($O758&gt;=Lists!$AG$4,"Low Value / High Risk","Low Value / Low Risk")))</f>
        <v/>
      </c>
      <c r="AF758" s="101"/>
      <c r="AG758" s="126"/>
      <c r="AH758" s="106" t="str">
        <f aca="false">IF($B758="","",COUNTIFS('Debt Backlog'!$AF$2:$AF$1000,$A758,'Debt Backlog'!$B$2:$B$1000,"&lt;&gt;",'Debt Backlog'!$N$2:$N$1000,"&lt;&gt;Done",'Debt Backlog'!$N$2:$N$1000,"&lt;&gt;Won't Fix",'Debt Backlog'!$N$2:$N$1000,"&lt;&gt;Duplicate"))</f>
        <v/>
      </c>
      <c r="AI758" s="103" t="str">
        <f aca="false">IF($B758="","",ROUND(SUMIFS('Debt Backlog'!$L$2:$L$1000,'Debt Backlog'!$AF$2:$AF$1000,$A758,'Debt Backlog'!$B$2:$B$1000,"&lt;&gt;",'Debt Backlog'!$N$2:$N$1000,"&lt;&gt;Done",'Debt Backlog'!$N$2:$N$1000,"&lt;&gt;Won't Fix",'Debt Backlog'!$N$2:$N$1000,"&lt;&gt;Duplicate"),2))</f>
        <v/>
      </c>
    </row>
    <row r="759" customFormat="false" ht="15.75" hidden="false" customHeight="true" outlineLevel="0" collapsed="false">
      <c r="A759" s="125"/>
      <c r="B759" s="101"/>
      <c r="C759" s="101"/>
      <c r="D759" s="101"/>
      <c r="E759" s="101"/>
      <c r="F759" s="101"/>
      <c r="G759" s="101"/>
      <c r="H759" s="101"/>
      <c r="I759" s="106"/>
      <c r="J759" s="106"/>
      <c r="K759" s="106"/>
      <c r="L759" s="106"/>
      <c r="M759" s="106"/>
      <c r="N759" s="103" t="str">
        <f aca="false">IF(OR($B759="", $I759="", $J759="", $K759="", $L759="", $M759=""),"",ROUND(($I759*Lists!$AD$2)+($J759*Lists!$AD$3)+($K759*Lists!$AD$4)+($L759*Lists!$AD$5)+($M759*Lists!$AD$6),2))</f>
        <v/>
      </c>
      <c r="O759" s="103" t="str">
        <f aca="false">IF($A759="","",IFERROR(VLOOKUP($A759,'Risk Register'!$B$2:$I$1000,8,FALSE()),""))</f>
        <v/>
      </c>
      <c r="P759" s="106"/>
      <c r="Q759" s="106"/>
      <c r="R759" s="106"/>
      <c r="S759" s="106"/>
      <c r="T759" s="103" t="str">
        <f aca="false">IF(OR($B759="", $P759="", $Q759="", $R759="", $S759=""),"",ROUND(($P759*Lists!$AD$7)+($Q759*Lists!$AD$8)+($R759*Lists!$AD$9)+($S759*Lists!$AD$10),2))</f>
        <v/>
      </c>
      <c r="U759" s="106"/>
      <c r="V759" s="106"/>
      <c r="W759" s="106"/>
      <c r="X759" s="106"/>
      <c r="Y759" s="106"/>
      <c r="Z759" s="103" t="str">
        <f aca="false">IF(OR($B759="", $U759="", $V759="", $W759="", $X759="", $Y759=""),"",ROUND(($U759*Lists!$AD$11)+($V759*Lists!$AD$12)+($W759*Lists!$AD$13)+($X759*Lists!$AD$14)+($Y759*Lists!$AD$15),2))</f>
        <v/>
      </c>
      <c r="AA759" s="103" t="str">
        <f aca="false">IF(OR($B759="", $N759="", $O759="", $T759="", $Z759=""),"",ROUND(($N759*Lists!$AD$16)-($O759*Lists!$AD$17)-($T759*Lists!$AD$18)+($Z759*Lists!$AD$19),2))</f>
        <v/>
      </c>
      <c r="AB759" s="102" t="str">
        <f aca="false">IF(OR($B759="", $N759="", $Z759=""),"",IF($N759&gt;=Lists!$AG$2,IF($Z759&gt;=Lists!$AG$3,"Invest","Migrate"),IF($Z759&gt;=Lists!$AG$3,"Tolerate","Eliminate")))</f>
        <v/>
      </c>
      <c r="AC759" s="102" t="str">
        <f aca="false">IF($B759="","",IF($J759&gt;=4,"Yes",""))</f>
        <v/>
      </c>
      <c r="AD759" s="102" t="str">
        <f aca="false">IF($A759="","",IFERROR(IF(VLOOKUP($A759,'Risk Register'!$B$2:$H$1000,4,FALSE())&gt;=4,"Yes",""),""))</f>
        <v/>
      </c>
      <c r="AE759" s="102" t="str">
        <f aca="false">IF(OR($N759="", $O759=""),"",IF($N759&gt;=Lists!$AG$2,IF($O759&gt;=Lists!$AG$4,"High Value / High Risk","High Value / Low Risk"),IF($O759&gt;=Lists!$AG$4,"Low Value / High Risk","Low Value / Low Risk")))</f>
        <v/>
      </c>
      <c r="AF759" s="101"/>
      <c r="AG759" s="126"/>
      <c r="AH759" s="106" t="str">
        <f aca="false">IF($B759="","",COUNTIFS('Debt Backlog'!$AF$2:$AF$1000,$A759,'Debt Backlog'!$B$2:$B$1000,"&lt;&gt;",'Debt Backlog'!$N$2:$N$1000,"&lt;&gt;Done",'Debt Backlog'!$N$2:$N$1000,"&lt;&gt;Won't Fix",'Debt Backlog'!$N$2:$N$1000,"&lt;&gt;Duplicate"))</f>
        <v/>
      </c>
      <c r="AI759" s="103" t="str">
        <f aca="false">IF($B759="","",ROUND(SUMIFS('Debt Backlog'!$L$2:$L$1000,'Debt Backlog'!$AF$2:$AF$1000,$A759,'Debt Backlog'!$B$2:$B$1000,"&lt;&gt;",'Debt Backlog'!$N$2:$N$1000,"&lt;&gt;Done",'Debt Backlog'!$N$2:$N$1000,"&lt;&gt;Won't Fix",'Debt Backlog'!$N$2:$N$1000,"&lt;&gt;Duplicate"),2))</f>
        <v/>
      </c>
    </row>
    <row r="760" customFormat="false" ht="15.75" hidden="false" customHeight="true" outlineLevel="0" collapsed="false">
      <c r="A760" s="125"/>
      <c r="B760" s="101"/>
      <c r="C760" s="101"/>
      <c r="D760" s="101"/>
      <c r="E760" s="101"/>
      <c r="F760" s="101"/>
      <c r="G760" s="101"/>
      <c r="H760" s="101"/>
      <c r="I760" s="106"/>
      <c r="J760" s="106"/>
      <c r="K760" s="106"/>
      <c r="L760" s="106"/>
      <c r="M760" s="106"/>
      <c r="N760" s="103" t="str">
        <f aca="false">IF(OR($B760="", $I760="", $J760="", $K760="", $L760="", $M760=""),"",ROUND(($I760*Lists!$AD$2)+($J760*Lists!$AD$3)+($K760*Lists!$AD$4)+($L760*Lists!$AD$5)+($M760*Lists!$AD$6),2))</f>
        <v/>
      </c>
      <c r="O760" s="103" t="str">
        <f aca="false">IF($A760="","",IFERROR(VLOOKUP($A760,'Risk Register'!$B$2:$I$1000,8,FALSE()),""))</f>
        <v/>
      </c>
      <c r="P760" s="106"/>
      <c r="Q760" s="106"/>
      <c r="R760" s="106"/>
      <c r="S760" s="106"/>
      <c r="T760" s="103" t="str">
        <f aca="false">IF(OR($B760="", $P760="", $Q760="", $R760="", $S760=""),"",ROUND(($P760*Lists!$AD$7)+($Q760*Lists!$AD$8)+($R760*Lists!$AD$9)+($S760*Lists!$AD$10),2))</f>
        <v/>
      </c>
      <c r="U760" s="106"/>
      <c r="V760" s="106"/>
      <c r="W760" s="106"/>
      <c r="X760" s="106"/>
      <c r="Y760" s="106"/>
      <c r="Z760" s="103" t="str">
        <f aca="false">IF(OR($B760="", $U760="", $V760="", $W760="", $X760="", $Y760=""),"",ROUND(($U760*Lists!$AD$11)+($V760*Lists!$AD$12)+($W760*Lists!$AD$13)+($X760*Lists!$AD$14)+($Y760*Lists!$AD$15),2))</f>
        <v/>
      </c>
      <c r="AA760" s="103" t="str">
        <f aca="false">IF(OR($B760="", $N760="", $O760="", $T760="", $Z760=""),"",ROUND(($N760*Lists!$AD$16)-($O760*Lists!$AD$17)-($T760*Lists!$AD$18)+($Z760*Lists!$AD$19),2))</f>
        <v/>
      </c>
      <c r="AB760" s="102" t="str">
        <f aca="false">IF(OR($B760="", $N760="", $Z760=""),"",IF($N760&gt;=Lists!$AG$2,IF($Z760&gt;=Lists!$AG$3,"Invest","Migrate"),IF($Z760&gt;=Lists!$AG$3,"Tolerate","Eliminate")))</f>
        <v/>
      </c>
      <c r="AC760" s="102" t="str">
        <f aca="false">IF($B760="","",IF($J760&gt;=4,"Yes",""))</f>
        <v/>
      </c>
      <c r="AD760" s="102" t="str">
        <f aca="false">IF($A760="","",IFERROR(IF(VLOOKUP($A760,'Risk Register'!$B$2:$H$1000,4,FALSE())&gt;=4,"Yes",""),""))</f>
        <v/>
      </c>
      <c r="AE760" s="102" t="str">
        <f aca="false">IF(OR($N760="", $O760=""),"",IF($N760&gt;=Lists!$AG$2,IF($O760&gt;=Lists!$AG$4,"High Value / High Risk","High Value / Low Risk"),IF($O760&gt;=Lists!$AG$4,"Low Value / High Risk","Low Value / Low Risk")))</f>
        <v/>
      </c>
      <c r="AF760" s="101"/>
      <c r="AG760" s="126"/>
      <c r="AH760" s="106" t="str">
        <f aca="false">IF($B760="","",COUNTIFS('Debt Backlog'!$AF$2:$AF$1000,$A760,'Debt Backlog'!$B$2:$B$1000,"&lt;&gt;",'Debt Backlog'!$N$2:$N$1000,"&lt;&gt;Done",'Debt Backlog'!$N$2:$N$1000,"&lt;&gt;Won't Fix",'Debt Backlog'!$N$2:$N$1000,"&lt;&gt;Duplicate"))</f>
        <v/>
      </c>
      <c r="AI760" s="103" t="str">
        <f aca="false">IF($B760="","",ROUND(SUMIFS('Debt Backlog'!$L$2:$L$1000,'Debt Backlog'!$AF$2:$AF$1000,$A760,'Debt Backlog'!$B$2:$B$1000,"&lt;&gt;",'Debt Backlog'!$N$2:$N$1000,"&lt;&gt;Done",'Debt Backlog'!$N$2:$N$1000,"&lt;&gt;Won't Fix",'Debt Backlog'!$N$2:$N$1000,"&lt;&gt;Duplicate"),2))</f>
        <v/>
      </c>
    </row>
    <row r="761" customFormat="false" ht="15.75" hidden="false" customHeight="true" outlineLevel="0" collapsed="false">
      <c r="A761" s="125"/>
      <c r="B761" s="101"/>
      <c r="C761" s="101"/>
      <c r="D761" s="101"/>
      <c r="E761" s="101"/>
      <c r="F761" s="101"/>
      <c r="G761" s="101"/>
      <c r="H761" s="101"/>
      <c r="I761" s="106"/>
      <c r="J761" s="106"/>
      <c r="K761" s="106"/>
      <c r="L761" s="106"/>
      <c r="M761" s="106"/>
      <c r="N761" s="103" t="str">
        <f aca="false">IF(OR($B761="", $I761="", $J761="", $K761="", $L761="", $M761=""),"",ROUND(($I761*Lists!$AD$2)+($J761*Lists!$AD$3)+($K761*Lists!$AD$4)+($L761*Lists!$AD$5)+($M761*Lists!$AD$6),2))</f>
        <v/>
      </c>
      <c r="O761" s="103" t="str">
        <f aca="false">IF($A761="","",IFERROR(VLOOKUP($A761,'Risk Register'!$B$2:$I$1000,8,FALSE()),""))</f>
        <v/>
      </c>
      <c r="P761" s="106"/>
      <c r="Q761" s="106"/>
      <c r="R761" s="106"/>
      <c r="S761" s="106"/>
      <c r="T761" s="103" t="str">
        <f aca="false">IF(OR($B761="", $P761="", $Q761="", $R761="", $S761=""),"",ROUND(($P761*Lists!$AD$7)+($Q761*Lists!$AD$8)+($R761*Lists!$AD$9)+($S761*Lists!$AD$10),2))</f>
        <v/>
      </c>
      <c r="U761" s="106"/>
      <c r="V761" s="106"/>
      <c r="W761" s="106"/>
      <c r="X761" s="106"/>
      <c r="Y761" s="106"/>
      <c r="Z761" s="103" t="str">
        <f aca="false">IF(OR($B761="", $U761="", $V761="", $W761="", $X761="", $Y761=""),"",ROUND(($U761*Lists!$AD$11)+($V761*Lists!$AD$12)+($W761*Lists!$AD$13)+($X761*Lists!$AD$14)+($Y761*Lists!$AD$15),2))</f>
        <v/>
      </c>
      <c r="AA761" s="103" t="str">
        <f aca="false">IF(OR($B761="", $N761="", $O761="", $T761="", $Z761=""),"",ROUND(($N761*Lists!$AD$16)-($O761*Lists!$AD$17)-($T761*Lists!$AD$18)+($Z761*Lists!$AD$19),2))</f>
        <v/>
      </c>
      <c r="AB761" s="102" t="str">
        <f aca="false">IF(OR($B761="", $N761="", $Z761=""),"",IF($N761&gt;=Lists!$AG$2,IF($Z761&gt;=Lists!$AG$3,"Invest","Migrate"),IF($Z761&gt;=Lists!$AG$3,"Tolerate","Eliminate")))</f>
        <v/>
      </c>
      <c r="AC761" s="102" t="str">
        <f aca="false">IF($B761="","",IF($J761&gt;=4,"Yes",""))</f>
        <v/>
      </c>
      <c r="AD761" s="102" t="str">
        <f aca="false">IF($A761="","",IFERROR(IF(VLOOKUP($A761,'Risk Register'!$B$2:$H$1000,4,FALSE())&gt;=4,"Yes",""),""))</f>
        <v/>
      </c>
      <c r="AE761" s="102" t="str">
        <f aca="false">IF(OR($N761="", $O761=""),"",IF($N761&gt;=Lists!$AG$2,IF($O761&gt;=Lists!$AG$4,"High Value / High Risk","High Value / Low Risk"),IF($O761&gt;=Lists!$AG$4,"Low Value / High Risk","Low Value / Low Risk")))</f>
        <v/>
      </c>
      <c r="AF761" s="101"/>
      <c r="AG761" s="126"/>
      <c r="AH761" s="106" t="str">
        <f aca="false">IF($B761="","",COUNTIFS('Debt Backlog'!$AF$2:$AF$1000,$A761,'Debt Backlog'!$B$2:$B$1000,"&lt;&gt;",'Debt Backlog'!$N$2:$N$1000,"&lt;&gt;Done",'Debt Backlog'!$N$2:$N$1000,"&lt;&gt;Won't Fix",'Debt Backlog'!$N$2:$N$1000,"&lt;&gt;Duplicate"))</f>
        <v/>
      </c>
      <c r="AI761" s="103" t="str">
        <f aca="false">IF($B761="","",ROUND(SUMIFS('Debt Backlog'!$L$2:$L$1000,'Debt Backlog'!$AF$2:$AF$1000,$A761,'Debt Backlog'!$B$2:$B$1000,"&lt;&gt;",'Debt Backlog'!$N$2:$N$1000,"&lt;&gt;Done",'Debt Backlog'!$N$2:$N$1000,"&lt;&gt;Won't Fix",'Debt Backlog'!$N$2:$N$1000,"&lt;&gt;Duplicate"),2))</f>
        <v/>
      </c>
    </row>
    <row r="762" customFormat="false" ht="15.75" hidden="false" customHeight="true" outlineLevel="0" collapsed="false">
      <c r="A762" s="125"/>
      <c r="B762" s="101"/>
      <c r="C762" s="101"/>
      <c r="D762" s="101"/>
      <c r="E762" s="101"/>
      <c r="F762" s="101"/>
      <c r="G762" s="101"/>
      <c r="H762" s="101"/>
      <c r="I762" s="106"/>
      <c r="J762" s="106"/>
      <c r="K762" s="106"/>
      <c r="L762" s="106"/>
      <c r="M762" s="106"/>
      <c r="N762" s="103" t="str">
        <f aca="false">IF(OR($B762="", $I762="", $J762="", $K762="", $L762="", $M762=""),"",ROUND(($I762*Lists!$AD$2)+($J762*Lists!$AD$3)+($K762*Lists!$AD$4)+($L762*Lists!$AD$5)+($M762*Lists!$AD$6),2))</f>
        <v/>
      </c>
      <c r="O762" s="103" t="str">
        <f aca="false">IF($A762="","",IFERROR(VLOOKUP($A762,'Risk Register'!$B$2:$I$1000,8,FALSE()),""))</f>
        <v/>
      </c>
      <c r="P762" s="106"/>
      <c r="Q762" s="106"/>
      <c r="R762" s="106"/>
      <c r="S762" s="106"/>
      <c r="T762" s="103" t="str">
        <f aca="false">IF(OR($B762="", $P762="", $Q762="", $R762="", $S762=""),"",ROUND(($P762*Lists!$AD$7)+($Q762*Lists!$AD$8)+($R762*Lists!$AD$9)+($S762*Lists!$AD$10),2))</f>
        <v/>
      </c>
      <c r="U762" s="106"/>
      <c r="V762" s="106"/>
      <c r="W762" s="106"/>
      <c r="X762" s="106"/>
      <c r="Y762" s="106"/>
      <c r="Z762" s="103" t="str">
        <f aca="false">IF(OR($B762="", $U762="", $V762="", $W762="", $X762="", $Y762=""),"",ROUND(($U762*Lists!$AD$11)+($V762*Lists!$AD$12)+($W762*Lists!$AD$13)+($X762*Lists!$AD$14)+($Y762*Lists!$AD$15),2))</f>
        <v/>
      </c>
      <c r="AA762" s="103" t="str">
        <f aca="false">IF(OR($B762="", $N762="", $O762="", $T762="", $Z762=""),"",ROUND(($N762*Lists!$AD$16)-($O762*Lists!$AD$17)-($T762*Lists!$AD$18)+($Z762*Lists!$AD$19),2))</f>
        <v/>
      </c>
      <c r="AB762" s="102" t="str">
        <f aca="false">IF(OR($B762="", $N762="", $Z762=""),"",IF($N762&gt;=Lists!$AG$2,IF($Z762&gt;=Lists!$AG$3,"Invest","Migrate"),IF($Z762&gt;=Lists!$AG$3,"Tolerate","Eliminate")))</f>
        <v/>
      </c>
      <c r="AC762" s="102" t="str">
        <f aca="false">IF($B762="","",IF($J762&gt;=4,"Yes",""))</f>
        <v/>
      </c>
      <c r="AD762" s="102" t="str">
        <f aca="false">IF($A762="","",IFERROR(IF(VLOOKUP($A762,'Risk Register'!$B$2:$H$1000,4,FALSE())&gt;=4,"Yes",""),""))</f>
        <v/>
      </c>
      <c r="AE762" s="102" t="str">
        <f aca="false">IF(OR($N762="", $O762=""),"",IF($N762&gt;=Lists!$AG$2,IF($O762&gt;=Lists!$AG$4,"High Value / High Risk","High Value / Low Risk"),IF($O762&gt;=Lists!$AG$4,"Low Value / High Risk","Low Value / Low Risk")))</f>
        <v/>
      </c>
      <c r="AF762" s="101"/>
      <c r="AG762" s="126"/>
      <c r="AH762" s="106" t="str">
        <f aca="false">IF($B762="","",COUNTIFS('Debt Backlog'!$AF$2:$AF$1000,$A762,'Debt Backlog'!$B$2:$B$1000,"&lt;&gt;",'Debt Backlog'!$N$2:$N$1000,"&lt;&gt;Done",'Debt Backlog'!$N$2:$N$1000,"&lt;&gt;Won't Fix",'Debt Backlog'!$N$2:$N$1000,"&lt;&gt;Duplicate"))</f>
        <v/>
      </c>
      <c r="AI762" s="103" t="str">
        <f aca="false">IF($B762="","",ROUND(SUMIFS('Debt Backlog'!$L$2:$L$1000,'Debt Backlog'!$AF$2:$AF$1000,$A762,'Debt Backlog'!$B$2:$B$1000,"&lt;&gt;",'Debt Backlog'!$N$2:$N$1000,"&lt;&gt;Done",'Debt Backlog'!$N$2:$N$1000,"&lt;&gt;Won't Fix",'Debt Backlog'!$N$2:$N$1000,"&lt;&gt;Duplicate"),2))</f>
        <v/>
      </c>
    </row>
    <row r="763" customFormat="false" ht="15.75" hidden="false" customHeight="true" outlineLevel="0" collapsed="false">
      <c r="A763" s="125"/>
      <c r="B763" s="101"/>
      <c r="C763" s="101"/>
      <c r="D763" s="101"/>
      <c r="E763" s="101"/>
      <c r="F763" s="101"/>
      <c r="G763" s="101"/>
      <c r="H763" s="101"/>
      <c r="I763" s="106"/>
      <c r="J763" s="106"/>
      <c r="K763" s="106"/>
      <c r="L763" s="106"/>
      <c r="M763" s="106"/>
      <c r="N763" s="103" t="str">
        <f aca="false">IF(OR($B763="", $I763="", $J763="", $K763="", $L763="", $M763=""),"",ROUND(($I763*Lists!$AD$2)+($J763*Lists!$AD$3)+($K763*Lists!$AD$4)+($L763*Lists!$AD$5)+($M763*Lists!$AD$6),2))</f>
        <v/>
      </c>
      <c r="O763" s="103" t="str">
        <f aca="false">IF($A763="","",IFERROR(VLOOKUP($A763,'Risk Register'!$B$2:$I$1000,8,FALSE()),""))</f>
        <v/>
      </c>
      <c r="P763" s="106"/>
      <c r="Q763" s="106"/>
      <c r="R763" s="106"/>
      <c r="S763" s="106"/>
      <c r="T763" s="103" t="str">
        <f aca="false">IF(OR($B763="", $P763="", $Q763="", $R763="", $S763=""),"",ROUND(($P763*Lists!$AD$7)+($Q763*Lists!$AD$8)+($R763*Lists!$AD$9)+($S763*Lists!$AD$10),2))</f>
        <v/>
      </c>
      <c r="U763" s="106"/>
      <c r="V763" s="106"/>
      <c r="W763" s="106"/>
      <c r="X763" s="106"/>
      <c r="Y763" s="106"/>
      <c r="Z763" s="103" t="str">
        <f aca="false">IF(OR($B763="", $U763="", $V763="", $W763="", $X763="", $Y763=""),"",ROUND(($U763*Lists!$AD$11)+($V763*Lists!$AD$12)+($W763*Lists!$AD$13)+($X763*Lists!$AD$14)+($Y763*Lists!$AD$15),2))</f>
        <v/>
      </c>
      <c r="AA763" s="103" t="str">
        <f aca="false">IF(OR($B763="", $N763="", $O763="", $T763="", $Z763=""),"",ROUND(($N763*Lists!$AD$16)-($O763*Lists!$AD$17)-($T763*Lists!$AD$18)+($Z763*Lists!$AD$19),2))</f>
        <v/>
      </c>
      <c r="AB763" s="102" t="str">
        <f aca="false">IF(OR($B763="", $N763="", $Z763=""),"",IF($N763&gt;=Lists!$AG$2,IF($Z763&gt;=Lists!$AG$3,"Invest","Migrate"),IF($Z763&gt;=Lists!$AG$3,"Tolerate","Eliminate")))</f>
        <v/>
      </c>
      <c r="AC763" s="102" t="str">
        <f aca="false">IF($B763="","",IF($J763&gt;=4,"Yes",""))</f>
        <v/>
      </c>
      <c r="AD763" s="102" t="str">
        <f aca="false">IF($A763="","",IFERROR(IF(VLOOKUP($A763,'Risk Register'!$B$2:$H$1000,4,FALSE())&gt;=4,"Yes",""),""))</f>
        <v/>
      </c>
      <c r="AE763" s="102" t="str">
        <f aca="false">IF(OR($N763="", $O763=""),"",IF($N763&gt;=Lists!$AG$2,IF($O763&gt;=Lists!$AG$4,"High Value / High Risk","High Value / Low Risk"),IF($O763&gt;=Lists!$AG$4,"Low Value / High Risk","Low Value / Low Risk")))</f>
        <v/>
      </c>
      <c r="AF763" s="101"/>
      <c r="AG763" s="126"/>
      <c r="AH763" s="106" t="str">
        <f aca="false">IF($B763="","",COUNTIFS('Debt Backlog'!$AF$2:$AF$1000,$A763,'Debt Backlog'!$B$2:$B$1000,"&lt;&gt;",'Debt Backlog'!$N$2:$N$1000,"&lt;&gt;Done",'Debt Backlog'!$N$2:$N$1000,"&lt;&gt;Won't Fix",'Debt Backlog'!$N$2:$N$1000,"&lt;&gt;Duplicate"))</f>
        <v/>
      </c>
      <c r="AI763" s="103" t="str">
        <f aca="false">IF($B763="","",ROUND(SUMIFS('Debt Backlog'!$L$2:$L$1000,'Debt Backlog'!$AF$2:$AF$1000,$A763,'Debt Backlog'!$B$2:$B$1000,"&lt;&gt;",'Debt Backlog'!$N$2:$N$1000,"&lt;&gt;Done",'Debt Backlog'!$N$2:$N$1000,"&lt;&gt;Won't Fix",'Debt Backlog'!$N$2:$N$1000,"&lt;&gt;Duplicate"),2))</f>
        <v/>
      </c>
    </row>
    <row r="764" customFormat="false" ht="15.75" hidden="false" customHeight="true" outlineLevel="0" collapsed="false">
      <c r="A764" s="125"/>
      <c r="B764" s="101"/>
      <c r="C764" s="101"/>
      <c r="D764" s="101"/>
      <c r="E764" s="101"/>
      <c r="F764" s="101"/>
      <c r="G764" s="101"/>
      <c r="H764" s="101"/>
      <c r="I764" s="106"/>
      <c r="J764" s="106"/>
      <c r="K764" s="106"/>
      <c r="L764" s="106"/>
      <c r="M764" s="106"/>
      <c r="N764" s="103" t="str">
        <f aca="false">IF(OR($B764="", $I764="", $J764="", $K764="", $L764="", $M764=""),"",ROUND(($I764*Lists!$AD$2)+($J764*Lists!$AD$3)+($K764*Lists!$AD$4)+($L764*Lists!$AD$5)+($M764*Lists!$AD$6),2))</f>
        <v/>
      </c>
      <c r="O764" s="103" t="str">
        <f aca="false">IF($A764="","",IFERROR(VLOOKUP($A764,'Risk Register'!$B$2:$I$1000,8,FALSE()),""))</f>
        <v/>
      </c>
      <c r="P764" s="106"/>
      <c r="Q764" s="106"/>
      <c r="R764" s="106"/>
      <c r="S764" s="106"/>
      <c r="T764" s="103" t="str">
        <f aca="false">IF(OR($B764="", $P764="", $Q764="", $R764="", $S764=""),"",ROUND(($P764*Lists!$AD$7)+($Q764*Lists!$AD$8)+($R764*Lists!$AD$9)+($S764*Lists!$AD$10),2))</f>
        <v/>
      </c>
      <c r="U764" s="106"/>
      <c r="V764" s="106"/>
      <c r="W764" s="106"/>
      <c r="X764" s="106"/>
      <c r="Y764" s="106"/>
      <c r="Z764" s="103" t="str">
        <f aca="false">IF(OR($B764="", $U764="", $V764="", $W764="", $X764="", $Y764=""),"",ROUND(($U764*Lists!$AD$11)+($V764*Lists!$AD$12)+($W764*Lists!$AD$13)+($X764*Lists!$AD$14)+($Y764*Lists!$AD$15),2))</f>
        <v/>
      </c>
      <c r="AA764" s="103" t="str">
        <f aca="false">IF(OR($B764="", $N764="", $O764="", $T764="", $Z764=""),"",ROUND(($N764*Lists!$AD$16)-($O764*Lists!$AD$17)-($T764*Lists!$AD$18)+($Z764*Lists!$AD$19),2))</f>
        <v/>
      </c>
      <c r="AB764" s="102" t="str">
        <f aca="false">IF(OR($B764="", $N764="", $Z764=""),"",IF($N764&gt;=Lists!$AG$2,IF($Z764&gt;=Lists!$AG$3,"Invest","Migrate"),IF($Z764&gt;=Lists!$AG$3,"Tolerate","Eliminate")))</f>
        <v/>
      </c>
      <c r="AC764" s="102" t="str">
        <f aca="false">IF($B764="","",IF($J764&gt;=4,"Yes",""))</f>
        <v/>
      </c>
      <c r="AD764" s="102" t="str">
        <f aca="false">IF($A764="","",IFERROR(IF(VLOOKUP($A764,'Risk Register'!$B$2:$H$1000,4,FALSE())&gt;=4,"Yes",""),""))</f>
        <v/>
      </c>
      <c r="AE764" s="102" t="str">
        <f aca="false">IF(OR($N764="", $O764=""),"",IF($N764&gt;=Lists!$AG$2,IF($O764&gt;=Lists!$AG$4,"High Value / High Risk","High Value / Low Risk"),IF($O764&gt;=Lists!$AG$4,"Low Value / High Risk","Low Value / Low Risk")))</f>
        <v/>
      </c>
      <c r="AF764" s="101"/>
      <c r="AG764" s="126"/>
      <c r="AH764" s="106" t="str">
        <f aca="false">IF($B764="","",COUNTIFS('Debt Backlog'!$AF$2:$AF$1000,$A764,'Debt Backlog'!$B$2:$B$1000,"&lt;&gt;",'Debt Backlog'!$N$2:$N$1000,"&lt;&gt;Done",'Debt Backlog'!$N$2:$N$1000,"&lt;&gt;Won't Fix",'Debt Backlog'!$N$2:$N$1000,"&lt;&gt;Duplicate"))</f>
        <v/>
      </c>
      <c r="AI764" s="103" t="str">
        <f aca="false">IF($B764="","",ROUND(SUMIFS('Debt Backlog'!$L$2:$L$1000,'Debt Backlog'!$AF$2:$AF$1000,$A764,'Debt Backlog'!$B$2:$B$1000,"&lt;&gt;",'Debt Backlog'!$N$2:$N$1000,"&lt;&gt;Done",'Debt Backlog'!$N$2:$N$1000,"&lt;&gt;Won't Fix",'Debt Backlog'!$N$2:$N$1000,"&lt;&gt;Duplicate"),2))</f>
        <v/>
      </c>
    </row>
    <row r="765" customFormat="false" ht="15.75" hidden="false" customHeight="true" outlineLevel="0" collapsed="false">
      <c r="A765" s="125"/>
      <c r="B765" s="101"/>
      <c r="C765" s="101"/>
      <c r="D765" s="101"/>
      <c r="E765" s="101"/>
      <c r="F765" s="101"/>
      <c r="G765" s="101"/>
      <c r="H765" s="101"/>
      <c r="I765" s="106"/>
      <c r="J765" s="106"/>
      <c r="K765" s="106"/>
      <c r="L765" s="106"/>
      <c r="M765" s="106"/>
      <c r="N765" s="103" t="str">
        <f aca="false">IF(OR($B765="", $I765="", $J765="", $K765="", $L765="", $M765=""),"",ROUND(($I765*Lists!$AD$2)+($J765*Lists!$AD$3)+($K765*Lists!$AD$4)+($L765*Lists!$AD$5)+($M765*Lists!$AD$6),2))</f>
        <v/>
      </c>
      <c r="O765" s="103" t="str">
        <f aca="false">IF($A765="","",IFERROR(VLOOKUP($A765,'Risk Register'!$B$2:$I$1000,8,FALSE()),""))</f>
        <v/>
      </c>
      <c r="P765" s="106"/>
      <c r="Q765" s="106"/>
      <c r="R765" s="106"/>
      <c r="S765" s="106"/>
      <c r="T765" s="103" t="str">
        <f aca="false">IF(OR($B765="", $P765="", $Q765="", $R765="", $S765=""),"",ROUND(($P765*Lists!$AD$7)+($Q765*Lists!$AD$8)+($R765*Lists!$AD$9)+($S765*Lists!$AD$10),2))</f>
        <v/>
      </c>
      <c r="U765" s="106"/>
      <c r="V765" s="106"/>
      <c r="W765" s="106"/>
      <c r="X765" s="106"/>
      <c r="Y765" s="106"/>
      <c r="Z765" s="103" t="str">
        <f aca="false">IF(OR($B765="", $U765="", $V765="", $W765="", $X765="", $Y765=""),"",ROUND(($U765*Lists!$AD$11)+($V765*Lists!$AD$12)+($W765*Lists!$AD$13)+($X765*Lists!$AD$14)+($Y765*Lists!$AD$15),2))</f>
        <v/>
      </c>
      <c r="AA765" s="103" t="str">
        <f aca="false">IF(OR($B765="", $N765="", $O765="", $T765="", $Z765=""),"",ROUND(($N765*Lists!$AD$16)-($O765*Lists!$AD$17)-($T765*Lists!$AD$18)+($Z765*Lists!$AD$19),2))</f>
        <v/>
      </c>
      <c r="AB765" s="102" t="str">
        <f aca="false">IF(OR($B765="", $N765="", $Z765=""),"",IF($N765&gt;=Lists!$AG$2,IF($Z765&gt;=Lists!$AG$3,"Invest","Migrate"),IF($Z765&gt;=Lists!$AG$3,"Tolerate","Eliminate")))</f>
        <v/>
      </c>
      <c r="AC765" s="102" t="str">
        <f aca="false">IF($B765="","",IF($J765&gt;=4,"Yes",""))</f>
        <v/>
      </c>
      <c r="AD765" s="102" t="str">
        <f aca="false">IF($A765="","",IFERROR(IF(VLOOKUP($A765,'Risk Register'!$B$2:$H$1000,4,FALSE())&gt;=4,"Yes",""),""))</f>
        <v/>
      </c>
      <c r="AE765" s="102" t="str">
        <f aca="false">IF(OR($N765="", $O765=""),"",IF($N765&gt;=Lists!$AG$2,IF($O765&gt;=Lists!$AG$4,"High Value / High Risk","High Value / Low Risk"),IF($O765&gt;=Lists!$AG$4,"Low Value / High Risk","Low Value / Low Risk")))</f>
        <v/>
      </c>
      <c r="AF765" s="101"/>
      <c r="AG765" s="126"/>
      <c r="AH765" s="106" t="str">
        <f aca="false">IF($B765="","",COUNTIFS('Debt Backlog'!$AF$2:$AF$1000,$A765,'Debt Backlog'!$B$2:$B$1000,"&lt;&gt;",'Debt Backlog'!$N$2:$N$1000,"&lt;&gt;Done",'Debt Backlog'!$N$2:$N$1000,"&lt;&gt;Won't Fix",'Debt Backlog'!$N$2:$N$1000,"&lt;&gt;Duplicate"))</f>
        <v/>
      </c>
      <c r="AI765" s="103" t="str">
        <f aca="false">IF($B765="","",ROUND(SUMIFS('Debt Backlog'!$L$2:$L$1000,'Debt Backlog'!$AF$2:$AF$1000,$A765,'Debt Backlog'!$B$2:$B$1000,"&lt;&gt;",'Debt Backlog'!$N$2:$N$1000,"&lt;&gt;Done",'Debt Backlog'!$N$2:$N$1000,"&lt;&gt;Won't Fix",'Debt Backlog'!$N$2:$N$1000,"&lt;&gt;Duplicate"),2))</f>
        <v/>
      </c>
    </row>
    <row r="766" customFormat="false" ht="15.75" hidden="false" customHeight="true" outlineLevel="0" collapsed="false">
      <c r="A766" s="125"/>
      <c r="B766" s="101"/>
      <c r="C766" s="101"/>
      <c r="D766" s="101"/>
      <c r="E766" s="101"/>
      <c r="F766" s="101"/>
      <c r="G766" s="101"/>
      <c r="H766" s="101"/>
      <c r="I766" s="106"/>
      <c r="J766" s="106"/>
      <c r="K766" s="106"/>
      <c r="L766" s="106"/>
      <c r="M766" s="106"/>
      <c r="N766" s="103" t="str">
        <f aca="false">IF(OR($B766="", $I766="", $J766="", $K766="", $L766="", $M766=""),"",ROUND(($I766*Lists!$AD$2)+($J766*Lists!$AD$3)+($K766*Lists!$AD$4)+($L766*Lists!$AD$5)+($M766*Lists!$AD$6),2))</f>
        <v/>
      </c>
      <c r="O766" s="103" t="str">
        <f aca="false">IF($A766="","",IFERROR(VLOOKUP($A766,'Risk Register'!$B$2:$I$1000,8,FALSE()),""))</f>
        <v/>
      </c>
      <c r="P766" s="106"/>
      <c r="Q766" s="106"/>
      <c r="R766" s="106"/>
      <c r="S766" s="106"/>
      <c r="T766" s="103" t="str">
        <f aca="false">IF(OR($B766="", $P766="", $Q766="", $R766="", $S766=""),"",ROUND(($P766*Lists!$AD$7)+($Q766*Lists!$AD$8)+($R766*Lists!$AD$9)+($S766*Lists!$AD$10),2))</f>
        <v/>
      </c>
      <c r="U766" s="106"/>
      <c r="V766" s="106"/>
      <c r="W766" s="106"/>
      <c r="X766" s="106"/>
      <c r="Y766" s="106"/>
      <c r="Z766" s="103" t="str">
        <f aca="false">IF(OR($B766="", $U766="", $V766="", $W766="", $X766="", $Y766=""),"",ROUND(($U766*Lists!$AD$11)+($V766*Lists!$AD$12)+($W766*Lists!$AD$13)+($X766*Lists!$AD$14)+($Y766*Lists!$AD$15),2))</f>
        <v/>
      </c>
      <c r="AA766" s="103" t="str">
        <f aca="false">IF(OR($B766="", $N766="", $O766="", $T766="", $Z766=""),"",ROUND(($N766*Lists!$AD$16)-($O766*Lists!$AD$17)-($T766*Lists!$AD$18)+($Z766*Lists!$AD$19),2))</f>
        <v/>
      </c>
      <c r="AB766" s="102" t="str">
        <f aca="false">IF(OR($B766="", $N766="", $Z766=""),"",IF($N766&gt;=Lists!$AG$2,IF($Z766&gt;=Lists!$AG$3,"Invest","Migrate"),IF($Z766&gt;=Lists!$AG$3,"Tolerate","Eliminate")))</f>
        <v/>
      </c>
      <c r="AC766" s="102" t="str">
        <f aca="false">IF($B766="","",IF($J766&gt;=4,"Yes",""))</f>
        <v/>
      </c>
      <c r="AD766" s="102" t="str">
        <f aca="false">IF($A766="","",IFERROR(IF(VLOOKUP($A766,'Risk Register'!$B$2:$H$1000,4,FALSE())&gt;=4,"Yes",""),""))</f>
        <v/>
      </c>
      <c r="AE766" s="102" t="str">
        <f aca="false">IF(OR($N766="", $O766=""),"",IF($N766&gt;=Lists!$AG$2,IF($O766&gt;=Lists!$AG$4,"High Value / High Risk","High Value / Low Risk"),IF($O766&gt;=Lists!$AG$4,"Low Value / High Risk","Low Value / Low Risk")))</f>
        <v/>
      </c>
      <c r="AF766" s="101"/>
      <c r="AG766" s="126"/>
      <c r="AH766" s="106" t="str">
        <f aca="false">IF($B766="","",COUNTIFS('Debt Backlog'!$AF$2:$AF$1000,$A766,'Debt Backlog'!$B$2:$B$1000,"&lt;&gt;",'Debt Backlog'!$N$2:$N$1000,"&lt;&gt;Done",'Debt Backlog'!$N$2:$N$1000,"&lt;&gt;Won't Fix",'Debt Backlog'!$N$2:$N$1000,"&lt;&gt;Duplicate"))</f>
        <v/>
      </c>
      <c r="AI766" s="103" t="str">
        <f aca="false">IF($B766="","",ROUND(SUMIFS('Debt Backlog'!$L$2:$L$1000,'Debt Backlog'!$AF$2:$AF$1000,$A766,'Debt Backlog'!$B$2:$B$1000,"&lt;&gt;",'Debt Backlog'!$N$2:$N$1000,"&lt;&gt;Done",'Debt Backlog'!$N$2:$N$1000,"&lt;&gt;Won't Fix",'Debt Backlog'!$N$2:$N$1000,"&lt;&gt;Duplicate"),2))</f>
        <v/>
      </c>
    </row>
    <row r="767" customFormat="false" ht="15.75" hidden="false" customHeight="true" outlineLevel="0" collapsed="false">
      <c r="A767" s="125"/>
      <c r="B767" s="101"/>
      <c r="C767" s="101"/>
      <c r="D767" s="101"/>
      <c r="E767" s="101"/>
      <c r="F767" s="101"/>
      <c r="G767" s="101"/>
      <c r="H767" s="101"/>
      <c r="I767" s="106"/>
      <c r="J767" s="106"/>
      <c r="K767" s="106"/>
      <c r="L767" s="106"/>
      <c r="M767" s="106"/>
      <c r="N767" s="103" t="str">
        <f aca="false">IF(OR($B767="", $I767="", $J767="", $K767="", $L767="", $M767=""),"",ROUND(($I767*Lists!$AD$2)+($J767*Lists!$AD$3)+($K767*Lists!$AD$4)+($L767*Lists!$AD$5)+($M767*Lists!$AD$6),2))</f>
        <v/>
      </c>
      <c r="O767" s="103" t="str">
        <f aca="false">IF($A767="","",IFERROR(VLOOKUP($A767,'Risk Register'!$B$2:$I$1000,8,FALSE()),""))</f>
        <v/>
      </c>
      <c r="P767" s="106"/>
      <c r="Q767" s="106"/>
      <c r="R767" s="106"/>
      <c r="S767" s="106"/>
      <c r="T767" s="103" t="str">
        <f aca="false">IF(OR($B767="", $P767="", $Q767="", $R767="", $S767=""),"",ROUND(($P767*Lists!$AD$7)+($Q767*Lists!$AD$8)+($R767*Lists!$AD$9)+($S767*Lists!$AD$10),2))</f>
        <v/>
      </c>
      <c r="U767" s="106"/>
      <c r="V767" s="106"/>
      <c r="W767" s="106"/>
      <c r="X767" s="106"/>
      <c r="Y767" s="106"/>
      <c r="Z767" s="103" t="str">
        <f aca="false">IF(OR($B767="", $U767="", $V767="", $W767="", $X767="", $Y767=""),"",ROUND(($U767*Lists!$AD$11)+($V767*Lists!$AD$12)+($W767*Lists!$AD$13)+($X767*Lists!$AD$14)+($Y767*Lists!$AD$15),2))</f>
        <v/>
      </c>
      <c r="AA767" s="103" t="str">
        <f aca="false">IF(OR($B767="", $N767="", $O767="", $T767="", $Z767=""),"",ROUND(($N767*Lists!$AD$16)-($O767*Lists!$AD$17)-($T767*Lists!$AD$18)+($Z767*Lists!$AD$19),2))</f>
        <v/>
      </c>
      <c r="AB767" s="102" t="str">
        <f aca="false">IF(OR($B767="", $N767="", $Z767=""),"",IF($N767&gt;=Lists!$AG$2,IF($Z767&gt;=Lists!$AG$3,"Invest","Migrate"),IF($Z767&gt;=Lists!$AG$3,"Tolerate","Eliminate")))</f>
        <v/>
      </c>
      <c r="AC767" s="102" t="str">
        <f aca="false">IF($B767="","",IF($J767&gt;=4,"Yes",""))</f>
        <v/>
      </c>
      <c r="AD767" s="102" t="str">
        <f aca="false">IF($A767="","",IFERROR(IF(VLOOKUP($A767,'Risk Register'!$B$2:$H$1000,4,FALSE())&gt;=4,"Yes",""),""))</f>
        <v/>
      </c>
      <c r="AE767" s="102" t="str">
        <f aca="false">IF(OR($N767="", $O767=""),"",IF($N767&gt;=Lists!$AG$2,IF($O767&gt;=Lists!$AG$4,"High Value / High Risk","High Value / Low Risk"),IF($O767&gt;=Lists!$AG$4,"Low Value / High Risk","Low Value / Low Risk")))</f>
        <v/>
      </c>
      <c r="AF767" s="101"/>
      <c r="AG767" s="126"/>
      <c r="AH767" s="106" t="str">
        <f aca="false">IF($B767="","",COUNTIFS('Debt Backlog'!$AF$2:$AF$1000,$A767,'Debt Backlog'!$B$2:$B$1000,"&lt;&gt;",'Debt Backlog'!$N$2:$N$1000,"&lt;&gt;Done",'Debt Backlog'!$N$2:$N$1000,"&lt;&gt;Won't Fix",'Debt Backlog'!$N$2:$N$1000,"&lt;&gt;Duplicate"))</f>
        <v/>
      </c>
      <c r="AI767" s="103" t="str">
        <f aca="false">IF($B767="","",ROUND(SUMIFS('Debt Backlog'!$L$2:$L$1000,'Debt Backlog'!$AF$2:$AF$1000,$A767,'Debt Backlog'!$B$2:$B$1000,"&lt;&gt;",'Debt Backlog'!$N$2:$N$1000,"&lt;&gt;Done",'Debt Backlog'!$N$2:$N$1000,"&lt;&gt;Won't Fix",'Debt Backlog'!$N$2:$N$1000,"&lt;&gt;Duplicate"),2))</f>
        <v/>
      </c>
    </row>
    <row r="768" customFormat="false" ht="15.75" hidden="false" customHeight="true" outlineLevel="0" collapsed="false">
      <c r="A768" s="125"/>
      <c r="B768" s="101"/>
      <c r="C768" s="101"/>
      <c r="D768" s="101"/>
      <c r="E768" s="101"/>
      <c r="F768" s="101"/>
      <c r="G768" s="101"/>
      <c r="H768" s="101"/>
      <c r="I768" s="106"/>
      <c r="J768" s="106"/>
      <c r="K768" s="106"/>
      <c r="L768" s="106"/>
      <c r="M768" s="106"/>
      <c r="N768" s="103" t="str">
        <f aca="false">IF(OR($B768="", $I768="", $J768="", $K768="", $L768="", $M768=""),"",ROUND(($I768*Lists!$AD$2)+($J768*Lists!$AD$3)+($K768*Lists!$AD$4)+($L768*Lists!$AD$5)+($M768*Lists!$AD$6),2))</f>
        <v/>
      </c>
      <c r="O768" s="103" t="str">
        <f aca="false">IF($A768="","",IFERROR(VLOOKUP($A768,'Risk Register'!$B$2:$I$1000,8,FALSE()),""))</f>
        <v/>
      </c>
      <c r="P768" s="106"/>
      <c r="Q768" s="106"/>
      <c r="R768" s="106"/>
      <c r="S768" s="106"/>
      <c r="T768" s="103" t="str">
        <f aca="false">IF(OR($B768="", $P768="", $Q768="", $R768="", $S768=""),"",ROUND(($P768*Lists!$AD$7)+($Q768*Lists!$AD$8)+($R768*Lists!$AD$9)+($S768*Lists!$AD$10),2))</f>
        <v/>
      </c>
      <c r="U768" s="106"/>
      <c r="V768" s="106"/>
      <c r="W768" s="106"/>
      <c r="X768" s="106"/>
      <c r="Y768" s="106"/>
      <c r="Z768" s="103" t="str">
        <f aca="false">IF(OR($B768="", $U768="", $V768="", $W768="", $X768="", $Y768=""),"",ROUND(($U768*Lists!$AD$11)+($V768*Lists!$AD$12)+($W768*Lists!$AD$13)+($X768*Lists!$AD$14)+($Y768*Lists!$AD$15),2))</f>
        <v/>
      </c>
      <c r="AA768" s="103" t="str">
        <f aca="false">IF(OR($B768="", $N768="", $O768="", $T768="", $Z768=""),"",ROUND(($N768*Lists!$AD$16)-($O768*Lists!$AD$17)-($T768*Lists!$AD$18)+($Z768*Lists!$AD$19),2))</f>
        <v/>
      </c>
      <c r="AB768" s="102" t="str">
        <f aca="false">IF(OR($B768="", $N768="", $Z768=""),"",IF($N768&gt;=Lists!$AG$2,IF($Z768&gt;=Lists!$AG$3,"Invest","Migrate"),IF($Z768&gt;=Lists!$AG$3,"Tolerate","Eliminate")))</f>
        <v/>
      </c>
      <c r="AC768" s="102" t="str">
        <f aca="false">IF($B768="","",IF($J768&gt;=4,"Yes",""))</f>
        <v/>
      </c>
      <c r="AD768" s="102" t="str">
        <f aca="false">IF($A768="","",IFERROR(IF(VLOOKUP($A768,'Risk Register'!$B$2:$H$1000,4,FALSE())&gt;=4,"Yes",""),""))</f>
        <v/>
      </c>
      <c r="AE768" s="102" t="str">
        <f aca="false">IF(OR($N768="", $O768=""),"",IF($N768&gt;=Lists!$AG$2,IF($O768&gt;=Lists!$AG$4,"High Value / High Risk","High Value / Low Risk"),IF($O768&gt;=Lists!$AG$4,"Low Value / High Risk","Low Value / Low Risk")))</f>
        <v/>
      </c>
      <c r="AF768" s="101"/>
      <c r="AG768" s="126"/>
      <c r="AH768" s="106" t="str">
        <f aca="false">IF($B768="","",COUNTIFS('Debt Backlog'!$AF$2:$AF$1000,$A768,'Debt Backlog'!$B$2:$B$1000,"&lt;&gt;",'Debt Backlog'!$N$2:$N$1000,"&lt;&gt;Done",'Debt Backlog'!$N$2:$N$1000,"&lt;&gt;Won't Fix",'Debt Backlog'!$N$2:$N$1000,"&lt;&gt;Duplicate"))</f>
        <v/>
      </c>
      <c r="AI768" s="103" t="str">
        <f aca="false">IF($B768="","",ROUND(SUMIFS('Debt Backlog'!$L$2:$L$1000,'Debt Backlog'!$AF$2:$AF$1000,$A768,'Debt Backlog'!$B$2:$B$1000,"&lt;&gt;",'Debt Backlog'!$N$2:$N$1000,"&lt;&gt;Done",'Debt Backlog'!$N$2:$N$1000,"&lt;&gt;Won't Fix",'Debt Backlog'!$N$2:$N$1000,"&lt;&gt;Duplicate"),2))</f>
        <v/>
      </c>
    </row>
    <row r="769" customFormat="false" ht="15.75" hidden="false" customHeight="true" outlineLevel="0" collapsed="false">
      <c r="A769" s="125"/>
      <c r="B769" s="101"/>
      <c r="C769" s="101"/>
      <c r="D769" s="101"/>
      <c r="E769" s="101"/>
      <c r="F769" s="101"/>
      <c r="G769" s="101"/>
      <c r="H769" s="101"/>
      <c r="I769" s="106"/>
      <c r="J769" s="106"/>
      <c r="K769" s="106"/>
      <c r="L769" s="106"/>
      <c r="M769" s="106"/>
      <c r="N769" s="103" t="str">
        <f aca="false">IF(OR($B769="", $I769="", $J769="", $K769="", $L769="", $M769=""),"",ROUND(($I769*Lists!$AD$2)+($J769*Lists!$AD$3)+($K769*Lists!$AD$4)+($L769*Lists!$AD$5)+($M769*Lists!$AD$6),2))</f>
        <v/>
      </c>
      <c r="O769" s="103" t="str">
        <f aca="false">IF($A769="","",IFERROR(VLOOKUP($A769,'Risk Register'!$B$2:$I$1000,8,FALSE()),""))</f>
        <v/>
      </c>
      <c r="P769" s="106"/>
      <c r="Q769" s="106"/>
      <c r="R769" s="106"/>
      <c r="S769" s="106"/>
      <c r="T769" s="103" t="str">
        <f aca="false">IF(OR($B769="", $P769="", $Q769="", $R769="", $S769=""),"",ROUND(($P769*Lists!$AD$7)+($Q769*Lists!$AD$8)+($R769*Lists!$AD$9)+($S769*Lists!$AD$10),2))</f>
        <v/>
      </c>
      <c r="U769" s="106"/>
      <c r="V769" s="106"/>
      <c r="W769" s="106"/>
      <c r="X769" s="106"/>
      <c r="Y769" s="106"/>
      <c r="Z769" s="103" t="str">
        <f aca="false">IF(OR($B769="", $U769="", $V769="", $W769="", $X769="", $Y769=""),"",ROUND(($U769*Lists!$AD$11)+($V769*Lists!$AD$12)+($W769*Lists!$AD$13)+($X769*Lists!$AD$14)+($Y769*Lists!$AD$15),2))</f>
        <v/>
      </c>
      <c r="AA769" s="103" t="str">
        <f aca="false">IF(OR($B769="", $N769="", $O769="", $T769="", $Z769=""),"",ROUND(($N769*Lists!$AD$16)-($O769*Lists!$AD$17)-($T769*Lists!$AD$18)+($Z769*Lists!$AD$19),2))</f>
        <v/>
      </c>
      <c r="AB769" s="102" t="str">
        <f aca="false">IF(OR($B769="", $N769="", $Z769=""),"",IF($N769&gt;=Lists!$AG$2,IF($Z769&gt;=Lists!$AG$3,"Invest","Migrate"),IF($Z769&gt;=Lists!$AG$3,"Tolerate","Eliminate")))</f>
        <v/>
      </c>
      <c r="AC769" s="102" t="str">
        <f aca="false">IF($B769="","",IF($J769&gt;=4,"Yes",""))</f>
        <v/>
      </c>
      <c r="AD769" s="102" t="str">
        <f aca="false">IF($A769="","",IFERROR(IF(VLOOKUP($A769,'Risk Register'!$B$2:$H$1000,4,FALSE())&gt;=4,"Yes",""),""))</f>
        <v/>
      </c>
      <c r="AE769" s="102" t="str">
        <f aca="false">IF(OR($N769="", $O769=""),"",IF($N769&gt;=Lists!$AG$2,IF($O769&gt;=Lists!$AG$4,"High Value / High Risk","High Value / Low Risk"),IF($O769&gt;=Lists!$AG$4,"Low Value / High Risk","Low Value / Low Risk")))</f>
        <v/>
      </c>
      <c r="AF769" s="101"/>
      <c r="AG769" s="126"/>
      <c r="AH769" s="106" t="str">
        <f aca="false">IF($B769="","",COUNTIFS('Debt Backlog'!$AF$2:$AF$1000,$A769,'Debt Backlog'!$B$2:$B$1000,"&lt;&gt;",'Debt Backlog'!$N$2:$N$1000,"&lt;&gt;Done",'Debt Backlog'!$N$2:$N$1000,"&lt;&gt;Won't Fix",'Debt Backlog'!$N$2:$N$1000,"&lt;&gt;Duplicate"))</f>
        <v/>
      </c>
      <c r="AI769" s="103" t="str">
        <f aca="false">IF($B769="","",ROUND(SUMIFS('Debt Backlog'!$L$2:$L$1000,'Debt Backlog'!$AF$2:$AF$1000,$A769,'Debt Backlog'!$B$2:$B$1000,"&lt;&gt;",'Debt Backlog'!$N$2:$N$1000,"&lt;&gt;Done",'Debt Backlog'!$N$2:$N$1000,"&lt;&gt;Won't Fix",'Debt Backlog'!$N$2:$N$1000,"&lt;&gt;Duplicate"),2))</f>
        <v/>
      </c>
    </row>
    <row r="770" customFormat="false" ht="15.75" hidden="false" customHeight="true" outlineLevel="0" collapsed="false">
      <c r="A770" s="125"/>
      <c r="B770" s="101"/>
      <c r="C770" s="101"/>
      <c r="D770" s="101"/>
      <c r="E770" s="101"/>
      <c r="F770" s="101"/>
      <c r="G770" s="101"/>
      <c r="H770" s="101"/>
      <c r="I770" s="106"/>
      <c r="J770" s="106"/>
      <c r="K770" s="106"/>
      <c r="L770" s="106"/>
      <c r="M770" s="106"/>
      <c r="N770" s="103" t="str">
        <f aca="false">IF(OR($B770="", $I770="", $J770="", $K770="", $L770="", $M770=""),"",ROUND(($I770*Lists!$AD$2)+($J770*Lists!$AD$3)+($K770*Lists!$AD$4)+($L770*Lists!$AD$5)+($M770*Lists!$AD$6),2))</f>
        <v/>
      </c>
      <c r="O770" s="103" t="str">
        <f aca="false">IF($A770="","",IFERROR(VLOOKUP($A770,'Risk Register'!$B$2:$I$1000,8,FALSE()),""))</f>
        <v/>
      </c>
      <c r="P770" s="106"/>
      <c r="Q770" s="106"/>
      <c r="R770" s="106"/>
      <c r="S770" s="106"/>
      <c r="T770" s="103" t="str">
        <f aca="false">IF(OR($B770="", $P770="", $Q770="", $R770="", $S770=""),"",ROUND(($P770*Lists!$AD$7)+($Q770*Lists!$AD$8)+($R770*Lists!$AD$9)+($S770*Lists!$AD$10),2))</f>
        <v/>
      </c>
      <c r="U770" s="106"/>
      <c r="V770" s="106"/>
      <c r="W770" s="106"/>
      <c r="X770" s="106"/>
      <c r="Y770" s="106"/>
      <c r="Z770" s="103" t="str">
        <f aca="false">IF(OR($B770="", $U770="", $V770="", $W770="", $X770="", $Y770=""),"",ROUND(($U770*Lists!$AD$11)+($V770*Lists!$AD$12)+($W770*Lists!$AD$13)+($X770*Lists!$AD$14)+($Y770*Lists!$AD$15),2))</f>
        <v/>
      </c>
      <c r="AA770" s="103" t="str">
        <f aca="false">IF(OR($B770="", $N770="", $O770="", $T770="", $Z770=""),"",ROUND(($N770*Lists!$AD$16)-($O770*Lists!$AD$17)-($T770*Lists!$AD$18)+($Z770*Lists!$AD$19),2))</f>
        <v/>
      </c>
      <c r="AB770" s="102" t="str">
        <f aca="false">IF(OR($B770="", $N770="", $Z770=""),"",IF($N770&gt;=Lists!$AG$2,IF($Z770&gt;=Lists!$AG$3,"Invest","Migrate"),IF($Z770&gt;=Lists!$AG$3,"Tolerate","Eliminate")))</f>
        <v/>
      </c>
      <c r="AC770" s="102" t="str">
        <f aca="false">IF($B770="","",IF($J770&gt;=4,"Yes",""))</f>
        <v/>
      </c>
      <c r="AD770" s="102" t="str">
        <f aca="false">IF($A770="","",IFERROR(IF(VLOOKUP($A770,'Risk Register'!$B$2:$H$1000,4,FALSE())&gt;=4,"Yes",""),""))</f>
        <v/>
      </c>
      <c r="AE770" s="102" t="str">
        <f aca="false">IF(OR($N770="", $O770=""),"",IF($N770&gt;=Lists!$AG$2,IF($O770&gt;=Lists!$AG$4,"High Value / High Risk","High Value / Low Risk"),IF($O770&gt;=Lists!$AG$4,"Low Value / High Risk","Low Value / Low Risk")))</f>
        <v/>
      </c>
      <c r="AF770" s="101"/>
      <c r="AG770" s="126"/>
      <c r="AH770" s="106" t="str">
        <f aca="false">IF($B770="","",COUNTIFS('Debt Backlog'!$AF$2:$AF$1000,$A770,'Debt Backlog'!$B$2:$B$1000,"&lt;&gt;",'Debt Backlog'!$N$2:$N$1000,"&lt;&gt;Done",'Debt Backlog'!$N$2:$N$1000,"&lt;&gt;Won't Fix",'Debt Backlog'!$N$2:$N$1000,"&lt;&gt;Duplicate"))</f>
        <v/>
      </c>
      <c r="AI770" s="103" t="str">
        <f aca="false">IF($B770="","",ROUND(SUMIFS('Debt Backlog'!$L$2:$L$1000,'Debt Backlog'!$AF$2:$AF$1000,$A770,'Debt Backlog'!$B$2:$B$1000,"&lt;&gt;",'Debt Backlog'!$N$2:$N$1000,"&lt;&gt;Done",'Debt Backlog'!$N$2:$N$1000,"&lt;&gt;Won't Fix",'Debt Backlog'!$N$2:$N$1000,"&lt;&gt;Duplicate"),2))</f>
        <v/>
      </c>
    </row>
    <row r="771" customFormat="false" ht="15.75" hidden="false" customHeight="true" outlineLevel="0" collapsed="false">
      <c r="A771" s="125"/>
      <c r="B771" s="101"/>
      <c r="C771" s="101"/>
      <c r="D771" s="101"/>
      <c r="E771" s="101"/>
      <c r="F771" s="101"/>
      <c r="G771" s="101"/>
      <c r="H771" s="101"/>
      <c r="I771" s="106"/>
      <c r="J771" s="106"/>
      <c r="K771" s="106"/>
      <c r="L771" s="106"/>
      <c r="M771" s="106"/>
      <c r="N771" s="103" t="str">
        <f aca="false">IF(OR($B771="", $I771="", $J771="", $K771="", $L771="", $M771=""),"",ROUND(($I771*Lists!$AD$2)+($J771*Lists!$AD$3)+($K771*Lists!$AD$4)+($L771*Lists!$AD$5)+($M771*Lists!$AD$6),2))</f>
        <v/>
      </c>
      <c r="O771" s="103" t="str">
        <f aca="false">IF($A771="","",IFERROR(VLOOKUP($A771,'Risk Register'!$B$2:$I$1000,8,FALSE()),""))</f>
        <v/>
      </c>
      <c r="P771" s="106"/>
      <c r="Q771" s="106"/>
      <c r="R771" s="106"/>
      <c r="S771" s="106"/>
      <c r="T771" s="103" t="str">
        <f aca="false">IF(OR($B771="", $P771="", $Q771="", $R771="", $S771=""),"",ROUND(($P771*Lists!$AD$7)+($Q771*Lists!$AD$8)+($R771*Lists!$AD$9)+($S771*Lists!$AD$10),2))</f>
        <v/>
      </c>
      <c r="U771" s="106"/>
      <c r="V771" s="106"/>
      <c r="W771" s="106"/>
      <c r="X771" s="106"/>
      <c r="Y771" s="106"/>
      <c r="Z771" s="103" t="str">
        <f aca="false">IF(OR($B771="", $U771="", $V771="", $W771="", $X771="", $Y771=""),"",ROUND(($U771*Lists!$AD$11)+($V771*Lists!$AD$12)+($W771*Lists!$AD$13)+($X771*Lists!$AD$14)+($Y771*Lists!$AD$15),2))</f>
        <v/>
      </c>
      <c r="AA771" s="103" t="str">
        <f aca="false">IF(OR($B771="", $N771="", $O771="", $T771="", $Z771=""),"",ROUND(($N771*Lists!$AD$16)-($O771*Lists!$AD$17)-($T771*Lists!$AD$18)+($Z771*Lists!$AD$19),2))</f>
        <v/>
      </c>
      <c r="AB771" s="102" t="str">
        <f aca="false">IF(OR($B771="", $N771="", $Z771=""),"",IF($N771&gt;=Lists!$AG$2,IF($Z771&gt;=Lists!$AG$3,"Invest","Migrate"),IF($Z771&gt;=Lists!$AG$3,"Tolerate","Eliminate")))</f>
        <v/>
      </c>
      <c r="AC771" s="102" t="str">
        <f aca="false">IF($B771="","",IF($J771&gt;=4,"Yes",""))</f>
        <v/>
      </c>
      <c r="AD771" s="102" t="str">
        <f aca="false">IF($A771="","",IFERROR(IF(VLOOKUP($A771,'Risk Register'!$B$2:$H$1000,4,FALSE())&gt;=4,"Yes",""),""))</f>
        <v/>
      </c>
      <c r="AE771" s="102" t="str">
        <f aca="false">IF(OR($N771="", $O771=""),"",IF($N771&gt;=Lists!$AG$2,IF($O771&gt;=Lists!$AG$4,"High Value / High Risk","High Value / Low Risk"),IF($O771&gt;=Lists!$AG$4,"Low Value / High Risk","Low Value / Low Risk")))</f>
        <v/>
      </c>
      <c r="AF771" s="101"/>
      <c r="AG771" s="126"/>
      <c r="AH771" s="106" t="str">
        <f aca="false">IF($B771="","",COUNTIFS('Debt Backlog'!$AF$2:$AF$1000,$A771,'Debt Backlog'!$B$2:$B$1000,"&lt;&gt;",'Debt Backlog'!$N$2:$N$1000,"&lt;&gt;Done",'Debt Backlog'!$N$2:$N$1000,"&lt;&gt;Won't Fix",'Debt Backlog'!$N$2:$N$1000,"&lt;&gt;Duplicate"))</f>
        <v/>
      </c>
      <c r="AI771" s="103" t="str">
        <f aca="false">IF($B771="","",ROUND(SUMIFS('Debt Backlog'!$L$2:$L$1000,'Debt Backlog'!$AF$2:$AF$1000,$A771,'Debt Backlog'!$B$2:$B$1000,"&lt;&gt;",'Debt Backlog'!$N$2:$N$1000,"&lt;&gt;Done",'Debt Backlog'!$N$2:$N$1000,"&lt;&gt;Won't Fix",'Debt Backlog'!$N$2:$N$1000,"&lt;&gt;Duplicate"),2))</f>
        <v/>
      </c>
    </row>
    <row r="772" customFormat="false" ht="15.75" hidden="false" customHeight="true" outlineLevel="0" collapsed="false">
      <c r="A772" s="125"/>
      <c r="B772" s="101"/>
      <c r="C772" s="101"/>
      <c r="D772" s="101"/>
      <c r="E772" s="101"/>
      <c r="F772" s="101"/>
      <c r="G772" s="101"/>
      <c r="H772" s="101"/>
      <c r="I772" s="106"/>
      <c r="J772" s="106"/>
      <c r="K772" s="106"/>
      <c r="L772" s="106"/>
      <c r="M772" s="106"/>
      <c r="N772" s="103" t="str">
        <f aca="false">IF(OR($B772="", $I772="", $J772="", $K772="", $L772="", $M772=""),"",ROUND(($I772*Lists!$AD$2)+($J772*Lists!$AD$3)+($K772*Lists!$AD$4)+($L772*Lists!$AD$5)+($M772*Lists!$AD$6),2))</f>
        <v/>
      </c>
      <c r="O772" s="103" t="str">
        <f aca="false">IF($A772="","",IFERROR(VLOOKUP($A772,'Risk Register'!$B$2:$I$1000,8,FALSE()),""))</f>
        <v/>
      </c>
      <c r="P772" s="106"/>
      <c r="Q772" s="106"/>
      <c r="R772" s="106"/>
      <c r="S772" s="106"/>
      <c r="T772" s="103" t="str">
        <f aca="false">IF(OR($B772="", $P772="", $Q772="", $R772="", $S772=""),"",ROUND(($P772*Lists!$AD$7)+($Q772*Lists!$AD$8)+($R772*Lists!$AD$9)+($S772*Lists!$AD$10),2))</f>
        <v/>
      </c>
      <c r="U772" s="106"/>
      <c r="V772" s="106"/>
      <c r="W772" s="106"/>
      <c r="X772" s="106"/>
      <c r="Y772" s="106"/>
      <c r="Z772" s="103" t="str">
        <f aca="false">IF(OR($B772="", $U772="", $V772="", $W772="", $X772="", $Y772=""),"",ROUND(($U772*Lists!$AD$11)+($V772*Lists!$AD$12)+($W772*Lists!$AD$13)+($X772*Lists!$AD$14)+($Y772*Lists!$AD$15),2))</f>
        <v/>
      </c>
      <c r="AA772" s="103" t="str">
        <f aca="false">IF(OR($B772="", $N772="", $O772="", $T772="", $Z772=""),"",ROUND(($N772*Lists!$AD$16)-($O772*Lists!$AD$17)-($T772*Lists!$AD$18)+($Z772*Lists!$AD$19),2))</f>
        <v/>
      </c>
      <c r="AB772" s="102" t="str">
        <f aca="false">IF(OR($B772="", $N772="", $Z772=""),"",IF($N772&gt;=Lists!$AG$2,IF($Z772&gt;=Lists!$AG$3,"Invest","Migrate"),IF($Z772&gt;=Lists!$AG$3,"Tolerate","Eliminate")))</f>
        <v/>
      </c>
      <c r="AC772" s="102" t="str">
        <f aca="false">IF($B772="","",IF($J772&gt;=4,"Yes",""))</f>
        <v/>
      </c>
      <c r="AD772" s="102" t="str">
        <f aca="false">IF($A772="","",IFERROR(IF(VLOOKUP($A772,'Risk Register'!$B$2:$H$1000,4,FALSE())&gt;=4,"Yes",""),""))</f>
        <v/>
      </c>
      <c r="AE772" s="102" t="str">
        <f aca="false">IF(OR($N772="", $O772=""),"",IF($N772&gt;=Lists!$AG$2,IF($O772&gt;=Lists!$AG$4,"High Value / High Risk","High Value / Low Risk"),IF($O772&gt;=Lists!$AG$4,"Low Value / High Risk","Low Value / Low Risk")))</f>
        <v/>
      </c>
      <c r="AF772" s="101"/>
      <c r="AG772" s="126"/>
      <c r="AH772" s="106" t="str">
        <f aca="false">IF($B772="","",COUNTIFS('Debt Backlog'!$AF$2:$AF$1000,$A772,'Debt Backlog'!$B$2:$B$1000,"&lt;&gt;",'Debt Backlog'!$N$2:$N$1000,"&lt;&gt;Done",'Debt Backlog'!$N$2:$N$1000,"&lt;&gt;Won't Fix",'Debt Backlog'!$N$2:$N$1000,"&lt;&gt;Duplicate"))</f>
        <v/>
      </c>
      <c r="AI772" s="103" t="str">
        <f aca="false">IF($B772="","",ROUND(SUMIFS('Debt Backlog'!$L$2:$L$1000,'Debt Backlog'!$AF$2:$AF$1000,$A772,'Debt Backlog'!$B$2:$B$1000,"&lt;&gt;",'Debt Backlog'!$N$2:$N$1000,"&lt;&gt;Done",'Debt Backlog'!$N$2:$N$1000,"&lt;&gt;Won't Fix",'Debt Backlog'!$N$2:$N$1000,"&lt;&gt;Duplicate"),2))</f>
        <v/>
      </c>
    </row>
    <row r="773" customFormat="false" ht="15.75" hidden="false" customHeight="true" outlineLevel="0" collapsed="false">
      <c r="A773" s="125"/>
      <c r="B773" s="101"/>
      <c r="C773" s="101"/>
      <c r="D773" s="101"/>
      <c r="E773" s="101"/>
      <c r="F773" s="101"/>
      <c r="G773" s="101"/>
      <c r="H773" s="101"/>
      <c r="I773" s="106"/>
      <c r="J773" s="106"/>
      <c r="K773" s="106"/>
      <c r="L773" s="106"/>
      <c r="M773" s="106"/>
      <c r="N773" s="103" t="str">
        <f aca="false">IF(OR($B773="", $I773="", $J773="", $K773="", $L773="", $M773=""),"",ROUND(($I773*Lists!$AD$2)+($J773*Lists!$AD$3)+($K773*Lists!$AD$4)+($L773*Lists!$AD$5)+($M773*Lists!$AD$6),2))</f>
        <v/>
      </c>
      <c r="O773" s="103" t="str">
        <f aca="false">IF($A773="","",IFERROR(VLOOKUP($A773,'Risk Register'!$B$2:$I$1000,8,FALSE()),""))</f>
        <v/>
      </c>
      <c r="P773" s="106"/>
      <c r="Q773" s="106"/>
      <c r="R773" s="106"/>
      <c r="S773" s="106"/>
      <c r="T773" s="103" t="str">
        <f aca="false">IF(OR($B773="", $P773="", $Q773="", $R773="", $S773=""),"",ROUND(($P773*Lists!$AD$7)+($Q773*Lists!$AD$8)+($R773*Lists!$AD$9)+($S773*Lists!$AD$10),2))</f>
        <v/>
      </c>
      <c r="U773" s="106"/>
      <c r="V773" s="106"/>
      <c r="W773" s="106"/>
      <c r="X773" s="106"/>
      <c r="Y773" s="106"/>
      <c r="Z773" s="103" t="str">
        <f aca="false">IF(OR($B773="", $U773="", $V773="", $W773="", $X773="", $Y773=""),"",ROUND(($U773*Lists!$AD$11)+($V773*Lists!$AD$12)+($W773*Lists!$AD$13)+($X773*Lists!$AD$14)+($Y773*Lists!$AD$15),2))</f>
        <v/>
      </c>
      <c r="AA773" s="103" t="str">
        <f aca="false">IF(OR($B773="", $N773="", $O773="", $T773="", $Z773=""),"",ROUND(($N773*Lists!$AD$16)-($O773*Lists!$AD$17)-($T773*Lists!$AD$18)+($Z773*Lists!$AD$19),2))</f>
        <v/>
      </c>
      <c r="AB773" s="102" t="str">
        <f aca="false">IF(OR($B773="", $N773="", $Z773=""),"",IF($N773&gt;=Lists!$AG$2,IF($Z773&gt;=Lists!$AG$3,"Invest","Migrate"),IF($Z773&gt;=Lists!$AG$3,"Tolerate","Eliminate")))</f>
        <v/>
      </c>
      <c r="AC773" s="102" t="str">
        <f aca="false">IF($B773="","",IF($J773&gt;=4,"Yes",""))</f>
        <v/>
      </c>
      <c r="AD773" s="102" t="str">
        <f aca="false">IF($A773="","",IFERROR(IF(VLOOKUP($A773,'Risk Register'!$B$2:$H$1000,4,FALSE())&gt;=4,"Yes",""),""))</f>
        <v/>
      </c>
      <c r="AE773" s="102" t="str">
        <f aca="false">IF(OR($N773="", $O773=""),"",IF($N773&gt;=Lists!$AG$2,IF($O773&gt;=Lists!$AG$4,"High Value / High Risk","High Value / Low Risk"),IF($O773&gt;=Lists!$AG$4,"Low Value / High Risk","Low Value / Low Risk")))</f>
        <v/>
      </c>
      <c r="AF773" s="101"/>
      <c r="AG773" s="126"/>
      <c r="AH773" s="106" t="str">
        <f aca="false">IF($B773="","",COUNTIFS('Debt Backlog'!$AF$2:$AF$1000,$A773,'Debt Backlog'!$B$2:$B$1000,"&lt;&gt;",'Debt Backlog'!$N$2:$N$1000,"&lt;&gt;Done",'Debt Backlog'!$N$2:$N$1000,"&lt;&gt;Won't Fix",'Debt Backlog'!$N$2:$N$1000,"&lt;&gt;Duplicate"))</f>
        <v/>
      </c>
      <c r="AI773" s="103" t="str">
        <f aca="false">IF($B773="","",ROUND(SUMIFS('Debt Backlog'!$L$2:$L$1000,'Debt Backlog'!$AF$2:$AF$1000,$A773,'Debt Backlog'!$B$2:$B$1000,"&lt;&gt;",'Debt Backlog'!$N$2:$N$1000,"&lt;&gt;Done",'Debt Backlog'!$N$2:$N$1000,"&lt;&gt;Won't Fix",'Debt Backlog'!$N$2:$N$1000,"&lt;&gt;Duplicate"),2))</f>
        <v/>
      </c>
    </row>
    <row r="774" customFormat="false" ht="15.75" hidden="false" customHeight="true" outlineLevel="0" collapsed="false">
      <c r="A774" s="125"/>
      <c r="B774" s="101"/>
      <c r="C774" s="101"/>
      <c r="D774" s="101"/>
      <c r="E774" s="101"/>
      <c r="F774" s="101"/>
      <c r="G774" s="101"/>
      <c r="H774" s="101"/>
      <c r="I774" s="106"/>
      <c r="J774" s="106"/>
      <c r="K774" s="106"/>
      <c r="L774" s="106"/>
      <c r="M774" s="106"/>
      <c r="N774" s="103" t="str">
        <f aca="false">IF(OR($B774="", $I774="", $J774="", $K774="", $L774="", $M774=""),"",ROUND(($I774*Lists!$AD$2)+($J774*Lists!$AD$3)+($K774*Lists!$AD$4)+($L774*Lists!$AD$5)+($M774*Lists!$AD$6),2))</f>
        <v/>
      </c>
      <c r="O774" s="103" t="str">
        <f aca="false">IF($A774="","",IFERROR(VLOOKUP($A774,'Risk Register'!$B$2:$I$1000,8,FALSE()),""))</f>
        <v/>
      </c>
      <c r="P774" s="106"/>
      <c r="Q774" s="106"/>
      <c r="R774" s="106"/>
      <c r="S774" s="106"/>
      <c r="T774" s="103" t="str">
        <f aca="false">IF(OR($B774="", $P774="", $Q774="", $R774="", $S774=""),"",ROUND(($P774*Lists!$AD$7)+($Q774*Lists!$AD$8)+($R774*Lists!$AD$9)+($S774*Lists!$AD$10),2))</f>
        <v/>
      </c>
      <c r="U774" s="106"/>
      <c r="V774" s="106"/>
      <c r="W774" s="106"/>
      <c r="X774" s="106"/>
      <c r="Y774" s="106"/>
      <c r="Z774" s="103" t="str">
        <f aca="false">IF(OR($B774="", $U774="", $V774="", $W774="", $X774="", $Y774=""),"",ROUND(($U774*Lists!$AD$11)+($V774*Lists!$AD$12)+($W774*Lists!$AD$13)+($X774*Lists!$AD$14)+($Y774*Lists!$AD$15),2))</f>
        <v/>
      </c>
      <c r="AA774" s="103" t="str">
        <f aca="false">IF(OR($B774="", $N774="", $O774="", $T774="", $Z774=""),"",ROUND(($N774*Lists!$AD$16)-($O774*Lists!$AD$17)-($T774*Lists!$AD$18)+($Z774*Lists!$AD$19),2))</f>
        <v/>
      </c>
      <c r="AB774" s="102" t="str">
        <f aca="false">IF(OR($B774="", $N774="", $Z774=""),"",IF($N774&gt;=Lists!$AG$2,IF($Z774&gt;=Lists!$AG$3,"Invest","Migrate"),IF($Z774&gt;=Lists!$AG$3,"Tolerate","Eliminate")))</f>
        <v/>
      </c>
      <c r="AC774" s="102" t="str">
        <f aca="false">IF($B774="","",IF($J774&gt;=4,"Yes",""))</f>
        <v/>
      </c>
      <c r="AD774" s="102" t="str">
        <f aca="false">IF($A774="","",IFERROR(IF(VLOOKUP($A774,'Risk Register'!$B$2:$H$1000,4,FALSE())&gt;=4,"Yes",""),""))</f>
        <v/>
      </c>
      <c r="AE774" s="102" t="str">
        <f aca="false">IF(OR($N774="", $O774=""),"",IF($N774&gt;=Lists!$AG$2,IF($O774&gt;=Lists!$AG$4,"High Value / High Risk","High Value / Low Risk"),IF($O774&gt;=Lists!$AG$4,"Low Value / High Risk","Low Value / Low Risk")))</f>
        <v/>
      </c>
      <c r="AF774" s="101"/>
      <c r="AG774" s="126"/>
      <c r="AH774" s="106" t="str">
        <f aca="false">IF($B774="","",COUNTIFS('Debt Backlog'!$AF$2:$AF$1000,$A774,'Debt Backlog'!$B$2:$B$1000,"&lt;&gt;",'Debt Backlog'!$N$2:$N$1000,"&lt;&gt;Done",'Debt Backlog'!$N$2:$N$1000,"&lt;&gt;Won't Fix",'Debt Backlog'!$N$2:$N$1000,"&lt;&gt;Duplicate"))</f>
        <v/>
      </c>
      <c r="AI774" s="103" t="str">
        <f aca="false">IF($B774="","",ROUND(SUMIFS('Debt Backlog'!$L$2:$L$1000,'Debt Backlog'!$AF$2:$AF$1000,$A774,'Debt Backlog'!$B$2:$B$1000,"&lt;&gt;",'Debt Backlog'!$N$2:$N$1000,"&lt;&gt;Done",'Debt Backlog'!$N$2:$N$1000,"&lt;&gt;Won't Fix",'Debt Backlog'!$N$2:$N$1000,"&lt;&gt;Duplicate"),2))</f>
        <v/>
      </c>
    </row>
    <row r="775" customFormat="false" ht="15.75" hidden="false" customHeight="true" outlineLevel="0" collapsed="false">
      <c r="A775" s="125"/>
      <c r="B775" s="101"/>
      <c r="C775" s="101"/>
      <c r="D775" s="101"/>
      <c r="E775" s="101"/>
      <c r="F775" s="101"/>
      <c r="G775" s="101"/>
      <c r="H775" s="101"/>
      <c r="I775" s="106"/>
      <c r="J775" s="106"/>
      <c r="K775" s="106"/>
      <c r="L775" s="106"/>
      <c r="M775" s="106"/>
      <c r="N775" s="103" t="str">
        <f aca="false">IF(OR($B775="", $I775="", $J775="", $K775="", $L775="", $M775=""),"",ROUND(($I775*Lists!$AD$2)+($J775*Lists!$AD$3)+($K775*Lists!$AD$4)+($L775*Lists!$AD$5)+($M775*Lists!$AD$6),2))</f>
        <v/>
      </c>
      <c r="O775" s="103" t="str">
        <f aca="false">IF($A775="","",IFERROR(VLOOKUP($A775,'Risk Register'!$B$2:$I$1000,8,FALSE()),""))</f>
        <v/>
      </c>
      <c r="P775" s="106"/>
      <c r="Q775" s="106"/>
      <c r="R775" s="106"/>
      <c r="S775" s="106"/>
      <c r="T775" s="103" t="str">
        <f aca="false">IF(OR($B775="", $P775="", $Q775="", $R775="", $S775=""),"",ROUND(($P775*Lists!$AD$7)+($Q775*Lists!$AD$8)+($R775*Lists!$AD$9)+($S775*Lists!$AD$10),2))</f>
        <v/>
      </c>
      <c r="U775" s="106"/>
      <c r="V775" s="106"/>
      <c r="W775" s="106"/>
      <c r="X775" s="106"/>
      <c r="Y775" s="106"/>
      <c r="Z775" s="103" t="str">
        <f aca="false">IF(OR($B775="", $U775="", $V775="", $W775="", $X775="", $Y775=""),"",ROUND(($U775*Lists!$AD$11)+($V775*Lists!$AD$12)+($W775*Lists!$AD$13)+($X775*Lists!$AD$14)+($Y775*Lists!$AD$15),2))</f>
        <v/>
      </c>
      <c r="AA775" s="103" t="str">
        <f aca="false">IF(OR($B775="", $N775="", $O775="", $T775="", $Z775=""),"",ROUND(($N775*Lists!$AD$16)-($O775*Lists!$AD$17)-($T775*Lists!$AD$18)+($Z775*Lists!$AD$19),2))</f>
        <v/>
      </c>
      <c r="AB775" s="102" t="str">
        <f aca="false">IF(OR($B775="", $N775="", $Z775=""),"",IF($N775&gt;=Lists!$AG$2,IF($Z775&gt;=Lists!$AG$3,"Invest","Migrate"),IF($Z775&gt;=Lists!$AG$3,"Tolerate","Eliminate")))</f>
        <v/>
      </c>
      <c r="AC775" s="102" t="str">
        <f aca="false">IF($B775="","",IF($J775&gt;=4,"Yes",""))</f>
        <v/>
      </c>
      <c r="AD775" s="102" t="str">
        <f aca="false">IF($A775="","",IFERROR(IF(VLOOKUP($A775,'Risk Register'!$B$2:$H$1000,4,FALSE())&gt;=4,"Yes",""),""))</f>
        <v/>
      </c>
      <c r="AE775" s="102" t="str">
        <f aca="false">IF(OR($N775="", $O775=""),"",IF($N775&gt;=Lists!$AG$2,IF($O775&gt;=Lists!$AG$4,"High Value / High Risk","High Value / Low Risk"),IF($O775&gt;=Lists!$AG$4,"Low Value / High Risk","Low Value / Low Risk")))</f>
        <v/>
      </c>
      <c r="AF775" s="101"/>
      <c r="AG775" s="126"/>
      <c r="AH775" s="106" t="str">
        <f aca="false">IF($B775="","",COUNTIFS('Debt Backlog'!$AF$2:$AF$1000,$A775,'Debt Backlog'!$B$2:$B$1000,"&lt;&gt;",'Debt Backlog'!$N$2:$N$1000,"&lt;&gt;Done",'Debt Backlog'!$N$2:$N$1000,"&lt;&gt;Won't Fix",'Debt Backlog'!$N$2:$N$1000,"&lt;&gt;Duplicate"))</f>
        <v/>
      </c>
      <c r="AI775" s="103" t="str">
        <f aca="false">IF($B775="","",ROUND(SUMIFS('Debt Backlog'!$L$2:$L$1000,'Debt Backlog'!$AF$2:$AF$1000,$A775,'Debt Backlog'!$B$2:$B$1000,"&lt;&gt;",'Debt Backlog'!$N$2:$N$1000,"&lt;&gt;Done",'Debt Backlog'!$N$2:$N$1000,"&lt;&gt;Won't Fix",'Debt Backlog'!$N$2:$N$1000,"&lt;&gt;Duplicate"),2))</f>
        <v/>
      </c>
    </row>
    <row r="776" customFormat="false" ht="15.75" hidden="false" customHeight="true" outlineLevel="0" collapsed="false">
      <c r="A776" s="125"/>
      <c r="B776" s="101"/>
      <c r="C776" s="101"/>
      <c r="D776" s="101"/>
      <c r="E776" s="101"/>
      <c r="F776" s="101"/>
      <c r="G776" s="101"/>
      <c r="H776" s="101"/>
      <c r="I776" s="106"/>
      <c r="J776" s="106"/>
      <c r="K776" s="106"/>
      <c r="L776" s="106"/>
      <c r="M776" s="106"/>
      <c r="N776" s="103" t="str">
        <f aca="false">IF(OR($B776="", $I776="", $J776="", $K776="", $L776="", $M776=""),"",ROUND(($I776*Lists!$AD$2)+($J776*Lists!$AD$3)+($K776*Lists!$AD$4)+($L776*Lists!$AD$5)+($M776*Lists!$AD$6),2))</f>
        <v/>
      </c>
      <c r="O776" s="103" t="str">
        <f aca="false">IF($A776="","",IFERROR(VLOOKUP($A776,'Risk Register'!$B$2:$I$1000,8,FALSE()),""))</f>
        <v/>
      </c>
      <c r="P776" s="106"/>
      <c r="Q776" s="106"/>
      <c r="R776" s="106"/>
      <c r="S776" s="106"/>
      <c r="T776" s="103" t="str">
        <f aca="false">IF(OR($B776="", $P776="", $Q776="", $R776="", $S776=""),"",ROUND(($P776*Lists!$AD$7)+($Q776*Lists!$AD$8)+($R776*Lists!$AD$9)+($S776*Lists!$AD$10),2))</f>
        <v/>
      </c>
      <c r="U776" s="106"/>
      <c r="V776" s="106"/>
      <c r="W776" s="106"/>
      <c r="X776" s="106"/>
      <c r="Y776" s="106"/>
      <c r="Z776" s="103" t="str">
        <f aca="false">IF(OR($B776="", $U776="", $V776="", $W776="", $X776="", $Y776=""),"",ROUND(($U776*Lists!$AD$11)+($V776*Lists!$AD$12)+($W776*Lists!$AD$13)+($X776*Lists!$AD$14)+($Y776*Lists!$AD$15),2))</f>
        <v/>
      </c>
      <c r="AA776" s="103" t="str">
        <f aca="false">IF(OR($B776="", $N776="", $O776="", $T776="", $Z776=""),"",ROUND(($N776*Lists!$AD$16)-($O776*Lists!$AD$17)-($T776*Lists!$AD$18)+($Z776*Lists!$AD$19),2))</f>
        <v/>
      </c>
      <c r="AB776" s="102" t="str">
        <f aca="false">IF(OR($B776="", $N776="", $Z776=""),"",IF($N776&gt;=Lists!$AG$2,IF($Z776&gt;=Lists!$AG$3,"Invest","Migrate"),IF($Z776&gt;=Lists!$AG$3,"Tolerate","Eliminate")))</f>
        <v/>
      </c>
      <c r="AC776" s="102" t="str">
        <f aca="false">IF($B776="","",IF($J776&gt;=4,"Yes",""))</f>
        <v/>
      </c>
      <c r="AD776" s="102" t="str">
        <f aca="false">IF($A776="","",IFERROR(IF(VLOOKUP($A776,'Risk Register'!$B$2:$H$1000,4,FALSE())&gt;=4,"Yes",""),""))</f>
        <v/>
      </c>
      <c r="AE776" s="102" t="str">
        <f aca="false">IF(OR($N776="", $O776=""),"",IF($N776&gt;=Lists!$AG$2,IF($O776&gt;=Lists!$AG$4,"High Value / High Risk","High Value / Low Risk"),IF($O776&gt;=Lists!$AG$4,"Low Value / High Risk","Low Value / Low Risk")))</f>
        <v/>
      </c>
      <c r="AF776" s="101"/>
      <c r="AG776" s="126"/>
      <c r="AH776" s="106" t="str">
        <f aca="false">IF($B776="","",COUNTIFS('Debt Backlog'!$AF$2:$AF$1000,$A776,'Debt Backlog'!$B$2:$B$1000,"&lt;&gt;",'Debt Backlog'!$N$2:$N$1000,"&lt;&gt;Done",'Debt Backlog'!$N$2:$N$1000,"&lt;&gt;Won't Fix",'Debt Backlog'!$N$2:$N$1000,"&lt;&gt;Duplicate"))</f>
        <v/>
      </c>
      <c r="AI776" s="103" t="str">
        <f aca="false">IF($B776="","",ROUND(SUMIFS('Debt Backlog'!$L$2:$L$1000,'Debt Backlog'!$AF$2:$AF$1000,$A776,'Debt Backlog'!$B$2:$B$1000,"&lt;&gt;",'Debt Backlog'!$N$2:$N$1000,"&lt;&gt;Done",'Debt Backlog'!$N$2:$N$1000,"&lt;&gt;Won't Fix",'Debt Backlog'!$N$2:$N$1000,"&lt;&gt;Duplicate"),2))</f>
        <v/>
      </c>
    </row>
    <row r="777" customFormat="false" ht="15.75" hidden="false" customHeight="true" outlineLevel="0" collapsed="false">
      <c r="A777" s="125"/>
      <c r="B777" s="101"/>
      <c r="C777" s="101"/>
      <c r="D777" s="101"/>
      <c r="E777" s="101"/>
      <c r="F777" s="101"/>
      <c r="G777" s="101"/>
      <c r="H777" s="101"/>
      <c r="I777" s="106"/>
      <c r="J777" s="106"/>
      <c r="K777" s="106"/>
      <c r="L777" s="106"/>
      <c r="M777" s="106"/>
      <c r="N777" s="103" t="str">
        <f aca="false">IF(OR($B777="", $I777="", $J777="", $K777="", $L777="", $M777=""),"",ROUND(($I777*Lists!$AD$2)+($J777*Lists!$AD$3)+($K777*Lists!$AD$4)+($L777*Lists!$AD$5)+($M777*Lists!$AD$6),2))</f>
        <v/>
      </c>
      <c r="O777" s="103" t="str">
        <f aca="false">IF($A777="","",IFERROR(VLOOKUP($A777,'Risk Register'!$B$2:$I$1000,8,FALSE()),""))</f>
        <v/>
      </c>
      <c r="P777" s="106"/>
      <c r="Q777" s="106"/>
      <c r="R777" s="106"/>
      <c r="S777" s="106"/>
      <c r="T777" s="103" t="str">
        <f aca="false">IF(OR($B777="", $P777="", $Q777="", $R777="", $S777=""),"",ROUND(($P777*Lists!$AD$7)+($Q777*Lists!$AD$8)+($R777*Lists!$AD$9)+($S777*Lists!$AD$10),2))</f>
        <v/>
      </c>
      <c r="U777" s="106"/>
      <c r="V777" s="106"/>
      <c r="W777" s="106"/>
      <c r="X777" s="106"/>
      <c r="Y777" s="106"/>
      <c r="Z777" s="103" t="str">
        <f aca="false">IF(OR($B777="", $U777="", $V777="", $W777="", $X777="", $Y777=""),"",ROUND(($U777*Lists!$AD$11)+($V777*Lists!$AD$12)+($W777*Lists!$AD$13)+($X777*Lists!$AD$14)+($Y777*Lists!$AD$15),2))</f>
        <v/>
      </c>
      <c r="AA777" s="103" t="str">
        <f aca="false">IF(OR($B777="", $N777="", $O777="", $T777="", $Z777=""),"",ROUND(($N777*Lists!$AD$16)-($O777*Lists!$AD$17)-($T777*Lists!$AD$18)+($Z777*Lists!$AD$19),2))</f>
        <v/>
      </c>
      <c r="AB777" s="102" t="str">
        <f aca="false">IF(OR($B777="", $N777="", $Z777=""),"",IF($N777&gt;=Lists!$AG$2,IF($Z777&gt;=Lists!$AG$3,"Invest","Migrate"),IF($Z777&gt;=Lists!$AG$3,"Tolerate","Eliminate")))</f>
        <v/>
      </c>
      <c r="AC777" s="102" t="str">
        <f aca="false">IF($B777="","",IF($J777&gt;=4,"Yes",""))</f>
        <v/>
      </c>
      <c r="AD777" s="102" t="str">
        <f aca="false">IF($A777="","",IFERROR(IF(VLOOKUP($A777,'Risk Register'!$B$2:$H$1000,4,FALSE())&gt;=4,"Yes",""),""))</f>
        <v/>
      </c>
      <c r="AE777" s="102" t="str">
        <f aca="false">IF(OR($N777="", $O777=""),"",IF($N777&gt;=Lists!$AG$2,IF($O777&gt;=Lists!$AG$4,"High Value / High Risk","High Value / Low Risk"),IF($O777&gt;=Lists!$AG$4,"Low Value / High Risk","Low Value / Low Risk")))</f>
        <v/>
      </c>
      <c r="AF777" s="101"/>
      <c r="AG777" s="126"/>
      <c r="AH777" s="106" t="str">
        <f aca="false">IF($B777="","",COUNTIFS('Debt Backlog'!$AF$2:$AF$1000,$A777,'Debt Backlog'!$B$2:$B$1000,"&lt;&gt;",'Debt Backlog'!$N$2:$N$1000,"&lt;&gt;Done",'Debt Backlog'!$N$2:$N$1000,"&lt;&gt;Won't Fix",'Debt Backlog'!$N$2:$N$1000,"&lt;&gt;Duplicate"))</f>
        <v/>
      </c>
      <c r="AI777" s="103" t="str">
        <f aca="false">IF($B777="","",ROUND(SUMIFS('Debt Backlog'!$L$2:$L$1000,'Debt Backlog'!$AF$2:$AF$1000,$A777,'Debt Backlog'!$B$2:$B$1000,"&lt;&gt;",'Debt Backlog'!$N$2:$N$1000,"&lt;&gt;Done",'Debt Backlog'!$N$2:$N$1000,"&lt;&gt;Won't Fix",'Debt Backlog'!$N$2:$N$1000,"&lt;&gt;Duplicate"),2))</f>
        <v/>
      </c>
    </row>
    <row r="778" customFormat="false" ht="15.75" hidden="false" customHeight="true" outlineLevel="0" collapsed="false">
      <c r="A778" s="125"/>
      <c r="B778" s="101"/>
      <c r="C778" s="101"/>
      <c r="D778" s="101"/>
      <c r="E778" s="101"/>
      <c r="F778" s="101"/>
      <c r="G778" s="101"/>
      <c r="H778" s="101"/>
      <c r="I778" s="106"/>
      <c r="J778" s="106"/>
      <c r="K778" s="106"/>
      <c r="L778" s="106"/>
      <c r="M778" s="106"/>
      <c r="N778" s="103" t="str">
        <f aca="false">IF(OR($B778="", $I778="", $J778="", $K778="", $L778="", $M778=""),"",ROUND(($I778*Lists!$AD$2)+($J778*Lists!$AD$3)+($K778*Lists!$AD$4)+($L778*Lists!$AD$5)+($M778*Lists!$AD$6),2))</f>
        <v/>
      </c>
      <c r="O778" s="103" t="str">
        <f aca="false">IF($A778="","",IFERROR(VLOOKUP($A778,'Risk Register'!$B$2:$I$1000,8,FALSE()),""))</f>
        <v/>
      </c>
      <c r="P778" s="106"/>
      <c r="Q778" s="106"/>
      <c r="R778" s="106"/>
      <c r="S778" s="106"/>
      <c r="T778" s="103" t="str">
        <f aca="false">IF(OR($B778="", $P778="", $Q778="", $R778="", $S778=""),"",ROUND(($P778*Lists!$AD$7)+($Q778*Lists!$AD$8)+($R778*Lists!$AD$9)+($S778*Lists!$AD$10),2))</f>
        <v/>
      </c>
      <c r="U778" s="106"/>
      <c r="V778" s="106"/>
      <c r="W778" s="106"/>
      <c r="X778" s="106"/>
      <c r="Y778" s="106"/>
      <c r="Z778" s="103" t="str">
        <f aca="false">IF(OR($B778="", $U778="", $V778="", $W778="", $X778="", $Y778=""),"",ROUND(($U778*Lists!$AD$11)+($V778*Lists!$AD$12)+($W778*Lists!$AD$13)+($X778*Lists!$AD$14)+($Y778*Lists!$AD$15),2))</f>
        <v/>
      </c>
      <c r="AA778" s="103" t="str">
        <f aca="false">IF(OR($B778="", $N778="", $O778="", $T778="", $Z778=""),"",ROUND(($N778*Lists!$AD$16)-($O778*Lists!$AD$17)-($T778*Lists!$AD$18)+($Z778*Lists!$AD$19),2))</f>
        <v/>
      </c>
      <c r="AB778" s="102" t="str">
        <f aca="false">IF(OR($B778="", $N778="", $Z778=""),"",IF($N778&gt;=Lists!$AG$2,IF($Z778&gt;=Lists!$AG$3,"Invest","Migrate"),IF($Z778&gt;=Lists!$AG$3,"Tolerate","Eliminate")))</f>
        <v/>
      </c>
      <c r="AC778" s="102" t="str">
        <f aca="false">IF($B778="","",IF($J778&gt;=4,"Yes",""))</f>
        <v/>
      </c>
      <c r="AD778" s="102" t="str">
        <f aca="false">IF($A778="","",IFERROR(IF(VLOOKUP($A778,'Risk Register'!$B$2:$H$1000,4,FALSE())&gt;=4,"Yes",""),""))</f>
        <v/>
      </c>
      <c r="AE778" s="102" t="str">
        <f aca="false">IF(OR($N778="", $O778=""),"",IF($N778&gt;=Lists!$AG$2,IF($O778&gt;=Lists!$AG$4,"High Value / High Risk","High Value / Low Risk"),IF($O778&gt;=Lists!$AG$4,"Low Value / High Risk","Low Value / Low Risk")))</f>
        <v/>
      </c>
      <c r="AF778" s="101"/>
      <c r="AG778" s="126"/>
      <c r="AH778" s="106" t="str">
        <f aca="false">IF($B778="","",COUNTIFS('Debt Backlog'!$AF$2:$AF$1000,$A778,'Debt Backlog'!$B$2:$B$1000,"&lt;&gt;",'Debt Backlog'!$N$2:$N$1000,"&lt;&gt;Done",'Debt Backlog'!$N$2:$N$1000,"&lt;&gt;Won't Fix",'Debt Backlog'!$N$2:$N$1000,"&lt;&gt;Duplicate"))</f>
        <v/>
      </c>
      <c r="AI778" s="103" t="str">
        <f aca="false">IF($B778="","",ROUND(SUMIFS('Debt Backlog'!$L$2:$L$1000,'Debt Backlog'!$AF$2:$AF$1000,$A778,'Debt Backlog'!$B$2:$B$1000,"&lt;&gt;",'Debt Backlog'!$N$2:$N$1000,"&lt;&gt;Done",'Debt Backlog'!$N$2:$N$1000,"&lt;&gt;Won't Fix",'Debt Backlog'!$N$2:$N$1000,"&lt;&gt;Duplicate"),2))</f>
        <v/>
      </c>
    </row>
    <row r="779" customFormat="false" ht="15.75" hidden="false" customHeight="true" outlineLevel="0" collapsed="false">
      <c r="A779" s="125"/>
      <c r="B779" s="101"/>
      <c r="C779" s="101"/>
      <c r="D779" s="101"/>
      <c r="E779" s="101"/>
      <c r="F779" s="101"/>
      <c r="G779" s="101"/>
      <c r="H779" s="101"/>
      <c r="I779" s="106"/>
      <c r="J779" s="106"/>
      <c r="K779" s="106"/>
      <c r="L779" s="106"/>
      <c r="M779" s="106"/>
      <c r="N779" s="103" t="str">
        <f aca="false">IF(OR($B779="", $I779="", $J779="", $K779="", $L779="", $M779=""),"",ROUND(($I779*Lists!$AD$2)+($J779*Lists!$AD$3)+($K779*Lists!$AD$4)+($L779*Lists!$AD$5)+($M779*Lists!$AD$6),2))</f>
        <v/>
      </c>
      <c r="O779" s="103" t="str">
        <f aca="false">IF($A779="","",IFERROR(VLOOKUP($A779,'Risk Register'!$B$2:$I$1000,8,FALSE()),""))</f>
        <v/>
      </c>
      <c r="P779" s="106"/>
      <c r="Q779" s="106"/>
      <c r="R779" s="106"/>
      <c r="S779" s="106"/>
      <c r="T779" s="103" t="str">
        <f aca="false">IF(OR($B779="", $P779="", $Q779="", $R779="", $S779=""),"",ROUND(($P779*Lists!$AD$7)+($Q779*Lists!$AD$8)+($R779*Lists!$AD$9)+($S779*Lists!$AD$10),2))</f>
        <v/>
      </c>
      <c r="U779" s="106"/>
      <c r="V779" s="106"/>
      <c r="W779" s="106"/>
      <c r="X779" s="106"/>
      <c r="Y779" s="106"/>
      <c r="Z779" s="103" t="str">
        <f aca="false">IF(OR($B779="", $U779="", $V779="", $W779="", $X779="", $Y779=""),"",ROUND(($U779*Lists!$AD$11)+($V779*Lists!$AD$12)+($W779*Lists!$AD$13)+($X779*Lists!$AD$14)+($Y779*Lists!$AD$15),2))</f>
        <v/>
      </c>
      <c r="AA779" s="103" t="str">
        <f aca="false">IF(OR($B779="", $N779="", $O779="", $T779="", $Z779=""),"",ROUND(($N779*Lists!$AD$16)-($O779*Lists!$AD$17)-($T779*Lists!$AD$18)+($Z779*Lists!$AD$19),2))</f>
        <v/>
      </c>
      <c r="AB779" s="102" t="str">
        <f aca="false">IF(OR($B779="", $N779="", $Z779=""),"",IF($N779&gt;=Lists!$AG$2,IF($Z779&gt;=Lists!$AG$3,"Invest","Migrate"),IF($Z779&gt;=Lists!$AG$3,"Tolerate","Eliminate")))</f>
        <v/>
      </c>
      <c r="AC779" s="102" t="str">
        <f aca="false">IF($B779="","",IF($J779&gt;=4,"Yes",""))</f>
        <v/>
      </c>
      <c r="AD779" s="102" t="str">
        <f aca="false">IF($A779="","",IFERROR(IF(VLOOKUP($A779,'Risk Register'!$B$2:$H$1000,4,FALSE())&gt;=4,"Yes",""),""))</f>
        <v/>
      </c>
      <c r="AE779" s="102" t="str">
        <f aca="false">IF(OR($N779="", $O779=""),"",IF($N779&gt;=Lists!$AG$2,IF($O779&gt;=Lists!$AG$4,"High Value / High Risk","High Value / Low Risk"),IF($O779&gt;=Lists!$AG$4,"Low Value / High Risk","Low Value / Low Risk")))</f>
        <v/>
      </c>
      <c r="AF779" s="101"/>
      <c r="AG779" s="126"/>
      <c r="AH779" s="106" t="str">
        <f aca="false">IF($B779="","",COUNTIFS('Debt Backlog'!$AF$2:$AF$1000,$A779,'Debt Backlog'!$B$2:$B$1000,"&lt;&gt;",'Debt Backlog'!$N$2:$N$1000,"&lt;&gt;Done",'Debt Backlog'!$N$2:$N$1000,"&lt;&gt;Won't Fix",'Debt Backlog'!$N$2:$N$1000,"&lt;&gt;Duplicate"))</f>
        <v/>
      </c>
      <c r="AI779" s="103" t="str">
        <f aca="false">IF($B779="","",ROUND(SUMIFS('Debt Backlog'!$L$2:$L$1000,'Debt Backlog'!$AF$2:$AF$1000,$A779,'Debt Backlog'!$B$2:$B$1000,"&lt;&gt;",'Debt Backlog'!$N$2:$N$1000,"&lt;&gt;Done",'Debt Backlog'!$N$2:$N$1000,"&lt;&gt;Won't Fix",'Debt Backlog'!$N$2:$N$1000,"&lt;&gt;Duplicate"),2))</f>
        <v/>
      </c>
    </row>
    <row r="780" customFormat="false" ht="15.75" hidden="false" customHeight="true" outlineLevel="0" collapsed="false">
      <c r="A780" s="125"/>
      <c r="B780" s="101"/>
      <c r="C780" s="101"/>
      <c r="D780" s="101"/>
      <c r="E780" s="101"/>
      <c r="F780" s="101"/>
      <c r="G780" s="101"/>
      <c r="H780" s="101"/>
      <c r="I780" s="106"/>
      <c r="J780" s="106"/>
      <c r="K780" s="106"/>
      <c r="L780" s="106"/>
      <c r="M780" s="106"/>
      <c r="N780" s="103" t="str">
        <f aca="false">IF(OR($B780="", $I780="", $J780="", $K780="", $L780="", $M780=""),"",ROUND(($I780*Lists!$AD$2)+($J780*Lists!$AD$3)+($K780*Lists!$AD$4)+($L780*Lists!$AD$5)+($M780*Lists!$AD$6),2))</f>
        <v/>
      </c>
      <c r="O780" s="103" t="str">
        <f aca="false">IF($A780="","",IFERROR(VLOOKUP($A780,'Risk Register'!$B$2:$I$1000,8,FALSE()),""))</f>
        <v/>
      </c>
      <c r="P780" s="106"/>
      <c r="Q780" s="106"/>
      <c r="R780" s="106"/>
      <c r="S780" s="106"/>
      <c r="T780" s="103" t="str">
        <f aca="false">IF(OR($B780="", $P780="", $Q780="", $R780="", $S780=""),"",ROUND(($P780*Lists!$AD$7)+($Q780*Lists!$AD$8)+($R780*Lists!$AD$9)+($S780*Lists!$AD$10),2))</f>
        <v/>
      </c>
      <c r="U780" s="106"/>
      <c r="V780" s="106"/>
      <c r="W780" s="106"/>
      <c r="X780" s="106"/>
      <c r="Y780" s="106"/>
      <c r="Z780" s="103" t="str">
        <f aca="false">IF(OR($B780="", $U780="", $V780="", $W780="", $X780="", $Y780=""),"",ROUND(($U780*Lists!$AD$11)+($V780*Lists!$AD$12)+($W780*Lists!$AD$13)+($X780*Lists!$AD$14)+($Y780*Lists!$AD$15),2))</f>
        <v/>
      </c>
      <c r="AA780" s="103" t="str">
        <f aca="false">IF(OR($B780="", $N780="", $O780="", $T780="", $Z780=""),"",ROUND(($N780*Lists!$AD$16)-($O780*Lists!$AD$17)-($T780*Lists!$AD$18)+($Z780*Lists!$AD$19),2))</f>
        <v/>
      </c>
      <c r="AB780" s="102" t="str">
        <f aca="false">IF(OR($B780="", $N780="", $Z780=""),"",IF($N780&gt;=Lists!$AG$2,IF($Z780&gt;=Lists!$AG$3,"Invest","Migrate"),IF($Z780&gt;=Lists!$AG$3,"Tolerate","Eliminate")))</f>
        <v/>
      </c>
      <c r="AC780" s="102" t="str">
        <f aca="false">IF($B780="","",IF($J780&gt;=4,"Yes",""))</f>
        <v/>
      </c>
      <c r="AD780" s="102" t="str">
        <f aca="false">IF($A780="","",IFERROR(IF(VLOOKUP($A780,'Risk Register'!$B$2:$H$1000,4,FALSE())&gt;=4,"Yes",""),""))</f>
        <v/>
      </c>
      <c r="AE780" s="102" t="str">
        <f aca="false">IF(OR($N780="", $O780=""),"",IF($N780&gt;=Lists!$AG$2,IF($O780&gt;=Lists!$AG$4,"High Value / High Risk","High Value / Low Risk"),IF($O780&gt;=Lists!$AG$4,"Low Value / High Risk","Low Value / Low Risk")))</f>
        <v/>
      </c>
      <c r="AF780" s="101"/>
      <c r="AG780" s="126"/>
      <c r="AH780" s="106" t="str">
        <f aca="false">IF($B780="","",COUNTIFS('Debt Backlog'!$AF$2:$AF$1000,$A780,'Debt Backlog'!$B$2:$B$1000,"&lt;&gt;",'Debt Backlog'!$N$2:$N$1000,"&lt;&gt;Done",'Debt Backlog'!$N$2:$N$1000,"&lt;&gt;Won't Fix",'Debt Backlog'!$N$2:$N$1000,"&lt;&gt;Duplicate"))</f>
        <v/>
      </c>
      <c r="AI780" s="103" t="str">
        <f aca="false">IF($B780="","",ROUND(SUMIFS('Debt Backlog'!$L$2:$L$1000,'Debt Backlog'!$AF$2:$AF$1000,$A780,'Debt Backlog'!$B$2:$B$1000,"&lt;&gt;",'Debt Backlog'!$N$2:$N$1000,"&lt;&gt;Done",'Debt Backlog'!$N$2:$N$1000,"&lt;&gt;Won't Fix",'Debt Backlog'!$N$2:$N$1000,"&lt;&gt;Duplicate"),2))</f>
        <v/>
      </c>
    </row>
    <row r="781" customFormat="false" ht="15.75" hidden="false" customHeight="true" outlineLevel="0" collapsed="false">
      <c r="A781" s="125"/>
      <c r="B781" s="101"/>
      <c r="C781" s="101"/>
      <c r="D781" s="101"/>
      <c r="E781" s="101"/>
      <c r="F781" s="101"/>
      <c r="G781" s="101"/>
      <c r="H781" s="101"/>
      <c r="I781" s="106"/>
      <c r="J781" s="106"/>
      <c r="K781" s="106"/>
      <c r="L781" s="106"/>
      <c r="M781" s="106"/>
      <c r="N781" s="103" t="str">
        <f aca="false">IF(OR($B781="", $I781="", $J781="", $K781="", $L781="", $M781=""),"",ROUND(($I781*Lists!$AD$2)+($J781*Lists!$AD$3)+($K781*Lists!$AD$4)+($L781*Lists!$AD$5)+($M781*Lists!$AD$6),2))</f>
        <v/>
      </c>
      <c r="O781" s="103" t="str">
        <f aca="false">IF($A781="","",IFERROR(VLOOKUP($A781,'Risk Register'!$B$2:$I$1000,8,FALSE()),""))</f>
        <v/>
      </c>
      <c r="P781" s="106"/>
      <c r="Q781" s="106"/>
      <c r="R781" s="106"/>
      <c r="S781" s="106"/>
      <c r="T781" s="103" t="str">
        <f aca="false">IF(OR($B781="", $P781="", $Q781="", $R781="", $S781=""),"",ROUND(($P781*Lists!$AD$7)+($Q781*Lists!$AD$8)+($R781*Lists!$AD$9)+($S781*Lists!$AD$10),2))</f>
        <v/>
      </c>
      <c r="U781" s="106"/>
      <c r="V781" s="106"/>
      <c r="W781" s="106"/>
      <c r="X781" s="106"/>
      <c r="Y781" s="106"/>
      <c r="Z781" s="103" t="str">
        <f aca="false">IF(OR($B781="", $U781="", $V781="", $W781="", $X781="", $Y781=""),"",ROUND(($U781*Lists!$AD$11)+($V781*Lists!$AD$12)+($W781*Lists!$AD$13)+($X781*Lists!$AD$14)+($Y781*Lists!$AD$15),2))</f>
        <v/>
      </c>
      <c r="AA781" s="103" t="str">
        <f aca="false">IF(OR($B781="", $N781="", $O781="", $T781="", $Z781=""),"",ROUND(($N781*Lists!$AD$16)-($O781*Lists!$AD$17)-($T781*Lists!$AD$18)+($Z781*Lists!$AD$19),2))</f>
        <v/>
      </c>
      <c r="AB781" s="102" t="str">
        <f aca="false">IF(OR($B781="", $N781="", $Z781=""),"",IF($N781&gt;=Lists!$AG$2,IF($Z781&gt;=Lists!$AG$3,"Invest","Migrate"),IF($Z781&gt;=Lists!$AG$3,"Tolerate","Eliminate")))</f>
        <v/>
      </c>
      <c r="AC781" s="102" t="str">
        <f aca="false">IF($B781="","",IF($J781&gt;=4,"Yes",""))</f>
        <v/>
      </c>
      <c r="AD781" s="102" t="str">
        <f aca="false">IF($A781="","",IFERROR(IF(VLOOKUP($A781,'Risk Register'!$B$2:$H$1000,4,FALSE())&gt;=4,"Yes",""),""))</f>
        <v/>
      </c>
      <c r="AE781" s="102" t="str">
        <f aca="false">IF(OR($N781="", $O781=""),"",IF($N781&gt;=Lists!$AG$2,IF($O781&gt;=Lists!$AG$4,"High Value / High Risk","High Value / Low Risk"),IF($O781&gt;=Lists!$AG$4,"Low Value / High Risk","Low Value / Low Risk")))</f>
        <v/>
      </c>
      <c r="AF781" s="101"/>
      <c r="AG781" s="126"/>
      <c r="AH781" s="106" t="str">
        <f aca="false">IF($B781="","",COUNTIFS('Debt Backlog'!$AF$2:$AF$1000,$A781,'Debt Backlog'!$B$2:$B$1000,"&lt;&gt;",'Debt Backlog'!$N$2:$N$1000,"&lt;&gt;Done",'Debt Backlog'!$N$2:$N$1000,"&lt;&gt;Won't Fix",'Debt Backlog'!$N$2:$N$1000,"&lt;&gt;Duplicate"))</f>
        <v/>
      </c>
      <c r="AI781" s="103" t="str">
        <f aca="false">IF($B781="","",ROUND(SUMIFS('Debt Backlog'!$L$2:$L$1000,'Debt Backlog'!$AF$2:$AF$1000,$A781,'Debt Backlog'!$B$2:$B$1000,"&lt;&gt;",'Debt Backlog'!$N$2:$N$1000,"&lt;&gt;Done",'Debt Backlog'!$N$2:$N$1000,"&lt;&gt;Won't Fix",'Debt Backlog'!$N$2:$N$1000,"&lt;&gt;Duplicate"),2))</f>
        <v/>
      </c>
    </row>
    <row r="782" customFormat="false" ht="15.75" hidden="false" customHeight="true" outlineLevel="0" collapsed="false">
      <c r="A782" s="125"/>
      <c r="B782" s="101"/>
      <c r="C782" s="101"/>
      <c r="D782" s="101"/>
      <c r="E782" s="101"/>
      <c r="F782" s="101"/>
      <c r="G782" s="101"/>
      <c r="H782" s="101"/>
      <c r="I782" s="106"/>
      <c r="J782" s="106"/>
      <c r="K782" s="106"/>
      <c r="L782" s="106"/>
      <c r="M782" s="106"/>
      <c r="N782" s="103" t="str">
        <f aca="false">IF(OR($B782="", $I782="", $J782="", $K782="", $L782="", $M782=""),"",ROUND(($I782*Lists!$AD$2)+($J782*Lists!$AD$3)+($K782*Lists!$AD$4)+($L782*Lists!$AD$5)+($M782*Lists!$AD$6),2))</f>
        <v/>
      </c>
      <c r="O782" s="103" t="str">
        <f aca="false">IF($A782="","",IFERROR(VLOOKUP($A782,'Risk Register'!$B$2:$I$1000,8,FALSE()),""))</f>
        <v/>
      </c>
      <c r="P782" s="106"/>
      <c r="Q782" s="106"/>
      <c r="R782" s="106"/>
      <c r="S782" s="106"/>
      <c r="T782" s="103" t="str">
        <f aca="false">IF(OR($B782="", $P782="", $Q782="", $R782="", $S782=""),"",ROUND(($P782*Lists!$AD$7)+($Q782*Lists!$AD$8)+($R782*Lists!$AD$9)+($S782*Lists!$AD$10),2))</f>
        <v/>
      </c>
      <c r="U782" s="106"/>
      <c r="V782" s="106"/>
      <c r="W782" s="106"/>
      <c r="X782" s="106"/>
      <c r="Y782" s="106"/>
      <c r="Z782" s="103" t="str">
        <f aca="false">IF(OR($B782="", $U782="", $V782="", $W782="", $X782="", $Y782=""),"",ROUND(($U782*Lists!$AD$11)+($V782*Lists!$AD$12)+($W782*Lists!$AD$13)+($X782*Lists!$AD$14)+($Y782*Lists!$AD$15),2))</f>
        <v/>
      </c>
      <c r="AA782" s="103" t="str">
        <f aca="false">IF(OR($B782="", $N782="", $O782="", $T782="", $Z782=""),"",ROUND(($N782*Lists!$AD$16)-($O782*Lists!$AD$17)-($T782*Lists!$AD$18)+($Z782*Lists!$AD$19),2))</f>
        <v/>
      </c>
      <c r="AB782" s="102" t="str">
        <f aca="false">IF(OR($B782="", $N782="", $Z782=""),"",IF($N782&gt;=Lists!$AG$2,IF($Z782&gt;=Lists!$AG$3,"Invest","Migrate"),IF($Z782&gt;=Lists!$AG$3,"Tolerate","Eliminate")))</f>
        <v/>
      </c>
      <c r="AC782" s="102" t="str">
        <f aca="false">IF($B782="","",IF($J782&gt;=4,"Yes",""))</f>
        <v/>
      </c>
      <c r="AD782" s="102" t="str">
        <f aca="false">IF($A782="","",IFERROR(IF(VLOOKUP($A782,'Risk Register'!$B$2:$H$1000,4,FALSE())&gt;=4,"Yes",""),""))</f>
        <v/>
      </c>
      <c r="AE782" s="102" t="str">
        <f aca="false">IF(OR($N782="", $O782=""),"",IF($N782&gt;=Lists!$AG$2,IF($O782&gt;=Lists!$AG$4,"High Value / High Risk","High Value / Low Risk"),IF($O782&gt;=Lists!$AG$4,"Low Value / High Risk","Low Value / Low Risk")))</f>
        <v/>
      </c>
      <c r="AF782" s="101"/>
      <c r="AG782" s="126"/>
      <c r="AH782" s="106" t="str">
        <f aca="false">IF($B782="","",COUNTIFS('Debt Backlog'!$AF$2:$AF$1000,$A782,'Debt Backlog'!$B$2:$B$1000,"&lt;&gt;",'Debt Backlog'!$N$2:$N$1000,"&lt;&gt;Done",'Debt Backlog'!$N$2:$N$1000,"&lt;&gt;Won't Fix",'Debt Backlog'!$N$2:$N$1000,"&lt;&gt;Duplicate"))</f>
        <v/>
      </c>
      <c r="AI782" s="103" t="str">
        <f aca="false">IF($B782="","",ROUND(SUMIFS('Debt Backlog'!$L$2:$L$1000,'Debt Backlog'!$AF$2:$AF$1000,$A782,'Debt Backlog'!$B$2:$B$1000,"&lt;&gt;",'Debt Backlog'!$N$2:$N$1000,"&lt;&gt;Done",'Debt Backlog'!$N$2:$N$1000,"&lt;&gt;Won't Fix",'Debt Backlog'!$N$2:$N$1000,"&lt;&gt;Duplicate"),2))</f>
        <v/>
      </c>
    </row>
    <row r="783" customFormat="false" ht="15.75" hidden="false" customHeight="true" outlineLevel="0" collapsed="false">
      <c r="A783" s="125"/>
      <c r="B783" s="101"/>
      <c r="C783" s="101"/>
      <c r="D783" s="101"/>
      <c r="E783" s="101"/>
      <c r="F783" s="101"/>
      <c r="G783" s="101"/>
      <c r="H783" s="101"/>
      <c r="I783" s="106"/>
      <c r="J783" s="106"/>
      <c r="K783" s="106"/>
      <c r="L783" s="106"/>
      <c r="M783" s="106"/>
      <c r="N783" s="103" t="str">
        <f aca="false">IF(OR($B783="", $I783="", $J783="", $K783="", $L783="", $M783=""),"",ROUND(($I783*Lists!$AD$2)+($J783*Lists!$AD$3)+($K783*Lists!$AD$4)+($L783*Lists!$AD$5)+($M783*Lists!$AD$6),2))</f>
        <v/>
      </c>
      <c r="O783" s="103" t="str">
        <f aca="false">IF($A783="","",IFERROR(VLOOKUP($A783,'Risk Register'!$B$2:$I$1000,8,FALSE()),""))</f>
        <v/>
      </c>
      <c r="P783" s="106"/>
      <c r="Q783" s="106"/>
      <c r="R783" s="106"/>
      <c r="S783" s="106"/>
      <c r="T783" s="103" t="str">
        <f aca="false">IF(OR($B783="", $P783="", $Q783="", $R783="", $S783=""),"",ROUND(($P783*Lists!$AD$7)+($Q783*Lists!$AD$8)+($R783*Lists!$AD$9)+($S783*Lists!$AD$10),2))</f>
        <v/>
      </c>
      <c r="U783" s="106"/>
      <c r="V783" s="106"/>
      <c r="W783" s="106"/>
      <c r="X783" s="106"/>
      <c r="Y783" s="106"/>
      <c r="Z783" s="103" t="str">
        <f aca="false">IF(OR($B783="", $U783="", $V783="", $W783="", $X783="", $Y783=""),"",ROUND(($U783*Lists!$AD$11)+($V783*Lists!$AD$12)+($W783*Lists!$AD$13)+($X783*Lists!$AD$14)+($Y783*Lists!$AD$15),2))</f>
        <v/>
      </c>
      <c r="AA783" s="103" t="str">
        <f aca="false">IF(OR($B783="", $N783="", $O783="", $T783="", $Z783=""),"",ROUND(($N783*Lists!$AD$16)-($O783*Lists!$AD$17)-($T783*Lists!$AD$18)+($Z783*Lists!$AD$19),2))</f>
        <v/>
      </c>
      <c r="AB783" s="102" t="str">
        <f aca="false">IF(OR($B783="", $N783="", $Z783=""),"",IF($N783&gt;=Lists!$AG$2,IF($Z783&gt;=Lists!$AG$3,"Invest","Migrate"),IF($Z783&gt;=Lists!$AG$3,"Tolerate","Eliminate")))</f>
        <v/>
      </c>
      <c r="AC783" s="102" t="str">
        <f aca="false">IF($B783="","",IF($J783&gt;=4,"Yes",""))</f>
        <v/>
      </c>
      <c r="AD783" s="102" t="str">
        <f aca="false">IF($A783="","",IFERROR(IF(VLOOKUP($A783,'Risk Register'!$B$2:$H$1000,4,FALSE())&gt;=4,"Yes",""),""))</f>
        <v/>
      </c>
      <c r="AE783" s="102" t="str">
        <f aca="false">IF(OR($N783="", $O783=""),"",IF($N783&gt;=Lists!$AG$2,IF($O783&gt;=Lists!$AG$4,"High Value / High Risk","High Value / Low Risk"),IF($O783&gt;=Lists!$AG$4,"Low Value / High Risk","Low Value / Low Risk")))</f>
        <v/>
      </c>
      <c r="AF783" s="101"/>
      <c r="AG783" s="126"/>
      <c r="AH783" s="106" t="str">
        <f aca="false">IF($B783="","",COUNTIFS('Debt Backlog'!$AF$2:$AF$1000,$A783,'Debt Backlog'!$B$2:$B$1000,"&lt;&gt;",'Debt Backlog'!$N$2:$N$1000,"&lt;&gt;Done",'Debt Backlog'!$N$2:$N$1000,"&lt;&gt;Won't Fix",'Debt Backlog'!$N$2:$N$1000,"&lt;&gt;Duplicate"))</f>
        <v/>
      </c>
      <c r="AI783" s="103" t="str">
        <f aca="false">IF($B783="","",ROUND(SUMIFS('Debt Backlog'!$L$2:$L$1000,'Debt Backlog'!$AF$2:$AF$1000,$A783,'Debt Backlog'!$B$2:$B$1000,"&lt;&gt;",'Debt Backlog'!$N$2:$N$1000,"&lt;&gt;Done",'Debt Backlog'!$N$2:$N$1000,"&lt;&gt;Won't Fix",'Debt Backlog'!$N$2:$N$1000,"&lt;&gt;Duplicate"),2))</f>
        <v/>
      </c>
    </row>
    <row r="784" customFormat="false" ht="15.75" hidden="false" customHeight="true" outlineLevel="0" collapsed="false">
      <c r="A784" s="125"/>
      <c r="B784" s="101"/>
      <c r="C784" s="101"/>
      <c r="D784" s="101"/>
      <c r="E784" s="101"/>
      <c r="F784" s="101"/>
      <c r="G784" s="101"/>
      <c r="H784" s="101"/>
      <c r="I784" s="106"/>
      <c r="J784" s="106"/>
      <c r="K784" s="106"/>
      <c r="L784" s="106"/>
      <c r="M784" s="106"/>
      <c r="N784" s="103" t="str">
        <f aca="false">IF(OR($B784="", $I784="", $J784="", $K784="", $L784="", $M784=""),"",ROUND(($I784*Lists!$AD$2)+($J784*Lists!$AD$3)+($K784*Lists!$AD$4)+($L784*Lists!$AD$5)+($M784*Lists!$AD$6),2))</f>
        <v/>
      </c>
      <c r="O784" s="103" t="str">
        <f aca="false">IF($A784="","",IFERROR(VLOOKUP($A784,'Risk Register'!$B$2:$I$1000,8,FALSE()),""))</f>
        <v/>
      </c>
      <c r="P784" s="106"/>
      <c r="Q784" s="106"/>
      <c r="R784" s="106"/>
      <c r="S784" s="106"/>
      <c r="T784" s="103" t="str">
        <f aca="false">IF(OR($B784="", $P784="", $Q784="", $R784="", $S784=""),"",ROUND(($P784*Lists!$AD$7)+($Q784*Lists!$AD$8)+($R784*Lists!$AD$9)+($S784*Lists!$AD$10),2))</f>
        <v/>
      </c>
      <c r="U784" s="106"/>
      <c r="V784" s="106"/>
      <c r="W784" s="106"/>
      <c r="X784" s="106"/>
      <c r="Y784" s="106"/>
      <c r="Z784" s="103" t="str">
        <f aca="false">IF(OR($B784="", $U784="", $V784="", $W784="", $X784="", $Y784=""),"",ROUND(($U784*Lists!$AD$11)+($V784*Lists!$AD$12)+($W784*Lists!$AD$13)+($X784*Lists!$AD$14)+($Y784*Lists!$AD$15),2))</f>
        <v/>
      </c>
      <c r="AA784" s="103" t="str">
        <f aca="false">IF(OR($B784="", $N784="", $O784="", $T784="", $Z784=""),"",ROUND(($N784*Lists!$AD$16)-($O784*Lists!$AD$17)-($T784*Lists!$AD$18)+($Z784*Lists!$AD$19),2))</f>
        <v/>
      </c>
      <c r="AB784" s="102" t="str">
        <f aca="false">IF(OR($B784="", $N784="", $Z784=""),"",IF($N784&gt;=Lists!$AG$2,IF($Z784&gt;=Lists!$AG$3,"Invest","Migrate"),IF($Z784&gt;=Lists!$AG$3,"Tolerate","Eliminate")))</f>
        <v/>
      </c>
      <c r="AC784" s="102" t="str">
        <f aca="false">IF($B784="","",IF($J784&gt;=4,"Yes",""))</f>
        <v/>
      </c>
      <c r="AD784" s="102" t="str">
        <f aca="false">IF($A784="","",IFERROR(IF(VLOOKUP($A784,'Risk Register'!$B$2:$H$1000,4,FALSE())&gt;=4,"Yes",""),""))</f>
        <v/>
      </c>
      <c r="AE784" s="102" t="str">
        <f aca="false">IF(OR($N784="", $O784=""),"",IF($N784&gt;=Lists!$AG$2,IF($O784&gt;=Lists!$AG$4,"High Value / High Risk","High Value / Low Risk"),IF($O784&gt;=Lists!$AG$4,"Low Value / High Risk","Low Value / Low Risk")))</f>
        <v/>
      </c>
      <c r="AF784" s="101"/>
      <c r="AG784" s="126"/>
      <c r="AH784" s="106" t="str">
        <f aca="false">IF($B784="","",COUNTIFS('Debt Backlog'!$AF$2:$AF$1000,$A784,'Debt Backlog'!$B$2:$B$1000,"&lt;&gt;",'Debt Backlog'!$N$2:$N$1000,"&lt;&gt;Done",'Debt Backlog'!$N$2:$N$1000,"&lt;&gt;Won't Fix",'Debt Backlog'!$N$2:$N$1000,"&lt;&gt;Duplicate"))</f>
        <v/>
      </c>
      <c r="AI784" s="103" t="str">
        <f aca="false">IF($B784="","",ROUND(SUMIFS('Debt Backlog'!$L$2:$L$1000,'Debt Backlog'!$AF$2:$AF$1000,$A784,'Debt Backlog'!$B$2:$B$1000,"&lt;&gt;",'Debt Backlog'!$N$2:$N$1000,"&lt;&gt;Done",'Debt Backlog'!$N$2:$N$1000,"&lt;&gt;Won't Fix",'Debt Backlog'!$N$2:$N$1000,"&lt;&gt;Duplicate"),2))</f>
        <v/>
      </c>
    </row>
    <row r="785" customFormat="false" ht="15.75" hidden="false" customHeight="true" outlineLevel="0" collapsed="false">
      <c r="A785" s="125"/>
      <c r="B785" s="101"/>
      <c r="C785" s="101"/>
      <c r="D785" s="101"/>
      <c r="E785" s="101"/>
      <c r="F785" s="101"/>
      <c r="G785" s="101"/>
      <c r="H785" s="101"/>
      <c r="I785" s="106"/>
      <c r="J785" s="106"/>
      <c r="K785" s="106"/>
      <c r="L785" s="106"/>
      <c r="M785" s="106"/>
      <c r="N785" s="103" t="str">
        <f aca="false">IF(OR($B785="", $I785="", $J785="", $K785="", $L785="", $M785=""),"",ROUND(($I785*Lists!$AD$2)+($J785*Lists!$AD$3)+($K785*Lists!$AD$4)+($L785*Lists!$AD$5)+($M785*Lists!$AD$6),2))</f>
        <v/>
      </c>
      <c r="O785" s="103" t="str">
        <f aca="false">IF($A785="","",IFERROR(VLOOKUP($A785,'Risk Register'!$B$2:$I$1000,8,FALSE()),""))</f>
        <v/>
      </c>
      <c r="P785" s="106"/>
      <c r="Q785" s="106"/>
      <c r="R785" s="106"/>
      <c r="S785" s="106"/>
      <c r="T785" s="103" t="str">
        <f aca="false">IF(OR($B785="", $P785="", $Q785="", $R785="", $S785=""),"",ROUND(($P785*Lists!$AD$7)+($Q785*Lists!$AD$8)+($R785*Lists!$AD$9)+($S785*Lists!$AD$10),2))</f>
        <v/>
      </c>
      <c r="U785" s="106"/>
      <c r="V785" s="106"/>
      <c r="W785" s="106"/>
      <c r="X785" s="106"/>
      <c r="Y785" s="106"/>
      <c r="Z785" s="103" t="str">
        <f aca="false">IF(OR($B785="", $U785="", $V785="", $W785="", $X785="", $Y785=""),"",ROUND(($U785*Lists!$AD$11)+($V785*Lists!$AD$12)+($W785*Lists!$AD$13)+($X785*Lists!$AD$14)+($Y785*Lists!$AD$15),2))</f>
        <v/>
      </c>
      <c r="AA785" s="103" t="str">
        <f aca="false">IF(OR($B785="", $N785="", $O785="", $T785="", $Z785=""),"",ROUND(($N785*Lists!$AD$16)-($O785*Lists!$AD$17)-($T785*Lists!$AD$18)+($Z785*Lists!$AD$19),2))</f>
        <v/>
      </c>
      <c r="AB785" s="102" t="str">
        <f aca="false">IF(OR($B785="", $N785="", $Z785=""),"",IF($N785&gt;=Lists!$AG$2,IF($Z785&gt;=Lists!$AG$3,"Invest","Migrate"),IF($Z785&gt;=Lists!$AG$3,"Tolerate","Eliminate")))</f>
        <v/>
      </c>
      <c r="AC785" s="102" t="str">
        <f aca="false">IF($B785="","",IF($J785&gt;=4,"Yes",""))</f>
        <v/>
      </c>
      <c r="AD785" s="102" t="str">
        <f aca="false">IF($A785="","",IFERROR(IF(VLOOKUP($A785,'Risk Register'!$B$2:$H$1000,4,FALSE())&gt;=4,"Yes",""),""))</f>
        <v/>
      </c>
      <c r="AE785" s="102" t="str">
        <f aca="false">IF(OR($N785="", $O785=""),"",IF($N785&gt;=Lists!$AG$2,IF($O785&gt;=Lists!$AG$4,"High Value / High Risk","High Value / Low Risk"),IF($O785&gt;=Lists!$AG$4,"Low Value / High Risk","Low Value / Low Risk")))</f>
        <v/>
      </c>
      <c r="AF785" s="101"/>
      <c r="AG785" s="126"/>
      <c r="AH785" s="106" t="str">
        <f aca="false">IF($B785="","",COUNTIFS('Debt Backlog'!$AF$2:$AF$1000,$A785,'Debt Backlog'!$B$2:$B$1000,"&lt;&gt;",'Debt Backlog'!$N$2:$N$1000,"&lt;&gt;Done",'Debt Backlog'!$N$2:$N$1000,"&lt;&gt;Won't Fix",'Debt Backlog'!$N$2:$N$1000,"&lt;&gt;Duplicate"))</f>
        <v/>
      </c>
      <c r="AI785" s="103" t="str">
        <f aca="false">IF($B785="","",ROUND(SUMIFS('Debt Backlog'!$L$2:$L$1000,'Debt Backlog'!$AF$2:$AF$1000,$A785,'Debt Backlog'!$B$2:$B$1000,"&lt;&gt;",'Debt Backlog'!$N$2:$N$1000,"&lt;&gt;Done",'Debt Backlog'!$N$2:$N$1000,"&lt;&gt;Won't Fix",'Debt Backlog'!$N$2:$N$1000,"&lt;&gt;Duplicate"),2))</f>
        <v/>
      </c>
    </row>
    <row r="786" customFormat="false" ht="15.75" hidden="false" customHeight="true" outlineLevel="0" collapsed="false">
      <c r="A786" s="125"/>
      <c r="B786" s="101"/>
      <c r="C786" s="101"/>
      <c r="D786" s="101"/>
      <c r="E786" s="101"/>
      <c r="F786" s="101"/>
      <c r="G786" s="101"/>
      <c r="H786" s="101"/>
      <c r="I786" s="106"/>
      <c r="J786" s="106"/>
      <c r="K786" s="106"/>
      <c r="L786" s="106"/>
      <c r="M786" s="106"/>
      <c r="N786" s="103" t="str">
        <f aca="false">IF(OR($B786="", $I786="", $J786="", $K786="", $L786="", $M786=""),"",ROUND(($I786*Lists!$AD$2)+($J786*Lists!$AD$3)+($K786*Lists!$AD$4)+($L786*Lists!$AD$5)+($M786*Lists!$AD$6),2))</f>
        <v/>
      </c>
      <c r="O786" s="103" t="str">
        <f aca="false">IF($A786="","",IFERROR(VLOOKUP($A786,'Risk Register'!$B$2:$I$1000,8,FALSE()),""))</f>
        <v/>
      </c>
      <c r="P786" s="106"/>
      <c r="Q786" s="106"/>
      <c r="R786" s="106"/>
      <c r="S786" s="106"/>
      <c r="T786" s="103" t="str">
        <f aca="false">IF(OR($B786="", $P786="", $Q786="", $R786="", $S786=""),"",ROUND(($P786*Lists!$AD$7)+($Q786*Lists!$AD$8)+($R786*Lists!$AD$9)+($S786*Lists!$AD$10),2))</f>
        <v/>
      </c>
      <c r="U786" s="106"/>
      <c r="V786" s="106"/>
      <c r="W786" s="106"/>
      <c r="X786" s="106"/>
      <c r="Y786" s="106"/>
      <c r="Z786" s="103" t="str">
        <f aca="false">IF(OR($B786="", $U786="", $V786="", $W786="", $X786="", $Y786=""),"",ROUND(($U786*Lists!$AD$11)+($V786*Lists!$AD$12)+($W786*Lists!$AD$13)+($X786*Lists!$AD$14)+($Y786*Lists!$AD$15),2))</f>
        <v/>
      </c>
      <c r="AA786" s="103" t="str">
        <f aca="false">IF(OR($B786="", $N786="", $O786="", $T786="", $Z786=""),"",ROUND(($N786*Lists!$AD$16)-($O786*Lists!$AD$17)-($T786*Lists!$AD$18)+($Z786*Lists!$AD$19),2))</f>
        <v/>
      </c>
      <c r="AB786" s="102" t="str">
        <f aca="false">IF(OR($B786="", $N786="", $Z786=""),"",IF($N786&gt;=Lists!$AG$2,IF($Z786&gt;=Lists!$AG$3,"Invest","Migrate"),IF($Z786&gt;=Lists!$AG$3,"Tolerate","Eliminate")))</f>
        <v/>
      </c>
      <c r="AC786" s="102" t="str">
        <f aca="false">IF($B786="","",IF($J786&gt;=4,"Yes",""))</f>
        <v/>
      </c>
      <c r="AD786" s="102" t="str">
        <f aca="false">IF($A786="","",IFERROR(IF(VLOOKUP($A786,'Risk Register'!$B$2:$H$1000,4,FALSE())&gt;=4,"Yes",""),""))</f>
        <v/>
      </c>
      <c r="AE786" s="102" t="str">
        <f aca="false">IF(OR($N786="", $O786=""),"",IF($N786&gt;=Lists!$AG$2,IF($O786&gt;=Lists!$AG$4,"High Value / High Risk","High Value / Low Risk"),IF($O786&gt;=Lists!$AG$4,"Low Value / High Risk","Low Value / Low Risk")))</f>
        <v/>
      </c>
      <c r="AF786" s="101"/>
      <c r="AG786" s="126"/>
      <c r="AH786" s="106" t="str">
        <f aca="false">IF($B786="","",COUNTIFS('Debt Backlog'!$AF$2:$AF$1000,$A786,'Debt Backlog'!$B$2:$B$1000,"&lt;&gt;",'Debt Backlog'!$N$2:$N$1000,"&lt;&gt;Done",'Debt Backlog'!$N$2:$N$1000,"&lt;&gt;Won't Fix",'Debt Backlog'!$N$2:$N$1000,"&lt;&gt;Duplicate"))</f>
        <v/>
      </c>
      <c r="AI786" s="103" t="str">
        <f aca="false">IF($B786="","",ROUND(SUMIFS('Debt Backlog'!$L$2:$L$1000,'Debt Backlog'!$AF$2:$AF$1000,$A786,'Debt Backlog'!$B$2:$B$1000,"&lt;&gt;",'Debt Backlog'!$N$2:$N$1000,"&lt;&gt;Done",'Debt Backlog'!$N$2:$N$1000,"&lt;&gt;Won't Fix",'Debt Backlog'!$N$2:$N$1000,"&lt;&gt;Duplicate"),2))</f>
        <v/>
      </c>
    </row>
    <row r="787" customFormat="false" ht="15.75" hidden="false" customHeight="true" outlineLevel="0" collapsed="false">
      <c r="A787" s="125"/>
      <c r="B787" s="101"/>
      <c r="C787" s="101"/>
      <c r="D787" s="101"/>
      <c r="E787" s="101"/>
      <c r="F787" s="101"/>
      <c r="G787" s="101"/>
      <c r="H787" s="101"/>
      <c r="I787" s="106"/>
      <c r="J787" s="106"/>
      <c r="K787" s="106"/>
      <c r="L787" s="106"/>
      <c r="M787" s="106"/>
      <c r="N787" s="103" t="str">
        <f aca="false">IF(OR($B787="", $I787="", $J787="", $K787="", $L787="", $M787=""),"",ROUND(($I787*Lists!$AD$2)+($J787*Lists!$AD$3)+($K787*Lists!$AD$4)+($L787*Lists!$AD$5)+($M787*Lists!$AD$6),2))</f>
        <v/>
      </c>
      <c r="O787" s="103" t="str">
        <f aca="false">IF($A787="","",IFERROR(VLOOKUP($A787,'Risk Register'!$B$2:$I$1000,8,FALSE()),""))</f>
        <v/>
      </c>
      <c r="P787" s="106"/>
      <c r="Q787" s="106"/>
      <c r="R787" s="106"/>
      <c r="S787" s="106"/>
      <c r="T787" s="103" t="str">
        <f aca="false">IF(OR($B787="", $P787="", $Q787="", $R787="", $S787=""),"",ROUND(($P787*Lists!$AD$7)+($Q787*Lists!$AD$8)+($R787*Lists!$AD$9)+($S787*Lists!$AD$10),2))</f>
        <v/>
      </c>
      <c r="U787" s="106"/>
      <c r="V787" s="106"/>
      <c r="W787" s="106"/>
      <c r="X787" s="106"/>
      <c r="Y787" s="106"/>
      <c r="Z787" s="103" t="str">
        <f aca="false">IF(OR($B787="", $U787="", $V787="", $W787="", $X787="", $Y787=""),"",ROUND(($U787*Lists!$AD$11)+($V787*Lists!$AD$12)+($W787*Lists!$AD$13)+($X787*Lists!$AD$14)+($Y787*Lists!$AD$15),2))</f>
        <v/>
      </c>
      <c r="AA787" s="103" t="str">
        <f aca="false">IF(OR($B787="", $N787="", $O787="", $T787="", $Z787=""),"",ROUND(($N787*Lists!$AD$16)-($O787*Lists!$AD$17)-($T787*Lists!$AD$18)+($Z787*Lists!$AD$19),2))</f>
        <v/>
      </c>
      <c r="AB787" s="102" t="str">
        <f aca="false">IF(OR($B787="", $N787="", $Z787=""),"",IF($N787&gt;=Lists!$AG$2,IF($Z787&gt;=Lists!$AG$3,"Invest","Migrate"),IF($Z787&gt;=Lists!$AG$3,"Tolerate","Eliminate")))</f>
        <v/>
      </c>
      <c r="AC787" s="102" t="str">
        <f aca="false">IF($B787="","",IF($J787&gt;=4,"Yes",""))</f>
        <v/>
      </c>
      <c r="AD787" s="102" t="str">
        <f aca="false">IF($A787="","",IFERROR(IF(VLOOKUP($A787,'Risk Register'!$B$2:$H$1000,4,FALSE())&gt;=4,"Yes",""),""))</f>
        <v/>
      </c>
      <c r="AE787" s="102" t="str">
        <f aca="false">IF(OR($N787="", $O787=""),"",IF($N787&gt;=Lists!$AG$2,IF($O787&gt;=Lists!$AG$4,"High Value / High Risk","High Value / Low Risk"),IF($O787&gt;=Lists!$AG$4,"Low Value / High Risk","Low Value / Low Risk")))</f>
        <v/>
      </c>
      <c r="AF787" s="101"/>
      <c r="AG787" s="126"/>
      <c r="AH787" s="106" t="str">
        <f aca="false">IF($B787="","",COUNTIFS('Debt Backlog'!$AF$2:$AF$1000,$A787,'Debt Backlog'!$B$2:$B$1000,"&lt;&gt;",'Debt Backlog'!$N$2:$N$1000,"&lt;&gt;Done",'Debt Backlog'!$N$2:$N$1000,"&lt;&gt;Won't Fix",'Debt Backlog'!$N$2:$N$1000,"&lt;&gt;Duplicate"))</f>
        <v/>
      </c>
      <c r="AI787" s="103" t="str">
        <f aca="false">IF($B787="","",ROUND(SUMIFS('Debt Backlog'!$L$2:$L$1000,'Debt Backlog'!$AF$2:$AF$1000,$A787,'Debt Backlog'!$B$2:$B$1000,"&lt;&gt;",'Debt Backlog'!$N$2:$N$1000,"&lt;&gt;Done",'Debt Backlog'!$N$2:$N$1000,"&lt;&gt;Won't Fix",'Debt Backlog'!$N$2:$N$1000,"&lt;&gt;Duplicate"),2))</f>
        <v/>
      </c>
    </row>
    <row r="788" customFormat="false" ht="15.75" hidden="false" customHeight="true" outlineLevel="0" collapsed="false">
      <c r="A788" s="125"/>
      <c r="B788" s="101"/>
      <c r="C788" s="101"/>
      <c r="D788" s="101"/>
      <c r="E788" s="101"/>
      <c r="F788" s="101"/>
      <c r="G788" s="101"/>
      <c r="H788" s="101"/>
      <c r="I788" s="106"/>
      <c r="J788" s="106"/>
      <c r="K788" s="106"/>
      <c r="L788" s="106"/>
      <c r="M788" s="106"/>
      <c r="N788" s="103" t="str">
        <f aca="false">IF(OR($B788="", $I788="", $J788="", $K788="", $L788="", $M788=""),"",ROUND(($I788*Lists!$AD$2)+($J788*Lists!$AD$3)+($K788*Lists!$AD$4)+($L788*Lists!$AD$5)+($M788*Lists!$AD$6),2))</f>
        <v/>
      </c>
      <c r="O788" s="103" t="str">
        <f aca="false">IF($A788="","",IFERROR(VLOOKUP($A788,'Risk Register'!$B$2:$I$1000,8,FALSE()),""))</f>
        <v/>
      </c>
      <c r="P788" s="106"/>
      <c r="Q788" s="106"/>
      <c r="R788" s="106"/>
      <c r="S788" s="106"/>
      <c r="T788" s="103" t="str">
        <f aca="false">IF(OR($B788="", $P788="", $Q788="", $R788="", $S788=""),"",ROUND(($P788*Lists!$AD$7)+($Q788*Lists!$AD$8)+($R788*Lists!$AD$9)+($S788*Lists!$AD$10),2))</f>
        <v/>
      </c>
      <c r="U788" s="106"/>
      <c r="V788" s="106"/>
      <c r="W788" s="106"/>
      <c r="X788" s="106"/>
      <c r="Y788" s="106"/>
      <c r="Z788" s="103" t="str">
        <f aca="false">IF(OR($B788="", $U788="", $V788="", $W788="", $X788="", $Y788=""),"",ROUND(($U788*Lists!$AD$11)+($V788*Lists!$AD$12)+($W788*Lists!$AD$13)+($X788*Lists!$AD$14)+($Y788*Lists!$AD$15),2))</f>
        <v/>
      </c>
      <c r="AA788" s="103" t="str">
        <f aca="false">IF(OR($B788="", $N788="", $O788="", $T788="", $Z788=""),"",ROUND(($N788*Lists!$AD$16)-($O788*Lists!$AD$17)-($T788*Lists!$AD$18)+($Z788*Lists!$AD$19),2))</f>
        <v/>
      </c>
      <c r="AB788" s="102" t="str">
        <f aca="false">IF(OR($B788="", $N788="", $Z788=""),"",IF($N788&gt;=Lists!$AG$2,IF($Z788&gt;=Lists!$AG$3,"Invest","Migrate"),IF($Z788&gt;=Lists!$AG$3,"Tolerate","Eliminate")))</f>
        <v/>
      </c>
      <c r="AC788" s="102" t="str">
        <f aca="false">IF($B788="","",IF($J788&gt;=4,"Yes",""))</f>
        <v/>
      </c>
      <c r="AD788" s="102" t="str">
        <f aca="false">IF($A788="","",IFERROR(IF(VLOOKUP($A788,'Risk Register'!$B$2:$H$1000,4,FALSE())&gt;=4,"Yes",""),""))</f>
        <v/>
      </c>
      <c r="AE788" s="102" t="str">
        <f aca="false">IF(OR($N788="", $O788=""),"",IF($N788&gt;=Lists!$AG$2,IF($O788&gt;=Lists!$AG$4,"High Value / High Risk","High Value / Low Risk"),IF($O788&gt;=Lists!$AG$4,"Low Value / High Risk","Low Value / Low Risk")))</f>
        <v/>
      </c>
      <c r="AF788" s="101"/>
      <c r="AG788" s="126"/>
      <c r="AH788" s="106" t="str">
        <f aca="false">IF($B788="","",COUNTIFS('Debt Backlog'!$AF$2:$AF$1000,$A788,'Debt Backlog'!$B$2:$B$1000,"&lt;&gt;",'Debt Backlog'!$N$2:$N$1000,"&lt;&gt;Done",'Debt Backlog'!$N$2:$N$1000,"&lt;&gt;Won't Fix",'Debt Backlog'!$N$2:$N$1000,"&lt;&gt;Duplicate"))</f>
        <v/>
      </c>
      <c r="AI788" s="103" t="str">
        <f aca="false">IF($B788="","",ROUND(SUMIFS('Debt Backlog'!$L$2:$L$1000,'Debt Backlog'!$AF$2:$AF$1000,$A788,'Debt Backlog'!$B$2:$B$1000,"&lt;&gt;",'Debt Backlog'!$N$2:$N$1000,"&lt;&gt;Done",'Debt Backlog'!$N$2:$N$1000,"&lt;&gt;Won't Fix",'Debt Backlog'!$N$2:$N$1000,"&lt;&gt;Duplicate"),2))</f>
        <v/>
      </c>
    </row>
    <row r="789" customFormat="false" ht="15.75" hidden="false" customHeight="true" outlineLevel="0" collapsed="false">
      <c r="A789" s="125"/>
      <c r="B789" s="101"/>
      <c r="C789" s="101"/>
      <c r="D789" s="101"/>
      <c r="E789" s="101"/>
      <c r="F789" s="101"/>
      <c r="G789" s="101"/>
      <c r="H789" s="101"/>
      <c r="I789" s="106"/>
      <c r="J789" s="106"/>
      <c r="K789" s="106"/>
      <c r="L789" s="106"/>
      <c r="M789" s="106"/>
      <c r="N789" s="103" t="str">
        <f aca="false">IF(OR($B789="", $I789="", $J789="", $K789="", $L789="", $M789=""),"",ROUND(($I789*Lists!$AD$2)+($J789*Lists!$AD$3)+($K789*Lists!$AD$4)+($L789*Lists!$AD$5)+($M789*Lists!$AD$6),2))</f>
        <v/>
      </c>
      <c r="O789" s="103" t="str">
        <f aca="false">IF($A789="","",IFERROR(VLOOKUP($A789,'Risk Register'!$B$2:$I$1000,8,FALSE()),""))</f>
        <v/>
      </c>
      <c r="P789" s="106"/>
      <c r="Q789" s="106"/>
      <c r="R789" s="106"/>
      <c r="S789" s="106"/>
      <c r="T789" s="103" t="str">
        <f aca="false">IF(OR($B789="", $P789="", $Q789="", $R789="", $S789=""),"",ROUND(($P789*Lists!$AD$7)+($Q789*Lists!$AD$8)+($R789*Lists!$AD$9)+($S789*Lists!$AD$10),2))</f>
        <v/>
      </c>
      <c r="U789" s="106"/>
      <c r="V789" s="106"/>
      <c r="W789" s="106"/>
      <c r="X789" s="106"/>
      <c r="Y789" s="106"/>
      <c r="Z789" s="103" t="str">
        <f aca="false">IF(OR($B789="", $U789="", $V789="", $W789="", $X789="", $Y789=""),"",ROUND(($U789*Lists!$AD$11)+($V789*Lists!$AD$12)+($W789*Lists!$AD$13)+($X789*Lists!$AD$14)+($Y789*Lists!$AD$15),2))</f>
        <v/>
      </c>
      <c r="AA789" s="103" t="str">
        <f aca="false">IF(OR($B789="", $N789="", $O789="", $T789="", $Z789=""),"",ROUND(($N789*Lists!$AD$16)-($O789*Lists!$AD$17)-($T789*Lists!$AD$18)+($Z789*Lists!$AD$19),2))</f>
        <v/>
      </c>
      <c r="AB789" s="102" t="str">
        <f aca="false">IF(OR($B789="", $N789="", $Z789=""),"",IF($N789&gt;=Lists!$AG$2,IF($Z789&gt;=Lists!$AG$3,"Invest","Migrate"),IF($Z789&gt;=Lists!$AG$3,"Tolerate","Eliminate")))</f>
        <v/>
      </c>
      <c r="AC789" s="102" t="str">
        <f aca="false">IF($B789="","",IF($J789&gt;=4,"Yes",""))</f>
        <v/>
      </c>
      <c r="AD789" s="102" t="str">
        <f aca="false">IF($A789="","",IFERROR(IF(VLOOKUP($A789,'Risk Register'!$B$2:$H$1000,4,FALSE())&gt;=4,"Yes",""),""))</f>
        <v/>
      </c>
      <c r="AE789" s="102" t="str">
        <f aca="false">IF(OR($N789="", $O789=""),"",IF($N789&gt;=Lists!$AG$2,IF($O789&gt;=Lists!$AG$4,"High Value / High Risk","High Value / Low Risk"),IF($O789&gt;=Lists!$AG$4,"Low Value / High Risk","Low Value / Low Risk")))</f>
        <v/>
      </c>
      <c r="AF789" s="101"/>
      <c r="AG789" s="126"/>
      <c r="AH789" s="106" t="str">
        <f aca="false">IF($B789="","",COUNTIFS('Debt Backlog'!$AF$2:$AF$1000,$A789,'Debt Backlog'!$B$2:$B$1000,"&lt;&gt;",'Debt Backlog'!$N$2:$N$1000,"&lt;&gt;Done",'Debt Backlog'!$N$2:$N$1000,"&lt;&gt;Won't Fix",'Debt Backlog'!$N$2:$N$1000,"&lt;&gt;Duplicate"))</f>
        <v/>
      </c>
      <c r="AI789" s="103" t="str">
        <f aca="false">IF($B789="","",ROUND(SUMIFS('Debt Backlog'!$L$2:$L$1000,'Debt Backlog'!$AF$2:$AF$1000,$A789,'Debt Backlog'!$B$2:$B$1000,"&lt;&gt;",'Debt Backlog'!$N$2:$N$1000,"&lt;&gt;Done",'Debt Backlog'!$N$2:$N$1000,"&lt;&gt;Won't Fix",'Debt Backlog'!$N$2:$N$1000,"&lt;&gt;Duplicate"),2))</f>
        <v/>
      </c>
    </row>
    <row r="790" customFormat="false" ht="15.75" hidden="false" customHeight="true" outlineLevel="0" collapsed="false">
      <c r="A790" s="125"/>
      <c r="B790" s="101"/>
      <c r="C790" s="101"/>
      <c r="D790" s="101"/>
      <c r="E790" s="101"/>
      <c r="F790" s="101"/>
      <c r="G790" s="101"/>
      <c r="H790" s="101"/>
      <c r="I790" s="106"/>
      <c r="J790" s="106"/>
      <c r="K790" s="106"/>
      <c r="L790" s="106"/>
      <c r="M790" s="106"/>
      <c r="N790" s="103" t="str">
        <f aca="false">IF(OR($B790="", $I790="", $J790="", $K790="", $L790="", $M790=""),"",ROUND(($I790*Lists!$AD$2)+($J790*Lists!$AD$3)+($K790*Lists!$AD$4)+($L790*Lists!$AD$5)+($M790*Lists!$AD$6),2))</f>
        <v/>
      </c>
      <c r="O790" s="103" t="str">
        <f aca="false">IF($A790="","",IFERROR(VLOOKUP($A790,'Risk Register'!$B$2:$I$1000,8,FALSE()),""))</f>
        <v/>
      </c>
      <c r="P790" s="106"/>
      <c r="Q790" s="106"/>
      <c r="R790" s="106"/>
      <c r="S790" s="106"/>
      <c r="T790" s="103" t="str">
        <f aca="false">IF(OR($B790="", $P790="", $Q790="", $R790="", $S790=""),"",ROUND(($P790*Lists!$AD$7)+($Q790*Lists!$AD$8)+($R790*Lists!$AD$9)+($S790*Lists!$AD$10),2))</f>
        <v/>
      </c>
      <c r="U790" s="106"/>
      <c r="V790" s="106"/>
      <c r="W790" s="106"/>
      <c r="X790" s="106"/>
      <c r="Y790" s="106"/>
      <c r="Z790" s="103" t="str">
        <f aca="false">IF(OR($B790="", $U790="", $V790="", $W790="", $X790="", $Y790=""),"",ROUND(($U790*Lists!$AD$11)+($V790*Lists!$AD$12)+($W790*Lists!$AD$13)+($X790*Lists!$AD$14)+($Y790*Lists!$AD$15),2))</f>
        <v/>
      </c>
      <c r="AA790" s="103" t="str">
        <f aca="false">IF(OR($B790="", $N790="", $O790="", $T790="", $Z790=""),"",ROUND(($N790*Lists!$AD$16)-($O790*Lists!$AD$17)-($T790*Lists!$AD$18)+($Z790*Lists!$AD$19),2))</f>
        <v/>
      </c>
      <c r="AB790" s="102" t="str">
        <f aca="false">IF(OR($B790="", $N790="", $Z790=""),"",IF($N790&gt;=Lists!$AG$2,IF($Z790&gt;=Lists!$AG$3,"Invest","Migrate"),IF($Z790&gt;=Lists!$AG$3,"Tolerate","Eliminate")))</f>
        <v/>
      </c>
      <c r="AC790" s="102" t="str">
        <f aca="false">IF($B790="","",IF($J790&gt;=4,"Yes",""))</f>
        <v/>
      </c>
      <c r="AD790" s="102" t="str">
        <f aca="false">IF($A790="","",IFERROR(IF(VLOOKUP($A790,'Risk Register'!$B$2:$H$1000,4,FALSE())&gt;=4,"Yes",""),""))</f>
        <v/>
      </c>
      <c r="AE790" s="102" t="str">
        <f aca="false">IF(OR($N790="", $O790=""),"",IF($N790&gt;=Lists!$AG$2,IF($O790&gt;=Lists!$AG$4,"High Value / High Risk","High Value / Low Risk"),IF($O790&gt;=Lists!$AG$4,"Low Value / High Risk","Low Value / Low Risk")))</f>
        <v/>
      </c>
      <c r="AF790" s="101"/>
      <c r="AG790" s="126"/>
      <c r="AH790" s="106" t="str">
        <f aca="false">IF($B790="","",COUNTIFS('Debt Backlog'!$AF$2:$AF$1000,$A790,'Debt Backlog'!$B$2:$B$1000,"&lt;&gt;",'Debt Backlog'!$N$2:$N$1000,"&lt;&gt;Done",'Debt Backlog'!$N$2:$N$1000,"&lt;&gt;Won't Fix",'Debt Backlog'!$N$2:$N$1000,"&lt;&gt;Duplicate"))</f>
        <v/>
      </c>
      <c r="AI790" s="103" t="str">
        <f aca="false">IF($B790="","",ROUND(SUMIFS('Debt Backlog'!$L$2:$L$1000,'Debt Backlog'!$AF$2:$AF$1000,$A790,'Debt Backlog'!$B$2:$B$1000,"&lt;&gt;",'Debt Backlog'!$N$2:$N$1000,"&lt;&gt;Done",'Debt Backlog'!$N$2:$N$1000,"&lt;&gt;Won't Fix",'Debt Backlog'!$N$2:$N$1000,"&lt;&gt;Duplicate"),2))</f>
        <v/>
      </c>
    </row>
    <row r="791" customFormat="false" ht="15.75" hidden="false" customHeight="true" outlineLevel="0" collapsed="false">
      <c r="A791" s="125"/>
      <c r="B791" s="101"/>
      <c r="C791" s="101"/>
      <c r="D791" s="101"/>
      <c r="E791" s="101"/>
      <c r="F791" s="101"/>
      <c r="G791" s="101"/>
      <c r="H791" s="101"/>
      <c r="I791" s="106"/>
      <c r="J791" s="106"/>
      <c r="K791" s="106"/>
      <c r="L791" s="106"/>
      <c r="M791" s="106"/>
      <c r="N791" s="103" t="str">
        <f aca="false">IF(OR($B791="", $I791="", $J791="", $K791="", $L791="", $M791=""),"",ROUND(($I791*Lists!$AD$2)+($J791*Lists!$AD$3)+($K791*Lists!$AD$4)+($L791*Lists!$AD$5)+($M791*Lists!$AD$6),2))</f>
        <v/>
      </c>
      <c r="O791" s="103" t="str">
        <f aca="false">IF($A791="","",IFERROR(VLOOKUP($A791,'Risk Register'!$B$2:$I$1000,8,FALSE()),""))</f>
        <v/>
      </c>
      <c r="P791" s="106"/>
      <c r="Q791" s="106"/>
      <c r="R791" s="106"/>
      <c r="S791" s="106"/>
      <c r="T791" s="103" t="str">
        <f aca="false">IF(OR($B791="", $P791="", $Q791="", $R791="", $S791=""),"",ROUND(($P791*Lists!$AD$7)+($Q791*Lists!$AD$8)+($R791*Lists!$AD$9)+($S791*Lists!$AD$10),2))</f>
        <v/>
      </c>
      <c r="U791" s="106"/>
      <c r="V791" s="106"/>
      <c r="W791" s="106"/>
      <c r="X791" s="106"/>
      <c r="Y791" s="106"/>
      <c r="Z791" s="103" t="str">
        <f aca="false">IF(OR($B791="", $U791="", $V791="", $W791="", $X791="", $Y791=""),"",ROUND(($U791*Lists!$AD$11)+($V791*Lists!$AD$12)+($W791*Lists!$AD$13)+($X791*Lists!$AD$14)+($Y791*Lists!$AD$15),2))</f>
        <v/>
      </c>
      <c r="AA791" s="103" t="str">
        <f aca="false">IF(OR($B791="", $N791="", $O791="", $T791="", $Z791=""),"",ROUND(($N791*Lists!$AD$16)-($O791*Lists!$AD$17)-($T791*Lists!$AD$18)+($Z791*Lists!$AD$19),2))</f>
        <v/>
      </c>
      <c r="AB791" s="102" t="str">
        <f aca="false">IF(OR($B791="", $N791="", $Z791=""),"",IF($N791&gt;=Lists!$AG$2,IF($Z791&gt;=Lists!$AG$3,"Invest","Migrate"),IF($Z791&gt;=Lists!$AG$3,"Tolerate","Eliminate")))</f>
        <v/>
      </c>
      <c r="AC791" s="102" t="str">
        <f aca="false">IF($B791="","",IF($J791&gt;=4,"Yes",""))</f>
        <v/>
      </c>
      <c r="AD791" s="102" t="str">
        <f aca="false">IF($A791="","",IFERROR(IF(VLOOKUP($A791,'Risk Register'!$B$2:$H$1000,4,FALSE())&gt;=4,"Yes",""),""))</f>
        <v/>
      </c>
      <c r="AE791" s="102" t="str">
        <f aca="false">IF(OR($N791="", $O791=""),"",IF($N791&gt;=Lists!$AG$2,IF($O791&gt;=Lists!$AG$4,"High Value / High Risk","High Value / Low Risk"),IF($O791&gt;=Lists!$AG$4,"Low Value / High Risk","Low Value / Low Risk")))</f>
        <v/>
      </c>
      <c r="AF791" s="101"/>
      <c r="AG791" s="126"/>
      <c r="AH791" s="106" t="str">
        <f aca="false">IF($B791="","",COUNTIFS('Debt Backlog'!$AF$2:$AF$1000,$A791,'Debt Backlog'!$B$2:$B$1000,"&lt;&gt;",'Debt Backlog'!$N$2:$N$1000,"&lt;&gt;Done",'Debt Backlog'!$N$2:$N$1000,"&lt;&gt;Won't Fix",'Debt Backlog'!$N$2:$N$1000,"&lt;&gt;Duplicate"))</f>
        <v/>
      </c>
      <c r="AI791" s="103" t="str">
        <f aca="false">IF($B791="","",ROUND(SUMIFS('Debt Backlog'!$L$2:$L$1000,'Debt Backlog'!$AF$2:$AF$1000,$A791,'Debt Backlog'!$B$2:$B$1000,"&lt;&gt;",'Debt Backlog'!$N$2:$N$1000,"&lt;&gt;Done",'Debt Backlog'!$N$2:$N$1000,"&lt;&gt;Won't Fix",'Debt Backlog'!$N$2:$N$1000,"&lt;&gt;Duplicate"),2))</f>
        <v/>
      </c>
    </row>
    <row r="792" customFormat="false" ht="15.75" hidden="false" customHeight="true" outlineLevel="0" collapsed="false">
      <c r="A792" s="125"/>
      <c r="B792" s="101"/>
      <c r="C792" s="101"/>
      <c r="D792" s="101"/>
      <c r="E792" s="101"/>
      <c r="F792" s="101"/>
      <c r="G792" s="101"/>
      <c r="H792" s="101"/>
      <c r="I792" s="106"/>
      <c r="J792" s="106"/>
      <c r="K792" s="106"/>
      <c r="L792" s="106"/>
      <c r="M792" s="106"/>
      <c r="N792" s="103" t="str">
        <f aca="false">IF(OR($B792="", $I792="", $J792="", $K792="", $L792="", $M792=""),"",ROUND(($I792*Lists!$AD$2)+($J792*Lists!$AD$3)+($K792*Lists!$AD$4)+($L792*Lists!$AD$5)+($M792*Lists!$AD$6),2))</f>
        <v/>
      </c>
      <c r="O792" s="103" t="str">
        <f aca="false">IF($A792="","",IFERROR(VLOOKUP($A792,'Risk Register'!$B$2:$I$1000,8,FALSE()),""))</f>
        <v/>
      </c>
      <c r="P792" s="106"/>
      <c r="Q792" s="106"/>
      <c r="R792" s="106"/>
      <c r="S792" s="106"/>
      <c r="T792" s="103" t="str">
        <f aca="false">IF(OR($B792="", $P792="", $Q792="", $R792="", $S792=""),"",ROUND(($P792*Lists!$AD$7)+($Q792*Lists!$AD$8)+($R792*Lists!$AD$9)+($S792*Lists!$AD$10),2))</f>
        <v/>
      </c>
      <c r="U792" s="106"/>
      <c r="V792" s="106"/>
      <c r="W792" s="106"/>
      <c r="X792" s="106"/>
      <c r="Y792" s="106"/>
      <c r="Z792" s="103" t="str">
        <f aca="false">IF(OR($B792="", $U792="", $V792="", $W792="", $X792="", $Y792=""),"",ROUND(($U792*Lists!$AD$11)+($V792*Lists!$AD$12)+($W792*Lists!$AD$13)+($X792*Lists!$AD$14)+($Y792*Lists!$AD$15),2))</f>
        <v/>
      </c>
      <c r="AA792" s="103" t="str">
        <f aca="false">IF(OR($B792="", $N792="", $O792="", $T792="", $Z792=""),"",ROUND(($N792*Lists!$AD$16)-($O792*Lists!$AD$17)-($T792*Lists!$AD$18)+($Z792*Lists!$AD$19),2))</f>
        <v/>
      </c>
      <c r="AB792" s="102" t="str">
        <f aca="false">IF(OR($B792="", $N792="", $Z792=""),"",IF($N792&gt;=Lists!$AG$2,IF($Z792&gt;=Lists!$AG$3,"Invest","Migrate"),IF($Z792&gt;=Lists!$AG$3,"Tolerate","Eliminate")))</f>
        <v/>
      </c>
      <c r="AC792" s="102" t="str">
        <f aca="false">IF($B792="","",IF($J792&gt;=4,"Yes",""))</f>
        <v/>
      </c>
      <c r="AD792" s="102" t="str">
        <f aca="false">IF($A792="","",IFERROR(IF(VLOOKUP($A792,'Risk Register'!$B$2:$H$1000,4,FALSE())&gt;=4,"Yes",""),""))</f>
        <v/>
      </c>
      <c r="AE792" s="102" t="str">
        <f aca="false">IF(OR($N792="", $O792=""),"",IF($N792&gt;=Lists!$AG$2,IF($O792&gt;=Lists!$AG$4,"High Value / High Risk","High Value / Low Risk"),IF($O792&gt;=Lists!$AG$4,"Low Value / High Risk","Low Value / Low Risk")))</f>
        <v/>
      </c>
      <c r="AF792" s="101"/>
      <c r="AG792" s="126"/>
      <c r="AH792" s="106" t="str">
        <f aca="false">IF($B792="","",COUNTIFS('Debt Backlog'!$AF$2:$AF$1000,$A792,'Debt Backlog'!$B$2:$B$1000,"&lt;&gt;",'Debt Backlog'!$N$2:$N$1000,"&lt;&gt;Done",'Debt Backlog'!$N$2:$N$1000,"&lt;&gt;Won't Fix",'Debt Backlog'!$N$2:$N$1000,"&lt;&gt;Duplicate"))</f>
        <v/>
      </c>
      <c r="AI792" s="103" t="str">
        <f aca="false">IF($B792="","",ROUND(SUMIFS('Debt Backlog'!$L$2:$L$1000,'Debt Backlog'!$AF$2:$AF$1000,$A792,'Debt Backlog'!$B$2:$B$1000,"&lt;&gt;",'Debt Backlog'!$N$2:$N$1000,"&lt;&gt;Done",'Debt Backlog'!$N$2:$N$1000,"&lt;&gt;Won't Fix",'Debt Backlog'!$N$2:$N$1000,"&lt;&gt;Duplicate"),2))</f>
        <v/>
      </c>
    </row>
    <row r="793" customFormat="false" ht="15.75" hidden="false" customHeight="true" outlineLevel="0" collapsed="false">
      <c r="A793" s="125"/>
      <c r="B793" s="101"/>
      <c r="C793" s="101"/>
      <c r="D793" s="101"/>
      <c r="E793" s="101"/>
      <c r="F793" s="101"/>
      <c r="G793" s="101"/>
      <c r="H793" s="101"/>
      <c r="I793" s="106"/>
      <c r="J793" s="106"/>
      <c r="K793" s="106"/>
      <c r="L793" s="106"/>
      <c r="M793" s="106"/>
      <c r="N793" s="103" t="str">
        <f aca="false">IF(OR($B793="", $I793="", $J793="", $K793="", $L793="", $M793=""),"",ROUND(($I793*Lists!$AD$2)+($J793*Lists!$AD$3)+($K793*Lists!$AD$4)+($L793*Lists!$AD$5)+($M793*Lists!$AD$6),2))</f>
        <v/>
      </c>
      <c r="O793" s="103" t="str">
        <f aca="false">IF($A793="","",IFERROR(VLOOKUP($A793,'Risk Register'!$B$2:$I$1000,8,FALSE()),""))</f>
        <v/>
      </c>
      <c r="P793" s="106"/>
      <c r="Q793" s="106"/>
      <c r="R793" s="106"/>
      <c r="S793" s="106"/>
      <c r="T793" s="103" t="str">
        <f aca="false">IF(OR($B793="", $P793="", $Q793="", $R793="", $S793=""),"",ROUND(($P793*Lists!$AD$7)+($Q793*Lists!$AD$8)+($R793*Lists!$AD$9)+($S793*Lists!$AD$10),2))</f>
        <v/>
      </c>
      <c r="U793" s="106"/>
      <c r="V793" s="106"/>
      <c r="W793" s="106"/>
      <c r="X793" s="106"/>
      <c r="Y793" s="106"/>
      <c r="Z793" s="103" t="str">
        <f aca="false">IF(OR($B793="", $U793="", $V793="", $W793="", $X793="", $Y793=""),"",ROUND(($U793*Lists!$AD$11)+($V793*Lists!$AD$12)+($W793*Lists!$AD$13)+($X793*Lists!$AD$14)+($Y793*Lists!$AD$15),2))</f>
        <v/>
      </c>
      <c r="AA793" s="103" t="str">
        <f aca="false">IF(OR($B793="", $N793="", $O793="", $T793="", $Z793=""),"",ROUND(($N793*Lists!$AD$16)-($O793*Lists!$AD$17)-($T793*Lists!$AD$18)+($Z793*Lists!$AD$19),2))</f>
        <v/>
      </c>
      <c r="AB793" s="102" t="str">
        <f aca="false">IF(OR($B793="", $N793="", $Z793=""),"",IF($N793&gt;=Lists!$AG$2,IF($Z793&gt;=Lists!$AG$3,"Invest","Migrate"),IF($Z793&gt;=Lists!$AG$3,"Tolerate","Eliminate")))</f>
        <v/>
      </c>
      <c r="AC793" s="102" t="str">
        <f aca="false">IF($B793="","",IF($J793&gt;=4,"Yes",""))</f>
        <v/>
      </c>
      <c r="AD793" s="102" t="str">
        <f aca="false">IF($A793="","",IFERROR(IF(VLOOKUP($A793,'Risk Register'!$B$2:$H$1000,4,FALSE())&gt;=4,"Yes",""),""))</f>
        <v/>
      </c>
      <c r="AE793" s="102" t="str">
        <f aca="false">IF(OR($N793="", $O793=""),"",IF($N793&gt;=Lists!$AG$2,IF($O793&gt;=Lists!$AG$4,"High Value / High Risk","High Value / Low Risk"),IF($O793&gt;=Lists!$AG$4,"Low Value / High Risk","Low Value / Low Risk")))</f>
        <v/>
      </c>
      <c r="AF793" s="101"/>
      <c r="AG793" s="126"/>
      <c r="AH793" s="106" t="str">
        <f aca="false">IF($B793="","",COUNTIFS('Debt Backlog'!$AF$2:$AF$1000,$A793,'Debt Backlog'!$B$2:$B$1000,"&lt;&gt;",'Debt Backlog'!$N$2:$N$1000,"&lt;&gt;Done",'Debt Backlog'!$N$2:$N$1000,"&lt;&gt;Won't Fix",'Debt Backlog'!$N$2:$N$1000,"&lt;&gt;Duplicate"))</f>
        <v/>
      </c>
      <c r="AI793" s="103" t="str">
        <f aca="false">IF($B793="","",ROUND(SUMIFS('Debt Backlog'!$L$2:$L$1000,'Debt Backlog'!$AF$2:$AF$1000,$A793,'Debt Backlog'!$B$2:$B$1000,"&lt;&gt;",'Debt Backlog'!$N$2:$N$1000,"&lt;&gt;Done",'Debt Backlog'!$N$2:$N$1000,"&lt;&gt;Won't Fix",'Debt Backlog'!$N$2:$N$1000,"&lt;&gt;Duplicate"),2))</f>
        <v/>
      </c>
    </row>
    <row r="794" customFormat="false" ht="15.75" hidden="false" customHeight="true" outlineLevel="0" collapsed="false">
      <c r="A794" s="125"/>
      <c r="B794" s="101"/>
      <c r="C794" s="101"/>
      <c r="D794" s="101"/>
      <c r="E794" s="101"/>
      <c r="F794" s="101"/>
      <c r="G794" s="101"/>
      <c r="H794" s="101"/>
      <c r="I794" s="106"/>
      <c r="J794" s="106"/>
      <c r="K794" s="106"/>
      <c r="L794" s="106"/>
      <c r="M794" s="106"/>
      <c r="N794" s="103" t="str">
        <f aca="false">IF(OR($B794="", $I794="", $J794="", $K794="", $L794="", $M794=""),"",ROUND(($I794*Lists!$AD$2)+($J794*Lists!$AD$3)+($K794*Lists!$AD$4)+($L794*Lists!$AD$5)+($M794*Lists!$AD$6),2))</f>
        <v/>
      </c>
      <c r="O794" s="103" t="str">
        <f aca="false">IF($A794="","",IFERROR(VLOOKUP($A794,'Risk Register'!$B$2:$I$1000,8,FALSE()),""))</f>
        <v/>
      </c>
      <c r="P794" s="106"/>
      <c r="Q794" s="106"/>
      <c r="R794" s="106"/>
      <c r="S794" s="106"/>
      <c r="T794" s="103" t="str">
        <f aca="false">IF(OR($B794="", $P794="", $Q794="", $R794="", $S794=""),"",ROUND(($P794*Lists!$AD$7)+($Q794*Lists!$AD$8)+($R794*Lists!$AD$9)+($S794*Lists!$AD$10),2))</f>
        <v/>
      </c>
      <c r="U794" s="106"/>
      <c r="V794" s="106"/>
      <c r="W794" s="106"/>
      <c r="X794" s="106"/>
      <c r="Y794" s="106"/>
      <c r="Z794" s="103" t="str">
        <f aca="false">IF(OR($B794="", $U794="", $V794="", $W794="", $X794="", $Y794=""),"",ROUND(($U794*Lists!$AD$11)+($V794*Lists!$AD$12)+($W794*Lists!$AD$13)+($X794*Lists!$AD$14)+($Y794*Lists!$AD$15),2))</f>
        <v/>
      </c>
      <c r="AA794" s="103" t="str">
        <f aca="false">IF(OR($B794="", $N794="", $O794="", $T794="", $Z794=""),"",ROUND(($N794*Lists!$AD$16)-($O794*Lists!$AD$17)-($T794*Lists!$AD$18)+($Z794*Lists!$AD$19),2))</f>
        <v/>
      </c>
      <c r="AB794" s="102" t="str">
        <f aca="false">IF(OR($B794="", $N794="", $Z794=""),"",IF($N794&gt;=Lists!$AG$2,IF($Z794&gt;=Lists!$AG$3,"Invest","Migrate"),IF($Z794&gt;=Lists!$AG$3,"Tolerate","Eliminate")))</f>
        <v/>
      </c>
      <c r="AC794" s="102" t="str">
        <f aca="false">IF($B794="","",IF($J794&gt;=4,"Yes",""))</f>
        <v/>
      </c>
      <c r="AD794" s="102" t="str">
        <f aca="false">IF($A794="","",IFERROR(IF(VLOOKUP($A794,'Risk Register'!$B$2:$H$1000,4,FALSE())&gt;=4,"Yes",""),""))</f>
        <v/>
      </c>
      <c r="AE794" s="102" t="str">
        <f aca="false">IF(OR($N794="", $O794=""),"",IF($N794&gt;=Lists!$AG$2,IF($O794&gt;=Lists!$AG$4,"High Value / High Risk","High Value / Low Risk"),IF($O794&gt;=Lists!$AG$4,"Low Value / High Risk","Low Value / Low Risk")))</f>
        <v/>
      </c>
      <c r="AF794" s="101"/>
      <c r="AG794" s="126"/>
      <c r="AH794" s="106" t="str">
        <f aca="false">IF($B794="","",COUNTIFS('Debt Backlog'!$AF$2:$AF$1000,$A794,'Debt Backlog'!$B$2:$B$1000,"&lt;&gt;",'Debt Backlog'!$N$2:$N$1000,"&lt;&gt;Done",'Debt Backlog'!$N$2:$N$1000,"&lt;&gt;Won't Fix",'Debt Backlog'!$N$2:$N$1000,"&lt;&gt;Duplicate"))</f>
        <v/>
      </c>
      <c r="AI794" s="103" t="str">
        <f aca="false">IF($B794="","",ROUND(SUMIFS('Debt Backlog'!$L$2:$L$1000,'Debt Backlog'!$AF$2:$AF$1000,$A794,'Debt Backlog'!$B$2:$B$1000,"&lt;&gt;",'Debt Backlog'!$N$2:$N$1000,"&lt;&gt;Done",'Debt Backlog'!$N$2:$N$1000,"&lt;&gt;Won't Fix",'Debt Backlog'!$N$2:$N$1000,"&lt;&gt;Duplicate"),2))</f>
        <v/>
      </c>
    </row>
    <row r="795" customFormat="false" ht="15.75" hidden="false" customHeight="true" outlineLevel="0" collapsed="false">
      <c r="A795" s="125"/>
      <c r="B795" s="101"/>
      <c r="C795" s="101"/>
      <c r="D795" s="101"/>
      <c r="E795" s="101"/>
      <c r="F795" s="101"/>
      <c r="G795" s="101"/>
      <c r="H795" s="101"/>
      <c r="I795" s="106"/>
      <c r="J795" s="106"/>
      <c r="K795" s="106"/>
      <c r="L795" s="106"/>
      <c r="M795" s="106"/>
      <c r="N795" s="103" t="str">
        <f aca="false">IF(OR($B795="", $I795="", $J795="", $K795="", $L795="", $M795=""),"",ROUND(($I795*Lists!$AD$2)+($J795*Lists!$AD$3)+($K795*Lists!$AD$4)+($L795*Lists!$AD$5)+($M795*Lists!$AD$6),2))</f>
        <v/>
      </c>
      <c r="O795" s="103" t="str">
        <f aca="false">IF($A795="","",IFERROR(VLOOKUP($A795,'Risk Register'!$B$2:$I$1000,8,FALSE()),""))</f>
        <v/>
      </c>
      <c r="P795" s="106"/>
      <c r="Q795" s="106"/>
      <c r="R795" s="106"/>
      <c r="S795" s="106"/>
      <c r="T795" s="103" t="str">
        <f aca="false">IF(OR($B795="", $P795="", $Q795="", $R795="", $S795=""),"",ROUND(($P795*Lists!$AD$7)+($Q795*Lists!$AD$8)+($R795*Lists!$AD$9)+($S795*Lists!$AD$10),2))</f>
        <v/>
      </c>
      <c r="U795" s="106"/>
      <c r="V795" s="106"/>
      <c r="W795" s="106"/>
      <c r="X795" s="106"/>
      <c r="Y795" s="106"/>
      <c r="Z795" s="103" t="str">
        <f aca="false">IF(OR($B795="", $U795="", $V795="", $W795="", $X795="", $Y795=""),"",ROUND(($U795*Lists!$AD$11)+($V795*Lists!$AD$12)+($W795*Lists!$AD$13)+($X795*Lists!$AD$14)+($Y795*Lists!$AD$15),2))</f>
        <v/>
      </c>
      <c r="AA795" s="103" t="str">
        <f aca="false">IF(OR($B795="", $N795="", $O795="", $T795="", $Z795=""),"",ROUND(($N795*Lists!$AD$16)-($O795*Lists!$AD$17)-($T795*Lists!$AD$18)+($Z795*Lists!$AD$19),2))</f>
        <v/>
      </c>
      <c r="AB795" s="102" t="str">
        <f aca="false">IF(OR($B795="", $N795="", $Z795=""),"",IF($N795&gt;=Lists!$AG$2,IF($Z795&gt;=Lists!$AG$3,"Invest","Migrate"),IF($Z795&gt;=Lists!$AG$3,"Tolerate","Eliminate")))</f>
        <v/>
      </c>
      <c r="AC795" s="102" t="str">
        <f aca="false">IF($B795="","",IF($J795&gt;=4,"Yes",""))</f>
        <v/>
      </c>
      <c r="AD795" s="102" t="str">
        <f aca="false">IF($A795="","",IFERROR(IF(VLOOKUP($A795,'Risk Register'!$B$2:$H$1000,4,FALSE())&gt;=4,"Yes",""),""))</f>
        <v/>
      </c>
      <c r="AE795" s="102" t="str">
        <f aca="false">IF(OR($N795="", $O795=""),"",IF($N795&gt;=Lists!$AG$2,IF($O795&gt;=Lists!$AG$4,"High Value / High Risk","High Value / Low Risk"),IF($O795&gt;=Lists!$AG$4,"Low Value / High Risk","Low Value / Low Risk")))</f>
        <v/>
      </c>
      <c r="AF795" s="101"/>
      <c r="AG795" s="126"/>
      <c r="AH795" s="106" t="str">
        <f aca="false">IF($B795="","",COUNTIFS('Debt Backlog'!$AF$2:$AF$1000,$A795,'Debt Backlog'!$B$2:$B$1000,"&lt;&gt;",'Debt Backlog'!$N$2:$N$1000,"&lt;&gt;Done",'Debt Backlog'!$N$2:$N$1000,"&lt;&gt;Won't Fix",'Debt Backlog'!$N$2:$N$1000,"&lt;&gt;Duplicate"))</f>
        <v/>
      </c>
      <c r="AI795" s="103" t="str">
        <f aca="false">IF($B795="","",ROUND(SUMIFS('Debt Backlog'!$L$2:$L$1000,'Debt Backlog'!$AF$2:$AF$1000,$A795,'Debt Backlog'!$B$2:$B$1000,"&lt;&gt;",'Debt Backlog'!$N$2:$N$1000,"&lt;&gt;Done",'Debt Backlog'!$N$2:$N$1000,"&lt;&gt;Won't Fix",'Debt Backlog'!$N$2:$N$1000,"&lt;&gt;Duplicate"),2))</f>
        <v/>
      </c>
    </row>
    <row r="796" customFormat="false" ht="15.75" hidden="false" customHeight="true" outlineLevel="0" collapsed="false">
      <c r="A796" s="125"/>
      <c r="B796" s="101"/>
      <c r="C796" s="101"/>
      <c r="D796" s="101"/>
      <c r="E796" s="101"/>
      <c r="F796" s="101"/>
      <c r="G796" s="101"/>
      <c r="H796" s="101"/>
      <c r="I796" s="106"/>
      <c r="J796" s="106"/>
      <c r="K796" s="106"/>
      <c r="L796" s="106"/>
      <c r="M796" s="106"/>
      <c r="N796" s="103" t="str">
        <f aca="false">IF(OR($B796="", $I796="", $J796="", $K796="", $L796="", $M796=""),"",ROUND(($I796*Lists!$AD$2)+($J796*Lists!$AD$3)+($K796*Lists!$AD$4)+($L796*Lists!$AD$5)+($M796*Lists!$AD$6),2))</f>
        <v/>
      </c>
      <c r="O796" s="103" t="str">
        <f aca="false">IF($A796="","",IFERROR(VLOOKUP($A796,'Risk Register'!$B$2:$I$1000,8,FALSE()),""))</f>
        <v/>
      </c>
      <c r="P796" s="106"/>
      <c r="Q796" s="106"/>
      <c r="R796" s="106"/>
      <c r="S796" s="106"/>
      <c r="T796" s="103" t="str">
        <f aca="false">IF(OR($B796="", $P796="", $Q796="", $R796="", $S796=""),"",ROUND(($P796*Lists!$AD$7)+($Q796*Lists!$AD$8)+($R796*Lists!$AD$9)+($S796*Lists!$AD$10),2))</f>
        <v/>
      </c>
      <c r="U796" s="106"/>
      <c r="V796" s="106"/>
      <c r="W796" s="106"/>
      <c r="X796" s="106"/>
      <c r="Y796" s="106"/>
      <c r="Z796" s="103" t="str">
        <f aca="false">IF(OR($B796="", $U796="", $V796="", $W796="", $X796="", $Y796=""),"",ROUND(($U796*Lists!$AD$11)+($V796*Lists!$AD$12)+($W796*Lists!$AD$13)+($X796*Lists!$AD$14)+($Y796*Lists!$AD$15),2))</f>
        <v/>
      </c>
      <c r="AA796" s="103" t="str">
        <f aca="false">IF(OR($B796="", $N796="", $O796="", $T796="", $Z796=""),"",ROUND(($N796*Lists!$AD$16)-($O796*Lists!$AD$17)-($T796*Lists!$AD$18)+($Z796*Lists!$AD$19),2))</f>
        <v/>
      </c>
      <c r="AB796" s="102" t="str">
        <f aca="false">IF(OR($B796="", $N796="", $Z796=""),"",IF($N796&gt;=Lists!$AG$2,IF($Z796&gt;=Lists!$AG$3,"Invest","Migrate"),IF($Z796&gt;=Lists!$AG$3,"Tolerate","Eliminate")))</f>
        <v/>
      </c>
      <c r="AC796" s="102" t="str">
        <f aca="false">IF($B796="","",IF($J796&gt;=4,"Yes",""))</f>
        <v/>
      </c>
      <c r="AD796" s="102" t="str">
        <f aca="false">IF($A796="","",IFERROR(IF(VLOOKUP($A796,'Risk Register'!$B$2:$H$1000,4,FALSE())&gt;=4,"Yes",""),""))</f>
        <v/>
      </c>
      <c r="AE796" s="102" t="str">
        <f aca="false">IF(OR($N796="", $O796=""),"",IF($N796&gt;=Lists!$AG$2,IF($O796&gt;=Lists!$AG$4,"High Value / High Risk","High Value / Low Risk"),IF($O796&gt;=Lists!$AG$4,"Low Value / High Risk","Low Value / Low Risk")))</f>
        <v/>
      </c>
      <c r="AF796" s="101"/>
      <c r="AG796" s="126"/>
      <c r="AH796" s="106" t="str">
        <f aca="false">IF($B796="","",COUNTIFS('Debt Backlog'!$AF$2:$AF$1000,$A796,'Debt Backlog'!$B$2:$B$1000,"&lt;&gt;",'Debt Backlog'!$N$2:$N$1000,"&lt;&gt;Done",'Debt Backlog'!$N$2:$N$1000,"&lt;&gt;Won't Fix",'Debt Backlog'!$N$2:$N$1000,"&lt;&gt;Duplicate"))</f>
        <v/>
      </c>
      <c r="AI796" s="103" t="str">
        <f aca="false">IF($B796="","",ROUND(SUMIFS('Debt Backlog'!$L$2:$L$1000,'Debt Backlog'!$AF$2:$AF$1000,$A796,'Debt Backlog'!$B$2:$B$1000,"&lt;&gt;",'Debt Backlog'!$N$2:$N$1000,"&lt;&gt;Done",'Debt Backlog'!$N$2:$N$1000,"&lt;&gt;Won't Fix",'Debt Backlog'!$N$2:$N$1000,"&lt;&gt;Duplicate"),2))</f>
        <v/>
      </c>
    </row>
    <row r="797" customFormat="false" ht="15.75" hidden="false" customHeight="true" outlineLevel="0" collapsed="false">
      <c r="A797" s="125"/>
      <c r="B797" s="101"/>
      <c r="C797" s="101"/>
      <c r="D797" s="101"/>
      <c r="E797" s="101"/>
      <c r="F797" s="101"/>
      <c r="G797" s="101"/>
      <c r="H797" s="101"/>
      <c r="I797" s="106"/>
      <c r="J797" s="106"/>
      <c r="K797" s="106"/>
      <c r="L797" s="106"/>
      <c r="M797" s="106"/>
      <c r="N797" s="103" t="str">
        <f aca="false">IF(OR($B797="", $I797="", $J797="", $K797="", $L797="", $M797=""),"",ROUND(($I797*Lists!$AD$2)+($J797*Lists!$AD$3)+($K797*Lists!$AD$4)+($L797*Lists!$AD$5)+($M797*Lists!$AD$6),2))</f>
        <v/>
      </c>
      <c r="O797" s="103" t="str">
        <f aca="false">IF($A797="","",IFERROR(VLOOKUP($A797,'Risk Register'!$B$2:$I$1000,8,FALSE()),""))</f>
        <v/>
      </c>
      <c r="P797" s="106"/>
      <c r="Q797" s="106"/>
      <c r="R797" s="106"/>
      <c r="S797" s="106"/>
      <c r="T797" s="103" t="str">
        <f aca="false">IF(OR($B797="", $P797="", $Q797="", $R797="", $S797=""),"",ROUND(($P797*Lists!$AD$7)+($Q797*Lists!$AD$8)+($R797*Lists!$AD$9)+($S797*Lists!$AD$10),2))</f>
        <v/>
      </c>
      <c r="U797" s="106"/>
      <c r="V797" s="106"/>
      <c r="W797" s="106"/>
      <c r="X797" s="106"/>
      <c r="Y797" s="106"/>
      <c r="Z797" s="103" t="str">
        <f aca="false">IF(OR($B797="", $U797="", $V797="", $W797="", $X797="", $Y797=""),"",ROUND(($U797*Lists!$AD$11)+($V797*Lists!$AD$12)+($W797*Lists!$AD$13)+($X797*Lists!$AD$14)+($Y797*Lists!$AD$15),2))</f>
        <v/>
      </c>
      <c r="AA797" s="103" t="str">
        <f aca="false">IF(OR($B797="", $N797="", $O797="", $T797="", $Z797=""),"",ROUND(($N797*Lists!$AD$16)-($O797*Lists!$AD$17)-($T797*Lists!$AD$18)+($Z797*Lists!$AD$19),2))</f>
        <v/>
      </c>
      <c r="AB797" s="102" t="str">
        <f aca="false">IF(OR($B797="", $N797="", $Z797=""),"",IF($N797&gt;=Lists!$AG$2,IF($Z797&gt;=Lists!$AG$3,"Invest","Migrate"),IF($Z797&gt;=Lists!$AG$3,"Tolerate","Eliminate")))</f>
        <v/>
      </c>
      <c r="AC797" s="102" t="str">
        <f aca="false">IF($B797="","",IF($J797&gt;=4,"Yes",""))</f>
        <v/>
      </c>
      <c r="AD797" s="102" t="str">
        <f aca="false">IF($A797="","",IFERROR(IF(VLOOKUP($A797,'Risk Register'!$B$2:$H$1000,4,FALSE())&gt;=4,"Yes",""),""))</f>
        <v/>
      </c>
      <c r="AE797" s="102" t="str">
        <f aca="false">IF(OR($N797="", $O797=""),"",IF($N797&gt;=Lists!$AG$2,IF($O797&gt;=Lists!$AG$4,"High Value / High Risk","High Value / Low Risk"),IF($O797&gt;=Lists!$AG$4,"Low Value / High Risk","Low Value / Low Risk")))</f>
        <v/>
      </c>
      <c r="AF797" s="101"/>
      <c r="AG797" s="126"/>
      <c r="AH797" s="106" t="str">
        <f aca="false">IF($B797="","",COUNTIFS('Debt Backlog'!$AF$2:$AF$1000,$A797,'Debt Backlog'!$B$2:$B$1000,"&lt;&gt;",'Debt Backlog'!$N$2:$N$1000,"&lt;&gt;Done",'Debt Backlog'!$N$2:$N$1000,"&lt;&gt;Won't Fix",'Debt Backlog'!$N$2:$N$1000,"&lt;&gt;Duplicate"))</f>
        <v/>
      </c>
      <c r="AI797" s="103" t="str">
        <f aca="false">IF($B797="","",ROUND(SUMIFS('Debt Backlog'!$L$2:$L$1000,'Debt Backlog'!$AF$2:$AF$1000,$A797,'Debt Backlog'!$B$2:$B$1000,"&lt;&gt;",'Debt Backlog'!$N$2:$N$1000,"&lt;&gt;Done",'Debt Backlog'!$N$2:$N$1000,"&lt;&gt;Won't Fix",'Debt Backlog'!$N$2:$N$1000,"&lt;&gt;Duplicate"),2))</f>
        <v/>
      </c>
    </row>
    <row r="798" customFormat="false" ht="15.75" hidden="false" customHeight="true" outlineLevel="0" collapsed="false">
      <c r="A798" s="125"/>
      <c r="B798" s="101"/>
      <c r="C798" s="101"/>
      <c r="D798" s="101"/>
      <c r="E798" s="101"/>
      <c r="F798" s="101"/>
      <c r="G798" s="101"/>
      <c r="H798" s="101"/>
      <c r="I798" s="106"/>
      <c r="J798" s="106"/>
      <c r="K798" s="106"/>
      <c r="L798" s="106"/>
      <c r="M798" s="106"/>
      <c r="N798" s="103" t="str">
        <f aca="false">IF(OR($B798="", $I798="", $J798="", $K798="", $L798="", $M798=""),"",ROUND(($I798*Lists!$AD$2)+($J798*Lists!$AD$3)+($K798*Lists!$AD$4)+($L798*Lists!$AD$5)+($M798*Lists!$AD$6),2))</f>
        <v/>
      </c>
      <c r="O798" s="103" t="str">
        <f aca="false">IF($A798="","",IFERROR(VLOOKUP($A798,'Risk Register'!$B$2:$I$1000,8,FALSE()),""))</f>
        <v/>
      </c>
      <c r="P798" s="106"/>
      <c r="Q798" s="106"/>
      <c r="R798" s="106"/>
      <c r="S798" s="106"/>
      <c r="T798" s="103" t="str">
        <f aca="false">IF(OR($B798="", $P798="", $Q798="", $R798="", $S798=""),"",ROUND(($P798*Lists!$AD$7)+($Q798*Lists!$AD$8)+($R798*Lists!$AD$9)+($S798*Lists!$AD$10),2))</f>
        <v/>
      </c>
      <c r="U798" s="106"/>
      <c r="V798" s="106"/>
      <c r="W798" s="106"/>
      <c r="X798" s="106"/>
      <c r="Y798" s="106"/>
      <c r="Z798" s="103" t="str">
        <f aca="false">IF(OR($B798="", $U798="", $V798="", $W798="", $X798="", $Y798=""),"",ROUND(($U798*Lists!$AD$11)+($V798*Lists!$AD$12)+($W798*Lists!$AD$13)+($X798*Lists!$AD$14)+($Y798*Lists!$AD$15),2))</f>
        <v/>
      </c>
      <c r="AA798" s="103" t="str">
        <f aca="false">IF(OR($B798="", $N798="", $O798="", $T798="", $Z798=""),"",ROUND(($N798*Lists!$AD$16)-($O798*Lists!$AD$17)-($T798*Lists!$AD$18)+($Z798*Lists!$AD$19),2))</f>
        <v/>
      </c>
      <c r="AB798" s="102" t="str">
        <f aca="false">IF(OR($B798="", $N798="", $Z798=""),"",IF($N798&gt;=Lists!$AG$2,IF($Z798&gt;=Lists!$AG$3,"Invest","Migrate"),IF($Z798&gt;=Lists!$AG$3,"Tolerate","Eliminate")))</f>
        <v/>
      </c>
      <c r="AC798" s="102" t="str">
        <f aca="false">IF($B798="","",IF($J798&gt;=4,"Yes",""))</f>
        <v/>
      </c>
      <c r="AD798" s="102" t="str">
        <f aca="false">IF($A798="","",IFERROR(IF(VLOOKUP($A798,'Risk Register'!$B$2:$H$1000,4,FALSE())&gt;=4,"Yes",""),""))</f>
        <v/>
      </c>
      <c r="AE798" s="102" t="str">
        <f aca="false">IF(OR($N798="", $O798=""),"",IF($N798&gt;=Lists!$AG$2,IF($O798&gt;=Lists!$AG$4,"High Value / High Risk","High Value / Low Risk"),IF($O798&gt;=Lists!$AG$4,"Low Value / High Risk","Low Value / Low Risk")))</f>
        <v/>
      </c>
      <c r="AF798" s="101"/>
      <c r="AG798" s="126"/>
      <c r="AH798" s="106" t="str">
        <f aca="false">IF($B798="","",COUNTIFS('Debt Backlog'!$AF$2:$AF$1000,$A798,'Debt Backlog'!$B$2:$B$1000,"&lt;&gt;",'Debt Backlog'!$N$2:$N$1000,"&lt;&gt;Done",'Debt Backlog'!$N$2:$N$1000,"&lt;&gt;Won't Fix",'Debt Backlog'!$N$2:$N$1000,"&lt;&gt;Duplicate"))</f>
        <v/>
      </c>
      <c r="AI798" s="103" t="str">
        <f aca="false">IF($B798="","",ROUND(SUMIFS('Debt Backlog'!$L$2:$L$1000,'Debt Backlog'!$AF$2:$AF$1000,$A798,'Debt Backlog'!$B$2:$B$1000,"&lt;&gt;",'Debt Backlog'!$N$2:$N$1000,"&lt;&gt;Done",'Debt Backlog'!$N$2:$N$1000,"&lt;&gt;Won't Fix",'Debt Backlog'!$N$2:$N$1000,"&lt;&gt;Duplicate"),2))</f>
        <v/>
      </c>
    </row>
    <row r="799" customFormat="false" ht="15.75" hidden="false" customHeight="true" outlineLevel="0" collapsed="false">
      <c r="A799" s="125"/>
      <c r="B799" s="101"/>
      <c r="C799" s="101"/>
      <c r="D799" s="101"/>
      <c r="E799" s="101"/>
      <c r="F799" s="101"/>
      <c r="G799" s="101"/>
      <c r="H799" s="101"/>
      <c r="I799" s="106"/>
      <c r="J799" s="106"/>
      <c r="K799" s="106"/>
      <c r="L799" s="106"/>
      <c r="M799" s="106"/>
      <c r="N799" s="103" t="str">
        <f aca="false">IF(OR($B799="", $I799="", $J799="", $K799="", $L799="", $M799=""),"",ROUND(($I799*Lists!$AD$2)+($J799*Lists!$AD$3)+($K799*Lists!$AD$4)+($L799*Lists!$AD$5)+($M799*Lists!$AD$6),2))</f>
        <v/>
      </c>
      <c r="O799" s="103" t="str">
        <f aca="false">IF($A799="","",IFERROR(VLOOKUP($A799,'Risk Register'!$B$2:$I$1000,8,FALSE()),""))</f>
        <v/>
      </c>
      <c r="P799" s="106"/>
      <c r="Q799" s="106"/>
      <c r="R799" s="106"/>
      <c r="S799" s="106"/>
      <c r="T799" s="103" t="str">
        <f aca="false">IF(OR($B799="", $P799="", $Q799="", $R799="", $S799=""),"",ROUND(($P799*Lists!$AD$7)+($Q799*Lists!$AD$8)+($R799*Lists!$AD$9)+($S799*Lists!$AD$10),2))</f>
        <v/>
      </c>
      <c r="U799" s="106"/>
      <c r="V799" s="106"/>
      <c r="W799" s="106"/>
      <c r="X799" s="106"/>
      <c r="Y799" s="106"/>
      <c r="Z799" s="103" t="str">
        <f aca="false">IF(OR($B799="", $U799="", $V799="", $W799="", $X799="", $Y799=""),"",ROUND(($U799*Lists!$AD$11)+($V799*Lists!$AD$12)+($W799*Lists!$AD$13)+($X799*Lists!$AD$14)+($Y799*Lists!$AD$15),2))</f>
        <v/>
      </c>
      <c r="AA799" s="103" t="str">
        <f aca="false">IF(OR($B799="", $N799="", $O799="", $T799="", $Z799=""),"",ROUND(($N799*Lists!$AD$16)-($O799*Lists!$AD$17)-($T799*Lists!$AD$18)+($Z799*Lists!$AD$19),2))</f>
        <v/>
      </c>
      <c r="AB799" s="102" t="str">
        <f aca="false">IF(OR($B799="", $N799="", $Z799=""),"",IF($N799&gt;=Lists!$AG$2,IF($Z799&gt;=Lists!$AG$3,"Invest","Migrate"),IF($Z799&gt;=Lists!$AG$3,"Tolerate","Eliminate")))</f>
        <v/>
      </c>
      <c r="AC799" s="102" t="str">
        <f aca="false">IF($B799="","",IF($J799&gt;=4,"Yes",""))</f>
        <v/>
      </c>
      <c r="AD799" s="102" t="str">
        <f aca="false">IF($A799="","",IFERROR(IF(VLOOKUP($A799,'Risk Register'!$B$2:$H$1000,4,FALSE())&gt;=4,"Yes",""),""))</f>
        <v/>
      </c>
      <c r="AE799" s="102" t="str">
        <f aca="false">IF(OR($N799="", $O799=""),"",IF($N799&gt;=Lists!$AG$2,IF($O799&gt;=Lists!$AG$4,"High Value / High Risk","High Value / Low Risk"),IF($O799&gt;=Lists!$AG$4,"Low Value / High Risk","Low Value / Low Risk")))</f>
        <v/>
      </c>
      <c r="AF799" s="101"/>
      <c r="AG799" s="126"/>
      <c r="AH799" s="106" t="str">
        <f aca="false">IF($B799="","",COUNTIFS('Debt Backlog'!$AF$2:$AF$1000,$A799,'Debt Backlog'!$B$2:$B$1000,"&lt;&gt;",'Debt Backlog'!$N$2:$N$1000,"&lt;&gt;Done",'Debt Backlog'!$N$2:$N$1000,"&lt;&gt;Won't Fix",'Debt Backlog'!$N$2:$N$1000,"&lt;&gt;Duplicate"))</f>
        <v/>
      </c>
      <c r="AI799" s="103" t="str">
        <f aca="false">IF($B799="","",ROUND(SUMIFS('Debt Backlog'!$L$2:$L$1000,'Debt Backlog'!$AF$2:$AF$1000,$A799,'Debt Backlog'!$B$2:$B$1000,"&lt;&gt;",'Debt Backlog'!$N$2:$N$1000,"&lt;&gt;Done",'Debt Backlog'!$N$2:$N$1000,"&lt;&gt;Won't Fix",'Debt Backlog'!$N$2:$N$1000,"&lt;&gt;Duplicate"),2))</f>
        <v/>
      </c>
    </row>
    <row r="800" customFormat="false" ht="15.75" hidden="false" customHeight="true" outlineLevel="0" collapsed="false">
      <c r="A800" s="125"/>
      <c r="B800" s="101"/>
      <c r="C800" s="101"/>
      <c r="D800" s="101"/>
      <c r="E800" s="101"/>
      <c r="F800" s="101"/>
      <c r="G800" s="101"/>
      <c r="H800" s="101"/>
      <c r="I800" s="106"/>
      <c r="J800" s="106"/>
      <c r="K800" s="106"/>
      <c r="L800" s="106"/>
      <c r="M800" s="106"/>
      <c r="N800" s="103" t="str">
        <f aca="false">IF(OR($B800="", $I800="", $J800="", $K800="", $L800="", $M800=""),"",ROUND(($I800*Lists!$AD$2)+($J800*Lists!$AD$3)+($K800*Lists!$AD$4)+($L800*Lists!$AD$5)+($M800*Lists!$AD$6),2))</f>
        <v/>
      </c>
      <c r="O800" s="103" t="str">
        <f aca="false">IF($A800="","",IFERROR(VLOOKUP($A800,'Risk Register'!$B$2:$I$1000,8,FALSE()),""))</f>
        <v/>
      </c>
      <c r="P800" s="106"/>
      <c r="Q800" s="106"/>
      <c r="R800" s="106"/>
      <c r="S800" s="106"/>
      <c r="T800" s="103" t="str">
        <f aca="false">IF(OR($B800="", $P800="", $Q800="", $R800="", $S800=""),"",ROUND(($P800*Lists!$AD$7)+($Q800*Lists!$AD$8)+($R800*Lists!$AD$9)+($S800*Lists!$AD$10),2))</f>
        <v/>
      </c>
      <c r="U800" s="106"/>
      <c r="V800" s="106"/>
      <c r="W800" s="106"/>
      <c r="X800" s="106"/>
      <c r="Y800" s="106"/>
      <c r="Z800" s="103" t="str">
        <f aca="false">IF(OR($B800="", $U800="", $V800="", $W800="", $X800="", $Y800=""),"",ROUND(($U800*Lists!$AD$11)+($V800*Lists!$AD$12)+($W800*Lists!$AD$13)+($X800*Lists!$AD$14)+($Y800*Lists!$AD$15),2))</f>
        <v/>
      </c>
      <c r="AA800" s="103" t="str">
        <f aca="false">IF(OR($B800="", $N800="", $O800="", $T800="", $Z800=""),"",ROUND(($N800*Lists!$AD$16)-($O800*Lists!$AD$17)-($T800*Lists!$AD$18)+($Z800*Lists!$AD$19),2))</f>
        <v/>
      </c>
      <c r="AB800" s="102" t="str">
        <f aca="false">IF(OR($B800="", $N800="", $Z800=""),"",IF($N800&gt;=Lists!$AG$2,IF($Z800&gt;=Lists!$AG$3,"Invest","Migrate"),IF($Z800&gt;=Lists!$AG$3,"Tolerate","Eliminate")))</f>
        <v/>
      </c>
      <c r="AC800" s="102" t="str">
        <f aca="false">IF($B800="","",IF($J800&gt;=4,"Yes",""))</f>
        <v/>
      </c>
      <c r="AD800" s="102" t="str">
        <f aca="false">IF($A800="","",IFERROR(IF(VLOOKUP($A800,'Risk Register'!$B$2:$H$1000,4,FALSE())&gt;=4,"Yes",""),""))</f>
        <v/>
      </c>
      <c r="AE800" s="102" t="str">
        <f aca="false">IF(OR($N800="", $O800=""),"",IF($N800&gt;=Lists!$AG$2,IF($O800&gt;=Lists!$AG$4,"High Value / High Risk","High Value / Low Risk"),IF($O800&gt;=Lists!$AG$4,"Low Value / High Risk","Low Value / Low Risk")))</f>
        <v/>
      </c>
      <c r="AF800" s="101"/>
      <c r="AG800" s="126"/>
      <c r="AH800" s="106" t="str">
        <f aca="false">IF($B800="","",COUNTIFS('Debt Backlog'!$AF$2:$AF$1000,$A800,'Debt Backlog'!$B$2:$B$1000,"&lt;&gt;",'Debt Backlog'!$N$2:$N$1000,"&lt;&gt;Done",'Debt Backlog'!$N$2:$N$1000,"&lt;&gt;Won't Fix",'Debt Backlog'!$N$2:$N$1000,"&lt;&gt;Duplicate"))</f>
        <v/>
      </c>
      <c r="AI800" s="103" t="str">
        <f aca="false">IF($B800="","",ROUND(SUMIFS('Debt Backlog'!$L$2:$L$1000,'Debt Backlog'!$AF$2:$AF$1000,$A800,'Debt Backlog'!$B$2:$B$1000,"&lt;&gt;",'Debt Backlog'!$N$2:$N$1000,"&lt;&gt;Done",'Debt Backlog'!$N$2:$N$1000,"&lt;&gt;Won't Fix",'Debt Backlog'!$N$2:$N$1000,"&lt;&gt;Duplicate"),2))</f>
        <v/>
      </c>
    </row>
    <row r="801" customFormat="false" ht="15.75" hidden="false" customHeight="true" outlineLevel="0" collapsed="false">
      <c r="A801" s="125"/>
      <c r="B801" s="101"/>
      <c r="C801" s="101"/>
      <c r="D801" s="101"/>
      <c r="E801" s="101"/>
      <c r="F801" s="101"/>
      <c r="G801" s="101"/>
      <c r="H801" s="101"/>
      <c r="I801" s="106"/>
      <c r="J801" s="106"/>
      <c r="K801" s="106"/>
      <c r="L801" s="106"/>
      <c r="M801" s="106"/>
      <c r="N801" s="103" t="str">
        <f aca="false">IF(OR($B801="", $I801="", $J801="", $K801="", $L801="", $M801=""),"",ROUND(($I801*Lists!$AD$2)+($J801*Lists!$AD$3)+($K801*Lists!$AD$4)+($L801*Lists!$AD$5)+($M801*Lists!$AD$6),2))</f>
        <v/>
      </c>
      <c r="O801" s="103" t="str">
        <f aca="false">IF($A801="","",IFERROR(VLOOKUP($A801,'Risk Register'!$B$2:$I$1000,8,FALSE()),""))</f>
        <v/>
      </c>
      <c r="P801" s="106"/>
      <c r="Q801" s="106"/>
      <c r="R801" s="106"/>
      <c r="S801" s="106"/>
      <c r="T801" s="103" t="str">
        <f aca="false">IF(OR($B801="", $P801="", $Q801="", $R801="", $S801=""),"",ROUND(($P801*Lists!$AD$7)+($Q801*Lists!$AD$8)+($R801*Lists!$AD$9)+($S801*Lists!$AD$10),2))</f>
        <v/>
      </c>
      <c r="U801" s="106"/>
      <c r="V801" s="106"/>
      <c r="W801" s="106"/>
      <c r="X801" s="106"/>
      <c r="Y801" s="106"/>
      <c r="Z801" s="103" t="str">
        <f aca="false">IF(OR($B801="", $U801="", $V801="", $W801="", $X801="", $Y801=""),"",ROUND(($U801*Lists!$AD$11)+($V801*Lists!$AD$12)+($W801*Lists!$AD$13)+($X801*Lists!$AD$14)+($Y801*Lists!$AD$15),2))</f>
        <v/>
      </c>
      <c r="AA801" s="103" t="str">
        <f aca="false">IF(OR($B801="", $N801="", $O801="", $T801="", $Z801=""),"",ROUND(($N801*Lists!$AD$16)-($O801*Lists!$AD$17)-($T801*Lists!$AD$18)+($Z801*Lists!$AD$19),2))</f>
        <v/>
      </c>
      <c r="AB801" s="102" t="str">
        <f aca="false">IF(OR($B801="", $N801="", $Z801=""),"",IF($N801&gt;=Lists!$AG$2,IF($Z801&gt;=Lists!$AG$3,"Invest","Migrate"),IF($Z801&gt;=Lists!$AG$3,"Tolerate","Eliminate")))</f>
        <v/>
      </c>
      <c r="AC801" s="102" t="str">
        <f aca="false">IF($B801="","",IF($J801&gt;=4,"Yes",""))</f>
        <v/>
      </c>
      <c r="AD801" s="102" t="str">
        <f aca="false">IF($A801="","",IFERROR(IF(VLOOKUP($A801,'Risk Register'!$B$2:$H$1000,4,FALSE())&gt;=4,"Yes",""),""))</f>
        <v/>
      </c>
      <c r="AE801" s="102" t="str">
        <f aca="false">IF(OR($N801="", $O801=""),"",IF($N801&gt;=Lists!$AG$2,IF($O801&gt;=Lists!$AG$4,"High Value / High Risk","High Value / Low Risk"),IF($O801&gt;=Lists!$AG$4,"Low Value / High Risk","Low Value / Low Risk")))</f>
        <v/>
      </c>
      <c r="AF801" s="101"/>
      <c r="AG801" s="126"/>
      <c r="AH801" s="106" t="str">
        <f aca="false">IF($B801="","",COUNTIFS('Debt Backlog'!$AF$2:$AF$1000,$A801,'Debt Backlog'!$B$2:$B$1000,"&lt;&gt;",'Debt Backlog'!$N$2:$N$1000,"&lt;&gt;Done",'Debt Backlog'!$N$2:$N$1000,"&lt;&gt;Won't Fix",'Debt Backlog'!$N$2:$N$1000,"&lt;&gt;Duplicate"))</f>
        <v/>
      </c>
      <c r="AI801" s="103" t="str">
        <f aca="false">IF($B801="","",ROUND(SUMIFS('Debt Backlog'!$L$2:$L$1000,'Debt Backlog'!$AF$2:$AF$1000,$A801,'Debt Backlog'!$B$2:$B$1000,"&lt;&gt;",'Debt Backlog'!$N$2:$N$1000,"&lt;&gt;Done",'Debt Backlog'!$N$2:$N$1000,"&lt;&gt;Won't Fix",'Debt Backlog'!$N$2:$N$1000,"&lt;&gt;Duplicate"),2))</f>
        <v/>
      </c>
    </row>
    <row r="802" customFormat="false" ht="15.75" hidden="false" customHeight="true" outlineLevel="0" collapsed="false">
      <c r="A802" s="125"/>
      <c r="B802" s="101"/>
      <c r="C802" s="101"/>
      <c r="D802" s="101"/>
      <c r="E802" s="101"/>
      <c r="F802" s="101"/>
      <c r="G802" s="101"/>
      <c r="H802" s="101"/>
      <c r="I802" s="106"/>
      <c r="J802" s="106"/>
      <c r="K802" s="106"/>
      <c r="L802" s="106"/>
      <c r="M802" s="106"/>
      <c r="N802" s="103" t="str">
        <f aca="false">IF(OR($B802="", $I802="", $J802="", $K802="", $L802="", $M802=""),"",ROUND(($I802*Lists!$AD$2)+($J802*Lists!$AD$3)+($K802*Lists!$AD$4)+($L802*Lists!$AD$5)+($M802*Lists!$AD$6),2))</f>
        <v/>
      </c>
      <c r="O802" s="103" t="str">
        <f aca="false">IF($A802="","",IFERROR(VLOOKUP($A802,'Risk Register'!$B$2:$I$1000,8,FALSE()),""))</f>
        <v/>
      </c>
      <c r="P802" s="106"/>
      <c r="Q802" s="106"/>
      <c r="R802" s="106"/>
      <c r="S802" s="106"/>
      <c r="T802" s="103" t="str">
        <f aca="false">IF(OR($B802="", $P802="", $Q802="", $R802="", $S802=""),"",ROUND(($P802*Lists!$AD$7)+($Q802*Lists!$AD$8)+($R802*Lists!$AD$9)+($S802*Lists!$AD$10),2))</f>
        <v/>
      </c>
      <c r="U802" s="106"/>
      <c r="V802" s="106"/>
      <c r="W802" s="106"/>
      <c r="X802" s="106"/>
      <c r="Y802" s="106"/>
      <c r="Z802" s="103" t="str">
        <f aca="false">IF(OR($B802="", $U802="", $V802="", $W802="", $X802="", $Y802=""),"",ROUND(($U802*Lists!$AD$11)+($V802*Lists!$AD$12)+($W802*Lists!$AD$13)+($X802*Lists!$AD$14)+($Y802*Lists!$AD$15),2))</f>
        <v/>
      </c>
      <c r="AA802" s="103" t="str">
        <f aca="false">IF(OR($B802="", $N802="", $O802="", $T802="", $Z802=""),"",ROUND(($N802*Lists!$AD$16)-($O802*Lists!$AD$17)-($T802*Lists!$AD$18)+($Z802*Lists!$AD$19),2))</f>
        <v/>
      </c>
      <c r="AB802" s="102" t="str">
        <f aca="false">IF(OR($B802="", $N802="", $Z802=""),"",IF($N802&gt;=Lists!$AG$2,IF($Z802&gt;=Lists!$AG$3,"Invest","Migrate"),IF($Z802&gt;=Lists!$AG$3,"Tolerate","Eliminate")))</f>
        <v/>
      </c>
      <c r="AC802" s="102" t="str">
        <f aca="false">IF($B802="","",IF($J802&gt;=4,"Yes",""))</f>
        <v/>
      </c>
      <c r="AD802" s="102" t="str">
        <f aca="false">IF($A802="","",IFERROR(IF(VLOOKUP($A802,'Risk Register'!$B$2:$H$1000,4,FALSE())&gt;=4,"Yes",""),""))</f>
        <v/>
      </c>
      <c r="AE802" s="102" t="str">
        <f aca="false">IF(OR($N802="", $O802=""),"",IF($N802&gt;=Lists!$AG$2,IF($O802&gt;=Lists!$AG$4,"High Value / High Risk","High Value / Low Risk"),IF($O802&gt;=Lists!$AG$4,"Low Value / High Risk","Low Value / Low Risk")))</f>
        <v/>
      </c>
      <c r="AF802" s="101"/>
      <c r="AG802" s="126"/>
      <c r="AH802" s="106" t="str">
        <f aca="false">IF($B802="","",COUNTIFS('Debt Backlog'!$AF$2:$AF$1000,$A802,'Debt Backlog'!$B$2:$B$1000,"&lt;&gt;",'Debt Backlog'!$N$2:$N$1000,"&lt;&gt;Done",'Debt Backlog'!$N$2:$N$1000,"&lt;&gt;Won't Fix",'Debt Backlog'!$N$2:$N$1000,"&lt;&gt;Duplicate"))</f>
        <v/>
      </c>
      <c r="AI802" s="103" t="str">
        <f aca="false">IF($B802="","",ROUND(SUMIFS('Debt Backlog'!$L$2:$L$1000,'Debt Backlog'!$AF$2:$AF$1000,$A802,'Debt Backlog'!$B$2:$B$1000,"&lt;&gt;",'Debt Backlog'!$N$2:$N$1000,"&lt;&gt;Done",'Debt Backlog'!$N$2:$N$1000,"&lt;&gt;Won't Fix",'Debt Backlog'!$N$2:$N$1000,"&lt;&gt;Duplicate"),2))</f>
        <v/>
      </c>
    </row>
    <row r="803" customFormat="false" ht="15.75" hidden="false" customHeight="true" outlineLevel="0" collapsed="false">
      <c r="A803" s="125"/>
      <c r="B803" s="101"/>
      <c r="C803" s="101"/>
      <c r="D803" s="101"/>
      <c r="E803" s="101"/>
      <c r="F803" s="101"/>
      <c r="G803" s="101"/>
      <c r="H803" s="101"/>
      <c r="I803" s="106"/>
      <c r="J803" s="106"/>
      <c r="K803" s="106"/>
      <c r="L803" s="106"/>
      <c r="M803" s="106"/>
      <c r="N803" s="103" t="str">
        <f aca="false">IF(OR($B803="", $I803="", $J803="", $K803="", $L803="", $M803=""),"",ROUND(($I803*Lists!$AD$2)+($J803*Lists!$AD$3)+($K803*Lists!$AD$4)+($L803*Lists!$AD$5)+($M803*Lists!$AD$6),2))</f>
        <v/>
      </c>
      <c r="O803" s="103" t="str">
        <f aca="false">IF($A803="","",IFERROR(VLOOKUP($A803,'Risk Register'!$B$2:$I$1000,8,FALSE()),""))</f>
        <v/>
      </c>
      <c r="P803" s="106"/>
      <c r="Q803" s="106"/>
      <c r="R803" s="106"/>
      <c r="S803" s="106"/>
      <c r="T803" s="103" t="str">
        <f aca="false">IF(OR($B803="", $P803="", $Q803="", $R803="", $S803=""),"",ROUND(($P803*Lists!$AD$7)+($Q803*Lists!$AD$8)+($R803*Lists!$AD$9)+($S803*Lists!$AD$10),2))</f>
        <v/>
      </c>
      <c r="U803" s="106"/>
      <c r="V803" s="106"/>
      <c r="W803" s="106"/>
      <c r="X803" s="106"/>
      <c r="Y803" s="106"/>
      <c r="Z803" s="103" t="str">
        <f aca="false">IF(OR($B803="", $U803="", $V803="", $W803="", $X803="", $Y803=""),"",ROUND(($U803*Lists!$AD$11)+($V803*Lists!$AD$12)+($W803*Lists!$AD$13)+($X803*Lists!$AD$14)+($Y803*Lists!$AD$15),2))</f>
        <v/>
      </c>
      <c r="AA803" s="103" t="str">
        <f aca="false">IF(OR($B803="", $N803="", $O803="", $T803="", $Z803=""),"",ROUND(($N803*Lists!$AD$16)-($O803*Lists!$AD$17)-($T803*Lists!$AD$18)+($Z803*Lists!$AD$19),2))</f>
        <v/>
      </c>
      <c r="AB803" s="102" t="str">
        <f aca="false">IF(OR($B803="", $N803="", $Z803=""),"",IF($N803&gt;=Lists!$AG$2,IF($Z803&gt;=Lists!$AG$3,"Invest","Migrate"),IF($Z803&gt;=Lists!$AG$3,"Tolerate","Eliminate")))</f>
        <v/>
      </c>
      <c r="AC803" s="102" t="str">
        <f aca="false">IF($B803="","",IF($J803&gt;=4,"Yes",""))</f>
        <v/>
      </c>
      <c r="AD803" s="102" t="str">
        <f aca="false">IF($A803="","",IFERROR(IF(VLOOKUP($A803,'Risk Register'!$B$2:$H$1000,4,FALSE())&gt;=4,"Yes",""),""))</f>
        <v/>
      </c>
      <c r="AE803" s="102" t="str">
        <f aca="false">IF(OR($N803="", $O803=""),"",IF($N803&gt;=Lists!$AG$2,IF($O803&gt;=Lists!$AG$4,"High Value / High Risk","High Value / Low Risk"),IF($O803&gt;=Lists!$AG$4,"Low Value / High Risk","Low Value / Low Risk")))</f>
        <v/>
      </c>
      <c r="AF803" s="101"/>
      <c r="AG803" s="126"/>
      <c r="AH803" s="106" t="str">
        <f aca="false">IF($B803="","",COUNTIFS('Debt Backlog'!$AF$2:$AF$1000,$A803,'Debt Backlog'!$B$2:$B$1000,"&lt;&gt;",'Debt Backlog'!$N$2:$N$1000,"&lt;&gt;Done",'Debt Backlog'!$N$2:$N$1000,"&lt;&gt;Won't Fix",'Debt Backlog'!$N$2:$N$1000,"&lt;&gt;Duplicate"))</f>
        <v/>
      </c>
      <c r="AI803" s="103" t="str">
        <f aca="false">IF($B803="","",ROUND(SUMIFS('Debt Backlog'!$L$2:$L$1000,'Debt Backlog'!$AF$2:$AF$1000,$A803,'Debt Backlog'!$B$2:$B$1000,"&lt;&gt;",'Debt Backlog'!$N$2:$N$1000,"&lt;&gt;Done",'Debt Backlog'!$N$2:$N$1000,"&lt;&gt;Won't Fix",'Debt Backlog'!$N$2:$N$1000,"&lt;&gt;Duplicate"),2))</f>
        <v/>
      </c>
    </row>
    <row r="804" customFormat="false" ht="15.75" hidden="false" customHeight="true" outlineLevel="0" collapsed="false">
      <c r="A804" s="125"/>
      <c r="B804" s="101"/>
      <c r="C804" s="101"/>
      <c r="D804" s="101"/>
      <c r="E804" s="101"/>
      <c r="F804" s="101"/>
      <c r="G804" s="101"/>
      <c r="H804" s="101"/>
      <c r="I804" s="106"/>
      <c r="J804" s="106"/>
      <c r="K804" s="106"/>
      <c r="L804" s="106"/>
      <c r="M804" s="106"/>
      <c r="N804" s="103" t="str">
        <f aca="false">IF(OR($B804="", $I804="", $J804="", $K804="", $L804="", $M804=""),"",ROUND(($I804*Lists!$AD$2)+($J804*Lists!$AD$3)+($K804*Lists!$AD$4)+($L804*Lists!$AD$5)+($M804*Lists!$AD$6),2))</f>
        <v/>
      </c>
      <c r="O804" s="103" t="str">
        <f aca="false">IF($A804="","",IFERROR(VLOOKUP($A804,'Risk Register'!$B$2:$I$1000,8,FALSE()),""))</f>
        <v/>
      </c>
      <c r="P804" s="106"/>
      <c r="Q804" s="106"/>
      <c r="R804" s="106"/>
      <c r="S804" s="106"/>
      <c r="T804" s="103" t="str">
        <f aca="false">IF(OR($B804="", $P804="", $Q804="", $R804="", $S804=""),"",ROUND(($P804*Lists!$AD$7)+($Q804*Lists!$AD$8)+($R804*Lists!$AD$9)+($S804*Lists!$AD$10),2))</f>
        <v/>
      </c>
      <c r="U804" s="106"/>
      <c r="V804" s="106"/>
      <c r="W804" s="106"/>
      <c r="X804" s="106"/>
      <c r="Y804" s="106"/>
      <c r="Z804" s="103" t="str">
        <f aca="false">IF(OR($B804="", $U804="", $V804="", $W804="", $X804="", $Y804=""),"",ROUND(($U804*Lists!$AD$11)+($V804*Lists!$AD$12)+($W804*Lists!$AD$13)+($X804*Lists!$AD$14)+($Y804*Lists!$AD$15),2))</f>
        <v/>
      </c>
      <c r="AA804" s="103" t="str">
        <f aca="false">IF(OR($B804="", $N804="", $O804="", $T804="", $Z804=""),"",ROUND(($N804*Lists!$AD$16)-($O804*Lists!$AD$17)-($T804*Lists!$AD$18)+($Z804*Lists!$AD$19),2))</f>
        <v/>
      </c>
      <c r="AB804" s="102" t="str">
        <f aca="false">IF(OR($B804="", $N804="", $Z804=""),"",IF($N804&gt;=Lists!$AG$2,IF($Z804&gt;=Lists!$AG$3,"Invest","Migrate"),IF($Z804&gt;=Lists!$AG$3,"Tolerate","Eliminate")))</f>
        <v/>
      </c>
      <c r="AC804" s="102" t="str">
        <f aca="false">IF($B804="","",IF($J804&gt;=4,"Yes",""))</f>
        <v/>
      </c>
      <c r="AD804" s="102" t="str">
        <f aca="false">IF($A804="","",IFERROR(IF(VLOOKUP($A804,'Risk Register'!$B$2:$H$1000,4,FALSE())&gt;=4,"Yes",""),""))</f>
        <v/>
      </c>
      <c r="AE804" s="102" t="str">
        <f aca="false">IF(OR($N804="", $O804=""),"",IF($N804&gt;=Lists!$AG$2,IF($O804&gt;=Lists!$AG$4,"High Value / High Risk","High Value / Low Risk"),IF($O804&gt;=Lists!$AG$4,"Low Value / High Risk","Low Value / Low Risk")))</f>
        <v/>
      </c>
      <c r="AF804" s="101"/>
      <c r="AG804" s="126"/>
      <c r="AH804" s="106" t="str">
        <f aca="false">IF($B804="","",COUNTIFS('Debt Backlog'!$AF$2:$AF$1000,$A804,'Debt Backlog'!$B$2:$B$1000,"&lt;&gt;",'Debt Backlog'!$N$2:$N$1000,"&lt;&gt;Done",'Debt Backlog'!$N$2:$N$1000,"&lt;&gt;Won't Fix",'Debt Backlog'!$N$2:$N$1000,"&lt;&gt;Duplicate"))</f>
        <v/>
      </c>
      <c r="AI804" s="103" t="str">
        <f aca="false">IF($B804="","",ROUND(SUMIFS('Debt Backlog'!$L$2:$L$1000,'Debt Backlog'!$AF$2:$AF$1000,$A804,'Debt Backlog'!$B$2:$B$1000,"&lt;&gt;",'Debt Backlog'!$N$2:$N$1000,"&lt;&gt;Done",'Debt Backlog'!$N$2:$N$1000,"&lt;&gt;Won't Fix",'Debt Backlog'!$N$2:$N$1000,"&lt;&gt;Duplicate"),2))</f>
        <v/>
      </c>
    </row>
    <row r="805" customFormat="false" ht="15.75" hidden="false" customHeight="true" outlineLevel="0" collapsed="false">
      <c r="A805" s="125"/>
      <c r="B805" s="101"/>
      <c r="C805" s="101"/>
      <c r="D805" s="101"/>
      <c r="E805" s="101"/>
      <c r="F805" s="101"/>
      <c r="G805" s="101"/>
      <c r="H805" s="101"/>
      <c r="I805" s="106"/>
      <c r="J805" s="106"/>
      <c r="K805" s="106"/>
      <c r="L805" s="106"/>
      <c r="M805" s="106"/>
      <c r="N805" s="103" t="str">
        <f aca="false">IF(OR($B805="", $I805="", $J805="", $K805="", $L805="", $M805=""),"",ROUND(($I805*Lists!$AD$2)+($J805*Lists!$AD$3)+($K805*Lists!$AD$4)+($L805*Lists!$AD$5)+($M805*Lists!$AD$6),2))</f>
        <v/>
      </c>
      <c r="O805" s="103" t="str">
        <f aca="false">IF($A805="","",IFERROR(VLOOKUP($A805,'Risk Register'!$B$2:$I$1000,8,FALSE()),""))</f>
        <v/>
      </c>
      <c r="P805" s="106"/>
      <c r="Q805" s="106"/>
      <c r="R805" s="106"/>
      <c r="S805" s="106"/>
      <c r="T805" s="103" t="str">
        <f aca="false">IF(OR($B805="", $P805="", $Q805="", $R805="", $S805=""),"",ROUND(($P805*Lists!$AD$7)+($Q805*Lists!$AD$8)+($R805*Lists!$AD$9)+($S805*Lists!$AD$10),2))</f>
        <v/>
      </c>
      <c r="U805" s="106"/>
      <c r="V805" s="106"/>
      <c r="W805" s="106"/>
      <c r="X805" s="106"/>
      <c r="Y805" s="106"/>
      <c r="Z805" s="103" t="str">
        <f aca="false">IF(OR($B805="", $U805="", $V805="", $W805="", $X805="", $Y805=""),"",ROUND(($U805*Lists!$AD$11)+($V805*Lists!$AD$12)+($W805*Lists!$AD$13)+($X805*Lists!$AD$14)+($Y805*Lists!$AD$15),2))</f>
        <v/>
      </c>
      <c r="AA805" s="103" t="str">
        <f aca="false">IF(OR($B805="", $N805="", $O805="", $T805="", $Z805=""),"",ROUND(($N805*Lists!$AD$16)-($O805*Lists!$AD$17)-($T805*Lists!$AD$18)+($Z805*Lists!$AD$19),2))</f>
        <v/>
      </c>
      <c r="AB805" s="102" t="str">
        <f aca="false">IF(OR($B805="", $N805="", $Z805=""),"",IF($N805&gt;=Lists!$AG$2,IF($Z805&gt;=Lists!$AG$3,"Invest","Migrate"),IF($Z805&gt;=Lists!$AG$3,"Tolerate","Eliminate")))</f>
        <v/>
      </c>
      <c r="AC805" s="102" t="str">
        <f aca="false">IF($B805="","",IF($J805&gt;=4,"Yes",""))</f>
        <v/>
      </c>
      <c r="AD805" s="102" t="str">
        <f aca="false">IF($A805="","",IFERROR(IF(VLOOKUP($A805,'Risk Register'!$B$2:$H$1000,4,FALSE())&gt;=4,"Yes",""),""))</f>
        <v/>
      </c>
      <c r="AE805" s="102" t="str">
        <f aca="false">IF(OR($N805="", $O805=""),"",IF($N805&gt;=Lists!$AG$2,IF($O805&gt;=Lists!$AG$4,"High Value / High Risk","High Value / Low Risk"),IF($O805&gt;=Lists!$AG$4,"Low Value / High Risk","Low Value / Low Risk")))</f>
        <v/>
      </c>
      <c r="AF805" s="101"/>
      <c r="AG805" s="126"/>
      <c r="AH805" s="106" t="str">
        <f aca="false">IF($B805="","",COUNTIFS('Debt Backlog'!$AF$2:$AF$1000,$A805,'Debt Backlog'!$B$2:$B$1000,"&lt;&gt;",'Debt Backlog'!$N$2:$N$1000,"&lt;&gt;Done",'Debt Backlog'!$N$2:$N$1000,"&lt;&gt;Won't Fix",'Debt Backlog'!$N$2:$N$1000,"&lt;&gt;Duplicate"))</f>
        <v/>
      </c>
      <c r="AI805" s="103" t="str">
        <f aca="false">IF($B805="","",ROUND(SUMIFS('Debt Backlog'!$L$2:$L$1000,'Debt Backlog'!$AF$2:$AF$1000,$A805,'Debt Backlog'!$B$2:$B$1000,"&lt;&gt;",'Debt Backlog'!$N$2:$N$1000,"&lt;&gt;Done",'Debt Backlog'!$N$2:$N$1000,"&lt;&gt;Won't Fix",'Debt Backlog'!$N$2:$N$1000,"&lt;&gt;Duplicate"),2))</f>
        <v/>
      </c>
    </row>
    <row r="806" customFormat="false" ht="15.75" hidden="false" customHeight="true" outlineLevel="0" collapsed="false">
      <c r="A806" s="125"/>
      <c r="B806" s="101"/>
      <c r="C806" s="101"/>
      <c r="D806" s="101"/>
      <c r="E806" s="101"/>
      <c r="F806" s="101"/>
      <c r="G806" s="101"/>
      <c r="H806" s="101"/>
      <c r="I806" s="106"/>
      <c r="J806" s="106"/>
      <c r="K806" s="106"/>
      <c r="L806" s="106"/>
      <c r="M806" s="106"/>
      <c r="N806" s="103" t="str">
        <f aca="false">IF(OR($B806="", $I806="", $J806="", $K806="", $L806="", $M806=""),"",ROUND(($I806*Lists!$AD$2)+($J806*Lists!$AD$3)+($K806*Lists!$AD$4)+($L806*Lists!$AD$5)+($M806*Lists!$AD$6),2))</f>
        <v/>
      </c>
      <c r="O806" s="103" t="str">
        <f aca="false">IF($A806="","",IFERROR(VLOOKUP($A806,'Risk Register'!$B$2:$I$1000,8,FALSE()),""))</f>
        <v/>
      </c>
      <c r="P806" s="106"/>
      <c r="Q806" s="106"/>
      <c r="R806" s="106"/>
      <c r="S806" s="106"/>
      <c r="T806" s="103" t="str">
        <f aca="false">IF(OR($B806="", $P806="", $Q806="", $R806="", $S806=""),"",ROUND(($P806*Lists!$AD$7)+($Q806*Lists!$AD$8)+($R806*Lists!$AD$9)+($S806*Lists!$AD$10),2))</f>
        <v/>
      </c>
      <c r="U806" s="106"/>
      <c r="V806" s="106"/>
      <c r="W806" s="106"/>
      <c r="X806" s="106"/>
      <c r="Y806" s="106"/>
      <c r="Z806" s="103" t="str">
        <f aca="false">IF(OR($B806="", $U806="", $V806="", $W806="", $X806="", $Y806=""),"",ROUND(($U806*Lists!$AD$11)+($V806*Lists!$AD$12)+($W806*Lists!$AD$13)+($X806*Lists!$AD$14)+($Y806*Lists!$AD$15),2))</f>
        <v/>
      </c>
      <c r="AA806" s="103" t="str">
        <f aca="false">IF(OR($B806="", $N806="", $O806="", $T806="", $Z806=""),"",ROUND(($N806*Lists!$AD$16)-($O806*Lists!$AD$17)-($T806*Lists!$AD$18)+($Z806*Lists!$AD$19),2))</f>
        <v/>
      </c>
      <c r="AB806" s="102" t="str">
        <f aca="false">IF(OR($B806="", $N806="", $Z806=""),"",IF($N806&gt;=Lists!$AG$2,IF($Z806&gt;=Lists!$AG$3,"Invest","Migrate"),IF($Z806&gt;=Lists!$AG$3,"Tolerate","Eliminate")))</f>
        <v/>
      </c>
      <c r="AC806" s="102" t="str">
        <f aca="false">IF($B806="","",IF($J806&gt;=4,"Yes",""))</f>
        <v/>
      </c>
      <c r="AD806" s="102" t="str">
        <f aca="false">IF($A806="","",IFERROR(IF(VLOOKUP($A806,'Risk Register'!$B$2:$H$1000,4,FALSE())&gt;=4,"Yes",""),""))</f>
        <v/>
      </c>
      <c r="AE806" s="102" t="str">
        <f aca="false">IF(OR($N806="", $O806=""),"",IF($N806&gt;=Lists!$AG$2,IF($O806&gt;=Lists!$AG$4,"High Value / High Risk","High Value / Low Risk"),IF($O806&gt;=Lists!$AG$4,"Low Value / High Risk","Low Value / Low Risk")))</f>
        <v/>
      </c>
      <c r="AF806" s="101"/>
      <c r="AG806" s="126"/>
      <c r="AH806" s="106" t="str">
        <f aca="false">IF($B806="","",COUNTIFS('Debt Backlog'!$AF$2:$AF$1000,$A806,'Debt Backlog'!$B$2:$B$1000,"&lt;&gt;",'Debt Backlog'!$N$2:$N$1000,"&lt;&gt;Done",'Debt Backlog'!$N$2:$N$1000,"&lt;&gt;Won't Fix",'Debt Backlog'!$N$2:$N$1000,"&lt;&gt;Duplicate"))</f>
        <v/>
      </c>
      <c r="AI806" s="103" t="str">
        <f aca="false">IF($B806="","",ROUND(SUMIFS('Debt Backlog'!$L$2:$L$1000,'Debt Backlog'!$AF$2:$AF$1000,$A806,'Debt Backlog'!$B$2:$B$1000,"&lt;&gt;",'Debt Backlog'!$N$2:$N$1000,"&lt;&gt;Done",'Debt Backlog'!$N$2:$N$1000,"&lt;&gt;Won't Fix",'Debt Backlog'!$N$2:$N$1000,"&lt;&gt;Duplicate"),2))</f>
        <v/>
      </c>
    </row>
    <row r="807" customFormat="false" ht="15.75" hidden="false" customHeight="true" outlineLevel="0" collapsed="false">
      <c r="A807" s="125"/>
      <c r="B807" s="101"/>
      <c r="C807" s="101"/>
      <c r="D807" s="101"/>
      <c r="E807" s="101"/>
      <c r="F807" s="101"/>
      <c r="G807" s="101"/>
      <c r="H807" s="101"/>
      <c r="I807" s="106"/>
      <c r="J807" s="106"/>
      <c r="K807" s="106"/>
      <c r="L807" s="106"/>
      <c r="M807" s="106"/>
      <c r="N807" s="103" t="str">
        <f aca="false">IF(OR($B807="", $I807="", $J807="", $K807="", $L807="", $M807=""),"",ROUND(($I807*Lists!$AD$2)+($J807*Lists!$AD$3)+($K807*Lists!$AD$4)+($L807*Lists!$AD$5)+($M807*Lists!$AD$6),2))</f>
        <v/>
      </c>
      <c r="O807" s="103" t="str">
        <f aca="false">IF($A807="","",IFERROR(VLOOKUP($A807,'Risk Register'!$B$2:$I$1000,8,FALSE()),""))</f>
        <v/>
      </c>
      <c r="P807" s="106"/>
      <c r="Q807" s="106"/>
      <c r="R807" s="106"/>
      <c r="S807" s="106"/>
      <c r="T807" s="103" t="str">
        <f aca="false">IF(OR($B807="", $P807="", $Q807="", $R807="", $S807=""),"",ROUND(($P807*Lists!$AD$7)+($Q807*Lists!$AD$8)+($R807*Lists!$AD$9)+($S807*Lists!$AD$10),2))</f>
        <v/>
      </c>
      <c r="U807" s="106"/>
      <c r="V807" s="106"/>
      <c r="W807" s="106"/>
      <c r="X807" s="106"/>
      <c r="Y807" s="106"/>
      <c r="Z807" s="103" t="str">
        <f aca="false">IF(OR($B807="", $U807="", $V807="", $W807="", $X807="", $Y807=""),"",ROUND(($U807*Lists!$AD$11)+($V807*Lists!$AD$12)+($W807*Lists!$AD$13)+($X807*Lists!$AD$14)+($Y807*Lists!$AD$15),2))</f>
        <v/>
      </c>
      <c r="AA807" s="103" t="str">
        <f aca="false">IF(OR($B807="", $N807="", $O807="", $T807="", $Z807=""),"",ROUND(($N807*Lists!$AD$16)-($O807*Lists!$AD$17)-($T807*Lists!$AD$18)+($Z807*Lists!$AD$19),2))</f>
        <v/>
      </c>
      <c r="AB807" s="102" t="str">
        <f aca="false">IF(OR($B807="", $N807="", $Z807=""),"",IF($N807&gt;=Lists!$AG$2,IF($Z807&gt;=Lists!$AG$3,"Invest","Migrate"),IF($Z807&gt;=Lists!$AG$3,"Tolerate","Eliminate")))</f>
        <v/>
      </c>
      <c r="AC807" s="102" t="str">
        <f aca="false">IF($B807="","",IF($J807&gt;=4,"Yes",""))</f>
        <v/>
      </c>
      <c r="AD807" s="102" t="str">
        <f aca="false">IF($A807="","",IFERROR(IF(VLOOKUP($A807,'Risk Register'!$B$2:$H$1000,4,FALSE())&gt;=4,"Yes",""),""))</f>
        <v/>
      </c>
      <c r="AE807" s="102" t="str">
        <f aca="false">IF(OR($N807="", $O807=""),"",IF($N807&gt;=Lists!$AG$2,IF($O807&gt;=Lists!$AG$4,"High Value / High Risk","High Value / Low Risk"),IF($O807&gt;=Lists!$AG$4,"Low Value / High Risk","Low Value / Low Risk")))</f>
        <v/>
      </c>
      <c r="AF807" s="101"/>
      <c r="AG807" s="126"/>
      <c r="AH807" s="106" t="str">
        <f aca="false">IF($B807="","",COUNTIFS('Debt Backlog'!$AF$2:$AF$1000,$A807,'Debt Backlog'!$B$2:$B$1000,"&lt;&gt;",'Debt Backlog'!$N$2:$N$1000,"&lt;&gt;Done",'Debt Backlog'!$N$2:$N$1000,"&lt;&gt;Won't Fix",'Debt Backlog'!$N$2:$N$1000,"&lt;&gt;Duplicate"))</f>
        <v/>
      </c>
      <c r="AI807" s="103" t="str">
        <f aca="false">IF($B807="","",ROUND(SUMIFS('Debt Backlog'!$L$2:$L$1000,'Debt Backlog'!$AF$2:$AF$1000,$A807,'Debt Backlog'!$B$2:$B$1000,"&lt;&gt;",'Debt Backlog'!$N$2:$N$1000,"&lt;&gt;Done",'Debt Backlog'!$N$2:$N$1000,"&lt;&gt;Won't Fix",'Debt Backlog'!$N$2:$N$1000,"&lt;&gt;Duplicate"),2))</f>
        <v/>
      </c>
    </row>
    <row r="808" customFormat="false" ht="15.75" hidden="false" customHeight="true" outlineLevel="0" collapsed="false">
      <c r="A808" s="125"/>
      <c r="B808" s="101"/>
      <c r="C808" s="101"/>
      <c r="D808" s="101"/>
      <c r="E808" s="101"/>
      <c r="F808" s="101"/>
      <c r="G808" s="101"/>
      <c r="H808" s="101"/>
      <c r="I808" s="106"/>
      <c r="J808" s="106"/>
      <c r="K808" s="106"/>
      <c r="L808" s="106"/>
      <c r="M808" s="106"/>
      <c r="N808" s="103" t="str">
        <f aca="false">IF(OR($B808="", $I808="", $J808="", $K808="", $L808="", $M808=""),"",ROUND(($I808*Lists!$AD$2)+($J808*Lists!$AD$3)+($K808*Lists!$AD$4)+($L808*Lists!$AD$5)+($M808*Lists!$AD$6),2))</f>
        <v/>
      </c>
      <c r="O808" s="103" t="str">
        <f aca="false">IF($A808="","",IFERROR(VLOOKUP($A808,'Risk Register'!$B$2:$I$1000,8,FALSE()),""))</f>
        <v/>
      </c>
      <c r="P808" s="106"/>
      <c r="Q808" s="106"/>
      <c r="R808" s="106"/>
      <c r="S808" s="106"/>
      <c r="T808" s="103" t="str">
        <f aca="false">IF(OR($B808="", $P808="", $Q808="", $R808="", $S808=""),"",ROUND(($P808*Lists!$AD$7)+($Q808*Lists!$AD$8)+($R808*Lists!$AD$9)+($S808*Lists!$AD$10),2))</f>
        <v/>
      </c>
      <c r="U808" s="106"/>
      <c r="V808" s="106"/>
      <c r="W808" s="106"/>
      <c r="X808" s="106"/>
      <c r="Y808" s="106"/>
      <c r="Z808" s="103" t="str">
        <f aca="false">IF(OR($B808="", $U808="", $V808="", $W808="", $X808="", $Y808=""),"",ROUND(($U808*Lists!$AD$11)+($V808*Lists!$AD$12)+($W808*Lists!$AD$13)+($X808*Lists!$AD$14)+($Y808*Lists!$AD$15),2))</f>
        <v/>
      </c>
      <c r="AA808" s="103" t="str">
        <f aca="false">IF(OR($B808="", $N808="", $O808="", $T808="", $Z808=""),"",ROUND(($N808*Lists!$AD$16)-($O808*Lists!$AD$17)-($T808*Lists!$AD$18)+($Z808*Lists!$AD$19),2))</f>
        <v/>
      </c>
      <c r="AB808" s="102" t="str">
        <f aca="false">IF(OR($B808="", $N808="", $Z808=""),"",IF($N808&gt;=Lists!$AG$2,IF($Z808&gt;=Lists!$AG$3,"Invest","Migrate"),IF($Z808&gt;=Lists!$AG$3,"Tolerate","Eliminate")))</f>
        <v/>
      </c>
      <c r="AC808" s="102" t="str">
        <f aca="false">IF($B808="","",IF($J808&gt;=4,"Yes",""))</f>
        <v/>
      </c>
      <c r="AD808" s="102" t="str">
        <f aca="false">IF($A808="","",IFERROR(IF(VLOOKUP($A808,'Risk Register'!$B$2:$H$1000,4,FALSE())&gt;=4,"Yes",""),""))</f>
        <v/>
      </c>
      <c r="AE808" s="102" t="str">
        <f aca="false">IF(OR($N808="", $O808=""),"",IF($N808&gt;=Lists!$AG$2,IF($O808&gt;=Lists!$AG$4,"High Value / High Risk","High Value / Low Risk"),IF($O808&gt;=Lists!$AG$4,"Low Value / High Risk","Low Value / Low Risk")))</f>
        <v/>
      </c>
      <c r="AF808" s="101"/>
      <c r="AG808" s="126"/>
      <c r="AH808" s="106" t="str">
        <f aca="false">IF($B808="","",COUNTIFS('Debt Backlog'!$AF$2:$AF$1000,$A808,'Debt Backlog'!$B$2:$B$1000,"&lt;&gt;",'Debt Backlog'!$N$2:$N$1000,"&lt;&gt;Done",'Debt Backlog'!$N$2:$N$1000,"&lt;&gt;Won't Fix",'Debt Backlog'!$N$2:$N$1000,"&lt;&gt;Duplicate"))</f>
        <v/>
      </c>
      <c r="AI808" s="103" t="str">
        <f aca="false">IF($B808="","",ROUND(SUMIFS('Debt Backlog'!$L$2:$L$1000,'Debt Backlog'!$AF$2:$AF$1000,$A808,'Debt Backlog'!$B$2:$B$1000,"&lt;&gt;",'Debt Backlog'!$N$2:$N$1000,"&lt;&gt;Done",'Debt Backlog'!$N$2:$N$1000,"&lt;&gt;Won't Fix",'Debt Backlog'!$N$2:$N$1000,"&lt;&gt;Duplicate"),2))</f>
        <v/>
      </c>
    </row>
    <row r="809" customFormat="false" ht="15.75" hidden="false" customHeight="true" outlineLevel="0" collapsed="false">
      <c r="A809" s="125"/>
      <c r="B809" s="101"/>
      <c r="C809" s="101"/>
      <c r="D809" s="101"/>
      <c r="E809" s="101"/>
      <c r="F809" s="101"/>
      <c r="G809" s="101"/>
      <c r="H809" s="101"/>
      <c r="I809" s="106"/>
      <c r="J809" s="106"/>
      <c r="K809" s="106"/>
      <c r="L809" s="106"/>
      <c r="M809" s="106"/>
      <c r="N809" s="103" t="str">
        <f aca="false">IF(OR($B809="", $I809="", $J809="", $K809="", $L809="", $M809=""),"",ROUND(($I809*Lists!$AD$2)+($J809*Lists!$AD$3)+($K809*Lists!$AD$4)+($L809*Lists!$AD$5)+($M809*Lists!$AD$6),2))</f>
        <v/>
      </c>
      <c r="O809" s="103" t="str">
        <f aca="false">IF($A809="","",IFERROR(VLOOKUP($A809,'Risk Register'!$B$2:$I$1000,8,FALSE()),""))</f>
        <v/>
      </c>
      <c r="P809" s="106"/>
      <c r="Q809" s="106"/>
      <c r="R809" s="106"/>
      <c r="S809" s="106"/>
      <c r="T809" s="103" t="str">
        <f aca="false">IF(OR($B809="", $P809="", $Q809="", $R809="", $S809=""),"",ROUND(($P809*Lists!$AD$7)+($Q809*Lists!$AD$8)+($R809*Lists!$AD$9)+($S809*Lists!$AD$10),2))</f>
        <v/>
      </c>
      <c r="U809" s="106"/>
      <c r="V809" s="106"/>
      <c r="W809" s="106"/>
      <c r="X809" s="106"/>
      <c r="Y809" s="106"/>
      <c r="Z809" s="103" t="str">
        <f aca="false">IF(OR($B809="", $U809="", $V809="", $W809="", $X809="", $Y809=""),"",ROUND(($U809*Lists!$AD$11)+($V809*Lists!$AD$12)+($W809*Lists!$AD$13)+($X809*Lists!$AD$14)+($Y809*Lists!$AD$15),2))</f>
        <v/>
      </c>
      <c r="AA809" s="103" t="str">
        <f aca="false">IF(OR($B809="", $N809="", $O809="", $T809="", $Z809=""),"",ROUND(($N809*Lists!$AD$16)-($O809*Lists!$AD$17)-($T809*Lists!$AD$18)+($Z809*Lists!$AD$19),2))</f>
        <v/>
      </c>
      <c r="AB809" s="102" t="str">
        <f aca="false">IF(OR($B809="", $N809="", $Z809=""),"",IF($N809&gt;=Lists!$AG$2,IF($Z809&gt;=Lists!$AG$3,"Invest","Migrate"),IF($Z809&gt;=Lists!$AG$3,"Tolerate","Eliminate")))</f>
        <v/>
      </c>
      <c r="AC809" s="102" t="str">
        <f aca="false">IF($B809="","",IF($J809&gt;=4,"Yes",""))</f>
        <v/>
      </c>
      <c r="AD809" s="102" t="str">
        <f aca="false">IF($A809="","",IFERROR(IF(VLOOKUP($A809,'Risk Register'!$B$2:$H$1000,4,FALSE())&gt;=4,"Yes",""),""))</f>
        <v/>
      </c>
      <c r="AE809" s="102" t="str">
        <f aca="false">IF(OR($N809="", $O809=""),"",IF($N809&gt;=Lists!$AG$2,IF($O809&gt;=Lists!$AG$4,"High Value / High Risk","High Value / Low Risk"),IF($O809&gt;=Lists!$AG$4,"Low Value / High Risk","Low Value / Low Risk")))</f>
        <v/>
      </c>
      <c r="AF809" s="101"/>
      <c r="AG809" s="126"/>
      <c r="AH809" s="106" t="str">
        <f aca="false">IF($B809="","",COUNTIFS('Debt Backlog'!$AF$2:$AF$1000,$A809,'Debt Backlog'!$B$2:$B$1000,"&lt;&gt;",'Debt Backlog'!$N$2:$N$1000,"&lt;&gt;Done",'Debt Backlog'!$N$2:$N$1000,"&lt;&gt;Won't Fix",'Debt Backlog'!$N$2:$N$1000,"&lt;&gt;Duplicate"))</f>
        <v/>
      </c>
      <c r="AI809" s="103" t="str">
        <f aca="false">IF($B809="","",ROUND(SUMIFS('Debt Backlog'!$L$2:$L$1000,'Debt Backlog'!$AF$2:$AF$1000,$A809,'Debt Backlog'!$B$2:$B$1000,"&lt;&gt;",'Debt Backlog'!$N$2:$N$1000,"&lt;&gt;Done",'Debt Backlog'!$N$2:$N$1000,"&lt;&gt;Won't Fix",'Debt Backlog'!$N$2:$N$1000,"&lt;&gt;Duplicate"),2))</f>
        <v/>
      </c>
    </row>
    <row r="810" customFormat="false" ht="15.75" hidden="false" customHeight="true" outlineLevel="0" collapsed="false">
      <c r="A810" s="125"/>
      <c r="B810" s="101"/>
      <c r="C810" s="101"/>
      <c r="D810" s="101"/>
      <c r="E810" s="101"/>
      <c r="F810" s="101"/>
      <c r="G810" s="101"/>
      <c r="H810" s="101"/>
      <c r="I810" s="106"/>
      <c r="J810" s="106"/>
      <c r="K810" s="106"/>
      <c r="L810" s="106"/>
      <c r="M810" s="106"/>
      <c r="N810" s="103" t="str">
        <f aca="false">IF(OR($B810="", $I810="", $J810="", $K810="", $L810="", $M810=""),"",ROUND(($I810*Lists!$AD$2)+($J810*Lists!$AD$3)+($K810*Lists!$AD$4)+($L810*Lists!$AD$5)+($M810*Lists!$AD$6),2))</f>
        <v/>
      </c>
      <c r="O810" s="103" t="str">
        <f aca="false">IF($A810="","",IFERROR(VLOOKUP($A810,'Risk Register'!$B$2:$I$1000,8,FALSE()),""))</f>
        <v/>
      </c>
      <c r="P810" s="106"/>
      <c r="Q810" s="106"/>
      <c r="R810" s="106"/>
      <c r="S810" s="106"/>
      <c r="T810" s="103" t="str">
        <f aca="false">IF(OR($B810="", $P810="", $Q810="", $R810="", $S810=""),"",ROUND(($P810*Lists!$AD$7)+($Q810*Lists!$AD$8)+($R810*Lists!$AD$9)+($S810*Lists!$AD$10),2))</f>
        <v/>
      </c>
      <c r="U810" s="106"/>
      <c r="V810" s="106"/>
      <c r="W810" s="106"/>
      <c r="X810" s="106"/>
      <c r="Y810" s="106"/>
      <c r="Z810" s="103" t="str">
        <f aca="false">IF(OR($B810="", $U810="", $V810="", $W810="", $X810="", $Y810=""),"",ROUND(($U810*Lists!$AD$11)+($V810*Lists!$AD$12)+($W810*Lists!$AD$13)+($X810*Lists!$AD$14)+($Y810*Lists!$AD$15),2))</f>
        <v/>
      </c>
      <c r="AA810" s="103" t="str">
        <f aca="false">IF(OR($B810="", $N810="", $O810="", $T810="", $Z810=""),"",ROUND(($N810*Lists!$AD$16)-($O810*Lists!$AD$17)-($T810*Lists!$AD$18)+($Z810*Lists!$AD$19),2))</f>
        <v/>
      </c>
      <c r="AB810" s="102" t="str">
        <f aca="false">IF(OR($B810="", $N810="", $Z810=""),"",IF($N810&gt;=Lists!$AG$2,IF($Z810&gt;=Lists!$AG$3,"Invest","Migrate"),IF($Z810&gt;=Lists!$AG$3,"Tolerate","Eliminate")))</f>
        <v/>
      </c>
      <c r="AC810" s="102" t="str">
        <f aca="false">IF($B810="","",IF($J810&gt;=4,"Yes",""))</f>
        <v/>
      </c>
      <c r="AD810" s="102" t="str">
        <f aca="false">IF($A810="","",IFERROR(IF(VLOOKUP($A810,'Risk Register'!$B$2:$H$1000,4,FALSE())&gt;=4,"Yes",""),""))</f>
        <v/>
      </c>
      <c r="AE810" s="102" t="str">
        <f aca="false">IF(OR($N810="", $O810=""),"",IF($N810&gt;=Lists!$AG$2,IF($O810&gt;=Lists!$AG$4,"High Value / High Risk","High Value / Low Risk"),IF($O810&gt;=Lists!$AG$4,"Low Value / High Risk","Low Value / Low Risk")))</f>
        <v/>
      </c>
      <c r="AF810" s="101"/>
      <c r="AG810" s="126"/>
      <c r="AH810" s="106" t="str">
        <f aca="false">IF($B810="","",COUNTIFS('Debt Backlog'!$AF$2:$AF$1000,$A810,'Debt Backlog'!$B$2:$B$1000,"&lt;&gt;",'Debt Backlog'!$N$2:$N$1000,"&lt;&gt;Done",'Debt Backlog'!$N$2:$N$1000,"&lt;&gt;Won't Fix",'Debt Backlog'!$N$2:$N$1000,"&lt;&gt;Duplicate"))</f>
        <v/>
      </c>
      <c r="AI810" s="103" t="str">
        <f aca="false">IF($B810="","",ROUND(SUMIFS('Debt Backlog'!$L$2:$L$1000,'Debt Backlog'!$AF$2:$AF$1000,$A810,'Debt Backlog'!$B$2:$B$1000,"&lt;&gt;",'Debt Backlog'!$N$2:$N$1000,"&lt;&gt;Done",'Debt Backlog'!$N$2:$N$1000,"&lt;&gt;Won't Fix",'Debt Backlog'!$N$2:$N$1000,"&lt;&gt;Duplicate"),2))</f>
        <v/>
      </c>
    </row>
    <row r="811" customFormat="false" ht="15.75" hidden="false" customHeight="true" outlineLevel="0" collapsed="false">
      <c r="A811" s="125"/>
      <c r="B811" s="101"/>
      <c r="C811" s="101"/>
      <c r="D811" s="101"/>
      <c r="E811" s="101"/>
      <c r="F811" s="101"/>
      <c r="G811" s="101"/>
      <c r="H811" s="101"/>
      <c r="I811" s="106"/>
      <c r="J811" s="106"/>
      <c r="K811" s="106"/>
      <c r="L811" s="106"/>
      <c r="M811" s="106"/>
      <c r="N811" s="103" t="str">
        <f aca="false">IF(OR($B811="", $I811="", $J811="", $K811="", $L811="", $M811=""),"",ROUND(($I811*Lists!$AD$2)+($J811*Lists!$AD$3)+($K811*Lists!$AD$4)+($L811*Lists!$AD$5)+($M811*Lists!$AD$6),2))</f>
        <v/>
      </c>
      <c r="O811" s="103" t="str">
        <f aca="false">IF($A811="","",IFERROR(VLOOKUP($A811,'Risk Register'!$B$2:$I$1000,8,FALSE()),""))</f>
        <v/>
      </c>
      <c r="P811" s="106"/>
      <c r="Q811" s="106"/>
      <c r="R811" s="106"/>
      <c r="S811" s="106"/>
      <c r="T811" s="103" t="str">
        <f aca="false">IF(OR($B811="", $P811="", $Q811="", $R811="", $S811=""),"",ROUND(($P811*Lists!$AD$7)+($Q811*Lists!$AD$8)+($R811*Lists!$AD$9)+($S811*Lists!$AD$10),2))</f>
        <v/>
      </c>
      <c r="U811" s="106"/>
      <c r="V811" s="106"/>
      <c r="W811" s="106"/>
      <c r="X811" s="106"/>
      <c r="Y811" s="106"/>
      <c r="Z811" s="103" t="str">
        <f aca="false">IF(OR($B811="", $U811="", $V811="", $W811="", $X811="", $Y811=""),"",ROUND(($U811*Lists!$AD$11)+($V811*Lists!$AD$12)+($W811*Lists!$AD$13)+($X811*Lists!$AD$14)+($Y811*Lists!$AD$15),2))</f>
        <v/>
      </c>
      <c r="AA811" s="103" t="str">
        <f aca="false">IF(OR($B811="", $N811="", $O811="", $T811="", $Z811=""),"",ROUND(($N811*Lists!$AD$16)-($O811*Lists!$AD$17)-($T811*Lists!$AD$18)+($Z811*Lists!$AD$19),2))</f>
        <v/>
      </c>
      <c r="AB811" s="102" t="str">
        <f aca="false">IF(OR($B811="", $N811="", $Z811=""),"",IF($N811&gt;=Lists!$AG$2,IF($Z811&gt;=Lists!$AG$3,"Invest","Migrate"),IF($Z811&gt;=Lists!$AG$3,"Tolerate","Eliminate")))</f>
        <v/>
      </c>
      <c r="AC811" s="102" t="str">
        <f aca="false">IF($B811="","",IF($J811&gt;=4,"Yes",""))</f>
        <v/>
      </c>
      <c r="AD811" s="102" t="str">
        <f aca="false">IF($A811="","",IFERROR(IF(VLOOKUP($A811,'Risk Register'!$B$2:$H$1000,4,FALSE())&gt;=4,"Yes",""),""))</f>
        <v/>
      </c>
      <c r="AE811" s="102" t="str">
        <f aca="false">IF(OR($N811="", $O811=""),"",IF($N811&gt;=Lists!$AG$2,IF($O811&gt;=Lists!$AG$4,"High Value / High Risk","High Value / Low Risk"),IF($O811&gt;=Lists!$AG$4,"Low Value / High Risk","Low Value / Low Risk")))</f>
        <v/>
      </c>
      <c r="AF811" s="101"/>
      <c r="AG811" s="126"/>
      <c r="AH811" s="106" t="str">
        <f aca="false">IF($B811="","",COUNTIFS('Debt Backlog'!$AF$2:$AF$1000,$A811,'Debt Backlog'!$B$2:$B$1000,"&lt;&gt;",'Debt Backlog'!$N$2:$N$1000,"&lt;&gt;Done",'Debt Backlog'!$N$2:$N$1000,"&lt;&gt;Won't Fix",'Debt Backlog'!$N$2:$N$1000,"&lt;&gt;Duplicate"))</f>
        <v/>
      </c>
      <c r="AI811" s="103" t="str">
        <f aca="false">IF($B811="","",ROUND(SUMIFS('Debt Backlog'!$L$2:$L$1000,'Debt Backlog'!$AF$2:$AF$1000,$A811,'Debt Backlog'!$B$2:$B$1000,"&lt;&gt;",'Debt Backlog'!$N$2:$N$1000,"&lt;&gt;Done",'Debt Backlog'!$N$2:$N$1000,"&lt;&gt;Won't Fix",'Debt Backlog'!$N$2:$N$1000,"&lt;&gt;Duplicate"),2))</f>
        <v/>
      </c>
    </row>
    <row r="812" customFormat="false" ht="15.75" hidden="false" customHeight="true" outlineLevel="0" collapsed="false">
      <c r="A812" s="125"/>
      <c r="B812" s="101"/>
      <c r="C812" s="101"/>
      <c r="D812" s="101"/>
      <c r="E812" s="101"/>
      <c r="F812" s="101"/>
      <c r="G812" s="101"/>
      <c r="H812" s="101"/>
      <c r="I812" s="106"/>
      <c r="J812" s="106"/>
      <c r="K812" s="106"/>
      <c r="L812" s="106"/>
      <c r="M812" s="106"/>
      <c r="N812" s="103" t="str">
        <f aca="false">IF(OR($B812="", $I812="", $J812="", $K812="", $L812="", $M812=""),"",ROUND(($I812*Lists!$AD$2)+($J812*Lists!$AD$3)+($K812*Lists!$AD$4)+($L812*Lists!$AD$5)+($M812*Lists!$AD$6),2))</f>
        <v/>
      </c>
      <c r="O812" s="103" t="str">
        <f aca="false">IF($A812="","",IFERROR(VLOOKUP($A812,'Risk Register'!$B$2:$I$1000,8,FALSE()),""))</f>
        <v/>
      </c>
      <c r="P812" s="106"/>
      <c r="Q812" s="106"/>
      <c r="R812" s="106"/>
      <c r="S812" s="106"/>
      <c r="T812" s="103" t="str">
        <f aca="false">IF(OR($B812="", $P812="", $Q812="", $R812="", $S812=""),"",ROUND(($P812*Lists!$AD$7)+($Q812*Lists!$AD$8)+($R812*Lists!$AD$9)+($S812*Lists!$AD$10),2))</f>
        <v/>
      </c>
      <c r="U812" s="106"/>
      <c r="V812" s="106"/>
      <c r="W812" s="106"/>
      <c r="X812" s="106"/>
      <c r="Y812" s="106"/>
      <c r="Z812" s="103" t="str">
        <f aca="false">IF(OR($B812="", $U812="", $V812="", $W812="", $X812="", $Y812=""),"",ROUND(($U812*Lists!$AD$11)+($V812*Lists!$AD$12)+($W812*Lists!$AD$13)+($X812*Lists!$AD$14)+($Y812*Lists!$AD$15),2))</f>
        <v/>
      </c>
      <c r="AA812" s="103" t="str">
        <f aca="false">IF(OR($B812="", $N812="", $O812="", $T812="", $Z812=""),"",ROUND(($N812*Lists!$AD$16)-($O812*Lists!$AD$17)-($T812*Lists!$AD$18)+($Z812*Lists!$AD$19),2))</f>
        <v/>
      </c>
      <c r="AB812" s="102" t="str">
        <f aca="false">IF(OR($B812="", $N812="", $Z812=""),"",IF($N812&gt;=Lists!$AG$2,IF($Z812&gt;=Lists!$AG$3,"Invest","Migrate"),IF($Z812&gt;=Lists!$AG$3,"Tolerate","Eliminate")))</f>
        <v/>
      </c>
      <c r="AC812" s="102" t="str">
        <f aca="false">IF($B812="","",IF($J812&gt;=4,"Yes",""))</f>
        <v/>
      </c>
      <c r="AD812" s="102" t="str">
        <f aca="false">IF($A812="","",IFERROR(IF(VLOOKUP($A812,'Risk Register'!$B$2:$H$1000,4,FALSE())&gt;=4,"Yes",""),""))</f>
        <v/>
      </c>
      <c r="AE812" s="102" t="str">
        <f aca="false">IF(OR($N812="", $O812=""),"",IF($N812&gt;=Lists!$AG$2,IF($O812&gt;=Lists!$AG$4,"High Value / High Risk","High Value / Low Risk"),IF($O812&gt;=Lists!$AG$4,"Low Value / High Risk","Low Value / Low Risk")))</f>
        <v/>
      </c>
      <c r="AF812" s="101"/>
      <c r="AG812" s="126"/>
      <c r="AH812" s="106" t="str">
        <f aca="false">IF($B812="","",COUNTIFS('Debt Backlog'!$AF$2:$AF$1000,$A812,'Debt Backlog'!$B$2:$B$1000,"&lt;&gt;",'Debt Backlog'!$N$2:$N$1000,"&lt;&gt;Done",'Debt Backlog'!$N$2:$N$1000,"&lt;&gt;Won't Fix",'Debt Backlog'!$N$2:$N$1000,"&lt;&gt;Duplicate"))</f>
        <v/>
      </c>
      <c r="AI812" s="103" t="str">
        <f aca="false">IF($B812="","",ROUND(SUMIFS('Debt Backlog'!$L$2:$L$1000,'Debt Backlog'!$AF$2:$AF$1000,$A812,'Debt Backlog'!$B$2:$B$1000,"&lt;&gt;",'Debt Backlog'!$N$2:$N$1000,"&lt;&gt;Done",'Debt Backlog'!$N$2:$N$1000,"&lt;&gt;Won't Fix",'Debt Backlog'!$N$2:$N$1000,"&lt;&gt;Duplicate"),2))</f>
        <v/>
      </c>
    </row>
    <row r="813" customFormat="false" ht="15.75" hidden="false" customHeight="true" outlineLevel="0" collapsed="false">
      <c r="A813" s="125"/>
      <c r="B813" s="101"/>
      <c r="C813" s="101"/>
      <c r="D813" s="101"/>
      <c r="E813" s="101"/>
      <c r="F813" s="101"/>
      <c r="G813" s="101"/>
      <c r="H813" s="101"/>
      <c r="I813" s="106"/>
      <c r="J813" s="106"/>
      <c r="K813" s="106"/>
      <c r="L813" s="106"/>
      <c r="M813" s="106"/>
      <c r="N813" s="103" t="str">
        <f aca="false">IF(OR($B813="", $I813="", $J813="", $K813="", $L813="", $M813=""),"",ROUND(($I813*Lists!$AD$2)+($J813*Lists!$AD$3)+($K813*Lists!$AD$4)+($L813*Lists!$AD$5)+($M813*Lists!$AD$6),2))</f>
        <v/>
      </c>
      <c r="O813" s="103" t="str">
        <f aca="false">IF($A813="","",IFERROR(VLOOKUP($A813,'Risk Register'!$B$2:$I$1000,8,FALSE()),""))</f>
        <v/>
      </c>
      <c r="P813" s="106"/>
      <c r="Q813" s="106"/>
      <c r="R813" s="106"/>
      <c r="S813" s="106"/>
      <c r="T813" s="103" t="str">
        <f aca="false">IF(OR($B813="", $P813="", $Q813="", $R813="", $S813=""),"",ROUND(($P813*Lists!$AD$7)+($Q813*Lists!$AD$8)+($R813*Lists!$AD$9)+($S813*Lists!$AD$10),2))</f>
        <v/>
      </c>
      <c r="U813" s="106"/>
      <c r="V813" s="106"/>
      <c r="W813" s="106"/>
      <c r="X813" s="106"/>
      <c r="Y813" s="106"/>
      <c r="Z813" s="103" t="str">
        <f aca="false">IF(OR($B813="", $U813="", $V813="", $W813="", $X813="", $Y813=""),"",ROUND(($U813*Lists!$AD$11)+($V813*Lists!$AD$12)+($W813*Lists!$AD$13)+($X813*Lists!$AD$14)+($Y813*Lists!$AD$15),2))</f>
        <v/>
      </c>
      <c r="AA813" s="103" t="str">
        <f aca="false">IF(OR($B813="", $N813="", $O813="", $T813="", $Z813=""),"",ROUND(($N813*Lists!$AD$16)-($O813*Lists!$AD$17)-($T813*Lists!$AD$18)+($Z813*Lists!$AD$19),2))</f>
        <v/>
      </c>
      <c r="AB813" s="102" t="str">
        <f aca="false">IF(OR($B813="", $N813="", $Z813=""),"",IF($N813&gt;=Lists!$AG$2,IF($Z813&gt;=Lists!$AG$3,"Invest","Migrate"),IF($Z813&gt;=Lists!$AG$3,"Tolerate","Eliminate")))</f>
        <v/>
      </c>
      <c r="AC813" s="102" t="str">
        <f aca="false">IF($B813="","",IF($J813&gt;=4,"Yes",""))</f>
        <v/>
      </c>
      <c r="AD813" s="102" t="str">
        <f aca="false">IF($A813="","",IFERROR(IF(VLOOKUP($A813,'Risk Register'!$B$2:$H$1000,4,FALSE())&gt;=4,"Yes",""),""))</f>
        <v/>
      </c>
      <c r="AE813" s="102" t="str">
        <f aca="false">IF(OR($N813="", $O813=""),"",IF($N813&gt;=Lists!$AG$2,IF($O813&gt;=Lists!$AG$4,"High Value / High Risk","High Value / Low Risk"),IF($O813&gt;=Lists!$AG$4,"Low Value / High Risk","Low Value / Low Risk")))</f>
        <v/>
      </c>
      <c r="AF813" s="101"/>
      <c r="AG813" s="126"/>
      <c r="AH813" s="106" t="str">
        <f aca="false">IF($B813="","",COUNTIFS('Debt Backlog'!$AF$2:$AF$1000,$A813,'Debt Backlog'!$B$2:$B$1000,"&lt;&gt;",'Debt Backlog'!$N$2:$N$1000,"&lt;&gt;Done",'Debt Backlog'!$N$2:$N$1000,"&lt;&gt;Won't Fix",'Debt Backlog'!$N$2:$N$1000,"&lt;&gt;Duplicate"))</f>
        <v/>
      </c>
      <c r="AI813" s="103" t="str">
        <f aca="false">IF($B813="","",ROUND(SUMIFS('Debt Backlog'!$L$2:$L$1000,'Debt Backlog'!$AF$2:$AF$1000,$A813,'Debt Backlog'!$B$2:$B$1000,"&lt;&gt;",'Debt Backlog'!$N$2:$N$1000,"&lt;&gt;Done",'Debt Backlog'!$N$2:$N$1000,"&lt;&gt;Won't Fix",'Debt Backlog'!$N$2:$N$1000,"&lt;&gt;Duplicate"),2))</f>
        <v/>
      </c>
    </row>
    <row r="814" customFormat="false" ht="15.75" hidden="false" customHeight="true" outlineLevel="0" collapsed="false">
      <c r="A814" s="125"/>
      <c r="B814" s="101"/>
      <c r="C814" s="101"/>
      <c r="D814" s="101"/>
      <c r="E814" s="101"/>
      <c r="F814" s="101"/>
      <c r="G814" s="101"/>
      <c r="H814" s="101"/>
      <c r="I814" s="106"/>
      <c r="J814" s="106"/>
      <c r="K814" s="106"/>
      <c r="L814" s="106"/>
      <c r="M814" s="106"/>
      <c r="N814" s="103" t="str">
        <f aca="false">IF(OR($B814="", $I814="", $J814="", $K814="", $L814="", $M814=""),"",ROUND(($I814*Lists!$AD$2)+($J814*Lists!$AD$3)+($K814*Lists!$AD$4)+($L814*Lists!$AD$5)+($M814*Lists!$AD$6),2))</f>
        <v/>
      </c>
      <c r="O814" s="103" t="str">
        <f aca="false">IF($A814="","",IFERROR(VLOOKUP($A814,'Risk Register'!$B$2:$I$1000,8,FALSE()),""))</f>
        <v/>
      </c>
      <c r="P814" s="106"/>
      <c r="Q814" s="106"/>
      <c r="R814" s="106"/>
      <c r="S814" s="106"/>
      <c r="T814" s="103" t="str">
        <f aca="false">IF(OR($B814="", $P814="", $Q814="", $R814="", $S814=""),"",ROUND(($P814*Lists!$AD$7)+($Q814*Lists!$AD$8)+($R814*Lists!$AD$9)+($S814*Lists!$AD$10),2))</f>
        <v/>
      </c>
      <c r="U814" s="106"/>
      <c r="V814" s="106"/>
      <c r="W814" s="106"/>
      <c r="X814" s="106"/>
      <c r="Y814" s="106"/>
      <c r="Z814" s="103" t="str">
        <f aca="false">IF(OR($B814="", $U814="", $V814="", $W814="", $X814="", $Y814=""),"",ROUND(($U814*Lists!$AD$11)+($V814*Lists!$AD$12)+($W814*Lists!$AD$13)+($X814*Lists!$AD$14)+($Y814*Lists!$AD$15),2))</f>
        <v/>
      </c>
      <c r="AA814" s="103" t="str">
        <f aca="false">IF(OR($B814="", $N814="", $O814="", $T814="", $Z814=""),"",ROUND(($N814*Lists!$AD$16)-($O814*Lists!$AD$17)-($T814*Lists!$AD$18)+($Z814*Lists!$AD$19),2))</f>
        <v/>
      </c>
      <c r="AB814" s="102" t="str">
        <f aca="false">IF(OR($B814="", $N814="", $Z814=""),"",IF($N814&gt;=Lists!$AG$2,IF($Z814&gt;=Lists!$AG$3,"Invest","Migrate"),IF($Z814&gt;=Lists!$AG$3,"Tolerate","Eliminate")))</f>
        <v/>
      </c>
      <c r="AC814" s="102" t="str">
        <f aca="false">IF($B814="","",IF($J814&gt;=4,"Yes",""))</f>
        <v/>
      </c>
      <c r="AD814" s="102" t="str">
        <f aca="false">IF($A814="","",IFERROR(IF(VLOOKUP($A814,'Risk Register'!$B$2:$H$1000,4,FALSE())&gt;=4,"Yes",""),""))</f>
        <v/>
      </c>
      <c r="AE814" s="102" t="str">
        <f aca="false">IF(OR($N814="", $O814=""),"",IF($N814&gt;=Lists!$AG$2,IF($O814&gt;=Lists!$AG$4,"High Value / High Risk","High Value / Low Risk"),IF($O814&gt;=Lists!$AG$4,"Low Value / High Risk","Low Value / Low Risk")))</f>
        <v/>
      </c>
      <c r="AF814" s="101"/>
      <c r="AG814" s="126"/>
      <c r="AH814" s="106" t="str">
        <f aca="false">IF($B814="","",COUNTIFS('Debt Backlog'!$AF$2:$AF$1000,$A814,'Debt Backlog'!$B$2:$B$1000,"&lt;&gt;",'Debt Backlog'!$N$2:$N$1000,"&lt;&gt;Done",'Debt Backlog'!$N$2:$N$1000,"&lt;&gt;Won't Fix",'Debt Backlog'!$N$2:$N$1000,"&lt;&gt;Duplicate"))</f>
        <v/>
      </c>
      <c r="AI814" s="103" t="str">
        <f aca="false">IF($B814="","",ROUND(SUMIFS('Debt Backlog'!$L$2:$L$1000,'Debt Backlog'!$AF$2:$AF$1000,$A814,'Debt Backlog'!$B$2:$B$1000,"&lt;&gt;",'Debt Backlog'!$N$2:$N$1000,"&lt;&gt;Done",'Debt Backlog'!$N$2:$N$1000,"&lt;&gt;Won't Fix",'Debt Backlog'!$N$2:$N$1000,"&lt;&gt;Duplicate"),2))</f>
        <v/>
      </c>
    </row>
    <row r="815" customFormat="false" ht="15.75" hidden="false" customHeight="true" outlineLevel="0" collapsed="false">
      <c r="A815" s="125"/>
      <c r="B815" s="101"/>
      <c r="C815" s="101"/>
      <c r="D815" s="101"/>
      <c r="E815" s="101"/>
      <c r="F815" s="101"/>
      <c r="G815" s="101"/>
      <c r="H815" s="101"/>
      <c r="I815" s="106"/>
      <c r="J815" s="106"/>
      <c r="K815" s="106"/>
      <c r="L815" s="106"/>
      <c r="M815" s="106"/>
      <c r="N815" s="103" t="str">
        <f aca="false">IF(OR($B815="", $I815="", $J815="", $K815="", $L815="", $M815=""),"",ROUND(($I815*Lists!$AD$2)+($J815*Lists!$AD$3)+($K815*Lists!$AD$4)+($L815*Lists!$AD$5)+($M815*Lists!$AD$6),2))</f>
        <v/>
      </c>
      <c r="O815" s="103" t="str">
        <f aca="false">IF($A815="","",IFERROR(VLOOKUP($A815,'Risk Register'!$B$2:$I$1000,8,FALSE()),""))</f>
        <v/>
      </c>
      <c r="P815" s="106"/>
      <c r="Q815" s="106"/>
      <c r="R815" s="106"/>
      <c r="S815" s="106"/>
      <c r="T815" s="103" t="str">
        <f aca="false">IF(OR($B815="", $P815="", $Q815="", $R815="", $S815=""),"",ROUND(($P815*Lists!$AD$7)+($Q815*Lists!$AD$8)+($R815*Lists!$AD$9)+($S815*Lists!$AD$10),2))</f>
        <v/>
      </c>
      <c r="U815" s="106"/>
      <c r="V815" s="106"/>
      <c r="W815" s="106"/>
      <c r="X815" s="106"/>
      <c r="Y815" s="106"/>
      <c r="Z815" s="103" t="str">
        <f aca="false">IF(OR($B815="", $U815="", $V815="", $W815="", $X815="", $Y815=""),"",ROUND(($U815*Lists!$AD$11)+($V815*Lists!$AD$12)+($W815*Lists!$AD$13)+($X815*Lists!$AD$14)+($Y815*Lists!$AD$15),2))</f>
        <v/>
      </c>
      <c r="AA815" s="103" t="str">
        <f aca="false">IF(OR($B815="", $N815="", $O815="", $T815="", $Z815=""),"",ROUND(($N815*Lists!$AD$16)-($O815*Lists!$AD$17)-($T815*Lists!$AD$18)+($Z815*Lists!$AD$19),2))</f>
        <v/>
      </c>
      <c r="AB815" s="102" t="str">
        <f aca="false">IF(OR($B815="", $N815="", $Z815=""),"",IF($N815&gt;=Lists!$AG$2,IF($Z815&gt;=Lists!$AG$3,"Invest","Migrate"),IF($Z815&gt;=Lists!$AG$3,"Tolerate","Eliminate")))</f>
        <v/>
      </c>
      <c r="AC815" s="102" t="str">
        <f aca="false">IF($B815="","",IF($J815&gt;=4,"Yes",""))</f>
        <v/>
      </c>
      <c r="AD815" s="102" t="str">
        <f aca="false">IF($A815="","",IFERROR(IF(VLOOKUP($A815,'Risk Register'!$B$2:$H$1000,4,FALSE())&gt;=4,"Yes",""),""))</f>
        <v/>
      </c>
      <c r="AE815" s="102" t="str">
        <f aca="false">IF(OR($N815="", $O815=""),"",IF($N815&gt;=Lists!$AG$2,IF($O815&gt;=Lists!$AG$4,"High Value / High Risk","High Value / Low Risk"),IF($O815&gt;=Lists!$AG$4,"Low Value / High Risk","Low Value / Low Risk")))</f>
        <v/>
      </c>
      <c r="AF815" s="101"/>
      <c r="AG815" s="126"/>
      <c r="AH815" s="106" t="str">
        <f aca="false">IF($B815="","",COUNTIFS('Debt Backlog'!$AF$2:$AF$1000,$A815,'Debt Backlog'!$B$2:$B$1000,"&lt;&gt;",'Debt Backlog'!$N$2:$N$1000,"&lt;&gt;Done",'Debt Backlog'!$N$2:$N$1000,"&lt;&gt;Won't Fix",'Debt Backlog'!$N$2:$N$1000,"&lt;&gt;Duplicate"))</f>
        <v/>
      </c>
      <c r="AI815" s="103" t="str">
        <f aca="false">IF($B815="","",ROUND(SUMIFS('Debt Backlog'!$L$2:$L$1000,'Debt Backlog'!$AF$2:$AF$1000,$A815,'Debt Backlog'!$B$2:$B$1000,"&lt;&gt;",'Debt Backlog'!$N$2:$N$1000,"&lt;&gt;Done",'Debt Backlog'!$N$2:$N$1000,"&lt;&gt;Won't Fix",'Debt Backlog'!$N$2:$N$1000,"&lt;&gt;Duplicate"),2))</f>
        <v/>
      </c>
    </row>
    <row r="816" customFormat="false" ht="15.75" hidden="false" customHeight="true" outlineLevel="0" collapsed="false">
      <c r="A816" s="125"/>
      <c r="B816" s="101"/>
      <c r="C816" s="101"/>
      <c r="D816" s="101"/>
      <c r="E816" s="101"/>
      <c r="F816" s="101"/>
      <c r="G816" s="101"/>
      <c r="H816" s="101"/>
      <c r="I816" s="106"/>
      <c r="J816" s="106"/>
      <c r="K816" s="106"/>
      <c r="L816" s="106"/>
      <c r="M816" s="106"/>
      <c r="N816" s="103" t="str">
        <f aca="false">IF(OR($B816="", $I816="", $J816="", $K816="", $L816="", $M816=""),"",ROUND(($I816*Lists!$AD$2)+($J816*Lists!$AD$3)+($K816*Lists!$AD$4)+($L816*Lists!$AD$5)+($M816*Lists!$AD$6),2))</f>
        <v/>
      </c>
      <c r="O816" s="103" t="str">
        <f aca="false">IF($A816="","",IFERROR(VLOOKUP($A816,'Risk Register'!$B$2:$I$1000,8,FALSE()),""))</f>
        <v/>
      </c>
      <c r="P816" s="106"/>
      <c r="Q816" s="106"/>
      <c r="R816" s="106"/>
      <c r="S816" s="106"/>
      <c r="T816" s="103" t="str">
        <f aca="false">IF(OR($B816="", $P816="", $Q816="", $R816="", $S816=""),"",ROUND(($P816*Lists!$AD$7)+($Q816*Lists!$AD$8)+($R816*Lists!$AD$9)+($S816*Lists!$AD$10),2))</f>
        <v/>
      </c>
      <c r="U816" s="106"/>
      <c r="V816" s="106"/>
      <c r="W816" s="106"/>
      <c r="X816" s="106"/>
      <c r="Y816" s="106"/>
      <c r="Z816" s="103" t="str">
        <f aca="false">IF(OR($B816="", $U816="", $V816="", $W816="", $X816="", $Y816=""),"",ROUND(($U816*Lists!$AD$11)+($V816*Lists!$AD$12)+($W816*Lists!$AD$13)+($X816*Lists!$AD$14)+($Y816*Lists!$AD$15),2))</f>
        <v/>
      </c>
      <c r="AA816" s="103" t="str">
        <f aca="false">IF(OR($B816="", $N816="", $O816="", $T816="", $Z816=""),"",ROUND(($N816*Lists!$AD$16)-($O816*Lists!$AD$17)-($T816*Lists!$AD$18)+($Z816*Lists!$AD$19),2))</f>
        <v/>
      </c>
      <c r="AB816" s="102" t="str">
        <f aca="false">IF(OR($B816="", $N816="", $Z816=""),"",IF($N816&gt;=Lists!$AG$2,IF($Z816&gt;=Lists!$AG$3,"Invest","Migrate"),IF($Z816&gt;=Lists!$AG$3,"Tolerate","Eliminate")))</f>
        <v/>
      </c>
      <c r="AC816" s="102" t="str">
        <f aca="false">IF($B816="","",IF($J816&gt;=4,"Yes",""))</f>
        <v/>
      </c>
      <c r="AD816" s="102" t="str">
        <f aca="false">IF($A816="","",IFERROR(IF(VLOOKUP($A816,'Risk Register'!$B$2:$H$1000,4,FALSE())&gt;=4,"Yes",""),""))</f>
        <v/>
      </c>
      <c r="AE816" s="102" t="str">
        <f aca="false">IF(OR($N816="", $O816=""),"",IF($N816&gt;=Lists!$AG$2,IF($O816&gt;=Lists!$AG$4,"High Value / High Risk","High Value / Low Risk"),IF($O816&gt;=Lists!$AG$4,"Low Value / High Risk","Low Value / Low Risk")))</f>
        <v/>
      </c>
      <c r="AF816" s="101"/>
      <c r="AG816" s="126"/>
      <c r="AH816" s="106" t="str">
        <f aca="false">IF($B816="","",COUNTIFS('Debt Backlog'!$AF$2:$AF$1000,$A816,'Debt Backlog'!$B$2:$B$1000,"&lt;&gt;",'Debt Backlog'!$N$2:$N$1000,"&lt;&gt;Done",'Debt Backlog'!$N$2:$N$1000,"&lt;&gt;Won't Fix",'Debt Backlog'!$N$2:$N$1000,"&lt;&gt;Duplicate"))</f>
        <v/>
      </c>
      <c r="AI816" s="103" t="str">
        <f aca="false">IF($B816="","",ROUND(SUMIFS('Debt Backlog'!$L$2:$L$1000,'Debt Backlog'!$AF$2:$AF$1000,$A816,'Debt Backlog'!$B$2:$B$1000,"&lt;&gt;",'Debt Backlog'!$N$2:$N$1000,"&lt;&gt;Done",'Debt Backlog'!$N$2:$N$1000,"&lt;&gt;Won't Fix",'Debt Backlog'!$N$2:$N$1000,"&lt;&gt;Duplicate"),2))</f>
        <v/>
      </c>
    </row>
    <row r="817" customFormat="false" ht="15.75" hidden="false" customHeight="true" outlineLevel="0" collapsed="false">
      <c r="A817" s="125"/>
      <c r="B817" s="101"/>
      <c r="C817" s="101"/>
      <c r="D817" s="101"/>
      <c r="E817" s="101"/>
      <c r="F817" s="101"/>
      <c r="G817" s="101"/>
      <c r="H817" s="101"/>
      <c r="I817" s="106"/>
      <c r="J817" s="106"/>
      <c r="K817" s="106"/>
      <c r="L817" s="106"/>
      <c r="M817" s="106"/>
      <c r="N817" s="103" t="str">
        <f aca="false">IF(OR($B817="", $I817="", $J817="", $K817="", $L817="", $M817=""),"",ROUND(($I817*Lists!$AD$2)+($J817*Lists!$AD$3)+($K817*Lists!$AD$4)+($L817*Lists!$AD$5)+($M817*Lists!$AD$6),2))</f>
        <v/>
      </c>
      <c r="O817" s="103" t="str">
        <f aca="false">IF($A817="","",IFERROR(VLOOKUP($A817,'Risk Register'!$B$2:$I$1000,8,FALSE()),""))</f>
        <v/>
      </c>
      <c r="P817" s="106"/>
      <c r="Q817" s="106"/>
      <c r="R817" s="106"/>
      <c r="S817" s="106"/>
      <c r="T817" s="103" t="str">
        <f aca="false">IF(OR($B817="", $P817="", $Q817="", $R817="", $S817=""),"",ROUND(($P817*Lists!$AD$7)+($Q817*Lists!$AD$8)+($R817*Lists!$AD$9)+($S817*Lists!$AD$10),2))</f>
        <v/>
      </c>
      <c r="U817" s="106"/>
      <c r="V817" s="106"/>
      <c r="W817" s="106"/>
      <c r="X817" s="106"/>
      <c r="Y817" s="106"/>
      <c r="Z817" s="103" t="str">
        <f aca="false">IF(OR($B817="", $U817="", $V817="", $W817="", $X817="", $Y817=""),"",ROUND(($U817*Lists!$AD$11)+($V817*Lists!$AD$12)+($W817*Lists!$AD$13)+($X817*Lists!$AD$14)+($Y817*Lists!$AD$15),2))</f>
        <v/>
      </c>
      <c r="AA817" s="103" t="str">
        <f aca="false">IF(OR($B817="", $N817="", $O817="", $T817="", $Z817=""),"",ROUND(($N817*Lists!$AD$16)-($O817*Lists!$AD$17)-($T817*Lists!$AD$18)+($Z817*Lists!$AD$19),2))</f>
        <v/>
      </c>
      <c r="AB817" s="102" t="str">
        <f aca="false">IF(OR($B817="", $N817="", $Z817=""),"",IF($N817&gt;=Lists!$AG$2,IF($Z817&gt;=Lists!$AG$3,"Invest","Migrate"),IF($Z817&gt;=Lists!$AG$3,"Tolerate","Eliminate")))</f>
        <v/>
      </c>
      <c r="AC817" s="102" t="str">
        <f aca="false">IF($B817="","",IF($J817&gt;=4,"Yes",""))</f>
        <v/>
      </c>
      <c r="AD817" s="102" t="str">
        <f aca="false">IF($A817="","",IFERROR(IF(VLOOKUP($A817,'Risk Register'!$B$2:$H$1000,4,FALSE())&gt;=4,"Yes",""),""))</f>
        <v/>
      </c>
      <c r="AE817" s="102" t="str">
        <f aca="false">IF(OR($N817="", $O817=""),"",IF($N817&gt;=Lists!$AG$2,IF($O817&gt;=Lists!$AG$4,"High Value / High Risk","High Value / Low Risk"),IF($O817&gt;=Lists!$AG$4,"Low Value / High Risk","Low Value / Low Risk")))</f>
        <v/>
      </c>
      <c r="AF817" s="101"/>
      <c r="AG817" s="126"/>
      <c r="AH817" s="106" t="str">
        <f aca="false">IF($B817="","",COUNTIFS('Debt Backlog'!$AF$2:$AF$1000,$A817,'Debt Backlog'!$B$2:$B$1000,"&lt;&gt;",'Debt Backlog'!$N$2:$N$1000,"&lt;&gt;Done",'Debt Backlog'!$N$2:$N$1000,"&lt;&gt;Won't Fix",'Debt Backlog'!$N$2:$N$1000,"&lt;&gt;Duplicate"))</f>
        <v/>
      </c>
      <c r="AI817" s="103" t="str">
        <f aca="false">IF($B817="","",ROUND(SUMIFS('Debt Backlog'!$L$2:$L$1000,'Debt Backlog'!$AF$2:$AF$1000,$A817,'Debt Backlog'!$B$2:$B$1000,"&lt;&gt;",'Debt Backlog'!$N$2:$N$1000,"&lt;&gt;Done",'Debt Backlog'!$N$2:$N$1000,"&lt;&gt;Won't Fix",'Debt Backlog'!$N$2:$N$1000,"&lt;&gt;Duplicate"),2))</f>
        <v/>
      </c>
    </row>
    <row r="818" customFormat="false" ht="15.75" hidden="false" customHeight="true" outlineLevel="0" collapsed="false">
      <c r="A818" s="125"/>
      <c r="B818" s="101"/>
      <c r="C818" s="101"/>
      <c r="D818" s="101"/>
      <c r="E818" s="101"/>
      <c r="F818" s="101"/>
      <c r="G818" s="101"/>
      <c r="H818" s="101"/>
      <c r="I818" s="106"/>
      <c r="J818" s="106"/>
      <c r="K818" s="106"/>
      <c r="L818" s="106"/>
      <c r="M818" s="106"/>
      <c r="N818" s="103" t="str">
        <f aca="false">IF(OR($B818="", $I818="", $J818="", $K818="", $L818="", $M818=""),"",ROUND(($I818*Lists!$AD$2)+($J818*Lists!$AD$3)+($K818*Lists!$AD$4)+($L818*Lists!$AD$5)+($M818*Lists!$AD$6),2))</f>
        <v/>
      </c>
      <c r="O818" s="103" t="str">
        <f aca="false">IF($A818="","",IFERROR(VLOOKUP($A818,'Risk Register'!$B$2:$I$1000,8,FALSE()),""))</f>
        <v/>
      </c>
      <c r="P818" s="106"/>
      <c r="Q818" s="106"/>
      <c r="R818" s="106"/>
      <c r="S818" s="106"/>
      <c r="T818" s="103" t="str">
        <f aca="false">IF(OR($B818="", $P818="", $Q818="", $R818="", $S818=""),"",ROUND(($P818*Lists!$AD$7)+($Q818*Lists!$AD$8)+($R818*Lists!$AD$9)+($S818*Lists!$AD$10),2))</f>
        <v/>
      </c>
      <c r="U818" s="106"/>
      <c r="V818" s="106"/>
      <c r="W818" s="106"/>
      <c r="X818" s="106"/>
      <c r="Y818" s="106"/>
      <c r="Z818" s="103" t="str">
        <f aca="false">IF(OR($B818="", $U818="", $V818="", $W818="", $X818="", $Y818=""),"",ROUND(($U818*Lists!$AD$11)+($V818*Lists!$AD$12)+($W818*Lists!$AD$13)+($X818*Lists!$AD$14)+($Y818*Lists!$AD$15),2))</f>
        <v/>
      </c>
      <c r="AA818" s="103" t="str">
        <f aca="false">IF(OR($B818="", $N818="", $O818="", $T818="", $Z818=""),"",ROUND(($N818*Lists!$AD$16)-($O818*Lists!$AD$17)-($T818*Lists!$AD$18)+($Z818*Lists!$AD$19),2))</f>
        <v/>
      </c>
      <c r="AB818" s="102" t="str">
        <f aca="false">IF(OR($B818="", $N818="", $Z818=""),"",IF($N818&gt;=Lists!$AG$2,IF($Z818&gt;=Lists!$AG$3,"Invest","Migrate"),IF($Z818&gt;=Lists!$AG$3,"Tolerate","Eliminate")))</f>
        <v/>
      </c>
      <c r="AC818" s="102" t="str">
        <f aca="false">IF($B818="","",IF($J818&gt;=4,"Yes",""))</f>
        <v/>
      </c>
      <c r="AD818" s="102" t="str">
        <f aca="false">IF($A818="","",IFERROR(IF(VLOOKUP($A818,'Risk Register'!$B$2:$H$1000,4,FALSE())&gt;=4,"Yes",""),""))</f>
        <v/>
      </c>
      <c r="AE818" s="102" t="str">
        <f aca="false">IF(OR($N818="", $O818=""),"",IF($N818&gt;=Lists!$AG$2,IF($O818&gt;=Lists!$AG$4,"High Value / High Risk","High Value / Low Risk"),IF($O818&gt;=Lists!$AG$4,"Low Value / High Risk","Low Value / Low Risk")))</f>
        <v/>
      </c>
      <c r="AF818" s="101"/>
      <c r="AG818" s="126"/>
      <c r="AH818" s="106" t="str">
        <f aca="false">IF($B818="","",COUNTIFS('Debt Backlog'!$AF$2:$AF$1000,$A818,'Debt Backlog'!$B$2:$B$1000,"&lt;&gt;",'Debt Backlog'!$N$2:$N$1000,"&lt;&gt;Done",'Debt Backlog'!$N$2:$N$1000,"&lt;&gt;Won't Fix",'Debt Backlog'!$N$2:$N$1000,"&lt;&gt;Duplicate"))</f>
        <v/>
      </c>
      <c r="AI818" s="103" t="str">
        <f aca="false">IF($B818="","",ROUND(SUMIFS('Debt Backlog'!$L$2:$L$1000,'Debt Backlog'!$AF$2:$AF$1000,$A818,'Debt Backlog'!$B$2:$B$1000,"&lt;&gt;",'Debt Backlog'!$N$2:$N$1000,"&lt;&gt;Done",'Debt Backlog'!$N$2:$N$1000,"&lt;&gt;Won't Fix",'Debt Backlog'!$N$2:$N$1000,"&lt;&gt;Duplicate"),2))</f>
        <v/>
      </c>
    </row>
    <row r="819" customFormat="false" ht="15.75" hidden="false" customHeight="true" outlineLevel="0" collapsed="false">
      <c r="A819" s="125"/>
      <c r="B819" s="101"/>
      <c r="C819" s="101"/>
      <c r="D819" s="101"/>
      <c r="E819" s="101"/>
      <c r="F819" s="101"/>
      <c r="G819" s="101"/>
      <c r="H819" s="101"/>
      <c r="I819" s="106"/>
      <c r="J819" s="106"/>
      <c r="K819" s="106"/>
      <c r="L819" s="106"/>
      <c r="M819" s="106"/>
      <c r="N819" s="103" t="str">
        <f aca="false">IF(OR($B819="", $I819="", $J819="", $K819="", $L819="", $M819=""),"",ROUND(($I819*Lists!$AD$2)+($J819*Lists!$AD$3)+($K819*Lists!$AD$4)+($L819*Lists!$AD$5)+($M819*Lists!$AD$6),2))</f>
        <v/>
      </c>
      <c r="O819" s="103" t="str">
        <f aca="false">IF($A819="","",IFERROR(VLOOKUP($A819,'Risk Register'!$B$2:$I$1000,8,FALSE()),""))</f>
        <v/>
      </c>
      <c r="P819" s="106"/>
      <c r="Q819" s="106"/>
      <c r="R819" s="106"/>
      <c r="S819" s="106"/>
      <c r="T819" s="103" t="str">
        <f aca="false">IF(OR($B819="", $P819="", $Q819="", $R819="", $S819=""),"",ROUND(($P819*Lists!$AD$7)+($Q819*Lists!$AD$8)+($R819*Lists!$AD$9)+($S819*Lists!$AD$10),2))</f>
        <v/>
      </c>
      <c r="U819" s="106"/>
      <c r="V819" s="106"/>
      <c r="W819" s="106"/>
      <c r="X819" s="106"/>
      <c r="Y819" s="106"/>
      <c r="Z819" s="103" t="str">
        <f aca="false">IF(OR($B819="", $U819="", $V819="", $W819="", $X819="", $Y819=""),"",ROUND(($U819*Lists!$AD$11)+($V819*Lists!$AD$12)+($W819*Lists!$AD$13)+($X819*Lists!$AD$14)+($Y819*Lists!$AD$15),2))</f>
        <v/>
      </c>
      <c r="AA819" s="103" t="str">
        <f aca="false">IF(OR($B819="", $N819="", $O819="", $T819="", $Z819=""),"",ROUND(($N819*Lists!$AD$16)-($O819*Lists!$AD$17)-($T819*Lists!$AD$18)+($Z819*Lists!$AD$19),2))</f>
        <v/>
      </c>
      <c r="AB819" s="102" t="str">
        <f aca="false">IF(OR($B819="", $N819="", $Z819=""),"",IF($N819&gt;=Lists!$AG$2,IF($Z819&gt;=Lists!$AG$3,"Invest","Migrate"),IF($Z819&gt;=Lists!$AG$3,"Tolerate","Eliminate")))</f>
        <v/>
      </c>
      <c r="AC819" s="102" t="str">
        <f aca="false">IF($B819="","",IF($J819&gt;=4,"Yes",""))</f>
        <v/>
      </c>
      <c r="AD819" s="102" t="str">
        <f aca="false">IF($A819="","",IFERROR(IF(VLOOKUP($A819,'Risk Register'!$B$2:$H$1000,4,FALSE())&gt;=4,"Yes",""),""))</f>
        <v/>
      </c>
      <c r="AE819" s="102" t="str">
        <f aca="false">IF(OR($N819="", $O819=""),"",IF($N819&gt;=Lists!$AG$2,IF($O819&gt;=Lists!$AG$4,"High Value / High Risk","High Value / Low Risk"),IF($O819&gt;=Lists!$AG$4,"Low Value / High Risk","Low Value / Low Risk")))</f>
        <v/>
      </c>
      <c r="AF819" s="101"/>
      <c r="AG819" s="126"/>
      <c r="AH819" s="106" t="str">
        <f aca="false">IF($B819="","",COUNTIFS('Debt Backlog'!$AF$2:$AF$1000,$A819,'Debt Backlog'!$B$2:$B$1000,"&lt;&gt;",'Debt Backlog'!$N$2:$N$1000,"&lt;&gt;Done",'Debt Backlog'!$N$2:$N$1000,"&lt;&gt;Won't Fix",'Debt Backlog'!$N$2:$N$1000,"&lt;&gt;Duplicate"))</f>
        <v/>
      </c>
      <c r="AI819" s="103" t="str">
        <f aca="false">IF($B819="","",ROUND(SUMIFS('Debt Backlog'!$L$2:$L$1000,'Debt Backlog'!$AF$2:$AF$1000,$A819,'Debt Backlog'!$B$2:$B$1000,"&lt;&gt;",'Debt Backlog'!$N$2:$N$1000,"&lt;&gt;Done",'Debt Backlog'!$N$2:$N$1000,"&lt;&gt;Won't Fix",'Debt Backlog'!$N$2:$N$1000,"&lt;&gt;Duplicate"),2))</f>
        <v/>
      </c>
    </row>
    <row r="820" customFormat="false" ht="15.75" hidden="false" customHeight="true" outlineLevel="0" collapsed="false">
      <c r="A820" s="125"/>
      <c r="B820" s="101"/>
      <c r="C820" s="101"/>
      <c r="D820" s="101"/>
      <c r="E820" s="101"/>
      <c r="F820" s="101"/>
      <c r="G820" s="101"/>
      <c r="H820" s="101"/>
      <c r="I820" s="106"/>
      <c r="J820" s="106"/>
      <c r="K820" s="106"/>
      <c r="L820" s="106"/>
      <c r="M820" s="106"/>
      <c r="N820" s="103" t="str">
        <f aca="false">IF(OR($B820="", $I820="", $J820="", $K820="", $L820="", $M820=""),"",ROUND(($I820*Lists!$AD$2)+($J820*Lists!$AD$3)+($K820*Lists!$AD$4)+($L820*Lists!$AD$5)+($M820*Lists!$AD$6),2))</f>
        <v/>
      </c>
      <c r="O820" s="103" t="str">
        <f aca="false">IF($A820="","",IFERROR(VLOOKUP($A820,'Risk Register'!$B$2:$I$1000,8,FALSE()),""))</f>
        <v/>
      </c>
      <c r="P820" s="106"/>
      <c r="Q820" s="106"/>
      <c r="R820" s="106"/>
      <c r="S820" s="106"/>
      <c r="T820" s="103" t="str">
        <f aca="false">IF(OR($B820="", $P820="", $Q820="", $R820="", $S820=""),"",ROUND(($P820*Lists!$AD$7)+($Q820*Lists!$AD$8)+($R820*Lists!$AD$9)+($S820*Lists!$AD$10),2))</f>
        <v/>
      </c>
      <c r="U820" s="106"/>
      <c r="V820" s="106"/>
      <c r="W820" s="106"/>
      <c r="X820" s="106"/>
      <c r="Y820" s="106"/>
      <c r="Z820" s="103" t="str">
        <f aca="false">IF(OR($B820="", $U820="", $V820="", $W820="", $X820="", $Y820=""),"",ROUND(($U820*Lists!$AD$11)+($V820*Lists!$AD$12)+($W820*Lists!$AD$13)+($X820*Lists!$AD$14)+($Y820*Lists!$AD$15),2))</f>
        <v/>
      </c>
      <c r="AA820" s="103" t="str">
        <f aca="false">IF(OR($B820="", $N820="", $O820="", $T820="", $Z820=""),"",ROUND(($N820*Lists!$AD$16)-($O820*Lists!$AD$17)-($T820*Lists!$AD$18)+($Z820*Lists!$AD$19),2))</f>
        <v/>
      </c>
      <c r="AB820" s="102" t="str">
        <f aca="false">IF(OR($B820="", $N820="", $Z820=""),"",IF($N820&gt;=Lists!$AG$2,IF($Z820&gt;=Lists!$AG$3,"Invest","Migrate"),IF($Z820&gt;=Lists!$AG$3,"Tolerate","Eliminate")))</f>
        <v/>
      </c>
      <c r="AC820" s="102" t="str">
        <f aca="false">IF($B820="","",IF($J820&gt;=4,"Yes",""))</f>
        <v/>
      </c>
      <c r="AD820" s="102" t="str">
        <f aca="false">IF($A820="","",IFERROR(IF(VLOOKUP($A820,'Risk Register'!$B$2:$H$1000,4,FALSE())&gt;=4,"Yes",""),""))</f>
        <v/>
      </c>
      <c r="AE820" s="102" t="str">
        <f aca="false">IF(OR($N820="", $O820=""),"",IF($N820&gt;=Lists!$AG$2,IF($O820&gt;=Lists!$AG$4,"High Value / High Risk","High Value / Low Risk"),IF($O820&gt;=Lists!$AG$4,"Low Value / High Risk","Low Value / Low Risk")))</f>
        <v/>
      </c>
      <c r="AF820" s="101"/>
      <c r="AG820" s="126"/>
      <c r="AH820" s="106" t="str">
        <f aca="false">IF($B820="","",COUNTIFS('Debt Backlog'!$AF$2:$AF$1000,$A820,'Debt Backlog'!$B$2:$B$1000,"&lt;&gt;",'Debt Backlog'!$N$2:$N$1000,"&lt;&gt;Done",'Debt Backlog'!$N$2:$N$1000,"&lt;&gt;Won't Fix",'Debt Backlog'!$N$2:$N$1000,"&lt;&gt;Duplicate"))</f>
        <v/>
      </c>
      <c r="AI820" s="103" t="str">
        <f aca="false">IF($B820="","",ROUND(SUMIFS('Debt Backlog'!$L$2:$L$1000,'Debt Backlog'!$AF$2:$AF$1000,$A820,'Debt Backlog'!$B$2:$B$1000,"&lt;&gt;",'Debt Backlog'!$N$2:$N$1000,"&lt;&gt;Done",'Debt Backlog'!$N$2:$N$1000,"&lt;&gt;Won't Fix",'Debt Backlog'!$N$2:$N$1000,"&lt;&gt;Duplicate"),2))</f>
        <v/>
      </c>
    </row>
    <row r="821" customFormat="false" ht="15.75" hidden="false" customHeight="true" outlineLevel="0" collapsed="false">
      <c r="A821" s="125"/>
      <c r="B821" s="101"/>
      <c r="C821" s="101"/>
      <c r="D821" s="101"/>
      <c r="E821" s="101"/>
      <c r="F821" s="101"/>
      <c r="G821" s="101"/>
      <c r="H821" s="101"/>
      <c r="I821" s="106"/>
      <c r="J821" s="106"/>
      <c r="K821" s="106"/>
      <c r="L821" s="106"/>
      <c r="M821" s="106"/>
      <c r="N821" s="103" t="str">
        <f aca="false">IF(OR($B821="", $I821="", $J821="", $K821="", $L821="", $M821=""),"",ROUND(($I821*Lists!$AD$2)+($J821*Lists!$AD$3)+($K821*Lists!$AD$4)+($L821*Lists!$AD$5)+($M821*Lists!$AD$6),2))</f>
        <v/>
      </c>
      <c r="O821" s="103" t="str">
        <f aca="false">IF($A821="","",IFERROR(VLOOKUP($A821,'Risk Register'!$B$2:$I$1000,8,FALSE()),""))</f>
        <v/>
      </c>
      <c r="P821" s="106"/>
      <c r="Q821" s="106"/>
      <c r="R821" s="106"/>
      <c r="S821" s="106"/>
      <c r="T821" s="103" t="str">
        <f aca="false">IF(OR($B821="", $P821="", $Q821="", $R821="", $S821=""),"",ROUND(($P821*Lists!$AD$7)+($Q821*Lists!$AD$8)+($R821*Lists!$AD$9)+($S821*Lists!$AD$10),2))</f>
        <v/>
      </c>
      <c r="U821" s="106"/>
      <c r="V821" s="106"/>
      <c r="W821" s="106"/>
      <c r="X821" s="106"/>
      <c r="Y821" s="106"/>
      <c r="Z821" s="103" t="str">
        <f aca="false">IF(OR($B821="", $U821="", $V821="", $W821="", $X821="", $Y821=""),"",ROUND(($U821*Lists!$AD$11)+($V821*Lists!$AD$12)+($W821*Lists!$AD$13)+($X821*Lists!$AD$14)+($Y821*Lists!$AD$15),2))</f>
        <v/>
      </c>
      <c r="AA821" s="103" t="str">
        <f aca="false">IF(OR($B821="", $N821="", $O821="", $T821="", $Z821=""),"",ROUND(($N821*Lists!$AD$16)-($O821*Lists!$AD$17)-($T821*Lists!$AD$18)+($Z821*Lists!$AD$19),2))</f>
        <v/>
      </c>
      <c r="AB821" s="102" t="str">
        <f aca="false">IF(OR($B821="", $N821="", $Z821=""),"",IF($N821&gt;=Lists!$AG$2,IF($Z821&gt;=Lists!$AG$3,"Invest","Migrate"),IF($Z821&gt;=Lists!$AG$3,"Tolerate","Eliminate")))</f>
        <v/>
      </c>
      <c r="AC821" s="102" t="str">
        <f aca="false">IF($B821="","",IF($J821&gt;=4,"Yes",""))</f>
        <v/>
      </c>
      <c r="AD821" s="102" t="str">
        <f aca="false">IF($A821="","",IFERROR(IF(VLOOKUP($A821,'Risk Register'!$B$2:$H$1000,4,FALSE())&gt;=4,"Yes",""),""))</f>
        <v/>
      </c>
      <c r="AE821" s="102" t="str">
        <f aca="false">IF(OR($N821="", $O821=""),"",IF($N821&gt;=Lists!$AG$2,IF($O821&gt;=Lists!$AG$4,"High Value / High Risk","High Value / Low Risk"),IF($O821&gt;=Lists!$AG$4,"Low Value / High Risk","Low Value / Low Risk")))</f>
        <v/>
      </c>
      <c r="AF821" s="101"/>
      <c r="AG821" s="126"/>
      <c r="AH821" s="106" t="str">
        <f aca="false">IF($B821="","",COUNTIFS('Debt Backlog'!$AF$2:$AF$1000,$A821,'Debt Backlog'!$B$2:$B$1000,"&lt;&gt;",'Debt Backlog'!$N$2:$N$1000,"&lt;&gt;Done",'Debt Backlog'!$N$2:$N$1000,"&lt;&gt;Won't Fix",'Debt Backlog'!$N$2:$N$1000,"&lt;&gt;Duplicate"))</f>
        <v/>
      </c>
      <c r="AI821" s="103" t="str">
        <f aca="false">IF($B821="","",ROUND(SUMIFS('Debt Backlog'!$L$2:$L$1000,'Debt Backlog'!$AF$2:$AF$1000,$A821,'Debt Backlog'!$B$2:$B$1000,"&lt;&gt;",'Debt Backlog'!$N$2:$N$1000,"&lt;&gt;Done",'Debt Backlog'!$N$2:$N$1000,"&lt;&gt;Won't Fix",'Debt Backlog'!$N$2:$N$1000,"&lt;&gt;Duplicate"),2))</f>
        <v/>
      </c>
    </row>
    <row r="822" customFormat="false" ht="15.75" hidden="false" customHeight="true" outlineLevel="0" collapsed="false">
      <c r="A822" s="125"/>
      <c r="B822" s="101"/>
      <c r="C822" s="101"/>
      <c r="D822" s="101"/>
      <c r="E822" s="101"/>
      <c r="F822" s="101"/>
      <c r="G822" s="101"/>
      <c r="H822" s="101"/>
      <c r="I822" s="106"/>
      <c r="J822" s="106"/>
      <c r="K822" s="106"/>
      <c r="L822" s="106"/>
      <c r="M822" s="106"/>
      <c r="N822" s="103" t="str">
        <f aca="false">IF(OR($B822="", $I822="", $J822="", $K822="", $L822="", $M822=""),"",ROUND(($I822*Lists!$AD$2)+($J822*Lists!$AD$3)+($K822*Lists!$AD$4)+($L822*Lists!$AD$5)+($M822*Lists!$AD$6),2))</f>
        <v/>
      </c>
      <c r="O822" s="103" t="str">
        <f aca="false">IF($A822="","",IFERROR(VLOOKUP($A822,'Risk Register'!$B$2:$I$1000,8,FALSE()),""))</f>
        <v/>
      </c>
      <c r="P822" s="106"/>
      <c r="Q822" s="106"/>
      <c r="R822" s="106"/>
      <c r="S822" s="106"/>
      <c r="T822" s="103" t="str">
        <f aca="false">IF(OR($B822="", $P822="", $Q822="", $R822="", $S822=""),"",ROUND(($P822*Lists!$AD$7)+($Q822*Lists!$AD$8)+($R822*Lists!$AD$9)+($S822*Lists!$AD$10),2))</f>
        <v/>
      </c>
      <c r="U822" s="106"/>
      <c r="V822" s="106"/>
      <c r="W822" s="106"/>
      <c r="X822" s="106"/>
      <c r="Y822" s="106"/>
      <c r="Z822" s="103" t="str">
        <f aca="false">IF(OR($B822="", $U822="", $V822="", $W822="", $X822="", $Y822=""),"",ROUND(($U822*Lists!$AD$11)+($V822*Lists!$AD$12)+($W822*Lists!$AD$13)+($X822*Lists!$AD$14)+($Y822*Lists!$AD$15),2))</f>
        <v/>
      </c>
      <c r="AA822" s="103" t="str">
        <f aca="false">IF(OR($B822="", $N822="", $O822="", $T822="", $Z822=""),"",ROUND(($N822*Lists!$AD$16)-($O822*Lists!$AD$17)-($T822*Lists!$AD$18)+($Z822*Lists!$AD$19),2))</f>
        <v/>
      </c>
      <c r="AB822" s="102" t="str">
        <f aca="false">IF(OR($B822="", $N822="", $Z822=""),"",IF($N822&gt;=Lists!$AG$2,IF($Z822&gt;=Lists!$AG$3,"Invest","Migrate"),IF($Z822&gt;=Lists!$AG$3,"Tolerate","Eliminate")))</f>
        <v/>
      </c>
      <c r="AC822" s="102" t="str">
        <f aca="false">IF($B822="","",IF($J822&gt;=4,"Yes",""))</f>
        <v/>
      </c>
      <c r="AD822" s="102" t="str">
        <f aca="false">IF($A822="","",IFERROR(IF(VLOOKUP($A822,'Risk Register'!$B$2:$H$1000,4,FALSE())&gt;=4,"Yes",""),""))</f>
        <v/>
      </c>
      <c r="AE822" s="102" t="str">
        <f aca="false">IF(OR($N822="", $O822=""),"",IF($N822&gt;=Lists!$AG$2,IF($O822&gt;=Lists!$AG$4,"High Value / High Risk","High Value / Low Risk"),IF($O822&gt;=Lists!$AG$4,"Low Value / High Risk","Low Value / Low Risk")))</f>
        <v/>
      </c>
      <c r="AF822" s="101"/>
      <c r="AG822" s="126"/>
      <c r="AH822" s="106" t="str">
        <f aca="false">IF($B822="","",COUNTIFS('Debt Backlog'!$AF$2:$AF$1000,$A822,'Debt Backlog'!$B$2:$B$1000,"&lt;&gt;",'Debt Backlog'!$N$2:$N$1000,"&lt;&gt;Done",'Debt Backlog'!$N$2:$N$1000,"&lt;&gt;Won't Fix",'Debt Backlog'!$N$2:$N$1000,"&lt;&gt;Duplicate"))</f>
        <v/>
      </c>
      <c r="AI822" s="103" t="str">
        <f aca="false">IF($B822="","",ROUND(SUMIFS('Debt Backlog'!$L$2:$L$1000,'Debt Backlog'!$AF$2:$AF$1000,$A822,'Debt Backlog'!$B$2:$B$1000,"&lt;&gt;",'Debt Backlog'!$N$2:$N$1000,"&lt;&gt;Done",'Debt Backlog'!$N$2:$N$1000,"&lt;&gt;Won't Fix",'Debt Backlog'!$N$2:$N$1000,"&lt;&gt;Duplicate"),2))</f>
        <v/>
      </c>
    </row>
    <row r="823" customFormat="false" ht="15.75" hidden="false" customHeight="true" outlineLevel="0" collapsed="false">
      <c r="A823" s="125"/>
      <c r="B823" s="101"/>
      <c r="C823" s="101"/>
      <c r="D823" s="101"/>
      <c r="E823" s="101"/>
      <c r="F823" s="101"/>
      <c r="G823" s="101"/>
      <c r="H823" s="101"/>
      <c r="I823" s="106"/>
      <c r="J823" s="106"/>
      <c r="K823" s="106"/>
      <c r="L823" s="106"/>
      <c r="M823" s="106"/>
      <c r="N823" s="103" t="str">
        <f aca="false">IF(OR($B823="", $I823="", $J823="", $K823="", $L823="", $M823=""),"",ROUND(($I823*Lists!$AD$2)+($J823*Lists!$AD$3)+($K823*Lists!$AD$4)+($L823*Lists!$AD$5)+($M823*Lists!$AD$6),2))</f>
        <v/>
      </c>
      <c r="O823" s="103" t="str">
        <f aca="false">IF($A823="","",IFERROR(VLOOKUP($A823,'Risk Register'!$B$2:$I$1000,8,FALSE()),""))</f>
        <v/>
      </c>
      <c r="P823" s="106"/>
      <c r="Q823" s="106"/>
      <c r="R823" s="106"/>
      <c r="S823" s="106"/>
      <c r="T823" s="103" t="str">
        <f aca="false">IF(OR($B823="", $P823="", $Q823="", $R823="", $S823=""),"",ROUND(($P823*Lists!$AD$7)+($Q823*Lists!$AD$8)+($R823*Lists!$AD$9)+($S823*Lists!$AD$10),2))</f>
        <v/>
      </c>
      <c r="U823" s="106"/>
      <c r="V823" s="106"/>
      <c r="W823" s="106"/>
      <c r="X823" s="106"/>
      <c r="Y823" s="106"/>
      <c r="Z823" s="103" t="str">
        <f aca="false">IF(OR($B823="", $U823="", $V823="", $W823="", $X823="", $Y823=""),"",ROUND(($U823*Lists!$AD$11)+($V823*Lists!$AD$12)+($W823*Lists!$AD$13)+($X823*Lists!$AD$14)+($Y823*Lists!$AD$15),2))</f>
        <v/>
      </c>
      <c r="AA823" s="103" t="str">
        <f aca="false">IF(OR($B823="", $N823="", $O823="", $T823="", $Z823=""),"",ROUND(($N823*Lists!$AD$16)-($O823*Lists!$AD$17)-($T823*Lists!$AD$18)+($Z823*Lists!$AD$19),2))</f>
        <v/>
      </c>
      <c r="AB823" s="102" t="str">
        <f aca="false">IF(OR($B823="", $N823="", $Z823=""),"",IF($N823&gt;=Lists!$AG$2,IF($Z823&gt;=Lists!$AG$3,"Invest","Migrate"),IF($Z823&gt;=Lists!$AG$3,"Tolerate","Eliminate")))</f>
        <v/>
      </c>
      <c r="AC823" s="102" t="str">
        <f aca="false">IF($B823="","",IF($J823&gt;=4,"Yes",""))</f>
        <v/>
      </c>
      <c r="AD823" s="102" t="str">
        <f aca="false">IF($A823="","",IFERROR(IF(VLOOKUP($A823,'Risk Register'!$B$2:$H$1000,4,FALSE())&gt;=4,"Yes",""),""))</f>
        <v/>
      </c>
      <c r="AE823" s="102" t="str">
        <f aca="false">IF(OR($N823="", $O823=""),"",IF($N823&gt;=Lists!$AG$2,IF($O823&gt;=Lists!$AG$4,"High Value / High Risk","High Value / Low Risk"),IF($O823&gt;=Lists!$AG$4,"Low Value / High Risk","Low Value / Low Risk")))</f>
        <v/>
      </c>
      <c r="AF823" s="101"/>
      <c r="AG823" s="126"/>
      <c r="AH823" s="106" t="str">
        <f aca="false">IF($B823="","",COUNTIFS('Debt Backlog'!$AF$2:$AF$1000,$A823,'Debt Backlog'!$B$2:$B$1000,"&lt;&gt;",'Debt Backlog'!$N$2:$N$1000,"&lt;&gt;Done",'Debt Backlog'!$N$2:$N$1000,"&lt;&gt;Won't Fix",'Debt Backlog'!$N$2:$N$1000,"&lt;&gt;Duplicate"))</f>
        <v/>
      </c>
      <c r="AI823" s="103" t="str">
        <f aca="false">IF($B823="","",ROUND(SUMIFS('Debt Backlog'!$L$2:$L$1000,'Debt Backlog'!$AF$2:$AF$1000,$A823,'Debt Backlog'!$B$2:$B$1000,"&lt;&gt;",'Debt Backlog'!$N$2:$N$1000,"&lt;&gt;Done",'Debt Backlog'!$N$2:$N$1000,"&lt;&gt;Won't Fix",'Debt Backlog'!$N$2:$N$1000,"&lt;&gt;Duplicate"),2))</f>
        <v/>
      </c>
    </row>
    <row r="824" customFormat="false" ht="15.75" hidden="false" customHeight="true" outlineLevel="0" collapsed="false">
      <c r="A824" s="125"/>
      <c r="B824" s="101"/>
      <c r="C824" s="101"/>
      <c r="D824" s="101"/>
      <c r="E824" s="101"/>
      <c r="F824" s="101"/>
      <c r="G824" s="101"/>
      <c r="H824" s="101"/>
      <c r="I824" s="106"/>
      <c r="J824" s="106"/>
      <c r="K824" s="106"/>
      <c r="L824" s="106"/>
      <c r="M824" s="106"/>
      <c r="N824" s="103" t="str">
        <f aca="false">IF(OR($B824="", $I824="", $J824="", $K824="", $L824="", $M824=""),"",ROUND(($I824*Lists!$AD$2)+($J824*Lists!$AD$3)+($K824*Lists!$AD$4)+($L824*Lists!$AD$5)+($M824*Lists!$AD$6),2))</f>
        <v/>
      </c>
      <c r="O824" s="103" t="str">
        <f aca="false">IF($A824="","",IFERROR(VLOOKUP($A824,'Risk Register'!$B$2:$I$1000,8,FALSE()),""))</f>
        <v/>
      </c>
      <c r="P824" s="106"/>
      <c r="Q824" s="106"/>
      <c r="R824" s="106"/>
      <c r="S824" s="106"/>
      <c r="T824" s="103" t="str">
        <f aca="false">IF(OR($B824="", $P824="", $Q824="", $R824="", $S824=""),"",ROUND(($P824*Lists!$AD$7)+($Q824*Lists!$AD$8)+($R824*Lists!$AD$9)+($S824*Lists!$AD$10),2))</f>
        <v/>
      </c>
      <c r="U824" s="106"/>
      <c r="V824" s="106"/>
      <c r="W824" s="106"/>
      <c r="X824" s="106"/>
      <c r="Y824" s="106"/>
      <c r="Z824" s="103" t="str">
        <f aca="false">IF(OR($B824="", $U824="", $V824="", $W824="", $X824="", $Y824=""),"",ROUND(($U824*Lists!$AD$11)+($V824*Lists!$AD$12)+($W824*Lists!$AD$13)+($X824*Lists!$AD$14)+($Y824*Lists!$AD$15),2))</f>
        <v/>
      </c>
      <c r="AA824" s="103" t="str">
        <f aca="false">IF(OR($B824="", $N824="", $O824="", $T824="", $Z824=""),"",ROUND(($N824*Lists!$AD$16)-($O824*Lists!$AD$17)-($T824*Lists!$AD$18)+($Z824*Lists!$AD$19),2))</f>
        <v/>
      </c>
      <c r="AB824" s="102" t="str">
        <f aca="false">IF(OR($B824="", $N824="", $Z824=""),"",IF($N824&gt;=Lists!$AG$2,IF($Z824&gt;=Lists!$AG$3,"Invest","Migrate"),IF($Z824&gt;=Lists!$AG$3,"Tolerate","Eliminate")))</f>
        <v/>
      </c>
      <c r="AC824" s="102" t="str">
        <f aca="false">IF($B824="","",IF($J824&gt;=4,"Yes",""))</f>
        <v/>
      </c>
      <c r="AD824" s="102" t="str">
        <f aca="false">IF($A824="","",IFERROR(IF(VLOOKUP($A824,'Risk Register'!$B$2:$H$1000,4,FALSE())&gt;=4,"Yes",""),""))</f>
        <v/>
      </c>
      <c r="AE824" s="102" t="str">
        <f aca="false">IF(OR($N824="", $O824=""),"",IF($N824&gt;=Lists!$AG$2,IF($O824&gt;=Lists!$AG$4,"High Value / High Risk","High Value / Low Risk"),IF($O824&gt;=Lists!$AG$4,"Low Value / High Risk","Low Value / Low Risk")))</f>
        <v/>
      </c>
      <c r="AF824" s="101"/>
      <c r="AG824" s="126"/>
      <c r="AH824" s="106" t="str">
        <f aca="false">IF($B824="","",COUNTIFS('Debt Backlog'!$AF$2:$AF$1000,$A824,'Debt Backlog'!$B$2:$B$1000,"&lt;&gt;",'Debt Backlog'!$N$2:$N$1000,"&lt;&gt;Done",'Debt Backlog'!$N$2:$N$1000,"&lt;&gt;Won't Fix",'Debt Backlog'!$N$2:$N$1000,"&lt;&gt;Duplicate"))</f>
        <v/>
      </c>
      <c r="AI824" s="103" t="str">
        <f aca="false">IF($B824="","",ROUND(SUMIFS('Debt Backlog'!$L$2:$L$1000,'Debt Backlog'!$AF$2:$AF$1000,$A824,'Debt Backlog'!$B$2:$B$1000,"&lt;&gt;",'Debt Backlog'!$N$2:$N$1000,"&lt;&gt;Done",'Debt Backlog'!$N$2:$N$1000,"&lt;&gt;Won't Fix",'Debt Backlog'!$N$2:$N$1000,"&lt;&gt;Duplicate"),2))</f>
        <v/>
      </c>
    </row>
    <row r="825" customFormat="false" ht="15.75" hidden="false" customHeight="true" outlineLevel="0" collapsed="false">
      <c r="A825" s="125"/>
      <c r="B825" s="101"/>
      <c r="C825" s="101"/>
      <c r="D825" s="101"/>
      <c r="E825" s="101"/>
      <c r="F825" s="101"/>
      <c r="G825" s="101"/>
      <c r="H825" s="101"/>
      <c r="I825" s="106"/>
      <c r="J825" s="106"/>
      <c r="K825" s="106"/>
      <c r="L825" s="106"/>
      <c r="M825" s="106"/>
      <c r="N825" s="103" t="str">
        <f aca="false">IF(OR($B825="", $I825="", $J825="", $K825="", $L825="", $M825=""),"",ROUND(($I825*Lists!$AD$2)+($J825*Lists!$AD$3)+($K825*Lists!$AD$4)+($L825*Lists!$AD$5)+($M825*Lists!$AD$6),2))</f>
        <v/>
      </c>
      <c r="O825" s="103" t="str">
        <f aca="false">IF($A825="","",IFERROR(VLOOKUP($A825,'Risk Register'!$B$2:$I$1000,8,FALSE()),""))</f>
        <v/>
      </c>
      <c r="P825" s="106"/>
      <c r="Q825" s="106"/>
      <c r="R825" s="106"/>
      <c r="S825" s="106"/>
      <c r="T825" s="103" t="str">
        <f aca="false">IF(OR($B825="", $P825="", $Q825="", $R825="", $S825=""),"",ROUND(($P825*Lists!$AD$7)+($Q825*Lists!$AD$8)+($R825*Lists!$AD$9)+($S825*Lists!$AD$10),2))</f>
        <v/>
      </c>
      <c r="U825" s="106"/>
      <c r="V825" s="106"/>
      <c r="W825" s="106"/>
      <c r="X825" s="106"/>
      <c r="Y825" s="106"/>
      <c r="Z825" s="103" t="str">
        <f aca="false">IF(OR($B825="", $U825="", $V825="", $W825="", $X825="", $Y825=""),"",ROUND(($U825*Lists!$AD$11)+($V825*Lists!$AD$12)+($W825*Lists!$AD$13)+($X825*Lists!$AD$14)+($Y825*Lists!$AD$15),2))</f>
        <v/>
      </c>
      <c r="AA825" s="103" t="str">
        <f aca="false">IF(OR($B825="", $N825="", $O825="", $T825="", $Z825=""),"",ROUND(($N825*Lists!$AD$16)-($O825*Lists!$AD$17)-($T825*Lists!$AD$18)+($Z825*Lists!$AD$19),2))</f>
        <v/>
      </c>
      <c r="AB825" s="102" t="str">
        <f aca="false">IF(OR($B825="", $N825="", $Z825=""),"",IF($N825&gt;=Lists!$AG$2,IF($Z825&gt;=Lists!$AG$3,"Invest","Migrate"),IF($Z825&gt;=Lists!$AG$3,"Tolerate","Eliminate")))</f>
        <v/>
      </c>
      <c r="AC825" s="102" t="str">
        <f aca="false">IF($B825="","",IF($J825&gt;=4,"Yes",""))</f>
        <v/>
      </c>
      <c r="AD825" s="102" t="str">
        <f aca="false">IF($A825="","",IFERROR(IF(VLOOKUP($A825,'Risk Register'!$B$2:$H$1000,4,FALSE())&gt;=4,"Yes",""),""))</f>
        <v/>
      </c>
      <c r="AE825" s="102" t="str">
        <f aca="false">IF(OR($N825="", $O825=""),"",IF($N825&gt;=Lists!$AG$2,IF($O825&gt;=Lists!$AG$4,"High Value / High Risk","High Value / Low Risk"),IF($O825&gt;=Lists!$AG$4,"Low Value / High Risk","Low Value / Low Risk")))</f>
        <v/>
      </c>
      <c r="AF825" s="101"/>
      <c r="AG825" s="126"/>
      <c r="AH825" s="106" t="str">
        <f aca="false">IF($B825="","",COUNTIFS('Debt Backlog'!$AF$2:$AF$1000,$A825,'Debt Backlog'!$B$2:$B$1000,"&lt;&gt;",'Debt Backlog'!$N$2:$N$1000,"&lt;&gt;Done",'Debt Backlog'!$N$2:$N$1000,"&lt;&gt;Won't Fix",'Debt Backlog'!$N$2:$N$1000,"&lt;&gt;Duplicate"))</f>
        <v/>
      </c>
      <c r="AI825" s="103" t="str">
        <f aca="false">IF($B825="","",ROUND(SUMIFS('Debt Backlog'!$L$2:$L$1000,'Debt Backlog'!$AF$2:$AF$1000,$A825,'Debt Backlog'!$B$2:$B$1000,"&lt;&gt;",'Debt Backlog'!$N$2:$N$1000,"&lt;&gt;Done",'Debt Backlog'!$N$2:$N$1000,"&lt;&gt;Won't Fix",'Debt Backlog'!$N$2:$N$1000,"&lt;&gt;Duplicate"),2))</f>
        <v/>
      </c>
    </row>
    <row r="826" customFormat="false" ht="15.75" hidden="false" customHeight="true" outlineLevel="0" collapsed="false">
      <c r="A826" s="125"/>
      <c r="B826" s="101"/>
      <c r="C826" s="101"/>
      <c r="D826" s="101"/>
      <c r="E826" s="101"/>
      <c r="F826" s="101"/>
      <c r="G826" s="101"/>
      <c r="H826" s="101"/>
      <c r="I826" s="106"/>
      <c r="J826" s="106"/>
      <c r="K826" s="106"/>
      <c r="L826" s="106"/>
      <c r="M826" s="106"/>
      <c r="N826" s="103" t="str">
        <f aca="false">IF(OR($B826="", $I826="", $J826="", $K826="", $L826="", $M826=""),"",ROUND(($I826*Lists!$AD$2)+($J826*Lists!$AD$3)+($K826*Lists!$AD$4)+($L826*Lists!$AD$5)+($M826*Lists!$AD$6),2))</f>
        <v/>
      </c>
      <c r="O826" s="103" t="str">
        <f aca="false">IF($A826="","",IFERROR(VLOOKUP($A826,'Risk Register'!$B$2:$I$1000,8,FALSE()),""))</f>
        <v/>
      </c>
      <c r="P826" s="106"/>
      <c r="Q826" s="106"/>
      <c r="R826" s="106"/>
      <c r="S826" s="106"/>
      <c r="T826" s="103" t="str">
        <f aca="false">IF(OR($B826="", $P826="", $Q826="", $R826="", $S826=""),"",ROUND(($P826*Lists!$AD$7)+($Q826*Lists!$AD$8)+($R826*Lists!$AD$9)+($S826*Lists!$AD$10),2))</f>
        <v/>
      </c>
      <c r="U826" s="106"/>
      <c r="V826" s="106"/>
      <c r="W826" s="106"/>
      <c r="X826" s="106"/>
      <c r="Y826" s="106"/>
      <c r="Z826" s="103" t="str">
        <f aca="false">IF(OR($B826="", $U826="", $V826="", $W826="", $X826="", $Y826=""),"",ROUND(($U826*Lists!$AD$11)+($V826*Lists!$AD$12)+($W826*Lists!$AD$13)+($X826*Lists!$AD$14)+($Y826*Lists!$AD$15),2))</f>
        <v/>
      </c>
      <c r="AA826" s="103" t="str">
        <f aca="false">IF(OR($B826="", $N826="", $O826="", $T826="", $Z826=""),"",ROUND(($N826*Lists!$AD$16)-($O826*Lists!$AD$17)-($T826*Lists!$AD$18)+($Z826*Lists!$AD$19),2))</f>
        <v/>
      </c>
      <c r="AB826" s="102" t="str">
        <f aca="false">IF(OR($B826="", $N826="", $Z826=""),"",IF($N826&gt;=Lists!$AG$2,IF($Z826&gt;=Lists!$AG$3,"Invest","Migrate"),IF($Z826&gt;=Lists!$AG$3,"Tolerate","Eliminate")))</f>
        <v/>
      </c>
      <c r="AC826" s="102" t="str">
        <f aca="false">IF($B826="","",IF($J826&gt;=4,"Yes",""))</f>
        <v/>
      </c>
      <c r="AD826" s="102" t="str">
        <f aca="false">IF($A826="","",IFERROR(IF(VLOOKUP($A826,'Risk Register'!$B$2:$H$1000,4,FALSE())&gt;=4,"Yes",""),""))</f>
        <v/>
      </c>
      <c r="AE826" s="102" t="str">
        <f aca="false">IF(OR($N826="", $O826=""),"",IF($N826&gt;=Lists!$AG$2,IF($O826&gt;=Lists!$AG$4,"High Value / High Risk","High Value / Low Risk"),IF($O826&gt;=Lists!$AG$4,"Low Value / High Risk","Low Value / Low Risk")))</f>
        <v/>
      </c>
      <c r="AF826" s="101"/>
      <c r="AG826" s="126"/>
      <c r="AH826" s="106" t="str">
        <f aca="false">IF($B826="","",COUNTIFS('Debt Backlog'!$AF$2:$AF$1000,$A826,'Debt Backlog'!$B$2:$B$1000,"&lt;&gt;",'Debt Backlog'!$N$2:$N$1000,"&lt;&gt;Done",'Debt Backlog'!$N$2:$N$1000,"&lt;&gt;Won't Fix",'Debt Backlog'!$N$2:$N$1000,"&lt;&gt;Duplicate"))</f>
        <v/>
      </c>
      <c r="AI826" s="103" t="str">
        <f aca="false">IF($B826="","",ROUND(SUMIFS('Debt Backlog'!$L$2:$L$1000,'Debt Backlog'!$AF$2:$AF$1000,$A826,'Debt Backlog'!$B$2:$B$1000,"&lt;&gt;",'Debt Backlog'!$N$2:$N$1000,"&lt;&gt;Done",'Debt Backlog'!$N$2:$N$1000,"&lt;&gt;Won't Fix",'Debt Backlog'!$N$2:$N$1000,"&lt;&gt;Duplicate"),2))</f>
        <v/>
      </c>
    </row>
    <row r="827" customFormat="false" ht="15.75" hidden="false" customHeight="true" outlineLevel="0" collapsed="false">
      <c r="A827" s="125"/>
      <c r="B827" s="101"/>
      <c r="C827" s="101"/>
      <c r="D827" s="101"/>
      <c r="E827" s="101"/>
      <c r="F827" s="101"/>
      <c r="G827" s="101"/>
      <c r="H827" s="101"/>
      <c r="I827" s="106"/>
      <c r="J827" s="106"/>
      <c r="K827" s="106"/>
      <c r="L827" s="106"/>
      <c r="M827" s="106"/>
      <c r="N827" s="103" t="str">
        <f aca="false">IF(OR($B827="", $I827="", $J827="", $K827="", $L827="", $M827=""),"",ROUND(($I827*Lists!$AD$2)+($J827*Lists!$AD$3)+($K827*Lists!$AD$4)+($L827*Lists!$AD$5)+($M827*Lists!$AD$6),2))</f>
        <v/>
      </c>
      <c r="O827" s="103" t="str">
        <f aca="false">IF($A827="","",IFERROR(VLOOKUP($A827,'Risk Register'!$B$2:$I$1000,8,FALSE()),""))</f>
        <v/>
      </c>
      <c r="P827" s="106"/>
      <c r="Q827" s="106"/>
      <c r="R827" s="106"/>
      <c r="S827" s="106"/>
      <c r="T827" s="103" t="str">
        <f aca="false">IF(OR($B827="", $P827="", $Q827="", $R827="", $S827=""),"",ROUND(($P827*Lists!$AD$7)+($Q827*Lists!$AD$8)+($R827*Lists!$AD$9)+($S827*Lists!$AD$10),2))</f>
        <v/>
      </c>
      <c r="U827" s="106"/>
      <c r="V827" s="106"/>
      <c r="W827" s="106"/>
      <c r="X827" s="106"/>
      <c r="Y827" s="106"/>
      <c r="Z827" s="103" t="str">
        <f aca="false">IF(OR($B827="", $U827="", $V827="", $W827="", $X827="", $Y827=""),"",ROUND(($U827*Lists!$AD$11)+($V827*Lists!$AD$12)+($W827*Lists!$AD$13)+($X827*Lists!$AD$14)+($Y827*Lists!$AD$15),2))</f>
        <v/>
      </c>
      <c r="AA827" s="103" t="str">
        <f aca="false">IF(OR($B827="", $N827="", $O827="", $T827="", $Z827=""),"",ROUND(($N827*Lists!$AD$16)-($O827*Lists!$AD$17)-($T827*Lists!$AD$18)+($Z827*Lists!$AD$19),2))</f>
        <v/>
      </c>
      <c r="AB827" s="102" t="str">
        <f aca="false">IF(OR($B827="", $N827="", $Z827=""),"",IF($N827&gt;=Lists!$AG$2,IF($Z827&gt;=Lists!$AG$3,"Invest","Migrate"),IF($Z827&gt;=Lists!$AG$3,"Tolerate","Eliminate")))</f>
        <v/>
      </c>
      <c r="AC827" s="102" t="str">
        <f aca="false">IF($B827="","",IF($J827&gt;=4,"Yes",""))</f>
        <v/>
      </c>
      <c r="AD827" s="102" t="str">
        <f aca="false">IF($A827="","",IFERROR(IF(VLOOKUP($A827,'Risk Register'!$B$2:$H$1000,4,FALSE())&gt;=4,"Yes",""),""))</f>
        <v/>
      </c>
      <c r="AE827" s="102" t="str">
        <f aca="false">IF(OR($N827="", $O827=""),"",IF($N827&gt;=Lists!$AG$2,IF($O827&gt;=Lists!$AG$4,"High Value / High Risk","High Value / Low Risk"),IF($O827&gt;=Lists!$AG$4,"Low Value / High Risk","Low Value / Low Risk")))</f>
        <v/>
      </c>
      <c r="AF827" s="101"/>
      <c r="AG827" s="126"/>
      <c r="AH827" s="106" t="str">
        <f aca="false">IF($B827="","",COUNTIFS('Debt Backlog'!$AF$2:$AF$1000,$A827,'Debt Backlog'!$B$2:$B$1000,"&lt;&gt;",'Debt Backlog'!$N$2:$N$1000,"&lt;&gt;Done",'Debt Backlog'!$N$2:$N$1000,"&lt;&gt;Won't Fix",'Debt Backlog'!$N$2:$N$1000,"&lt;&gt;Duplicate"))</f>
        <v/>
      </c>
      <c r="AI827" s="103" t="str">
        <f aca="false">IF($B827="","",ROUND(SUMIFS('Debt Backlog'!$L$2:$L$1000,'Debt Backlog'!$AF$2:$AF$1000,$A827,'Debt Backlog'!$B$2:$B$1000,"&lt;&gt;",'Debt Backlog'!$N$2:$N$1000,"&lt;&gt;Done",'Debt Backlog'!$N$2:$N$1000,"&lt;&gt;Won't Fix",'Debt Backlog'!$N$2:$N$1000,"&lt;&gt;Duplicate"),2))</f>
        <v/>
      </c>
    </row>
    <row r="828" customFormat="false" ht="15.75" hidden="false" customHeight="true" outlineLevel="0" collapsed="false">
      <c r="A828" s="125"/>
      <c r="B828" s="101"/>
      <c r="C828" s="101"/>
      <c r="D828" s="101"/>
      <c r="E828" s="101"/>
      <c r="F828" s="101"/>
      <c r="G828" s="101"/>
      <c r="H828" s="101"/>
      <c r="I828" s="106"/>
      <c r="J828" s="106"/>
      <c r="K828" s="106"/>
      <c r="L828" s="106"/>
      <c r="M828" s="106"/>
      <c r="N828" s="103" t="str">
        <f aca="false">IF(OR($B828="", $I828="", $J828="", $K828="", $L828="", $M828=""),"",ROUND(($I828*Lists!$AD$2)+($J828*Lists!$AD$3)+($K828*Lists!$AD$4)+($L828*Lists!$AD$5)+($M828*Lists!$AD$6),2))</f>
        <v/>
      </c>
      <c r="O828" s="103" t="str">
        <f aca="false">IF($A828="","",IFERROR(VLOOKUP($A828,'Risk Register'!$B$2:$I$1000,8,FALSE()),""))</f>
        <v/>
      </c>
      <c r="P828" s="106"/>
      <c r="Q828" s="106"/>
      <c r="R828" s="106"/>
      <c r="S828" s="106"/>
      <c r="T828" s="103" t="str">
        <f aca="false">IF(OR($B828="", $P828="", $Q828="", $R828="", $S828=""),"",ROUND(($P828*Lists!$AD$7)+($Q828*Lists!$AD$8)+($R828*Lists!$AD$9)+($S828*Lists!$AD$10),2))</f>
        <v/>
      </c>
      <c r="U828" s="106"/>
      <c r="V828" s="106"/>
      <c r="W828" s="106"/>
      <c r="X828" s="106"/>
      <c r="Y828" s="106"/>
      <c r="Z828" s="103" t="str">
        <f aca="false">IF(OR($B828="", $U828="", $V828="", $W828="", $X828="", $Y828=""),"",ROUND(($U828*Lists!$AD$11)+($V828*Lists!$AD$12)+($W828*Lists!$AD$13)+($X828*Lists!$AD$14)+($Y828*Lists!$AD$15),2))</f>
        <v/>
      </c>
      <c r="AA828" s="103" t="str">
        <f aca="false">IF(OR($B828="", $N828="", $O828="", $T828="", $Z828=""),"",ROUND(($N828*Lists!$AD$16)-($O828*Lists!$AD$17)-($T828*Lists!$AD$18)+($Z828*Lists!$AD$19),2))</f>
        <v/>
      </c>
      <c r="AB828" s="102" t="str">
        <f aca="false">IF(OR($B828="", $N828="", $Z828=""),"",IF($N828&gt;=Lists!$AG$2,IF($Z828&gt;=Lists!$AG$3,"Invest","Migrate"),IF($Z828&gt;=Lists!$AG$3,"Tolerate","Eliminate")))</f>
        <v/>
      </c>
      <c r="AC828" s="102" t="str">
        <f aca="false">IF($B828="","",IF($J828&gt;=4,"Yes",""))</f>
        <v/>
      </c>
      <c r="AD828" s="102" t="str">
        <f aca="false">IF($A828="","",IFERROR(IF(VLOOKUP($A828,'Risk Register'!$B$2:$H$1000,4,FALSE())&gt;=4,"Yes",""),""))</f>
        <v/>
      </c>
      <c r="AE828" s="102" t="str">
        <f aca="false">IF(OR($N828="", $O828=""),"",IF($N828&gt;=Lists!$AG$2,IF($O828&gt;=Lists!$AG$4,"High Value / High Risk","High Value / Low Risk"),IF($O828&gt;=Lists!$AG$4,"Low Value / High Risk","Low Value / Low Risk")))</f>
        <v/>
      </c>
      <c r="AF828" s="101"/>
      <c r="AG828" s="126"/>
      <c r="AH828" s="106" t="str">
        <f aca="false">IF($B828="","",COUNTIFS('Debt Backlog'!$AF$2:$AF$1000,$A828,'Debt Backlog'!$B$2:$B$1000,"&lt;&gt;",'Debt Backlog'!$N$2:$N$1000,"&lt;&gt;Done",'Debt Backlog'!$N$2:$N$1000,"&lt;&gt;Won't Fix",'Debt Backlog'!$N$2:$N$1000,"&lt;&gt;Duplicate"))</f>
        <v/>
      </c>
      <c r="AI828" s="103" t="str">
        <f aca="false">IF($B828="","",ROUND(SUMIFS('Debt Backlog'!$L$2:$L$1000,'Debt Backlog'!$AF$2:$AF$1000,$A828,'Debt Backlog'!$B$2:$B$1000,"&lt;&gt;",'Debt Backlog'!$N$2:$N$1000,"&lt;&gt;Done",'Debt Backlog'!$N$2:$N$1000,"&lt;&gt;Won't Fix",'Debt Backlog'!$N$2:$N$1000,"&lt;&gt;Duplicate"),2))</f>
        <v/>
      </c>
    </row>
    <row r="829" customFormat="false" ht="15.75" hidden="false" customHeight="true" outlineLevel="0" collapsed="false">
      <c r="A829" s="125"/>
      <c r="B829" s="101"/>
      <c r="C829" s="101"/>
      <c r="D829" s="101"/>
      <c r="E829" s="101"/>
      <c r="F829" s="101"/>
      <c r="G829" s="101"/>
      <c r="H829" s="101"/>
      <c r="I829" s="106"/>
      <c r="J829" s="106"/>
      <c r="K829" s="106"/>
      <c r="L829" s="106"/>
      <c r="M829" s="106"/>
      <c r="N829" s="103" t="str">
        <f aca="false">IF(OR($B829="", $I829="", $J829="", $K829="", $L829="", $M829=""),"",ROUND(($I829*Lists!$AD$2)+($J829*Lists!$AD$3)+($K829*Lists!$AD$4)+($L829*Lists!$AD$5)+($M829*Lists!$AD$6),2))</f>
        <v/>
      </c>
      <c r="O829" s="103" t="str">
        <f aca="false">IF($A829="","",IFERROR(VLOOKUP($A829,'Risk Register'!$B$2:$I$1000,8,FALSE()),""))</f>
        <v/>
      </c>
      <c r="P829" s="106"/>
      <c r="Q829" s="106"/>
      <c r="R829" s="106"/>
      <c r="S829" s="106"/>
      <c r="T829" s="103" t="str">
        <f aca="false">IF(OR($B829="", $P829="", $Q829="", $R829="", $S829=""),"",ROUND(($P829*Lists!$AD$7)+($Q829*Lists!$AD$8)+($R829*Lists!$AD$9)+($S829*Lists!$AD$10),2))</f>
        <v/>
      </c>
      <c r="U829" s="106"/>
      <c r="V829" s="106"/>
      <c r="W829" s="106"/>
      <c r="X829" s="106"/>
      <c r="Y829" s="106"/>
      <c r="Z829" s="103" t="str">
        <f aca="false">IF(OR($B829="", $U829="", $V829="", $W829="", $X829="", $Y829=""),"",ROUND(($U829*Lists!$AD$11)+($V829*Lists!$AD$12)+($W829*Lists!$AD$13)+($X829*Lists!$AD$14)+($Y829*Lists!$AD$15),2))</f>
        <v/>
      </c>
      <c r="AA829" s="103" t="str">
        <f aca="false">IF(OR($B829="", $N829="", $O829="", $T829="", $Z829=""),"",ROUND(($N829*Lists!$AD$16)-($O829*Lists!$AD$17)-($T829*Lists!$AD$18)+($Z829*Lists!$AD$19),2))</f>
        <v/>
      </c>
      <c r="AB829" s="102" t="str">
        <f aca="false">IF(OR($B829="", $N829="", $Z829=""),"",IF($N829&gt;=Lists!$AG$2,IF($Z829&gt;=Lists!$AG$3,"Invest","Migrate"),IF($Z829&gt;=Lists!$AG$3,"Tolerate","Eliminate")))</f>
        <v/>
      </c>
      <c r="AC829" s="102" t="str">
        <f aca="false">IF($B829="","",IF($J829&gt;=4,"Yes",""))</f>
        <v/>
      </c>
      <c r="AD829" s="102" t="str">
        <f aca="false">IF($A829="","",IFERROR(IF(VLOOKUP($A829,'Risk Register'!$B$2:$H$1000,4,FALSE())&gt;=4,"Yes",""),""))</f>
        <v/>
      </c>
      <c r="AE829" s="102" t="str">
        <f aca="false">IF(OR($N829="", $O829=""),"",IF($N829&gt;=Lists!$AG$2,IF($O829&gt;=Lists!$AG$4,"High Value / High Risk","High Value / Low Risk"),IF($O829&gt;=Lists!$AG$4,"Low Value / High Risk","Low Value / Low Risk")))</f>
        <v/>
      </c>
      <c r="AF829" s="101"/>
      <c r="AG829" s="126"/>
      <c r="AH829" s="106" t="str">
        <f aca="false">IF($B829="","",COUNTIFS('Debt Backlog'!$AF$2:$AF$1000,$A829,'Debt Backlog'!$B$2:$B$1000,"&lt;&gt;",'Debt Backlog'!$N$2:$N$1000,"&lt;&gt;Done",'Debt Backlog'!$N$2:$N$1000,"&lt;&gt;Won't Fix",'Debt Backlog'!$N$2:$N$1000,"&lt;&gt;Duplicate"))</f>
        <v/>
      </c>
      <c r="AI829" s="103" t="str">
        <f aca="false">IF($B829="","",ROUND(SUMIFS('Debt Backlog'!$L$2:$L$1000,'Debt Backlog'!$AF$2:$AF$1000,$A829,'Debt Backlog'!$B$2:$B$1000,"&lt;&gt;",'Debt Backlog'!$N$2:$N$1000,"&lt;&gt;Done",'Debt Backlog'!$N$2:$N$1000,"&lt;&gt;Won't Fix",'Debt Backlog'!$N$2:$N$1000,"&lt;&gt;Duplicate"),2))</f>
        <v/>
      </c>
    </row>
    <row r="830" customFormat="false" ht="15.75" hidden="false" customHeight="true" outlineLevel="0" collapsed="false">
      <c r="A830" s="125"/>
      <c r="B830" s="101"/>
      <c r="C830" s="101"/>
      <c r="D830" s="101"/>
      <c r="E830" s="101"/>
      <c r="F830" s="101"/>
      <c r="G830" s="101"/>
      <c r="H830" s="101"/>
      <c r="I830" s="106"/>
      <c r="J830" s="106"/>
      <c r="K830" s="106"/>
      <c r="L830" s="106"/>
      <c r="M830" s="106"/>
      <c r="N830" s="103" t="str">
        <f aca="false">IF(OR($B830="", $I830="", $J830="", $K830="", $L830="", $M830=""),"",ROUND(($I830*Lists!$AD$2)+($J830*Lists!$AD$3)+($K830*Lists!$AD$4)+($L830*Lists!$AD$5)+($M830*Lists!$AD$6),2))</f>
        <v/>
      </c>
      <c r="O830" s="103" t="str">
        <f aca="false">IF($A830="","",IFERROR(VLOOKUP($A830,'Risk Register'!$B$2:$I$1000,8,FALSE()),""))</f>
        <v/>
      </c>
      <c r="P830" s="106"/>
      <c r="Q830" s="106"/>
      <c r="R830" s="106"/>
      <c r="S830" s="106"/>
      <c r="T830" s="103" t="str">
        <f aca="false">IF(OR($B830="", $P830="", $Q830="", $R830="", $S830=""),"",ROUND(($P830*Lists!$AD$7)+($Q830*Lists!$AD$8)+($R830*Lists!$AD$9)+($S830*Lists!$AD$10),2))</f>
        <v/>
      </c>
      <c r="U830" s="106"/>
      <c r="V830" s="106"/>
      <c r="W830" s="106"/>
      <c r="X830" s="106"/>
      <c r="Y830" s="106"/>
      <c r="Z830" s="103" t="str">
        <f aca="false">IF(OR($B830="", $U830="", $V830="", $W830="", $X830="", $Y830=""),"",ROUND(($U830*Lists!$AD$11)+($V830*Lists!$AD$12)+($W830*Lists!$AD$13)+($X830*Lists!$AD$14)+($Y830*Lists!$AD$15),2))</f>
        <v/>
      </c>
      <c r="AA830" s="103" t="str">
        <f aca="false">IF(OR($B830="", $N830="", $O830="", $T830="", $Z830=""),"",ROUND(($N830*Lists!$AD$16)-($O830*Lists!$AD$17)-($T830*Lists!$AD$18)+($Z830*Lists!$AD$19),2))</f>
        <v/>
      </c>
      <c r="AB830" s="102" t="str">
        <f aca="false">IF(OR($B830="", $N830="", $Z830=""),"",IF($N830&gt;=Lists!$AG$2,IF($Z830&gt;=Lists!$AG$3,"Invest","Migrate"),IF($Z830&gt;=Lists!$AG$3,"Tolerate","Eliminate")))</f>
        <v/>
      </c>
      <c r="AC830" s="102" t="str">
        <f aca="false">IF($B830="","",IF($J830&gt;=4,"Yes",""))</f>
        <v/>
      </c>
      <c r="AD830" s="102" t="str">
        <f aca="false">IF($A830="","",IFERROR(IF(VLOOKUP($A830,'Risk Register'!$B$2:$H$1000,4,FALSE())&gt;=4,"Yes",""),""))</f>
        <v/>
      </c>
      <c r="AE830" s="102" t="str">
        <f aca="false">IF(OR($N830="", $O830=""),"",IF($N830&gt;=Lists!$AG$2,IF($O830&gt;=Lists!$AG$4,"High Value / High Risk","High Value / Low Risk"),IF($O830&gt;=Lists!$AG$4,"Low Value / High Risk","Low Value / Low Risk")))</f>
        <v/>
      </c>
      <c r="AF830" s="101"/>
      <c r="AG830" s="126"/>
      <c r="AH830" s="106" t="str">
        <f aca="false">IF($B830="","",COUNTIFS('Debt Backlog'!$AF$2:$AF$1000,$A830,'Debt Backlog'!$B$2:$B$1000,"&lt;&gt;",'Debt Backlog'!$N$2:$N$1000,"&lt;&gt;Done",'Debt Backlog'!$N$2:$N$1000,"&lt;&gt;Won't Fix",'Debt Backlog'!$N$2:$N$1000,"&lt;&gt;Duplicate"))</f>
        <v/>
      </c>
      <c r="AI830" s="103" t="str">
        <f aca="false">IF($B830="","",ROUND(SUMIFS('Debt Backlog'!$L$2:$L$1000,'Debt Backlog'!$AF$2:$AF$1000,$A830,'Debt Backlog'!$B$2:$B$1000,"&lt;&gt;",'Debt Backlog'!$N$2:$N$1000,"&lt;&gt;Done",'Debt Backlog'!$N$2:$N$1000,"&lt;&gt;Won't Fix",'Debt Backlog'!$N$2:$N$1000,"&lt;&gt;Duplicate"),2))</f>
        <v/>
      </c>
    </row>
    <row r="831" customFormat="false" ht="15.75" hidden="false" customHeight="true" outlineLevel="0" collapsed="false">
      <c r="A831" s="125"/>
      <c r="B831" s="101"/>
      <c r="C831" s="101"/>
      <c r="D831" s="101"/>
      <c r="E831" s="101"/>
      <c r="F831" s="101"/>
      <c r="G831" s="101"/>
      <c r="H831" s="101"/>
      <c r="I831" s="106"/>
      <c r="J831" s="106"/>
      <c r="K831" s="106"/>
      <c r="L831" s="106"/>
      <c r="M831" s="106"/>
      <c r="N831" s="103" t="str">
        <f aca="false">IF(OR($B831="", $I831="", $J831="", $K831="", $L831="", $M831=""),"",ROUND(($I831*Lists!$AD$2)+($J831*Lists!$AD$3)+($K831*Lists!$AD$4)+($L831*Lists!$AD$5)+($M831*Lists!$AD$6),2))</f>
        <v/>
      </c>
      <c r="O831" s="103" t="str">
        <f aca="false">IF($A831="","",IFERROR(VLOOKUP($A831,'Risk Register'!$B$2:$I$1000,8,FALSE()),""))</f>
        <v/>
      </c>
      <c r="P831" s="106"/>
      <c r="Q831" s="106"/>
      <c r="R831" s="106"/>
      <c r="S831" s="106"/>
      <c r="T831" s="103" t="str">
        <f aca="false">IF(OR($B831="", $P831="", $Q831="", $R831="", $S831=""),"",ROUND(($P831*Lists!$AD$7)+($Q831*Lists!$AD$8)+($R831*Lists!$AD$9)+($S831*Lists!$AD$10),2))</f>
        <v/>
      </c>
      <c r="U831" s="106"/>
      <c r="V831" s="106"/>
      <c r="W831" s="106"/>
      <c r="X831" s="106"/>
      <c r="Y831" s="106"/>
      <c r="Z831" s="103" t="str">
        <f aca="false">IF(OR($B831="", $U831="", $V831="", $W831="", $X831="", $Y831=""),"",ROUND(($U831*Lists!$AD$11)+($V831*Lists!$AD$12)+($W831*Lists!$AD$13)+($X831*Lists!$AD$14)+($Y831*Lists!$AD$15),2))</f>
        <v/>
      </c>
      <c r="AA831" s="103" t="str">
        <f aca="false">IF(OR($B831="", $N831="", $O831="", $T831="", $Z831=""),"",ROUND(($N831*Lists!$AD$16)-($O831*Lists!$AD$17)-($T831*Lists!$AD$18)+($Z831*Lists!$AD$19),2))</f>
        <v/>
      </c>
      <c r="AB831" s="102" t="str">
        <f aca="false">IF(OR($B831="", $N831="", $Z831=""),"",IF($N831&gt;=Lists!$AG$2,IF($Z831&gt;=Lists!$AG$3,"Invest","Migrate"),IF($Z831&gt;=Lists!$AG$3,"Tolerate","Eliminate")))</f>
        <v/>
      </c>
      <c r="AC831" s="102" t="str">
        <f aca="false">IF($B831="","",IF($J831&gt;=4,"Yes",""))</f>
        <v/>
      </c>
      <c r="AD831" s="102" t="str">
        <f aca="false">IF($A831="","",IFERROR(IF(VLOOKUP($A831,'Risk Register'!$B$2:$H$1000,4,FALSE())&gt;=4,"Yes",""),""))</f>
        <v/>
      </c>
      <c r="AE831" s="102" t="str">
        <f aca="false">IF(OR($N831="", $O831=""),"",IF($N831&gt;=Lists!$AG$2,IF($O831&gt;=Lists!$AG$4,"High Value / High Risk","High Value / Low Risk"),IF($O831&gt;=Lists!$AG$4,"Low Value / High Risk","Low Value / Low Risk")))</f>
        <v/>
      </c>
      <c r="AF831" s="101"/>
      <c r="AG831" s="126"/>
      <c r="AH831" s="106" t="str">
        <f aca="false">IF($B831="","",COUNTIFS('Debt Backlog'!$AF$2:$AF$1000,$A831,'Debt Backlog'!$B$2:$B$1000,"&lt;&gt;",'Debt Backlog'!$N$2:$N$1000,"&lt;&gt;Done",'Debt Backlog'!$N$2:$N$1000,"&lt;&gt;Won't Fix",'Debt Backlog'!$N$2:$N$1000,"&lt;&gt;Duplicate"))</f>
        <v/>
      </c>
      <c r="AI831" s="103" t="str">
        <f aca="false">IF($B831="","",ROUND(SUMIFS('Debt Backlog'!$L$2:$L$1000,'Debt Backlog'!$AF$2:$AF$1000,$A831,'Debt Backlog'!$B$2:$B$1000,"&lt;&gt;",'Debt Backlog'!$N$2:$N$1000,"&lt;&gt;Done",'Debt Backlog'!$N$2:$N$1000,"&lt;&gt;Won't Fix",'Debt Backlog'!$N$2:$N$1000,"&lt;&gt;Duplicate"),2))</f>
        <v/>
      </c>
    </row>
    <row r="832" customFormat="false" ht="15.75" hidden="false" customHeight="true" outlineLevel="0" collapsed="false">
      <c r="A832" s="125"/>
      <c r="B832" s="101"/>
      <c r="C832" s="101"/>
      <c r="D832" s="101"/>
      <c r="E832" s="101"/>
      <c r="F832" s="101"/>
      <c r="G832" s="101"/>
      <c r="H832" s="101"/>
      <c r="I832" s="106"/>
      <c r="J832" s="106"/>
      <c r="K832" s="106"/>
      <c r="L832" s="106"/>
      <c r="M832" s="106"/>
      <c r="N832" s="103" t="str">
        <f aca="false">IF(OR($B832="", $I832="", $J832="", $K832="", $L832="", $M832=""),"",ROUND(($I832*Lists!$AD$2)+($J832*Lists!$AD$3)+($K832*Lists!$AD$4)+($L832*Lists!$AD$5)+($M832*Lists!$AD$6),2))</f>
        <v/>
      </c>
      <c r="O832" s="103" t="str">
        <f aca="false">IF($A832="","",IFERROR(VLOOKUP($A832,'Risk Register'!$B$2:$I$1000,8,FALSE()),""))</f>
        <v/>
      </c>
      <c r="P832" s="106"/>
      <c r="Q832" s="106"/>
      <c r="R832" s="106"/>
      <c r="S832" s="106"/>
      <c r="T832" s="103" t="str">
        <f aca="false">IF(OR($B832="", $P832="", $Q832="", $R832="", $S832=""),"",ROUND(($P832*Lists!$AD$7)+($Q832*Lists!$AD$8)+($R832*Lists!$AD$9)+($S832*Lists!$AD$10),2))</f>
        <v/>
      </c>
      <c r="U832" s="106"/>
      <c r="V832" s="106"/>
      <c r="W832" s="106"/>
      <c r="X832" s="106"/>
      <c r="Y832" s="106"/>
      <c r="Z832" s="103" t="str">
        <f aca="false">IF(OR($B832="", $U832="", $V832="", $W832="", $X832="", $Y832=""),"",ROUND(($U832*Lists!$AD$11)+($V832*Lists!$AD$12)+($W832*Lists!$AD$13)+($X832*Lists!$AD$14)+($Y832*Lists!$AD$15),2))</f>
        <v/>
      </c>
      <c r="AA832" s="103" t="str">
        <f aca="false">IF(OR($B832="", $N832="", $O832="", $T832="", $Z832=""),"",ROUND(($N832*Lists!$AD$16)-($O832*Lists!$AD$17)-($T832*Lists!$AD$18)+($Z832*Lists!$AD$19),2))</f>
        <v/>
      </c>
      <c r="AB832" s="102" t="str">
        <f aca="false">IF(OR($B832="", $N832="", $Z832=""),"",IF($N832&gt;=Lists!$AG$2,IF($Z832&gt;=Lists!$AG$3,"Invest","Migrate"),IF($Z832&gt;=Lists!$AG$3,"Tolerate","Eliminate")))</f>
        <v/>
      </c>
      <c r="AC832" s="102" t="str">
        <f aca="false">IF($B832="","",IF($J832&gt;=4,"Yes",""))</f>
        <v/>
      </c>
      <c r="AD832" s="102" t="str">
        <f aca="false">IF($A832="","",IFERROR(IF(VLOOKUP($A832,'Risk Register'!$B$2:$H$1000,4,FALSE())&gt;=4,"Yes",""),""))</f>
        <v/>
      </c>
      <c r="AE832" s="102" t="str">
        <f aca="false">IF(OR($N832="", $O832=""),"",IF($N832&gt;=Lists!$AG$2,IF($O832&gt;=Lists!$AG$4,"High Value / High Risk","High Value / Low Risk"),IF($O832&gt;=Lists!$AG$4,"Low Value / High Risk","Low Value / Low Risk")))</f>
        <v/>
      </c>
      <c r="AF832" s="101"/>
      <c r="AG832" s="126"/>
      <c r="AH832" s="106" t="str">
        <f aca="false">IF($B832="","",COUNTIFS('Debt Backlog'!$AF$2:$AF$1000,$A832,'Debt Backlog'!$B$2:$B$1000,"&lt;&gt;",'Debt Backlog'!$N$2:$N$1000,"&lt;&gt;Done",'Debt Backlog'!$N$2:$N$1000,"&lt;&gt;Won't Fix",'Debt Backlog'!$N$2:$N$1000,"&lt;&gt;Duplicate"))</f>
        <v/>
      </c>
      <c r="AI832" s="103" t="str">
        <f aca="false">IF($B832="","",ROUND(SUMIFS('Debt Backlog'!$L$2:$L$1000,'Debt Backlog'!$AF$2:$AF$1000,$A832,'Debt Backlog'!$B$2:$B$1000,"&lt;&gt;",'Debt Backlog'!$N$2:$N$1000,"&lt;&gt;Done",'Debt Backlog'!$N$2:$N$1000,"&lt;&gt;Won't Fix",'Debt Backlog'!$N$2:$N$1000,"&lt;&gt;Duplicate"),2))</f>
        <v/>
      </c>
    </row>
    <row r="833" customFormat="false" ht="15.75" hidden="false" customHeight="true" outlineLevel="0" collapsed="false">
      <c r="A833" s="125"/>
      <c r="B833" s="101"/>
      <c r="C833" s="101"/>
      <c r="D833" s="101"/>
      <c r="E833" s="101"/>
      <c r="F833" s="101"/>
      <c r="G833" s="101"/>
      <c r="H833" s="101"/>
      <c r="I833" s="106"/>
      <c r="J833" s="106"/>
      <c r="K833" s="106"/>
      <c r="L833" s="106"/>
      <c r="M833" s="106"/>
      <c r="N833" s="103" t="str">
        <f aca="false">IF(OR($B833="", $I833="", $J833="", $K833="", $L833="", $M833=""),"",ROUND(($I833*Lists!$AD$2)+($J833*Lists!$AD$3)+($K833*Lists!$AD$4)+($L833*Lists!$AD$5)+($M833*Lists!$AD$6),2))</f>
        <v/>
      </c>
      <c r="O833" s="103" t="str">
        <f aca="false">IF($A833="","",IFERROR(VLOOKUP($A833,'Risk Register'!$B$2:$I$1000,8,FALSE()),""))</f>
        <v/>
      </c>
      <c r="P833" s="106"/>
      <c r="Q833" s="106"/>
      <c r="R833" s="106"/>
      <c r="S833" s="106"/>
      <c r="T833" s="103" t="str">
        <f aca="false">IF(OR($B833="", $P833="", $Q833="", $R833="", $S833=""),"",ROUND(($P833*Lists!$AD$7)+($Q833*Lists!$AD$8)+($R833*Lists!$AD$9)+($S833*Lists!$AD$10),2))</f>
        <v/>
      </c>
      <c r="U833" s="106"/>
      <c r="V833" s="106"/>
      <c r="W833" s="106"/>
      <c r="X833" s="106"/>
      <c r="Y833" s="106"/>
      <c r="Z833" s="103" t="str">
        <f aca="false">IF(OR($B833="", $U833="", $V833="", $W833="", $X833="", $Y833=""),"",ROUND(($U833*Lists!$AD$11)+($V833*Lists!$AD$12)+($W833*Lists!$AD$13)+($X833*Lists!$AD$14)+($Y833*Lists!$AD$15),2))</f>
        <v/>
      </c>
      <c r="AA833" s="103" t="str">
        <f aca="false">IF(OR($B833="", $N833="", $O833="", $T833="", $Z833=""),"",ROUND(($N833*Lists!$AD$16)-($O833*Lists!$AD$17)-($T833*Lists!$AD$18)+($Z833*Lists!$AD$19),2))</f>
        <v/>
      </c>
      <c r="AB833" s="102" t="str">
        <f aca="false">IF(OR($B833="", $N833="", $Z833=""),"",IF($N833&gt;=Lists!$AG$2,IF($Z833&gt;=Lists!$AG$3,"Invest","Migrate"),IF($Z833&gt;=Lists!$AG$3,"Tolerate","Eliminate")))</f>
        <v/>
      </c>
      <c r="AC833" s="102" t="str">
        <f aca="false">IF($B833="","",IF($J833&gt;=4,"Yes",""))</f>
        <v/>
      </c>
      <c r="AD833" s="102" t="str">
        <f aca="false">IF($A833="","",IFERROR(IF(VLOOKUP($A833,'Risk Register'!$B$2:$H$1000,4,FALSE())&gt;=4,"Yes",""),""))</f>
        <v/>
      </c>
      <c r="AE833" s="102" t="str">
        <f aca="false">IF(OR($N833="", $O833=""),"",IF($N833&gt;=Lists!$AG$2,IF($O833&gt;=Lists!$AG$4,"High Value / High Risk","High Value / Low Risk"),IF($O833&gt;=Lists!$AG$4,"Low Value / High Risk","Low Value / Low Risk")))</f>
        <v/>
      </c>
      <c r="AF833" s="101"/>
      <c r="AG833" s="126"/>
      <c r="AH833" s="106" t="str">
        <f aca="false">IF($B833="","",COUNTIFS('Debt Backlog'!$AF$2:$AF$1000,$A833,'Debt Backlog'!$B$2:$B$1000,"&lt;&gt;",'Debt Backlog'!$N$2:$N$1000,"&lt;&gt;Done",'Debt Backlog'!$N$2:$N$1000,"&lt;&gt;Won't Fix",'Debt Backlog'!$N$2:$N$1000,"&lt;&gt;Duplicate"))</f>
        <v/>
      </c>
      <c r="AI833" s="103" t="str">
        <f aca="false">IF($B833="","",ROUND(SUMIFS('Debt Backlog'!$L$2:$L$1000,'Debt Backlog'!$AF$2:$AF$1000,$A833,'Debt Backlog'!$B$2:$B$1000,"&lt;&gt;",'Debt Backlog'!$N$2:$N$1000,"&lt;&gt;Done",'Debt Backlog'!$N$2:$N$1000,"&lt;&gt;Won't Fix",'Debt Backlog'!$N$2:$N$1000,"&lt;&gt;Duplicate"),2))</f>
        <v/>
      </c>
    </row>
    <row r="834" customFormat="false" ht="15.75" hidden="false" customHeight="true" outlineLevel="0" collapsed="false">
      <c r="A834" s="125"/>
      <c r="B834" s="101"/>
      <c r="C834" s="101"/>
      <c r="D834" s="101"/>
      <c r="E834" s="101"/>
      <c r="F834" s="101"/>
      <c r="G834" s="101"/>
      <c r="H834" s="101"/>
      <c r="I834" s="106"/>
      <c r="J834" s="106"/>
      <c r="K834" s="106"/>
      <c r="L834" s="106"/>
      <c r="M834" s="106"/>
      <c r="N834" s="103" t="str">
        <f aca="false">IF(OR($B834="", $I834="", $J834="", $K834="", $L834="", $M834=""),"",ROUND(($I834*Lists!$AD$2)+($J834*Lists!$AD$3)+($K834*Lists!$AD$4)+($L834*Lists!$AD$5)+($M834*Lists!$AD$6),2))</f>
        <v/>
      </c>
      <c r="O834" s="103" t="str">
        <f aca="false">IF($A834="","",IFERROR(VLOOKUP($A834,'Risk Register'!$B$2:$I$1000,8,FALSE()),""))</f>
        <v/>
      </c>
      <c r="P834" s="106"/>
      <c r="Q834" s="106"/>
      <c r="R834" s="106"/>
      <c r="S834" s="106"/>
      <c r="T834" s="103" t="str">
        <f aca="false">IF(OR($B834="", $P834="", $Q834="", $R834="", $S834=""),"",ROUND(($P834*Lists!$AD$7)+($Q834*Lists!$AD$8)+($R834*Lists!$AD$9)+($S834*Lists!$AD$10),2))</f>
        <v/>
      </c>
      <c r="U834" s="106"/>
      <c r="V834" s="106"/>
      <c r="W834" s="106"/>
      <c r="X834" s="106"/>
      <c r="Y834" s="106"/>
      <c r="Z834" s="103" t="str">
        <f aca="false">IF(OR($B834="", $U834="", $V834="", $W834="", $X834="", $Y834=""),"",ROUND(($U834*Lists!$AD$11)+($V834*Lists!$AD$12)+($W834*Lists!$AD$13)+($X834*Lists!$AD$14)+($Y834*Lists!$AD$15),2))</f>
        <v/>
      </c>
      <c r="AA834" s="103" t="str">
        <f aca="false">IF(OR($B834="", $N834="", $O834="", $T834="", $Z834=""),"",ROUND(($N834*Lists!$AD$16)-($O834*Lists!$AD$17)-($T834*Lists!$AD$18)+($Z834*Lists!$AD$19),2))</f>
        <v/>
      </c>
      <c r="AB834" s="102" t="str">
        <f aca="false">IF(OR($B834="", $N834="", $Z834=""),"",IF($N834&gt;=Lists!$AG$2,IF($Z834&gt;=Lists!$AG$3,"Invest","Migrate"),IF($Z834&gt;=Lists!$AG$3,"Tolerate","Eliminate")))</f>
        <v/>
      </c>
      <c r="AC834" s="102" t="str">
        <f aca="false">IF($B834="","",IF($J834&gt;=4,"Yes",""))</f>
        <v/>
      </c>
      <c r="AD834" s="102" t="str">
        <f aca="false">IF($A834="","",IFERROR(IF(VLOOKUP($A834,'Risk Register'!$B$2:$H$1000,4,FALSE())&gt;=4,"Yes",""),""))</f>
        <v/>
      </c>
      <c r="AE834" s="102" t="str">
        <f aca="false">IF(OR($N834="", $O834=""),"",IF($N834&gt;=Lists!$AG$2,IF($O834&gt;=Lists!$AG$4,"High Value / High Risk","High Value / Low Risk"),IF($O834&gt;=Lists!$AG$4,"Low Value / High Risk","Low Value / Low Risk")))</f>
        <v/>
      </c>
      <c r="AF834" s="101"/>
      <c r="AG834" s="126"/>
      <c r="AH834" s="106" t="str">
        <f aca="false">IF($B834="","",COUNTIFS('Debt Backlog'!$AF$2:$AF$1000,$A834,'Debt Backlog'!$B$2:$B$1000,"&lt;&gt;",'Debt Backlog'!$N$2:$N$1000,"&lt;&gt;Done",'Debt Backlog'!$N$2:$N$1000,"&lt;&gt;Won't Fix",'Debt Backlog'!$N$2:$N$1000,"&lt;&gt;Duplicate"))</f>
        <v/>
      </c>
      <c r="AI834" s="103" t="str">
        <f aca="false">IF($B834="","",ROUND(SUMIFS('Debt Backlog'!$L$2:$L$1000,'Debt Backlog'!$AF$2:$AF$1000,$A834,'Debt Backlog'!$B$2:$B$1000,"&lt;&gt;",'Debt Backlog'!$N$2:$N$1000,"&lt;&gt;Done",'Debt Backlog'!$N$2:$N$1000,"&lt;&gt;Won't Fix",'Debt Backlog'!$N$2:$N$1000,"&lt;&gt;Duplicate"),2))</f>
        <v/>
      </c>
    </row>
    <row r="835" customFormat="false" ht="15.75" hidden="false" customHeight="true" outlineLevel="0" collapsed="false">
      <c r="A835" s="125"/>
      <c r="B835" s="101"/>
      <c r="C835" s="101"/>
      <c r="D835" s="101"/>
      <c r="E835" s="101"/>
      <c r="F835" s="101"/>
      <c r="G835" s="101"/>
      <c r="H835" s="101"/>
      <c r="I835" s="106"/>
      <c r="J835" s="106"/>
      <c r="K835" s="106"/>
      <c r="L835" s="106"/>
      <c r="M835" s="106"/>
      <c r="N835" s="103" t="str">
        <f aca="false">IF(OR($B835="", $I835="", $J835="", $K835="", $L835="", $M835=""),"",ROUND(($I835*Lists!$AD$2)+($J835*Lists!$AD$3)+($K835*Lists!$AD$4)+($L835*Lists!$AD$5)+($M835*Lists!$AD$6),2))</f>
        <v/>
      </c>
      <c r="O835" s="103" t="str">
        <f aca="false">IF($A835="","",IFERROR(VLOOKUP($A835,'Risk Register'!$B$2:$I$1000,8,FALSE()),""))</f>
        <v/>
      </c>
      <c r="P835" s="106"/>
      <c r="Q835" s="106"/>
      <c r="R835" s="106"/>
      <c r="S835" s="106"/>
      <c r="T835" s="103" t="str">
        <f aca="false">IF(OR($B835="", $P835="", $Q835="", $R835="", $S835=""),"",ROUND(($P835*Lists!$AD$7)+($Q835*Lists!$AD$8)+($R835*Lists!$AD$9)+($S835*Lists!$AD$10),2))</f>
        <v/>
      </c>
      <c r="U835" s="106"/>
      <c r="V835" s="106"/>
      <c r="W835" s="106"/>
      <c r="X835" s="106"/>
      <c r="Y835" s="106"/>
      <c r="Z835" s="103" t="str">
        <f aca="false">IF(OR($B835="", $U835="", $V835="", $W835="", $X835="", $Y835=""),"",ROUND(($U835*Lists!$AD$11)+($V835*Lists!$AD$12)+($W835*Lists!$AD$13)+($X835*Lists!$AD$14)+($Y835*Lists!$AD$15),2))</f>
        <v/>
      </c>
      <c r="AA835" s="103" t="str">
        <f aca="false">IF(OR($B835="", $N835="", $O835="", $T835="", $Z835=""),"",ROUND(($N835*Lists!$AD$16)-($O835*Lists!$AD$17)-($T835*Lists!$AD$18)+($Z835*Lists!$AD$19),2))</f>
        <v/>
      </c>
      <c r="AB835" s="102" t="str">
        <f aca="false">IF(OR($B835="", $N835="", $Z835=""),"",IF($N835&gt;=Lists!$AG$2,IF($Z835&gt;=Lists!$AG$3,"Invest","Migrate"),IF($Z835&gt;=Lists!$AG$3,"Tolerate","Eliminate")))</f>
        <v/>
      </c>
      <c r="AC835" s="102" t="str">
        <f aca="false">IF($B835="","",IF($J835&gt;=4,"Yes",""))</f>
        <v/>
      </c>
      <c r="AD835" s="102" t="str">
        <f aca="false">IF($A835="","",IFERROR(IF(VLOOKUP($A835,'Risk Register'!$B$2:$H$1000,4,FALSE())&gt;=4,"Yes",""),""))</f>
        <v/>
      </c>
      <c r="AE835" s="102" t="str">
        <f aca="false">IF(OR($N835="", $O835=""),"",IF($N835&gt;=Lists!$AG$2,IF($O835&gt;=Lists!$AG$4,"High Value / High Risk","High Value / Low Risk"),IF($O835&gt;=Lists!$AG$4,"Low Value / High Risk","Low Value / Low Risk")))</f>
        <v/>
      </c>
      <c r="AF835" s="101"/>
      <c r="AG835" s="126"/>
      <c r="AH835" s="106" t="str">
        <f aca="false">IF($B835="","",COUNTIFS('Debt Backlog'!$AF$2:$AF$1000,$A835,'Debt Backlog'!$B$2:$B$1000,"&lt;&gt;",'Debt Backlog'!$N$2:$N$1000,"&lt;&gt;Done",'Debt Backlog'!$N$2:$N$1000,"&lt;&gt;Won't Fix",'Debt Backlog'!$N$2:$N$1000,"&lt;&gt;Duplicate"))</f>
        <v/>
      </c>
      <c r="AI835" s="103" t="str">
        <f aca="false">IF($B835="","",ROUND(SUMIFS('Debt Backlog'!$L$2:$L$1000,'Debt Backlog'!$AF$2:$AF$1000,$A835,'Debt Backlog'!$B$2:$B$1000,"&lt;&gt;",'Debt Backlog'!$N$2:$N$1000,"&lt;&gt;Done",'Debt Backlog'!$N$2:$N$1000,"&lt;&gt;Won't Fix",'Debt Backlog'!$N$2:$N$1000,"&lt;&gt;Duplicate"),2))</f>
        <v/>
      </c>
    </row>
    <row r="836" customFormat="false" ht="15.75" hidden="false" customHeight="true" outlineLevel="0" collapsed="false">
      <c r="A836" s="125"/>
      <c r="B836" s="101"/>
      <c r="C836" s="101"/>
      <c r="D836" s="101"/>
      <c r="E836" s="101"/>
      <c r="F836" s="101"/>
      <c r="G836" s="101"/>
      <c r="H836" s="101"/>
      <c r="I836" s="106"/>
      <c r="J836" s="106"/>
      <c r="K836" s="106"/>
      <c r="L836" s="106"/>
      <c r="M836" s="106"/>
      <c r="N836" s="103" t="str">
        <f aca="false">IF(OR($B836="", $I836="", $J836="", $K836="", $L836="", $M836=""),"",ROUND(($I836*Lists!$AD$2)+($J836*Lists!$AD$3)+($K836*Lists!$AD$4)+($L836*Lists!$AD$5)+($M836*Lists!$AD$6),2))</f>
        <v/>
      </c>
      <c r="O836" s="103" t="str">
        <f aca="false">IF($A836="","",IFERROR(VLOOKUP($A836,'Risk Register'!$B$2:$I$1000,8,FALSE()),""))</f>
        <v/>
      </c>
      <c r="P836" s="106"/>
      <c r="Q836" s="106"/>
      <c r="R836" s="106"/>
      <c r="S836" s="106"/>
      <c r="T836" s="103" t="str">
        <f aca="false">IF(OR($B836="", $P836="", $Q836="", $R836="", $S836=""),"",ROUND(($P836*Lists!$AD$7)+($Q836*Lists!$AD$8)+($R836*Lists!$AD$9)+($S836*Lists!$AD$10),2))</f>
        <v/>
      </c>
      <c r="U836" s="106"/>
      <c r="V836" s="106"/>
      <c r="W836" s="106"/>
      <c r="X836" s="106"/>
      <c r="Y836" s="106"/>
      <c r="Z836" s="103" t="str">
        <f aca="false">IF(OR($B836="", $U836="", $V836="", $W836="", $X836="", $Y836=""),"",ROUND(($U836*Lists!$AD$11)+($V836*Lists!$AD$12)+($W836*Lists!$AD$13)+($X836*Lists!$AD$14)+($Y836*Lists!$AD$15),2))</f>
        <v/>
      </c>
      <c r="AA836" s="103" t="str">
        <f aca="false">IF(OR($B836="", $N836="", $O836="", $T836="", $Z836=""),"",ROUND(($N836*Lists!$AD$16)-($O836*Lists!$AD$17)-($T836*Lists!$AD$18)+($Z836*Lists!$AD$19),2))</f>
        <v/>
      </c>
      <c r="AB836" s="102" t="str">
        <f aca="false">IF(OR($B836="", $N836="", $Z836=""),"",IF($N836&gt;=Lists!$AG$2,IF($Z836&gt;=Lists!$AG$3,"Invest","Migrate"),IF($Z836&gt;=Lists!$AG$3,"Tolerate","Eliminate")))</f>
        <v/>
      </c>
      <c r="AC836" s="102" t="str">
        <f aca="false">IF($B836="","",IF($J836&gt;=4,"Yes",""))</f>
        <v/>
      </c>
      <c r="AD836" s="102" t="str">
        <f aca="false">IF($A836="","",IFERROR(IF(VLOOKUP($A836,'Risk Register'!$B$2:$H$1000,4,FALSE())&gt;=4,"Yes",""),""))</f>
        <v/>
      </c>
      <c r="AE836" s="102" t="str">
        <f aca="false">IF(OR($N836="", $O836=""),"",IF($N836&gt;=Lists!$AG$2,IF($O836&gt;=Lists!$AG$4,"High Value / High Risk","High Value / Low Risk"),IF($O836&gt;=Lists!$AG$4,"Low Value / High Risk","Low Value / Low Risk")))</f>
        <v/>
      </c>
      <c r="AF836" s="101"/>
      <c r="AG836" s="126"/>
      <c r="AH836" s="106" t="str">
        <f aca="false">IF($B836="","",COUNTIFS('Debt Backlog'!$AF$2:$AF$1000,$A836,'Debt Backlog'!$B$2:$B$1000,"&lt;&gt;",'Debt Backlog'!$N$2:$N$1000,"&lt;&gt;Done",'Debt Backlog'!$N$2:$N$1000,"&lt;&gt;Won't Fix",'Debt Backlog'!$N$2:$N$1000,"&lt;&gt;Duplicate"))</f>
        <v/>
      </c>
      <c r="AI836" s="103" t="str">
        <f aca="false">IF($B836="","",ROUND(SUMIFS('Debt Backlog'!$L$2:$L$1000,'Debt Backlog'!$AF$2:$AF$1000,$A836,'Debt Backlog'!$B$2:$B$1000,"&lt;&gt;",'Debt Backlog'!$N$2:$N$1000,"&lt;&gt;Done",'Debt Backlog'!$N$2:$N$1000,"&lt;&gt;Won't Fix",'Debt Backlog'!$N$2:$N$1000,"&lt;&gt;Duplicate"),2))</f>
        <v/>
      </c>
    </row>
    <row r="837" customFormat="false" ht="15.75" hidden="false" customHeight="true" outlineLevel="0" collapsed="false">
      <c r="A837" s="125"/>
      <c r="B837" s="101"/>
      <c r="C837" s="101"/>
      <c r="D837" s="101"/>
      <c r="E837" s="101"/>
      <c r="F837" s="101"/>
      <c r="G837" s="101"/>
      <c r="H837" s="101"/>
      <c r="I837" s="106"/>
      <c r="J837" s="106"/>
      <c r="K837" s="106"/>
      <c r="L837" s="106"/>
      <c r="M837" s="106"/>
      <c r="N837" s="103" t="str">
        <f aca="false">IF(OR($B837="", $I837="", $J837="", $K837="", $L837="", $M837=""),"",ROUND(($I837*Lists!$AD$2)+($J837*Lists!$AD$3)+($K837*Lists!$AD$4)+($L837*Lists!$AD$5)+($M837*Lists!$AD$6),2))</f>
        <v/>
      </c>
      <c r="O837" s="103" t="str">
        <f aca="false">IF($A837="","",IFERROR(VLOOKUP($A837,'Risk Register'!$B$2:$I$1000,8,FALSE()),""))</f>
        <v/>
      </c>
      <c r="P837" s="106"/>
      <c r="Q837" s="106"/>
      <c r="R837" s="106"/>
      <c r="S837" s="106"/>
      <c r="T837" s="103" t="str">
        <f aca="false">IF(OR($B837="", $P837="", $Q837="", $R837="", $S837=""),"",ROUND(($P837*Lists!$AD$7)+($Q837*Lists!$AD$8)+($R837*Lists!$AD$9)+($S837*Lists!$AD$10),2))</f>
        <v/>
      </c>
      <c r="U837" s="106"/>
      <c r="V837" s="106"/>
      <c r="W837" s="106"/>
      <c r="X837" s="106"/>
      <c r="Y837" s="106"/>
      <c r="Z837" s="103" t="str">
        <f aca="false">IF(OR($B837="", $U837="", $V837="", $W837="", $X837="", $Y837=""),"",ROUND(($U837*Lists!$AD$11)+($V837*Lists!$AD$12)+($W837*Lists!$AD$13)+($X837*Lists!$AD$14)+($Y837*Lists!$AD$15),2))</f>
        <v/>
      </c>
      <c r="AA837" s="103" t="str">
        <f aca="false">IF(OR($B837="", $N837="", $O837="", $T837="", $Z837=""),"",ROUND(($N837*Lists!$AD$16)-($O837*Lists!$AD$17)-($T837*Lists!$AD$18)+($Z837*Lists!$AD$19),2))</f>
        <v/>
      </c>
      <c r="AB837" s="102" t="str">
        <f aca="false">IF(OR($B837="", $N837="", $Z837=""),"",IF($N837&gt;=Lists!$AG$2,IF($Z837&gt;=Lists!$AG$3,"Invest","Migrate"),IF($Z837&gt;=Lists!$AG$3,"Tolerate","Eliminate")))</f>
        <v/>
      </c>
      <c r="AC837" s="102" t="str">
        <f aca="false">IF($B837="","",IF($J837&gt;=4,"Yes",""))</f>
        <v/>
      </c>
      <c r="AD837" s="102" t="str">
        <f aca="false">IF($A837="","",IFERROR(IF(VLOOKUP($A837,'Risk Register'!$B$2:$H$1000,4,FALSE())&gt;=4,"Yes",""),""))</f>
        <v/>
      </c>
      <c r="AE837" s="102" t="str">
        <f aca="false">IF(OR($N837="", $O837=""),"",IF($N837&gt;=Lists!$AG$2,IF($O837&gt;=Lists!$AG$4,"High Value / High Risk","High Value / Low Risk"),IF($O837&gt;=Lists!$AG$4,"Low Value / High Risk","Low Value / Low Risk")))</f>
        <v/>
      </c>
      <c r="AF837" s="101"/>
      <c r="AG837" s="126"/>
      <c r="AH837" s="106" t="str">
        <f aca="false">IF($B837="","",COUNTIFS('Debt Backlog'!$AF$2:$AF$1000,$A837,'Debt Backlog'!$B$2:$B$1000,"&lt;&gt;",'Debt Backlog'!$N$2:$N$1000,"&lt;&gt;Done",'Debt Backlog'!$N$2:$N$1000,"&lt;&gt;Won't Fix",'Debt Backlog'!$N$2:$N$1000,"&lt;&gt;Duplicate"))</f>
        <v/>
      </c>
      <c r="AI837" s="103" t="str">
        <f aca="false">IF($B837="","",ROUND(SUMIFS('Debt Backlog'!$L$2:$L$1000,'Debt Backlog'!$AF$2:$AF$1000,$A837,'Debt Backlog'!$B$2:$B$1000,"&lt;&gt;",'Debt Backlog'!$N$2:$N$1000,"&lt;&gt;Done",'Debt Backlog'!$N$2:$N$1000,"&lt;&gt;Won't Fix",'Debt Backlog'!$N$2:$N$1000,"&lt;&gt;Duplicate"),2))</f>
        <v/>
      </c>
    </row>
    <row r="838" customFormat="false" ht="15.75" hidden="false" customHeight="true" outlineLevel="0" collapsed="false">
      <c r="A838" s="125"/>
      <c r="B838" s="101"/>
      <c r="C838" s="101"/>
      <c r="D838" s="101"/>
      <c r="E838" s="101"/>
      <c r="F838" s="101"/>
      <c r="G838" s="101"/>
      <c r="H838" s="101"/>
      <c r="I838" s="106"/>
      <c r="J838" s="106"/>
      <c r="K838" s="106"/>
      <c r="L838" s="106"/>
      <c r="M838" s="106"/>
      <c r="N838" s="103" t="str">
        <f aca="false">IF(OR($B838="", $I838="", $J838="", $K838="", $L838="", $M838=""),"",ROUND(($I838*Lists!$AD$2)+($J838*Lists!$AD$3)+($K838*Lists!$AD$4)+($L838*Lists!$AD$5)+($M838*Lists!$AD$6),2))</f>
        <v/>
      </c>
      <c r="O838" s="103" t="str">
        <f aca="false">IF($A838="","",IFERROR(VLOOKUP($A838,'Risk Register'!$B$2:$I$1000,8,FALSE()),""))</f>
        <v/>
      </c>
      <c r="P838" s="106"/>
      <c r="Q838" s="106"/>
      <c r="R838" s="106"/>
      <c r="S838" s="106"/>
      <c r="T838" s="103" t="str">
        <f aca="false">IF(OR($B838="", $P838="", $Q838="", $R838="", $S838=""),"",ROUND(($P838*Lists!$AD$7)+($Q838*Lists!$AD$8)+($R838*Lists!$AD$9)+($S838*Lists!$AD$10),2))</f>
        <v/>
      </c>
      <c r="U838" s="106"/>
      <c r="V838" s="106"/>
      <c r="W838" s="106"/>
      <c r="X838" s="106"/>
      <c r="Y838" s="106"/>
      <c r="Z838" s="103" t="str">
        <f aca="false">IF(OR($B838="", $U838="", $V838="", $W838="", $X838="", $Y838=""),"",ROUND(($U838*Lists!$AD$11)+($V838*Lists!$AD$12)+($W838*Lists!$AD$13)+($X838*Lists!$AD$14)+($Y838*Lists!$AD$15),2))</f>
        <v/>
      </c>
      <c r="AA838" s="103" t="str">
        <f aca="false">IF(OR($B838="", $N838="", $O838="", $T838="", $Z838=""),"",ROUND(($N838*Lists!$AD$16)-($O838*Lists!$AD$17)-($T838*Lists!$AD$18)+($Z838*Lists!$AD$19),2))</f>
        <v/>
      </c>
      <c r="AB838" s="102" t="str">
        <f aca="false">IF(OR($B838="", $N838="", $Z838=""),"",IF($N838&gt;=Lists!$AG$2,IF($Z838&gt;=Lists!$AG$3,"Invest","Migrate"),IF($Z838&gt;=Lists!$AG$3,"Tolerate","Eliminate")))</f>
        <v/>
      </c>
      <c r="AC838" s="102" t="str">
        <f aca="false">IF($B838="","",IF($J838&gt;=4,"Yes",""))</f>
        <v/>
      </c>
      <c r="AD838" s="102" t="str">
        <f aca="false">IF($A838="","",IFERROR(IF(VLOOKUP($A838,'Risk Register'!$B$2:$H$1000,4,FALSE())&gt;=4,"Yes",""),""))</f>
        <v/>
      </c>
      <c r="AE838" s="102" t="str">
        <f aca="false">IF(OR($N838="", $O838=""),"",IF($N838&gt;=Lists!$AG$2,IF($O838&gt;=Lists!$AG$4,"High Value / High Risk","High Value / Low Risk"),IF($O838&gt;=Lists!$AG$4,"Low Value / High Risk","Low Value / Low Risk")))</f>
        <v/>
      </c>
      <c r="AF838" s="101"/>
      <c r="AG838" s="126"/>
      <c r="AH838" s="106" t="str">
        <f aca="false">IF($B838="","",COUNTIFS('Debt Backlog'!$AF$2:$AF$1000,$A838,'Debt Backlog'!$B$2:$B$1000,"&lt;&gt;",'Debt Backlog'!$N$2:$N$1000,"&lt;&gt;Done",'Debt Backlog'!$N$2:$N$1000,"&lt;&gt;Won't Fix",'Debt Backlog'!$N$2:$N$1000,"&lt;&gt;Duplicate"))</f>
        <v/>
      </c>
      <c r="AI838" s="103" t="str">
        <f aca="false">IF($B838="","",ROUND(SUMIFS('Debt Backlog'!$L$2:$L$1000,'Debt Backlog'!$AF$2:$AF$1000,$A838,'Debt Backlog'!$B$2:$B$1000,"&lt;&gt;",'Debt Backlog'!$N$2:$N$1000,"&lt;&gt;Done",'Debt Backlog'!$N$2:$N$1000,"&lt;&gt;Won't Fix",'Debt Backlog'!$N$2:$N$1000,"&lt;&gt;Duplicate"),2))</f>
        <v/>
      </c>
    </row>
    <row r="839" customFormat="false" ht="15.75" hidden="false" customHeight="true" outlineLevel="0" collapsed="false">
      <c r="A839" s="125"/>
      <c r="B839" s="101"/>
      <c r="C839" s="101"/>
      <c r="D839" s="101"/>
      <c r="E839" s="101"/>
      <c r="F839" s="101"/>
      <c r="G839" s="101"/>
      <c r="H839" s="101"/>
      <c r="I839" s="106"/>
      <c r="J839" s="106"/>
      <c r="K839" s="106"/>
      <c r="L839" s="106"/>
      <c r="M839" s="106"/>
      <c r="N839" s="103" t="str">
        <f aca="false">IF(OR($B839="", $I839="", $J839="", $K839="", $L839="", $M839=""),"",ROUND(($I839*Lists!$AD$2)+($J839*Lists!$AD$3)+($K839*Lists!$AD$4)+($L839*Lists!$AD$5)+($M839*Lists!$AD$6),2))</f>
        <v/>
      </c>
      <c r="O839" s="103" t="str">
        <f aca="false">IF($A839="","",IFERROR(VLOOKUP($A839,'Risk Register'!$B$2:$I$1000,8,FALSE()),""))</f>
        <v/>
      </c>
      <c r="P839" s="106"/>
      <c r="Q839" s="106"/>
      <c r="R839" s="106"/>
      <c r="S839" s="106"/>
      <c r="T839" s="103" t="str">
        <f aca="false">IF(OR($B839="", $P839="", $Q839="", $R839="", $S839=""),"",ROUND(($P839*Lists!$AD$7)+($Q839*Lists!$AD$8)+($R839*Lists!$AD$9)+($S839*Lists!$AD$10),2))</f>
        <v/>
      </c>
      <c r="U839" s="106"/>
      <c r="V839" s="106"/>
      <c r="W839" s="106"/>
      <c r="X839" s="106"/>
      <c r="Y839" s="106"/>
      <c r="Z839" s="103" t="str">
        <f aca="false">IF(OR($B839="", $U839="", $V839="", $W839="", $X839="", $Y839=""),"",ROUND(($U839*Lists!$AD$11)+($V839*Lists!$AD$12)+($W839*Lists!$AD$13)+($X839*Lists!$AD$14)+($Y839*Lists!$AD$15),2))</f>
        <v/>
      </c>
      <c r="AA839" s="103" t="str">
        <f aca="false">IF(OR($B839="", $N839="", $O839="", $T839="", $Z839=""),"",ROUND(($N839*Lists!$AD$16)-($O839*Lists!$AD$17)-($T839*Lists!$AD$18)+($Z839*Lists!$AD$19),2))</f>
        <v/>
      </c>
      <c r="AB839" s="102" t="str">
        <f aca="false">IF(OR($B839="", $N839="", $Z839=""),"",IF($N839&gt;=Lists!$AG$2,IF($Z839&gt;=Lists!$AG$3,"Invest","Migrate"),IF($Z839&gt;=Lists!$AG$3,"Tolerate","Eliminate")))</f>
        <v/>
      </c>
      <c r="AC839" s="102" t="str">
        <f aca="false">IF($B839="","",IF($J839&gt;=4,"Yes",""))</f>
        <v/>
      </c>
      <c r="AD839" s="102" t="str">
        <f aca="false">IF($A839="","",IFERROR(IF(VLOOKUP($A839,'Risk Register'!$B$2:$H$1000,4,FALSE())&gt;=4,"Yes",""),""))</f>
        <v/>
      </c>
      <c r="AE839" s="102" t="str">
        <f aca="false">IF(OR($N839="", $O839=""),"",IF($N839&gt;=Lists!$AG$2,IF($O839&gt;=Lists!$AG$4,"High Value / High Risk","High Value / Low Risk"),IF($O839&gt;=Lists!$AG$4,"Low Value / High Risk","Low Value / Low Risk")))</f>
        <v/>
      </c>
      <c r="AF839" s="101"/>
      <c r="AG839" s="126"/>
      <c r="AH839" s="106" t="str">
        <f aca="false">IF($B839="","",COUNTIFS('Debt Backlog'!$AF$2:$AF$1000,$A839,'Debt Backlog'!$B$2:$B$1000,"&lt;&gt;",'Debt Backlog'!$N$2:$N$1000,"&lt;&gt;Done",'Debt Backlog'!$N$2:$N$1000,"&lt;&gt;Won't Fix",'Debt Backlog'!$N$2:$N$1000,"&lt;&gt;Duplicate"))</f>
        <v/>
      </c>
      <c r="AI839" s="103" t="str">
        <f aca="false">IF($B839="","",ROUND(SUMIFS('Debt Backlog'!$L$2:$L$1000,'Debt Backlog'!$AF$2:$AF$1000,$A839,'Debt Backlog'!$B$2:$B$1000,"&lt;&gt;",'Debt Backlog'!$N$2:$N$1000,"&lt;&gt;Done",'Debt Backlog'!$N$2:$N$1000,"&lt;&gt;Won't Fix",'Debt Backlog'!$N$2:$N$1000,"&lt;&gt;Duplicate"),2))</f>
        <v/>
      </c>
    </row>
    <row r="840" customFormat="false" ht="15.75" hidden="false" customHeight="true" outlineLevel="0" collapsed="false">
      <c r="A840" s="125"/>
      <c r="B840" s="101"/>
      <c r="C840" s="101"/>
      <c r="D840" s="101"/>
      <c r="E840" s="101"/>
      <c r="F840" s="101"/>
      <c r="G840" s="101"/>
      <c r="H840" s="101"/>
      <c r="I840" s="106"/>
      <c r="J840" s="106"/>
      <c r="K840" s="106"/>
      <c r="L840" s="106"/>
      <c r="M840" s="106"/>
      <c r="N840" s="103" t="str">
        <f aca="false">IF(OR($B840="", $I840="", $J840="", $K840="", $L840="", $M840=""),"",ROUND(($I840*Lists!$AD$2)+($J840*Lists!$AD$3)+($K840*Lists!$AD$4)+($L840*Lists!$AD$5)+($M840*Lists!$AD$6),2))</f>
        <v/>
      </c>
      <c r="O840" s="103" t="str">
        <f aca="false">IF($A840="","",IFERROR(VLOOKUP($A840,'Risk Register'!$B$2:$I$1000,8,FALSE()),""))</f>
        <v/>
      </c>
      <c r="P840" s="106"/>
      <c r="Q840" s="106"/>
      <c r="R840" s="106"/>
      <c r="S840" s="106"/>
      <c r="T840" s="103" t="str">
        <f aca="false">IF(OR($B840="", $P840="", $Q840="", $R840="", $S840=""),"",ROUND(($P840*Lists!$AD$7)+($Q840*Lists!$AD$8)+($R840*Lists!$AD$9)+($S840*Lists!$AD$10),2))</f>
        <v/>
      </c>
      <c r="U840" s="106"/>
      <c r="V840" s="106"/>
      <c r="W840" s="106"/>
      <c r="X840" s="106"/>
      <c r="Y840" s="106"/>
      <c r="Z840" s="103" t="str">
        <f aca="false">IF(OR($B840="", $U840="", $V840="", $W840="", $X840="", $Y840=""),"",ROUND(($U840*Lists!$AD$11)+($V840*Lists!$AD$12)+($W840*Lists!$AD$13)+($X840*Lists!$AD$14)+($Y840*Lists!$AD$15),2))</f>
        <v/>
      </c>
      <c r="AA840" s="103" t="str">
        <f aca="false">IF(OR($B840="", $N840="", $O840="", $T840="", $Z840=""),"",ROUND(($N840*Lists!$AD$16)-($O840*Lists!$AD$17)-($T840*Lists!$AD$18)+($Z840*Lists!$AD$19),2))</f>
        <v/>
      </c>
      <c r="AB840" s="102" t="str">
        <f aca="false">IF(OR($B840="", $N840="", $Z840=""),"",IF($N840&gt;=Lists!$AG$2,IF($Z840&gt;=Lists!$AG$3,"Invest","Migrate"),IF($Z840&gt;=Lists!$AG$3,"Tolerate","Eliminate")))</f>
        <v/>
      </c>
      <c r="AC840" s="102" t="str">
        <f aca="false">IF($B840="","",IF($J840&gt;=4,"Yes",""))</f>
        <v/>
      </c>
      <c r="AD840" s="102" t="str">
        <f aca="false">IF($A840="","",IFERROR(IF(VLOOKUP($A840,'Risk Register'!$B$2:$H$1000,4,FALSE())&gt;=4,"Yes",""),""))</f>
        <v/>
      </c>
      <c r="AE840" s="102" t="str">
        <f aca="false">IF(OR($N840="", $O840=""),"",IF($N840&gt;=Lists!$AG$2,IF($O840&gt;=Lists!$AG$4,"High Value / High Risk","High Value / Low Risk"),IF($O840&gt;=Lists!$AG$4,"Low Value / High Risk","Low Value / Low Risk")))</f>
        <v/>
      </c>
      <c r="AF840" s="101"/>
      <c r="AG840" s="126"/>
      <c r="AH840" s="106" t="str">
        <f aca="false">IF($B840="","",COUNTIFS('Debt Backlog'!$AF$2:$AF$1000,$A840,'Debt Backlog'!$B$2:$B$1000,"&lt;&gt;",'Debt Backlog'!$N$2:$N$1000,"&lt;&gt;Done",'Debt Backlog'!$N$2:$N$1000,"&lt;&gt;Won't Fix",'Debt Backlog'!$N$2:$N$1000,"&lt;&gt;Duplicate"))</f>
        <v/>
      </c>
      <c r="AI840" s="103" t="str">
        <f aca="false">IF($B840="","",ROUND(SUMIFS('Debt Backlog'!$L$2:$L$1000,'Debt Backlog'!$AF$2:$AF$1000,$A840,'Debt Backlog'!$B$2:$B$1000,"&lt;&gt;",'Debt Backlog'!$N$2:$N$1000,"&lt;&gt;Done",'Debt Backlog'!$N$2:$N$1000,"&lt;&gt;Won't Fix",'Debt Backlog'!$N$2:$N$1000,"&lt;&gt;Duplicate"),2))</f>
        <v/>
      </c>
    </row>
    <row r="841" customFormat="false" ht="15.75" hidden="false" customHeight="true" outlineLevel="0" collapsed="false">
      <c r="A841" s="125"/>
      <c r="B841" s="101"/>
      <c r="C841" s="101"/>
      <c r="D841" s="101"/>
      <c r="E841" s="101"/>
      <c r="F841" s="101"/>
      <c r="G841" s="101"/>
      <c r="H841" s="101"/>
      <c r="I841" s="106"/>
      <c r="J841" s="106"/>
      <c r="K841" s="106"/>
      <c r="L841" s="106"/>
      <c r="M841" s="106"/>
      <c r="N841" s="103" t="str">
        <f aca="false">IF(OR($B841="", $I841="", $J841="", $K841="", $L841="", $M841=""),"",ROUND(($I841*Lists!$AD$2)+($J841*Lists!$AD$3)+($K841*Lists!$AD$4)+($L841*Lists!$AD$5)+($M841*Lists!$AD$6),2))</f>
        <v/>
      </c>
      <c r="O841" s="103" t="str">
        <f aca="false">IF($A841="","",IFERROR(VLOOKUP($A841,'Risk Register'!$B$2:$I$1000,8,FALSE()),""))</f>
        <v/>
      </c>
      <c r="P841" s="106"/>
      <c r="Q841" s="106"/>
      <c r="R841" s="106"/>
      <c r="S841" s="106"/>
      <c r="T841" s="103" t="str">
        <f aca="false">IF(OR($B841="", $P841="", $Q841="", $R841="", $S841=""),"",ROUND(($P841*Lists!$AD$7)+($Q841*Lists!$AD$8)+($R841*Lists!$AD$9)+($S841*Lists!$AD$10),2))</f>
        <v/>
      </c>
      <c r="U841" s="106"/>
      <c r="V841" s="106"/>
      <c r="W841" s="106"/>
      <c r="X841" s="106"/>
      <c r="Y841" s="106"/>
      <c r="Z841" s="103" t="str">
        <f aca="false">IF(OR($B841="", $U841="", $V841="", $W841="", $X841="", $Y841=""),"",ROUND(($U841*Lists!$AD$11)+($V841*Lists!$AD$12)+($W841*Lists!$AD$13)+($X841*Lists!$AD$14)+($Y841*Lists!$AD$15),2))</f>
        <v/>
      </c>
      <c r="AA841" s="103" t="str">
        <f aca="false">IF(OR($B841="", $N841="", $O841="", $T841="", $Z841=""),"",ROUND(($N841*Lists!$AD$16)-($O841*Lists!$AD$17)-($T841*Lists!$AD$18)+($Z841*Lists!$AD$19),2))</f>
        <v/>
      </c>
      <c r="AB841" s="102" t="str">
        <f aca="false">IF(OR($B841="", $N841="", $Z841=""),"",IF($N841&gt;=Lists!$AG$2,IF($Z841&gt;=Lists!$AG$3,"Invest","Migrate"),IF($Z841&gt;=Lists!$AG$3,"Tolerate","Eliminate")))</f>
        <v/>
      </c>
      <c r="AC841" s="102" t="str">
        <f aca="false">IF($B841="","",IF($J841&gt;=4,"Yes",""))</f>
        <v/>
      </c>
      <c r="AD841" s="102" t="str">
        <f aca="false">IF($A841="","",IFERROR(IF(VLOOKUP($A841,'Risk Register'!$B$2:$H$1000,4,FALSE())&gt;=4,"Yes",""),""))</f>
        <v/>
      </c>
      <c r="AE841" s="102" t="str">
        <f aca="false">IF(OR($N841="", $O841=""),"",IF($N841&gt;=Lists!$AG$2,IF($O841&gt;=Lists!$AG$4,"High Value / High Risk","High Value / Low Risk"),IF($O841&gt;=Lists!$AG$4,"Low Value / High Risk","Low Value / Low Risk")))</f>
        <v/>
      </c>
      <c r="AF841" s="101"/>
      <c r="AG841" s="126"/>
      <c r="AH841" s="106" t="str">
        <f aca="false">IF($B841="","",COUNTIFS('Debt Backlog'!$AF$2:$AF$1000,$A841,'Debt Backlog'!$B$2:$B$1000,"&lt;&gt;",'Debt Backlog'!$N$2:$N$1000,"&lt;&gt;Done",'Debt Backlog'!$N$2:$N$1000,"&lt;&gt;Won't Fix",'Debt Backlog'!$N$2:$N$1000,"&lt;&gt;Duplicate"))</f>
        <v/>
      </c>
      <c r="AI841" s="103" t="str">
        <f aca="false">IF($B841="","",ROUND(SUMIFS('Debt Backlog'!$L$2:$L$1000,'Debt Backlog'!$AF$2:$AF$1000,$A841,'Debt Backlog'!$B$2:$B$1000,"&lt;&gt;",'Debt Backlog'!$N$2:$N$1000,"&lt;&gt;Done",'Debt Backlog'!$N$2:$N$1000,"&lt;&gt;Won't Fix",'Debt Backlog'!$N$2:$N$1000,"&lt;&gt;Duplicate"),2))</f>
        <v/>
      </c>
    </row>
    <row r="842" customFormat="false" ht="15.75" hidden="false" customHeight="true" outlineLevel="0" collapsed="false">
      <c r="A842" s="125"/>
      <c r="B842" s="101"/>
      <c r="C842" s="101"/>
      <c r="D842" s="101"/>
      <c r="E842" s="101"/>
      <c r="F842" s="101"/>
      <c r="G842" s="101"/>
      <c r="H842" s="101"/>
      <c r="I842" s="106"/>
      <c r="J842" s="106"/>
      <c r="K842" s="106"/>
      <c r="L842" s="106"/>
      <c r="M842" s="106"/>
      <c r="N842" s="103" t="str">
        <f aca="false">IF(OR($B842="", $I842="", $J842="", $K842="", $L842="", $M842=""),"",ROUND(($I842*Lists!$AD$2)+($J842*Lists!$AD$3)+($K842*Lists!$AD$4)+($L842*Lists!$AD$5)+($M842*Lists!$AD$6),2))</f>
        <v/>
      </c>
      <c r="O842" s="103" t="str">
        <f aca="false">IF($A842="","",IFERROR(VLOOKUP($A842,'Risk Register'!$B$2:$I$1000,8,FALSE()),""))</f>
        <v/>
      </c>
      <c r="P842" s="106"/>
      <c r="Q842" s="106"/>
      <c r="R842" s="106"/>
      <c r="S842" s="106"/>
      <c r="T842" s="103" t="str">
        <f aca="false">IF(OR($B842="", $P842="", $Q842="", $R842="", $S842=""),"",ROUND(($P842*Lists!$AD$7)+($Q842*Lists!$AD$8)+($R842*Lists!$AD$9)+($S842*Lists!$AD$10),2))</f>
        <v/>
      </c>
      <c r="U842" s="106"/>
      <c r="V842" s="106"/>
      <c r="W842" s="106"/>
      <c r="X842" s="106"/>
      <c r="Y842" s="106"/>
      <c r="Z842" s="103" t="str">
        <f aca="false">IF(OR($B842="", $U842="", $V842="", $W842="", $X842="", $Y842=""),"",ROUND(($U842*Lists!$AD$11)+($V842*Lists!$AD$12)+($W842*Lists!$AD$13)+($X842*Lists!$AD$14)+($Y842*Lists!$AD$15),2))</f>
        <v/>
      </c>
      <c r="AA842" s="103" t="str">
        <f aca="false">IF(OR($B842="", $N842="", $O842="", $T842="", $Z842=""),"",ROUND(($N842*Lists!$AD$16)-($O842*Lists!$AD$17)-($T842*Lists!$AD$18)+($Z842*Lists!$AD$19),2))</f>
        <v/>
      </c>
      <c r="AB842" s="102" t="str">
        <f aca="false">IF(OR($B842="", $N842="", $Z842=""),"",IF($N842&gt;=Lists!$AG$2,IF($Z842&gt;=Lists!$AG$3,"Invest","Migrate"),IF($Z842&gt;=Lists!$AG$3,"Tolerate","Eliminate")))</f>
        <v/>
      </c>
      <c r="AC842" s="102" t="str">
        <f aca="false">IF($B842="","",IF($J842&gt;=4,"Yes",""))</f>
        <v/>
      </c>
      <c r="AD842" s="102" t="str">
        <f aca="false">IF($A842="","",IFERROR(IF(VLOOKUP($A842,'Risk Register'!$B$2:$H$1000,4,FALSE())&gt;=4,"Yes",""),""))</f>
        <v/>
      </c>
      <c r="AE842" s="102" t="str">
        <f aca="false">IF(OR($N842="", $O842=""),"",IF($N842&gt;=Lists!$AG$2,IF($O842&gt;=Lists!$AG$4,"High Value / High Risk","High Value / Low Risk"),IF($O842&gt;=Lists!$AG$4,"Low Value / High Risk","Low Value / Low Risk")))</f>
        <v/>
      </c>
      <c r="AF842" s="101"/>
      <c r="AG842" s="126"/>
      <c r="AH842" s="106" t="str">
        <f aca="false">IF($B842="","",COUNTIFS('Debt Backlog'!$AF$2:$AF$1000,$A842,'Debt Backlog'!$B$2:$B$1000,"&lt;&gt;",'Debt Backlog'!$N$2:$N$1000,"&lt;&gt;Done",'Debt Backlog'!$N$2:$N$1000,"&lt;&gt;Won't Fix",'Debt Backlog'!$N$2:$N$1000,"&lt;&gt;Duplicate"))</f>
        <v/>
      </c>
      <c r="AI842" s="103" t="str">
        <f aca="false">IF($B842="","",ROUND(SUMIFS('Debt Backlog'!$L$2:$L$1000,'Debt Backlog'!$AF$2:$AF$1000,$A842,'Debt Backlog'!$B$2:$B$1000,"&lt;&gt;",'Debt Backlog'!$N$2:$N$1000,"&lt;&gt;Done",'Debt Backlog'!$N$2:$N$1000,"&lt;&gt;Won't Fix",'Debt Backlog'!$N$2:$N$1000,"&lt;&gt;Duplicate"),2))</f>
        <v/>
      </c>
    </row>
    <row r="843" customFormat="false" ht="15.75" hidden="false" customHeight="true" outlineLevel="0" collapsed="false">
      <c r="A843" s="125"/>
      <c r="B843" s="101"/>
      <c r="C843" s="101"/>
      <c r="D843" s="101"/>
      <c r="E843" s="101"/>
      <c r="F843" s="101"/>
      <c r="G843" s="101"/>
      <c r="H843" s="101"/>
      <c r="I843" s="106"/>
      <c r="J843" s="106"/>
      <c r="K843" s="106"/>
      <c r="L843" s="106"/>
      <c r="M843" s="106"/>
      <c r="N843" s="103" t="str">
        <f aca="false">IF(OR($B843="", $I843="", $J843="", $K843="", $L843="", $M843=""),"",ROUND(($I843*Lists!$AD$2)+($J843*Lists!$AD$3)+($K843*Lists!$AD$4)+($L843*Lists!$AD$5)+($M843*Lists!$AD$6),2))</f>
        <v/>
      </c>
      <c r="O843" s="103" t="str">
        <f aca="false">IF($A843="","",IFERROR(VLOOKUP($A843,'Risk Register'!$B$2:$I$1000,8,FALSE()),""))</f>
        <v/>
      </c>
      <c r="P843" s="106"/>
      <c r="Q843" s="106"/>
      <c r="R843" s="106"/>
      <c r="S843" s="106"/>
      <c r="T843" s="103" t="str">
        <f aca="false">IF(OR($B843="", $P843="", $Q843="", $R843="", $S843=""),"",ROUND(($P843*Lists!$AD$7)+($Q843*Lists!$AD$8)+($R843*Lists!$AD$9)+($S843*Lists!$AD$10),2))</f>
        <v/>
      </c>
      <c r="U843" s="106"/>
      <c r="V843" s="106"/>
      <c r="W843" s="106"/>
      <c r="X843" s="106"/>
      <c r="Y843" s="106"/>
      <c r="Z843" s="103" t="str">
        <f aca="false">IF(OR($B843="", $U843="", $V843="", $W843="", $X843="", $Y843=""),"",ROUND(($U843*Lists!$AD$11)+($V843*Lists!$AD$12)+($W843*Lists!$AD$13)+($X843*Lists!$AD$14)+($Y843*Lists!$AD$15),2))</f>
        <v/>
      </c>
      <c r="AA843" s="103" t="str">
        <f aca="false">IF(OR($B843="", $N843="", $O843="", $T843="", $Z843=""),"",ROUND(($N843*Lists!$AD$16)-($O843*Lists!$AD$17)-($T843*Lists!$AD$18)+($Z843*Lists!$AD$19),2))</f>
        <v/>
      </c>
      <c r="AB843" s="102" t="str">
        <f aca="false">IF(OR($B843="", $N843="", $Z843=""),"",IF($N843&gt;=Lists!$AG$2,IF($Z843&gt;=Lists!$AG$3,"Invest","Migrate"),IF($Z843&gt;=Lists!$AG$3,"Tolerate","Eliminate")))</f>
        <v/>
      </c>
      <c r="AC843" s="102" t="str">
        <f aca="false">IF($B843="","",IF($J843&gt;=4,"Yes",""))</f>
        <v/>
      </c>
      <c r="AD843" s="102" t="str">
        <f aca="false">IF($A843="","",IFERROR(IF(VLOOKUP($A843,'Risk Register'!$B$2:$H$1000,4,FALSE())&gt;=4,"Yes",""),""))</f>
        <v/>
      </c>
      <c r="AE843" s="102" t="str">
        <f aca="false">IF(OR($N843="", $O843=""),"",IF($N843&gt;=Lists!$AG$2,IF($O843&gt;=Lists!$AG$4,"High Value / High Risk","High Value / Low Risk"),IF($O843&gt;=Lists!$AG$4,"Low Value / High Risk","Low Value / Low Risk")))</f>
        <v/>
      </c>
      <c r="AF843" s="101"/>
      <c r="AG843" s="126"/>
      <c r="AH843" s="106" t="str">
        <f aca="false">IF($B843="","",COUNTIFS('Debt Backlog'!$AF$2:$AF$1000,$A843,'Debt Backlog'!$B$2:$B$1000,"&lt;&gt;",'Debt Backlog'!$N$2:$N$1000,"&lt;&gt;Done",'Debt Backlog'!$N$2:$N$1000,"&lt;&gt;Won't Fix",'Debt Backlog'!$N$2:$N$1000,"&lt;&gt;Duplicate"))</f>
        <v/>
      </c>
      <c r="AI843" s="103" t="str">
        <f aca="false">IF($B843="","",ROUND(SUMIFS('Debt Backlog'!$L$2:$L$1000,'Debt Backlog'!$AF$2:$AF$1000,$A843,'Debt Backlog'!$B$2:$B$1000,"&lt;&gt;",'Debt Backlog'!$N$2:$N$1000,"&lt;&gt;Done",'Debt Backlog'!$N$2:$N$1000,"&lt;&gt;Won't Fix",'Debt Backlog'!$N$2:$N$1000,"&lt;&gt;Duplicate"),2))</f>
        <v/>
      </c>
    </row>
    <row r="844" customFormat="false" ht="15.75" hidden="false" customHeight="true" outlineLevel="0" collapsed="false">
      <c r="A844" s="125"/>
      <c r="B844" s="101"/>
      <c r="C844" s="101"/>
      <c r="D844" s="101"/>
      <c r="E844" s="101"/>
      <c r="F844" s="101"/>
      <c r="G844" s="101"/>
      <c r="H844" s="101"/>
      <c r="I844" s="106"/>
      <c r="J844" s="106"/>
      <c r="K844" s="106"/>
      <c r="L844" s="106"/>
      <c r="M844" s="106"/>
      <c r="N844" s="103" t="str">
        <f aca="false">IF(OR($B844="", $I844="", $J844="", $K844="", $L844="", $M844=""),"",ROUND(($I844*Lists!$AD$2)+($J844*Lists!$AD$3)+($K844*Lists!$AD$4)+($L844*Lists!$AD$5)+($M844*Lists!$AD$6),2))</f>
        <v/>
      </c>
      <c r="O844" s="103" t="str">
        <f aca="false">IF($A844="","",IFERROR(VLOOKUP($A844,'Risk Register'!$B$2:$I$1000,8,FALSE()),""))</f>
        <v/>
      </c>
      <c r="P844" s="106"/>
      <c r="Q844" s="106"/>
      <c r="R844" s="106"/>
      <c r="S844" s="106"/>
      <c r="T844" s="103" t="str">
        <f aca="false">IF(OR($B844="", $P844="", $Q844="", $R844="", $S844=""),"",ROUND(($P844*Lists!$AD$7)+($Q844*Lists!$AD$8)+($R844*Lists!$AD$9)+($S844*Lists!$AD$10),2))</f>
        <v/>
      </c>
      <c r="U844" s="106"/>
      <c r="V844" s="106"/>
      <c r="W844" s="106"/>
      <c r="X844" s="106"/>
      <c r="Y844" s="106"/>
      <c r="Z844" s="103" t="str">
        <f aca="false">IF(OR($B844="", $U844="", $V844="", $W844="", $X844="", $Y844=""),"",ROUND(($U844*Lists!$AD$11)+($V844*Lists!$AD$12)+($W844*Lists!$AD$13)+($X844*Lists!$AD$14)+($Y844*Lists!$AD$15),2))</f>
        <v/>
      </c>
      <c r="AA844" s="103" t="str">
        <f aca="false">IF(OR($B844="", $N844="", $O844="", $T844="", $Z844=""),"",ROUND(($N844*Lists!$AD$16)-($O844*Lists!$AD$17)-($T844*Lists!$AD$18)+($Z844*Lists!$AD$19),2))</f>
        <v/>
      </c>
      <c r="AB844" s="102" t="str">
        <f aca="false">IF(OR($B844="", $N844="", $Z844=""),"",IF($N844&gt;=Lists!$AG$2,IF($Z844&gt;=Lists!$AG$3,"Invest","Migrate"),IF($Z844&gt;=Lists!$AG$3,"Tolerate","Eliminate")))</f>
        <v/>
      </c>
      <c r="AC844" s="102" t="str">
        <f aca="false">IF($B844="","",IF($J844&gt;=4,"Yes",""))</f>
        <v/>
      </c>
      <c r="AD844" s="102" t="str">
        <f aca="false">IF($A844="","",IFERROR(IF(VLOOKUP($A844,'Risk Register'!$B$2:$H$1000,4,FALSE())&gt;=4,"Yes",""),""))</f>
        <v/>
      </c>
      <c r="AE844" s="102" t="str">
        <f aca="false">IF(OR($N844="", $O844=""),"",IF($N844&gt;=Lists!$AG$2,IF($O844&gt;=Lists!$AG$4,"High Value / High Risk","High Value / Low Risk"),IF($O844&gt;=Lists!$AG$4,"Low Value / High Risk","Low Value / Low Risk")))</f>
        <v/>
      </c>
      <c r="AF844" s="101"/>
      <c r="AG844" s="126"/>
      <c r="AH844" s="106" t="str">
        <f aca="false">IF($B844="","",COUNTIFS('Debt Backlog'!$AF$2:$AF$1000,$A844,'Debt Backlog'!$B$2:$B$1000,"&lt;&gt;",'Debt Backlog'!$N$2:$N$1000,"&lt;&gt;Done",'Debt Backlog'!$N$2:$N$1000,"&lt;&gt;Won't Fix",'Debt Backlog'!$N$2:$N$1000,"&lt;&gt;Duplicate"))</f>
        <v/>
      </c>
      <c r="AI844" s="103" t="str">
        <f aca="false">IF($B844="","",ROUND(SUMIFS('Debt Backlog'!$L$2:$L$1000,'Debt Backlog'!$AF$2:$AF$1000,$A844,'Debt Backlog'!$B$2:$B$1000,"&lt;&gt;",'Debt Backlog'!$N$2:$N$1000,"&lt;&gt;Done",'Debt Backlog'!$N$2:$N$1000,"&lt;&gt;Won't Fix",'Debt Backlog'!$N$2:$N$1000,"&lt;&gt;Duplicate"),2))</f>
        <v/>
      </c>
    </row>
    <row r="845" customFormat="false" ht="15.75" hidden="false" customHeight="true" outlineLevel="0" collapsed="false">
      <c r="A845" s="125"/>
      <c r="B845" s="101"/>
      <c r="C845" s="101"/>
      <c r="D845" s="101"/>
      <c r="E845" s="101"/>
      <c r="F845" s="101"/>
      <c r="G845" s="101"/>
      <c r="H845" s="101"/>
      <c r="I845" s="106"/>
      <c r="J845" s="106"/>
      <c r="K845" s="106"/>
      <c r="L845" s="106"/>
      <c r="M845" s="106"/>
      <c r="N845" s="103" t="str">
        <f aca="false">IF(OR($B845="", $I845="", $J845="", $K845="", $L845="", $M845=""),"",ROUND(($I845*Lists!$AD$2)+($J845*Lists!$AD$3)+($K845*Lists!$AD$4)+($L845*Lists!$AD$5)+($M845*Lists!$AD$6),2))</f>
        <v/>
      </c>
      <c r="O845" s="103" t="str">
        <f aca="false">IF($A845="","",IFERROR(VLOOKUP($A845,'Risk Register'!$B$2:$I$1000,8,FALSE()),""))</f>
        <v/>
      </c>
      <c r="P845" s="106"/>
      <c r="Q845" s="106"/>
      <c r="R845" s="106"/>
      <c r="S845" s="106"/>
      <c r="T845" s="103" t="str">
        <f aca="false">IF(OR($B845="", $P845="", $Q845="", $R845="", $S845=""),"",ROUND(($P845*Lists!$AD$7)+($Q845*Lists!$AD$8)+($R845*Lists!$AD$9)+($S845*Lists!$AD$10),2))</f>
        <v/>
      </c>
      <c r="U845" s="106"/>
      <c r="V845" s="106"/>
      <c r="W845" s="106"/>
      <c r="X845" s="106"/>
      <c r="Y845" s="106"/>
      <c r="Z845" s="103" t="str">
        <f aca="false">IF(OR($B845="", $U845="", $V845="", $W845="", $X845="", $Y845=""),"",ROUND(($U845*Lists!$AD$11)+($V845*Lists!$AD$12)+($W845*Lists!$AD$13)+($X845*Lists!$AD$14)+($Y845*Lists!$AD$15),2))</f>
        <v/>
      </c>
      <c r="AA845" s="103" t="str">
        <f aca="false">IF(OR($B845="", $N845="", $O845="", $T845="", $Z845=""),"",ROUND(($N845*Lists!$AD$16)-($O845*Lists!$AD$17)-($T845*Lists!$AD$18)+($Z845*Lists!$AD$19),2))</f>
        <v/>
      </c>
      <c r="AB845" s="102" t="str">
        <f aca="false">IF(OR($B845="", $N845="", $Z845=""),"",IF($N845&gt;=Lists!$AG$2,IF($Z845&gt;=Lists!$AG$3,"Invest","Migrate"),IF($Z845&gt;=Lists!$AG$3,"Tolerate","Eliminate")))</f>
        <v/>
      </c>
      <c r="AC845" s="102" t="str">
        <f aca="false">IF($B845="","",IF($J845&gt;=4,"Yes",""))</f>
        <v/>
      </c>
      <c r="AD845" s="102" t="str">
        <f aca="false">IF($A845="","",IFERROR(IF(VLOOKUP($A845,'Risk Register'!$B$2:$H$1000,4,FALSE())&gt;=4,"Yes",""),""))</f>
        <v/>
      </c>
      <c r="AE845" s="102" t="str">
        <f aca="false">IF(OR($N845="", $O845=""),"",IF($N845&gt;=Lists!$AG$2,IF($O845&gt;=Lists!$AG$4,"High Value / High Risk","High Value / Low Risk"),IF($O845&gt;=Lists!$AG$4,"Low Value / High Risk","Low Value / Low Risk")))</f>
        <v/>
      </c>
      <c r="AF845" s="101"/>
      <c r="AG845" s="126"/>
      <c r="AH845" s="106" t="str">
        <f aca="false">IF($B845="","",COUNTIFS('Debt Backlog'!$AF$2:$AF$1000,$A845,'Debt Backlog'!$B$2:$B$1000,"&lt;&gt;",'Debt Backlog'!$N$2:$N$1000,"&lt;&gt;Done",'Debt Backlog'!$N$2:$N$1000,"&lt;&gt;Won't Fix",'Debt Backlog'!$N$2:$N$1000,"&lt;&gt;Duplicate"))</f>
        <v/>
      </c>
      <c r="AI845" s="103" t="str">
        <f aca="false">IF($B845="","",ROUND(SUMIFS('Debt Backlog'!$L$2:$L$1000,'Debt Backlog'!$AF$2:$AF$1000,$A845,'Debt Backlog'!$B$2:$B$1000,"&lt;&gt;",'Debt Backlog'!$N$2:$N$1000,"&lt;&gt;Done",'Debt Backlog'!$N$2:$N$1000,"&lt;&gt;Won't Fix",'Debt Backlog'!$N$2:$N$1000,"&lt;&gt;Duplicate"),2))</f>
        <v/>
      </c>
    </row>
    <row r="846" customFormat="false" ht="15.75" hidden="false" customHeight="true" outlineLevel="0" collapsed="false">
      <c r="A846" s="125"/>
      <c r="B846" s="101"/>
      <c r="C846" s="101"/>
      <c r="D846" s="101"/>
      <c r="E846" s="101"/>
      <c r="F846" s="101"/>
      <c r="G846" s="101"/>
      <c r="H846" s="101"/>
      <c r="I846" s="106"/>
      <c r="J846" s="106"/>
      <c r="K846" s="106"/>
      <c r="L846" s="106"/>
      <c r="M846" s="106"/>
      <c r="N846" s="103" t="str">
        <f aca="false">IF(OR($B846="", $I846="", $J846="", $K846="", $L846="", $M846=""),"",ROUND(($I846*Lists!$AD$2)+($J846*Lists!$AD$3)+($K846*Lists!$AD$4)+($L846*Lists!$AD$5)+($M846*Lists!$AD$6),2))</f>
        <v/>
      </c>
      <c r="O846" s="103" t="str">
        <f aca="false">IF($A846="","",IFERROR(VLOOKUP($A846,'Risk Register'!$B$2:$I$1000,8,FALSE()),""))</f>
        <v/>
      </c>
      <c r="P846" s="106"/>
      <c r="Q846" s="106"/>
      <c r="R846" s="106"/>
      <c r="S846" s="106"/>
      <c r="T846" s="103" t="str">
        <f aca="false">IF(OR($B846="", $P846="", $Q846="", $R846="", $S846=""),"",ROUND(($P846*Lists!$AD$7)+($Q846*Lists!$AD$8)+($R846*Lists!$AD$9)+($S846*Lists!$AD$10),2))</f>
        <v/>
      </c>
      <c r="U846" s="106"/>
      <c r="V846" s="106"/>
      <c r="W846" s="106"/>
      <c r="X846" s="106"/>
      <c r="Y846" s="106"/>
      <c r="Z846" s="103" t="str">
        <f aca="false">IF(OR($B846="", $U846="", $V846="", $W846="", $X846="", $Y846=""),"",ROUND(($U846*Lists!$AD$11)+($V846*Lists!$AD$12)+($W846*Lists!$AD$13)+($X846*Lists!$AD$14)+($Y846*Lists!$AD$15),2))</f>
        <v/>
      </c>
      <c r="AA846" s="103" t="str">
        <f aca="false">IF(OR($B846="", $N846="", $O846="", $T846="", $Z846=""),"",ROUND(($N846*Lists!$AD$16)-($O846*Lists!$AD$17)-($T846*Lists!$AD$18)+($Z846*Lists!$AD$19),2))</f>
        <v/>
      </c>
      <c r="AB846" s="102" t="str">
        <f aca="false">IF(OR($B846="", $N846="", $Z846=""),"",IF($N846&gt;=Lists!$AG$2,IF($Z846&gt;=Lists!$AG$3,"Invest","Migrate"),IF($Z846&gt;=Lists!$AG$3,"Tolerate","Eliminate")))</f>
        <v/>
      </c>
      <c r="AC846" s="102" t="str">
        <f aca="false">IF($B846="","",IF($J846&gt;=4,"Yes",""))</f>
        <v/>
      </c>
      <c r="AD846" s="102" t="str">
        <f aca="false">IF($A846="","",IFERROR(IF(VLOOKUP($A846,'Risk Register'!$B$2:$H$1000,4,FALSE())&gt;=4,"Yes",""),""))</f>
        <v/>
      </c>
      <c r="AE846" s="102" t="str">
        <f aca="false">IF(OR($N846="", $O846=""),"",IF($N846&gt;=Lists!$AG$2,IF($O846&gt;=Lists!$AG$4,"High Value / High Risk","High Value / Low Risk"),IF($O846&gt;=Lists!$AG$4,"Low Value / High Risk","Low Value / Low Risk")))</f>
        <v/>
      </c>
      <c r="AF846" s="101"/>
      <c r="AG846" s="126"/>
      <c r="AH846" s="106" t="str">
        <f aca="false">IF($B846="","",COUNTIFS('Debt Backlog'!$AF$2:$AF$1000,$A846,'Debt Backlog'!$B$2:$B$1000,"&lt;&gt;",'Debt Backlog'!$N$2:$N$1000,"&lt;&gt;Done",'Debt Backlog'!$N$2:$N$1000,"&lt;&gt;Won't Fix",'Debt Backlog'!$N$2:$N$1000,"&lt;&gt;Duplicate"))</f>
        <v/>
      </c>
      <c r="AI846" s="103" t="str">
        <f aca="false">IF($B846="","",ROUND(SUMIFS('Debt Backlog'!$L$2:$L$1000,'Debt Backlog'!$AF$2:$AF$1000,$A846,'Debt Backlog'!$B$2:$B$1000,"&lt;&gt;",'Debt Backlog'!$N$2:$N$1000,"&lt;&gt;Done",'Debt Backlog'!$N$2:$N$1000,"&lt;&gt;Won't Fix",'Debt Backlog'!$N$2:$N$1000,"&lt;&gt;Duplicate"),2))</f>
        <v/>
      </c>
    </row>
    <row r="847" customFormat="false" ht="15.75" hidden="false" customHeight="true" outlineLevel="0" collapsed="false">
      <c r="A847" s="125"/>
      <c r="B847" s="101"/>
      <c r="C847" s="101"/>
      <c r="D847" s="101"/>
      <c r="E847" s="101"/>
      <c r="F847" s="101"/>
      <c r="G847" s="101"/>
      <c r="H847" s="101"/>
      <c r="I847" s="106"/>
      <c r="J847" s="106"/>
      <c r="K847" s="106"/>
      <c r="L847" s="106"/>
      <c r="M847" s="106"/>
      <c r="N847" s="103" t="str">
        <f aca="false">IF(OR($B847="", $I847="", $J847="", $K847="", $L847="", $M847=""),"",ROUND(($I847*Lists!$AD$2)+($J847*Lists!$AD$3)+($K847*Lists!$AD$4)+($L847*Lists!$AD$5)+($M847*Lists!$AD$6),2))</f>
        <v/>
      </c>
      <c r="O847" s="103" t="str">
        <f aca="false">IF($A847="","",IFERROR(VLOOKUP($A847,'Risk Register'!$B$2:$I$1000,8,FALSE()),""))</f>
        <v/>
      </c>
      <c r="P847" s="106"/>
      <c r="Q847" s="106"/>
      <c r="R847" s="106"/>
      <c r="S847" s="106"/>
      <c r="T847" s="103" t="str">
        <f aca="false">IF(OR($B847="", $P847="", $Q847="", $R847="", $S847=""),"",ROUND(($P847*Lists!$AD$7)+($Q847*Lists!$AD$8)+($R847*Lists!$AD$9)+($S847*Lists!$AD$10),2))</f>
        <v/>
      </c>
      <c r="U847" s="106"/>
      <c r="V847" s="106"/>
      <c r="W847" s="106"/>
      <c r="X847" s="106"/>
      <c r="Y847" s="106"/>
      <c r="Z847" s="103" t="str">
        <f aca="false">IF(OR($B847="", $U847="", $V847="", $W847="", $X847="", $Y847=""),"",ROUND(($U847*Lists!$AD$11)+($V847*Lists!$AD$12)+($W847*Lists!$AD$13)+($X847*Lists!$AD$14)+($Y847*Lists!$AD$15),2))</f>
        <v/>
      </c>
      <c r="AA847" s="103" t="str">
        <f aca="false">IF(OR($B847="", $N847="", $O847="", $T847="", $Z847=""),"",ROUND(($N847*Lists!$AD$16)-($O847*Lists!$AD$17)-($T847*Lists!$AD$18)+($Z847*Lists!$AD$19),2))</f>
        <v/>
      </c>
      <c r="AB847" s="102" t="str">
        <f aca="false">IF(OR($B847="", $N847="", $Z847=""),"",IF($N847&gt;=Lists!$AG$2,IF($Z847&gt;=Lists!$AG$3,"Invest","Migrate"),IF($Z847&gt;=Lists!$AG$3,"Tolerate","Eliminate")))</f>
        <v/>
      </c>
      <c r="AC847" s="102" t="str">
        <f aca="false">IF($B847="","",IF($J847&gt;=4,"Yes",""))</f>
        <v/>
      </c>
      <c r="AD847" s="102" t="str">
        <f aca="false">IF($A847="","",IFERROR(IF(VLOOKUP($A847,'Risk Register'!$B$2:$H$1000,4,FALSE())&gt;=4,"Yes",""),""))</f>
        <v/>
      </c>
      <c r="AE847" s="102" t="str">
        <f aca="false">IF(OR($N847="", $O847=""),"",IF($N847&gt;=Lists!$AG$2,IF($O847&gt;=Lists!$AG$4,"High Value / High Risk","High Value / Low Risk"),IF($O847&gt;=Lists!$AG$4,"Low Value / High Risk","Low Value / Low Risk")))</f>
        <v/>
      </c>
      <c r="AF847" s="101"/>
      <c r="AG847" s="126"/>
      <c r="AH847" s="106" t="str">
        <f aca="false">IF($B847="","",COUNTIFS('Debt Backlog'!$AF$2:$AF$1000,$A847,'Debt Backlog'!$B$2:$B$1000,"&lt;&gt;",'Debt Backlog'!$N$2:$N$1000,"&lt;&gt;Done",'Debt Backlog'!$N$2:$N$1000,"&lt;&gt;Won't Fix",'Debt Backlog'!$N$2:$N$1000,"&lt;&gt;Duplicate"))</f>
        <v/>
      </c>
      <c r="AI847" s="103" t="str">
        <f aca="false">IF($B847="","",ROUND(SUMIFS('Debt Backlog'!$L$2:$L$1000,'Debt Backlog'!$AF$2:$AF$1000,$A847,'Debt Backlog'!$B$2:$B$1000,"&lt;&gt;",'Debt Backlog'!$N$2:$N$1000,"&lt;&gt;Done",'Debt Backlog'!$N$2:$N$1000,"&lt;&gt;Won't Fix",'Debt Backlog'!$N$2:$N$1000,"&lt;&gt;Duplicate"),2))</f>
        <v/>
      </c>
    </row>
    <row r="848" customFormat="false" ht="15.75" hidden="false" customHeight="true" outlineLevel="0" collapsed="false">
      <c r="A848" s="125"/>
      <c r="B848" s="101"/>
      <c r="C848" s="101"/>
      <c r="D848" s="101"/>
      <c r="E848" s="101"/>
      <c r="F848" s="101"/>
      <c r="G848" s="101"/>
      <c r="H848" s="101"/>
      <c r="I848" s="106"/>
      <c r="J848" s="106"/>
      <c r="K848" s="106"/>
      <c r="L848" s="106"/>
      <c r="M848" s="106"/>
      <c r="N848" s="103" t="str">
        <f aca="false">IF(OR($B848="", $I848="", $J848="", $K848="", $L848="", $M848=""),"",ROUND(($I848*Lists!$AD$2)+($J848*Lists!$AD$3)+($K848*Lists!$AD$4)+($L848*Lists!$AD$5)+($M848*Lists!$AD$6),2))</f>
        <v/>
      </c>
      <c r="O848" s="103" t="str">
        <f aca="false">IF($A848="","",IFERROR(VLOOKUP($A848,'Risk Register'!$B$2:$I$1000,8,FALSE()),""))</f>
        <v/>
      </c>
      <c r="P848" s="106"/>
      <c r="Q848" s="106"/>
      <c r="R848" s="106"/>
      <c r="S848" s="106"/>
      <c r="T848" s="103" t="str">
        <f aca="false">IF(OR($B848="", $P848="", $Q848="", $R848="", $S848=""),"",ROUND(($P848*Lists!$AD$7)+($Q848*Lists!$AD$8)+($R848*Lists!$AD$9)+($S848*Lists!$AD$10),2))</f>
        <v/>
      </c>
      <c r="U848" s="106"/>
      <c r="V848" s="106"/>
      <c r="W848" s="106"/>
      <c r="X848" s="106"/>
      <c r="Y848" s="106"/>
      <c r="Z848" s="103" t="str">
        <f aca="false">IF(OR($B848="", $U848="", $V848="", $W848="", $X848="", $Y848=""),"",ROUND(($U848*Lists!$AD$11)+($V848*Lists!$AD$12)+($W848*Lists!$AD$13)+($X848*Lists!$AD$14)+($Y848*Lists!$AD$15),2))</f>
        <v/>
      </c>
      <c r="AA848" s="103" t="str">
        <f aca="false">IF(OR($B848="", $N848="", $O848="", $T848="", $Z848=""),"",ROUND(($N848*Lists!$AD$16)-($O848*Lists!$AD$17)-($T848*Lists!$AD$18)+($Z848*Lists!$AD$19),2))</f>
        <v/>
      </c>
      <c r="AB848" s="102" t="str">
        <f aca="false">IF(OR($B848="", $N848="", $Z848=""),"",IF($N848&gt;=Lists!$AG$2,IF($Z848&gt;=Lists!$AG$3,"Invest","Migrate"),IF($Z848&gt;=Lists!$AG$3,"Tolerate","Eliminate")))</f>
        <v/>
      </c>
      <c r="AC848" s="102" t="str">
        <f aca="false">IF($B848="","",IF($J848&gt;=4,"Yes",""))</f>
        <v/>
      </c>
      <c r="AD848" s="102" t="str">
        <f aca="false">IF($A848="","",IFERROR(IF(VLOOKUP($A848,'Risk Register'!$B$2:$H$1000,4,FALSE())&gt;=4,"Yes",""),""))</f>
        <v/>
      </c>
      <c r="AE848" s="102" t="str">
        <f aca="false">IF(OR($N848="", $O848=""),"",IF($N848&gt;=Lists!$AG$2,IF($O848&gt;=Lists!$AG$4,"High Value / High Risk","High Value / Low Risk"),IF($O848&gt;=Lists!$AG$4,"Low Value / High Risk","Low Value / Low Risk")))</f>
        <v/>
      </c>
      <c r="AF848" s="101"/>
      <c r="AG848" s="126"/>
      <c r="AH848" s="106" t="str">
        <f aca="false">IF($B848="","",COUNTIFS('Debt Backlog'!$AF$2:$AF$1000,$A848,'Debt Backlog'!$B$2:$B$1000,"&lt;&gt;",'Debt Backlog'!$N$2:$N$1000,"&lt;&gt;Done",'Debt Backlog'!$N$2:$N$1000,"&lt;&gt;Won't Fix",'Debt Backlog'!$N$2:$N$1000,"&lt;&gt;Duplicate"))</f>
        <v/>
      </c>
      <c r="AI848" s="103" t="str">
        <f aca="false">IF($B848="","",ROUND(SUMIFS('Debt Backlog'!$L$2:$L$1000,'Debt Backlog'!$AF$2:$AF$1000,$A848,'Debt Backlog'!$B$2:$B$1000,"&lt;&gt;",'Debt Backlog'!$N$2:$N$1000,"&lt;&gt;Done",'Debt Backlog'!$N$2:$N$1000,"&lt;&gt;Won't Fix",'Debt Backlog'!$N$2:$N$1000,"&lt;&gt;Duplicate"),2))</f>
        <v/>
      </c>
    </row>
    <row r="849" customFormat="false" ht="15.75" hidden="false" customHeight="true" outlineLevel="0" collapsed="false">
      <c r="A849" s="125"/>
      <c r="B849" s="101"/>
      <c r="C849" s="101"/>
      <c r="D849" s="101"/>
      <c r="E849" s="101"/>
      <c r="F849" s="101"/>
      <c r="G849" s="101"/>
      <c r="H849" s="101"/>
      <c r="I849" s="106"/>
      <c r="J849" s="106"/>
      <c r="K849" s="106"/>
      <c r="L849" s="106"/>
      <c r="M849" s="106"/>
      <c r="N849" s="103" t="str">
        <f aca="false">IF(OR($B849="", $I849="", $J849="", $K849="", $L849="", $M849=""),"",ROUND(($I849*Lists!$AD$2)+($J849*Lists!$AD$3)+($K849*Lists!$AD$4)+($L849*Lists!$AD$5)+($M849*Lists!$AD$6),2))</f>
        <v/>
      </c>
      <c r="O849" s="103" t="str">
        <f aca="false">IF($A849="","",IFERROR(VLOOKUP($A849,'Risk Register'!$B$2:$I$1000,8,FALSE()),""))</f>
        <v/>
      </c>
      <c r="P849" s="106"/>
      <c r="Q849" s="106"/>
      <c r="R849" s="106"/>
      <c r="S849" s="106"/>
      <c r="T849" s="103" t="str">
        <f aca="false">IF(OR($B849="", $P849="", $Q849="", $R849="", $S849=""),"",ROUND(($P849*Lists!$AD$7)+($Q849*Lists!$AD$8)+($R849*Lists!$AD$9)+($S849*Lists!$AD$10),2))</f>
        <v/>
      </c>
      <c r="U849" s="106"/>
      <c r="V849" s="106"/>
      <c r="W849" s="106"/>
      <c r="X849" s="106"/>
      <c r="Y849" s="106"/>
      <c r="Z849" s="103" t="str">
        <f aca="false">IF(OR($B849="", $U849="", $V849="", $W849="", $X849="", $Y849=""),"",ROUND(($U849*Lists!$AD$11)+($V849*Lists!$AD$12)+($W849*Lists!$AD$13)+($X849*Lists!$AD$14)+($Y849*Lists!$AD$15),2))</f>
        <v/>
      </c>
      <c r="AA849" s="103" t="str">
        <f aca="false">IF(OR($B849="", $N849="", $O849="", $T849="", $Z849=""),"",ROUND(($N849*Lists!$AD$16)-($O849*Lists!$AD$17)-($T849*Lists!$AD$18)+($Z849*Lists!$AD$19),2))</f>
        <v/>
      </c>
      <c r="AB849" s="102" t="str">
        <f aca="false">IF(OR($B849="", $N849="", $Z849=""),"",IF($N849&gt;=Lists!$AG$2,IF($Z849&gt;=Lists!$AG$3,"Invest","Migrate"),IF($Z849&gt;=Lists!$AG$3,"Tolerate","Eliminate")))</f>
        <v/>
      </c>
      <c r="AC849" s="102" t="str">
        <f aca="false">IF($B849="","",IF($J849&gt;=4,"Yes",""))</f>
        <v/>
      </c>
      <c r="AD849" s="102" t="str">
        <f aca="false">IF($A849="","",IFERROR(IF(VLOOKUP($A849,'Risk Register'!$B$2:$H$1000,4,FALSE())&gt;=4,"Yes",""),""))</f>
        <v/>
      </c>
      <c r="AE849" s="102" t="str">
        <f aca="false">IF(OR($N849="", $O849=""),"",IF($N849&gt;=Lists!$AG$2,IF($O849&gt;=Lists!$AG$4,"High Value / High Risk","High Value / Low Risk"),IF($O849&gt;=Lists!$AG$4,"Low Value / High Risk","Low Value / Low Risk")))</f>
        <v/>
      </c>
      <c r="AF849" s="101"/>
      <c r="AG849" s="126"/>
      <c r="AH849" s="106" t="str">
        <f aca="false">IF($B849="","",COUNTIFS('Debt Backlog'!$AF$2:$AF$1000,$A849,'Debt Backlog'!$B$2:$B$1000,"&lt;&gt;",'Debt Backlog'!$N$2:$N$1000,"&lt;&gt;Done",'Debt Backlog'!$N$2:$N$1000,"&lt;&gt;Won't Fix",'Debt Backlog'!$N$2:$N$1000,"&lt;&gt;Duplicate"))</f>
        <v/>
      </c>
      <c r="AI849" s="103" t="str">
        <f aca="false">IF($B849="","",ROUND(SUMIFS('Debt Backlog'!$L$2:$L$1000,'Debt Backlog'!$AF$2:$AF$1000,$A849,'Debt Backlog'!$B$2:$B$1000,"&lt;&gt;",'Debt Backlog'!$N$2:$N$1000,"&lt;&gt;Done",'Debt Backlog'!$N$2:$N$1000,"&lt;&gt;Won't Fix",'Debt Backlog'!$N$2:$N$1000,"&lt;&gt;Duplicate"),2))</f>
        <v/>
      </c>
    </row>
    <row r="850" customFormat="false" ht="15.75" hidden="false" customHeight="true" outlineLevel="0" collapsed="false">
      <c r="A850" s="125"/>
      <c r="B850" s="101"/>
      <c r="C850" s="101"/>
      <c r="D850" s="101"/>
      <c r="E850" s="101"/>
      <c r="F850" s="101"/>
      <c r="G850" s="101"/>
      <c r="H850" s="101"/>
      <c r="I850" s="106"/>
      <c r="J850" s="106"/>
      <c r="K850" s="106"/>
      <c r="L850" s="106"/>
      <c r="M850" s="106"/>
      <c r="N850" s="103" t="str">
        <f aca="false">IF(OR($B850="", $I850="", $J850="", $K850="", $L850="", $M850=""),"",ROUND(($I850*Lists!$AD$2)+($J850*Lists!$AD$3)+($K850*Lists!$AD$4)+($L850*Lists!$AD$5)+($M850*Lists!$AD$6),2))</f>
        <v/>
      </c>
      <c r="O850" s="103" t="str">
        <f aca="false">IF($A850="","",IFERROR(VLOOKUP($A850,'Risk Register'!$B$2:$I$1000,8,FALSE()),""))</f>
        <v/>
      </c>
      <c r="P850" s="106"/>
      <c r="Q850" s="106"/>
      <c r="R850" s="106"/>
      <c r="S850" s="106"/>
      <c r="T850" s="103" t="str">
        <f aca="false">IF(OR($B850="", $P850="", $Q850="", $R850="", $S850=""),"",ROUND(($P850*Lists!$AD$7)+($Q850*Lists!$AD$8)+($R850*Lists!$AD$9)+($S850*Lists!$AD$10),2))</f>
        <v/>
      </c>
      <c r="U850" s="106"/>
      <c r="V850" s="106"/>
      <c r="W850" s="106"/>
      <c r="X850" s="106"/>
      <c r="Y850" s="106"/>
      <c r="Z850" s="103" t="str">
        <f aca="false">IF(OR($B850="", $U850="", $V850="", $W850="", $X850="", $Y850=""),"",ROUND(($U850*Lists!$AD$11)+($V850*Lists!$AD$12)+($W850*Lists!$AD$13)+($X850*Lists!$AD$14)+($Y850*Lists!$AD$15),2))</f>
        <v/>
      </c>
      <c r="AA850" s="103" t="str">
        <f aca="false">IF(OR($B850="", $N850="", $O850="", $T850="", $Z850=""),"",ROUND(($N850*Lists!$AD$16)-($O850*Lists!$AD$17)-($T850*Lists!$AD$18)+($Z850*Lists!$AD$19),2))</f>
        <v/>
      </c>
      <c r="AB850" s="102" t="str">
        <f aca="false">IF(OR($B850="", $N850="", $Z850=""),"",IF($N850&gt;=Lists!$AG$2,IF($Z850&gt;=Lists!$AG$3,"Invest","Migrate"),IF($Z850&gt;=Lists!$AG$3,"Tolerate","Eliminate")))</f>
        <v/>
      </c>
      <c r="AC850" s="102" t="str">
        <f aca="false">IF($B850="","",IF($J850&gt;=4,"Yes",""))</f>
        <v/>
      </c>
      <c r="AD850" s="102" t="str">
        <f aca="false">IF($A850="","",IFERROR(IF(VLOOKUP($A850,'Risk Register'!$B$2:$H$1000,4,FALSE())&gt;=4,"Yes",""),""))</f>
        <v/>
      </c>
      <c r="AE850" s="102" t="str">
        <f aca="false">IF(OR($N850="", $O850=""),"",IF($N850&gt;=Lists!$AG$2,IF($O850&gt;=Lists!$AG$4,"High Value / High Risk","High Value / Low Risk"),IF($O850&gt;=Lists!$AG$4,"Low Value / High Risk","Low Value / Low Risk")))</f>
        <v/>
      </c>
      <c r="AF850" s="101"/>
      <c r="AG850" s="126"/>
      <c r="AH850" s="106" t="str">
        <f aca="false">IF($B850="","",COUNTIFS('Debt Backlog'!$AF$2:$AF$1000,$A850,'Debt Backlog'!$B$2:$B$1000,"&lt;&gt;",'Debt Backlog'!$N$2:$N$1000,"&lt;&gt;Done",'Debt Backlog'!$N$2:$N$1000,"&lt;&gt;Won't Fix",'Debt Backlog'!$N$2:$N$1000,"&lt;&gt;Duplicate"))</f>
        <v/>
      </c>
      <c r="AI850" s="103" t="str">
        <f aca="false">IF($B850="","",ROUND(SUMIFS('Debt Backlog'!$L$2:$L$1000,'Debt Backlog'!$AF$2:$AF$1000,$A850,'Debt Backlog'!$B$2:$B$1000,"&lt;&gt;",'Debt Backlog'!$N$2:$N$1000,"&lt;&gt;Done",'Debt Backlog'!$N$2:$N$1000,"&lt;&gt;Won't Fix",'Debt Backlog'!$N$2:$N$1000,"&lt;&gt;Duplicate"),2))</f>
        <v/>
      </c>
    </row>
    <row r="851" customFormat="false" ht="15.75" hidden="false" customHeight="true" outlineLevel="0" collapsed="false">
      <c r="A851" s="125"/>
      <c r="B851" s="101"/>
      <c r="C851" s="101"/>
      <c r="D851" s="101"/>
      <c r="E851" s="101"/>
      <c r="F851" s="101"/>
      <c r="G851" s="101"/>
      <c r="H851" s="101"/>
      <c r="I851" s="106"/>
      <c r="J851" s="106"/>
      <c r="K851" s="106"/>
      <c r="L851" s="106"/>
      <c r="M851" s="106"/>
      <c r="N851" s="103" t="str">
        <f aca="false">IF(OR($B851="", $I851="", $J851="", $K851="", $L851="", $M851=""),"",ROUND(($I851*Lists!$AD$2)+($J851*Lists!$AD$3)+($K851*Lists!$AD$4)+($L851*Lists!$AD$5)+($M851*Lists!$AD$6),2))</f>
        <v/>
      </c>
      <c r="O851" s="103" t="str">
        <f aca="false">IF($A851="","",IFERROR(VLOOKUP($A851,'Risk Register'!$B$2:$I$1000,8,FALSE()),""))</f>
        <v/>
      </c>
      <c r="P851" s="106"/>
      <c r="Q851" s="106"/>
      <c r="R851" s="106"/>
      <c r="S851" s="106"/>
      <c r="T851" s="103" t="str">
        <f aca="false">IF(OR($B851="", $P851="", $Q851="", $R851="", $S851=""),"",ROUND(($P851*Lists!$AD$7)+($Q851*Lists!$AD$8)+($R851*Lists!$AD$9)+($S851*Lists!$AD$10),2))</f>
        <v/>
      </c>
      <c r="U851" s="106"/>
      <c r="V851" s="106"/>
      <c r="W851" s="106"/>
      <c r="X851" s="106"/>
      <c r="Y851" s="106"/>
      <c r="Z851" s="103" t="str">
        <f aca="false">IF(OR($B851="", $U851="", $V851="", $W851="", $X851="", $Y851=""),"",ROUND(($U851*Lists!$AD$11)+($V851*Lists!$AD$12)+($W851*Lists!$AD$13)+($X851*Lists!$AD$14)+($Y851*Lists!$AD$15),2))</f>
        <v/>
      </c>
      <c r="AA851" s="103" t="str">
        <f aca="false">IF(OR($B851="", $N851="", $O851="", $T851="", $Z851=""),"",ROUND(($N851*Lists!$AD$16)-($O851*Lists!$AD$17)-($T851*Lists!$AD$18)+($Z851*Lists!$AD$19),2))</f>
        <v/>
      </c>
      <c r="AB851" s="102" t="str">
        <f aca="false">IF(OR($B851="", $N851="", $Z851=""),"",IF($N851&gt;=Lists!$AG$2,IF($Z851&gt;=Lists!$AG$3,"Invest","Migrate"),IF($Z851&gt;=Lists!$AG$3,"Tolerate","Eliminate")))</f>
        <v/>
      </c>
      <c r="AC851" s="102" t="str">
        <f aca="false">IF($B851="","",IF($J851&gt;=4,"Yes",""))</f>
        <v/>
      </c>
      <c r="AD851" s="102" t="str">
        <f aca="false">IF($A851="","",IFERROR(IF(VLOOKUP($A851,'Risk Register'!$B$2:$H$1000,4,FALSE())&gt;=4,"Yes",""),""))</f>
        <v/>
      </c>
      <c r="AE851" s="102" t="str">
        <f aca="false">IF(OR($N851="", $O851=""),"",IF($N851&gt;=Lists!$AG$2,IF($O851&gt;=Lists!$AG$4,"High Value / High Risk","High Value / Low Risk"),IF($O851&gt;=Lists!$AG$4,"Low Value / High Risk","Low Value / Low Risk")))</f>
        <v/>
      </c>
      <c r="AF851" s="101"/>
      <c r="AG851" s="126"/>
      <c r="AH851" s="106" t="str">
        <f aca="false">IF($B851="","",COUNTIFS('Debt Backlog'!$AF$2:$AF$1000,$A851,'Debt Backlog'!$B$2:$B$1000,"&lt;&gt;",'Debt Backlog'!$N$2:$N$1000,"&lt;&gt;Done",'Debt Backlog'!$N$2:$N$1000,"&lt;&gt;Won't Fix",'Debt Backlog'!$N$2:$N$1000,"&lt;&gt;Duplicate"))</f>
        <v/>
      </c>
      <c r="AI851" s="103" t="str">
        <f aca="false">IF($B851="","",ROUND(SUMIFS('Debt Backlog'!$L$2:$L$1000,'Debt Backlog'!$AF$2:$AF$1000,$A851,'Debt Backlog'!$B$2:$B$1000,"&lt;&gt;",'Debt Backlog'!$N$2:$N$1000,"&lt;&gt;Done",'Debt Backlog'!$N$2:$N$1000,"&lt;&gt;Won't Fix",'Debt Backlog'!$N$2:$N$1000,"&lt;&gt;Duplicate"),2))</f>
        <v/>
      </c>
    </row>
    <row r="852" customFormat="false" ht="15.75" hidden="false" customHeight="true" outlineLevel="0" collapsed="false">
      <c r="A852" s="125"/>
      <c r="B852" s="101"/>
      <c r="C852" s="101"/>
      <c r="D852" s="101"/>
      <c r="E852" s="101"/>
      <c r="F852" s="101"/>
      <c r="G852" s="101"/>
      <c r="H852" s="101"/>
      <c r="I852" s="106"/>
      <c r="J852" s="106"/>
      <c r="K852" s="106"/>
      <c r="L852" s="106"/>
      <c r="M852" s="106"/>
      <c r="N852" s="103" t="str">
        <f aca="false">IF(OR($B852="", $I852="", $J852="", $K852="", $L852="", $M852=""),"",ROUND(($I852*Lists!$AD$2)+($J852*Lists!$AD$3)+($K852*Lists!$AD$4)+($L852*Lists!$AD$5)+($M852*Lists!$AD$6),2))</f>
        <v/>
      </c>
      <c r="O852" s="103" t="str">
        <f aca="false">IF($A852="","",IFERROR(VLOOKUP($A852,'Risk Register'!$B$2:$I$1000,8,FALSE()),""))</f>
        <v/>
      </c>
      <c r="P852" s="106"/>
      <c r="Q852" s="106"/>
      <c r="R852" s="106"/>
      <c r="S852" s="106"/>
      <c r="T852" s="103" t="str">
        <f aca="false">IF(OR($B852="", $P852="", $Q852="", $R852="", $S852=""),"",ROUND(($P852*Lists!$AD$7)+($Q852*Lists!$AD$8)+($R852*Lists!$AD$9)+($S852*Lists!$AD$10),2))</f>
        <v/>
      </c>
      <c r="U852" s="106"/>
      <c r="V852" s="106"/>
      <c r="W852" s="106"/>
      <c r="X852" s="106"/>
      <c r="Y852" s="106"/>
      <c r="Z852" s="103" t="str">
        <f aca="false">IF(OR($B852="", $U852="", $V852="", $W852="", $X852="", $Y852=""),"",ROUND(($U852*Lists!$AD$11)+($V852*Lists!$AD$12)+($W852*Lists!$AD$13)+($X852*Lists!$AD$14)+($Y852*Lists!$AD$15),2))</f>
        <v/>
      </c>
      <c r="AA852" s="103" t="str">
        <f aca="false">IF(OR($B852="", $N852="", $O852="", $T852="", $Z852=""),"",ROUND(($N852*Lists!$AD$16)-($O852*Lists!$AD$17)-($T852*Lists!$AD$18)+($Z852*Lists!$AD$19),2))</f>
        <v/>
      </c>
      <c r="AB852" s="102" t="str">
        <f aca="false">IF(OR($B852="", $N852="", $Z852=""),"",IF($N852&gt;=Lists!$AG$2,IF($Z852&gt;=Lists!$AG$3,"Invest","Migrate"),IF($Z852&gt;=Lists!$AG$3,"Tolerate","Eliminate")))</f>
        <v/>
      </c>
      <c r="AC852" s="102" t="str">
        <f aca="false">IF($B852="","",IF($J852&gt;=4,"Yes",""))</f>
        <v/>
      </c>
      <c r="AD852" s="102" t="str">
        <f aca="false">IF($A852="","",IFERROR(IF(VLOOKUP($A852,'Risk Register'!$B$2:$H$1000,4,FALSE())&gt;=4,"Yes",""),""))</f>
        <v/>
      </c>
      <c r="AE852" s="102" t="str">
        <f aca="false">IF(OR($N852="", $O852=""),"",IF($N852&gt;=Lists!$AG$2,IF($O852&gt;=Lists!$AG$4,"High Value / High Risk","High Value / Low Risk"),IF($O852&gt;=Lists!$AG$4,"Low Value / High Risk","Low Value / Low Risk")))</f>
        <v/>
      </c>
      <c r="AF852" s="101"/>
      <c r="AG852" s="126"/>
      <c r="AH852" s="106" t="str">
        <f aca="false">IF($B852="","",COUNTIFS('Debt Backlog'!$AF$2:$AF$1000,$A852,'Debt Backlog'!$B$2:$B$1000,"&lt;&gt;",'Debt Backlog'!$N$2:$N$1000,"&lt;&gt;Done",'Debt Backlog'!$N$2:$N$1000,"&lt;&gt;Won't Fix",'Debt Backlog'!$N$2:$N$1000,"&lt;&gt;Duplicate"))</f>
        <v/>
      </c>
      <c r="AI852" s="103" t="str">
        <f aca="false">IF($B852="","",ROUND(SUMIFS('Debt Backlog'!$L$2:$L$1000,'Debt Backlog'!$AF$2:$AF$1000,$A852,'Debt Backlog'!$B$2:$B$1000,"&lt;&gt;",'Debt Backlog'!$N$2:$N$1000,"&lt;&gt;Done",'Debt Backlog'!$N$2:$N$1000,"&lt;&gt;Won't Fix",'Debt Backlog'!$N$2:$N$1000,"&lt;&gt;Duplicate"),2))</f>
        <v/>
      </c>
    </row>
    <row r="853" customFormat="false" ht="15.75" hidden="false" customHeight="true" outlineLevel="0" collapsed="false">
      <c r="A853" s="125"/>
      <c r="B853" s="101"/>
      <c r="C853" s="101"/>
      <c r="D853" s="101"/>
      <c r="E853" s="101"/>
      <c r="F853" s="101"/>
      <c r="G853" s="101"/>
      <c r="H853" s="101"/>
      <c r="I853" s="106"/>
      <c r="J853" s="106"/>
      <c r="K853" s="106"/>
      <c r="L853" s="106"/>
      <c r="M853" s="106"/>
      <c r="N853" s="103" t="str">
        <f aca="false">IF(OR($B853="", $I853="", $J853="", $K853="", $L853="", $M853=""),"",ROUND(($I853*Lists!$AD$2)+($J853*Lists!$AD$3)+($K853*Lists!$AD$4)+($L853*Lists!$AD$5)+($M853*Lists!$AD$6),2))</f>
        <v/>
      </c>
      <c r="O853" s="103" t="str">
        <f aca="false">IF($A853="","",IFERROR(VLOOKUP($A853,'Risk Register'!$B$2:$I$1000,8,FALSE()),""))</f>
        <v/>
      </c>
      <c r="P853" s="106"/>
      <c r="Q853" s="106"/>
      <c r="R853" s="106"/>
      <c r="S853" s="106"/>
      <c r="T853" s="103" t="str">
        <f aca="false">IF(OR($B853="", $P853="", $Q853="", $R853="", $S853=""),"",ROUND(($P853*Lists!$AD$7)+($Q853*Lists!$AD$8)+($R853*Lists!$AD$9)+($S853*Lists!$AD$10),2))</f>
        <v/>
      </c>
      <c r="U853" s="106"/>
      <c r="V853" s="106"/>
      <c r="W853" s="106"/>
      <c r="X853" s="106"/>
      <c r="Y853" s="106"/>
      <c r="Z853" s="103" t="str">
        <f aca="false">IF(OR($B853="", $U853="", $V853="", $W853="", $X853="", $Y853=""),"",ROUND(($U853*Lists!$AD$11)+($V853*Lists!$AD$12)+($W853*Lists!$AD$13)+($X853*Lists!$AD$14)+($Y853*Lists!$AD$15),2))</f>
        <v/>
      </c>
      <c r="AA853" s="103" t="str">
        <f aca="false">IF(OR($B853="", $N853="", $O853="", $T853="", $Z853=""),"",ROUND(($N853*Lists!$AD$16)-($O853*Lists!$AD$17)-($T853*Lists!$AD$18)+($Z853*Lists!$AD$19),2))</f>
        <v/>
      </c>
      <c r="AB853" s="102" t="str">
        <f aca="false">IF(OR($B853="", $N853="", $Z853=""),"",IF($N853&gt;=Lists!$AG$2,IF($Z853&gt;=Lists!$AG$3,"Invest","Migrate"),IF($Z853&gt;=Lists!$AG$3,"Tolerate","Eliminate")))</f>
        <v/>
      </c>
      <c r="AC853" s="102" t="str">
        <f aca="false">IF($B853="","",IF($J853&gt;=4,"Yes",""))</f>
        <v/>
      </c>
      <c r="AD853" s="102" t="str">
        <f aca="false">IF($A853="","",IFERROR(IF(VLOOKUP($A853,'Risk Register'!$B$2:$H$1000,4,FALSE())&gt;=4,"Yes",""),""))</f>
        <v/>
      </c>
      <c r="AE853" s="102" t="str">
        <f aca="false">IF(OR($N853="", $O853=""),"",IF($N853&gt;=Lists!$AG$2,IF($O853&gt;=Lists!$AG$4,"High Value / High Risk","High Value / Low Risk"),IF($O853&gt;=Lists!$AG$4,"Low Value / High Risk","Low Value / Low Risk")))</f>
        <v/>
      </c>
      <c r="AF853" s="101"/>
      <c r="AG853" s="126"/>
      <c r="AH853" s="106" t="str">
        <f aca="false">IF($B853="","",COUNTIFS('Debt Backlog'!$AF$2:$AF$1000,$A853,'Debt Backlog'!$B$2:$B$1000,"&lt;&gt;",'Debt Backlog'!$N$2:$N$1000,"&lt;&gt;Done",'Debt Backlog'!$N$2:$N$1000,"&lt;&gt;Won't Fix",'Debt Backlog'!$N$2:$N$1000,"&lt;&gt;Duplicate"))</f>
        <v/>
      </c>
      <c r="AI853" s="103" t="str">
        <f aca="false">IF($B853="","",ROUND(SUMIFS('Debt Backlog'!$L$2:$L$1000,'Debt Backlog'!$AF$2:$AF$1000,$A853,'Debt Backlog'!$B$2:$B$1000,"&lt;&gt;",'Debt Backlog'!$N$2:$N$1000,"&lt;&gt;Done",'Debt Backlog'!$N$2:$N$1000,"&lt;&gt;Won't Fix",'Debt Backlog'!$N$2:$N$1000,"&lt;&gt;Duplicate"),2))</f>
        <v/>
      </c>
    </row>
    <row r="854" customFormat="false" ht="15.75" hidden="false" customHeight="true" outlineLevel="0" collapsed="false">
      <c r="A854" s="125"/>
      <c r="B854" s="101"/>
      <c r="C854" s="101"/>
      <c r="D854" s="101"/>
      <c r="E854" s="101"/>
      <c r="F854" s="101"/>
      <c r="G854" s="101"/>
      <c r="H854" s="101"/>
      <c r="I854" s="106"/>
      <c r="J854" s="106"/>
      <c r="K854" s="106"/>
      <c r="L854" s="106"/>
      <c r="M854" s="106"/>
      <c r="N854" s="103" t="str">
        <f aca="false">IF(OR($B854="", $I854="", $J854="", $K854="", $L854="", $M854=""),"",ROUND(($I854*Lists!$AD$2)+($J854*Lists!$AD$3)+($K854*Lists!$AD$4)+($L854*Lists!$AD$5)+($M854*Lists!$AD$6),2))</f>
        <v/>
      </c>
      <c r="O854" s="103" t="str">
        <f aca="false">IF($A854="","",IFERROR(VLOOKUP($A854,'Risk Register'!$B$2:$I$1000,8,FALSE()),""))</f>
        <v/>
      </c>
      <c r="P854" s="106"/>
      <c r="Q854" s="106"/>
      <c r="R854" s="106"/>
      <c r="S854" s="106"/>
      <c r="T854" s="103" t="str">
        <f aca="false">IF(OR($B854="", $P854="", $Q854="", $R854="", $S854=""),"",ROUND(($P854*Lists!$AD$7)+($Q854*Lists!$AD$8)+($R854*Lists!$AD$9)+($S854*Lists!$AD$10),2))</f>
        <v/>
      </c>
      <c r="U854" s="106"/>
      <c r="V854" s="106"/>
      <c r="W854" s="106"/>
      <c r="X854" s="106"/>
      <c r="Y854" s="106"/>
      <c r="Z854" s="103" t="str">
        <f aca="false">IF(OR($B854="", $U854="", $V854="", $W854="", $X854="", $Y854=""),"",ROUND(($U854*Lists!$AD$11)+($V854*Lists!$AD$12)+($W854*Lists!$AD$13)+($X854*Lists!$AD$14)+($Y854*Lists!$AD$15),2))</f>
        <v/>
      </c>
      <c r="AA854" s="103" t="str">
        <f aca="false">IF(OR($B854="", $N854="", $O854="", $T854="", $Z854=""),"",ROUND(($N854*Lists!$AD$16)-($O854*Lists!$AD$17)-($T854*Lists!$AD$18)+($Z854*Lists!$AD$19),2))</f>
        <v/>
      </c>
      <c r="AB854" s="102" t="str">
        <f aca="false">IF(OR($B854="", $N854="", $Z854=""),"",IF($N854&gt;=Lists!$AG$2,IF($Z854&gt;=Lists!$AG$3,"Invest","Migrate"),IF($Z854&gt;=Lists!$AG$3,"Tolerate","Eliminate")))</f>
        <v/>
      </c>
      <c r="AC854" s="102" t="str">
        <f aca="false">IF($B854="","",IF($J854&gt;=4,"Yes",""))</f>
        <v/>
      </c>
      <c r="AD854" s="102" t="str">
        <f aca="false">IF($A854="","",IFERROR(IF(VLOOKUP($A854,'Risk Register'!$B$2:$H$1000,4,FALSE())&gt;=4,"Yes",""),""))</f>
        <v/>
      </c>
      <c r="AE854" s="102" t="str">
        <f aca="false">IF(OR($N854="", $O854=""),"",IF($N854&gt;=Lists!$AG$2,IF($O854&gt;=Lists!$AG$4,"High Value / High Risk","High Value / Low Risk"),IF($O854&gt;=Lists!$AG$4,"Low Value / High Risk","Low Value / Low Risk")))</f>
        <v/>
      </c>
      <c r="AF854" s="101"/>
      <c r="AG854" s="126"/>
      <c r="AH854" s="106" t="str">
        <f aca="false">IF($B854="","",COUNTIFS('Debt Backlog'!$AF$2:$AF$1000,$A854,'Debt Backlog'!$B$2:$B$1000,"&lt;&gt;",'Debt Backlog'!$N$2:$N$1000,"&lt;&gt;Done",'Debt Backlog'!$N$2:$N$1000,"&lt;&gt;Won't Fix",'Debt Backlog'!$N$2:$N$1000,"&lt;&gt;Duplicate"))</f>
        <v/>
      </c>
      <c r="AI854" s="103" t="str">
        <f aca="false">IF($B854="","",ROUND(SUMIFS('Debt Backlog'!$L$2:$L$1000,'Debt Backlog'!$AF$2:$AF$1000,$A854,'Debt Backlog'!$B$2:$B$1000,"&lt;&gt;",'Debt Backlog'!$N$2:$N$1000,"&lt;&gt;Done",'Debt Backlog'!$N$2:$N$1000,"&lt;&gt;Won't Fix",'Debt Backlog'!$N$2:$N$1000,"&lt;&gt;Duplicate"),2))</f>
        <v/>
      </c>
    </row>
    <row r="855" customFormat="false" ht="15.75" hidden="false" customHeight="true" outlineLevel="0" collapsed="false">
      <c r="A855" s="125"/>
      <c r="B855" s="101"/>
      <c r="C855" s="101"/>
      <c r="D855" s="101"/>
      <c r="E855" s="101"/>
      <c r="F855" s="101"/>
      <c r="G855" s="101"/>
      <c r="H855" s="101"/>
      <c r="I855" s="106"/>
      <c r="J855" s="106"/>
      <c r="K855" s="106"/>
      <c r="L855" s="106"/>
      <c r="M855" s="106"/>
      <c r="N855" s="103" t="str">
        <f aca="false">IF(OR($B855="", $I855="", $J855="", $K855="", $L855="", $M855=""),"",ROUND(($I855*Lists!$AD$2)+($J855*Lists!$AD$3)+($K855*Lists!$AD$4)+($L855*Lists!$AD$5)+($M855*Lists!$AD$6),2))</f>
        <v/>
      </c>
      <c r="O855" s="103" t="str">
        <f aca="false">IF($A855="","",IFERROR(VLOOKUP($A855,'Risk Register'!$B$2:$I$1000,8,FALSE()),""))</f>
        <v/>
      </c>
      <c r="P855" s="106"/>
      <c r="Q855" s="106"/>
      <c r="R855" s="106"/>
      <c r="S855" s="106"/>
      <c r="T855" s="103" t="str">
        <f aca="false">IF(OR($B855="", $P855="", $Q855="", $R855="", $S855=""),"",ROUND(($P855*Lists!$AD$7)+($Q855*Lists!$AD$8)+($R855*Lists!$AD$9)+($S855*Lists!$AD$10),2))</f>
        <v/>
      </c>
      <c r="U855" s="106"/>
      <c r="V855" s="106"/>
      <c r="W855" s="106"/>
      <c r="X855" s="106"/>
      <c r="Y855" s="106"/>
      <c r="Z855" s="103" t="str">
        <f aca="false">IF(OR($B855="", $U855="", $V855="", $W855="", $X855="", $Y855=""),"",ROUND(($U855*Lists!$AD$11)+($V855*Lists!$AD$12)+($W855*Lists!$AD$13)+($X855*Lists!$AD$14)+($Y855*Lists!$AD$15),2))</f>
        <v/>
      </c>
      <c r="AA855" s="103" t="str">
        <f aca="false">IF(OR($B855="", $N855="", $O855="", $T855="", $Z855=""),"",ROUND(($N855*Lists!$AD$16)-($O855*Lists!$AD$17)-($T855*Lists!$AD$18)+($Z855*Lists!$AD$19),2))</f>
        <v/>
      </c>
      <c r="AB855" s="102" t="str">
        <f aca="false">IF(OR($B855="", $N855="", $Z855=""),"",IF($N855&gt;=Lists!$AG$2,IF($Z855&gt;=Lists!$AG$3,"Invest","Migrate"),IF($Z855&gt;=Lists!$AG$3,"Tolerate","Eliminate")))</f>
        <v/>
      </c>
      <c r="AC855" s="102" t="str">
        <f aca="false">IF($B855="","",IF($J855&gt;=4,"Yes",""))</f>
        <v/>
      </c>
      <c r="AD855" s="102" t="str">
        <f aca="false">IF($A855="","",IFERROR(IF(VLOOKUP($A855,'Risk Register'!$B$2:$H$1000,4,FALSE())&gt;=4,"Yes",""),""))</f>
        <v/>
      </c>
      <c r="AE855" s="102" t="str">
        <f aca="false">IF(OR($N855="", $O855=""),"",IF($N855&gt;=Lists!$AG$2,IF($O855&gt;=Lists!$AG$4,"High Value / High Risk","High Value / Low Risk"),IF($O855&gt;=Lists!$AG$4,"Low Value / High Risk","Low Value / Low Risk")))</f>
        <v/>
      </c>
      <c r="AF855" s="101"/>
      <c r="AG855" s="126"/>
      <c r="AH855" s="106" t="str">
        <f aca="false">IF($B855="","",COUNTIFS('Debt Backlog'!$AF$2:$AF$1000,$A855,'Debt Backlog'!$B$2:$B$1000,"&lt;&gt;",'Debt Backlog'!$N$2:$N$1000,"&lt;&gt;Done",'Debt Backlog'!$N$2:$N$1000,"&lt;&gt;Won't Fix",'Debt Backlog'!$N$2:$N$1000,"&lt;&gt;Duplicate"))</f>
        <v/>
      </c>
      <c r="AI855" s="103" t="str">
        <f aca="false">IF($B855="","",ROUND(SUMIFS('Debt Backlog'!$L$2:$L$1000,'Debt Backlog'!$AF$2:$AF$1000,$A855,'Debt Backlog'!$B$2:$B$1000,"&lt;&gt;",'Debt Backlog'!$N$2:$N$1000,"&lt;&gt;Done",'Debt Backlog'!$N$2:$N$1000,"&lt;&gt;Won't Fix",'Debt Backlog'!$N$2:$N$1000,"&lt;&gt;Duplicate"),2))</f>
        <v/>
      </c>
    </row>
    <row r="856" customFormat="false" ht="15.75" hidden="false" customHeight="true" outlineLevel="0" collapsed="false">
      <c r="A856" s="125"/>
      <c r="B856" s="101"/>
      <c r="C856" s="101"/>
      <c r="D856" s="101"/>
      <c r="E856" s="101"/>
      <c r="F856" s="101"/>
      <c r="G856" s="101"/>
      <c r="H856" s="101"/>
      <c r="I856" s="106"/>
      <c r="J856" s="106"/>
      <c r="K856" s="106"/>
      <c r="L856" s="106"/>
      <c r="M856" s="106"/>
      <c r="N856" s="103" t="str">
        <f aca="false">IF(OR($B856="", $I856="", $J856="", $K856="", $L856="", $M856=""),"",ROUND(($I856*Lists!$AD$2)+($J856*Lists!$AD$3)+($K856*Lists!$AD$4)+($L856*Lists!$AD$5)+($M856*Lists!$AD$6),2))</f>
        <v/>
      </c>
      <c r="O856" s="103" t="str">
        <f aca="false">IF($A856="","",IFERROR(VLOOKUP($A856,'Risk Register'!$B$2:$I$1000,8,FALSE()),""))</f>
        <v/>
      </c>
      <c r="P856" s="106"/>
      <c r="Q856" s="106"/>
      <c r="R856" s="106"/>
      <c r="S856" s="106"/>
      <c r="T856" s="103" t="str">
        <f aca="false">IF(OR($B856="", $P856="", $Q856="", $R856="", $S856=""),"",ROUND(($P856*Lists!$AD$7)+($Q856*Lists!$AD$8)+($R856*Lists!$AD$9)+($S856*Lists!$AD$10),2))</f>
        <v/>
      </c>
      <c r="U856" s="106"/>
      <c r="V856" s="106"/>
      <c r="W856" s="106"/>
      <c r="X856" s="106"/>
      <c r="Y856" s="106"/>
      <c r="Z856" s="103" t="str">
        <f aca="false">IF(OR($B856="", $U856="", $V856="", $W856="", $X856="", $Y856=""),"",ROUND(($U856*Lists!$AD$11)+($V856*Lists!$AD$12)+($W856*Lists!$AD$13)+($X856*Lists!$AD$14)+($Y856*Lists!$AD$15),2))</f>
        <v/>
      </c>
      <c r="AA856" s="103" t="str">
        <f aca="false">IF(OR($B856="", $N856="", $O856="", $T856="", $Z856=""),"",ROUND(($N856*Lists!$AD$16)-($O856*Lists!$AD$17)-($T856*Lists!$AD$18)+($Z856*Lists!$AD$19),2))</f>
        <v/>
      </c>
      <c r="AB856" s="102" t="str">
        <f aca="false">IF(OR($B856="", $N856="", $Z856=""),"",IF($N856&gt;=Lists!$AG$2,IF($Z856&gt;=Lists!$AG$3,"Invest","Migrate"),IF($Z856&gt;=Lists!$AG$3,"Tolerate","Eliminate")))</f>
        <v/>
      </c>
      <c r="AC856" s="102" t="str">
        <f aca="false">IF($B856="","",IF($J856&gt;=4,"Yes",""))</f>
        <v/>
      </c>
      <c r="AD856" s="102" t="str">
        <f aca="false">IF($A856="","",IFERROR(IF(VLOOKUP($A856,'Risk Register'!$B$2:$H$1000,4,FALSE())&gt;=4,"Yes",""),""))</f>
        <v/>
      </c>
      <c r="AE856" s="102" t="str">
        <f aca="false">IF(OR($N856="", $O856=""),"",IF($N856&gt;=Lists!$AG$2,IF($O856&gt;=Lists!$AG$4,"High Value / High Risk","High Value / Low Risk"),IF($O856&gt;=Lists!$AG$4,"Low Value / High Risk","Low Value / Low Risk")))</f>
        <v/>
      </c>
      <c r="AF856" s="101"/>
      <c r="AG856" s="126"/>
      <c r="AH856" s="106" t="str">
        <f aca="false">IF($B856="","",COUNTIFS('Debt Backlog'!$AF$2:$AF$1000,$A856,'Debt Backlog'!$B$2:$B$1000,"&lt;&gt;",'Debt Backlog'!$N$2:$N$1000,"&lt;&gt;Done",'Debt Backlog'!$N$2:$N$1000,"&lt;&gt;Won't Fix",'Debt Backlog'!$N$2:$N$1000,"&lt;&gt;Duplicate"))</f>
        <v/>
      </c>
      <c r="AI856" s="103" t="str">
        <f aca="false">IF($B856="","",ROUND(SUMIFS('Debt Backlog'!$L$2:$L$1000,'Debt Backlog'!$AF$2:$AF$1000,$A856,'Debt Backlog'!$B$2:$B$1000,"&lt;&gt;",'Debt Backlog'!$N$2:$N$1000,"&lt;&gt;Done",'Debt Backlog'!$N$2:$N$1000,"&lt;&gt;Won't Fix",'Debt Backlog'!$N$2:$N$1000,"&lt;&gt;Duplicate"),2))</f>
        <v/>
      </c>
    </row>
    <row r="857" customFormat="false" ht="15.75" hidden="false" customHeight="true" outlineLevel="0" collapsed="false">
      <c r="A857" s="125"/>
      <c r="B857" s="101"/>
      <c r="C857" s="101"/>
      <c r="D857" s="101"/>
      <c r="E857" s="101"/>
      <c r="F857" s="101"/>
      <c r="G857" s="101"/>
      <c r="H857" s="101"/>
      <c r="I857" s="106"/>
      <c r="J857" s="106"/>
      <c r="K857" s="106"/>
      <c r="L857" s="106"/>
      <c r="M857" s="106"/>
      <c r="N857" s="103" t="str">
        <f aca="false">IF(OR($B857="", $I857="", $J857="", $K857="", $L857="", $M857=""),"",ROUND(($I857*Lists!$AD$2)+($J857*Lists!$AD$3)+($K857*Lists!$AD$4)+($L857*Lists!$AD$5)+($M857*Lists!$AD$6),2))</f>
        <v/>
      </c>
      <c r="O857" s="103" t="str">
        <f aca="false">IF($A857="","",IFERROR(VLOOKUP($A857,'Risk Register'!$B$2:$I$1000,8,FALSE()),""))</f>
        <v/>
      </c>
      <c r="P857" s="106"/>
      <c r="Q857" s="106"/>
      <c r="R857" s="106"/>
      <c r="S857" s="106"/>
      <c r="T857" s="103" t="str">
        <f aca="false">IF(OR($B857="", $P857="", $Q857="", $R857="", $S857=""),"",ROUND(($P857*Lists!$AD$7)+($Q857*Lists!$AD$8)+($R857*Lists!$AD$9)+($S857*Lists!$AD$10),2))</f>
        <v/>
      </c>
      <c r="U857" s="106"/>
      <c r="V857" s="106"/>
      <c r="W857" s="106"/>
      <c r="X857" s="106"/>
      <c r="Y857" s="106"/>
      <c r="Z857" s="103" t="str">
        <f aca="false">IF(OR($B857="", $U857="", $V857="", $W857="", $X857="", $Y857=""),"",ROUND(($U857*Lists!$AD$11)+($V857*Lists!$AD$12)+($W857*Lists!$AD$13)+($X857*Lists!$AD$14)+($Y857*Lists!$AD$15),2))</f>
        <v/>
      </c>
      <c r="AA857" s="103" t="str">
        <f aca="false">IF(OR($B857="", $N857="", $O857="", $T857="", $Z857=""),"",ROUND(($N857*Lists!$AD$16)-($O857*Lists!$AD$17)-($T857*Lists!$AD$18)+($Z857*Lists!$AD$19),2))</f>
        <v/>
      </c>
      <c r="AB857" s="102" t="str">
        <f aca="false">IF(OR($B857="", $N857="", $Z857=""),"",IF($N857&gt;=Lists!$AG$2,IF($Z857&gt;=Lists!$AG$3,"Invest","Migrate"),IF($Z857&gt;=Lists!$AG$3,"Tolerate","Eliminate")))</f>
        <v/>
      </c>
      <c r="AC857" s="102" t="str">
        <f aca="false">IF($B857="","",IF($J857&gt;=4,"Yes",""))</f>
        <v/>
      </c>
      <c r="AD857" s="102" t="str">
        <f aca="false">IF($A857="","",IFERROR(IF(VLOOKUP($A857,'Risk Register'!$B$2:$H$1000,4,FALSE())&gt;=4,"Yes",""),""))</f>
        <v/>
      </c>
      <c r="AE857" s="102" t="str">
        <f aca="false">IF(OR($N857="", $O857=""),"",IF($N857&gt;=Lists!$AG$2,IF($O857&gt;=Lists!$AG$4,"High Value / High Risk","High Value / Low Risk"),IF($O857&gt;=Lists!$AG$4,"Low Value / High Risk","Low Value / Low Risk")))</f>
        <v/>
      </c>
      <c r="AF857" s="101"/>
      <c r="AG857" s="126"/>
      <c r="AH857" s="106" t="str">
        <f aca="false">IF($B857="","",COUNTIFS('Debt Backlog'!$AF$2:$AF$1000,$A857,'Debt Backlog'!$B$2:$B$1000,"&lt;&gt;",'Debt Backlog'!$N$2:$N$1000,"&lt;&gt;Done",'Debt Backlog'!$N$2:$N$1000,"&lt;&gt;Won't Fix",'Debt Backlog'!$N$2:$N$1000,"&lt;&gt;Duplicate"))</f>
        <v/>
      </c>
      <c r="AI857" s="103" t="str">
        <f aca="false">IF($B857="","",ROUND(SUMIFS('Debt Backlog'!$L$2:$L$1000,'Debt Backlog'!$AF$2:$AF$1000,$A857,'Debt Backlog'!$B$2:$B$1000,"&lt;&gt;",'Debt Backlog'!$N$2:$N$1000,"&lt;&gt;Done",'Debt Backlog'!$N$2:$N$1000,"&lt;&gt;Won't Fix",'Debt Backlog'!$N$2:$N$1000,"&lt;&gt;Duplicate"),2))</f>
        <v/>
      </c>
    </row>
    <row r="858" customFormat="false" ht="15.75" hidden="false" customHeight="true" outlineLevel="0" collapsed="false">
      <c r="A858" s="125"/>
      <c r="B858" s="101"/>
      <c r="C858" s="101"/>
      <c r="D858" s="101"/>
      <c r="E858" s="101"/>
      <c r="F858" s="101"/>
      <c r="G858" s="101"/>
      <c r="H858" s="101"/>
      <c r="I858" s="106"/>
      <c r="J858" s="106"/>
      <c r="K858" s="106"/>
      <c r="L858" s="106"/>
      <c r="M858" s="106"/>
      <c r="N858" s="103" t="str">
        <f aca="false">IF(OR($B858="", $I858="", $J858="", $K858="", $L858="", $M858=""),"",ROUND(($I858*Lists!$AD$2)+($J858*Lists!$AD$3)+($K858*Lists!$AD$4)+($L858*Lists!$AD$5)+($M858*Lists!$AD$6),2))</f>
        <v/>
      </c>
      <c r="O858" s="103" t="str">
        <f aca="false">IF($A858="","",IFERROR(VLOOKUP($A858,'Risk Register'!$B$2:$I$1000,8,FALSE()),""))</f>
        <v/>
      </c>
      <c r="P858" s="106"/>
      <c r="Q858" s="106"/>
      <c r="R858" s="106"/>
      <c r="S858" s="106"/>
      <c r="T858" s="103" t="str">
        <f aca="false">IF(OR($B858="", $P858="", $Q858="", $R858="", $S858=""),"",ROUND(($P858*Lists!$AD$7)+($Q858*Lists!$AD$8)+($R858*Lists!$AD$9)+($S858*Lists!$AD$10),2))</f>
        <v/>
      </c>
      <c r="U858" s="106"/>
      <c r="V858" s="106"/>
      <c r="W858" s="106"/>
      <c r="X858" s="106"/>
      <c r="Y858" s="106"/>
      <c r="Z858" s="103" t="str">
        <f aca="false">IF(OR($B858="", $U858="", $V858="", $W858="", $X858="", $Y858=""),"",ROUND(($U858*Lists!$AD$11)+($V858*Lists!$AD$12)+($W858*Lists!$AD$13)+($X858*Lists!$AD$14)+($Y858*Lists!$AD$15),2))</f>
        <v/>
      </c>
      <c r="AA858" s="103" t="str">
        <f aca="false">IF(OR($B858="", $N858="", $O858="", $T858="", $Z858=""),"",ROUND(($N858*Lists!$AD$16)-($O858*Lists!$AD$17)-($T858*Lists!$AD$18)+($Z858*Lists!$AD$19),2))</f>
        <v/>
      </c>
      <c r="AB858" s="102" t="str">
        <f aca="false">IF(OR($B858="", $N858="", $Z858=""),"",IF($N858&gt;=Lists!$AG$2,IF($Z858&gt;=Lists!$AG$3,"Invest","Migrate"),IF($Z858&gt;=Lists!$AG$3,"Tolerate","Eliminate")))</f>
        <v/>
      </c>
      <c r="AC858" s="102" t="str">
        <f aca="false">IF($B858="","",IF($J858&gt;=4,"Yes",""))</f>
        <v/>
      </c>
      <c r="AD858" s="102" t="str">
        <f aca="false">IF($A858="","",IFERROR(IF(VLOOKUP($A858,'Risk Register'!$B$2:$H$1000,4,FALSE())&gt;=4,"Yes",""),""))</f>
        <v/>
      </c>
      <c r="AE858" s="102" t="str">
        <f aca="false">IF(OR($N858="", $O858=""),"",IF($N858&gt;=Lists!$AG$2,IF($O858&gt;=Lists!$AG$4,"High Value / High Risk","High Value / Low Risk"),IF($O858&gt;=Lists!$AG$4,"Low Value / High Risk","Low Value / Low Risk")))</f>
        <v/>
      </c>
      <c r="AF858" s="101"/>
      <c r="AG858" s="126"/>
      <c r="AH858" s="106" t="str">
        <f aca="false">IF($B858="","",COUNTIFS('Debt Backlog'!$AF$2:$AF$1000,$A858,'Debt Backlog'!$B$2:$B$1000,"&lt;&gt;",'Debt Backlog'!$N$2:$N$1000,"&lt;&gt;Done",'Debt Backlog'!$N$2:$N$1000,"&lt;&gt;Won't Fix",'Debt Backlog'!$N$2:$N$1000,"&lt;&gt;Duplicate"))</f>
        <v/>
      </c>
      <c r="AI858" s="103" t="str">
        <f aca="false">IF($B858="","",ROUND(SUMIFS('Debt Backlog'!$L$2:$L$1000,'Debt Backlog'!$AF$2:$AF$1000,$A858,'Debt Backlog'!$B$2:$B$1000,"&lt;&gt;",'Debt Backlog'!$N$2:$N$1000,"&lt;&gt;Done",'Debt Backlog'!$N$2:$N$1000,"&lt;&gt;Won't Fix",'Debt Backlog'!$N$2:$N$1000,"&lt;&gt;Duplicate"),2))</f>
        <v/>
      </c>
    </row>
    <row r="859" customFormat="false" ht="15.75" hidden="false" customHeight="true" outlineLevel="0" collapsed="false">
      <c r="A859" s="125"/>
      <c r="B859" s="101"/>
      <c r="C859" s="101"/>
      <c r="D859" s="101"/>
      <c r="E859" s="101"/>
      <c r="F859" s="101"/>
      <c r="G859" s="101"/>
      <c r="H859" s="101"/>
      <c r="I859" s="106"/>
      <c r="J859" s="106"/>
      <c r="K859" s="106"/>
      <c r="L859" s="106"/>
      <c r="M859" s="106"/>
      <c r="N859" s="103" t="str">
        <f aca="false">IF(OR($B859="", $I859="", $J859="", $K859="", $L859="", $M859=""),"",ROUND(($I859*Lists!$AD$2)+($J859*Lists!$AD$3)+($K859*Lists!$AD$4)+($L859*Lists!$AD$5)+($M859*Lists!$AD$6),2))</f>
        <v/>
      </c>
      <c r="O859" s="103" t="str">
        <f aca="false">IF($A859="","",IFERROR(VLOOKUP($A859,'Risk Register'!$B$2:$I$1000,8,FALSE()),""))</f>
        <v/>
      </c>
      <c r="P859" s="106"/>
      <c r="Q859" s="106"/>
      <c r="R859" s="106"/>
      <c r="S859" s="106"/>
      <c r="T859" s="103" t="str">
        <f aca="false">IF(OR($B859="", $P859="", $Q859="", $R859="", $S859=""),"",ROUND(($P859*Lists!$AD$7)+($Q859*Lists!$AD$8)+($R859*Lists!$AD$9)+($S859*Lists!$AD$10),2))</f>
        <v/>
      </c>
      <c r="U859" s="106"/>
      <c r="V859" s="106"/>
      <c r="W859" s="106"/>
      <c r="X859" s="106"/>
      <c r="Y859" s="106"/>
      <c r="Z859" s="103" t="str">
        <f aca="false">IF(OR($B859="", $U859="", $V859="", $W859="", $X859="", $Y859=""),"",ROUND(($U859*Lists!$AD$11)+($V859*Lists!$AD$12)+($W859*Lists!$AD$13)+($X859*Lists!$AD$14)+($Y859*Lists!$AD$15),2))</f>
        <v/>
      </c>
      <c r="AA859" s="103" t="str">
        <f aca="false">IF(OR($B859="", $N859="", $O859="", $T859="", $Z859=""),"",ROUND(($N859*Lists!$AD$16)-($O859*Lists!$AD$17)-($T859*Lists!$AD$18)+($Z859*Lists!$AD$19),2))</f>
        <v/>
      </c>
      <c r="AB859" s="102" t="str">
        <f aca="false">IF(OR($B859="", $N859="", $Z859=""),"",IF($N859&gt;=Lists!$AG$2,IF($Z859&gt;=Lists!$AG$3,"Invest","Migrate"),IF($Z859&gt;=Lists!$AG$3,"Tolerate","Eliminate")))</f>
        <v/>
      </c>
      <c r="AC859" s="102" t="str">
        <f aca="false">IF($B859="","",IF($J859&gt;=4,"Yes",""))</f>
        <v/>
      </c>
      <c r="AD859" s="102" t="str">
        <f aca="false">IF($A859="","",IFERROR(IF(VLOOKUP($A859,'Risk Register'!$B$2:$H$1000,4,FALSE())&gt;=4,"Yes",""),""))</f>
        <v/>
      </c>
      <c r="AE859" s="102" t="str">
        <f aca="false">IF(OR($N859="", $O859=""),"",IF($N859&gt;=Lists!$AG$2,IF($O859&gt;=Lists!$AG$4,"High Value / High Risk","High Value / Low Risk"),IF($O859&gt;=Lists!$AG$4,"Low Value / High Risk","Low Value / Low Risk")))</f>
        <v/>
      </c>
      <c r="AF859" s="101"/>
      <c r="AG859" s="126"/>
      <c r="AH859" s="106" t="str">
        <f aca="false">IF($B859="","",COUNTIFS('Debt Backlog'!$AF$2:$AF$1000,$A859,'Debt Backlog'!$B$2:$B$1000,"&lt;&gt;",'Debt Backlog'!$N$2:$N$1000,"&lt;&gt;Done",'Debt Backlog'!$N$2:$N$1000,"&lt;&gt;Won't Fix",'Debt Backlog'!$N$2:$N$1000,"&lt;&gt;Duplicate"))</f>
        <v/>
      </c>
      <c r="AI859" s="103" t="str">
        <f aca="false">IF($B859="","",ROUND(SUMIFS('Debt Backlog'!$L$2:$L$1000,'Debt Backlog'!$AF$2:$AF$1000,$A859,'Debt Backlog'!$B$2:$B$1000,"&lt;&gt;",'Debt Backlog'!$N$2:$N$1000,"&lt;&gt;Done",'Debt Backlog'!$N$2:$N$1000,"&lt;&gt;Won't Fix",'Debt Backlog'!$N$2:$N$1000,"&lt;&gt;Duplicate"),2))</f>
        <v/>
      </c>
    </row>
    <row r="860" customFormat="false" ht="15.75" hidden="false" customHeight="true" outlineLevel="0" collapsed="false">
      <c r="A860" s="125"/>
      <c r="B860" s="101"/>
      <c r="C860" s="101"/>
      <c r="D860" s="101"/>
      <c r="E860" s="101"/>
      <c r="F860" s="101"/>
      <c r="G860" s="101"/>
      <c r="H860" s="101"/>
      <c r="I860" s="106"/>
      <c r="J860" s="106"/>
      <c r="K860" s="106"/>
      <c r="L860" s="106"/>
      <c r="M860" s="106"/>
      <c r="N860" s="103" t="str">
        <f aca="false">IF(OR($B860="", $I860="", $J860="", $K860="", $L860="", $M860=""),"",ROUND(($I860*Lists!$AD$2)+($J860*Lists!$AD$3)+($K860*Lists!$AD$4)+($L860*Lists!$AD$5)+($M860*Lists!$AD$6),2))</f>
        <v/>
      </c>
      <c r="O860" s="103" t="str">
        <f aca="false">IF($A860="","",IFERROR(VLOOKUP($A860,'Risk Register'!$B$2:$I$1000,8,FALSE()),""))</f>
        <v/>
      </c>
      <c r="P860" s="106"/>
      <c r="Q860" s="106"/>
      <c r="R860" s="106"/>
      <c r="S860" s="106"/>
      <c r="T860" s="103" t="str">
        <f aca="false">IF(OR($B860="", $P860="", $Q860="", $R860="", $S860=""),"",ROUND(($P860*Lists!$AD$7)+($Q860*Lists!$AD$8)+($R860*Lists!$AD$9)+($S860*Lists!$AD$10),2))</f>
        <v/>
      </c>
      <c r="U860" s="106"/>
      <c r="V860" s="106"/>
      <c r="W860" s="106"/>
      <c r="X860" s="106"/>
      <c r="Y860" s="106"/>
      <c r="Z860" s="103" t="str">
        <f aca="false">IF(OR($B860="", $U860="", $V860="", $W860="", $X860="", $Y860=""),"",ROUND(($U860*Lists!$AD$11)+($V860*Lists!$AD$12)+($W860*Lists!$AD$13)+($X860*Lists!$AD$14)+($Y860*Lists!$AD$15),2))</f>
        <v/>
      </c>
      <c r="AA860" s="103" t="str">
        <f aca="false">IF(OR($B860="", $N860="", $O860="", $T860="", $Z860=""),"",ROUND(($N860*Lists!$AD$16)-($O860*Lists!$AD$17)-($T860*Lists!$AD$18)+($Z860*Lists!$AD$19),2))</f>
        <v/>
      </c>
      <c r="AB860" s="102" t="str">
        <f aca="false">IF(OR($B860="", $N860="", $Z860=""),"",IF($N860&gt;=Lists!$AG$2,IF($Z860&gt;=Lists!$AG$3,"Invest","Migrate"),IF($Z860&gt;=Lists!$AG$3,"Tolerate","Eliminate")))</f>
        <v/>
      </c>
      <c r="AC860" s="102" t="str">
        <f aca="false">IF($B860="","",IF($J860&gt;=4,"Yes",""))</f>
        <v/>
      </c>
      <c r="AD860" s="102" t="str">
        <f aca="false">IF($A860="","",IFERROR(IF(VLOOKUP($A860,'Risk Register'!$B$2:$H$1000,4,FALSE())&gt;=4,"Yes",""),""))</f>
        <v/>
      </c>
      <c r="AE860" s="102" t="str">
        <f aca="false">IF(OR($N860="", $O860=""),"",IF($N860&gt;=Lists!$AG$2,IF($O860&gt;=Lists!$AG$4,"High Value / High Risk","High Value / Low Risk"),IF($O860&gt;=Lists!$AG$4,"Low Value / High Risk","Low Value / Low Risk")))</f>
        <v/>
      </c>
      <c r="AF860" s="101"/>
      <c r="AG860" s="126"/>
      <c r="AH860" s="106" t="str">
        <f aca="false">IF($B860="","",COUNTIFS('Debt Backlog'!$AF$2:$AF$1000,$A860,'Debt Backlog'!$B$2:$B$1000,"&lt;&gt;",'Debt Backlog'!$N$2:$N$1000,"&lt;&gt;Done",'Debt Backlog'!$N$2:$N$1000,"&lt;&gt;Won't Fix",'Debt Backlog'!$N$2:$N$1000,"&lt;&gt;Duplicate"))</f>
        <v/>
      </c>
      <c r="AI860" s="103" t="str">
        <f aca="false">IF($B860="","",ROUND(SUMIFS('Debt Backlog'!$L$2:$L$1000,'Debt Backlog'!$AF$2:$AF$1000,$A860,'Debt Backlog'!$B$2:$B$1000,"&lt;&gt;",'Debt Backlog'!$N$2:$N$1000,"&lt;&gt;Done",'Debt Backlog'!$N$2:$N$1000,"&lt;&gt;Won't Fix",'Debt Backlog'!$N$2:$N$1000,"&lt;&gt;Duplicate"),2))</f>
        <v/>
      </c>
    </row>
    <row r="861" customFormat="false" ht="15.75" hidden="false" customHeight="true" outlineLevel="0" collapsed="false">
      <c r="A861" s="125"/>
      <c r="B861" s="101"/>
      <c r="C861" s="101"/>
      <c r="D861" s="101"/>
      <c r="E861" s="101"/>
      <c r="F861" s="101"/>
      <c r="G861" s="101"/>
      <c r="H861" s="101"/>
      <c r="I861" s="106"/>
      <c r="J861" s="106"/>
      <c r="K861" s="106"/>
      <c r="L861" s="106"/>
      <c r="M861" s="106"/>
      <c r="N861" s="103" t="str">
        <f aca="false">IF(OR($B861="", $I861="", $J861="", $K861="", $L861="", $M861=""),"",ROUND(($I861*Lists!$AD$2)+($J861*Lists!$AD$3)+($K861*Lists!$AD$4)+($L861*Lists!$AD$5)+($M861*Lists!$AD$6),2))</f>
        <v/>
      </c>
      <c r="O861" s="103" t="str">
        <f aca="false">IF($A861="","",IFERROR(VLOOKUP($A861,'Risk Register'!$B$2:$I$1000,8,FALSE()),""))</f>
        <v/>
      </c>
      <c r="P861" s="106"/>
      <c r="Q861" s="106"/>
      <c r="R861" s="106"/>
      <c r="S861" s="106"/>
      <c r="T861" s="103" t="str">
        <f aca="false">IF(OR($B861="", $P861="", $Q861="", $R861="", $S861=""),"",ROUND(($P861*Lists!$AD$7)+($Q861*Lists!$AD$8)+($R861*Lists!$AD$9)+($S861*Lists!$AD$10),2))</f>
        <v/>
      </c>
      <c r="U861" s="106"/>
      <c r="V861" s="106"/>
      <c r="W861" s="106"/>
      <c r="X861" s="106"/>
      <c r="Y861" s="106"/>
      <c r="Z861" s="103" t="str">
        <f aca="false">IF(OR($B861="", $U861="", $V861="", $W861="", $X861="", $Y861=""),"",ROUND(($U861*Lists!$AD$11)+($V861*Lists!$AD$12)+($W861*Lists!$AD$13)+($X861*Lists!$AD$14)+($Y861*Lists!$AD$15),2))</f>
        <v/>
      </c>
      <c r="AA861" s="103" t="str">
        <f aca="false">IF(OR($B861="", $N861="", $O861="", $T861="", $Z861=""),"",ROUND(($N861*Lists!$AD$16)-($O861*Lists!$AD$17)-($T861*Lists!$AD$18)+($Z861*Lists!$AD$19),2))</f>
        <v/>
      </c>
      <c r="AB861" s="102" t="str">
        <f aca="false">IF(OR($B861="", $N861="", $Z861=""),"",IF($N861&gt;=Lists!$AG$2,IF($Z861&gt;=Lists!$AG$3,"Invest","Migrate"),IF($Z861&gt;=Lists!$AG$3,"Tolerate","Eliminate")))</f>
        <v/>
      </c>
      <c r="AC861" s="102" t="str">
        <f aca="false">IF($B861="","",IF($J861&gt;=4,"Yes",""))</f>
        <v/>
      </c>
      <c r="AD861" s="102" t="str">
        <f aca="false">IF($A861="","",IFERROR(IF(VLOOKUP($A861,'Risk Register'!$B$2:$H$1000,4,FALSE())&gt;=4,"Yes",""),""))</f>
        <v/>
      </c>
      <c r="AE861" s="102" t="str">
        <f aca="false">IF(OR($N861="", $O861=""),"",IF($N861&gt;=Lists!$AG$2,IF($O861&gt;=Lists!$AG$4,"High Value / High Risk","High Value / Low Risk"),IF($O861&gt;=Lists!$AG$4,"Low Value / High Risk","Low Value / Low Risk")))</f>
        <v/>
      </c>
      <c r="AF861" s="101"/>
      <c r="AG861" s="126"/>
      <c r="AH861" s="106" t="str">
        <f aca="false">IF($B861="","",COUNTIFS('Debt Backlog'!$AF$2:$AF$1000,$A861,'Debt Backlog'!$B$2:$B$1000,"&lt;&gt;",'Debt Backlog'!$N$2:$N$1000,"&lt;&gt;Done",'Debt Backlog'!$N$2:$N$1000,"&lt;&gt;Won't Fix",'Debt Backlog'!$N$2:$N$1000,"&lt;&gt;Duplicate"))</f>
        <v/>
      </c>
      <c r="AI861" s="103" t="str">
        <f aca="false">IF($B861="","",ROUND(SUMIFS('Debt Backlog'!$L$2:$L$1000,'Debt Backlog'!$AF$2:$AF$1000,$A861,'Debt Backlog'!$B$2:$B$1000,"&lt;&gt;",'Debt Backlog'!$N$2:$N$1000,"&lt;&gt;Done",'Debt Backlog'!$N$2:$N$1000,"&lt;&gt;Won't Fix",'Debt Backlog'!$N$2:$N$1000,"&lt;&gt;Duplicate"),2))</f>
        <v/>
      </c>
    </row>
    <row r="862" customFormat="false" ht="15.75" hidden="false" customHeight="true" outlineLevel="0" collapsed="false">
      <c r="A862" s="125"/>
      <c r="B862" s="101"/>
      <c r="C862" s="101"/>
      <c r="D862" s="101"/>
      <c r="E862" s="101"/>
      <c r="F862" s="101"/>
      <c r="G862" s="101"/>
      <c r="H862" s="101"/>
      <c r="I862" s="106"/>
      <c r="J862" s="106"/>
      <c r="K862" s="106"/>
      <c r="L862" s="106"/>
      <c r="M862" s="106"/>
      <c r="N862" s="103" t="str">
        <f aca="false">IF(OR($B862="", $I862="", $J862="", $K862="", $L862="", $M862=""),"",ROUND(($I862*Lists!$AD$2)+($J862*Lists!$AD$3)+($K862*Lists!$AD$4)+($L862*Lists!$AD$5)+($M862*Lists!$AD$6),2))</f>
        <v/>
      </c>
      <c r="O862" s="103" t="str">
        <f aca="false">IF($A862="","",IFERROR(VLOOKUP($A862,'Risk Register'!$B$2:$I$1000,8,FALSE()),""))</f>
        <v/>
      </c>
      <c r="P862" s="106"/>
      <c r="Q862" s="106"/>
      <c r="R862" s="106"/>
      <c r="S862" s="106"/>
      <c r="T862" s="103" t="str">
        <f aca="false">IF(OR($B862="", $P862="", $Q862="", $R862="", $S862=""),"",ROUND(($P862*Lists!$AD$7)+($Q862*Lists!$AD$8)+($R862*Lists!$AD$9)+($S862*Lists!$AD$10),2))</f>
        <v/>
      </c>
      <c r="U862" s="106"/>
      <c r="V862" s="106"/>
      <c r="W862" s="106"/>
      <c r="X862" s="106"/>
      <c r="Y862" s="106"/>
      <c r="Z862" s="103" t="str">
        <f aca="false">IF(OR($B862="", $U862="", $V862="", $W862="", $X862="", $Y862=""),"",ROUND(($U862*Lists!$AD$11)+($V862*Lists!$AD$12)+($W862*Lists!$AD$13)+($X862*Lists!$AD$14)+($Y862*Lists!$AD$15),2))</f>
        <v/>
      </c>
      <c r="AA862" s="103" t="str">
        <f aca="false">IF(OR($B862="", $N862="", $O862="", $T862="", $Z862=""),"",ROUND(($N862*Lists!$AD$16)-($O862*Lists!$AD$17)-($T862*Lists!$AD$18)+($Z862*Lists!$AD$19),2))</f>
        <v/>
      </c>
      <c r="AB862" s="102" t="str">
        <f aca="false">IF(OR($B862="", $N862="", $Z862=""),"",IF($N862&gt;=Lists!$AG$2,IF($Z862&gt;=Lists!$AG$3,"Invest","Migrate"),IF($Z862&gt;=Lists!$AG$3,"Tolerate","Eliminate")))</f>
        <v/>
      </c>
      <c r="AC862" s="102" t="str">
        <f aca="false">IF($B862="","",IF($J862&gt;=4,"Yes",""))</f>
        <v/>
      </c>
      <c r="AD862" s="102" t="str">
        <f aca="false">IF($A862="","",IFERROR(IF(VLOOKUP($A862,'Risk Register'!$B$2:$H$1000,4,FALSE())&gt;=4,"Yes",""),""))</f>
        <v/>
      </c>
      <c r="AE862" s="102" t="str">
        <f aca="false">IF(OR($N862="", $O862=""),"",IF($N862&gt;=Lists!$AG$2,IF($O862&gt;=Lists!$AG$4,"High Value / High Risk","High Value / Low Risk"),IF($O862&gt;=Lists!$AG$4,"Low Value / High Risk","Low Value / Low Risk")))</f>
        <v/>
      </c>
      <c r="AF862" s="101"/>
      <c r="AG862" s="126"/>
      <c r="AH862" s="106" t="str">
        <f aca="false">IF($B862="","",COUNTIFS('Debt Backlog'!$AF$2:$AF$1000,$A862,'Debt Backlog'!$B$2:$B$1000,"&lt;&gt;",'Debt Backlog'!$N$2:$N$1000,"&lt;&gt;Done",'Debt Backlog'!$N$2:$N$1000,"&lt;&gt;Won't Fix",'Debt Backlog'!$N$2:$N$1000,"&lt;&gt;Duplicate"))</f>
        <v/>
      </c>
      <c r="AI862" s="103" t="str">
        <f aca="false">IF($B862="","",ROUND(SUMIFS('Debt Backlog'!$L$2:$L$1000,'Debt Backlog'!$AF$2:$AF$1000,$A862,'Debt Backlog'!$B$2:$B$1000,"&lt;&gt;",'Debt Backlog'!$N$2:$N$1000,"&lt;&gt;Done",'Debt Backlog'!$N$2:$N$1000,"&lt;&gt;Won't Fix",'Debt Backlog'!$N$2:$N$1000,"&lt;&gt;Duplicate"),2))</f>
        <v/>
      </c>
    </row>
    <row r="863" customFormat="false" ht="15.75" hidden="false" customHeight="true" outlineLevel="0" collapsed="false">
      <c r="A863" s="125"/>
      <c r="B863" s="101"/>
      <c r="C863" s="101"/>
      <c r="D863" s="101"/>
      <c r="E863" s="101"/>
      <c r="F863" s="101"/>
      <c r="G863" s="101"/>
      <c r="H863" s="101"/>
      <c r="I863" s="106"/>
      <c r="J863" s="106"/>
      <c r="K863" s="106"/>
      <c r="L863" s="106"/>
      <c r="M863" s="106"/>
      <c r="N863" s="103" t="str">
        <f aca="false">IF(OR($B863="", $I863="", $J863="", $K863="", $L863="", $M863=""),"",ROUND(($I863*Lists!$AD$2)+($J863*Lists!$AD$3)+($K863*Lists!$AD$4)+($L863*Lists!$AD$5)+($M863*Lists!$AD$6),2))</f>
        <v/>
      </c>
      <c r="O863" s="103" t="str">
        <f aca="false">IF($A863="","",IFERROR(VLOOKUP($A863,'Risk Register'!$B$2:$I$1000,8,FALSE()),""))</f>
        <v/>
      </c>
      <c r="P863" s="106"/>
      <c r="Q863" s="106"/>
      <c r="R863" s="106"/>
      <c r="S863" s="106"/>
      <c r="T863" s="103" t="str">
        <f aca="false">IF(OR($B863="", $P863="", $Q863="", $R863="", $S863=""),"",ROUND(($P863*Lists!$AD$7)+($Q863*Lists!$AD$8)+($R863*Lists!$AD$9)+($S863*Lists!$AD$10),2))</f>
        <v/>
      </c>
      <c r="U863" s="106"/>
      <c r="V863" s="106"/>
      <c r="W863" s="106"/>
      <c r="X863" s="106"/>
      <c r="Y863" s="106"/>
      <c r="Z863" s="103" t="str">
        <f aca="false">IF(OR($B863="", $U863="", $V863="", $W863="", $X863="", $Y863=""),"",ROUND(($U863*Lists!$AD$11)+($V863*Lists!$AD$12)+($W863*Lists!$AD$13)+($X863*Lists!$AD$14)+($Y863*Lists!$AD$15),2))</f>
        <v/>
      </c>
      <c r="AA863" s="103" t="str">
        <f aca="false">IF(OR($B863="", $N863="", $O863="", $T863="", $Z863=""),"",ROUND(($N863*Lists!$AD$16)-($O863*Lists!$AD$17)-($T863*Lists!$AD$18)+($Z863*Lists!$AD$19),2))</f>
        <v/>
      </c>
      <c r="AB863" s="102" t="str">
        <f aca="false">IF(OR($B863="", $N863="", $Z863=""),"",IF($N863&gt;=Lists!$AG$2,IF($Z863&gt;=Lists!$AG$3,"Invest","Migrate"),IF($Z863&gt;=Lists!$AG$3,"Tolerate","Eliminate")))</f>
        <v/>
      </c>
      <c r="AC863" s="102" t="str">
        <f aca="false">IF($B863="","",IF($J863&gt;=4,"Yes",""))</f>
        <v/>
      </c>
      <c r="AD863" s="102" t="str">
        <f aca="false">IF($A863="","",IFERROR(IF(VLOOKUP($A863,'Risk Register'!$B$2:$H$1000,4,FALSE())&gt;=4,"Yes",""),""))</f>
        <v/>
      </c>
      <c r="AE863" s="102" t="str">
        <f aca="false">IF(OR($N863="", $O863=""),"",IF($N863&gt;=Lists!$AG$2,IF($O863&gt;=Lists!$AG$4,"High Value / High Risk","High Value / Low Risk"),IF($O863&gt;=Lists!$AG$4,"Low Value / High Risk","Low Value / Low Risk")))</f>
        <v/>
      </c>
      <c r="AF863" s="101"/>
      <c r="AG863" s="126"/>
      <c r="AH863" s="106" t="str">
        <f aca="false">IF($B863="","",COUNTIFS('Debt Backlog'!$AF$2:$AF$1000,$A863,'Debt Backlog'!$B$2:$B$1000,"&lt;&gt;",'Debt Backlog'!$N$2:$N$1000,"&lt;&gt;Done",'Debt Backlog'!$N$2:$N$1000,"&lt;&gt;Won't Fix",'Debt Backlog'!$N$2:$N$1000,"&lt;&gt;Duplicate"))</f>
        <v/>
      </c>
      <c r="AI863" s="103" t="str">
        <f aca="false">IF($B863="","",ROUND(SUMIFS('Debt Backlog'!$L$2:$L$1000,'Debt Backlog'!$AF$2:$AF$1000,$A863,'Debt Backlog'!$B$2:$B$1000,"&lt;&gt;",'Debt Backlog'!$N$2:$N$1000,"&lt;&gt;Done",'Debt Backlog'!$N$2:$N$1000,"&lt;&gt;Won't Fix",'Debt Backlog'!$N$2:$N$1000,"&lt;&gt;Duplicate"),2))</f>
        <v/>
      </c>
    </row>
    <row r="864" customFormat="false" ht="15.75" hidden="false" customHeight="true" outlineLevel="0" collapsed="false">
      <c r="A864" s="125"/>
      <c r="B864" s="101"/>
      <c r="C864" s="101"/>
      <c r="D864" s="101"/>
      <c r="E864" s="101"/>
      <c r="F864" s="101"/>
      <c r="G864" s="101"/>
      <c r="H864" s="101"/>
      <c r="I864" s="106"/>
      <c r="J864" s="106"/>
      <c r="K864" s="106"/>
      <c r="L864" s="106"/>
      <c r="M864" s="106"/>
      <c r="N864" s="103" t="str">
        <f aca="false">IF(OR($B864="", $I864="", $J864="", $K864="", $L864="", $M864=""),"",ROUND(($I864*Lists!$AD$2)+($J864*Lists!$AD$3)+($K864*Lists!$AD$4)+($L864*Lists!$AD$5)+($M864*Lists!$AD$6),2))</f>
        <v/>
      </c>
      <c r="O864" s="103" t="str">
        <f aca="false">IF($A864="","",IFERROR(VLOOKUP($A864,'Risk Register'!$B$2:$I$1000,8,FALSE()),""))</f>
        <v/>
      </c>
      <c r="P864" s="106"/>
      <c r="Q864" s="106"/>
      <c r="R864" s="106"/>
      <c r="S864" s="106"/>
      <c r="T864" s="103" t="str">
        <f aca="false">IF(OR($B864="", $P864="", $Q864="", $R864="", $S864=""),"",ROUND(($P864*Lists!$AD$7)+($Q864*Lists!$AD$8)+($R864*Lists!$AD$9)+($S864*Lists!$AD$10),2))</f>
        <v/>
      </c>
      <c r="U864" s="106"/>
      <c r="V864" s="106"/>
      <c r="W864" s="106"/>
      <c r="X864" s="106"/>
      <c r="Y864" s="106"/>
      <c r="Z864" s="103" t="str">
        <f aca="false">IF(OR($B864="", $U864="", $V864="", $W864="", $X864="", $Y864=""),"",ROUND(($U864*Lists!$AD$11)+($V864*Lists!$AD$12)+($W864*Lists!$AD$13)+($X864*Lists!$AD$14)+($Y864*Lists!$AD$15),2))</f>
        <v/>
      </c>
      <c r="AA864" s="103" t="str">
        <f aca="false">IF(OR($B864="", $N864="", $O864="", $T864="", $Z864=""),"",ROUND(($N864*Lists!$AD$16)-($O864*Lists!$AD$17)-($T864*Lists!$AD$18)+($Z864*Lists!$AD$19),2))</f>
        <v/>
      </c>
      <c r="AB864" s="102" t="str">
        <f aca="false">IF(OR($B864="", $N864="", $Z864=""),"",IF($N864&gt;=Lists!$AG$2,IF($Z864&gt;=Lists!$AG$3,"Invest","Migrate"),IF($Z864&gt;=Lists!$AG$3,"Tolerate","Eliminate")))</f>
        <v/>
      </c>
      <c r="AC864" s="102" t="str">
        <f aca="false">IF($B864="","",IF($J864&gt;=4,"Yes",""))</f>
        <v/>
      </c>
      <c r="AD864" s="102" t="str">
        <f aca="false">IF($A864="","",IFERROR(IF(VLOOKUP($A864,'Risk Register'!$B$2:$H$1000,4,FALSE())&gt;=4,"Yes",""),""))</f>
        <v/>
      </c>
      <c r="AE864" s="102" t="str">
        <f aca="false">IF(OR($N864="", $O864=""),"",IF($N864&gt;=Lists!$AG$2,IF($O864&gt;=Lists!$AG$4,"High Value / High Risk","High Value / Low Risk"),IF($O864&gt;=Lists!$AG$4,"Low Value / High Risk","Low Value / Low Risk")))</f>
        <v/>
      </c>
      <c r="AF864" s="101"/>
      <c r="AG864" s="126"/>
      <c r="AH864" s="106" t="str">
        <f aca="false">IF($B864="","",COUNTIFS('Debt Backlog'!$AF$2:$AF$1000,$A864,'Debt Backlog'!$B$2:$B$1000,"&lt;&gt;",'Debt Backlog'!$N$2:$N$1000,"&lt;&gt;Done",'Debt Backlog'!$N$2:$N$1000,"&lt;&gt;Won't Fix",'Debt Backlog'!$N$2:$N$1000,"&lt;&gt;Duplicate"))</f>
        <v/>
      </c>
      <c r="AI864" s="103" t="str">
        <f aca="false">IF($B864="","",ROUND(SUMIFS('Debt Backlog'!$L$2:$L$1000,'Debt Backlog'!$AF$2:$AF$1000,$A864,'Debt Backlog'!$B$2:$B$1000,"&lt;&gt;",'Debt Backlog'!$N$2:$N$1000,"&lt;&gt;Done",'Debt Backlog'!$N$2:$N$1000,"&lt;&gt;Won't Fix",'Debt Backlog'!$N$2:$N$1000,"&lt;&gt;Duplicate"),2))</f>
        <v/>
      </c>
    </row>
    <row r="865" customFormat="false" ht="15.75" hidden="false" customHeight="true" outlineLevel="0" collapsed="false">
      <c r="A865" s="125"/>
      <c r="B865" s="101"/>
      <c r="C865" s="101"/>
      <c r="D865" s="101"/>
      <c r="E865" s="101"/>
      <c r="F865" s="101"/>
      <c r="G865" s="101"/>
      <c r="H865" s="101"/>
      <c r="I865" s="106"/>
      <c r="J865" s="106"/>
      <c r="K865" s="106"/>
      <c r="L865" s="106"/>
      <c r="M865" s="106"/>
      <c r="N865" s="103" t="str">
        <f aca="false">IF(OR($B865="", $I865="", $J865="", $K865="", $L865="", $M865=""),"",ROUND(($I865*Lists!$AD$2)+($J865*Lists!$AD$3)+($K865*Lists!$AD$4)+($L865*Lists!$AD$5)+($M865*Lists!$AD$6),2))</f>
        <v/>
      </c>
      <c r="O865" s="103" t="str">
        <f aca="false">IF($A865="","",IFERROR(VLOOKUP($A865,'Risk Register'!$B$2:$I$1000,8,FALSE()),""))</f>
        <v/>
      </c>
      <c r="P865" s="106"/>
      <c r="Q865" s="106"/>
      <c r="R865" s="106"/>
      <c r="S865" s="106"/>
      <c r="T865" s="103" t="str">
        <f aca="false">IF(OR($B865="", $P865="", $Q865="", $R865="", $S865=""),"",ROUND(($P865*Lists!$AD$7)+($Q865*Lists!$AD$8)+($R865*Lists!$AD$9)+($S865*Lists!$AD$10),2))</f>
        <v/>
      </c>
      <c r="U865" s="106"/>
      <c r="V865" s="106"/>
      <c r="W865" s="106"/>
      <c r="X865" s="106"/>
      <c r="Y865" s="106"/>
      <c r="Z865" s="103" t="str">
        <f aca="false">IF(OR($B865="", $U865="", $V865="", $W865="", $X865="", $Y865=""),"",ROUND(($U865*Lists!$AD$11)+($V865*Lists!$AD$12)+($W865*Lists!$AD$13)+($X865*Lists!$AD$14)+($Y865*Lists!$AD$15),2))</f>
        <v/>
      </c>
      <c r="AA865" s="103" t="str">
        <f aca="false">IF(OR($B865="", $N865="", $O865="", $T865="", $Z865=""),"",ROUND(($N865*Lists!$AD$16)-($O865*Lists!$AD$17)-($T865*Lists!$AD$18)+($Z865*Lists!$AD$19),2))</f>
        <v/>
      </c>
      <c r="AB865" s="102" t="str">
        <f aca="false">IF(OR($B865="", $N865="", $Z865=""),"",IF($N865&gt;=Lists!$AG$2,IF($Z865&gt;=Lists!$AG$3,"Invest","Migrate"),IF($Z865&gt;=Lists!$AG$3,"Tolerate","Eliminate")))</f>
        <v/>
      </c>
      <c r="AC865" s="102" t="str">
        <f aca="false">IF($B865="","",IF($J865&gt;=4,"Yes",""))</f>
        <v/>
      </c>
      <c r="AD865" s="102" t="str">
        <f aca="false">IF($A865="","",IFERROR(IF(VLOOKUP($A865,'Risk Register'!$B$2:$H$1000,4,FALSE())&gt;=4,"Yes",""),""))</f>
        <v/>
      </c>
      <c r="AE865" s="102" t="str">
        <f aca="false">IF(OR($N865="", $O865=""),"",IF($N865&gt;=Lists!$AG$2,IF($O865&gt;=Lists!$AG$4,"High Value / High Risk","High Value / Low Risk"),IF($O865&gt;=Lists!$AG$4,"Low Value / High Risk","Low Value / Low Risk")))</f>
        <v/>
      </c>
      <c r="AF865" s="101"/>
      <c r="AG865" s="126"/>
      <c r="AH865" s="106" t="str">
        <f aca="false">IF($B865="","",COUNTIFS('Debt Backlog'!$AF$2:$AF$1000,$A865,'Debt Backlog'!$B$2:$B$1000,"&lt;&gt;",'Debt Backlog'!$N$2:$N$1000,"&lt;&gt;Done",'Debt Backlog'!$N$2:$N$1000,"&lt;&gt;Won't Fix",'Debt Backlog'!$N$2:$N$1000,"&lt;&gt;Duplicate"))</f>
        <v/>
      </c>
      <c r="AI865" s="103" t="str">
        <f aca="false">IF($B865="","",ROUND(SUMIFS('Debt Backlog'!$L$2:$L$1000,'Debt Backlog'!$AF$2:$AF$1000,$A865,'Debt Backlog'!$B$2:$B$1000,"&lt;&gt;",'Debt Backlog'!$N$2:$N$1000,"&lt;&gt;Done",'Debt Backlog'!$N$2:$N$1000,"&lt;&gt;Won't Fix",'Debt Backlog'!$N$2:$N$1000,"&lt;&gt;Duplicate"),2))</f>
        <v/>
      </c>
    </row>
    <row r="866" customFormat="false" ht="15.75" hidden="false" customHeight="true" outlineLevel="0" collapsed="false">
      <c r="A866" s="125"/>
      <c r="B866" s="101"/>
      <c r="C866" s="101"/>
      <c r="D866" s="101"/>
      <c r="E866" s="101"/>
      <c r="F866" s="101"/>
      <c r="G866" s="101"/>
      <c r="H866" s="101"/>
      <c r="I866" s="106"/>
      <c r="J866" s="106"/>
      <c r="K866" s="106"/>
      <c r="L866" s="106"/>
      <c r="M866" s="106"/>
      <c r="N866" s="103" t="str">
        <f aca="false">IF(OR($B866="", $I866="", $J866="", $K866="", $L866="", $M866=""),"",ROUND(($I866*Lists!$AD$2)+($J866*Lists!$AD$3)+($K866*Lists!$AD$4)+($L866*Lists!$AD$5)+($M866*Lists!$AD$6),2))</f>
        <v/>
      </c>
      <c r="O866" s="103" t="str">
        <f aca="false">IF($A866="","",IFERROR(VLOOKUP($A866,'Risk Register'!$B$2:$I$1000,8,FALSE()),""))</f>
        <v/>
      </c>
      <c r="P866" s="106"/>
      <c r="Q866" s="106"/>
      <c r="R866" s="106"/>
      <c r="S866" s="106"/>
      <c r="T866" s="103" t="str">
        <f aca="false">IF(OR($B866="", $P866="", $Q866="", $R866="", $S866=""),"",ROUND(($P866*Lists!$AD$7)+($Q866*Lists!$AD$8)+($R866*Lists!$AD$9)+($S866*Lists!$AD$10),2))</f>
        <v/>
      </c>
      <c r="U866" s="106"/>
      <c r="V866" s="106"/>
      <c r="W866" s="106"/>
      <c r="X866" s="106"/>
      <c r="Y866" s="106"/>
      <c r="Z866" s="103" t="str">
        <f aca="false">IF(OR($B866="", $U866="", $V866="", $W866="", $X866="", $Y866=""),"",ROUND(($U866*Lists!$AD$11)+($V866*Lists!$AD$12)+($W866*Lists!$AD$13)+($X866*Lists!$AD$14)+($Y866*Lists!$AD$15),2))</f>
        <v/>
      </c>
      <c r="AA866" s="103" t="str">
        <f aca="false">IF(OR($B866="", $N866="", $O866="", $T866="", $Z866=""),"",ROUND(($N866*Lists!$AD$16)-($O866*Lists!$AD$17)-($T866*Lists!$AD$18)+($Z866*Lists!$AD$19),2))</f>
        <v/>
      </c>
      <c r="AB866" s="102" t="str">
        <f aca="false">IF(OR($B866="", $N866="", $Z866=""),"",IF($N866&gt;=Lists!$AG$2,IF($Z866&gt;=Lists!$AG$3,"Invest","Migrate"),IF($Z866&gt;=Lists!$AG$3,"Tolerate","Eliminate")))</f>
        <v/>
      </c>
      <c r="AC866" s="102" t="str">
        <f aca="false">IF($B866="","",IF($J866&gt;=4,"Yes",""))</f>
        <v/>
      </c>
      <c r="AD866" s="102" t="str">
        <f aca="false">IF($A866="","",IFERROR(IF(VLOOKUP($A866,'Risk Register'!$B$2:$H$1000,4,FALSE())&gt;=4,"Yes",""),""))</f>
        <v/>
      </c>
      <c r="AE866" s="102" t="str">
        <f aca="false">IF(OR($N866="", $O866=""),"",IF($N866&gt;=Lists!$AG$2,IF($O866&gt;=Lists!$AG$4,"High Value / High Risk","High Value / Low Risk"),IF($O866&gt;=Lists!$AG$4,"Low Value / High Risk","Low Value / Low Risk")))</f>
        <v/>
      </c>
      <c r="AF866" s="101"/>
      <c r="AG866" s="126"/>
      <c r="AH866" s="106" t="str">
        <f aca="false">IF($B866="","",COUNTIFS('Debt Backlog'!$AF$2:$AF$1000,$A866,'Debt Backlog'!$B$2:$B$1000,"&lt;&gt;",'Debt Backlog'!$N$2:$N$1000,"&lt;&gt;Done",'Debt Backlog'!$N$2:$N$1000,"&lt;&gt;Won't Fix",'Debt Backlog'!$N$2:$N$1000,"&lt;&gt;Duplicate"))</f>
        <v/>
      </c>
      <c r="AI866" s="103" t="str">
        <f aca="false">IF($B866="","",ROUND(SUMIFS('Debt Backlog'!$L$2:$L$1000,'Debt Backlog'!$AF$2:$AF$1000,$A866,'Debt Backlog'!$B$2:$B$1000,"&lt;&gt;",'Debt Backlog'!$N$2:$N$1000,"&lt;&gt;Done",'Debt Backlog'!$N$2:$N$1000,"&lt;&gt;Won't Fix",'Debt Backlog'!$N$2:$N$1000,"&lt;&gt;Duplicate"),2))</f>
        <v/>
      </c>
    </row>
    <row r="867" customFormat="false" ht="15.75" hidden="false" customHeight="true" outlineLevel="0" collapsed="false">
      <c r="A867" s="125"/>
      <c r="B867" s="101"/>
      <c r="C867" s="101"/>
      <c r="D867" s="101"/>
      <c r="E867" s="101"/>
      <c r="F867" s="101"/>
      <c r="G867" s="101"/>
      <c r="H867" s="101"/>
      <c r="I867" s="106"/>
      <c r="J867" s="106"/>
      <c r="K867" s="106"/>
      <c r="L867" s="106"/>
      <c r="M867" s="106"/>
      <c r="N867" s="103" t="str">
        <f aca="false">IF(OR($B867="", $I867="", $J867="", $K867="", $L867="", $M867=""),"",ROUND(($I867*Lists!$AD$2)+($J867*Lists!$AD$3)+($K867*Lists!$AD$4)+($L867*Lists!$AD$5)+($M867*Lists!$AD$6),2))</f>
        <v/>
      </c>
      <c r="O867" s="103" t="str">
        <f aca="false">IF($A867="","",IFERROR(VLOOKUP($A867,'Risk Register'!$B$2:$I$1000,8,FALSE()),""))</f>
        <v/>
      </c>
      <c r="P867" s="106"/>
      <c r="Q867" s="106"/>
      <c r="R867" s="106"/>
      <c r="S867" s="106"/>
      <c r="T867" s="103" t="str">
        <f aca="false">IF(OR($B867="", $P867="", $Q867="", $R867="", $S867=""),"",ROUND(($P867*Lists!$AD$7)+($Q867*Lists!$AD$8)+($R867*Lists!$AD$9)+($S867*Lists!$AD$10),2))</f>
        <v/>
      </c>
      <c r="U867" s="106"/>
      <c r="V867" s="106"/>
      <c r="W867" s="106"/>
      <c r="X867" s="106"/>
      <c r="Y867" s="106"/>
      <c r="Z867" s="103" t="str">
        <f aca="false">IF(OR($B867="", $U867="", $V867="", $W867="", $X867="", $Y867=""),"",ROUND(($U867*Lists!$AD$11)+($V867*Lists!$AD$12)+($W867*Lists!$AD$13)+($X867*Lists!$AD$14)+($Y867*Lists!$AD$15),2))</f>
        <v/>
      </c>
      <c r="AA867" s="103" t="str">
        <f aca="false">IF(OR($B867="", $N867="", $O867="", $T867="", $Z867=""),"",ROUND(($N867*Lists!$AD$16)-($O867*Lists!$AD$17)-($T867*Lists!$AD$18)+($Z867*Lists!$AD$19),2))</f>
        <v/>
      </c>
      <c r="AB867" s="102" t="str">
        <f aca="false">IF(OR($B867="", $N867="", $Z867=""),"",IF($N867&gt;=Lists!$AG$2,IF($Z867&gt;=Lists!$AG$3,"Invest","Migrate"),IF($Z867&gt;=Lists!$AG$3,"Tolerate","Eliminate")))</f>
        <v/>
      </c>
      <c r="AC867" s="102" t="str">
        <f aca="false">IF($B867="","",IF($J867&gt;=4,"Yes",""))</f>
        <v/>
      </c>
      <c r="AD867" s="102" t="str">
        <f aca="false">IF($A867="","",IFERROR(IF(VLOOKUP($A867,'Risk Register'!$B$2:$H$1000,4,FALSE())&gt;=4,"Yes",""),""))</f>
        <v/>
      </c>
      <c r="AE867" s="102" t="str">
        <f aca="false">IF(OR($N867="", $O867=""),"",IF($N867&gt;=Lists!$AG$2,IF($O867&gt;=Lists!$AG$4,"High Value / High Risk","High Value / Low Risk"),IF($O867&gt;=Lists!$AG$4,"Low Value / High Risk","Low Value / Low Risk")))</f>
        <v/>
      </c>
      <c r="AF867" s="101"/>
      <c r="AG867" s="126"/>
      <c r="AH867" s="106" t="str">
        <f aca="false">IF($B867="","",COUNTIFS('Debt Backlog'!$AF$2:$AF$1000,$A867,'Debt Backlog'!$B$2:$B$1000,"&lt;&gt;",'Debt Backlog'!$N$2:$N$1000,"&lt;&gt;Done",'Debt Backlog'!$N$2:$N$1000,"&lt;&gt;Won't Fix",'Debt Backlog'!$N$2:$N$1000,"&lt;&gt;Duplicate"))</f>
        <v/>
      </c>
      <c r="AI867" s="103" t="str">
        <f aca="false">IF($B867="","",ROUND(SUMIFS('Debt Backlog'!$L$2:$L$1000,'Debt Backlog'!$AF$2:$AF$1000,$A867,'Debt Backlog'!$B$2:$B$1000,"&lt;&gt;",'Debt Backlog'!$N$2:$N$1000,"&lt;&gt;Done",'Debt Backlog'!$N$2:$N$1000,"&lt;&gt;Won't Fix",'Debt Backlog'!$N$2:$N$1000,"&lt;&gt;Duplicate"),2))</f>
        <v/>
      </c>
    </row>
    <row r="868" customFormat="false" ht="15.75" hidden="false" customHeight="true" outlineLevel="0" collapsed="false">
      <c r="A868" s="125"/>
      <c r="B868" s="101"/>
      <c r="C868" s="101"/>
      <c r="D868" s="101"/>
      <c r="E868" s="101"/>
      <c r="F868" s="101"/>
      <c r="G868" s="101"/>
      <c r="H868" s="101"/>
      <c r="I868" s="106"/>
      <c r="J868" s="106"/>
      <c r="K868" s="106"/>
      <c r="L868" s="106"/>
      <c r="M868" s="106"/>
      <c r="N868" s="103" t="str">
        <f aca="false">IF(OR($B868="", $I868="", $J868="", $K868="", $L868="", $M868=""),"",ROUND(($I868*Lists!$AD$2)+($J868*Lists!$AD$3)+($K868*Lists!$AD$4)+($L868*Lists!$AD$5)+($M868*Lists!$AD$6),2))</f>
        <v/>
      </c>
      <c r="O868" s="103" t="str">
        <f aca="false">IF($A868="","",IFERROR(VLOOKUP($A868,'Risk Register'!$B$2:$I$1000,8,FALSE()),""))</f>
        <v/>
      </c>
      <c r="P868" s="106"/>
      <c r="Q868" s="106"/>
      <c r="R868" s="106"/>
      <c r="S868" s="106"/>
      <c r="T868" s="103" t="str">
        <f aca="false">IF(OR($B868="", $P868="", $Q868="", $R868="", $S868=""),"",ROUND(($P868*Lists!$AD$7)+($Q868*Lists!$AD$8)+($R868*Lists!$AD$9)+($S868*Lists!$AD$10),2))</f>
        <v/>
      </c>
      <c r="U868" s="106"/>
      <c r="V868" s="106"/>
      <c r="W868" s="106"/>
      <c r="X868" s="106"/>
      <c r="Y868" s="106"/>
      <c r="Z868" s="103" t="str">
        <f aca="false">IF(OR($B868="", $U868="", $V868="", $W868="", $X868="", $Y868=""),"",ROUND(($U868*Lists!$AD$11)+($V868*Lists!$AD$12)+($W868*Lists!$AD$13)+($X868*Lists!$AD$14)+($Y868*Lists!$AD$15),2))</f>
        <v/>
      </c>
      <c r="AA868" s="103" t="str">
        <f aca="false">IF(OR($B868="", $N868="", $O868="", $T868="", $Z868=""),"",ROUND(($N868*Lists!$AD$16)-($O868*Lists!$AD$17)-($T868*Lists!$AD$18)+($Z868*Lists!$AD$19),2))</f>
        <v/>
      </c>
      <c r="AB868" s="102" t="str">
        <f aca="false">IF(OR($B868="", $N868="", $Z868=""),"",IF($N868&gt;=Lists!$AG$2,IF($Z868&gt;=Lists!$AG$3,"Invest","Migrate"),IF($Z868&gt;=Lists!$AG$3,"Tolerate","Eliminate")))</f>
        <v/>
      </c>
      <c r="AC868" s="102" t="str">
        <f aca="false">IF($B868="","",IF($J868&gt;=4,"Yes",""))</f>
        <v/>
      </c>
      <c r="AD868" s="102" t="str">
        <f aca="false">IF($A868="","",IFERROR(IF(VLOOKUP($A868,'Risk Register'!$B$2:$H$1000,4,FALSE())&gt;=4,"Yes",""),""))</f>
        <v/>
      </c>
      <c r="AE868" s="102" t="str">
        <f aca="false">IF(OR($N868="", $O868=""),"",IF($N868&gt;=Lists!$AG$2,IF($O868&gt;=Lists!$AG$4,"High Value / High Risk","High Value / Low Risk"),IF($O868&gt;=Lists!$AG$4,"Low Value / High Risk","Low Value / Low Risk")))</f>
        <v/>
      </c>
      <c r="AF868" s="101"/>
      <c r="AG868" s="126"/>
      <c r="AH868" s="106" t="str">
        <f aca="false">IF($B868="","",COUNTIFS('Debt Backlog'!$AF$2:$AF$1000,$A868,'Debt Backlog'!$B$2:$B$1000,"&lt;&gt;",'Debt Backlog'!$N$2:$N$1000,"&lt;&gt;Done",'Debt Backlog'!$N$2:$N$1000,"&lt;&gt;Won't Fix",'Debt Backlog'!$N$2:$N$1000,"&lt;&gt;Duplicate"))</f>
        <v/>
      </c>
      <c r="AI868" s="103" t="str">
        <f aca="false">IF($B868="","",ROUND(SUMIFS('Debt Backlog'!$L$2:$L$1000,'Debt Backlog'!$AF$2:$AF$1000,$A868,'Debt Backlog'!$B$2:$B$1000,"&lt;&gt;",'Debt Backlog'!$N$2:$N$1000,"&lt;&gt;Done",'Debt Backlog'!$N$2:$N$1000,"&lt;&gt;Won't Fix",'Debt Backlog'!$N$2:$N$1000,"&lt;&gt;Duplicate"),2))</f>
        <v/>
      </c>
    </row>
    <row r="869" customFormat="false" ht="15.75" hidden="false" customHeight="true" outlineLevel="0" collapsed="false">
      <c r="A869" s="125"/>
      <c r="B869" s="101"/>
      <c r="C869" s="101"/>
      <c r="D869" s="101"/>
      <c r="E869" s="101"/>
      <c r="F869" s="101"/>
      <c r="G869" s="101"/>
      <c r="H869" s="101"/>
      <c r="I869" s="106"/>
      <c r="J869" s="106"/>
      <c r="K869" s="106"/>
      <c r="L869" s="106"/>
      <c r="M869" s="106"/>
      <c r="N869" s="103" t="str">
        <f aca="false">IF(OR($B869="", $I869="", $J869="", $K869="", $L869="", $M869=""),"",ROUND(($I869*Lists!$AD$2)+($J869*Lists!$AD$3)+($K869*Lists!$AD$4)+($L869*Lists!$AD$5)+($M869*Lists!$AD$6),2))</f>
        <v/>
      </c>
      <c r="O869" s="103" t="str">
        <f aca="false">IF($A869="","",IFERROR(VLOOKUP($A869,'Risk Register'!$B$2:$I$1000,8,FALSE()),""))</f>
        <v/>
      </c>
      <c r="P869" s="106"/>
      <c r="Q869" s="106"/>
      <c r="R869" s="106"/>
      <c r="S869" s="106"/>
      <c r="T869" s="103" t="str">
        <f aca="false">IF(OR($B869="", $P869="", $Q869="", $R869="", $S869=""),"",ROUND(($P869*Lists!$AD$7)+($Q869*Lists!$AD$8)+($R869*Lists!$AD$9)+($S869*Lists!$AD$10),2))</f>
        <v/>
      </c>
      <c r="U869" s="106"/>
      <c r="V869" s="106"/>
      <c r="W869" s="106"/>
      <c r="X869" s="106"/>
      <c r="Y869" s="106"/>
      <c r="Z869" s="103" t="str">
        <f aca="false">IF(OR($B869="", $U869="", $V869="", $W869="", $X869="", $Y869=""),"",ROUND(($U869*Lists!$AD$11)+($V869*Lists!$AD$12)+($W869*Lists!$AD$13)+($X869*Lists!$AD$14)+($Y869*Lists!$AD$15),2))</f>
        <v/>
      </c>
      <c r="AA869" s="103" t="str">
        <f aca="false">IF(OR($B869="", $N869="", $O869="", $T869="", $Z869=""),"",ROUND(($N869*Lists!$AD$16)-($O869*Lists!$AD$17)-($T869*Lists!$AD$18)+($Z869*Lists!$AD$19),2))</f>
        <v/>
      </c>
      <c r="AB869" s="102" t="str">
        <f aca="false">IF(OR($B869="", $N869="", $Z869=""),"",IF($N869&gt;=Lists!$AG$2,IF($Z869&gt;=Lists!$AG$3,"Invest","Migrate"),IF($Z869&gt;=Lists!$AG$3,"Tolerate","Eliminate")))</f>
        <v/>
      </c>
      <c r="AC869" s="102" t="str">
        <f aca="false">IF($B869="","",IF($J869&gt;=4,"Yes",""))</f>
        <v/>
      </c>
      <c r="AD869" s="102" t="str">
        <f aca="false">IF($A869="","",IFERROR(IF(VLOOKUP($A869,'Risk Register'!$B$2:$H$1000,4,FALSE())&gt;=4,"Yes",""),""))</f>
        <v/>
      </c>
      <c r="AE869" s="102" t="str">
        <f aca="false">IF(OR($N869="", $O869=""),"",IF($N869&gt;=Lists!$AG$2,IF($O869&gt;=Lists!$AG$4,"High Value / High Risk","High Value / Low Risk"),IF($O869&gt;=Lists!$AG$4,"Low Value / High Risk","Low Value / Low Risk")))</f>
        <v/>
      </c>
      <c r="AF869" s="101"/>
      <c r="AG869" s="126"/>
      <c r="AH869" s="106" t="str">
        <f aca="false">IF($B869="","",COUNTIFS('Debt Backlog'!$AF$2:$AF$1000,$A869,'Debt Backlog'!$B$2:$B$1000,"&lt;&gt;",'Debt Backlog'!$N$2:$N$1000,"&lt;&gt;Done",'Debt Backlog'!$N$2:$N$1000,"&lt;&gt;Won't Fix",'Debt Backlog'!$N$2:$N$1000,"&lt;&gt;Duplicate"))</f>
        <v/>
      </c>
      <c r="AI869" s="103" t="str">
        <f aca="false">IF($B869="","",ROUND(SUMIFS('Debt Backlog'!$L$2:$L$1000,'Debt Backlog'!$AF$2:$AF$1000,$A869,'Debt Backlog'!$B$2:$B$1000,"&lt;&gt;",'Debt Backlog'!$N$2:$N$1000,"&lt;&gt;Done",'Debt Backlog'!$N$2:$N$1000,"&lt;&gt;Won't Fix",'Debt Backlog'!$N$2:$N$1000,"&lt;&gt;Duplicate"),2))</f>
        <v/>
      </c>
    </row>
    <row r="870" customFormat="false" ht="15.75" hidden="false" customHeight="true" outlineLevel="0" collapsed="false">
      <c r="A870" s="125"/>
      <c r="B870" s="101"/>
      <c r="C870" s="101"/>
      <c r="D870" s="101"/>
      <c r="E870" s="101"/>
      <c r="F870" s="101"/>
      <c r="G870" s="101"/>
      <c r="H870" s="101"/>
      <c r="I870" s="106"/>
      <c r="J870" s="106"/>
      <c r="K870" s="106"/>
      <c r="L870" s="106"/>
      <c r="M870" s="106"/>
      <c r="N870" s="103" t="str">
        <f aca="false">IF(OR($B870="", $I870="", $J870="", $K870="", $L870="", $M870=""),"",ROUND(($I870*Lists!$AD$2)+($J870*Lists!$AD$3)+($K870*Lists!$AD$4)+($L870*Lists!$AD$5)+($M870*Lists!$AD$6),2))</f>
        <v/>
      </c>
      <c r="O870" s="103" t="str">
        <f aca="false">IF($A870="","",IFERROR(VLOOKUP($A870,'Risk Register'!$B$2:$I$1000,8,FALSE()),""))</f>
        <v/>
      </c>
      <c r="P870" s="106"/>
      <c r="Q870" s="106"/>
      <c r="R870" s="106"/>
      <c r="S870" s="106"/>
      <c r="T870" s="103" t="str">
        <f aca="false">IF(OR($B870="", $P870="", $Q870="", $R870="", $S870=""),"",ROUND(($P870*Lists!$AD$7)+($Q870*Lists!$AD$8)+($R870*Lists!$AD$9)+($S870*Lists!$AD$10),2))</f>
        <v/>
      </c>
      <c r="U870" s="106"/>
      <c r="V870" s="106"/>
      <c r="W870" s="106"/>
      <c r="X870" s="106"/>
      <c r="Y870" s="106"/>
      <c r="Z870" s="103" t="str">
        <f aca="false">IF(OR($B870="", $U870="", $V870="", $W870="", $X870="", $Y870=""),"",ROUND(($U870*Lists!$AD$11)+($V870*Lists!$AD$12)+($W870*Lists!$AD$13)+($X870*Lists!$AD$14)+($Y870*Lists!$AD$15),2))</f>
        <v/>
      </c>
      <c r="AA870" s="103" t="str">
        <f aca="false">IF(OR($B870="", $N870="", $O870="", $T870="", $Z870=""),"",ROUND(($N870*Lists!$AD$16)-($O870*Lists!$AD$17)-($T870*Lists!$AD$18)+($Z870*Lists!$AD$19),2))</f>
        <v/>
      </c>
      <c r="AB870" s="102" t="str">
        <f aca="false">IF(OR($B870="", $N870="", $Z870=""),"",IF($N870&gt;=Lists!$AG$2,IF($Z870&gt;=Lists!$AG$3,"Invest","Migrate"),IF($Z870&gt;=Lists!$AG$3,"Tolerate","Eliminate")))</f>
        <v/>
      </c>
      <c r="AC870" s="102" t="str">
        <f aca="false">IF($B870="","",IF($J870&gt;=4,"Yes",""))</f>
        <v/>
      </c>
      <c r="AD870" s="102" t="str">
        <f aca="false">IF($A870="","",IFERROR(IF(VLOOKUP($A870,'Risk Register'!$B$2:$H$1000,4,FALSE())&gt;=4,"Yes",""),""))</f>
        <v/>
      </c>
      <c r="AE870" s="102" t="str">
        <f aca="false">IF(OR($N870="", $O870=""),"",IF($N870&gt;=Lists!$AG$2,IF($O870&gt;=Lists!$AG$4,"High Value / High Risk","High Value / Low Risk"),IF($O870&gt;=Lists!$AG$4,"Low Value / High Risk","Low Value / Low Risk")))</f>
        <v/>
      </c>
      <c r="AF870" s="101"/>
      <c r="AG870" s="126"/>
      <c r="AH870" s="106" t="str">
        <f aca="false">IF($B870="","",COUNTIFS('Debt Backlog'!$AF$2:$AF$1000,$A870,'Debt Backlog'!$B$2:$B$1000,"&lt;&gt;",'Debt Backlog'!$N$2:$N$1000,"&lt;&gt;Done",'Debt Backlog'!$N$2:$N$1000,"&lt;&gt;Won't Fix",'Debt Backlog'!$N$2:$N$1000,"&lt;&gt;Duplicate"))</f>
        <v/>
      </c>
      <c r="AI870" s="103" t="str">
        <f aca="false">IF($B870="","",ROUND(SUMIFS('Debt Backlog'!$L$2:$L$1000,'Debt Backlog'!$AF$2:$AF$1000,$A870,'Debt Backlog'!$B$2:$B$1000,"&lt;&gt;",'Debt Backlog'!$N$2:$N$1000,"&lt;&gt;Done",'Debt Backlog'!$N$2:$N$1000,"&lt;&gt;Won't Fix",'Debt Backlog'!$N$2:$N$1000,"&lt;&gt;Duplicate"),2))</f>
        <v/>
      </c>
    </row>
    <row r="871" customFormat="false" ht="15.75" hidden="false" customHeight="true" outlineLevel="0" collapsed="false">
      <c r="A871" s="125"/>
      <c r="B871" s="101"/>
      <c r="C871" s="101"/>
      <c r="D871" s="101"/>
      <c r="E871" s="101"/>
      <c r="F871" s="101"/>
      <c r="G871" s="101"/>
      <c r="H871" s="101"/>
      <c r="I871" s="106"/>
      <c r="J871" s="106"/>
      <c r="K871" s="106"/>
      <c r="L871" s="106"/>
      <c r="M871" s="106"/>
      <c r="N871" s="103" t="str">
        <f aca="false">IF(OR($B871="", $I871="", $J871="", $K871="", $L871="", $M871=""),"",ROUND(($I871*Lists!$AD$2)+($J871*Lists!$AD$3)+($K871*Lists!$AD$4)+($L871*Lists!$AD$5)+($M871*Lists!$AD$6),2))</f>
        <v/>
      </c>
      <c r="O871" s="103" t="str">
        <f aca="false">IF($A871="","",IFERROR(VLOOKUP($A871,'Risk Register'!$B$2:$I$1000,8,FALSE()),""))</f>
        <v/>
      </c>
      <c r="P871" s="106"/>
      <c r="Q871" s="106"/>
      <c r="R871" s="106"/>
      <c r="S871" s="106"/>
      <c r="T871" s="103" t="str">
        <f aca="false">IF(OR($B871="", $P871="", $Q871="", $R871="", $S871=""),"",ROUND(($P871*Lists!$AD$7)+($Q871*Lists!$AD$8)+($R871*Lists!$AD$9)+($S871*Lists!$AD$10),2))</f>
        <v/>
      </c>
      <c r="U871" s="106"/>
      <c r="V871" s="106"/>
      <c r="W871" s="106"/>
      <c r="X871" s="106"/>
      <c r="Y871" s="106"/>
      <c r="Z871" s="103" t="str">
        <f aca="false">IF(OR($B871="", $U871="", $V871="", $W871="", $X871="", $Y871=""),"",ROUND(($U871*Lists!$AD$11)+($V871*Lists!$AD$12)+($W871*Lists!$AD$13)+($X871*Lists!$AD$14)+($Y871*Lists!$AD$15),2))</f>
        <v/>
      </c>
      <c r="AA871" s="103" t="str">
        <f aca="false">IF(OR($B871="", $N871="", $O871="", $T871="", $Z871=""),"",ROUND(($N871*Lists!$AD$16)-($O871*Lists!$AD$17)-($T871*Lists!$AD$18)+($Z871*Lists!$AD$19),2))</f>
        <v/>
      </c>
      <c r="AB871" s="102" t="str">
        <f aca="false">IF(OR($B871="", $N871="", $Z871=""),"",IF($N871&gt;=Lists!$AG$2,IF($Z871&gt;=Lists!$AG$3,"Invest","Migrate"),IF($Z871&gt;=Lists!$AG$3,"Tolerate","Eliminate")))</f>
        <v/>
      </c>
      <c r="AC871" s="102" t="str">
        <f aca="false">IF($B871="","",IF($J871&gt;=4,"Yes",""))</f>
        <v/>
      </c>
      <c r="AD871" s="102" t="str">
        <f aca="false">IF($A871="","",IFERROR(IF(VLOOKUP($A871,'Risk Register'!$B$2:$H$1000,4,FALSE())&gt;=4,"Yes",""),""))</f>
        <v/>
      </c>
      <c r="AE871" s="102" t="str">
        <f aca="false">IF(OR($N871="", $O871=""),"",IF($N871&gt;=Lists!$AG$2,IF($O871&gt;=Lists!$AG$4,"High Value / High Risk","High Value / Low Risk"),IF($O871&gt;=Lists!$AG$4,"Low Value / High Risk","Low Value / Low Risk")))</f>
        <v/>
      </c>
      <c r="AF871" s="101"/>
      <c r="AG871" s="126"/>
      <c r="AH871" s="106" t="str">
        <f aca="false">IF($B871="","",COUNTIFS('Debt Backlog'!$AF$2:$AF$1000,$A871,'Debt Backlog'!$B$2:$B$1000,"&lt;&gt;",'Debt Backlog'!$N$2:$N$1000,"&lt;&gt;Done",'Debt Backlog'!$N$2:$N$1000,"&lt;&gt;Won't Fix",'Debt Backlog'!$N$2:$N$1000,"&lt;&gt;Duplicate"))</f>
        <v/>
      </c>
      <c r="AI871" s="103" t="str">
        <f aca="false">IF($B871="","",ROUND(SUMIFS('Debt Backlog'!$L$2:$L$1000,'Debt Backlog'!$AF$2:$AF$1000,$A871,'Debt Backlog'!$B$2:$B$1000,"&lt;&gt;",'Debt Backlog'!$N$2:$N$1000,"&lt;&gt;Done",'Debt Backlog'!$N$2:$N$1000,"&lt;&gt;Won't Fix",'Debt Backlog'!$N$2:$N$1000,"&lt;&gt;Duplicate"),2))</f>
        <v/>
      </c>
    </row>
    <row r="872" customFormat="false" ht="15.75" hidden="false" customHeight="true" outlineLevel="0" collapsed="false">
      <c r="A872" s="125"/>
      <c r="B872" s="101"/>
      <c r="C872" s="101"/>
      <c r="D872" s="101"/>
      <c r="E872" s="101"/>
      <c r="F872" s="101"/>
      <c r="G872" s="101"/>
      <c r="H872" s="101"/>
      <c r="I872" s="106"/>
      <c r="J872" s="106"/>
      <c r="K872" s="106"/>
      <c r="L872" s="106"/>
      <c r="M872" s="106"/>
      <c r="N872" s="103" t="str">
        <f aca="false">IF(OR($B872="", $I872="", $J872="", $K872="", $L872="", $M872=""),"",ROUND(($I872*Lists!$AD$2)+($J872*Lists!$AD$3)+($K872*Lists!$AD$4)+($L872*Lists!$AD$5)+($M872*Lists!$AD$6),2))</f>
        <v/>
      </c>
      <c r="O872" s="103" t="str">
        <f aca="false">IF($A872="","",IFERROR(VLOOKUP($A872,'Risk Register'!$B$2:$I$1000,8,FALSE()),""))</f>
        <v/>
      </c>
      <c r="P872" s="106"/>
      <c r="Q872" s="106"/>
      <c r="R872" s="106"/>
      <c r="S872" s="106"/>
      <c r="T872" s="103" t="str">
        <f aca="false">IF(OR($B872="", $P872="", $Q872="", $R872="", $S872=""),"",ROUND(($P872*Lists!$AD$7)+($Q872*Lists!$AD$8)+($R872*Lists!$AD$9)+($S872*Lists!$AD$10),2))</f>
        <v/>
      </c>
      <c r="U872" s="106"/>
      <c r="V872" s="106"/>
      <c r="W872" s="106"/>
      <c r="X872" s="106"/>
      <c r="Y872" s="106"/>
      <c r="Z872" s="103" t="str">
        <f aca="false">IF(OR($B872="", $U872="", $V872="", $W872="", $X872="", $Y872=""),"",ROUND(($U872*Lists!$AD$11)+($V872*Lists!$AD$12)+($W872*Lists!$AD$13)+($X872*Lists!$AD$14)+($Y872*Lists!$AD$15),2))</f>
        <v/>
      </c>
      <c r="AA872" s="103" t="str">
        <f aca="false">IF(OR($B872="", $N872="", $O872="", $T872="", $Z872=""),"",ROUND(($N872*Lists!$AD$16)-($O872*Lists!$AD$17)-($T872*Lists!$AD$18)+($Z872*Lists!$AD$19),2))</f>
        <v/>
      </c>
      <c r="AB872" s="102" t="str">
        <f aca="false">IF(OR($B872="", $N872="", $Z872=""),"",IF($N872&gt;=Lists!$AG$2,IF($Z872&gt;=Lists!$AG$3,"Invest","Migrate"),IF($Z872&gt;=Lists!$AG$3,"Tolerate","Eliminate")))</f>
        <v/>
      </c>
      <c r="AC872" s="102" t="str">
        <f aca="false">IF($B872="","",IF($J872&gt;=4,"Yes",""))</f>
        <v/>
      </c>
      <c r="AD872" s="102" t="str">
        <f aca="false">IF($A872="","",IFERROR(IF(VLOOKUP($A872,'Risk Register'!$B$2:$H$1000,4,FALSE())&gt;=4,"Yes",""),""))</f>
        <v/>
      </c>
      <c r="AE872" s="102" t="str">
        <f aca="false">IF(OR($N872="", $O872=""),"",IF($N872&gt;=Lists!$AG$2,IF($O872&gt;=Lists!$AG$4,"High Value / High Risk","High Value / Low Risk"),IF($O872&gt;=Lists!$AG$4,"Low Value / High Risk","Low Value / Low Risk")))</f>
        <v/>
      </c>
      <c r="AF872" s="101"/>
      <c r="AG872" s="126"/>
      <c r="AH872" s="106" t="str">
        <f aca="false">IF($B872="","",COUNTIFS('Debt Backlog'!$AF$2:$AF$1000,$A872,'Debt Backlog'!$B$2:$B$1000,"&lt;&gt;",'Debt Backlog'!$N$2:$N$1000,"&lt;&gt;Done",'Debt Backlog'!$N$2:$N$1000,"&lt;&gt;Won't Fix",'Debt Backlog'!$N$2:$N$1000,"&lt;&gt;Duplicate"))</f>
        <v/>
      </c>
      <c r="AI872" s="103" t="str">
        <f aca="false">IF($B872="","",ROUND(SUMIFS('Debt Backlog'!$L$2:$L$1000,'Debt Backlog'!$AF$2:$AF$1000,$A872,'Debt Backlog'!$B$2:$B$1000,"&lt;&gt;",'Debt Backlog'!$N$2:$N$1000,"&lt;&gt;Done",'Debt Backlog'!$N$2:$N$1000,"&lt;&gt;Won't Fix",'Debt Backlog'!$N$2:$N$1000,"&lt;&gt;Duplicate"),2))</f>
        <v/>
      </c>
    </row>
    <row r="873" customFormat="false" ht="15.75" hidden="false" customHeight="true" outlineLevel="0" collapsed="false">
      <c r="A873" s="125"/>
      <c r="B873" s="101"/>
      <c r="C873" s="101"/>
      <c r="D873" s="101"/>
      <c r="E873" s="101"/>
      <c r="F873" s="101"/>
      <c r="G873" s="101"/>
      <c r="H873" s="101"/>
      <c r="I873" s="106"/>
      <c r="J873" s="106"/>
      <c r="K873" s="106"/>
      <c r="L873" s="106"/>
      <c r="M873" s="106"/>
      <c r="N873" s="103" t="str">
        <f aca="false">IF(OR($B873="", $I873="", $J873="", $K873="", $L873="", $M873=""),"",ROUND(($I873*Lists!$AD$2)+($J873*Lists!$AD$3)+($K873*Lists!$AD$4)+($L873*Lists!$AD$5)+($M873*Lists!$AD$6),2))</f>
        <v/>
      </c>
      <c r="O873" s="103" t="str">
        <f aca="false">IF($A873="","",IFERROR(VLOOKUP($A873,'Risk Register'!$B$2:$I$1000,8,FALSE()),""))</f>
        <v/>
      </c>
      <c r="P873" s="106"/>
      <c r="Q873" s="106"/>
      <c r="R873" s="106"/>
      <c r="S873" s="106"/>
      <c r="T873" s="103" t="str">
        <f aca="false">IF(OR($B873="", $P873="", $Q873="", $R873="", $S873=""),"",ROUND(($P873*Lists!$AD$7)+($Q873*Lists!$AD$8)+($R873*Lists!$AD$9)+($S873*Lists!$AD$10),2))</f>
        <v/>
      </c>
      <c r="U873" s="106"/>
      <c r="V873" s="106"/>
      <c r="W873" s="106"/>
      <c r="X873" s="106"/>
      <c r="Y873" s="106"/>
      <c r="Z873" s="103" t="str">
        <f aca="false">IF(OR($B873="", $U873="", $V873="", $W873="", $X873="", $Y873=""),"",ROUND(($U873*Lists!$AD$11)+($V873*Lists!$AD$12)+($W873*Lists!$AD$13)+($X873*Lists!$AD$14)+($Y873*Lists!$AD$15),2))</f>
        <v/>
      </c>
      <c r="AA873" s="103" t="str">
        <f aca="false">IF(OR($B873="", $N873="", $O873="", $T873="", $Z873=""),"",ROUND(($N873*Lists!$AD$16)-($O873*Lists!$AD$17)-($T873*Lists!$AD$18)+($Z873*Lists!$AD$19),2))</f>
        <v/>
      </c>
      <c r="AB873" s="102" t="str">
        <f aca="false">IF(OR($B873="", $N873="", $Z873=""),"",IF($N873&gt;=Lists!$AG$2,IF($Z873&gt;=Lists!$AG$3,"Invest","Migrate"),IF($Z873&gt;=Lists!$AG$3,"Tolerate","Eliminate")))</f>
        <v/>
      </c>
      <c r="AC873" s="102" t="str">
        <f aca="false">IF($B873="","",IF($J873&gt;=4,"Yes",""))</f>
        <v/>
      </c>
      <c r="AD873" s="102" t="str">
        <f aca="false">IF($A873="","",IFERROR(IF(VLOOKUP($A873,'Risk Register'!$B$2:$H$1000,4,FALSE())&gt;=4,"Yes",""),""))</f>
        <v/>
      </c>
      <c r="AE873" s="102" t="str">
        <f aca="false">IF(OR($N873="", $O873=""),"",IF($N873&gt;=Lists!$AG$2,IF($O873&gt;=Lists!$AG$4,"High Value / High Risk","High Value / Low Risk"),IF($O873&gt;=Lists!$AG$4,"Low Value / High Risk","Low Value / Low Risk")))</f>
        <v/>
      </c>
      <c r="AF873" s="101"/>
      <c r="AG873" s="126"/>
      <c r="AH873" s="106" t="str">
        <f aca="false">IF($B873="","",COUNTIFS('Debt Backlog'!$AF$2:$AF$1000,$A873,'Debt Backlog'!$B$2:$B$1000,"&lt;&gt;",'Debt Backlog'!$N$2:$N$1000,"&lt;&gt;Done",'Debt Backlog'!$N$2:$N$1000,"&lt;&gt;Won't Fix",'Debt Backlog'!$N$2:$N$1000,"&lt;&gt;Duplicate"))</f>
        <v/>
      </c>
      <c r="AI873" s="103" t="str">
        <f aca="false">IF($B873="","",ROUND(SUMIFS('Debt Backlog'!$L$2:$L$1000,'Debt Backlog'!$AF$2:$AF$1000,$A873,'Debt Backlog'!$B$2:$B$1000,"&lt;&gt;",'Debt Backlog'!$N$2:$N$1000,"&lt;&gt;Done",'Debt Backlog'!$N$2:$N$1000,"&lt;&gt;Won't Fix",'Debt Backlog'!$N$2:$N$1000,"&lt;&gt;Duplicate"),2))</f>
        <v/>
      </c>
    </row>
    <row r="874" customFormat="false" ht="15.75" hidden="false" customHeight="true" outlineLevel="0" collapsed="false">
      <c r="A874" s="125"/>
      <c r="B874" s="101"/>
      <c r="C874" s="101"/>
      <c r="D874" s="101"/>
      <c r="E874" s="101"/>
      <c r="F874" s="101"/>
      <c r="G874" s="101"/>
      <c r="H874" s="101"/>
      <c r="I874" s="106"/>
      <c r="J874" s="106"/>
      <c r="K874" s="106"/>
      <c r="L874" s="106"/>
      <c r="M874" s="106"/>
      <c r="N874" s="103" t="str">
        <f aca="false">IF(OR($B874="", $I874="", $J874="", $K874="", $L874="", $M874=""),"",ROUND(($I874*Lists!$AD$2)+($J874*Lists!$AD$3)+($K874*Lists!$AD$4)+($L874*Lists!$AD$5)+($M874*Lists!$AD$6),2))</f>
        <v/>
      </c>
      <c r="O874" s="103" t="str">
        <f aca="false">IF($A874="","",IFERROR(VLOOKUP($A874,'Risk Register'!$B$2:$I$1000,8,FALSE()),""))</f>
        <v/>
      </c>
      <c r="P874" s="106"/>
      <c r="Q874" s="106"/>
      <c r="R874" s="106"/>
      <c r="S874" s="106"/>
      <c r="T874" s="103" t="str">
        <f aca="false">IF(OR($B874="", $P874="", $Q874="", $R874="", $S874=""),"",ROUND(($P874*Lists!$AD$7)+($Q874*Lists!$AD$8)+($R874*Lists!$AD$9)+($S874*Lists!$AD$10),2))</f>
        <v/>
      </c>
      <c r="U874" s="106"/>
      <c r="V874" s="106"/>
      <c r="W874" s="106"/>
      <c r="X874" s="106"/>
      <c r="Y874" s="106"/>
      <c r="Z874" s="103" t="str">
        <f aca="false">IF(OR($B874="", $U874="", $V874="", $W874="", $X874="", $Y874=""),"",ROUND(($U874*Lists!$AD$11)+($V874*Lists!$AD$12)+($W874*Lists!$AD$13)+($X874*Lists!$AD$14)+($Y874*Lists!$AD$15),2))</f>
        <v/>
      </c>
      <c r="AA874" s="103" t="str">
        <f aca="false">IF(OR($B874="", $N874="", $O874="", $T874="", $Z874=""),"",ROUND(($N874*Lists!$AD$16)-($O874*Lists!$AD$17)-($T874*Lists!$AD$18)+($Z874*Lists!$AD$19),2))</f>
        <v/>
      </c>
      <c r="AB874" s="102" t="str">
        <f aca="false">IF(OR($B874="", $N874="", $Z874=""),"",IF($N874&gt;=Lists!$AG$2,IF($Z874&gt;=Lists!$AG$3,"Invest","Migrate"),IF($Z874&gt;=Lists!$AG$3,"Tolerate","Eliminate")))</f>
        <v/>
      </c>
      <c r="AC874" s="102" t="str">
        <f aca="false">IF($B874="","",IF($J874&gt;=4,"Yes",""))</f>
        <v/>
      </c>
      <c r="AD874" s="102" t="str">
        <f aca="false">IF($A874="","",IFERROR(IF(VLOOKUP($A874,'Risk Register'!$B$2:$H$1000,4,FALSE())&gt;=4,"Yes",""),""))</f>
        <v/>
      </c>
      <c r="AE874" s="102" t="str">
        <f aca="false">IF(OR($N874="", $O874=""),"",IF($N874&gt;=Lists!$AG$2,IF($O874&gt;=Lists!$AG$4,"High Value / High Risk","High Value / Low Risk"),IF($O874&gt;=Lists!$AG$4,"Low Value / High Risk","Low Value / Low Risk")))</f>
        <v/>
      </c>
      <c r="AF874" s="101"/>
      <c r="AG874" s="126"/>
      <c r="AH874" s="106" t="str">
        <f aca="false">IF($B874="","",COUNTIFS('Debt Backlog'!$AF$2:$AF$1000,$A874,'Debt Backlog'!$B$2:$B$1000,"&lt;&gt;",'Debt Backlog'!$N$2:$N$1000,"&lt;&gt;Done",'Debt Backlog'!$N$2:$N$1000,"&lt;&gt;Won't Fix",'Debt Backlog'!$N$2:$N$1000,"&lt;&gt;Duplicate"))</f>
        <v/>
      </c>
      <c r="AI874" s="103" t="str">
        <f aca="false">IF($B874="","",ROUND(SUMIFS('Debt Backlog'!$L$2:$L$1000,'Debt Backlog'!$AF$2:$AF$1000,$A874,'Debt Backlog'!$B$2:$B$1000,"&lt;&gt;",'Debt Backlog'!$N$2:$N$1000,"&lt;&gt;Done",'Debt Backlog'!$N$2:$N$1000,"&lt;&gt;Won't Fix",'Debt Backlog'!$N$2:$N$1000,"&lt;&gt;Duplicate"),2))</f>
        <v/>
      </c>
    </row>
    <row r="875" customFormat="false" ht="15.75" hidden="false" customHeight="true" outlineLevel="0" collapsed="false">
      <c r="A875" s="125"/>
      <c r="B875" s="101"/>
      <c r="C875" s="101"/>
      <c r="D875" s="101"/>
      <c r="E875" s="101"/>
      <c r="F875" s="101"/>
      <c r="G875" s="101"/>
      <c r="H875" s="101"/>
      <c r="I875" s="106"/>
      <c r="J875" s="106"/>
      <c r="K875" s="106"/>
      <c r="L875" s="106"/>
      <c r="M875" s="106"/>
      <c r="N875" s="103" t="str">
        <f aca="false">IF(OR($B875="", $I875="", $J875="", $K875="", $L875="", $M875=""),"",ROUND(($I875*Lists!$AD$2)+($J875*Lists!$AD$3)+($K875*Lists!$AD$4)+($L875*Lists!$AD$5)+($M875*Lists!$AD$6),2))</f>
        <v/>
      </c>
      <c r="O875" s="103" t="str">
        <f aca="false">IF($A875="","",IFERROR(VLOOKUP($A875,'Risk Register'!$B$2:$I$1000,8,FALSE()),""))</f>
        <v/>
      </c>
      <c r="P875" s="106"/>
      <c r="Q875" s="106"/>
      <c r="R875" s="106"/>
      <c r="S875" s="106"/>
      <c r="T875" s="103" t="str">
        <f aca="false">IF(OR($B875="", $P875="", $Q875="", $R875="", $S875=""),"",ROUND(($P875*Lists!$AD$7)+($Q875*Lists!$AD$8)+($R875*Lists!$AD$9)+($S875*Lists!$AD$10),2))</f>
        <v/>
      </c>
      <c r="U875" s="106"/>
      <c r="V875" s="106"/>
      <c r="W875" s="106"/>
      <c r="X875" s="106"/>
      <c r="Y875" s="106"/>
      <c r="Z875" s="103" t="str">
        <f aca="false">IF(OR($B875="", $U875="", $V875="", $W875="", $X875="", $Y875=""),"",ROUND(($U875*Lists!$AD$11)+($V875*Lists!$AD$12)+($W875*Lists!$AD$13)+($X875*Lists!$AD$14)+($Y875*Lists!$AD$15),2))</f>
        <v/>
      </c>
      <c r="AA875" s="103" t="str">
        <f aca="false">IF(OR($B875="", $N875="", $O875="", $T875="", $Z875=""),"",ROUND(($N875*Lists!$AD$16)-($O875*Lists!$AD$17)-($T875*Lists!$AD$18)+($Z875*Lists!$AD$19),2))</f>
        <v/>
      </c>
      <c r="AB875" s="102" t="str">
        <f aca="false">IF(OR($B875="", $N875="", $Z875=""),"",IF($N875&gt;=Lists!$AG$2,IF($Z875&gt;=Lists!$AG$3,"Invest","Migrate"),IF($Z875&gt;=Lists!$AG$3,"Tolerate","Eliminate")))</f>
        <v/>
      </c>
      <c r="AC875" s="102" t="str">
        <f aca="false">IF($B875="","",IF($J875&gt;=4,"Yes",""))</f>
        <v/>
      </c>
      <c r="AD875" s="102" t="str">
        <f aca="false">IF($A875="","",IFERROR(IF(VLOOKUP($A875,'Risk Register'!$B$2:$H$1000,4,FALSE())&gt;=4,"Yes",""),""))</f>
        <v/>
      </c>
      <c r="AE875" s="102" t="str">
        <f aca="false">IF(OR($N875="", $O875=""),"",IF($N875&gt;=Lists!$AG$2,IF($O875&gt;=Lists!$AG$4,"High Value / High Risk","High Value / Low Risk"),IF($O875&gt;=Lists!$AG$4,"Low Value / High Risk","Low Value / Low Risk")))</f>
        <v/>
      </c>
      <c r="AF875" s="101"/>
      <c r="AG875" s="126"/>
      <c r="AH875" s="106" t="str">
        <f aca="false">IF($B875="","",COUNTIFS('Debt Backlog'!$AF$2:$AF$1000,$A875,'Debt Backlog'!$B$2:$B$1000,"&lt;&gt;",'Debt Backlog'!$N$2:$N$1000,"&lt;&gt;Done",'Debt Backlog'!$N$2:$N$1000,"&lt;&gt;Won't Fix",'Debt Backlog'!$N$2:$N$1000,"&lt;&gt;Duplicate"))</f>
        <v/>
      </c>
      <c r="AI875" s="103" t="str">
        <f aca="false">IF($B875="","",ROUND(SUMIFS('Debt Backlog'!$L$2:$L$1000,'Debt Backlog'!$AF$2:$AF$1000,$A875,'Debt Backlog'!$B$2:$B$1000,"&lt;&gt;",'Debt Backlog'!$N$2:$N$1000,"&lt;&gt;Done",'Debt Backlog'!$N$2:$N$1000,"&lt;&gt;Won't Fix",'Debt Backlog'!$N$2:$N$1000,"&lt;&gt;Duplicate"),2))</f>
        <v/>
      </c>
    </row>
    <row r="876" customFormat="false" ht="15.75" hidden="false" customHeight="true" outlineLevel="0" collapsed="false">
      <c r="A876" s="125"/>
      <c r="B876" s="101"/>
      <c r="C876" s="101"/>
      <c r="D876" s="101"/>
      <c r="E876" s="101"/>
      <c r="F876" s="101"/>
      <c r="G876" s="101"/>
      <c r="H876" s="101"/>
      <c r="I876" s="106"/>
      <c r="J876" s="106"/>
      <c r="K876" s="106"/>
      <c r="L876" s="106"/>
      <c r="M876" s="106"/>
      <c r="N876" s="103" t="str">
        <f aca="false">IF(OR($B876="", $I876="", $J876="", $K876="", $L876="", $M876=""),"",ROUND(($I876*Lists!$AD$2)+($J876*Lists!$AD$3)+($K876*Lists!$AD$4)+($L876*Lists!$AD$5)+($M876*Lists!$AD$6),2))</f>
        <v/>
      </c>
      <c r="O876" s="103" t="str">
        <f aca="false">IF($A876="","",IFERROR(VLOOKUP($A876,'Risk Register'!$B$2:$I$1000,8,FALSE()),""))</f>
        <v/>
      </c>
      <c r="P876" s="106"/>
      <c r="Q876" s="106"/>
      <c r="R876" s="106"/>
      <c r="S876" s="106"/>
      <c r="T876" s="103" t="str">
        <f aca="false">IF(OR($B876="", $P876="", $Q876="", $R876="", $S876=""),"",ROUND(($P876*Lists!$AD$7)+($Q876*Lists!$AD$8)+($R876*Lists!$AD$9)+($S876*Lists!$AD$10),2))</f>
        <v/>
      </c>
      <c r="U876" s="106"/>
      <c r="V876" s="106"/>
      <c r="W876" s="106"/>
      <c r="X876" s="106"/>
      <c r="Y876" s="106"/>
      <c r="Z876" s="103" t="str">
        <f aca="false">IF(OR($B876="", $U876="", $V876="", $W876="", $X876="", $Y876=""),"",ROUND(($U876*Lists!$AD$11)+($V876*Lists!$AD$12)+($W876*Lists!$AD$13)+($X876*Lists!$AD$14)+($Y876*Lists!$AD$15),2))</f>
        <v/>
      </c>
      <c r="AA876" s="103" t="str">
        <f aca="false">IF(OR($B876="", $N876="", $O876="", $T876="", $Z876=""),"",ROUND(($N876*Lists!$AD$16)-($O876*Lists!$AD$17)-($T876*Lists!$AD$18)+($Z876*Lists!$AD$19),2))</f>
        <v/>
      </c>
      <c r="AB876" s="102" t="str">
        <f aca="false">IF(OR($B876="", $N876="", $Z876=""),"",IF($N876&gt;=Lists!$AG$2,IF($Z876&gt;=Lists!$AG$3,"Invest","Migrate"),IF($Z876&gt;=Lists!$AG$3,"Tolerate","Eliminate")))</f>
        <v/>
      </c>
      <c r="AC876" s="102" t="str">
        <f aca="false">IF($B876="","",IF($J876&gt;=4,"Yes",""))</f>
        <v/>
      </c>
      <c r="AD876" s="102" t="str">
        <f aca="false">IF($A876="","",IFERROR(IF(VLOOKUP($A876,'Risk Register'!$B$2:$H$1000,4,FALSE())&gt;=4,"Yes",""),""))</f>
        <v/>
      </c>
      <c r="AE876" s="102" t="str">
        <f aca="false">IF(OR($N876="", $O876=""),"",IF($N876&gt;=Lists!$AG$2,IF($O876&gt;=Lists!$AG$4,"High Value / High Risk","High Value / Low Risk"),IF($O876&gt;=Lists!$AG$4,"Low Value / High Risk","Low Value / Low Risk")))</f>
        <v/>
      </c>
      <c r="AF876" s="101"/>
      <c r="AG876" s="126"/>
      <c r="AH876" s="106" t="str">
        <f aca="false">IF($B876="","",COUNTIFS('Debt Backlog'!$AF$2:$AF$1000,$A876,'Debt Backlog'!$B$2:$B$1000,"&lt;&gt;",'Debt Backlog'!$N$2:$N$1000,"&lt;&gt;Done",'Debt Backlog'!$N$2:$N$1000,"&lt;&gt;Won't Fix",'Debt Backlog'!$N$2:$N$1000,"&lt;&gt;Duplicate"))</f>
        <v/>
      </c>
      <c r="AI876" s="103" t="str">
        <f aca="false">IF($B876="","",ROUND(SUMIFS('Debt Backlog'!$L$2:$L$1000,'Debt Backlog'!$AF$2:$AF$1000,$A876,'Debt Backlog'!$B$2:$B$1000,"&lt;&gt;",'Debt Backlog'!$N$2:$N$1000,"&lt;&gt;Done",'Debt Backlog'!$N$2:$N$1000,"&lt;&gt;Won't Fix",'Debt Backlog'!$N$2:$N$1000,"&lt;&gt;Duplicate"),2))</f>
        <v/>
      </c>
    </row>
    <row r="877" customFormat="false" ht="15.75" hidden="false" customHeight="true" outlineLevel="0" collapsed="false">
      <c r="A877" s="125"/>
      <c r="B877" s="101"/>
      <c r="C877" s="101"/>
      <c r="D877" s="101"/>
      <c r="E877" s="101"/>
      <c r="F877" s="101"/>
      <c r="G877" s="101"/>
      <c r="H877" s="101"/>
      <c r="I877" s="106"/>
      <c r="J877" s="106"/>
      <c r="K877" s="106"/>
      <c r="L877" s="106"/>
      <c r="M877" s="106"/>
      <c r="N877" s="103" t="str">
        <f aca="false">IF(OR($B877="", $I877="", $J877="", $K877="", $L877="", $M877=""),"",ROUND(($I877*Lists!$AD$2)+($J877*Lists!$AD$3)+($K877*Lists!$AD$4)+($L877*Lists!$AD$5)+($M877*Lists!$AD$6),2))</f>
        <v/>
      </c>
      <c r="O877" s="103" t="str">
        <f aca="false">IF($A877="","",IFERROR(VLOOKUP($A877,'Risk Register'!$B$2:$I$1000,8,FALSE()),""))</f>
        <v/>
      </c>
      <c r="P877" s="106"/>
      <c r="Q877" s="106"/>
      <c r="R877" s="106"/>
      <c r="S877" s="106"/>
      <c r="T877" s="103" t="str">
        <f aca="false">IF(OR($B877="", $P877="", $Q877="", $R877="", $S877=""),"",ROUND(($P877*Lists!$AD$7)+($Q877*Lists!$AD$8)+($R877*Lists!$AD$9)+($S877*Lists!$AD$10),2))</f>
        <v/>
      </c>
      <c r="U877" s="106"/>
      <c r="V877" s="106"/>
      <c r="W877" s="106"/>
      <c r="X877" s="106"/>
      <c r="Y877" s="106"/>
      <c r="Z877" s="103" t="str">
        <f aca="false">IF(OR($B877="", $U877="", $V877="", $W877="", $X877="", $Y877=""),"",ROUND(($U877*Lists!$AD$11)+($V877*Lists!$AD$12)+($W877*Lists!$AD$13)+($X877*Lists!$AD$14)+($Y877*Lists!$AD$15),2))</f>
        <v/>
      </c>
      <c r="AA877" s="103" t="str">
        <f aca="false">IF(OR($B877="", $N877="", $O877="", $T877="", $Z877=""),"",ROUND(($N877*Lists!$AD$16)-($O877*Lists!$AD$17)-($T877*Lists!$AD$18)+($Z877*Lists!$AD$19),2))</f>
        <v/>
      </c>
      <c r="AB877" s="102" t="str">
        <f aca="false">IF(OR($B877="", $N877="", $Z877=""),"",IF($N877&gt;=Lists!$AG$2,IF($Z877&gt;=Lists!$AG$3,"Invest","Migrate"),IF($Z877&gt;=Lists!$AG$3,"Tolerate","Eliminate")))</f>
        <v/>
      </c>
      <c r="AC877" s="102" t="str">
        <f aca="false">IF($B877="","",IF($J877&gt;=4,"Yes",""))</f>
        <v/>
      </c>
      <c r="AD877" s="102" t="str">
        <f aca="false">IF($A877="","",IFERROR(IF(VLOOKUP($A877,'Risk Register'!$B$2:$H$1000,4,FALSE())&gt;=4,"Yes",""),""))</f>
        <v/>
      </c>
      <c r="AE877" s="102" t="str">
        <f aca="false">IF(OR($N877="", $O877=""),"",IF($N877&gt;=Lists!$AG$2,IF($O877&gt;=Lists!$AG$4,"High Value / High Risk","High Value / Low Risk"),IF($O877&gt;=Lists!$AG$4,"Low Value / High Risk","Low Value / Low Risk")))</f>
        <v/>
      </c>
      <c r="AF877" s="101"/>
      <c r="AG877" s="126"/>
      <c r="AH877" s="106" t="str">
        <f aca="false">IF($B877="","",COUNTIFS('Debt Backlog'!$AF$2:$AF$1000,$A877,'Debt Backlog'!$B$2:$B$1000,"&lt;&gt;",'Debt Backlog'!$N$2:$N$1000,"&lt;&gt;Done",'Debt Backlog'!$N$2:$N$1000,"&lt;&gt;Won't Fix",'Debt Backlog'!$N$2:$N$1000,"&lt;&gt;Duplicate"))</f>
        <v/>
      </c>
      <c r="AI877" s="103" t="str">
        <f aca="false">IF($B877="","",ROUND(SUMIFS('Debt Backlog'!$L$2:$L$1000,'Debt Backlog'!$AF$2:$AF$1000,$A877,'Debt Backlog'!$B$2:$B$1000,"&lt;&gt;",'Debt Backlog'!$N$2:$N$1000,"&lt;&gt;Done",'Debt Backlog'!$N$2:$N$1000,"&lt;&gt;Won't Fix",'Debt Backlog'!$N$2:$N$1000,"&lt;&gt;Duplicate"),2))</f>
        <v/>
      </c>
    </row>
    <row r="878" customFormat="false" ht="15.75" hidden="false" customHeight="true" outlineLevel="0" collapsed="false">
      <c r="A878" s="125"/>
      <c r="B878" s="101"/>
      <c r="C878" s="101"/>
      <c r="D878" s="101"/>
      <c r="E878" s="101"/>
      <c r="F878" s="101"/>
      <c r="G878" s="101"/>
      <c r="H878" s="101"/>
      <c r="I878" s="106"/>
      <c r="J878" s="106"/>
      <c r="K878" s="106"/>
      <c r="L878" s="106"/>
      <c r="M878" s="106"/>
      <c r="N878" s="103" t="str">
        <f aca="false">IF(OR($B878="", $I878="", $J878="", $K878="", $L878="", $M878=""),"",ROUND(($I878*Lists!$AD$2)+($J878*Lists!$AD$3)+($K878*Lists!$AD$4)+($L878*Lists!$AD$5)+($M878*Lists!$AD$6),2))</f>
        <v/>
      </c>
      <c r="O878" s="103" t="str">
        <f aca="false">IF($A878="","",IFERROR(VLOOKUP($A878,'Risk Register'!$B$2:$I$1000,8,FALSE()),""))</f>
        <v/>
      </c>
      <c r="P878" s="106"/>
      <c r="Q878" s="106"/>
      <c r="R878" s="106"/>
      <c r="S878" s="106"/>
      <c r="T878" s="103" t="str">
        <f aca="false">IF(OR($B878="", $P878="", $Q878="", $R878="", $S878=""),"",ROUND(($P878*Lists!$AD$7)+($Q878*Lists!$AD$8)+($R878*Lists!$AD$9)+($S878*Lists!$AD$10),2))</f>
        <v/>
      </c>
      <c r="U878" s="106"/>
      <c r="V878" s="106"/>
      <c r="W878" s="106"/>
      <c r="X878" s="106"/>
      <c r="Y878" s="106"/>
      <c r="Z878" s="103" t="str">
        <f aca="false">IF(OR($B878="", $U878="", $V878="", $W878="", $X878="", $Y878=""),"",ROUND(($U878*Lists!$AD$11)+($V878*Lists!$AD$12)+($W878*Lists!$AD$13)+($X878*Lists!$AD$14)+($Y878*Lists!$AD$15),2))</f>
        <v/>
      </c>
      <c r="AA878" s="103" t="str">
        <f aca="false">IF(OR($B878="", $N878="", $O878="", $T878="", $Z878=""),"",ROUND(($N878*Lists!$AD$16)-($O878*Lists!$AD$17)-($T878*Lists!$AD$18)+($Z878*Lists!$AD$19),2))</f>
        <v/>
      </c>
      <c r="AB878" s="102" t="str">
        <f aca="false">IF(OR($B878="", $N878="", $Z878=""),"",IF($N878&gt;=Lists!$AG$2,IF($Z878&gt;=Lists!$AG$3,"Invest","Migrate"),IF($Z878&gt;=Lists!$AG$3,"Tolerate","Eliminate")))</f>
        <v/>
      </c>
      <c r="AC878" s="102" t="str">
        <f aca="false">IF($B878="","",IF($J878&gt;=4,"Yes",""))</f>
        <v/>
      </c>
      <c r="AD878" s="102" t="str">
        <f aca="false">IF($A878="","",IFERROR(IF(VLOOKUP($A878,'Risk Register'!$B$2:$H$1000,4,FALSE())&gt;=4,"Yes",""),""))</f>
        <v/>
      </c>
      <c r="AE878" s="102" t="str">
        <f aca="false">IF(OR($N878="", $O878=""),"",IF($N878&gt;=Lists!$AG$2,IF($O878&gt;=Lists!$AG$4,"High Value / High Risk","High Value / Low Risk"),IF($O878&gt;=Lists!$AG$4,"Low Value / High Risk","Low Value / Low Risk")))</f>
        <v/>
      </c>
      <c r="AF878" s="101"/>
      <c r="AG878" s="126"/>
      <c r="AH878" s="106" t="str">
        <f aca="false">IF($B878="","",COUNTIFS('Debt Backlog'!$AF$2:$AF$1000,$A878,'Debt Backlog'!$B$2:$B$1000,"&lt;&gt;",'Debt Backlog'!$N$2:$N$1000,"&lt;&gt;Done",'Debt Backlog'!$N$2:$N$1000,"&lt;&gt;Won't Fix",'Debt Backlog'!$N$2:$N$1000,"&lt;&gt;Duplicate"))</f>
        <v/>
      </c>
      <c r="AI878" s="103" t="str">
        <f aca="false">IF($B878="","",ROUND(SUMIFS('Debt Backlog'!$L$2:$L$1000,'Debt Backlog'!$AF$2:$AF$1000,$A878,'Debt Backlog'!$B$2:$B$1000,"&lt;&gt;",'Debt Backlog'!$N$2:$N$1000,"&lt;&gt;Done",'Debt Backlog'!$N$2:$N$1000,"&lt;&gt;Won't Fix",'Debt Backlog'!$N$2:$N$1000,"&lt;&gt;Duplicate"),2))</f>
        <v/>
      </c>
    </row>
    <row r="879" customFormat="false" ht="15.75" hidden="false" customHeight="true" outlineLevel="0" collapsed="false">
      <c r="A879" s="125"/>
      <c r="B879" s="101"/>
      <c r="C879" s="101"/>
      <c r="D879" s="101"/>
      <c r="E879" s="101"/>
      <c r="F879" s="101"/>
      <c r="G879" s="101"/>
      <c r="H879" s="101"/>
      <c r="I879" s="106"/>
      <c r="J879" s="106"/>
      <c r="K879" s="106"/>
      <c r="L879" s="106"/>
      <c r="M879" s="106"/>
      <c r="N879" s="103" t="str">
        <f aca="false">IF(OR($B879="", $I879="", $J879="", $K879="", $L879="", $M879=""),"",ROUND(($I879*Lists!$AD$2)+($J879*Lists!$AD$3)+($K879*Lists!$AD$4)+($L879*Lists!$AD$5)+($M879*Lists!$AD$6),2))</f>
        <v/>
      </c>
      <c r="O879" s="103" t="str">
        <f aca="false">IF($A879="","",IFERROR(VLOOKUP($A879,'Risk Register'!$B$2:$I$1000,8,FALSE()),""))</f>
        <v/>
      </c>
      <c r="P879" s="106"/>
      <c r="Q879" s="106"/>
      <c r="R879" s="106"/>
      <c r="S879" s="106"/>
      <c r="T879" s="103" t="str">
        <f aca="false">IF(OR($B879="", $P879="", $Q879="", $R879="", $S879=""),"",ROUND(($P879*Lists!$AD$7)+($Q879*Lists!$AD$8)+($R879*Lists!$AD$9)+($S879*Lists!$AD$10),2))</f>
        <v/>
      </c>
      <c r="U879" s="106"/>
      <c r="V879" s="106"/>
      <c r="W879" s="106"/>
      <c r="X879" s="106"/>
      <c r="Y879" s="106"/>
      <c r="Z879" s="103" t="str">
        <f aca="false">IF(OR($B879="", $U879="", $V879="", $W879="", $X879="", $Y879=""),"",ROUND(($U879*Lists!$AD$11)+($V879*Lists!$AD$12)+($W879*Lists!$AD$13)+($X879*Lists!$AD$14)+($Y879*Lists!$AD$15),2))</f>
        <v/>
      </c>
      <c r="AA879" s="103" t="str">
        <f aca="false">IF(OR($B879="", $N879="", $O879="", $T879="", $Z879=""),"",ROUND(($N879*Lists!$AD$16)-($O879*Lists!$AD$17)-($T879*Lists!$AD$18)+($Z879*Lists!$AD$19),2))</f>
        <v/>
      </c>
      <c r="AB879" s="102" t="str">
        <f aca="false">IF(OR($B879="", $N879="", $Z879=""),"",IF($N879&gt;=Lists!$AG$2,IF($Z879&gt;=Lists!$AG$3,"Invest","Migrate"),IF($Z879&gt;=Lists!$AG$3,"Tolerate","Eliminate")))</f>
        <v/>
      </c>
      <c r="AC879" s="102" t="str">
        <f aca="false">IF($B879="","",IF($J879&gt;=4,"Yes",""))</f>
        <v/>
      </c>
      <c r="AD879" s="102" t="str">
        <f aca="false">IF($A879="","",IFERROR(IF(VLOOKUP($A879,'Risk Register'!$B$2:$H$1000,4,FALSE())&gt;=4,"Yes",""),""))</f>
        <v/>
      </c>
      <c r="AE879" s="102" t="str">
        <f aca="false">IF(OR($N879="", $O879=""),"",IF($N879&gt;=Lists!$AG$2,IF($O879&gt;=Lists!$AG$4,"High Value / High Risk","High Value / Low Risk"),IF($O879&gt;=Lists!$AG$4,"Low Value / High Risk","Low Value / Low Risk")))</f>
        <v/>
      </c>
      <c r="AF879" s="101"/>
      <c r="AG879" s="126"/>
      <c r="AH879" s="106" t="str">
        <f aca="false">IF($B879="","",COUNTIFS('Debt Backlog'!$AF$2:$AF$1000,$A879,'Debt Backlog'!$B$2:$B$1000,"&lt;&gt;",'Debt Backlog'!$N$2:$N$1000,"&lt;&gt;Done",'Debt Backlog'!$N$2:$N$1000,"&lt;&gt;Won't Fix",'Debt Backlog'!$N$2:$N$1000,"&lt;&gt;Duplicate"))</f>
        <v/>
      </c>
      <c r="AI879" s="103" t="str">
        <f aca="false">IF($B879="","",ROUND(SUMIFS('Debt Backlog'!$L$2:$L$1000,'Debt Backlog'!$AF$2:$AF$1000,$A879,'Debt Backlog'!$B$2:$B$1000,"&lt;&gt;",'Debt Backlog'!$N$2:$N$1000,"&lt;&gt;Done",'Debt Backlog'!$N$2:$N$1000,"&lt;&gt;Won't Fix",'Debt Backlog'!$N$2:$N$1000,"&lt;&gt;Duplicate"),2))</f>
        <v/>
      </c>
    </row>
    <row r="880" customFormat="false" ht="15.75" hidden="false" customHeight="true" outlineLevel="0" collapsed="false">
      <c r="A880" s="125"/>
      <c r="B880" s="101"/>
      <c r="C880" s="101"/>
      <c r="D880" s="101"/>
      <c r="E880" s="101"/>
      <c r="F880" s="101"/>
      <c r="G880" s="101"/>
      <c r="H880" s="101"/>
      <c r="I880" s="106"/>
      <c r="J880" s="106"/>
      <c r="K880" s="106"/>
      <c r="L880" s="106"/>
      <c r="M880" s="106"/>
      <c r="N880" s="103" t="str">
        <f aca="false">IF(OR($B880="", $I880="", $J880="", $K880="", $L880="", $M880=""),"",ROUND(($I880*Lists!$AD$2)+($J880*Lists!$AD$3)+($K880*Lists!$AD$4)+($L880*Lists!$AD$5)+($M880*Lists!$AD$6),2))</f>
        <v/>
      </c>
      <c r="O880" s="103" t="str">
        <f aca="false">IF($A880="","",IFERROR(VLOOKUP($A880,'Risk Register'!$B$2:$I$1000,8,FALSE()),""))</f>
        <v/>
      </c>
      <c r="P880" s="106"/>
      <c r="Q880" s="106"/>
      <c r="R880" s="106"/>
      <c r="S880" s="106"/>
      <c r="T880" s="103" t="str">
        <f aca="false">IF(OR($B880="", $P880="", $Q880="", $R880="", $S880=""),"",ROUND(($P880*Lists!$AD$7)+($Q880*Lists!$AD$8)+($R880*Lists!$AD$9)+($S880*Lists!$AD$10),2))</f>
        <v/>
      </c>
      <c r="U880" s="106"/>
      <c r="V880" s="106"/>
      <c r="W880" s="106"/>
      <c r="X880" s="106"/>
      <c r="Y880" s="106"/>
      <c r="Z880" s="103" t="str">
        <f aca="false">IF(OR($B880="", $U880="", $V880="", $W880="", $X880="", $Y880=""),"",ROUND(($U880*Lists!$AD$11)+($V880*Lists!$AD$12)+($W880*Lists!$AD$13)+($X880*Lists!$AD$14)+($Y880*Lists!$AD$15),2))</f>
        <v/>
      </c>
      <c r="AA880" s="103" t="str">
        <f aca="false">IF(OR($B880="", $N880="", $O880="", $T880="", $Z880=""),"",ROUND(($N880*Lists!$AD$16)-($O880*Lists!$AD$17)-($T880*Lists!$AD$18)+($Z880*Lists!$AD$19),2))</f>
        <v/>
      </c>
      <c r="AB880" s="102" t="str">
        <f aca="false">IF(OR($B880="", $N880="", $Z880=""),"",IF($N880&gt;=Lists!$AG$2,IF($Z880&gt;=Lists!$AG$3,"Invest","Migrate"),IF($Z880&gt;=Lists!$AG$3,"Tolerate","Eliminate")))</f>
        <v/>
      </c>
      <c r="AC880" s="102" t="str">
        <f aca="false">IF($B880="","",IF($J880&gt;=4,"Yes",""))</f>
        <v/>
      </c>
      <c r="AD880" s="102" t="str">
        <f aca="false">IF($A880="","",IFERROR(IF(VLOOKUP($A880,'Risk Register'!$B$2:$H$1000,4,FALSE())&gt;=4,"Yes",""),""))</f>
        <v/>
      </c>
      <c r="AE880" s="102" t="str">
        <f aca="false">IF(OR($N880="", $O880=""),"",IF($N880&gt;=Lists!$AG$2,IF($O880&gt;=Lists!$AG$4,"High Value / High Risk","High Value / Low Risk"),IF($O880&gt;=Lists!$AG$4,"Low Value / High Risk","Low Value / Low Risk")))</f>
        <v/>
      </c>
      <c r="AF880" s="101"/>
      <c r="AG880" s="126"/>
      <c r="AH880" s="106" t="str">
        <f aca="false">IF($B880="","",COUNTIFS('Debt Backlog'!$AF$2:$AF$1000,$A880,'Debt Backlog'!$B$2:$B$1000,"&lt;&gt;",'Debt Backlog'!$N$2:$N$1000,"&lt;&gt;Done",'Debt Backlog'!$N$2:$N$1000,"&lt;&gt;Won't Fix",'Debt Backlog'!$N$2:$N$1000,"&lt;&gt;Duplicate"))</f>
        <v/>
      </c>
      <c r="AI880" s="103" t="str">
        <f aca="false">IF($B880="","",ROUND(SUMIFS('Debt Backlog'!$L$2:$L$1000,'Debt Backlog'!$AF$2:$AF$1000,$A880,'Debt Backlog'!$B$2:$B$1000,"&lt;&gt;",'Debt Backlog'!$N$2:$N$1000,"&lt;&gt;Done",'Debt Backlog'!$N$2:$N$1000,"&lt;&gt;Won't Fix",'Debt Backlog'!$N$2:$N$1000,"&lt;&gt;Duplicate"),2))</f>
        <v/>
      </c>
    </row>
    <row r="881" customFormat="false" ht="15.75" hidden="false" customHeight="true" outlineLevel="0" collapsed="false">
      <c r="A881" s="125"/>
      <c r="B881" s="101"/>
      <c r="C881" s="101"/>
      <c r="D881" s="101"/>
      <c r="E881" s="101"/>
      <c r="F881" s="101"/>
      <c r="G881" s="101"/>
      <c r="H881" s="101"/>
      <c r="I881" s="106"/>
      <c r="J881" s="106"/>
      <c r="K881" s="106"/>
      <c r="L881" s="106"/>
      <c r="M881" s="106"/>
      <c r="N881" s="103" t="str">
        <f aca="false">IF(OR($B881="", $I881="", $J881="", $K881="", $L881="", $M881=""),"",ROUND(($I881*Lists!$AD$2)+($J881*Lists!$AD$3)+($K881*Lists!$AD$4)+($L881*Lists!$AD$5)+($M881*Lists!$AD$6),2))</f>
        <v/>
      </c>
      <c r="O881" s="103" t="str">
        <f aca="false">IF($A881="","",IFERROR(VLOOKUP($A881,'Risk Register'!$B$2:$I$1000,8,FALSE()),""))</f>
        <v/>
      </c>
      <c r="P881" s="106"/>
      <c r="Q881" s="106"/>
      <c r="R881" s="106"/>
      <c r="S881" s="106"/>
      <c r="T881" s="103" t="str">
        <f aca="false">IF(OR($B881="", $P881="", $Q881="", $R881="", $S881=""),"",ROUND(($P881*Lists!$AD$7)+($Q881*Lists!$AD$8)+($R881*Lists!$AD$9)+($S881*Lists!$AD$10),2))</f>
        <v/>
      </c>
      <c r="U881" s="106"/>
      <c r="V881" s="106"/>
      <c r="W881" s="106"/>
      <c r="X881" s="106"/>
      <c r="Y881" s="106"/>
      <c r="Z881" s="103" t="str">
        <f aca="false">IF(OR($B881="", $U881="", $V881="", $W881="", $X881="", $Y881=""),"",ROUND(($U881*Lists!$AD$11)+($V881*Lists!$AD$12)+($W881*Lists!$AD$13)+($X881*Lists!$AD$14)+($Y881*Lists!$AD$15),2))</f>
        <v/>
      </c>
      <c r="AA881" s="103" t="str">
        <f aca="false">IF(OR($B881="", $N881="", $O881="", $T881="", $Z881=""),"",ROUND(($N881*Lists!$AD$16)-($O881*Lists!$AD$17)-($T881*Lists!$AD$18)+($Z881*Lists!$AD$19),2))</f>
        <v/>
      </c>
      <c r="AB881" s="102" t="str">
        <f aca="false">IF(OR($B881="", $N881="", $Z881=""),"",IF($N881&gt;=Lists!$AG$2,IF($Z881&gt;=Lists!$AG$3,"Invest","Migrate"),IF($Z881&gt;=Lists!$AG$3,"Tolerate","Eliminate")))</f>
        <v/>
      </c>
      <c r="AC881" s="102" t="str">
        <f aca="false">IF($B881="","",IF($J881&gt;=4,"Yes",""))</f>
        <v/>
      </c>
      <c r="AD881" s="102" t="str">
        <f aca="false">IF($A881="","",IFERROR(IF(VLOOKUP($A881,'Risk Register'!$B$2:$H$1000,4,FALSE())&gt;=4,"Yes",""),""))</f>
        <v/>
      </c>
      <c r="AE881" s="102" t="str">
        <f aca="false">IF(OR($N881="", $O881=""),"",IF($N881&gt;=Lists!$AG$2,IF($O881&gt;=Lists!$AG$4,"High Value / High Risk","High Value / Low Risk"),IF($O881&gt;=Lists!$AG$4,"Low Value / High Risk","Low Value / Low Risk")))</f>
        <v/>
      </c>
      <c r="AF881" s="101"/>
      <c r="AG881" s="126"/>
      <c r="AH881" s="106" t="str">
        <f aca="false">IF($B881="","",COUNTIFS('Debt Backlog'!$AF$2:$AF$1000,$A881,'Debt Backlog'!$B$2:$B$1000,"&lt;&gt;",'Debt Backlog'!$N$2:$N$1000,"&lt;&gt;Done",'Debt Backlog'!$N$2:$N$1000,"&lt;&gt;Won't Fix",'Debt Backlog'!$N$2:$N$1000,"&lt;&gt;Duplicate"))</f>
        <v/>
      </c>
      <c r="AI881" s="103" t="str">
        <f aca="false">IF($B881="","",ROUND(SUMIFS('Debt Backlog'!$L$2:$L$1000,'Debt Backlog'!$AF$2:$AF$1000,$A881,'Debt Backlog'!$B$2:$B$1000,"&lt;&gt;",'Debt Backlog'!$N$2:$N$1000,"&lt;&gt;Done",'Debt Backlog'!$N$2:$N$1000,"&lt;&gt;Won't Fix",'Debt Backlog'!$N$2:$N$1000,"&lt;&gt;Duplicate"),2))</f>
        <v/>
      </c>
    </row>
    <row r="882" customFormat="false" ht="15.75" hidden="false" customHeight="true" outlineLevel="0" collapsed="false">
      <c r="A882" s="125"/>
      <c r="B882" s="101"/>
      <c r="C882" s="101"/>
      <c r="D882" s="101"/>
      <c r="E882" s="101"/>
      <c r="F882" s="101"/>
      <c r="G882" s="101"/>
      <c r="H882" s="101"/>
      <c r="I882" s="106"/>
      <c r="J882" s="106"/>
      <c r="K882" s="106"/>
      <c r="L882" s="106"/>
      <c r="M882" s="106"/>
      <c r="N882" s="103" t="str">
        <f aca="false">IF(OR($B882="", $I882="", $J882="", $K882="", $L882="", $M882=""),"",ROUND(($I882*Lists!$AD$2)+($J882*Lists!$AD$3)+($K882*Lists!$AD$4)+($L882*Lists!$AD$5)+($M882*Lists!$AD$6),2))</f>
        <v/>
      </c>
      <c r="O882" s="103" t="str">
        <f aca="false">IF($A882="","",IFERROR(VLOOKUP($A882,'Risk Register'!$B$2:$I$1000,8,FALSE()),""))</f>
        <v/>
      </c>
      <c r="P882" s="106"/>
      <c r="Q882" s="106"/>
      <c r="R882" s="106"/>
      <c r="S882" s="106"/>
      <c r="T882" s="103" t="str">
        <f aca="false">IF(OR($B882="", $P882="", $Q882="", $R882="", $S882=""),"",ROUND(($P882*Lists!$AD$7)+($Q882*Lists!$AD$8)+($R882*Lists!$AD$9)+($S882*Lists!$AD$10),2))</f>
        <v/>
      </c>
      <c r="U882" s="106"/>
      <c r="V882" s="106"/>
      <c r="W882" s="106"/>
      <c r="X882" s="106"/>
      <c r="Y882" s="106"/>
      <c r="Z882" s="103" t="str">
        <f aca="false">IF(OR($B882="", $U882="", $V882="", $W882="", $X882="", $Y882=""),"",ROUND(($U882*Lists!$AD$11)+($V882*Lists!$AD$12)+($W882*Lists!$AD$13)+($X882*Lists!$AD$14)+($Y882*Lists!$AD$15),2))</f>
        <v/>
      </c>
      <c r="AA882" s="103" t="str">
        <f aca="false">IF(OR($B882="", $N882="", $O882="", $T882="", $Z882=""),"",ROUND(($N882*Lists!$AD$16)-($O882*Lists!$AD$17)-($T882*Lists!$AD$18)+($Z882*Lists!$AD$19),2))</f>
        <v/>
      </c>
      <c r="AB882" s="102" t="str">
        <f aca="false">IF(OR($B882="", $N882="", $Z882=""),"",IF($N882&gt;=Lists!$AG$2,IF($Z882&gt;=Lists!$AG$3,"Invest","Migrate"),IF($Z882&gt;=Lists!$AG$3,"Tolerate","Eliminate")))</f>
        <v/>
      </c>
      <c r="AC882" s="102" t="str">
        <f aca="false">IF($B882="","",IF($J882&gt;=4,"Yes",""))</f>
        <v/>
      </c>
      <c r="AD882" s="102" t="str">
        <f aca="false">IF($A882="","",IFERROR(IF(VLOOKUP($A882,'Risk Register'!$B$2:$H$1000,4,FALSE())&gt;=4,"Yes",""),""))</f>
        <v/>
      </c>
      <c r="AE882" s="102" t="str">
        <f aca="false">IF(OR($N882="", $O882=""),"",IF($N882&gt;=Lists!$AG$2,IF($O882&gt;=Lists!$AG$4,"High Value / High Risk","High Value / Low Risk"),IF($O882&gt;=Lists!$AG$4,"Low Value / High Risk","Low Value / Low Risk")))</f>
        <v/>
      </c>
      <c r="AF882" s="101"/>
      <c r="AG882" s="126"/>
      <c r="AH882" s="106" t="str">
        <f aca="false">IF($B882="","",COUNTIFS('Debt Backlog'!$AF$2:$AF$1000,$A882,'Debt Backlog'!$B$2:$B$1000,"&lt;&gt;",'Debt Backlog'!$N$2:$N$1000,"&lt;&gt;Done",'Debt Backlog'!$N$2:$N$1000,"&lt;&gt;Won't Fix",'Debt Backlog'!$N$2:$N$1000,"&lt;&gt;Duplicate"))</f>
        <v/>
      </c>
      <c r="AI882" s="103" t="str">
        <f aca="false">IF($B882="","",ROUND(SUMIFS('Debt Backlog'!$L$2:$L$1000,'Debt Backlog'!$AF$2:$AF$1000,$A882,'Debt Backlog'!$B$2:$B$1000,"&lt;&gt;",'Debt Backlog'!$N$2:$N$1000,"&lt;&gt;Done",'Debt Backlog'!$N$2:$N$1000,"&lt;&gt;Won't Fix",'Debt Backlog'!$N$2:$N$1000,"&lt;&gt;Duplicate"),2))</f>
        <v/>
      </c>
    </row>
    <row r="883" customFormat="false" ht="15.75" hidden="false" customHeight="true" outlineLevel="0" collapsed="false">
      <c r="A883" s="125"/>
      <c r="B883" s="101"/>
      <c r="C883" s="101"/>
      <c r="D883" s="101"/>
      <c r="E883" s="101"/>
      <c r="F883" s="101"/>
      <c r="G883" s="101"/>
      <c r="H883" s="101"/>
      <c r="I883" s="106"/>
      <c r="J883" s="106"/>
      <c r="K883" s="106"/>
      <c r="L883" s="106"/>
      <c r="M883" s="106"/>
      <c r="N883" s="103" t="str">
        <f aca="false">IF(OR($B883="", $I883="", $J883="", $K883="", $L883="", $M883=""),"",ROUND(($I883*Lists!$AD$2)+($J883*Lists!$AD$3)+($K883*Lists!$AD$4)+($L883*Lists!$AD$5)+($M883*Lists!$AD$6),2))</f>
        <v/>
      </c>
      <c r="O883" s="103" t="str">
        <f aca="false">IF($A883="","",IFERROR(VLOOKUP($A883,'Risk Register'!$B$2:$I$1000,8,FALSE()),""))</f>
        <v/>
      </c>
      <c r="P883" s="106"/>
      <c r="Q883" s="106"/>
      <c r="R883" s="106"/>
      <c r="S883" s="106"/>
      <c r="T883" s="103" t="str">
        <f aca="false">IF(OR($B883="", $P883="", $Q883="", $R883="", $S883=""),"",ROUND(($P883*Lists!$AD$7)+($Q883*Lists!$AD$8)+($R883*Lists!$AD$9)+($S883*Lists!$AD$10),2))</f>
        <v/>
      </c>
      <c r="U883" s="106"/>
      <c r="V883" s="106"/>
      <c r="W883" s="106"/>
      <c r="X883" s="106"/>
      <c r="Y883" s="106"/>
      <c r="Z883" s="103" t="str">
        <f aca="false">IF(OR($B883="", $U883="", $V883="", $W883="", $X883="", $Y883=""),"",ROUND(($U883*Lists!$AD$11)+($V883*Lists!$AD$12)+($W883*Lists!$AD$13)+($X883*Lists!$AD$14)+($Y883*Lists!$AD$15),2))</f>
        <v/>
      </c>
      <c r="AA883" s="103" t="str">
        <f aca="false">IF(OR($B883="", $N883="", $O883="", $T883="", $Z883=""),"",ROUND(($N883*Lists!$AD$16)-($O883*Lists!$AD$17)-($T883*Lists!$AD$18)+($Z883*Lists!$AD$19),2))</f>
        <v/>
      </c>
      <c r="AB883" s="102" t="str">
        <f aca="false">IF(OR($B883="", $N883="", $Z883=""),"",IF($N883&gt;=Lists!$AG$2,IF($Z883&gt;=Lists!$AG$3,"Invest","Migrate"),IF($Z883&gt;=Lists!$AG$3,"Tolerate","Eliminate")))</f>
        <v/>
      </c>
      <c r="AC883" s="102" t="str">
        <f aca="false">IF($B883="","",IF($J883&gt;=4,"Yes",""))</f>
        <v/>
      </c>
      <c r="AD883" s="102" t="str">
        <f aca="false">IF($A883="","",IFERROR(IF(VLOOKUP($A883,'Risk Register'!$B$2:$H$1000,4,FALSE())&gt;=4,"Yes",""),""))</f>
        <v/>
      </c>
      <c r="AE883" s="102" t="str">
        <f aca="false">IF(OR($N883="", $O883=""),"",IF($N883&gt;=Lists!$AG$2,IF($O883&gt;=Lists!$AG$4,"High Value / High Risk","High Value / Low Risk"),IF($O883&gt;=Lists!$AG$4,"Low Value / High Risk","Low Value / Low Risk")))</f>
        <v/>
      </c>
      <c r="AF883" s="101"/>
      <c r="AG883" s="126"/>
      <c r="AH883" s="106" t="str">
        <f aca="false">IF($B883="","",COUNTIFS('Debt Backlog'!$AF$2:$AF$1000,$A883,'Debt Backlog'!$B$2:$B$1000,"&lt;&gt;",'Debt Backlog'!$N$2:$N$1000,"&lt;&gt;Done",'Debt Backlog'!$N$2:$N$1000,"&lt;&gt;Won't Fix",'Debt Backlog'!$N$2:$N$1000,"&lt;&gt;Duplicate"))</f>
        <v/>
      </c>
      <c r="AI883" s="103" t="str">
        <f aca="false">IF($B883="","",ROUND(SUMIFS('Debt Backlog'!$L$2:$L$1000,'Debt Backlog'!$AF$2:$AF$1000,$A883,'Debt Backlog'!$B$2:$B$1000,"&lt;&gt;",'Debt Backlog'!$N$2:$N$1000,"&lt;&gt;Done",'Debt Backlog'!$N$2:$N$1000,"&lt;&gt;Won't Fix",'Debt Backlog'!$N$2:$N$1000,"&lt;&gt;Duplicate"),2))</f>
        <v/>
      </c>
    </row>
    <row r="884" customFormat="false" ht="15.75" hidden="false" customHeight="true" outlineLevel="0" collapsed="false">
      <c r="A884" s="125"/>
      <c r="B884" s="101"/>
      <c r="C884" s="101"/>
      <c r="D884" s="101"/>
      <c r="E884" s="101"/>
      <c r="F884" s="101"/>
      <c r="G884" s="101"/>
      <c r="H884" s="101"/>
      <c r="I884" s="106"/>
      <c r="J884" s="106"/>
      <c r="K884" s="106"/>
      <c r="L884" s="106"/>
      <c r="M884" s="106"/>
      <c r="N884" s="103" t="str">
        <f aca="false">IF(OR($B884="", $I884="", $J884="", $K884="", $L884="", $M884=""),"",ROUND(($I884*Lists!$AD$2)+($J884*Lists!$AD$3)+($K884*Lists!$AD$4)+($L884*Lists!$AD$5)+($M884*Lists!$AD$6),2))</f>
        <v/>
      </c>
      <c r="O884" s="103" t="str">
        <f aca="false">IF($A884="","",IFERROR(VLOOKUP($A884,'Risk Register'!$B$2:$I$1000,8,FALSE()),""))</f>
        <v/>
      </c>
      <c r="P884" s="106"/>
      <c r="Q884" s="106"/>
      <c r="R884" s="106"/>
      <c r="S884" s="106"/>
      <c r="T884" s="103" t="str">
        <f aca="false">IF(OR($B884="", $P884="", $Q884="", $R884="", $S884=""),"",ROUND(($P884*Lists!$AD$7)+($Q884*Lists!$AD$8)+($R884*Lists!$AD$9)+($S884*Lists!$AD$10),2))</f>
        <v/>
      </c>
      <c r="U884" s="106"/>
      <c r="V884" s="106"/>
      <c r="W884" s="106"/>
      <c r="X884" s="106"/>
      <c r="Y884" s="106"/>
      <c r="Z884" s="103" t="str">
        <f aca="false">IF(OR($B884="", $U884="", $V884="", $W884="", $X884="", $Y884=""),"",ROUND(($U884*Lists!$AD$11)+($V884*Lists!$AD$12)+($W884*Lists!$AD$13)+($X884*Lists!$AD$14)+($Y884*Lists!$AD$15),2))</f>
        <v/>
      </c>
      <c r="AA884" s="103" t="str">
        <f aca="false">IF(OR($B884="", $N884="", $O884="", $T884="", $Z884=""),"",ROUND(($N884*Lists!$AD$16)-($O884*Lists!$AD$17)-($T884*Lists!$AD$18)+($Z884*Lists!$AD$19),2))</f>
        <v/>
      </c>
      <c r="AB884" s="102" t="str">
        <f aca="false">IF(OR($B884="", $N884="", $Z884=""),"",IF($N884&gt;=Lists!$AG$2,IF($Z884&gt;=Lists!$AG$3,"Invest","Migrate"),IF($Z884&gt;=Lists!$AG$3,"Tolerate","Eliminate")))</f>
        <v/>
      </c>
      <c r="AC884" s="102" t="str">
        <f aca="false">IF($B884="","",IF($J884&gt;=4,"Yes",""))</f>
        <v/>
      </c>
      <c r="AD884" s="102" t="str">
        <f aca="false">IF($A884="","",IFERROR(IF(VLOOKUP($A884,'Risk Register'!$B$2:$H$1000,4,FALSE())&gt;=4,"Yes",""),""))</f>
        <v/>
      </c>
      <c r="AE884" s="102" t="str">
        <f aca="false">IF(OR($N884="", $O884=""),"",IF($N884&gt;=Lists!$AG$2,IF($O884&gt;=Lists!$AG$4,"High Value / High Risk","High Value / Low Risk"),IF($O884&gt;=Lists!$AG$4,"Low Value / High Risk","Low Value / Low Risk")))</f>
        <v/>
      </c>
      <c r="AF884" s="101"/>
      <c r="AG884" s="126"/>
      <c r="AH884" s="106" t="str">
        <f aca="false">IF($B884="","",COUNTIFS('Debt Backlog'!$AF$2:$AF$1000,$A884,'Debt Backlog'!$B$2:$B$1000,"&lt;&gt;",'Debt Backlog'!$N$2:$N$1000,"&lt;&gt;Done",'Debt Backlog'!$N$2:$N$1000,"&lt;&gt;Won't Fix",'Debt Backlog'!$N$2:$N$1000,"&lt;&gt;Duplicate"))</f>
        <v/>
      </c>
      <c r="AI884" s="103" t="str">
        <f aca="false">IF($B884="","",ROUND(SUMIFS('Debt Backlog'!$L$2:$L$1000,'Debt Backlog'!$AF$2:$AF$1000,$A884,'Debt Backlog'!$B$2:$B$1000,"&lt;&gt;",'Debt Backlog'!$N$2:$N$1000,"&lt;&gt;Done",'Debt Backlog'!$N$2:$N$1000,"&lt;&gt;Won't Fix",'Debt Backlog'!$N$2:$N$1000,"&lt;&gt;Duplicate"),2))</f>
        <v/>
      </c>
    </row>
    <row r="885" customFormat="false" ht="15.75" hidden="false" customHeight="true" outlineLevel="0" collapsed="false">
      <c r="A885" s="125"/>
      <c r="B885" s="101"/>
      <c r="C885" s="101"/>
      <c r="D885" s="101"/>
      <c r="E885" s="101"/>
      <c r="F885" s="101"/>
      <c r="G885" s="101"/>
      <c r="H885" s="101"/>
      <c r="I885" s="106"/>
      <c r="J885" s="106"/>
      <c r="K885" s="106"/>
      <c r="L885" s="106"/>
      <c r="M885" s="106"/>
      <c r="N885" s="103" t="str">
        <f aca="false">IF(OR($B885="", $I885="", $J885="", $K885="", $L885="", $M885=""),"",ROUND(($I885*Lists!$AD$2)+($J885*Lists!$AD$3)+($K885*Lists!$AD$4)+($L885*Lists!$AD$5)+($M885*Lists!$AD$6),2))</f>
        <v/>
      </c>
      <c r="O885" s="103" t="str">
        <f aca="false">IF($A885="","",IFERROR(VLOOKUP($A885,'Risk Register'!$B$2:$I$1000,8,FALSE()),""))</f>
        <v/>
      </c>
      <c r="P885" s="106"/>
      <c r="Q885" s="106"/>
      <c r="R885" s="106"/>
      <c r="S885" s="106"/>
      <c r="T885" s="103" t="str">
        <f aca="false">IF(OR($B885="", $P885="", $Q885="", $R885="", $S885=""),"",ROUND(($P885*Lists!$AD$7)+($Q885*Lists!$AD$8)+($R885*Lists!$AD$9)+($S885*Lists!$AD$10),2))</f>
        <v/>
      </c>
      <c r="U885" s="106"/>
      <c r="V885" s="106"/>
      <c r="W885" s="106"/>
      <c r="X885" s="106"/>
      <c r="Y885" s="106"/>
      <c r="Z885" s="103" t="str">
        <f aca="false">IF(OR($B885="", $U885="", $V885="", $W885="", $X885="", $Y885=""),"",ROUND(($U885*Lists!$AD$11)+($V885*Lists!$AD$12)+($W885*Lists!$AD$13)+($X885*Lists!$AD$14)+($Y885*Lists!$AD$15),2))</f>
        <v/>
      </c>
      <c r="AA885" s="103" t="str">
        <f aca="false">IF(OR($B885="", $N885="", $O885="", $T885="", $Z885=""),"",ROUND(($N885*Lists!$AD$16)-($O885*Lists!$AD$17)-($T885*Lists!$AD$18)+($Z885*Lists!$AD$19),2))</f>
        <v/>
      </c>
      <c r="AB885" s="102" t="str">
        <f aca="false">IF(OR($B885="", $N885="", $Z885=""),"",IF($N885&gt;=Lists!$AG$2,IF($Z885&gt;=Lists!$AG$3,"Invest","Migrate"),IF($Z885&gt;=Lists!$AG$3,"Tolerate","Eliminate")))</f>
        <v/>
      </c>
      <c r="AC885" s="102" t="str">
        <f aca="false">IF($B885="","",IF($J885&gt;=4,"Yes",""))</f>
        <v/>
      </c>
      <c r="AD885" s="102" t="str">
        <f aca="false">IF($A885="","",IFERROR(IF(VLOOKUP($A885,'Risk Register'!$B$2:$H$1000,4,FALSE())&gt;=4,"Yes",""),""))</f>
        <v/>
      </c>
      <c r="AE885" s="102" t="str">
        <f aca="false">IF(OR($N885="", $O885=""),"",IF($N885&gt;=Lists!$AG$2,IF($O885&gt;=Lists!$AG$4,"High Value / High Risk","High Value / Low Risk"),IF($O885&gt;=Lists!$AG$4,"Low Value / High Risk","Low Value / Low Risk")))</f>
        <v/>
      </c>
      <c r="AF885" s="101"/>
      <c r="AG885" s="126"/>
      <c r="AH885" s="106" t="str">
        <f aca="false">IF($B885="","",COUNTIFS('Debt Backlog'!$AF$2:$AF$1000,$A885,'Debt Backlog'!$B$2:$B$1000,"&lt;&gt;",'Debt Backlog'!$N$2:$N$1000,"&lt;&gt;Done",'Debt Backlog'!$N$2:$N$1000,"&lt;&gt;Won't Fix",'Debt Backlog'!$N$2:$N$1000,"&lt;&gt;Duplicate"))</f>
        <v/>
      </c>
      <c r="AI885" s="103" t="str">
        <f aca="false">IF($B885="","",ROUND(SUMIFS('Debt Backlog'!$L$2:$L$1000,'Debt Backlog'!$AF$2:$AF$1000,$A885,'Debt Backlog'!$B$2:$B$1000,"&lt;&gt;",'Debt Backlog'!$N$2:$N$1000,"&lt;&gt;Done",'Debt Backlog'!$N$2:$N$1000,"&lt;&gt;Won't Fix",'Debt Backlog'!$N$2:$N$1000,"&lt;&gt;Duplicate"),2))</f>
        <v/>
      </c>
    </row>
    <row r="886" customFormat="false" ht="15.75" hidden="false" customHeight="true" outlineLevel="0" collapsed="false">
      <c r="A886" s="125"/>
      <c r="B886" s="101"/>
      <c r="C886" s="101"/>
      <c r="D886" s="101"/>
      <c r="E886" s="101"/>
      <c r="F886" s="101"/>
      <c r="G886" s="101"/>
      <c r="H886" s="101"/>
      <c r="I886" s="106"/>
      <c r="J886" s="106"/>
      <c r="K886" s="106"/>
      <c r="L886" s="106"/>
      <c r="M886" s="106"/>
      <c r="N886" s="103" t="str">
        <f aca="false">IF(OR($B886="", $I886="", $J886="", $K886="", $L886="", $M886=""),"",ROUND(($I886*Lists!$AD$2)+($J886*Lists!$AD$3)+($K886*Lists!$AD$4)+($L886*Lists!$AD$5)+($M886*Lists!$AD$6),2))</f>
        <v/>
      </c>
      <c r="O886" s="103" t="str">
        <f aca="false">IF($A886="","",IFERROR(VLOOKUP($A886,'Risk Register'!$B$2:$I$1000,8,FALSE()),""))</f>
        <v/>
      </c>
      <c r="P886" s="106"/>
      <c r="Q886" s="106"/>
      <c r="R886" s="106"/>
      <c r="S886" s="106"/>
      <c r="T886" s="103" t="str">
        <f aca="false">IF(OR($B886="", $P886="", $Q886="", $R886="", $S886=""),"",ROUND(($P886*Lists!$AD$7)+($Q886*Lists!$AD$8)+($R886*Lists!$AD$9)+($S886*Lists!$AD$10),2))</f>
        <v/>
      </c>
      <c r="U886" s="106"/>
      <c r="V886" s="106"/>
      <c r="W886" s="106"/>
      <c r="X886" s="106"/>
      <c r="Y886" s="106"/>
      <c r="Z886" s="103" t="str">
        <f aca="false">IF(OR($B886="", $U886="", $V886="", $W886="", $X886="", $Y886=""),"",ROUND(($U886*Lists!$AD$11)+($V886*Lists!$AD$12)+($W886*Lists!$AD$13)+($X886*Lists!$AD$14)+($Y886*Lists!$AD$15),2))</f>
        <v/>
      </c>
      <c r="AA886" s="103" t="str">
        <f aca="false">IF(OR($B886="", $N886="", $O886="", $T886="", $Z886=""),"",ROUND(($N886*Lists!$AD$16)-($O886*Lists!$AD$17)-($T886*Lists!$AD$18)+($Z886*Lists!$AD$19),2))</f>
        <v/>
      </c>
      <c r="AB886" s="102" t="str">
        <f aca="false">IF(OR($B886="", $N886="", $Z886=""),"",IF($N886&gt;=Lists!$AG$2,IF($Z886&gt;=Lists!$AG$3,"Invest","Migrate"),IF($Z886&gt;=Lists!$AG$3,"Tolerate","Eliminate")))</f>
        <v/>
      </c>
      <c r="AC886" s="102" t="str">
        <f aca="false">IF($B886="","",IF($J886&gt;=4,"Yes",""))</f>
        <v/>
      </c>
      <c r="AD886" s="102" t="str">
        <f aca="false">IF($A886="","",IFERROR(IF(VLOOKUP($A886,'Risk Register'!$B$2:$H$1000,4,FALSE())&gt;=4,"Yes",""),""))</f>
        <v/>
      </c>
      <c r="AE886" s="102" t="str">
        <f aca="false">IF(OR($N886="", $O886=""),"",IF($N886&gt;=Lists!$AG$2,IF($O886&gt;=Lists!$AG$4,"High Value / High Risk","High Value / Low Risk"),IF($O886&gt;=Lists!$AG$4,"Low Value / High Risk","Low Value / Low Risk")))</f>
        <v/>
      </c>
      <c r="AF886" s="101"/>
      <c r="AG886" s="126"/>
      <c r="AH886" s="106" t="str">
        <f aca="false">IF($B886="","",COUNTIFS('Debt Backlog'!$AF$2:$AF$1000,$A886,'Debt Backlog'!$B$2:$B$1000,"&lt;&gt;",'Debt Backlog'!$N$2:$N$1000,"&lt;&gt;Done",'Debt Backlog'!$N$2:$N$1000,"&lt;&gt;Won't Fix",'Debt Backlog'!$N$2:$N$1000,"&lt;&gt;Duplicate"))</f>
        <v/>
      </c>
      <c r="AI886" s="103" t="str">
        <f aca="false">IF($B886="","",ROUND(SUMIFS('Debt Backlog'!$L$2:$L$1000,'Debt Backlog'!$AF$2:$AF$1000,$A886,'Debt Backlog'!$B$2:$B$1000,"&lt;&gt;",'Debt Backlog'!$N$2:$N$1000,"&lt;&gt;Done",'Debt Backlog'!$N$2:$N$1000,"&lt;&gt;Won't Fix",'Debt Backlog'!$N$2:$N$1000,"&lt;&gt;Duplicate"),2))</f>
        <v/>
      </c>
    </row>
    <row r="887" customFormat="false" ht="15.75" hidden="false" customHeight="true" outlineLevel="0" collapsed="false">
      <c r="A887" s="125"/>
      <c r="B887" s="101"/>
      <c r="C887" s="101"/>
      <c r="D887" s="101"/>
      <c r="E887" s="101"/>
      <c r="F887" s="101"/>
      <c r="G887" s="101"/>
      <c r="H887" s="101"/>
      <c r="I887" s="106"/>
      <c r="J887" s="106"/>
      <c r="K887" s="106"/>
      <c r="L887" s="106"/>
      <c r="M887" s="106"/>
      <c r="N887" s="103" t="str">
        <f aca="false">IF(OR($B887="", $I887="", $J887="", $K887="", $L887="", $M887=""),"",ROUND(($I887*Lists!$AD$2)+($J887*Lists!$AD$3)+($K887*Lists!$AD$4)+($L887*Lists!$AD$5)+($M887*Lists!$AD$6),2))</f>
        <v/>
      </c>
      <c r="O887" s="103" t="str">
        <f aca="false">IF($A887="","",IFERROR(VLOOKUP($A887,'Risk Register'!$B$2:$I$1000,8,FALSE()),""))</f>
        <v/>
      </c>
      <c r="P887" s="106"/>
      <c r="Q887" s="106"/>
      <c r="R887" s="106"/>
      <c r="S887" s="106"/>
      <c r="T887" s="103" t="str">
        <f aca="false">IF(OR($B887="", $P887="", $Q887="", $R887="", $S887=""),"",ROUND(($P887*Lists!$AD$7)+($Q887*Lists!$AD$8)+($R887*Lists!$AD$9)+($S887*Lists!$AD$10),2))</f>
        <v/>
      </c>
      <c r="U887" s="106"/>
      <c r="V887" s="106"/>
      <c r="W887" s="106"/>
      <c r="X887" s="106"/>
      <c r="Y887" s="106"/>
      <c r="Z887" s="103" t="str">
        <f aca="false">IF(OR($B887="", $U887="", $V887="", $W887="", $X887="", $Y887=""),"",ROUND(($U887*Lists!$AD$11)+($V887*Lists!$AD$12)+($W887*Lists!$AD$13)+($X887*Lists!$AD$14)+($Y887*Lists!$AD$15),2))</f>
        <v/>
      </c>
      <c r="AA887" s="103" t="str">
        <f aca="false">IF(OR($B887="", $N887="", $O887="", $T887="", $Z887=""),"",ROUND(($N887*Lists!$AD$16)-($O887*Lists!$AD$17)-($T887*Lists!$AD$18)+($Z887*Lists!$AD$19),2))</f>
        <v/>
      </c>
      <c r="AB887" s="102" t="str">
        <f aca="false">IF(OR($B887="", $N887="", $Z887=""),"",IF($N887&gt;=Lists!$AG$2,IF($Z887&gt;=Lists!$AG$3,"Invest","Migrate"),IF($Z887&gt;=Lists!$AG$3,"Tolerate","Eliminate")))</f>
        <v/>
      </c>
      <c r="AC887" s="102" t="str">
        <f aca="false">IF($B887="","",IF($J887&gt;=4,"Yes",""))</f>
        <v/>
      </c>
      <c r="AD887" s="102" t="str">
        <f aca="false">IF($A887="","",IFERROR(IF(VLOOKUP($A887,'Risk Register'!$B$2:$H$1000,4,FALSE())&gt;=4,"Yes",""),""))</f>
        <v/>
      </c>
      <c r="AE887" s="102" t="str">
        <f aca="false">IF(OR($N887="", $O887=""),"",IF($N887&gt;=Lists!$AG$2,IF($O887&gt;=Lists!$AG$4,"High Value / High Risk","High Value / Low Risk"),IF($O887&gt;=Lists!$AG$4,"Low Value / High Risk","Low Value / Low Risk")))</f>
        <v/>
      </c>
      <c r="AF887" s="101"/>
      <c r="AG887" s="126"/>
      <c r="AH887" s="106" t="str">
        <f aca="false">IF($B887="","",COUNTIFS('Debt Backlog'!$AF$2:$AF$1000,$A887,'Debt Backlog'!$B$2:$B$1000,"&lt;&gt;",'Debt Backlog'!$N$2:$N$1000,"&lt;&gt;Done",'Debt Backlog'!$N$2:$N$1000,"&lt;&gt;Won't Fix",'Debt Backlog'!$N$2:$N$1000,"&lt;&gt;Duplicate"))</f>
        <v/>
      </c>
      <c r="AI887" s="103" t="str">
        <f aca="false">IF($B887="","",ROUND(SUMIFS('Debt Backlog'!$L$2:$L$1000,'Debt Backlog'!$AF$2:$AF$1000,$A887,'Debt Backlog'!$B$2:$B$1000,"&lt;&gt;",'Debt Backlog'!$N$2:$N$1000,"&lt;&gt;Done",'Debt Backlog'!$N$2:$N$1000,"&lt;&gt;Won't Fix",'Debt Backlog'!$N$2:$N$1000,"&lt;&gt;Duplicate"),2))</f>
        <v/>
      </c>
    </row>
    <row r="888" customFormat="false" ht="15.75" hidden="false" customHeight="true" outlineLevel="0" collapsed="false">
      <c r="A888" s="125"/>
      <c r="B888" s="101"/>
      <c r="C888" s="101"/>
      <c r="D888" s="101"/>
      <c r="E888" s="101"/>
      <c r="F888" s="101"/>
      <c r="G888" s="101"/>
      <c r="H888" s="101"/>
      <c r="I888" s="106"/>
      <c r="J888" s="106"/>
      <c r="K888" s="106"/>
      <c r="L888" s="106"/>
      <c r="M888" s="106"/>
      <c r="N888" s="103" t="str">
        <f aca="false">IF(OR($B888="", $I888="", $J888="", $K888="", $L888="", $M888=""),"",ROUND(($I888*Lists!$AD$2)+($J888*Lists!$AD$3)+($K888*Lists!$AD$4)+($L888*Lists!$AD$5)+($M888*Lists!$AD$6),2))</f>
        <v/>
      </c>
      <c r="O888" s="103" t="str">
        <f aca="false">IF($A888="","",IFERROR(VLOOKUP($A888,'Risk Register'!$B$2:$I$1000,8,FALSE()),""))</f>
        <v/>
      </c>
      <c r="P888" s="106"/>
      <c r="Q888" s="106"/>
      <c r="R888" s="106"/>
      <c r="S888" s="106"/>
      <c r="T888" s="103" t="str">
        <f aca="false">IF(OR($B888="", $P888="", $Q888="", $R888="", $S888=""),"",ROUND(($P888*Lists!$AD$7)+($Q888*Lists!$AD$8)+($R888*Lists!$AD$9)+($S888*Lists!$AD$10),2))</f>
        <v/>
      </c>
      <c r="U888" s="106"/>
      <c r="V888" s="106"/>
      <c r="W888" s="106"/>
      <c r="X888" s="106"/>
      <c r="Y888" s="106"/>
      <c r="Z888" s="103" t="str">
        <f aca="false">IF(OR($B888="", $U888="", $V888="", $W888="", $X888="", $Y888=""),"",ROUND(($U888*Lists!$AD$11)+($V888*Lists!$AD$12)+($W888*Lists!$AD$13)+($X888*Lists!$AD$14)+($Y888*Lists!$AD$15),2))</f>
        <v/>
      </c>
      <c r="AA888" s="103" t="str">
        <f aca="false">IF(OR($B888="", $N888="", $O888="", $T888="", $Z888=""),"",ROUND(($N888*Lists!$AD$16)-($O888*Lists!$AD$17)-($T888*Lists!$AD$18)+($Z888*Lists!$AD$19),2))</f>
        <v/>
      </c>
      <c r="AB888" s="102" t="str">
        <f aca="false">IF(OR($B888="", $N888="", $Z888=""),"",IF($N888&gt;=Lists!$AG$2,IF($Z888&gt;=Lists!$AG$3,"Invest","Migrate"),IF($Z888&gt;=Lists!$AG$3,"Tolerate","Eliminate")))</f>
        <v/>
      </c>
      <c r="AC888" s="102" t="str">
        <f aca="false">IF($B888="","",IF($J888&gt;=4,"Yes",""))</f>
        <v/>
      </c>
      <c r="AD888" s="102" t="str">
        <f aca="false">IF($A888="","",IFERROR(IF(VLOOKUP($A888,'Risk Register'!$B$2:$H$1000,4,FALSE())&gt;=4,"Yes",""),""))</f>
        <v/>
      </c>
      <c r="AE888" s="102" t="str">
        <f aca="false">IF(OR($N888="", $O888=""),"",IF($N888&gt;=Lists!$AG$2,IF($O888&gt;=Lists!$AG$4,"High Value / High Risk","High Value / Low Risk"),IF($O888&gt;=Lists!$AG$4,"Low Value / High Risk","Low Value / Low Risk")))</f>
        <v/>
      </c>
      <c r="AF888" s="101"/>
      <c r="AG888" s="126"/>
      <c r="AH888" s="106" t="str">
        <f aca="false">IF($B888="","",COUNTIFS('Debt Backlog'!$AF$2:$AF$1000,$A888,'Debt Backlog'!$B$2:$B$1000,"&lt;&gt;",'Debt Backlog'!$N$2:$N$1000,"&lt;&gt;Done",'Debt Backlog'!$N$2:$N$1000,"&lt;&gt;Won't Fix",'Debt Backlog'!$N$2:$N$1000,"&lt;&gt;Duplicate"))</f>
        <v/>
      </c>
      <c r="AI888" s="103" t="str">
        <f aca="false">IF($B888="","",ROUND(SUMIFS('Debt Backlog'!$L$2:$L$1000,'Debt Backlog'!$AF$2:$AF$1000,$A888,'Debt Backlog'!$B$2:$B$1000,"&lt;&gt;",'Debt Backlog'!$N$2:$N$1000,"&lt;&gt;Done",'Debt Backlog'!$N$2:$N$1000,"&lt;&gt;Won't Fix",'Debt Backlog'!$N$2:$N$1000,"&lt;&gt;Duplicate"),2))</f>
        <v/>
      </c>
    </row>
    <row r="889" customFormat="false" ht="15.75" hidden="false" customHeight="true" outlineLevel="0" collapsed="false">
      <c r="A889" s="125"/>
      <c r="B889" s="101"/>
      <c r="C889" s="101"/>
      <c r="D889" s="101"/>
      <c r="E889" s="101"/>
      <c r="F889" s="101"/>
      <c r="G889" s="101"/>
      <c r="H889" s="101"/>
      <c r="I889" s="106"/>
      <c r="J889" s="106"/>
      <c r="K889" s="106"/>
      <c r="L889" s="106"/>
      <c r="M889" s="106"/>
      <c r="N889" s="103" t="str">
        <f aca="false">IF(OR($B889="", $I889="", $J889="", $K889="", $L889="", $M889=""),"",ROUND(($I889*Lists!$AD$2)+($J889*Lists!$AD$3)+($K889*Lists!$AD$4)+($L889*Lists!$AD$5)+($M889*Lists!$AD$6),2))</f>
        <v/>
      </c>
      <c r="O889" s="103" t="str">
        <f aca="false">IF($A889="","",IFERROR(VLOOKUP($A889,'Risk Register'!$B$2:$I$1000,8,FALSE()),""))</f>
        <v/>
      </c>
      <c r="P889" s="106"/>
      <c r="Q889" s="106"/>
      <c r="R889" s="106"/>
      <c r="S889" s="106"/>
      <c r="T889" s="103" t="str">
        <f aca="false">IF(OR($B889="", $P889="", $Q889="", $R889="", $S889=""),"",ROUND(($P889*Lists!$AD$7)+($Q889*Lists!$AD$8)+($R889*Lists!$AD$9)+($S889*Lists!$AD$10),2))</f>
        <v/>
      </c>
      <c r="U889" s="106"/>
      <c r="V889" s="106"/>
      <c r="W889" s="106"/>
      <c r="X889" s="106"/>
      <c r="Y889" s="106"/>
      <c r="Z889" s="103" t="str">
        <f aca="false">IF(OR($B889="", $U889="", $V889="", $W889="", $X889="", $Y889=""),"",ROUND(($U889*Lists!$AD$11)+($V889*Lists!$AD$12)+($W889*Lists!$AD$13)+($X889*Lists!$AD$14)+($Y889*Lists!$AD$15),2))</f>
        <v/>
      </c>
      <c r="AA889" s="103" t="str">
        <f aca="false">IF(OR($B889="", $N889="", $O889="", $T889="", $Z889=""),"",ROUND(($N889*Lists!$AD$16)-($O889*Lists!$AD$17)-($T889*Lists!$AD$18)+($Z889*Lists!$AD$19),2))</f>
        <v/>
      </c>
      <c r="AB889" s="102" t="str">
        <f aca="false">IF(OR($B889="", $N889="", $Z889=""),"",IF($N889&gt;=Lists!$AG$2,IF($Z889&gt;=Lists!$AG$3,"Invest","Migrate"),IF($Z889&gt;=Lists!$AG$3,"Tolerate","Eliminate")))</f>
        <v/>
      </c>
      <c r="AC889" s="102" t="str">
        <f aca="false">IF($B889="","",IF($J889&gt;=4,"Yes",""))</f>
        <v/>
      </c>
      <c r="AD889" s="102" t="str">
        <f aca="false">IF($A889="","",IFERROR(IF(VLOOKUP($A889,'Risk Register'!$B$2:$H$1000,4,FALSE())&gt;=4,"Yes",""),""))</f>
        <v/>
      </c>
      <c r="AE889" s="102" t="str">
        <f aca="false">IF(OR($N889="", $O889=""),"",IF($N889&gt;=Lists!$AG$2,IF($O889&gt;=Lists!$AG$4,"High Value / High Risk","High Value / Low Risk"),IF($O889&gt;=Lists!$AG$4,"Low Value / High Risk","Low Value / Low Risk")))</f>
        <v/>
      </c>
      <c r="AF889" s="101"/>
      <c r="AG889" s="126"/>
      <c r="AH889" s="106" t="str">
        <f aca="false">IF($B889="","",COUNTIFS('Debt Backlog'!$AF$2:$AF$1000,$A889,'Debt Backlog'!$B$2:$B$1000,"&lt;&gt;",'Debt Backlog'!$N$2:$N$1000,"&lt;&gt;Done",'Debt Backlog'!$N$2:$N$1000,"&lt;&gt;Won't Fix",'Debt Backlog'!$N$2:$N$1000,"&lt;&gt;Duplicate"))</f>
        <v/>
      </c>
      <c r="AI889" s="103" t="str">
        <f aca="false">IF($B889="","",ROUND(SUMIFS('Debt Backlog'!$L$2:$L$1000,'Debt Backlog'!$AF$2:$AF$1000,$A889,'Debt Backlog'!$B$2:$B$1000,"&lt;&gt;",'Debt Backlog'!$N$2:$N$1000,"&lt;&gt;Done",'Debt Backlog'!$N$2:$N$1000,"&lt;&gt;Won't Fix",'Debt Backlog'!$N$2:$N$1000,"&lt;&gt;Duplicate"),2))</f>
        <v/>
      </c>
    </row>
    <row r="890" customFormat="false" ht="15.75" hidden="false" customHeight="true" outlineLevel="0" collapsed="false">
      <c r="A890" s="125"/>
      <c r="B890" s="101"/>
      <c r="C890" s="101"/>
      <c r="D890" s="101"/>
      <c r="E890" s="101"/>
      <c r="F890" s="101"/>
      <c r="G890" s="101"/>
      <c r="H890" s="101"/>
      <c r="I890" s="106"/>
      <c r="J890" s="106"/>
      <c r="K890" s="106"/>
      <c r="L890" s="106"/>
      <c r="M890" s="106"/>
      <c r="N890" s="103" t="str">
        <f aca="false">IF(OR($B890="", $I890="", $J890="", $K890="", $L890="", $M890=""),"",ROUND(($I890*Lists!$AD$2)+($J890*Lists!$AD$3)+($K890*Lists!$AD$4)+($L890*Lists!$AD$5)+($M890*Lists!$AD$6),2))</f>
        <v/>
      </c>
      <c r="O890" s="103" t="str">
        <f aca="false">IF($A890="","",IFERROR(VLOOKUP($A890,'Risk Register'!$B$2:$I$1000,8,FALSE()),""))</f>
        <v/>
      </c>
      <c r="P890" s="106"/>
      <c r="Q890" s="106"/>
      <c r="R890" s="106"/>
      <c r="S890" s="106"/>
      <c r="T890" s="103" t="str">
        <f aca="false">IF(OR($B890="", $P890="", $Q890="", $R890="", $S890=""),"",ROUND(($P890*Lists!$AD$7)+($Q890*Lists!$AD$8)+($R890*Lists!$AD$9)+($S890*Lists!$AD$10),2))</f>
        <v/>
      </c>
      <c r="U890" s="106"/>
      <c r="V890" s="106"/>
      <c r="W890" s="106"/>
      <c r="X890" s="106"/>
      <c r="Y890" s="106"/>
      <c r="Z890" s="103" t="str">
        <f aca="false">IF(OR($B890="", $U890="", $V890="", $W890="", $X890="", $Y890=""),"",ROUND(($U890*Lists!$AD$11)+($V890*Lists!$AD$12)+($W890*Lists!$AD$13)+($X890*Lists!$AD$14)+($Y890*Lists!$AD$15),2))</f>
        <v/>
      </c>
      <c r="AA890" s="103" t="str">
        <f aca="false">IF(OR($B890="", $N890="", $O890="", $T890="", $Z890=""),"",ROUND(($N890*Lists!$AD$16)-($O890*Lists!$AD$17)-($T890*Lists!$AD$18)+($Z890*Lists!$AD$19),2))</f>
        <v/>
      </c>
      <c r="AB890" s="102" t="str">
        <f aca="false">IF(OR($B890="", $N890="", $Z890=""),"",IF($N890&gt;=Lists!$AG$2,IF($Z890&gt;=Lists!$AG$3,"Invest","Migrate"),IF($Z890&gt;=Lists!$AG$3,"Tolerate","Eliminate")))</f>
        <v/>
      </c>
      <c r="AC890" s="102" t="str">
        <f aca="false">IF($B890="","",IF($J890&gt;=4,"Yes",""))</f>
        <v/>
      </c>
      <c r="AD890" s="102" t="str">
        <f aca="false">IF($A890="","",IFERROR(IF(VLOOKUP($A890,'Risk Register'!$B$2:$H$1000,4,FALSE())&gt;=4,"Yes",""),""))</f>
        <v/>
      </c>
      <c r="AE890" s="102" t="str">
        <f aca="false">IF(OR($N890="", $O890=""),"",IF($N890&gt;=Lists!$AG$2,IF($O890&gt;=Lists!$AG$4,"High Value / High Risk","High Value / Low Risk"),IF($O890&gt;=Lists!$AG$4,"Low Value / High Risk","Low Value / Low Risk")))</f>
        <v/>
      </c>
      <c r="AF890" s="101"/>
      <c r="AG890" s="126"/>
      <c r="AH890" s="106" t="str">
        <f aca="false">IF($B890="","",COUNTIFS('Debt Backlog'!$AF$2:$AF$1000,$A890,'Debt Backlog'!$B$2:$B$1000,"&lt;&gt;",'Debt Backlog'!$N$2:$N$1000,"&lt;&gt;Done",'Debt Backlog'!$N$2:$N$1000,"&lt;&gt;Won't Fix",'Debt Backlog'!$N$2:$N$1000,"&lt;&gt;Duplicate"))</f>
        <v/>
      </c>
      <c r="AI890" s="103" t="str">
        <f aca="false">IF($B890="","",ROUND(SUMIFS('Debt Backlog'!$L$2:$L$1000,'Debt Backlog'!$AF$2:$AF$1000,$A890,'Debt Backlog'!$B$2:$B$1000,"&lt;&gt;",'Debt Backlog'!$N$2:$N$1000,"&lt;&gt;Done",'Debt Backlog'!$N$2:$N$1000,"&lt;&gt;Won't Fix",'Debt Backlog'!$N$2:$N$1000,"&lt;&gt;Duplicate"),2))</f>
        <v/>
      </c>
    </row>
    <row r="891" customFormat="false" ht="15.75" hidden="false" customHeight="true" outlineLevel="0" collapsed="false">
      <c r="A891" s="125"/>
      <c r="B891" s="101"/>
      <c r="C891" s="101"/>
      <c r="D891" s="101"/>
      <c r="E891" s="101"/>
      <c r="F891" s="101"/>
      <c r="G891" s="101"/>
      <c r="H891" s="101"/>
      <c r="I891" s="106"/>
      <c r="J891" s="106"/>
      <c r="K891" s="106"/>
      <c r="L891" s="106"/>
      <c r="M891" s="106"/>
      <c r="N891" s="103" t="str">
        <f aca="false">IF(OR($B891="", $I891="", $J891="", $K891="", $L891="", $M891=""),"",ROUND(($I891*Lists!$AD$2)+($J891*Lists!$AD$3)+($K891*Lists!$AD$4)+($L891*Lists!$AD$5)+($M891*Lists!$AD$6),2))</f>
        <v/>
      </c>
      <c r="O891" s="103" t="str">
        <f aca="false">IF($A891="","",IFERROR(VLOOKUP($A891,'Risk Register'!$B$2:$I$1000,8,FALSE()),""))</f>
        <v/>
      </c>
      <c r="P891" s="106"/>
      <c r="Q891" s="106"/>
      <c r="R891" s="106"/>
      <c r="S891" s="106"/>
      <c r="T891" s="103" t="str">
        <f aca="false">IF(OR($B891="", $P891="", $Q891="", $R891="", $S891=""),"",ROUND(($P891*Lists!$AD$7)+($Q891*Lists!$AD$8)+($R891*Lists!$AD$9)+($S891*Lists!$AD$10),2))</f>
        <v/>
      </c>
      <c r="U891" s="106"/>
      <c r="V891" s="106"/>
      <c r="W891" s="106"/>
      <c r="X891" s="106"/>
      <c r="Y891" s="106"/>
      <c r="Z891" s="103" t="str">
        <f aca="false">IF(OR($B891="", $U891="", $V891="", $W891="", $X891="", $Y891=""),"",ROUND(($U891*Lists!$AD$11)+($V891*Lists!$AD$12)+($W891*Lists!$AD$13)+($X891*Lists!$AD$14)+($Y891*Lists!$AD$15),2))</f>
        <v/>
      </c>
      <c r="AA891" s="103" t="str">
        <f aca="false">IF(OR($B891="", $N891="", $O891="", $T891="", $Z891=""),"",ROUND(($N891*Lists!$AD$16)-($O891*Lists!$AD$17)-($T891*Lists!$AD$18)+($Z891*Lists!$AD$19),2))</f>
        <v/>
      </c>
      <c r="AB891" s="102" t="str">
        <f aca="false">IF(OR($B891="", $N891="", $Z891=""),"",IF($N891&gt;=Lists!$AG$2,IF($Z891&gt;=Lists!$AG$3,"Invest","Migrate"),IF($Z891&gt;=Lists!$AG$3,"Tolerate","Eliminate")))</f>
        <v/>
      </c>
      <c r="AC891" s="102" t="str">
        <f aca="false">IF($B891="","",IF($J891&gt;=4,"Yes",""))</f>
        <v/>
      </c>
      <c r="AD891" s="102" t="str">
        <f aca="false">IF($A891="","",IFERROR(IF(VLOOKUP($A891,'Risk Register'!$B$2:$H$1000,4,FALSE())&gt;=4,"Yes",""),""))</f>
        <v/>
      </c>
      <c r="AE891" s="102" t="str">
        <f aca="false">IF(OR($N891="", $O891=""),"",IF($N891&gt;=Lists!$AG$2,IF($O891&gt;=Lists!$AG$4,"High Value / High Risk","High Value / Low Risk"),IF($O891&gt;=Lists!$AG$4,"Low Value / High Risk","Low Value / Low Risk")))</f>
        <v/>
      </c>
      <c r="AF891" s="101"/>
      <c r="AG891" s="126"/>
      <c r="AH891" s="106" t="str">
        <f aca="false">IF($B891="","",COUNTIFS('Debt Backlog'!$AF$2:$AF$1000,$A891,'Debt Backlog'!$B$2:$B$1000,"&lt;&gt;",'Debt Backlog'!$N$2:$N$1000,"&lt;&gt;Done",'Debt Backlog'!$N$2:$N$1000,"&lt;&gt;Won't Fix",'Debt Backlog'!$N$2:$N$1000,"&lt;&gt;Duplicate"))</f>
        <v/>
      </c>
      <c r="AI891" s="103" t="str">
        <f aca="false">IF($B891="","",ROUND(SUMIFS('Debt Backlog'!$L$2:$L$1000,'Debt Backlog'!$AF$2:$AF$1000,$A891,'Debt Backlog'!$B$2:$B$1000,"&lt;&gt;",'Debt Backlog'!$N$2:$N$1000,"&lt;&gt;Done",'Debt Backlog'!$N$2:$N$1000,"&lt;&gt;Won't Fix",'Debt Backlog'!$N$2:$N$1000,"&lt;&gt;Duplicate"),2))</f>
        <v/>
      </c>
    </row>
    <row r="892" customFormat="false" ht="15.75" hidden="false" customHeight="true" outlineLevel="0" collapsed="false">
      <c r="A892" s="125"/>
      <c r="B892" s="101"/>
      <c r="C892" s="101"/>
      <c r="D892" s="101"/>
      <c r="E892" s="101"/>
      <c r="F892" s="101"/>
      <c r="G892" s="101"/>
      <c r="H892" s="101"/>
      <c r="I892" s="106"/>
      <c r="J892" s="106"/>
      <c r="K892" s="106"/>
      <c r="L892" s="106"/>
      <c r="M892" s="106"/>
      <c r="N892" s="103" t="str">
        <f aca="false">IF(OR($B892="", $I892="", $J892="", $K892="", $L892="", $M892=""),"",ROUND(($I892*Lists!$AD$2)+($J892*Lists!$AD$3)+($K892*Lists!$AD$4)+($L892*Lists!$AD$5)+($M892*Lists!$AD$6),2))</f>
        <v/>
      </c>
      <c r="O892" s="103" t="str">
        <f aca="false">IF($A892="","",IFERROR(VLOOKUP($A892,'Risk Register'!$B$2:$I$1000,8,FALSE()),""))</f>
        <v/>
      </c>
      <c r="P892" s="106"/>
      <c r="Q892" s="106"/>
      <c r="R892" s="106"/>
      <c r="S892" s="106"/>
      <c r="T892" s="103" t="str">
        <f aca="false">IF(OR($B892="", $P892="", $Q892="", $R892="", $S892=""),"",ROUND(($P892*Lists!$AD$7)+($Q892*Lists!$AD$8)+($R892*Lists!$AD$9)+($S892*Lists!$AD$10),2))</f>
        <v/>
      </c>
      <c r="U892" s="106"/>
      <c r="V892" s="106"/>
      <c r="W892" s="106"/>
      <c r="X892" s="106"/>
      <c r="Y892" s="106"/>
      <c r="Z892" s="103" t="str">
        <f aca="false">IF(OR($B892="", $U892="", $V892="", $W892="", $X892="", $Y892=""),"",ROUND(($U892*Lists!$AD$11)+($V892*Lists!$AD$12)+($W892*Lists!$AD$13)+($X892*Lists!$AD$14)+($Y892*Lists!$AD$15),2))</f>
        <v/>
      </c>
      <c r="AA892" s="103" t="str">
        <f aca="false">IF(OR($B892="", $N892="", $O892="", $T892="", $Z892=""),"",ROUND(($N892*Lists!$AD$16)-($O892*Lists!$AD$17)-($T892*Lists!$AD$18)+($Z892*Lists!$AD$19),2))</f>
        <v/>
      </c>
      <c r="AB892" s="102" t="str">
        <f aca="false">IF(OR($B892="", $N892="", $Z892=""),"",IF($N892&gt;=Lists!$AG$2,IF($Z892&gt;=Lists!$AG$3,"Invest","Migrate"),IF($Z892&gt;=Lists!$AG$3,"Tolerate","Eliminate")))</f>
        <v/>
      </c>
      <c r="AC892" s="102" t="str">
        <f aca="false">IF($B892="","",IF($J892&gt;=4,"Yes",""))</f>
        <v/>
      </c>
      <c r="AD892" s="102" t="str">
        <f aca="false">IF($A892="","",IFERROR(IF(VLOOKUP($A892,'Risk Register'!$B$2:$H$1000,4,FALSE())&gt;=4,"Yes",""),""))</f>
        <v/>
      </c>
      <c r="AE892" s="102" t="str">
        <f aca="false">IF(OR($N892="", $O892=""),"",IF($N892&gt;=Lists!$AG$2,IF($O892&gt;=Lists!$AG$4,"High Value / High Risk","High Value / Low Risk"),IF($O892&gt;=Lists!$AG$4,"Low Value / High Risk","Low Value / Low Risk")))</f>
        <v/>
      </c>
      <c r="AF892" s="101"/>
      <c r="AG892" s="126"/>
      <c r="AH892" s="106" t="str">
        <f aca="false">IF($B892="","",COUNTIFS('Debt Backlog'!$AF$2:$AF$1000,$A892,'Debt Backlog'!$B$2:$B$1000,"&lt;&gt;",'Debt Backlog'!$N$2:$N$1000,"&lt;&gt;Done",'Debt Backlog'!$N$2:$N$1000,"&lt;&gt;Won't Fix",'Debt Backlog'!$N$2:$N$1000,"&lt;&gt;Duplicate"))</f>
        <v/>
      </c>
      <c r="AI892" s="103" t="str">
        <f aca="false">IF($B892="","",ROUND(SUMIFS('Debt Backlog'!$L$2:$L$1000,'Debt Backlog'!$AF$2:$AF$1000,$A892,'Debt Backlog'!$B$2:$B$1000,"&lt;&gt;",'Debt Backlog'!$N$2:$N$1000,"&lt;&gt;Done",'Debt Backlog'!$N$2:$N$1000,"&lt;&gt;Won't Fix",'Debt Backlog'!$N$2:$N$1000,"&lt;&gt;Duplicate"),2))</f>
        <v/>
      </c>
    </row>
    <row r="893" customFormat="false" ht="15.75" hidden="false" customHeight="true" outlineLevel="0" collapsed="false">
      <c r="A893" s="125"/>
      <c r="B893" s="101"/>
      <c r="C893" s="101"/>
      <c r="D893" s="101"/>
      <c r="E893" s="101"/>
      <c r="F893" s="101"/>
      <c r="G893" s="101"/>
      <c r="H893" s="101"/>
      <c r="I893" s="106"/>
      <c r="J893" s="106"/>
      <c r="K893" s="106"/>
      <c r="L893" s="106"/>
      <c r="M893" s="106"/>
      <c r="N893" s="103" t="str">
        <f aca="false">IF(OR($B893="", $I893="", $J893="", $K893="", $L893="", $M893=""),"",ROUND(($I893*Lists!$AD$2)+($J893*Lists!$AD$3)+($K893*Lists!$AD$4)+($L893*Lists!$AD$5)+($M893*Lists!$AD$6),2))</f>
        <v/>
      </c>
      <c r="O893" s="103" t="str">
        <f aca="false">IF($A893="","",IFERROR(VLOOKUP($A893,'Risk Register'!$B$2:$I$1000,8,FALSE()),""))</f>
        <v/>
      </c>
      <c r="P893" s="106"/>
      <c r="Q893" s="106"/>
      <c r="R893" s="106"/>
      <c r="S893" s="106"/>
      <c r="T893" s="103" t="str">
        <f aca="false">IF(OR($B893="", $P893="", $Q893="", $R893="", $S893=""),"",ROUND(($P893*Lists!$AD$7)+($Q893*Lists!$AD$8)+($R893*Lists!$AD$9)+($S893*Lists!$AD$10),2))</f>
        <v/>
      </c>
      <c r="U893" s="106"/>
      <c r="V893" s="106"/>
      <c r="W893" s="106"/>
      <c r="X893" s="106"/>
      <c r="Y893" s="106"/>
      <c r="Z893" s="103" t="str">
        <f aca="false">IF(OR($B893="", $U893="", $V893="", $W893="", $X893="", $Y893=""),"",ROUND(($U893*Lists!$AD$11)+($V893*Lists!$AD$12)+($W893*Lists!$AD$13)+($X893*Lists!$AD$14)+($Y893*Lists!$AD$15),2))</f>
        <v/>
      </c>
      <c r="AA893" s="103" t="str">
        <f aca="false">IF(OR($B893="", $N893="", $O893="", $T893="", $Z893=""),"",ROUND(($N893*Lists!$AD$16)-($O893*Lists!$AD$17)-($T893*Lists!$AD$18)+($Z893*Lists!$AD$19),2))</f>
        <v/>
      </c>
      <c r="AB893" s="102" t="str">
        <f aca="false">IF(OR($B893="", $N893="", $Z893=""),"",IF($N893&gt;=Lists!$AG$2,IF($Z893&gt;=Lists!$AG$3,"Invest","Migrate"),IF($Z893&gt;=Lists!$AG$3,"Tolerate","Eliminate")))</f>
        <v/>
      </c>
      <c r="AC893" s="102" t="str">
        <f aca="false">IF($B893="","",IF($J893&gt;=4,"Yes",""))</f>
        <v/>
      </c>
      <c r="AD893" s="102" t="str">
        <f aca="false">IF($A893="","",IFERROR(IF(VLOOKUP($A893,'Risk Register'!$B$2:$H$1000,4,FALSE())&gt;=4,"Yes",""),""))</f>
        <v/>
      </c>
      <c r="AE893" s="102" t="str">
        <f aca="false">IF(OR($N893="", $O893=""),"",IF($N893&gt;=Lists!$AG$2,IF($O893&gt;=Lists!$AG$4,"High Value / High Risk","High Value / Low Risk"),IF($O893&gt;=Lists!$AG$4,"Low Value / High Risk","Low Value / Low Risk")))</f>
        <v/>
      </c>
      <c r="AF893" s="101"/>
      <c r="AG893" s="126"/>
      <c r="AH893" s="106" t="str">
        <f aca="false">IF($B893="","",COUNTIFS('Debt Backlog'!$AF$2:$AF$1000,$A893,'Debt Backlog'!$B$2:$B$1000,"&lt;&gt;",'Debt Backlog'!$N$2:$N$1000,"&lt;&gt;Done",'Debt Backlog'!$N$2:$N$1000,"&lt;&gt;Won't Fix",'Debt Backlog'!$N$2:$N$1000,"&lt;&gt;Duplicate"))</f>
        <v/>
      </c>
      <c r="AI893" s="103" t="str">
        <f aca="false">IF($B893="","",ROUND(SUMIFS('Debt Backlog'!$L$2:$L$1000,'Debt Backlog'!$AF$2:$AF$1000,$A893,'Debt Backlog'!$B$2:$B$1000,"&lt;&gt;",'Debt Backlog'!$N$2:$N$1000,"&lt;&gt;Done",'Debt Backlog'!$N$2:$N$1000,"&lt;&gt;Won't Fix",'Debt Backlog'!$N$2:$N$1000,"&lt;&gt;Duplicate"),2))</f>
        <v/>
      </c>
    </row>
    <row r="894" customFormat="false" ht="15.75" hidden="false" customHeight="true" outlineLevel="0" collapsed="false">
      <c r="A894" s="125"/>
      <c r="B894" s="101"/>
      <c r="C894" s="101"/>
      <c r="D894" s="101"/>
      <c r="E894" s="101"/>
      <c r="F894" s="101"/>
      <c r="G894" s="101"/>
      <c r="H894" s="101"/>
      <c r="I894" s="106"/>
      <c r="J894" s="106"/>
      <c r="K894" s="106"/>
      <c r="L894" s="106"/>
      <c r="M894" s="106"/>
      <c r="N894" s="103" t="str">
        <f aca="false">IF(OR($B894="", $I894="", $J894="", $K894="", $L894="", $M894=""),"",ROUND(($I894*Lists!$AD$2)+($J894*Lists!$AD$3)+($K894*Lists!$AD$4)+($L894*Lists!$AD$5)+($M894*Lists!$AD$6),2))</f>
        <v/>
      </c>
      <c r="O894" s="103" t="str">
        <f aca="false">IF($A894="","",IFERROR(VLOOKUP($A894,'Risk Register'!$B$2:$I$1000,8,FALSE()),""))</f>
        <v/>
      </c>
      <c r="P894" s="106"/>
      <c r="Q894" s="106"/>
      <c r="R894" s="106"/>
      <c r="S894" s="106"/>
      <c r="T894" s="103" t="str">
        <f aca="false">IF(OR($B894="", $P894="", $Q894="", $R894="", $S894=""),"",ROUND(($P894*Lists!$AD$7)+($Q894*Lists!$AD$8)+($R894*Lists!$AD$9)+($S894*Lists!$AD$10),2))</f>
        <v/>
      </c>
      <c r="U894" s="106"/>
      <c r="V894" s="106"/>
      <c r="W894" s="106"/>
      <c r="X894" s="106"/>
      <c r="Y894" s="106"/>
      <c r="Z894" s="103" t="str">
        <f aca="false">IF(OR($B894="", $U894="", $V894="", $W894="", $X894="", $Y894=""),"",ROUND(($U894*Lists!$AD$11)+($V894*Lists!$AD$12)+($W894*Lists!$AD$13)+($X894*Lists!$AD$14)+($Y894*Lists!$AD$15),2))</f>
        <v/>
      </c>
      <c r="AA894" s="103" t="str">
        <f aca="false">IF(OR($B894="", $N894="", $O894="", $T894="", $Z894=""),"",ROUND(($N894*Lists!$AD$16)-($O894*Lists!$AD$17)-($T894*Lists!$AD$18)+($Z894*Lists!$AD$19),2))</f>
        <v/>
      </c>
      <c r="AB894" s="102" t="str">
        <f aca="false">IF(OR($B894="", $N894="", $Z894=""),"",IF($N894&gt;=Lists!$AG$2,IF($Z894&gt;=Lists!$AG$3,"Invest","Migrate"),IF($Z894&gt;=Lists!$AG$3,"Tolerate","Eliminate")))</f>
        <v/>
      </c>
      <c r="AC894" s="102" t="str">
        <f aca="false">IF($B894="","",IF($J894&gt;=4,"Yes",""))</f>
        <v/>
      </c>
      <c r="AD894" s="102" t="str">
        <f aca="false">IF($A894="","",IFERROR(IF(VLOOKUP($A894,'Risk Register'!$B$2:$H$1000,4,FALSE())&gt;=4,"Yes",""),""))</f>
        <v/>
      </c>
      <c r="AE894" s="102" t="str">
        <f aca="false">IF(OR($N894="", $O894=""),"",IF($N894&gt;=Lists!$AG$2,IF($O894&gt;=Lists!$AG$4,"High Value / High Risk","High Value / Low Risk"),IF($O894&gt;=Lists!$AG$4,"Low Value / High Risk","Low Value / Low Risk")))</f>
        <v/>
      </c>
      <c r="AF894" s="101"/>
      <c r="AG894" s="126"/>
      <c r="AH894" s="106" t="str">
        <f aca="false">IF($B894="","",COUNTIFS('Debt Backlog'!$AF$2:$AF$1000,$A894,'Debt Backlog'!$B$2:$B$1000,"&lt;&gt;",'Debt Backlog'!$N$2:$N$1000,"&lt;&gt;Done",'Debt Backlog'!$N$2:$N$1000,"&lt;&gt;Won't Fix",'Debt Backlog'!$N$2:$N$1000,"&lt;&gt;Duplicate"))</f>
        <v/>
      </c>
      <c r="AI894" s="103" t="str">
        <f aca="false">IF($B894="","",ROUND(SUMIFS('Debt Backlog'!$L$2:$L$1000,'Debt Backlog'!$AF$2:$AF$1000,$A894,'Debt Backlog'!$B$2:$B$1000,"&lt;&gt;",'Debt Backlog'!$N$2:$N$1000,"&lt;&gt;Done",'Debt Backlog'!$N$2:$N$1000,"&lt;&gt;Won't Fix",'Debt Backlog'!$N$2:$N$1000,"&lt;&gt;Duplicate"),2))</f>
        <v/>
      </c>
    </row>
    <row r="895" customFormat="false" ht="15.75" hidden="false" customHeight="true" outlineLevel="0" collapsed="false">
      <c r="A895" s="125"/>
      <c r="B895" s="101"/>
      <c r="C895" s="101"/>
      <c r="D895" s="101"/>
      <c r="E895" s="101"/>
      <c r="F895" s="101"/>
      <c r="G895" s="101"/>
      <c r="H895" s="101"/>
      <c r="I895" s="106"/>
      <c r="J895" s="106"/>
      <c r="K895" s="106"/>
      <c r="L895" s="106"/>
      <c r="M895" s="106"/>
      <c r="N895" s="103" t="str">
        <f aca="false">IF(OR($B895="", $I895="", $J895="", $K895="", $L895="", $M895=""),"",ROUND(($I895*Lists!$AD$2)+($J895*Lists!$AD$3)+($K895*Lists!$AD$4)+($L895*Lists!$AD$5)+($M895*Lists!$AD$6),2))</f>
        <v/>
      </c>
      <c r="O895" s="103" t="str">
        <f aca="false">IF($A895="","",IFERROR(VLOOKUP($A895,'Risk Register'!$B$2:$I$1000,8,FALSE()),""))</f>
        <v/>
      </c>
      <c r="P895" s="106"/>
      <c r="Q895" s="106"/>
      <c r="R895" s="106"/>
      <c r="S895" s="106"/>
      <c r="T895" s="103" t="str">
        <f aca="false">IF(OR($B895="", $P895="", $Q895="", $R895="", $S895=""),"",ROUND(($P895*Lists!$AD$7)+($Q895*Lists!$AD$8)+($R895*Lists!$AD$9)+($S895*Lists!$AD$10),2))</f>
        <v/>
      </c>
      <c r="U895" s="106"/>
      <c r="V895" s="106"/>
      <c r="W895" s="106"/>
      <c r="X895" s="106"/>
      <c r="Y895" s="106"/>
      <c r="Z895" s="103" t="str">
        <f aca="false">IF(OR($B895="", $U895="", $V895="", $W895="", $X895="", $Y895=""),"",ROUND(($U895*Lists!$AD$11)+($V895*Lists!$AD$12)+($W895*Lists!$AD$13)+($X895*Lists!$AD$14)+($Y895*Lists!$AD$15),2))</f>
        <v/>
      </c>
      <c r="AA895" s="103" t="str">
        <f aca="false">IF(OR($B895="", $N895="", $O895="", $T895="", $Z895=""),"",ROUND(($N895*Lists!$AD$16)-($O895*Lists!$AD$17)-($T895*Lists!$AD$18)+($Z895*Lists!$AD$19),2))</f>
        <v/>
      </c>
      <c r="AB895" s="102" t="str">
        <f aca="false">IF(OR($B895="", $N895="", $Z895=""),"",IF($N895&gt;=Lists!$AG$2,IF($Z895&gt;=Lists!$AG$3,"Invest","Migrate"),IF($Z895&gt;=Lists!$AG$3,"Tolerate","Eliminate")))</f>
        <v/>
      </c>
      <c r="AC895" s="102" t="str">
        <f aca="false">IF($B895="","",IF($J895&gt;=4,"Yes",""))</f>
        <v/>
      </c>
      <c r="AD895" s="102" t="str">
        <f aca="false">IF($A895="","",IFERROR(IF(VLOOKUP($A895,'Risk Register'!$B$2:$H$1000,4,FALSE())&gt;=4,"Yes",""),""))</f>
        <v/>
      </c>
      <c r="AE895" s="102" t="str">
        <f aca="false">IF(OR($N895="", $O895=""),"",IF($N895&gt;=Lists!$AG$2,IF($O895&gt;=Lists!$AG$4,"High Value / High Risk","High Value / Low Risk"),IF($O895&gt;=Lists!$AG$4,"Low Value / High Risk","Low Value / Low Risk")))</f>
        <v/>
      </c>
      <c r="AF895" s="101"/>
      <c r="AG895" s="126"/>
      <c r="AH895" s="106" t="str">
        <f aca="false">IF($B895="","",COUNTIFS('Debt Backlog'!$AF$2:$AF$1000,$A895,'Debt Backlog'!$B$2:$B$1000,"&lt;&gt;",'Debt Backlog'!$N$2:$N$1000,"&lt;&gt;Done",'Debt Backlog'!$N$2:$N$1000,"&lt;&gt;Won't Fix",'Debt Backlog'!$N$2:$N$1000,"&lt;&gt;Duplicate"))</f>
        <v/>
      </c>
      <c r="AI895" s="103" t="str">
        <f aca="false">IF($B895="","",ROUND(SUMIFS('Debt Backlog'!$L$2:$L$1000,'Debt Backlog'!$AF$2:$AF$1000,$A895,'Debt Backlog'!$B$2:$B$1000,"&lt;&gt;",'Debt Backlog'!$N$2:$N$1000,"&lt;&gt;Done",'Debt Backlog'!$N$2:$N$1000,"&lt;&gt;Won't Fix",'Debt Backlog'!$N$2:$N$1000,"&lt;&gt;Duplicate"),2))</f>
        <v/>
      </c>
    </row>
    <row r="896" customFormat="false" ht="15.75" hidden="false" customHeight="true" outlineLevel="0" collapsed="false">
      <c r="A896" s="125"/>
      <c r="B896" s="101"/>
      <c r="C896" s="101"/>
      <c r="D896" s="101"/>
      <c r="E896" s="101"/>
      <c r="F896" s="101"/>
      <c r="G896" s="101"/>
      <c r="H896" s="101"/>
      <c r="I896" s="106"/>
      <c r="J896" s="106"/>
      <c r="K896" s="106"/>
      <c r="L896" s="106"/>
      <c r="M896" s="106"/>
      <c r="N896" s="103" t="str">
        <f aca="false">IF(OR($B896="", $I896="", $J896="", $K896="", $L896="", $M896=""),"",ROUND(($I896*Lists!$AD$2)+($J896*Lists!$AD$3)+($K896*Lists!$AD$4)+($L896*Lists!$AD$5)+($M896*Lists!$AD$6),2))</f>
        <v/>
      </c>
      <c r="O896" s="103" t="str">
        <f aca="false">IF($A896="","",IFERROR(VLOOKUP($A896,'Risk Register'!$B$2:$I$1000,8,FALSE()),""))</f>
        <v/>
      </c>
      <c r="P896" s="106"/>
      <c r="Q896" s="106"/>
      <c r="R896" s="106"/>
      <c r="S896" s="106"/>
      <c r="T896" s="103" t="str">
        <f aca="false">IF(OR($B896="", $P896="", $Q896="", $R896="", $S896=""),"",ROUND(($P896*Lists!$AD$7)+($Q896*Lists!$AD$8)+($R896*Lists!$AD$9)+($S896*Lists!$AD$10),2))</f>
        <v/>
      </c>
      <c r="U896" s="106"/>
      <c r="V896" s="106"/>
      <c r="W896" s="106"/>
      <c r="X896" s="106"/>
      <c r="Y896" s="106"/>
      <c r="Z896" s="103" t="str">
        <f aca="false">IF(OR($B896="", $U896="", $V896="", $W896="", $X896="", $Y896=""),"",ROUND(($U896*Lists!$AD$11)+($V896*Lists!$AD$12)+($W896*Lists!$AD$13)+($X896*Lists!$AD$14)+($Y896*Lists!$AD$15),2))</f>
        <v/>
      </c>
      <c r="AA896" s="103" t="str">
        <f aca="false">IF(OR($B896="", $N896="", $O896="", $T896="", $Z896=""),"",ROUND(($N896*Lists!$AD$16)-($O896*Lists!$AD$17)-($T896*Lists!$AD$18)+($Z896*Lists!$AD$19),2))</f>
        <v/>
      </c>
      <c r="AB896" s="102" t="str">
        <f aca="false">IF(OR($B896="", $N896="", $Z896=""),"",IF($N896&gt;=Lists!$AG$2,IF($Z896&gt;=Lists!$AG$3,"Invest","Migrate"),IF($Z896&gt;=Lists!$AG$3,"Tolerate","Eliminate")))</f>
        <v/>
      </c>
      <c r="AC896" s="102" t="str">
        <f aca="false">IF($B896="","",IF($J896&gt;=4,"Yes",""))</f>
        <v/>
      </c>
      <c r="AD896" s="102" t="str">
        <f aca="false">IF($A896="","",IFERROR(IF(VLOOKUP($A896,'Risk Register'!$B$2:$H$1000,4,FALSE())&gt;=4,"Yes",""),""))</f>
        <v/>
      </c>
      <c r="AE896" s="102" t="str">
        <f aca="false">IF(OR($N896="", $O896=""),"",IF($N896&gt;=Lists!$AG$2,IF($O896&gt;=Lists!$AG$4,"High Value / High Risk","High Value / Low Risk"),IF($O896&gt;=Lists!$AG$4,"Low Value / High Risk","Low Value / Low Risk")))</f>
        <v/>
      </c>
      <c r="AF896" s="101"/>
      <c r="AG896" s="126"/>
      <c r="AH896" s="106" t="str">
        <f aca="false">IF($B896="","",COUNTIFS('Debt Backlog'!$AF$2:$AF$1000,$A896,'Debt Backlog'!$B$2:$B$1000,"&lt;&gt;",'Debt Backlog'!$N$2:$N$1000,"&lt;&gt;Done",'Debt Backlog'!$N$2:$N$1000,"&lt;&gt;Won't Fix",'Debt Backlog'!$N$2:$N$1000,"&lt;&gt;Duplicate"))</f>
        <v/>
      </c>
      <c r="AI896" s="103" t="str">
        <f aca="false">IF($B896="","",ROUND(SUMIFS('Debt Backlog'!$L$2:$L$1000,'Debt Backlog'!$AF$2:$AF$1000,$A896,'Debt Backlog'!$B$2:$B$1000,"&lt;&gt;",'Debt Backlog'!$N$2:$N$1000,"&lt;&gt;Done",'Debt Backlog'!$N$2:$N$1000,"&lt;&gt;Won't Fix",'Debt Backlog'!$N$2:$N$1000,"&lt;&gt;Duplicate"),2))</f>
        <v/>
      </c>
    </row>
    <row r="897" customFormat="false" ht="15.75" hidden="false" customHeight="true" outlineLevel="0" collapsed="false">
      <c r="A897" s="125"/>
      <c r="B897" s="101"/>
      <c r="C897" s="101"/>
      <c r="D897" s="101"/>
      <c r="E897" s="101"/>
      <c r="F897" s="101"/>
      <c r="G897" s="101"/>
      <c r="H897" s="101"/>
      <c r="I897" s="106"/>
      <c r="J897" s="106"/>
      <c r="K897" s="106"/>
      <c r="L897" s="106"/>
      <c r="M897" s="106"/>
      <c r="N897" s="103" t="str">
        <f aca="false">IF(OR($B897="", $I897="", $J897="", $K897="", $L897="", $M897=""),"",ROUND(($I897*Lists!$AD$2)+($J897*Lists!$AD$3)+($K897*Lists!$AD$4)+($L897*Lists!$AD$5)+($M897*Lists!$AD$6),2))</f>
        <v/>
      </c>
      <c r="O897" s="103" t="str">
        <f aca="false">IF($A897="","",IFERROR(VLOOKUP($A897,'Risk Register'!$B$2:$I$1000,8,FALSE()),""))</f>
        <v/>
      </c>
      <c r="P897" s="106"/>
      <c r="Q897" s="106"/>
      <c r="R897" s="106"/>
      <c r="S897" s="106"/>
      <c r="T897" s="103" t="str">
        <f aca="false">IF(OR($B897="", $P897="", $Q897="", $R897="", $S897=""),"",ROUND(($P897*Lists!$AD$7)+($Q897*Lists!$AD$8)+($R897*Lists!$AD$9)+($S897*Lists!$AD$10),2))</f>
        <v/>
      </c>
      <c r="U897" s="106"/>
      <c r="V897" s="106"/>
      <c r="W897" s="106"/>
      <c r="X897" s="106"/>
      <c r="Y897" s="106"/>
      <c r="Z897" s="103" t="str">
        <f aca="false">IF(OR($B897="", $U897="", $V897="", $W897="", $X897="", $Y897=""),"",ROUND(($U897*Lists!$AD$11)+($V897*Lists!$AD$12)+($W897*Lists!$AD$13)+($X897*Lists!$AD$14)+($Y897*Lists!$AD$15),2))</f>
        <v/>
      </c>
      <c r="AA897" s="103" t="str">
        <f aca="false">IF(OR($B897="", $N897="", $O897="", $T897="", $Z897=""),"",ROUND(($N897*Lists!$AD$16)-($O897*Lists!$AD$17)-($T897*Lists!$AD$18)+($Z897*Lists!$AD$19),2))</f>
        <v/>
      </c>
      <c r="AB897" s="102" t="str">
        <f aca="false">IF(OR($B897="", $N897="", $Z897=""),"",IF($N897&gt;=Lists!$AG$2,IF($Z897&gt;=Lists!$AG$3,"Invest","Migrate"),IF($Z897&gt;=Lists!$AG$3,"Tolerate","Eliminate")))</f>
        <v/>
      </c>
      <c r="AC897" s="102" t="str">
        <f aca="false">IF($B897="","",IF($J897&gt;=4,"Yes",""))</f>
        <v/>
      </c>
      <c r="AD897" s="102" t="str">
        <f aca="false">IF($A897="","",IFERROR(IF(VLOOKUP($A897,'Risk Register'!$B$2:$H$1000,4,FALSE())&gt;=4,"Yes",""),""))</f>
        <v/>
      </c>
      <c r="AE897" s="102" t="str">
        <f aca="false">IF(OR($N897="", $O897=""),"",IF($N897&gt;=Lists!$AG$2,IF($O897&gt;=Lists!$AG$4,"High Value / High Risk","High Value / Low Risk"),IF($O897&gt;=Lists!$AG$4,"Low Value / High Risk","Low Value / Low Risk")))</f>
        <v/>
      </c>
      <c r="AF897" s="101"/>
      <c r="AG897" s="126"/>
      <c r="AH897" s="106" t="str">
        <f aca="false">IF($B897="","",COUNTIFS('Debt Backlog'!$AF$2:$AF$1000,$A897,'Debt Backlog'!$B$2:$B$1000,"&lt;&gt;",'Debt Backlog'!$N$2:$N$1000,"&lt;&gt;Done",'Debt Backlog'!$N$2:$N$1000,"&lt;&gt;Won't Fix",'Debt Backlog'!$N$2:$N$1000,"&lt;&gt;Duplicate"))</f>
        <v/>
      </c>
      <c r="AI897" s="103" t="str">
        <f aca="false">IF($B897="","",ROUND(SUMIFS('Debt Backlog'!$L$2:$L$1000,'Debt Backlog'!$AF$2:$AF$1000,$A897,'Debt Backlog'!$B$2:$B$1000,"&lt;&gt;",'Debt Backlog'!$N$2:$N$1000,"&lt;&gt;Done",'Debt Backlog'!$N$2:$N$1000,"&lt;&gt;Won't Fix",'Debt Backlog'!$N$2:$N$1000,"&lt;&gt;Duplicate"),2))</f>
        <v/>
      </c>
    </row>
    <row r="898" customFormat="false" ht="15.75" hidden="false" customHeight="true" outlineLevel="0" collapsed="false">
      <c r="A898" s="125"/>
      <c r="B898" s="101"/>
      <c r="C898" s="101"/>
      <c r="D898" s="101"/>
      <c r="E898" s="101"/>
      <c r="F898" s="101"/>
      <c r="G898" s="101"/>
      <c r="H898" s="101"/>
      <c r="I898" s="106"/>
      <c r="J898" s="106"/>
      <c r="K898" s="106"/>
      <c r="L898" s="106"/>
      <c r="M898" s="106"/>
      <c r="N898" s="103" t="str">
        <f aca="false">IF(OR($B898="", $I898="", $J898="", $K898="", $L898="", $M898=""),"",ROUND(($I898*Lists!$AD$2)+($J898*Lists!$AD$3)+($K898*Lists!$AD$4)+($L898*Lists!$AD$5)+($M898*Lists!$AD$6),2))</f>
        <v/>
      </c>
      <c r="O898" s="103" t="str">
        <f aca="false">IF($A898="","",IFERROR(VLOOKUP($A898,'Risk Register'!$B$2:$I$1000,8,FALSE()),""))</f>
        <v/>
      </c>
      <c r="P898" s="106"/>
      <c r="Q898" s="106"/>
      <c r="R898" s="106"/>
      <c r="S898" s="106"/>
      <c r="T898" s="103" t="str">
        <f aca="false">IF(OR($B898="", $P898="", $Q898="", $R898="", $S898=""),"",ROUND(($P898*Lists!$AD$7)+($Q898*Lists!$AD$8)+($R898*Lists!$AD$9)+($S898*Lists!$AD$10),2))</f>
        <v/>
      </c>
      <c r="U898" s="106"/>
      <c r="V898" s="106"/>
      <c r="W898" s="106"/>
      <c r="X898" s="106"/>
      <c r="Y898" s="106"/>
      <c r="Z898" s="103" t="str">
        <f aca="false">IF(OR($B898="", $U898="", $V898="", $W898="", $X898="", $Y898=""),"",ROUND(($U898*Lists!$AD$11)+($V898*Lists!$AD$12)+($W898*Lists!$AD$13)+($X898*Lists!$AD$14)+($Y898*Lists!$AD$15),2))</f>
        <v/>
      </c>
      <c r="AA898" s="103" t="str">
        <f aca="false">IF(OR($B898="", $N898="", $O898="", $T898="", $Z898=""),"",ROUND(($N898*Lists!$AD$16)-($O898*Lists!$AD$17)-($T898*Lists!$AD$18)+($Z898*Lists!$AD$19),2))</f>
        <v/>
      </c>
      <c r="AB898" s="102" t="str">
        <f aca="false">IF(OR($B898="", $N898="", $Z898=""),"",IF($N898&gt;=Lists!$AG$2,IF($Z898&gt;=Lists!$AG$3,"Invest","Migrate"),IF($Z898&gt;=Lists!$AG$3,"Tolerate","Eliminate")))</f>
        <v/>
      </c>
      <c r="AC898" s="102" t="str">
        <f aca="false">IF($B898="","",IF($J898&gt;=4,"Yes",""))</f>
        <v/>
      </c>
      <c r="AD898" s="102" t="str">
        <f aca="false">IF($A898="","",IFERROR(IF(VLOOKUP($A898,'Risk Register'!$B$2:$H$1000,4,FALSE())&gt;=4,"Yes",""),""))</f>
        <v/>
      </c>
      <c r="AE898" s="102" t="str">
        <f aca="false">IF(OR($N898="", $O898=""),"",IF($N898&gt;=Lists!$AG$2,IF($O898&gt;=Lists!$AG$4,"High Value / High Risk","High Value / Low Risk"),IF($O898&gt;=Lists!$AG$4,"Low Value / High Risk","Low Value / Low Risk")))</f>
        <v/>
      </c>
      <c r="AF898" s="101"/>
      <c r="AG898" s="126"/>
      <c r="AH898" s="106" t="str">
        <f aca="false">IF($B898="","",COUNTIFS('Debt Backlog'!$AF$2:$AF$1000,$A898,'Debt Backlog'!$B$2:$B$1000,"&lt;&gt;",'Debt Backlog'!$N$2:$N$1000,"&lt;&gt;Done",'Debt Backlog'!$N$2:$N$1000,"&lt;&gt;Won't Fix",'Debt Backlog'!$N$2:$N$1000,"&lt;&gt;Duplicate"))</f>
        <v/>
      </c>
      <c r="AI898" s="103" t="str">
        <f aca="false">IF($B898="","",ROUND(SUMIFS('Debt Backlog'!$L$2:$L$1000,'Debt Backlog'!$AF$2:$AF$1000,$A898,'Debt Backlog'!$B$2:$B$1000,"&lt;&gt;",'Debt Backlog'!$N$2:$N$1000,"&lt;&gt;Done",'Debt Backlog'!$N$2:$N$1000,"&lt;&gt;Won't Fix",'Debt Backlog'!$N$2:$N$1000,"&lt;&gt;Duplicate"),2))</f>
        <v/>
      </c>
    </row>
    <row r="899" customFormat="false" ht="15.75" hidden="false" customHeight="true" outlineLevel="0" collapsed="false">
      <c r="A899" s="125"/>
      <c r="B899" s="101"/>
      <c r="C899" s="101"/>
      <c r="D899" s="101"/>
      <c r="E899" s="101"/>
      <c r="F899" s="101"/>
      <c r="G899" s="101"/>
      <c r="H899" s="101"/>
      <c r="I899" s="106"/>
      <c r="J899" s="106"/>
      <c r="K899" s="106"/>
      <c r="L899" s="106"/>
      <c r="M899" s="106"/>
      <c r="N899" s="103" t="str">
        <f aca="false">IF(OR($B899="", $I899="", $J899="", $K899="", $L899="", $M899=""),"",ROUND(($I899*Lists!$AD$2)+($J899*Lists!$AD$3)+($K899*Lists!$AD$4)+($L899*Lists!$AD$5)+($M899*Lists!$AD$6),2))</f>
        <v/>
      </c>
      <c r="O899" s="103" t="str">
        <f aca="false">IF($A899="","",IFERROR(VLOOKUP($A899,'Risk Register'!$B$2:$I$1000,8,FALSE()),""))</f>
        <v/>
      </c>
      <c r="P899" s="106"/>
      <c r="Q899" s="106"/>
      <c r="R899" s="106"/>
      <c r="S899" s="106"/>
      <c r="T899" s="103" t="str">
        <f aca="false">IF(OR($B899="", $P899="", $Q899="", $R899="", $S899=""),"",ROUND(($P899*Lists!$AD$7)+($Q899*Lists!$AD$8)+($R899*Lists!$AD$9)+($S899*Lists!$AD$10),2))</f>
        <v/>
      </c>
      <c r="U899" s="106"/>
      <c r="V899" s="106"/>
      <c r="W899" s="106"/>
      <c r="X899" s="106"/>
      <c r="Y899" s="106"/>
      <c r="Z899" s="103" t="str">
        <f aca="false">IF(OR($B899="", $U899="", $V899="", $W899="", $X899="", $Y899=""),"",ROUND(($U899*Lists!$AD$11)+($V899*Lists!$AD$12)+($W899*Lists!$AD$13)+($X899*Lists!$AD$14)+($Y899*Lists!$AD$15),2))</f>
        <v/>
      </c>
      <c r="AA899" s="103" t="str">
        <f aca="false">IF(OR($B899="", $N899="", $O899="", $T899="", $Z899=""),"",ROUND(($N899*Lists!$AD$16)-($O899*Lists!$AD$17)-($T899*Lists!$AD$18)+($Z899*Lists!$AD$19),2))</f>
        <v/>
      </c>
      <c r="AB899" s="102" t="str">
        <f aca="false">IF(OR($B899="", $N899="", $Z899=""),"",IF($N899&gt;=Lists!$AG$2,IF($Z899&gt;=Lists!$AG$3,"Invest","Migrate"),IF($Z899&gt;=Lists!$AG$3,"Tolerate","Eliminate")))</f>
        <v/>
      </c>
      <c r="AC899" s="102" t="str">
        <f aca="false">IF($B899="","",IF($J899&gt;=4,"Yes",""))</f>
        <v/>
      </c>
      <c r="AD899" s="102" t="str">
        <f aca="false">IF($A899="","",IFERROR(IF(VLOOKUP($A899,'Risk Register'!$B$2:$H$1000,4,FALSE())&gt;=4,"Yes",""),""))</f>
        <v/>
      </c>
      <c r="AE899" s="102" t="str">
        <f aca="false">IF(OR($N899="", $O899=""),"",IF($N899&gt;=Lists!$AG$2,IF($O899&gt;=Lists!$AG$4,"High Value / High Risk","High Value / Low Risk"),IF($O899&gt;=Lists!$AG$4,"Low Value / High Risk","Low Value / Low Risk")))</f>
        <v/>
      </c>
      <c r="AF899" s="101"/>
      <c r="AG899" s="126"/>
      <c r="AH899" s="106" t="str">
        <f aca="false">IF($B899="","",COUNTIFS('Debt Backlog'!$AF$2:$AF$1000,$A899,'Debt Backlog'!$B$2:$B$1000,"&lt;&gt;",'Debt Backlog'!$N$2:$N$1000,"&lt;&gt;Done",'Debt Backlog'!$N$2:$N$1000,"&lt;&gt;Won't Fix",'Debt Backlog'!$N$2:$N$1000,"&lt;&gt;Duplicate"))</f>
        <v/>
      </c>
      <c r="AI899" s="103" t="str">
        <f aca="false">IF($B899="","",ROUND(SUMIFS('Debt Backlog'!$L$2:$L$1000,'Debt Backlog'!$AF$2:$AF$1000,$A899,'Debt Backlog'!$B$2:$B$1000,"&lt;&gt;",'Debt Backlog'!$N$2:$N$1000,"&lt;&gt;Done",'Debt Backlog'!$N$2:$N$1000,"&lt;&gt;Won't Fix",'Debt Backlog'!$N$2:$N$1000,"&lt;&gt;Duplicate"),2))</f>
        <v/>
      </c>
    </row>
    <row r="900" customFormat="false" ht="15.75" hidden="false" customHeight="true" outlineLevel="0" collapsed="false">
      <c r="A900" s="125"/>
      <c r="B900" s="101"/>
      <c r="C900" s="101"/>
      <c r="D900" s="101"/>
      <c r="E900" s="101"/>
      <c r="F900" s="101"/>
      <c r="G900" s="101"/>
      <c r="H900" s="101"/>
      <c r="I900" s="106"/>
      <c r="J900" s="106"/>
      <c r="K900" s="106"/>
      <c r="L900" s="106"/>
      <c r="M900" s="106"/>
      <c r="N900" s="103" t="str">
        <f aca="false">IF(OR($B900="", $I900="", $J900="", $K900="", $L900="", $M900=""),"",ROUND(($I900*Lists!$AD$2)+($J900*Lists!$AD$3)+($K900*Lists!$AD$4)+($L900*Lists!$AD$5)+($M900*Lists!$AD$6),2))</f>
        <v/>
      </c>
      <c r="O900" s="103" t="str">
        <f aca="false">IF($A900="","",IFERROR(VLOOKUP($A900,'Risk Register'!$B$2:$I$1000,8,FALSE()),""))</f>
        <v/>
      </c>
      <c r="P900" s="106"/>
      <c r="Q900" s="106"/>
      <c r="R900" s="106"/>
      <c r="S900" s="106"/>
      <c r="T900" s="103" t="str">
        <f aca="false">IF(OR($B900="", $P900="", $Q900="", $R900="", $S900=""),"",ROUND(($P900*Lists!$AD$7)+($Q900*Lists!$AD$8)+($R900*Lists!$AD$9)+($S900*Lists!$AD$10),2))</f>
        <v/>
      </c>
      <c r="U900" s="106"/>
      <c r="V900" s="106"/>
      <c r="W900" s="106"/>
      <c r="X900" s="106"/>
      <c r="Y900" s="106"/>
      <c r="Z900" s="103" t="str">
        <f aca="false">IF(OR($B900="", $U900="", $V900="", $W900="", $X900="", $Y900=""),"",ROUND(($U900*Lists!$AD$11)+($V900*Lists!$AD$12)+($W900*Lists!$AD$13)+($X900*Lists!$AD$14)+($Y900*Lists!$AD$15),2))</f>
        <v/>
      </c>
      <c r="AA900" s="103" t="str">
        <f aca="false">IF(OR($B900="", $N900="", $O900="", $T900="", $Z900=""),"",ROUND(($N900*Lists!$AD$16)-($O900*Lists!$AD$17)-($T900*Lists!$AD$18)+($Z900*Lists!$AD$19),2))</f>
        <v/>
      </c>
      <c r="AB900" s="102" t="str">
        <f aca="false">IF(OR($B900="", $N900="", $Z900=""),"",IF($N900&gt;=Lists!$AG$2,IF($Z900&gt;=Lists!$AG$3,"Invest","Migrate"),IF($Z900&gt;=Lists!$AG$3,"Tolerate","Eliminate")))</f>
        <v/>
      </c>
      <c r="AC900" s="102" t="str">
        <f aca="false">IF($B900="","",IF($J900&gt;=4,"Yes",""))</f>
        <v/>
      </c>
      <c r="AD900" s="102" t="str">
        <f aca="false">IF($A900="","",IFERROR(IF(VLOOKUP($A900,'Risk Register'!$B$2:$H$1000,4,FALSE())&gt;=4,"Yes",""),""))</f>
        <v/>
      </c>
      <c r="AE900" s="102" t="str">
        <f aca="false">IF(OR($N900="", $O900=""),"",IF($N900&gt;=Lists!$AG$2,IF($O900&gt;=Lists!$AG$4,"High Value / High Risk","High Value / Low Risk"),IF($O900&gt;=Lists!$AG$4,"Low Value / High Risk","Low Value / Low Risk")))</f>
        <v/>
      </c>
      <c r="AF900" s="101"/>
      <c r="AG900" s="126"/>
      <c r="AH900" s="106" t="str">
        <f aca="false">IF($B900="","",COUNTIFS('Debt Backlog'!$AF$2:$AF$1000,$A900,'Debt Backlog'!$B$2:$B$1000,"&lt;&gt;",'Debt Backlog'!$N$2:$N$1000,"&lt;&gt;Done",'Debt Backlog'!$N$2:$N$1000,"&lt;&gt;Won't Fix",'Debt Backlog'!$N$2:$N$1000,"&lt;&gt;Duplicate"))</f>
        <v/>
      </c>
      <c r="AI900" s="103" t="str">
        <f aca="false">IF($B900="","",ROUND(SUMIFS('Debt Backlog'!$L$2:$L$1000,'Debt Backlog'!$AF$2:$AF$1000,$A900,'Debt Backlog'!$B$2:$B$1000,"&lt;&gt;",'Debt Backlog'!$N$2:$N$1000,"&lt;&gt;Done",'Debt Backlog'!$N$2:$N$1000,"&lt;&gt;Won't Fix",'Debt Backlog'!$N$2:$N$1000,"&lt;&gt;Duplicate"),2))</f>
        <v/>
      </c>
    </row>
    <row r="901" customFormat="false" ht="15.75" hidden="false" customHeight="true" outlineLevel="0" collapsed="false">
      <c r="A901" s="125"/>
      <c r="B901" s="101"/>
      <c r="C901" s="101"/>
      <c r="D901" s="101"/>
      <c r="E901" s="101"/>
      <c r="F901" s="101"/>
      <c r="G901" s="101"/>
      <c r="H901" s="101"/>
      <c r="I901" s="106"/>
      <c r="J901" s="106"/>
      <c r="K901" s="106"/>
      <c r="L901" s="106"/>
      <c r="M901" s="106"/>
      <c r="N901" s="103" t="str">
        <f aca="false">IF(OR($B901="", $I901="", $J901="", $K901="", $L901="", $M901=""),"",ROUND(($I901*Lists!$AD$2)+($J901*Lists!$AD$3)+($K901*Lists!$AD$4)+($L901*Lists!$AD$5)+($M901*Lists!$AD$6),2))</f>
        <v/>
      </c>
      <c r="O901" s="103" t="str">
        <f aca="false">IF($A901="","",IFERROR(VLOOKUP($A901,'Risk Register'!$B$2:$I$1000,8,FALSE()),""))</f>
        <v/>
      </c>
      <c r="P901" s="106"/>
      <c r="Q901" s="106"/>
      <c r="R901" s="106"/>
      <c r="S901" s="106"/>
      <c r="T901" s="103" t="str">
        <f aca="false">IF(OR($B901="", $P901="", $Q901="", $R901="", $S901=""),"",ROUND(($P901*Lists!$AD$7)+($Q901*Lists!$AD$8)+($R901*Lists!$AD$9)+($S901*Lists!$AD$10),2))</f>
        <v/>
      </c>
      <c r="U901" s="106"/>
      <c r="V901" s="106"/>
      <c r="W901" s="106"/>
      <c r="X901" s="106"/>
      <c r="Y901" s="106"/>
      <c r="Z901" s="103" t="str">
        <f aca="false">IF(OR($B901="", $U901="", $V901="", $W901="", $X901="", $Y901=""),"",ROUND(($U901*Lists!$AD$11)+($V901*Lists!$AD$12)+($W901*Lists!$AD$13)+($X901*Lists!$AD$14)+($Y901*Lists!$AD$15),2))</f>
        <v/>
      </c>
      <c r="AA901" s="103" t="str">
        <f aca="false">IF(OR($B901="", $N901="", $O901="", $T901="", $Z901=""),"",ROUND(($N901*Lists!$AD$16)-($O901*Lists!$AD$17)-($T901*Lists!$AD$18)+($Z901*Lists!$AD$19),2))</f>
        <v/>
      </c>
      <c r="AB901" s="102" t="str">
        <f aca="false">IF(OR($B901="", $N901="", $Z901=""),"",IF($N901&gt;=Lists!$AG$2,IF($Z901&gt;=Lists!$AG$3,"Invest","Migrate"),IF($Z901&gt;=Lists!$AG$3,"Tolerate","Eliminate")))</f>
        <v/>
      </c>
      <c r="AC901" s="102" t="str">
        <f aca="false">IF($B901="","",IF($J901&gt;=4,"Yes",""))</f>
        <v/>
      </c>
      <c r="AD901" s="102" t="str">
        <f aca="false">IF($A901="","",IFERROR(IF(VLOOKUP($A901,'Risk Register'!$B$2:$H$1000,4,FALSE())&gt;=4,"Yes",""),""))</f>
        <v/>
      </c>
      <c r="AE901" s="102" t="str">
        <f aca="false">IF(OR($N901="", $O901=""),"",IF($N901&gt;=Lists!$AG$2,IF($O901&gt;=Lists!$AG$4,"High Value / High Risk","High Value / Low Risk"),IF($O901&gt;=Lists!$AG$4,"Low Value / High Risk","Low Value / Low Risk")))</f>
        <v/>
      </c>
      <c r="AF901" s="101"/>
      <c r="AG901" s="126"/>
      <c r="AH901" s="106" t="str">
        <f aca="false">IF($B901="","",COUNTIFS('Debt Backlog'!$AF$2:$AF$1000,$A901,'Debt Backlog'!$B$2:$B$1000,"&lt;&gt;",'Debt Backlog'!$N$2:$N$1000,"&lt;&gt;Done",'Debt Backlog'!$N$2:$N$1000,"&lt;&gt;Won't Fix",'Debt Backlog'!$N$2:$N$1000,"&lt;&gt;Duplicate"))</f>
        <v/>
      </c>
      <c r="AI901" s="103" t="str">
        <f aca="false">IF($B901="","",ROUND(SUMIFS('Debt Backlog'!$L$2:$L$1000,'Debt Backlog'!$AF$2:$AF$1000,$A901,'Debt Backlog'!$B$2:$B$1000,"&lt;&gt;",'Debt Backlog'!$N$2:$N$1000,"&lt;&gt;Done",'Debt Backlog'!$N$2:$N$1000,"&lt;&gt;Won't Fix",'Debt Backlog'!$N$2:$N$1000,"&lt;&gt;Duplicate"),2))</f>
        <v/>
      </c>
    </row>
    <row r="902" customFormat="false" ht="15.75" hidden="false" customHeight="true" outlineLevel="0" collapsed="false">
      <c r="A902" s="125"/>
      <c r="B902" s="101"/>
      <c r="C902" s="101"/>
      <c r="D902" s="101"/>
      <c r="E902" s="101"/>
      <c r="F902" s="101"/>
      <c r="G902" s="101"/>
      <c r="H902" s="101"/>
      <c r="I902" s="106"/>
      <c r="J902" s="106"/>
      <c r="K902" s="106"/>
      <c r="L902" s="106"/>
      <c r="M902" s="106"/>
      <c r="N902" s="103" t="str">
        <f aca="false">IF(OR($B902="", $I902="", $J902="", $K902="", $L902="", $M902=""),"",ROUND(($I902*Lists!$AD$2)+($J902*Lists!$AD$3)+($K902*Lists!$AD$4)+($L902*Lists!$AD$5)+($M902*Lists!$AD$6),2))</f>
        <v/>
      </c>
      <c r="O902" s="103" t="str">
        <f aca="false">IF($A902="","",IFERROR(VLOOKUP($A902,'Risk Register'!$B$2:$I$1000,8,FALSE()),""))</f>
        <v/>
      </c>
      <c r="P902" s="106"/>
      <c r="Q902" s="106"/>
      <c r="R902" s="106"/>
      <c r="S902" s="106"/>
      <c r="T902" s="103" t="str">
        <f aca="false">IF(OR($B902="", $P902="", $Q902="", $R902="", $S902=""),"",ROUND(($P902*Lists!$AD$7)+($Q902*Lists!$AD$8)+($R902*Lists!$AD$9)+($S902*Lists!$AD$10),2))</f>
        <v/>
      </c>
      <c r="U902" s="106"/>
      <c r="V902" s="106"/>
      <c r="W902" s="106"/>
      <c r="X902" s="106"/>
      <c r="Y902" s="106"/>
      <c r="Z902" s="103" t="str">
        <f aca="false">IF(OR($B902="", $U902="", $V902="", $W902="", $X902="", $Y902=""),"",ROUND(($U902*Lists!$AD$11)+($V902*Lists!$AD$12)+($W902*Lists!$AD$13)+($X902*Lists!$AD$14)+($Y902*Lists!$AD$15),2))</f>
        <v/>
      </c>
      <c r="AA902" s="103" t="str">
        <f aca="false">IF(OR($B902="", $N902="", $O902="", $T902="", $Z902=""),"",ROUND(($N902*Lists!$AD$16)-($O902*Lists!$AD$17)-($T902*Lists!$AD$18)+($Z902*Lists!$AD$19),2))</f>
        <v/>
      </c>
      <c r="AB902" s="102" t="str">
        <f aca="false">IF(OR($B902="", $N902="", $Z902=""),"",IF($N902&gt;=Lists!$AG$2,IF($Z902&gt;=Lists!$AG$3,"Invest","Migrate"),IF($Z902&gt;=Lists!$AG$3,"Tolerate","Eliminate")))</f>
        <v/>
      </c>
      <c r="AC902" s="102" t="str">
        <f aca="false">IF($B902="","",IF($J902&gt;=4,"Yes",""))</f>
        <v/>
      </c>
      <c r="AD902" s="102" t="str">
        <f aca="false">IF($A902="","",IFERROR(IF(VLOOKUP($A902,'Risk Register'!$B$2:$H$1000,4,FALSE())&gt;=4,"Yes",""),""))</f>
        <v/>
      </c>
      <c r="AE902" s="102" t="str">
        <f aca="false">IF(OR($N902="", $O902=""),"",IF($N902&gt;=Lists!$AG$2,IF($O902&gt;=Lists!$AG$4,"High Value / High Risk","High Value / Low Risk"),IF($O902&gt;=Lists!$AG$4,"Low Value / High Risk","Low Value / Low Risk")))</f>
        <v/>
      </c>
      <c r="AF902" s="101"/>
      <c r="AG902" s="126"/>
      <c r="AH902" s="106" t="str">
        <f aca="false">IF($B902="","",COUNTIFS('Debt Backlog'!$AF$2:$AF$1000,$A902,'Debt Backlog'!$B$2:$B$1000,"&lt;&gt;",'Debt Backlog'!$N$2:$N$1000,"&lt;&gt;Done",'Debt Backlog'!$N$2:$N$1000,"&lt;&gt;Won't Fix",'Debt Backlog'!$N$2:$N$1000,"&lt;&gt;Duplicate"))</f>
        <v/>
      </c>
      <c r="AI902" s="103" t="str">
        <f aca="false">IF($B902="","",ROUND(SUMIFS('Debt Backlog'!$L$2:$L$1000,'Debt Backlog'!$AF$2:$AF$1000,$A902,'Debt Backlog'!$B$2:$B$1000,"&lt;&gt;",'Debt Backlog'!$N$2:$N$1000,"&lt;&gt;Done",'Debt Backlog'!$N$2:$N$1000,"&lt;&gt;Won't Fix",'Debt Backlog'!$N$2:$N$1000,"&lt;&gt;Duplicate"),2))</f>
        <v/>
      </c>
    </row>
    <row r="903" customFormat="false" ht="15.75" hidden="false" customHeight="true" outlineLevel="0" collapsed="false">
      <c r="A903" s="125"/>
      <c r="B903" s="101"/>
      <c r="C903" s="101"/>
      <c r="D903" s="101"/>
      <c r="E903" s="101"/>
      <c r="F903" s="101"/>
      <c r="G903" s="101"/>
      <c r="H903" s="101"/>
      <c r="I903" s="106"/>
      <c r="J903" s="106"/>
      <c r="K903" s="106"/>
      <c r="L903" s="106"/>
      <c r="M903" s="106"/>
      <c r="N903" s="103" t="str">
        <f aca="false">IF(OR($B903="", $I903="", $J903="", $K903="", $L903="", $M903=""),"",ROUND(($I903*Lists!$AD$2)+($J903*Lists!$AD$3)+($K903*Lists!$AD$4)+($L903*Lists!$AD$5)+($M903*Lists!$AD$6),2))</f>
        <v/>
      </c>
      <c r="O903" s="103" t="str">
        <f aca="false">IF($A903="","",IFERROR(VLOOKUP($A903,'Risk Register'!$B$2:$I$1000,8,FALSE()),""))</f>
        <v/>
      </c>
      <c r="P903" s="106"/>
      <c r="Q903" s="106"/>
      <c r="R903" s="106"/>
      <c r="S903" s="106"/>
      <c r="T903" s="103" t="str">
        <f aca="false">IF(OR($B903="", $P903="", $Q903="", $R903="", $S903=""),"",ROUND(($P903*Lists!$AD$7)+($Q903*Lists!$AD$8)+($R903*Lists!$AD$9)+($S903*Lists!$AD$10),2))</f>
        <v/>
      </c>
      <c r="U903" s="106"/>
      <c r="V903" s="106"/>
      <c r="W903" s="106"/>
      <c r="X903" s="106"/>
      <c r="Y903" s="106"/>
      <c r="Z903" s="103" t="str">
        <f aca="false">IF(OR($B903="", $U903="", $V903="", $W903="", $X903="", $Y903=""),"",ROUND(($U903*Lists!$AD$11)+($V903*Lists!$AD$12)+($W903*Lists!$AD$13)+($X903*Lists!$AD$14)+($Y903*Lists!$AD$15),2))</f>
        <v/>
      </c>
      <c r="AA903" s="103" t="str">
        <f aca="false">IF(OR($B903="", $N903="", $O903="", $T903="", $Z903=""),"",ROUND(($N903*Lists!$AD$16)-($O903*Lists!$AD$17)-($T903*Lists!$AD$18)+($Z903*Lists!$AD$19),2))</f>
        <v/>
      </c>
      <c r="AB903" s="102" t="str">
        <f aca="false">IF(OR($B903="", $N903="", $Z903=""),"",IF($N903&gt;=Lists!$AG$2,IF($Z903&gt;=Lists!$AG$3,"Invest","Migrate"),IF($Z903&gt;=Lists!$AG$3,"Tolerate","Eliminate")))</f>
        <v/>
      </c>
      <c r="AC903" s="102" t="str">
        <f aca="false">IF($B903="","",IF($J903&gt;=4,"Yes",""))</f>
        <v/>
      </c>
      <c r="AD903" s="102" t="str">
        <f aca="false">IF($A903="","",IFERROR(IF(VLOOKUP($A903,'Risk Register'!$B$2:$H$1000,4,FALSE())&gt;=4,"Yes",""),""))</f>
        <v/>
      </c>
      <c r="AE903" s="102" t="str">
        <f aca="false">IF(OR($N903="", $O903=""),"",IF($N903&gt;=Lists!$AG$2,IF($O903&gt;=Lists!$AG$4,"High Value / High Risk","High Value / Low Risk"),IF($O903&gt;=Lists!$AG$4,"Low Value / High Risk","Low Value / Low Risk")))</f>
        <v/>
      </c>
      <c r="AF903" s="101"/>
      <c r="AG903" s="126"/>
      <c r="AH903" s="106" t="str">
        <f aca="false">IF($B903="","",COUNTIFS('Debt Backlog'!$AF$2:$AF$1000,$A903,'Debt Backlog'!$B$2:$B$1000,"&lt;&gt;",'Debt Backlog'!$N$2:$N$1000,"&lt;&gt;Done",'Debt Backlog'!$N$2:$N$1000,"&lt;&gt;Won't Fix",'Debt Backlog'!$N$2:$N$1000,"&lt;&gt;Duplicate"))</f>
        <v/>
      </c>
      <c r="AI903" s="103" t="str">
        <f aca="false">IF($B903="","",ROUND(SUMIFS('Debt Backlog'!$L$2:$L$1000,'Debt Backlog'!$AF$2:$AF$1000,$A903,'Debt Backlog'!$B$2:$B$1000,"&lt;&gt;",'Debt Backlog'!$N$2:$N$1000,"&lt;&gt;Done",'Debt Backlog'!$N$2:$N$1000,"&lt;&gt;Won't Fix",'Debt Backlog'!$N$2:$N$1000,"&lt;&gt;Duplicate"),2))</f>
        <v/>
      </c>
    </row>
    <row r="904" customFormat="false" ht="15.75" hidden="false" customHeight="true" outlineLevel="0" collapsed="false">
      <c r="A904" s="125"/>
      <c r="B904" s="101"/>
      <c r="C904" s="101"/>
      <c r="D904" s="101"/>
      <c r="E904" s="101"/>
      <c r="F904" s="101"/>
      <c r="G904" s="101"/>
      <c r="H904" s="101"/>
      <c r="I904" s="106"/>
      <c r="J904" s="106"/>
      <c r="K904" s="106"/>
      <c r="L904" s="106"/>
      <c r="M904" s="106"/>
      <c r="N904" s="103" t="str">
        <f aca="false">IF(OR($B904="", $I904="", $J904="", $K904="", $L904="", $M904=""),"",ROUND(($I904*Lists!$AD$2)+($J904*Lists!$AD$3)+($K904*Lists!$AD$4)+($L904*Lists!$AD$5)+($M904*Lists!$AD$6),2))</f>
        <v/>
      </c>
      <c r="O904" s="103" t="str">
        <f aca="false">IF($A904="","",IFERROR(VLOOKUP($A904,'Risk Register'!$B$2:$I$1000,8,FALSE()),""))</f>
        <v/>
      </c>
      <c r="P904" s="106"/>
      <c r="Q904" s="106"/>
      <c r="R904" s="106"/>
      <c r="S904" s="106"/>
      <c r="T904" s="103" t="str">
        <f aca="false">IF(OR($B904="", $P904="", $Q904="", $R904="", $S904=""),"",ROUND(($P904*Lists!$AD$7)+($Q904*Lists!$AD$8)+($R904*Lists!$AD$9)+($S904*Lists!$AD$10),2))</f>
        <v/>
      </c>
      <c r="U904" s="106"/>
      <c r="V904" s="106"/>
      <c r="W904" s="106"/>
      <c r="X904" s="106"/>
      <c r="Y904" s="106"/>
      <c r="Z904" s="103" t="str">
        <f aca="false">IF(OR($B904="", $U904="", $V904="", $W904="", $X904="", $Y904=""),"",ROUND(($U904*Lists!$AD$11)+($V904*Lists!$AD$12)+($W904*Lists!$AD$13)+($X904*Lists!$AD$14)+($Y904*Lists!$AD$15),2))</f>
        <v/>
      </c>
      <c r="AA904" s="103" t="str">
        <f aca="false">IF(OR($B904="", $N904="", $O904="", $T904="", $Z904=""),"",ROUND(($N904*Lists!$AD$16)-($O904*Lists!$AD$17)-($T904*Lists!$AD$18)+($Z904*Lists!$AD$19),2))</f>
        <v/>
      </c>
      <c r="AB904" s="102" t="str">
        <f aca="false">IF(OR($B904="", $N904="", $Z904=""),"",IF($N904&gt;=Lists!$AG$2,IF($Z904&gt;=Lists!$AG$3,"Invest","Migrate"),IF($Z904&gt;=Lists!$AG$3,"Tolerate","Eliminate")))</f>
        <v/>
      </c>
      <c r="AC904" s="102" t="str">
        <f aca="false">IF($B904="","",IF($J904&gt;=4,"Yes",""))</f>
        <v/>
      </c>
      <c r="AD904" s="102" t="str">
        <f aca="false">IF($A904="","",IFERROR(IF(VLOOKUP($A904,'Risk Register'!$B$2:$H$1000,4,FALSE())&gt;=4,"Yes",""),""))</f>
        <v/>
      </c>
      <c r="AE904" s="102" t="str">
        <f aca="false">IF(OR($N904="", $O904=""),"",IF($N904&gt;=Lists!$AG$2,IF($O904&gt;=Lists!$AG$4,"High Value / High Risk","High Value / Low Risk"),IF($O904&gt;=Lists!$AG$4,"Low Value / High Risk","Low Value / Low Risk")))</f>
        <v/>
      </c>
      <c r="AF904" s="101"/>
      <c r="AG904" s="126"/>
      <c r="AH904" s="106" t="str">
        <f aca="false">IF($B904="","",COUNTIFS('Debt Backlog'!$AF$2:$AF$1000,$A904,'Debt Backlog'!$B$2:$B$1000,"&lt;&gt;",'Debt Backlog'!$N$2:$N$1000,"&lt;&gt;Done",'Debt Backlog'!$N$2:$N$1000,"&lt;&gt;Won't Fix",'Debt Backlog'!$N$2:$N$1000,"&lt;&gt;Duplicate"))</f>
        <v/>
      </c>
      <c r="AI904" s="103" t="str">
        <f aca="false">IF($B904="","",ROUND(SUMIFS('Debt Backlog'!$L$2:$L$1000,'Debt Backlog'!$AF$2:$AF$1000,$A904,'Debt Backlog'!$B$2:$B$1000,"&lt;&gt;",'Debt Backlog'!$N$2:$N$1000,"&lt;&gt;Done",'Debt Backlog'!$N$2:$N$1000,"&lt;&gt;Won't Fix",'Debt Backlog'!$N$2:$N$1000,"&lt;&gt;Duplicate"),2))</f>
        <v/>
      </c>
    </row>
    <row r="905" customFormat="false" ht="15.75" hidden="false" customHeight="true" outlineLevel="0" collapsed="false">
      <c r="A905" s="125"/>
      <c r="B905" s="101"/>
      <c r="C905" s="101"/>
      <c r="D905" s="101"/>
      <c r="E905" s="101"/>
      <c r="F905" s="101"/>
      <c r="G905" s="101"/>
      <c r="H905" s="101"/>
      <c r="I905" s="106"/>
      <c r="J905" s="106"/>
      <c r="K905" s="106"/>
      <c r="L905" s="106"/>
      <c r="M905" s="106"/>
      <c r="N905" s="103" t="str">
        <f aca="false">IF(OR($B905="", $I905="", $J905="", $K905="", $L905="", $M905=""),"",ROUND(($I905*Lists!$AD$2)+($J905*Lists!$AD$3)+($K905*Lists!$AD$4)+($L905*Lists!$AD$5)+($M905*Lists!$AD$6),2))</f>
        <v/>
      </c>
      <c r="O905" s="103" t="str">
        <f aca="false">IF($A905="","",IFERROR(VLOOKUP($A905,'Risk Register'!$B$2:$I$1000,8,FALSE()),""))</f>
        <v/>
      </c>
      <c r="P905" s="106"/>
      <c r="Q905" s="106"/>
      <c r="R905" s="106"/>
      <c r="S905" s="106"/>
      <c r="T905" s="103" t="str">
        <f aca="false">IF(OR($B905="", $P905="", $Q905="", $R905="", $S905=""),"",ROUND(($P905*Lists!$AD$7)+($Q905*Lists!$AD$8)+($R905*Lists!$AD$9)+($S905*Lists!$AD$10),2))</f>
        <v/>
      </c>
      <c r="U905" s="106"/>
      <c r="V905" s="106"/>
      <c r="W905" s="106"/>
      <c r="X905" s="106"/>
      <c r="Y905" s="106"/>
      <c r="Z905" s="103" t="str">
        <f aca="false">IF(OR($B905="", $U905="", $V905="", $W905="", $X905="", $Y905=""),"",ROUND(($U905*Lists!$AD$11)+($V905*Lists!$AD$12)+($W905*Lists!$AD$13)+($X905*Lists!$AD$14)+($Y905*Lists!$AD$15),2))</f>
        <v/>
      </c>
      <c r="AA905" s="103" t="str">
        <f aca="false">IF(OR($B905="", $N905="", $O905="", $T905="", $Z905=""),"",ROUND(($N905*Lists!$AD$16)-($O905*Lists!$AD$17)-($T905*Lists!$AD$18)+($Z905*Lists!$AD$19),2))</f>
        <v/>
      </c>
      <c r="AB905" s="102" t="str">
        <f aca="false">IF(OR($B905="", $N905="", $Z905=""),"",IF($N905&gt;=Lists!$AG$2,IF($Z905&gt;=Lists!$AG$3,"Invest","Migrate"),IF($Z905&gt;=Lists!$AG$3,"Tolerate","Eliminate")))</f>
        <v/>
      </c>
      <c r="AC905" s="102" t="str">
        <f aca="false">IF($B905="","",IF($J905&gt;=4,"Yes",""))</f>
        <v/>
      </c>
      <c r="AD905" s="102" t="str">
        <f aca="false">IF($A905="","",IFERROR(IF(VLOOKUP($A905,'Risk Register'!$B$2:$H$1000,4,FALSE())&gt;=4,"Yes",""),""))</f>
        <v/>
      </c>
      <c r="AE905" s="102" t="str">
        <f aca="false">IF(OR($N905="", $O905=""),"",IF($N905&gt;=Lists!$AG$2,IF($O905&gt;=Lists!$AG$4,"High Value / High Risk","High Value / Low Risk"),IF($O905&gt;=Lists!$AG$4,"Low Value / High Risk","Low Value / Low Risk")))</f>
        <v/>
      </c>
      <c r="AF905" s="101"/>
      <c r="AG905" s="126"/>
      <c r="AH905" s="106" t="str">
        <f aca="false">IF($B905="","",COUNTIFS('Debt Backlog'!$AF$2:$AF$1000,$A905,'Debt Backlog'!$B$2:$B$1000,"&lt;&gt;",'Debt Backlog'!$N$2:$N$1000,"&lt;&gt;Done",'Debt Backlog'!$N$2:$N$1000,"&lt;&gt;Won't Fix",'Debt Backlog'!$N$2:$N$1000,"&lt;&gt;Duplicate"))</f>
        <v/>
      </c>
      <c r="AI905" s="103" t="str">
        <f aca="false">IF($B905="","",ROUND(SUMIFS('Debt Backlog'!$L$2:$L$1000,'Debt Backlog'!$AF$2:$AF$1000,$A905,'Debt Backlog'!$B$2:$B$1000,"&lt;&gt;",'Debt Backlog'!$N$2:$N$1000,"&lt;&gt;Done",'Debt Backlog'!$N$2:$N$1000,"&lt;&gt;Won't Fix",'Debt Backlog'!$N$2:$N$1000,"&lt;&gt;Duplicate"),2))</f>
        <v/>
      </c>
    </row>
    <row r="906" customFormat="false" ht="15.75" hidden="false" customHeight="true" outlineLevel="0" collapsed="false">
      <c r="A906" s="125"/>
      <c r="B906" s="101"/>
      <c r="C906" s="101"/>
      <c r="D906" s="101"/>
      <c r="E906" s="101"/>
      <c r="F906" s="101"/>
      <c r="G906" s="101"/>
      <c r="H906" s="101"/>
      <c r="I906" s="106"/>
      <c r="J906" s="106"/>
      <c r="K906" s="106"/>
      <c r="L906" s="106"/>
      <c r="M906" s="106"/>
      <c r="N906" s="103" t="str">
        <f aca="false">IF(OR($B906="", $I906="", $J906="", $K906="", $L906="", $M906=""),"",ROUND(($I906*Lists!$AD$2)+($J906*Lists!$AD$3)+($K906*Lists!$AD$4)+($L906*Lists!$AD$5)+($M906*Lists!$AD$6),2))</f>
        <v/>
      </c>
      <c r="O906" s="103" t="str">
        <f aca="false">IF($A906="","",IFERROR(VLOOKUP($A906,'Risk Register'!$B$2:$I$1000,8,FALSE()),""))</f>
        <v/>
      </c>
      <c r="P906" s="106"/>
      <c r="Q906" s="106"/>
      <c r="R906" s="106"/>
      <c r="S906" s="106"/>
      <c r="T906" s="103" t="str">
        <f aca="false">IF(OR($B906="", $P906="", $Q906="", $R906="", $S906=""),"",ROUND(($P906*Lists!$AD$7)+($Q906*Lists!$AD$8)+($R906*Lists!$AD$9)+($S906*Lists!$AD$10),2))</f>
        <v/>
      </c>
      <c r="U906" s="106"/>
      <c r="V906" s="106"/>
      <c r="W906" s="106"/>
      <c r="X906" s="106"/>
      <c r="Y906" s="106"/>
      <c r="Z906" s="103" t="str">
        <f aca="false">IF(OR($B906="", $U906="", $V906="", $W906="", $X906="", $Y906=""),"",ROUND(($U906*Lists!$AD$11)+($V906*Lists!$AD$12)+($W906*Lists!$AD$13)+($X906*Lists!$AD$14)+($Y906*Lists!$AD$15),2))</f>
        <v/>
      </c>
      <c r="AA906" s="103" t="str">
        <f aca="false">IF(OR($B906="", $N906="", $O906="", $T906="", $Z906=""),"",ROUND(($N906*Lists!$AD$16)-($O906*Lists!$AD$17)-($T906*Lists!$AD$18)+($Z906*Lists!$AD$19),2))</f>
        <v/>
      </c>
      <c r="AB906" s="102" t="str">
        <f aca="false">IF(OR($B906="", $N906="", $Z906=""),"",IF($N906&gt;=Lists!$AG$2,IF($Z906&gt;=Lists!$AG$3,"Invest","Migrate"),IF($Z906&gt;=Lists!$AG$3,"Tolerate","Eliminate")))</f>
        <v/>
      </c>
      <c r="AC906" s="102" t="str">
        <f aca="false">IF($B906="","",IF($J906&gt;=4,"Yes",""))</f>
        <v/>
      </c>
      <c r="AD906" s="102" t="str">
        <f aca="false">IF($A906="","",IFERROR(IF(VLOOKUP($A906,'Risk Register'!$B$2:$H$1000,4,FALSE())&gt;=4,"Yes",""),""))</f>
        <v/>
      </c>
      <c r="AE906" s="102" t="str">
        <f aca="false">IF(OR($N906="", $O906=""),"",IF($N906&gt;=Lists!$AG$2,IF($O906&gt;=Lists!$AG$4,"High Value / High Risk","High Value / Low Risk"),IF($O906&gt;=Lists!$AG$4,"Low Value / High Risk","Low Value / Low Risk")))</f>
        <v/>
      </c>
      <c r="AF906" s="101"/>
      <c r="AG906" s="126"/>
      <c r="AH906" s="106" t="str">
        <f aca="false">IF($B906="","",COUNTIFS('Debt Backlog'!$AF$2:$AF$1000,$A906,'Debt Backlog'!$B$2:$B$1000,"&lt;&gt;",'Debt Backlog'!$N$2:$N$1000,"&lt;&gt;Done",'Debt Backlog'!$N$2:$N$1000,"&lt;&gt;Won't Fix",'Debt Backlog'!$N$2:$N$1000,"&lt;&gt;Duplicate"))</f>
        <v/>
      </c>
      <c r="AI906" s="103" t="str">
        <f aca="false">IF($B906="","",ROUND(SUMIFS('Debt Backlog'!$L$2:$L$1000,'Debt Backlog'!$AF$2:$AF$1000,$A906,'Debt Backlog'!$B$2:$B$1000,"&lt;&gt;",'Debt Backlog'!$N$2:$N$1000,"&lt;&gt;Done",'Debt Backlog'!$N$2:$N$1000,"&lt;&gt;Won't Fix",'Debt Backlog'!$N$2:$N$1000,"&lt;&gt;Duplicate"),2))</f>
        <v/>
      </c>
    </row>
    <row r="907" customFormat="false" ht="15.75" hidden="false" customHeight="true" outlineLevel="0" collapsed="false">
      <c r="A907" s="125"/>
      <c r="B907" s="101"/>
      <c r="C907" s="101"/>
      <c r="D907" s="101"/>
      <c r="E907" s="101"/>
      <c r="F907" s="101"/>
      <c r="G907" s="101"/>
      <c r="H907" s="101"/>
      <c r="I907" s="106"/>
      <c r="J907" s="106"/>
      <c r="K907" s="106"/>
      <c r="L907" s="106"/>
      <c r="M907" s="106"/>
      <c r="N907" s="103" t="str">
        <f aca="false">IF(OR($B907="", $I907="", $J907="", $K907="", $L907="", $M907=""),"",ROUND(($I907*Lists!$AD$2)+($J907*Lists!$AD$3)+($K907*Lists!$AD$4)+($L907*Lists!$AD$5)+($M907*Lists!$AD$6),2))</f>
        <v/>
      </c>
      <c r="O907" s="103" t="str">
        <f aca="false">IF($A907="","",IFERROR(VLOOKUP($A907,'Risk Register'!$B$2:$I$1000,8,FALSE()),""))</f>
        <v/>
      </c>
      <c r="P907" s="106"/>
      <c r="Q907" s="106"/>
      <c r="R907" s="106"/>
      <c r="S907" s="106"/>
      <c r="T907" s="103" t="str">
        <f aca="false">IF(OR($B907="", $P907="", $Q907="", $R907="", $S907=""),"",ROUND(($P907*Lists!$AD$7)+($Q907*Lists!$AD$8)+($R907*Lists!$AD$9)+($S907*Lists!$AD$10),2))</f>
        <v/>
      </c>
      <c r="U907" s="106"/>
      <c r="V907" s="106"/>
      <c r="W907" s="106"/>
      <c r="X907" s="106"/>
      <c r="Y907" s="106"/>
      <c r="Z907" s="103" t="str">
        <f aca="false">IF(OR($B907="", $U907="", $V907="", $W907="", $X907="", $Y907=""),"",ROUND(($U907*Lists!$AD$11)+($V907*Lists!$AD$12)+($W907*Lists!$AD$13)+($X907*Lists!$AD$14)+($Y907*Lists!$AD$15),2))</f>
        <v/>
      </c>
      <c r="AA907" s="103" t="str">
        <f aca="false">IF(OR($B907="", $N907="", $O907="", $T907="", $Z907=""),"",ROUND(($N907*Lists!$AD$16)-($O907*Lists!$AD$17)-($T907*Lists!$AD$18)+($Z907*Lists!$AD$19),2))</f>
        <v/>
      </c>
      <c r="AB907" s="102" t="str">
        <f aca="false">IF(OR($B907="", $N907="", $Z907=""),"",IF($N907&gt;=Lists!$AG$2,IF($Z907&gt;=Lists!$AG$3,"Invest","Migrate"),IF($Z907&gt;=Lists!$AG$3,"Tolerate","Eliminate")))</f>
        <v/>
      </c>
      <c r="AC907" s="102" t="str">
        <f aca="false">IF($B907="","",IF($J907&gt;=4,"Yes",""))</f>
        <v/>
      </c>
      <c r="AD907" s="102" t="str">
        <f aca="false">IF($A907="","",IFERROR(IF(VLOOKUP($A907,'Risk Register'!$B$2:$H$1000,4,FALSE())&gt;=4,"Yes",""),""))</f>
        <v/>
      </c>
      <c r="AE907" s="102" t="str">
        <f aca="false">IF(OR($N907="", $O907=""),"",IF($N907&gt;=Lists!$AG$2,IF($O907&gt;=Lists!$AG$4,"High Value / High Risk","High Value / Low Risk"),IF($O907&gt;=Lists!$AG$4,"Low Value / High Risk","Low Value / Low Risk")))</f>
        <v/>
      </c>
      <c r="AF907" s="101"/>
      <c r="AG907" s="126"/>
      <c r="AH907" s="106" t="str">
        <f aca="false">IF($B907="","",COUNTIFS('Debt Backlog'!$AF$2:$AF$1000,$A907,'Debt Backlog'!$B$2:$B$1000,"&lt;&gt;",'Debt Backlog'!$N$2:$N$1000,"&lt;&gt;Done",'Debt Backlog'!$N$2:$N$1000,"&lt;&gt;Won't Fix",'Debt Backlog'!$N$2:$N$1000,"&lt;&gt;Duplicate"))</f>
        <v/>
      </c>
      <c r="AI907" s="103" t="str">
        <f aca="false">IF($B907="","",ROUND(SUMIFS('Debt Backlog'!$L$2:$L$1000,'Debt Backlog'!$AF$2:$AF$1000,$A907,'Debt Backlog'!$B$2:$B$1000,"&lt;&gt;",'Debt Backlog'!$N$2:$N$1000,"&lt;&gt;Done",'Debt Backlog'!$N$2:$N$1000,"&lt;&gt;Won't Fix",'Debt Backlog'!$N$2:$N$1000,"&lt;&gt;Duplicate"),2))</f>
        <v/>
      </c>
    </row>
    <row r="908" customFormat="false" ht="15.75" hidden="false" customHeight="true" outlineLevel="0" collapsed="false">
      <c r="A908" s="125"/>
      <c r="B908" s="101"/>
      <c r="C908" s="101"/>
      <c r="D908" s="101"/>
      <c r="E908" s="101"/>
      <c r="F908" s="101"/>
      <c r="G908" s="101"/>
      <c r="H908" s="101"/>
      <c r="I908" s="106"/>
      <c r="J908" s="106"/>
      <c r="K908" s="106"/>
      <c r="L908" s="106"/>
      <c r="M908" s="106"/>
      <c r="N908" s="103" t="str">
        <f aca="false">IF(OR($B908="", $I908="", $J908="", $K908="", $L908="", $M908=""),"",ROUND(($I908*Lists!$AD$2)+($J908*Lists!$AD$3)+($K908*Lists!$AD$4)+($L908*Lists!$AD$5)+($M908*Lists!$AD$6),2))</f>
        <v/>
      </c>
      <c r="O908" s="103" t="str">
        <f aca="false">IF($A908="","",IFERROR(VLOOKUP($A908,'Risk Register'!$B$2:$I$1000,8,FALSE()),""))</f>
        <v/>
      </c>
      <c r="P908" s="106"/>
      <c r="Q908" s="106"/>
      <c r="R908" s="106"/>
      <c r="S908" s="106"/>
      <c r="T908" s="103" t="str">
        <f aca="false">IF(OR($B908="", $P908="", $Q908="", $R908="", $S908=""),"",ROUND(($P908*Lists!$AD$7)+($Q908*Lists!$AD$8)+($R908*Lists!$AD$9)+($S908*Lists!$AD$10),2))</f>
        <v/>
      </c>
      <c r="U908" s="106"/>
      <c r="V908" s="106"/>
      <c r="W908" s="106"/>
      <c r="X908" s="106"/>
      <c r="Y908" s="106"/>
      <c r="Z908" s="103" t="str">
        <f aca="false">IF(OR($B908="", $U908="", $V908="", $W908="", $X908="", $Y908=""),"",ROUND(($U908*Lists!$AD$11)+($V908*Lists!$AD$12)+($W908*Lists!$AD$13)+($X908*Lists!$AD$14)+($Y908*Lists!$AD$15),2))</f>
        <v/>
      </c>
      <c r="AA908" s="103" t="str">
        <f aca="false">IF(OR($B908="", $N908="", $O908="", $T908="", $Z908=""),"",ROUND(($N908*Lists!$AD$16)-($O908*Lists!$AD$17)-($T908*Lists!$AD$18)+($Z908*Lists!$AD$19),2))</f>
        <v/>
      </c>
      <c r="AB908" s="102" t="str">
        <f aca="false">IF(OR($B908="", $N908="", $Z908=""),"",IF($N908&gt;=Lists!$AG$2,IF($Z908&gt;=Lists!$AG$3,"Invest","Migrate"),IF($Z908&gt;=Lists!$AG$3,"Tolerate","Eliminate")))</f>
        <v/>
      </c>
      <c r="AC908" s="102" t="str">
        <f aca="false">IF($B908="","",IF($J908&gt;=4,"Yes",""))</f>
        <v/>
      </c>
      <c r="AD908" s="102" t="str">
        <f aca="false">IF($A908="","",IFERROR(IF(VLOOKUP($A908,'Risk Register'!$B$2:$H$1000,4,FALSE())&gt;=4,"Yes",""),""))</f>
        <v/>
      </c>
      <c r="AE908" s="102" t="str">
        <f aca="false">IF(OR($N908="", $O908=""),"",IF($N908&gt;=Lists!$AG$2,IF($O908&gt;=Lists!$AG$4,"High Value / High Risk","High Value / Low Risk"),IF($O908&gt;=Lists!$AG$4,"Low Value / High Risk","Low Value / Low Risk")))</f>
        <v/>
      </c>
      <c r="AF908" s="101"/>
      <c r="AG908" s="126"/>
      <c r="AH908" s="106" t="str">
        <f aca="false">IF($B908="","",COUNTIFS('Debt Backlog'!$AF$2:$AF$1000,$A908,'Debt Backlog'!$B$2:$B$1000,"&lt;&gt;",'Debt Backlog'!$N$2:$N$1000,"&lt;&gt;Done",'Debt Backlog'!$N$2:$N$1000,"&lt;&gt;Won't Fix",'Debt Backlog'!$N$2:$N$1000,"&lt;&gt;Duplicate"))</f>
        <v/>
      </c>
      <c r="AI908" s="103" t="str">
        <f aca="false">IF($B908="","",ROUND(SUMIFS('Debt Backlog'!$L$2:$L$1000,'Debt Backlog'!$AF$2:$AF$1000,$A908,'Debt Backlog'!$B$2:$B$1000,"&lt;&gt;",'Debt Backlog'!$N$2:$N$1000,"&lt;&gt;Done",'Debt Backlog'!$N$2:$N$1000,"&lt;&gt;Won't Fix",'Debt Backlog'!$N$2:$N$1000,"&lt;&gt;Duplicate"),2))</f>
        <v/>
      </c>
    </row>
    <row r="909" customFormat="false" ht="15.75" hidden="false" customHeight="true" outlineLevel="0" collapsed="false">
      <c r="A909" s="125"/>
      <c r="B909" s="101"/>
      <c r="C909" s="101"/>
      <c r="D909" s="101"/>
      <c r="E909" s="101"/>
      <c r="F909" s="101"/>
      <c r="G909" s="101"/>
      <c r="H909" s="101"/>
      <c r="I909" s="106"/>
      <c r="J909" s="106"/>
      <c r="K909" s="106"/>
      <c r="L909" s="106"/>
      <c r="M909" s="106"/>
      <c r="N909" s="103" t="str">
        <f aca="false">IF(OR($B909="", $I909="", $J909="", $K909="", $L909="", $M909=""),"",ROUND(($I909*Lists!$AD$2)+($J909*Lists!$AD$3)+($K909*Lists!$AD$4)+($L909*Lists!$AD$5)+($M909*Lists!$AD$6),2))</f>
        <v/>
      </c>
      <c r="O909" s="103" t="str">
        <f aca="false">IF($A909="","",IFERROR(VLOOKUP($A909,'Risk Register'!$B$2:$I$1000,8,FALSE()),""))</f>
        <v/>
      </c>
      <c r="P909" s="106"/>
      <c r="Q909" s="106"/>
      <c r="R909" s="106"/>
      <c r="S909" s="106"/>
      <c r="T909" s="103" t="str">
        <f aca="false">IF(OR($B909="", $P909="", $Q909="", $R909="", $S909=""),"",ROUND(($P909*Lists!$AD$7)+($Q909*Lists!$AD$8)+($R909*Lists!$AD$9)+($S909*Lists!$AD$10),2))</f>
        <v/>
      </c>
      <c r="U909" s="106"/>
      <c r="V909" s="106"/>
      <c r="W909" s="106"/>
      <c r="X909" s="106"/>
      <c r="Y909" s="106"/>
      <c r="Z909" s="103" t="str">
        <f aca="false">IF(OR($B909="", $U909="", $V909="", $W909="", $X909="", $Y909=""),"",ROUND(($U909*Lists!$AD$11)+($V909*Lists!$AD$12)+($W909*Lists!$AD$13)+($X909*Lists!$AD$14)+($Y909*Lists!$AD$15),2))</f>
        <v/>
      </c>
      <c r="AA909" s="103" t="str">
        <f aca="false">IF(OR($B909="", $N909="", $O909="", $T909="", $Z909=""),"",ROUND(($N909*Lists!$AD$16)-($O909*Lists!$AD$17)-($T909*Lists!$AD$18)+($Z909*Lists!$AD$19),2))</f>
        <v/>
      </c>
      <c r="AB909" s="102" t="str">
        <f aca="false">IF(OR($B909="", $N909="", $Z909=""),"",IF($N909&gt;=Lists!$AG$2,IF($Z909&gt;=Lists!$AG$3,"Invest","Migrate"),IF($Z909&gt;=Lists!$AG$3,"Tolerate","Eliminate")))</f>
        <v/>
      </c>
      <c r="AC909" s="102" t="str">
        <f aca="false">IF($B909="","",IF($J909&gt;=4,"Yes",""))</f>
        <v/>
      </c>
      <c r="AD909" s="102" t="str">
        <f aca="false">IF($A909="","",IFERROR(IF(VLOOKUP($A909,'Risk Register'!$B$2:$H$1000,4,FALSE())&gt;=4,"Yes",""),""))</f>
        <v/>
      </c>
      <c r="AE909" s="102" t="str">
        <f aca="false">IF(OR($N909="", $O909=""),"",IF($N909&gt;=Lists!$AG$2,IF($O909&gt;=Lists!$AG$4,"High Value / High Risk","High Value / Low Risk"),IF($O909&gt;=Lists!$AG$4,"Low Value / High Risk","Low Value / Low Risk")))</f>
        <v/>
      </c>
      <c r="AF909" s="101"/>
      <c r="AG909" s="126"/>
      <c r="AH909" s="106" t="str">
        <f aca="false">IF($B909="","",COUNTIFS('Debt Backlog'!$AF$2:$AF$1000,$A909,'Debt Backlog'!$B$2:$B$1000,"&lt;&gt;",'Debt Backlog'!$N$2:$N$1000,"&lt;&gt;Done",'Debt Backlog'!$N$2:$N$1000,"&lt;&gt;Won't Fix",'Debt Backlog'!$N$2:$N$1000,"&lt;&gt;Duplicate"))</f>
        <v/>
      </c>
      <c r="AI909" s="103" t="str">
        <f aca="false">IF($B909="","",ROUND(SUMIFS('Debt Backlog'!$L$2:$L$1000,'Debt Backlog'!$AF$2:$AF$1000,$A909,'Debt Backlog'!$B$2:$B$1000,"&lt;&gt;",'Debt Backlog'!$N$2:$N$1000,"&lt;&gt;Done",'Debt Backlog'!$N$2:$N$1000,"&lt;&gt;Won't Fix",'Debt Backlog'!$N$2:$N$1000,"&lt;&gt;Duplicate"),2))</f>
        <v/>
      </c>
    </row>
    <row r="910" customFormat="false" ht="15.75" hidden="false" customHeight="true" outlineLevel="0" collapsed="false">
      <c r="A910" s="125"/>
      <c r="B910" s="101"/>
      <c r="C910" s="101"/>
      <c r="D910" s="101"/>
      <c r="E910" s="101"/>
      <c r="F910" s="101"/>
      <c r="G910" s="101"/>
      <c r="H910" s="101"/>
      <c r="I910" s="106"/>
      <c r="J910" s="106"/>
      <c r="K910" s="106"/>
      <c r="L910" s="106"/>
      <c r="M910" s="106"/>
      <c r="N910" s="103" t="str">
        <f aca="false">IF(OR($B910="", $I910="", $J910="", $K910="", $L910="", $M910=""),"",ROUND(($I910*Lists!$AD$2)+($J910*Lists!$AD$3)+($K910*Lists!$AD$4)+($L910*Lists!$AD$5)+($M910*Lists!$AD$6),2))</f>
        <v/>
      </c>
      <c r="O910" s="103" t="str">
        <f aca="false">IF($A910="","",IFERROR(VLOOKUP($A910,'Risk Register'!$B$2:$I$1000,8,FALSE()),""))</f>
        <v/>
      </c>
      <c r="P910" s="106"/>
      <c r="Q910" s="106"/>
      <c r="R910" s="106"/>
      <c r="S910" s="106"/>
      <c r="T910" s="103" t="str">
        <f aca="false">IF(OR($B910="", $P910="", $Q910="", $R910="", $S910=""),"",ROUND(($P910*Lists!$AD$7)+($Q910*Lists!$AD$8)+($R910*Lists!$AD$9)+($S910*Lists!$AD$10),2))</f>
        <v/>
      </c>
      <c r="U910" s="106"/>
      <c r="V910" s="106"/>
      <c r="W910" s="106"/>
      <c r="X910" s="106"/>
      <c r="Y910" s="106"/>
      <c r="Z910" s="103" t="str">
        <f aca="false">IF(OR($B910="", $U910="", $V910="", $W910="", $X910="", $Y910=""),"",ROUND(($U910*Lists!$AD$11)+($V910*Lists!$AD$12)+($W910*Lists!$AD$13)+($X910*Lists!$AD$14)+($Y910*Lists!$AD$15),2))</f>
        <v/>
      </c>
      <c r="AA910" s="103" t="str">
        <f aca="false">IF(OR($B910="", $N910="", $O910="", $T910="", $Z910=""),"",ROUND(($N910*Lists!$AD$16)-($O910*Lists!$AD$17)-($T910*Lists!$AD$18)+($Z910*Lists!$AD$19),2))</f>
        <v/>
      </c>
      <c r="AB910" s="102" t="str">
        <f aca="false">IF(OR($B910="", $N910="", $Z910=""),"",IF($N910&gt;=Lists!$AG$2,IF($Z910&gt;=Lists!$AG$3,"Invest","Migrate"),IF($Z910&gt;=Lists!$AG$3,"Tolerate","Eliminate")))</f>
        <v/>
      </c>
      <c r="AC910" s="102" t="str">
        <f aca="false">IF($B910="","",IF($J910&gt;=4,"Yes",""))</f>
        <v/>
      </c>
      <c r="AD910" s="102" t="str">
        <f aca="false">IF($A910="","",IFERROR(IF(VLOOKUP($A910,'Risk Register'!$B$2:$H$1000,4,FALSE())&gt;=4,"Yes",""),""))</f>
        <v/>
      </c>
      <c r="AE910" s="102" t="str">
        <f aca="false">IF(OR($N910="", $O910=""),"",IF($N910&gt;=Lists!$AG$2,IF($O910&gt;=Lists!$AG$4,"High Value / High Risk","High Value / Low Risk"),IF($O910&gt;=Lists!$AG$4,"Low Value / High Risk","Low Value / Low Risk")))</f>
        <v/>
      </c>
      <c r="AF910" s="101"/>
      <c r="AG910" s="126"/>
      <c r="AH910" s="106" t="str">
        <f aca="false">IF($B910="","",COUNTIFS('Debt Backlog'!$AF$2:$AF$1000,$A910,'Debt Backlog'!$B$2:$B$1000,"&lt;&gt;",'Debt Backlog'!$N$2:$N$1000,"&lt;&gt;Done",'Debt Backlog'!$N$2:$N$1000,"&lt;&gt;Won't Fix",'Debt Backlog'!$N$2:$N$1000,"&lt;&gt;Duplicate"))</f>
        <v/>
      </c>
      <c r="AI910" s="103" t="str">
        <f aca="false">IF($B910="","",ROUND(SUMIFS('Debt Backlog'!$L$2:$L$1000,'Debt Backlog'!$AF$2:$AF$1000,$A910,'Debt Backlog'!$B$2:$B$1000,"&lt;&gt;",'Debt Backlog'!$N$2:$N$1000,"&lt;&gt;Done",'Debt Backlog'!$N$2:$N$1000,"&lt;&gt;Won't Fix",'Debt Backlog'!$N$2:$N$1000,"&lt;&gt;Duplicate"),2))</f>
        <v/>
      </c>
    </row>
    <row r="911" customFormat="false" ht="15.75" hidden="false" customHeight="true" outlineLevel="0" collapsed="false">
      <c r="A911" s="125"/>
      <c r="B911" s="101"/>
      <c r="C911" s="101"/>
      <c r="D911" s="101"/>
      <c r="E911" s="101"/>
      <c r="F911" s="101"/>
      <c r="G911" s="101"/>
      <c r="H911" s="101"/>
      <c r="I911" s="106"/>
      <c r="J911" s="106"/>
      <c r="K911" s="106"/>
      <c r="L911" s="106"/>
      <c r="M911" s="106"/>
      <c r="N911" s="103" t="str">
        <f aca="false">IF(OR($B911="", $I911="", $J911="", $K911="", $L911="", $M911=""),"",ROUND(($I911*Lists!$AD$2)+($J911*Lists!$AD$3)+($K911*Lists!$AD$4)+($L911*Lists!$AD$5)+($M911*Lists!$AD$6),2))</f>
        <v/>
      </c>
      <c r="O911" s="103" t="str">
        <f aca="false">IF($A911="","",IFERROR(VLOOKUP($A911,'Risk Register'!$B$2:$I$1000,8,FALSE()),""))</f>
        <v/>
      </c>
      <c r="P911" s="106"/>
      <c r="Q911" s="106"/>
      <c r="R911" s="106"/>
      <c r="S911" s="106"/>
      <c r="T911" s="103" t="str">
        <f aca="false">IF(OR($B911="", $P911="", $Q911="", $R911="", $S911=""),"",ROUND(($P911*Lists!$AD$7)+($Q911*Lists!$AD$8)+($R911*Lists!$AD$9)+($S911*Lists!$AD$10),2))</f>
        <v/>
      </c>
      <c r="U911" s="106"/>
      <c r="V911" s="106"/>
      <c r="W911" s="106"/>
      <c r="X911" s="106"/>
      <c r="Y911" s="106"/>
      <c r="Z911" s="103" t="str">
        <f aca="false">IF(OR($B911="", $U911="", $V911="", $W911="", $X911="", $Y911=""),"",ROUND(($U911*Lists!$AD$11)+($V911*Lists!$AD$12)+($W911*Lists!$AD$13)+($X911*Lists!$AD$14)+($Y911*Lists!$AD$15),2))</f>
        <v/>
      </c>
      <c r="AA911" s="103" t="str">
        <f aca="false">IF(OR($B911="", $N911="", $O911="", $T911="", $Z911=""),"",ROUND(($N911*Lists!$AD$16)-($O911*Lists!$AD$17)-($T911*Lists!$AD$18)+($Z911*Lists!$AD$19),2))</f>
        <v/>
      </c>
      <c r="AB911" s="102" t="str">
        <f aca="false">IF(OR($B911="", $N911="", $Z911=""),"",IF($N911&gt;=Lists!$AG$2,IF($Z911&gt;=Lists!$AG$3,"Invest","Migrate"),IF($Z911&gt;=Lists!$AG$3,"Tolerate","Eliminate")))</f>
        <v/>
      </c>
      <c r="AC911" s="102" t="str">
        <f aca="false">IF($B911="","",IF($J911&gt;=4,"Yes",""))</f>
        <v/>
      </c>
      <c r="AD911" s="102" t="str">
        <f aca="false">IF($A911="","",IFERROR(IF(VLOOKUP($A911,'Risk Register'!$B$2:$H$1000,4,FALSE())&gt;=4,"Yes",""),""))</f>
        <v/>
      </c>
      <c r="AE911" s="102" t="str">
        <f aca="false">IF(OR($N911="", $O911=""),"",IF($N911&gt;=Lists!$AG$2,IF($O911&gt;=Lists!$AG$4,"High Value / High Risk","High Value / Low Risk"),IF($O911&gt;=Lists!$AG$4,"Low Value / High Risk","Low Value / Low Risk")))</f>
        <v/>
      </c>
      <c r="AF911" s="101"/>
      <c r="AG911" s="126"/>
      <c r="AH911" s="106" t="str">
        <f aca="false">IF($B911="","",COUNTIFS('Debt Backlog'!$AF$2:$AF$1000,$A911,'Debt Backlog'!$B$2:$B$1000,"&lt;&gt;",'Debt Backlog'!$N$2:$N$1000,"&lt;&gt;Done",'Debt Backlog'!$N$2:$N$1000,"&lt;&gt;Won't Fix",'Debt Backlog'!$N$2:$N$1000,"&lt;&gt;Duplicate"))</f>
        <v/>
      </c>
      <c r="AI911" s="103" t="str">
        <f aca="false">IF($B911="","",ROUND(SUMIFS('Debt Backlog'!$L$2:$L$1000,'Debt Backlog'!$AF$2:$AF$1000,$A911,'Debt Backlog'!$B$2:$B$1000,"&lt;&gt;",'Debt Backlog'!$N$2:$N$1000,"&lt;&gt;Done",'Debt Backlog'!$N$2:$N$1000,"&lt;&gt;Won't Fix",'Debt Backlog'!$N$2:$N$1000,"&lt;&gt;Duplicate"),2))</f>
        <v/>
      </c>
    </row>
    <row r="912" customFormat="false" ht="15.75" hidden="false" customHeight="true" outlineLevel="0" collapsed="false">
      <c r="A912" s="125"/>
      <c r="B912" s="101"/>
      <c r="C912" s="101"/>
      <c r="D912" s="101"/>
      <c r="E912" s="101"/>
      <c r="F912" s="101"/>
      <c r="G912" s="101"/>
      <c r="H912" s="101"/>
      <c r="I912" s="106"/>
      <c r="J912" s="106"/>
      <c r="K912" s="106"/>
      <c r="L912" s="106"/>
      <c r="M912" s="106"/>
      <c r="N912" s="103" t="str">
        <f aca="false">IF(OR($B912="", $I912="", $J912="", $K912="", $L912="", $M912=""),"",ROUND(($I912*Lists!$AD$2)+($J912*Lists!$AD$3)+($K912*Lists!$AD$4)+($L912*Lists!$AD$5)+($M912*Lists!$AD$6),2))</f>
        <v/>
      </c>
      <c r="O912" s="103" t="str">
        <f aca="false">IF($A912="","",IFERROR(VLOOKUP($A912,'Risk Register'!$B$2:$I$1000,8,FALSE()),""))</f>
        <v/>
      </c>
      <c r="P912" s="106"/>
      <c r="Q912" s="106"/>
      <c r="R912" s="106"/>
      <c r="S912" s="106"/>
      <c r="T912" s="103" t="str">
        <f aca="false">IF(OR($B912="", $P912="", $Q912="", $R912="", $S912=""),"",ROUND(($P912*Lists!$AD$7)+($Q912*Lists!$AD$8)+($R912*Lists!$AD$9)+($S912*Lists!$AD$10),2))</f>
        <v/>
      </c>
      <c r="U912" s="106"/>
      <c r="V912" s="106"/>
      <c r="W912" s="106"/>
      <c r="X912" s="106"/>
      <c r="Y912" s="106"/>
      <c r="Z912" s="103" t="str">
        <f aca="false">IF(OR($B912="", $U912="", $V912="", $W912="", $X912="", $Y912=""),"",ROUND(($U912*Lists!$AD$11)+($V912*Lists!$AD$12)+($W912*Lists!$AD$13)+($X912*Lists!$AD$14)+($Y912*Lists!$AD$15),2))</f>
        <v/>
      </c>
      <c r="AA912" s="103" t="str">
        <f aca="false">IF(OR($B912="", $N912="", $O912="", $T912="", $Z912=""),"",ROUND(($N912*Lists!$AD$16)-($O912*Lists!$AD$17)-($T912*Lists!$AD$18)+($Z912*Lists!$AD$19),2))</f>
        <v/>
      </c>
      <c r="AB912" s="102" t="str">
        <f aca="false">IF(OR($B912="", $N912="", $Z912=""),"",IF($N912&gt;=Lists!$AG$2,IF($Z912&gt;=Lists!$AG$3,"Invest","Migrate"),IF($Z912&gt;=Lists!$AG$3,"Tolerate","Eliminate")))</f>
        <v/>
      </c>
      <c r="AC912" s="102" t="str">
        <f aca="false">IF($B912="","",IF($J912&gt;=4,"Yes",""))</f>
        <v/>
      </c>
      <c r="AD912" s="102" t="str">
        <f aca="false">IF($A912="","",IFERROR(IF(VLOOKUP($A912,'Risk Register'!$B$2:$H$1000,4,FALSE())&gt;=4,"Yes",""),""))</f>
        <v/>
      </c>
      <c r="AE912" s="102" t="str">
        <f aca="false">IF(OR($N912="", $O912=""),"",IF($N912&gt;=Lists!$AG$2,IF($O912&gt;=Lists!$AG$4,"High Value / High Risk","High Value / Low Risk"),IF($O912&gt;=Lists!$AG$4,"Low Value / High Risk","Low Value / Low Risk")))</f>
        <v/>
      </c>
      <c r="AF912" s="101"/>
      <c r="AG912" s="126"/>
      <c r="AH912" s="106" t="str">
        <f aca="false">IF($B912="","",COUNTIFS('Debt Backlog'!$AF$2:$AF$1000,$A912,'Debt Backlog'!$B$2:$B$1000,"&lt;&gt;",'Debt Backlog'!$N$2:$N$1000,"&lt;&gt;Done",'Debt Backlog'!$N$2:$N$1000,"&lt;&gt;Won't Fix",'Debt Backlog'!$N$2:$N$1000,"&lt;&gt;Duplicate"))</f>
        <v/>
      </c>
      <c r="AI912" s="103" t="str">
        <f aca="false">IF($B912="","",ROUND(SUMIFS('Debt Backlog'!$L$2:$L$1000,'Debt Backlog'!$AF$2:$AF$1000,$A912,'Debt Backlog'!$B$2:$B$1000,"&lt;&gt;",'Debt Backlog'!$N$2:$N$1000,"&lt;&gt;Done",'Debt Backlog'!$N$2:$N$1000,"&lt;&gt;Won't Fix",'Debt Backlog'!$N$2:$N$1000,"&lt;&gt;Duplicate"),2))</f>
        <v/>
      </c>
    </row>
    <row r="913" customFormat="false" ht="15.75" hidden="false" customHeight="true" outlineLevel="0" collapsed="false">
      <c r="A913" s="125"/>
      <c r="B913" s="101"/>
      <c r="C913" s="101"/>
      <c r="D913" s="101"/>
      <c r="E913" s="101"/>
      <c r="F913" s="101"/>
      <c r="G913" s="101"/>
      <c r="H913" s="101"/>
      <c r="I913" s="106"/>
      <c r="J913" s="106"/>
      <c r="K913" s="106"/>
      <c r="L913" s="106"/>
      <c r="M913" s="106"/>
      <c r="N913" s="103" t="str">
        <f aca="false">IF(OR($B913="", $I913="", $J913="", $K913="", $L913="", $M913=""),"",ROUND(($I913*Lists!$AD$2)+($J913*Lists!$AD$3)+($K913*Lists!$AD$4)+($L913*Lists!$AD$5)+($M913*Lists!$AD$6),2))</f>
        <v/>
      </c>
      <c r="O913" s="103" t="str">
        <f aca="false">IF($A913="","",IFERROR(VLOOKUP($A913,'Risk Register'!$B$2:$I$1000,8,FALSE()),""))</f>
        <v/>
      </c>
      <c r="P913" s="106"/>
      <c r="Q913" s="106"/>
      <c r="R913" s="106"/>
      <c r="S913" s="106"/>
      <c r="T913" s="103" t="str">
        <f aca="false">IF(OR($B913="", $P913="", $Q913="", $R913="", $S913=""),"",ROUND(($P913*Lists!$AD$7)+($Q913*Lists!$AD$8)+($R913*Lists!$AD$9)+($S913*Lists!$AD$10),2))</f>
        <v/>
      </c>
      <c r="U913" s="106"/>
      <c r="V913" s="106"/>
      <c r="W913" s="106"/>
      <c r="X913" s="106"/>
      <c r="Y913" s="106"/>
      <c r="Z913" s="103" t="str">
        <f aca="false">IF(OR($B913="", $U913="", $V913="", $W913="", $X913="", $Y913=""),"",ROUND(($U913*Lists!$AD$11)+($V913*Lists!$AD$12)+($W913*Lists!$AD$13)+($X913*Lists!$AD$14)+($Y913*Lists!$AD$15),2))</f>
        <v/>
      </c>
      <c r="AA913" s="103" t="str">
        <f aca="false">IF(OR($B913="", $N913="", $O913="", $T913="", $Z913=""),"",ROUND(($N913*Lists!$AD$16)-($O913*Lists!$AD$17)-($T913*Lists!$AD$18)+($Z913*Lists!$AD$19),2))</f>
        <v/>
      </c>
      <c r="AB913" s="102" t="str">
        <f aca="false">IF(OR($B913="", $N913="", $Z913=""),"",IF($N913&gt;=Lists!$AG$2,IF($Z913&gt;=Lists!$AG$3,"Invest","Migrate"),IF($Z913&gt;=Lists!$AG$3,"Tolerate","Eliminate")))</f>
        <v/>
      </c>
      <c r="AC913" s="102" t="str">
        <f aca="false">IF($B913="","",IF($J913&gt;=4,"Yes",""))</f>
        <v/>
      </c>
      <c r="AD913" s="102" t="str">
        <f aca="false">IF($A913="","",IFERROR(IF(VLOOKUP($A913,'Risk Register'!$B$2:$H$1000,4,FALSE())&gt;=4,"Yes",""),""))</f>
        <v/>
      </c>
      <c r="AE913" s="102" t="str">
        <f aca="false">IF(OR($N913="", $O913=""),"",IF($N913&gt;=Lists!$AG$2,IF($O913&gt;=Lists!$AG$4,"High Value / High Risk","High Value / Low Risk"),IF($O913&gt;=Lists!$AG$4,"Low Value / High Risk","Low Value / Low Risk")))</f>
        <v/>
      </c>
      <c r="AF913" s="101"/>
      <c r="AG913" s="126"/>
      <c r="AH913" s="106" t="str">
        <f aca="false">IF($B913="","",COUNTIFS('Debt Backlog'!$AF$2:$AF$1000,$A913,'Debt Backlog'!$B$2:$B$1000,"&lt;&gt;",'Debt Backlog'!$N$2:$N$1000,"&lt;&gt;Done",'Debt Backlog'!$N$2:$N$1000,"&lt;&gt;Won't Fix",'Debt Backlog'!$N$2:$N$1000,"&lt;&gt;Duplicate"))</f>
        <v/>
      </c>
      <c r="AI913" s="103" t="str">
        <f aca="false">IF($B913="","",ROUND(SUMIFS('Debt Backlog'!$L$2:$L$1000,'Debt Backlog'!$AF$2:$AF$1000,$A913,'Debt Backlog'!$B$2:$B$1000,"&lt;&gt;",'Debt Backlog'!$N$2:$N$1000,"&lt;&gt;Done",'Debt Backlog'!$N$2:$N$1000,"&lt;&gt;Won't Fix",'Debt Backlog'!$N$2:$N$1000,"&lt;&gt;Duplicate"),2))</f>
        <v/>
      </c>
    </row>
    <row r="914" customFormat="false" ht="15.75" hidden="false" customHeight="true" outlineLevel="0" collapsed="false">
      <c r="A914" s="125"/>
      <c r="B914" s="101"/>
      <c r="C914" s="101"/>
      <c r="D914" s="101"/>
      <c r="E914" s="101"/>
      <c r="F914" s="101"/>
      <c r="G914" s="101"/>
      <c r="H914" s="101"/>
      <c r="I914" s="106"/>
      <c r="J914" s="106"/>
      <c r="K914" s="106"/>
      <c r="L914" s="106"/>
      <c r="M914" s="106"/>
      <c r="N914" s="103" t="str">
        <f aca="false">IF(OR($B914="", $I914="", $J914="", $K914="", $L914="", $M914=""),"",ROUND(($I914*Lists!$AD$2)+($J914*Lists!$AD$3)+($K914*Lists!$AD$4)+($L914*Lists!$AD$5)+($M914*Lists!$AD$6),2))</f>
        <v/>
      </c>
      <c r="O914" s="103" t="str">
        <f aca="false">IF($A914="","",IFERROR(VLOOKUP($A914,'Risk Register'!$B$2:$I$1000,8,FALSE()),""))</f>
        <v/>
      </c>
      <c r="P914" s="106"/>
      <c r="Q914" s="106"/>
      <c r="R914" s="106"/>
      <c r="S914" s="106"/>
      <c r="T914" s="103" t="str">
        <f aca="false">IF(OR($B914="", $P914="", $Q914="", $R914="", $S914=""),"",ROUND(($P914*Lists!$AD$7)+($Q914*Lists!$AD$8)+($R914*Lists!$AD$9)+($S914*Lists!$AD$10),2))</f>
        <v/>
      </c>
      <c r="U914" s="106"/>
      <c r="V914" s="106"/>
      <c r="W914" s="106"/>
      <c r="X914" s="106"/>
      <c r="Y914" s="106"/>
      <c r="Z914" s="103" t="str">
        <f aca="false">IF(OR($B914="", $U914="", $V914="", $W914="", $X914="", $Y914=""),"",ROUND(($U914*Lists!$AD$11)+($V914*Lists!$AD$12)+($W914*Lists!$AD$13)+($X914*Lists!$AD$14)+($Y914*Lists!$AD$15),2))</f>
        <v/>
      </c>
      <c r="AA914" s="103" t="str">
        <f aca="false">IF(OR($B914="", $N914="", $O914="", $T914="", $Z914=""),"",ROUND(($N914*Lists!$AD$16)-($O914*Lists!$AD$17)-($T914*Lists!$AD$18)+($Z914*Lists!$AD$19),2))</f>
        <v/>
      </c>
      <c r="AB914" s="102" t="str">
        <f aca="false">IF(OR($B914="", $N914="", $Z914=""),"",IF($N914&gt;=Lists!$AG$2,IF($Z914&gt;=Lists!$AG$3,"Invest","Migrate"),IF($Z914&gt;=Lists!$AG$3,"Tolerate","Eliminate")))</f>
        <v/>
      </c>
      <c r="AC914" s="102" t="str">
        <f aca="false">IF($B914="","",IF($J914&gt;=4,"Yes",""))</f>
        <v/>
      </c>
      <c r="AD914" s="102" t="str">
        <f aca="false">IF($A914="","",IFERROR(IF(VLOOKUP($A914,'Risk Register'!$B$2:$H$1000,4,FALSE())&gt;=4,"Yes",""),""))</f>
        <v/>
      </c>
      <c r="AE914" s="102" t="str">
        <f aca="false">IF(OR($N914="", $O914=""),"",IF($N914&gt;=Lists!$AG$2,IF($O914&gt;=Lists!$AG$4,"High Value / High Risk","High Value / Low Risk"),IF($O914&gt;=Lists!$AG$4,"Low Value / High Risk","Low Value / Low Risk")))</f>
        <v/>
      </c>
      <c r="AF914" s="101"/>
      <c r="AG914" s="126"/>
      <c r="AH914" s="106" t="str">
        <f aca="false">IF($B914="","",COUNTIFS('Debt Backlog'!$AF$2:$AF$1000,$A914,'Debt Backlog'!$B$2:$B$1000,"&lt;&gt;",'Debt Backlog'!$N$2:$N$1000,"&lt;&gt;Done",'Debt Backlog'!$N$2:$N$1000,"&lt;&gt;Won't Fix",'Debt Backlog'!$N$2:$N$1000,"&lt;&gt;Duplicate"))</f>
        <v/>
      </c>
      <c r="AI914" s="103" t="str">
        <f aca="false">IF($B914="","",ROUND(SUMIFS('Debt Backlog'!$L$2:$L$1000,'Debt Backlog'!$AF$2:$AF$1000,$A914,'Debt Backlog'!$B$2:$B$1000,"&lt;&gt;",'Debt Backlog'!$N$2:$N$1000,"&lt;&gt;Done",'Debt Backlog'!$N$2:$N$1000,"&lt;&gt;Won't Fix",'Debt Backlog'!$N$2:$N$1000,"&lt;&gt;Duplicate"),2))</f>
        <v/>
      </c>
    </row>
    <row r="915" customFormat="false" ht="15.75" hidden="false" customHeight="true" outlineLevel="0" collapsed="false">
      <c r="A915" s="125"/>
      <c r="B915" s="101"/>
      <c r="C915" s="101"/>
      <c r="D915" s="101"/>
      <c r="E915" s="101"/>
      <c r="F915" s="101"/>
      <c r="G915" s="101"/>
      <c r="H915" s="101"/>
      <c r="I915" s="106"/>
      <c r="J915" s="106"/>
      <c r="K915" s="106"/>
      <c r="L915" s="106"/>
      <c r="M915" s="106"/>
      <c r="N915" s="103" t="str">
        <f aca="false">IF(OR($B915="", $I915="", $J915="", $K915="", $L915="", $M915=""),"",ROUND(($I915*Lists!$AD$2)+($J915*Lists!$AD$3)+($K915*Lists!$AD$4)+($L915*Lists!$AD$5)+($M915*Lists!$AD$6),2))</f>
        <v/>
      </c>
      <c r="O915" s="103" t="str">
        <f aca="false">IF($A915="","",IFERROR(VLOOKUP($A915,'Risk Register'!$B$2:$I$1000,8,FALSE()),""))</f>
        <v/>
      </c>
      <c r="P915" s="106"/>
      <c r="Q915" s="106"/>
      <c r="R915" s="106"/>
      <c r="S915" s="106"/>
      <c r="T915" s="103" t="str">
        <f aca="false">IF(OR($B915="", $P915="", $Q915="", $R915="", $S915=""),"",ROUND(($P915*Lists!$AD$7)+($Q915*Lists!$AD$8)+($R915*Lists!$AD$9)+($S915*Lists!$AD$10),2))</f>
        <v/>
      </c>
      <c r="U915" s="106"/>
      <c r="V915" s="106"/>
      <c r="W915" s="106"/>
      <c r="X915" s="106"/>
      <c r="Y915" s="106"/>
      <c r="Z915" s="103" t="str">
        <f aca="false">IF(OR($B915="", $U915="", $V915="", $W915="", $X915="", $Y915=""),"",ROUND(($U915*Lists!$AD$11)+($V915*Lists!$AD$12)+($W915*Lists!$AD$13)+($X915*Lists!$AD$14)+($Y915*Lists!$AD$15),2))</f>
        <v/>
      </c>
      <c r="AA915" s="103" t="str">
        <f aca="false">IF(OR($B915="", $N915="", $O915="", $T915="", $Z915=""),"",ROUND(($N915*Lists!$AD$16)-($O915*Lists!$AD$17)-($T915*Lists!$AD$18)+($Z915*Lists!$AD$19),2))</f>
        <v/>
      </c>
      <c r="AB915" s="102" t="str">
        <f aca="false">IF(OR($B915="", $N915="", $Z915=""),"",IF($N915&gt;=Lists!$AG$2,IF($Z915&gt;=Lists!$AG$3,"Invest","Migrate"),IF($Z915&gt;=Lists!$AG$3,"Tolerate","Eliminate")))</f>
        <v/>
      </c>
      <c r="AC915" s="102" t="str">
        <f aca="false">IF($B915="","",IF($J915&gt;=4,"Yes",""))</f>
        <v/>
      </c>
      <c r="AD915" s="102" t="str">
        <f aca="false">IF($A915="","",IFERROR(IF(VLOOKUP($A915,'Risk Register'!$B$2:$H$1000,4,FALSE())&gt;=4,"Yes",""),""))</f>
        <v/>
      </c>
      <c r="AE915" s="102" t="str">
        <f aca="false">IF(OR($N915="", $O915=""),"",IF($N915&gt;=Lists!$AG$2,IF($O915&gt;=Lists!$AG$4,"High Value / High Risk","High Value / Low Risk"),IF($O915&gt;=Lists!$AG$4,"Low Value / High Risk","Low Value / Low Risk")))</f>
        <v/>
      </c>
      <c r="AF915" s="101"/>
      <c r="AG915" s="126"/>
      <c r="AH915" s="106" t="str">
        <f aca="false">IF($B915="","",COUNTIFS('Debt Backlog'!$AF$2:$AF$1000,$A915,'Debt Backlog'!$B$2:$B$1000,"&lt;&gt;",'Debt Backlog'!$N$2:$N$1000,"&lt;&gt;Done",'Debt Backlog'!$N$2:$N$1000,"&lt;&gt;Won't Fix",'Debt Backlog'!$N$2:$N$1000,"&lt;&gt;Duplicate"))</f>
        <v/>
      </c>
      <c r="AI915" s="103" t="str">
        <f aca="false">IF($B915="","",ROUND(SUMIFS('Debt Backlog'!$L$2:$L$1000,'Debt Backlog'!$AF$2:$AF$1000,$A915,'Debt Backlog'!$B$2:$B$1000,"&lt;&gt;",'Debt Backlog'!$N$2:$N$1000,"&lt;&gt;Done",'Debt Backlog'!$N$2:$N$1000,"&lt;&gt;Won't Fix",'Debt Backlog'!$N$2:$N$1000,"&lt;&gt;Duplicate"),2))</f>
        <v/>
      </c>
    </row>
    <row r="916" customFormat="false" ht="15.75" hidden="false" customHeight="true" outlineLevel="0" collapsed="false">
      <c r="A916" s="125"/>
      <c r="B916" s="101"/>
      <c r="C916" s="101"/>
      <c r="D916" s="101"/>
      <c r="E916" s="101"/>
      <c r="F916" s="101"/>
      <c r="G916" s="101"/>
      <c r="H916" s="101"/>
      <c r="I916" s="106"/>
      <c r="J916" s="106"/>
      <c r="K916" s="106"/>
      <c r="L916" s="106"/>
      <c r="M916" s="106"/>
      <c r="N916" s="103" t="str">
        <f aca="false">IF(OR($B916="", $I916="", $J916="", $K916="", $L916="", $M916=""),"",ROUND(($I916*Lists!$AD$2)+($J916*Lists!$AD$3)+($K916*Lists!$AD$4)+($L916*Lists!$AD$5)+($M916*Lists!$AD$6),2))</f>
        <v/>
      </c>
      <c r="O916" s="103" t="str">
        <f aca="false">IF($A916="","",IFERROR(VLOOKUP($A916,'Risk Register'!$B$2:$I$1000,8,FALSE()),""))</f>
        <v/>
      </c>
      <c r="P916" s="106"/>
      <c r="Q916" s="106"/>
      <c r="R916" s="106"/>
      <c r="S916" s="106"/>
      <c r="T916" s="103" t="str">
        <f aca="false">IF(OR($B916="", $P916="", $Q916="", $R916="", $S916=""),"",ROUND(($P916*Lists!$AD$7)+($Q916*Lists!$AD$8)+($R916*Lists!$AD$9)+($S916*Lists!$AD$10),2))</f>
        <v/>
      </c>
      <c r="U916" s="106"/>
      <c r="V916" s="106"/>
      <c r="W916" s="106"/>
      <c r="X916" s="106"/>
      <c r="Y916" s="106"/>
      <c r="Z916" s="103" t="str">
        <f aca="false">IF(OR($B916="", $U916="", $V916="", $W916="", $X916="", $Y916=""),"",ROUND(($U916*Lists!$AD$11)+($V916*Lists!$AD$12)+($W916*Lists!$AD$13)+($X916*Lists!$AD$14)+($Y916*Lists!$AD$15),2))</f>
        <v/>
      </c>
      <c r="AA916" s="103" t="str">
        <f aca="false">IF(OR($B916="", $N916="", $O916="", $T916="", $Z916=""),"",ROUND(($N916*Lists!$AD$16)-($O916*Lists!$AD$17)-($T916*Lists!$AD$18)+($Z916*Lists!$AD$19),2))</f>
        <v/>
      </c>
      <c r="AB916" s="102" t="str">
        <f aca="false">IF(OR($B916="", $N916="", $Z916=""),"",IF($N916&gt;=Lists!$AG$2,IF($Z916&gt;=Lists!$AG$3,"Invest","Migrate"),IF($Z916&gt;=Lists!$AG$3,"Tolerate","Eliminate")))</f>
        <v/>
      </c>
      <c r="AC916" s="102" t="str">
        <f aca="false">IF($B916="","",IF($J916&gt;=4,"Yes",""))</f>
        <v/>
      </c>
      <c r="AD916" s="102" t="str">
        <f aca="false">IF($A916="","",IFERROR(IF(VLOOKUP($A916,'Risk Register'!$B$2:$H$1000,4,FALSE())&gt;=4,"Yes",""),""))</f>
        <v/>
      </c>
      <c r="AE916" s="102" t="str">
        <f aca="false">IF(OR($N916="", $O916=""),"",IF($N916&gt;=Lists!$AG$2,IF($O916&gt;=Lists!$AG$4,"High Value / High Risk","High Value / Low Risk"),IF($O916&gt;=Lists!$AG$4,"Low Value / High Risk","Low Value / Low Risk")))</f>
        <v/>
      </c>
      <c r="AF916" s="101"/>
      <c r="AG916" s="126"/>
      <c r="AH916" s="106" t="str">
        <f aca="false">IF($B916="","",COUNTIFS('Debt Backlog'!$AF$2:$AF$1000,$A916,'Debt Backlog'!$B$2:$B$1000,"&lt;&gt;",'Debt Backlog'!$N$2:$N$1000,"&lt;&gt;Done",'Debt Backlog'!$N$2:$N$1000,"&lt;&gt;Won't Fix",'Debt Backlog'!$N$2:$N$1000,"&lt;&gt;Duplicate"))</f>
        <v/>
      </c>
      <c r="AI916" s="103" t="str">
        <f aca="false">IF($B916="","",ROUND(SUMIFS('Debt Backlog'!$L$2:$L$1000,'Debt Backlog'!$AF$2:$AF$1000,$A916,'Debt Backlog'!$B$2:$B$1000,"&lt;&gt;",'Debt Backlog'!$N$2:$N$1000,"&lt;&gt;Done",'Debt Backlog'!$N$2:$N$1000,"&lt;&gt;Won't Fix",'Debt Backlog'!$N$2:$N$1000,"&lt;&gt;Duplicate"),2))</f>
        <v/>
      </c>
    </row>
    <row r="917" customFormat="false" ht="15.75" hidden="false" customHeight="true" outlineLevel="0" collapsed="false">
      <c r="A917" s="125"/>
      <c r="B917" s="101"/>
      <c r="C917" s="101"/>
      <c r="D917" s="101"/>
      <c r="E917" s="101"/>
      <c r="F917" s="101"/>
      <c r="G917" s="101"/>
      <c r="H917" s="101"/>
      <c r="I917" s="106"/>
      <c r="J917" s="106"/>
      <c r="K917" s="106"/>
      <c r="L917" s="106"/>
      <c r="M917" s="106"/>
      <c r="N917" s="103" t="str">
        <f aca="false">IF(OR($B917="", $I917="", $J917="", $K917="", $L917="", $M917=""),"",ROUND(($I917*Lists!$AD$2)+($J917*Lists!$AD$3)+($K917*Lists!$AD$4)+($L917*Lists!$AD$5)+($M917*Lists!$AD$6),2))</f>
        <v/>
      </c>
      <c r="O917" s="103" t="str">
        <f aca="false">IF($A917="","",IFERROR(VLOOKUP($A917,'Risk Register'!$B$2:$I$1000,8,FALSE()),""))</f>
        <v/>
      </c>
      <c r="P917" s="106"/>
      <c r="Q917" s="106"/>
      <c r="R917" s="106"/>
      <c r="S917" s="106"/>
      <c r="T917" s="103" t="str">
        <f aca="false">IF(OR($B917="", $P917="", $Q917="", $R917="", $S917=""),"",ROUND(($P917*Lists!$AD$7)+($Q917*Lists!$AD$8)+($R917*Lists!$AD$9)+($S917*Lists!$AD$10),2))</f>
        <v/>
      </c>
      <c r="U917" s="106"/>
      <c r="V917" s="106"/>
      <c r="W917" s="106"/>
      <c r="X917" s="106"/>
      <c r="Y917" s="106"/>
      <c r="Z917" s="103" t="str">
        <f aca="false">IF(OR($B917="", $U917="", $V917="", $W917="", $X917="", $Y917=""),"",ROUND(($U917*Lists!$AD$11)+($V917*Lists!$AD$12)+($W917*Lists!$AD$13)+($X917*Lists!$AD$14)+($Y917*Lists!$AD$15),2))</f>
        <v/>
      </c>
      <c r="AA917" s="103" t="str">
        <f aca="false">IF(OR($B917="", $N917="", $O917="", $T917="", $Z917=""),"",ROUND(($N917*Lists!$AD$16)-($O917*Lists!$AD$17)-($T917*Lists!$AD$18)+($Z917*Lists!$AD$19),2))</f>
        <v/>
      </c>
      <c r="AB917" s="102" t="str">
        <f aca="false">IF(OR($B917="", $N917="", $Z917=""),"",IF($N917&gt;=Lists!$AG$2,IF($Z917&gt;=Lists!$AG$3,"Invest","Migrate"),IF($Z917&gt;=Lists!$AG$3,"Tolerate","Eliminate")))</f>
        <v/>
      </c>
      <c r="AC917" s="102" t="str">
        <f aca="false">IF($B917="","",IF($J917&gt;=4,"Yes",""))</f>
        <v/>
      </c>
      <c r="AD917" s="102" t="str">
        <f aca="false">IF($A917="","",IFERROR(IF(VLOOKUP($A917,'Risk Register'!$B$2:$H$1000,4,FALSE())&gt;=4,"Yes",""),""))</f>
        <v/>
      </c>
      <c r="AE917" s="102" t="str">
        <f aca="false">IF(OR($N917="", $O917=""),"",IF($N917&gt;=Lists!$AG$2,IF($O917&gt;=Lists!$AG$4,"High Value / High Risk","High Value / Low Risk"),IF($O917&gt;=Lists!$AG$4,"Low Value / High Risk","Low Value / Low Risk")))</f>
        <v/>
      </c>
      <c r="AF917" s="101"/>
      <c r="AG917" s="126"/>
      <c r="AH917" s="106" t="str">
        <f aca="false">IF($B917="","",COUNTIFS('Debt Backlog'!$AF$2:$AF$1000,$A917,'Debt Backlog'!$B$2:$B$1000,"&lt;&gt;",'Debt Backlog'!$N$2:$N$1000,"&lt;&gt;Done",'Debt Backlog'!$N$2:$N$1000,"&lt;&gt;Won't Fix",'Debt Backlog'!$N$2:$N$1000,"&lt;&gt;Duplicate"))</f>
        <v/>
      </c>
      <c r="AI917" s="103" t="str">
        <f aca="false">IF($B917="","",ROUND(SUMIFS('Debt Backlog'!$L$2:$L$1000,'Debt Backlog'!$AF$2:$AF$1000,$A917,'Debt Backlog'!$B$2:$B$1000,"&lt;&gt;",'Debt Backlog'!$N$2:$N$1000,"&lt;&gt;Done",'Debt Backlog'!$N$2:$N$1000,"&lt;&gt;Won't Fix",'Debt Backlog'!$N$2:$N$1000,"&lt;&gt;Duplicate"),2))</f>
        <v/>
      </c>
    </row>
    <row r="918" customFormat="false" ht="15.75" hidden="false" customHeight="true" outlineLevel="0" collapsed="false">
      <c r="A918" s="125"/>
      <c r="B918" s="101"/>
      <c r="C918" s="101"/>
      <c r="D918" s="101"/>
      <c r="E918" s="101"/>
      <c r="F918" s="101"/>
      <c r="G918" s="101"/>
      <c r="H918" s="101"/>
      <c r="I918" s="106"/>
      <c r="J918" s="106"/>
      <c r="K918" s="106"/>
      <c r="L918" s="106"/>
      <c r="M918" s="106"/>
      <c r="N918" s="103" t="str">
        <f aca="false">IF(OR($B918="", $I918="", $J918="", $K918="", $L918="", $M918=""),"",ROUND(($I918*Lists!$AD$2)+($J918*Lists!$AD$3)+($K918*Lists!$AD$4)+($L918*Lists!$AD$5)+($M918*Lists!$AD$6),2))</f>
        <v/>
      </c>
      <c r="O918" s="103" t="str">
        <f aca="false">IF($A918="","",IFERROR(VLOOKUP($A918,'Risk Register'!$B$2:$I$1000,8,FALSE()),""))</f>
        <v/>
      </c>
      <c r="P918" s="106"/>
      <c r="Q918" s="106"/>
      <c r="R918" s="106"/>
      <c r="S918" s="106"/>
      <c r="T918" s="103" t="str">
        <f aca="false">IF(OR($B918="", $P918="", $Q918="", $R918="", $S918=""),"",ROUND(($P918*Lists!$AD$7)+($Q918*Lists!$AD$8)+($R918*Lists!$AD$9)+($S918*Lists!$AD$10),2))</f>
        <v/>
      </c>
      <c r="U918" s="106"/>
      <c r="V918" s="106"/>
      <c r="W918" s="106"/>
      <c r="X918" s="106"/>
      <c r="Y918" s="106"/>
      <c r="Z918" s="103" t="str">
        <f aca="false">IF(OR($B918="", $U918="", $V918="", $W918="", $X918="", $Y918=""),"",ROUND(($U918*Lists!$AD$11)+($V918*Lists!$AD$12)+($W918*Lists!$AD$13)+($X918*Lists!$AD$14)+($Y918*Lists!$AD$15),2))</f>
        <v/>
      </c>
      <c r="AA918" s="103" t="str">
        <f aca="false">IF(OR($B918="", $N918="", $O918="", $T918="", $Z918=""),"",ROUND(($N918*Lists!$AD$16)-($O918*Lists!$AD$17)-($T918*Lists!$AD$18)+($Z918*Lists!$AD$19),2))</f>
        <v/>
      </c>
      <c r="AB918" s="102" t="str">
        <f aca="false">IF(OR($B918="", $N918="", $Z918=""),"",IF($N918&gt;=Lists!$AG$2,IF($Z918&gt;=Lists!$AG$3,"Invest","Migrate"),IF($Z918&gt;=Lists!$AG$3,"Tolerate","Eliminate")))</f>
        <v/>
      </c>
      <c r="AC918" s="102" t="str">
        <f aca="false">IF($B918="","",IF($J918&gt;=4,"Yes",""))</f>
        <v/>
      </c>
      <c r="AD918" s="102" t="str">
        <f aca="false">IF($A918="","",IFERROR(IF(VLOOKUP($A918,'Risk Register'!$B$2:$H$1000,4,FALSE())&gt;=4,"Yes",""),""))</f>
        <v/>
      </c>
      <c r="AE918" s="102" t="str">
        <f aca="false">IF(OR($N918="", $O918=""),"",IF($N918&gt;=Lists!$AG$2,IF($O918&gt;=Lists!$AG$4,"High Value / High Risk","High Value / Low Risk"),IF($O918&gt;=Lists!$AG$4,"Low Value / High Risk","Low Value / Low Risk")))</f>
        <v/>
      </c>
      <c r="AF918" s="101"/>
      <c r="AG918" s="126"/>
      <c r="AH918" s="106" t="str">
        <f aca="false">IF($B918="","",COUNTIFS('Debt Backlog'!$AF$2:$AF$1000,$A918,'Debt Backlog'!$B$2:$B$1000,"&lt;&gt;",'Debt Backlog'!$N$2:$N$1000,"&lt;&gt;Done",'Debt Backlog'!$N$2:$N$1000,"&lt;&gt;Won't Fix",'Debt Backlog'!$N$2:$N$1000,"&lt;&gt;Duplicate"))</f>
        <v/>
      </c>
      <c r="AI918" s="103" t="str">
        <f aca="false">IF($B918="","",ROUND(SUMIFS('Debt Backlog'!$L$2:$L$1000,'Debt Backlog'!$AF$2:$AF$1000,$A918,'Debt Backlog'!$B$2:$B$1000,"&lt;&gt;",'Debt Backlog'!$N$2:$N$1000,"&lt;&gt;Done",'Debt Backlog'!$N$2:$N$1000,"&lt;&gt;Won't Fix",'Debt Backlog'!$N$2:$N$1000,"&lt;&gt;Duplicate"),2))</f>
        <v/>
      </c>
    </row>
    <row r="919" customFormat="false" ht="15.75" hidden="false" customHeight="true" outlineLevel="0" collapsed="false">
      <c r="A919" s="125"/>
      <c r="B919" s="101"/>
      <c r="C919" s="101"/>
      <c r="D919" s="101"/>
      <c r="E919" s="101"/>
      <c r="F919" s="101"/>
      <c r="G919" s="101"/>
      <c r="H919" s="101"/>
      <c r="I919" s="106"/>
      <c r="J919" s="106"/>
      <c r="K919" s="106"/>
      <c r="L919" s="106"/>
      <c r="M919" s="106"/>
      <c r="N919" s="103" t="str">
        <f aca="false">IF(OR($B919="", $I919="", $J919="", $K919="", $L919="", $M919=""),"",ROUND(($I919*Lists!$AD$2)+($J919*Lists!$AD$3)+($K919*Lists!$AD$4)+($L919*Lists!$AD$5)+($M919*Lists!$AD$6),2))</f>
        <v/>
      </c>
      <c r="O919" s="103" t="str">
        <f aca="false">IF($A919="","",IFERROR(VLOOKUP($A919,'Risk Register'!$B$2:$I$1000,8,FALSE()),""))</f>
        <v/>
      </c>
      <c r="P919" s="106"/>
      <c r="Q919" s="106"/>
      <c r="R919" s="106"/>
      <c r="S919" s="106"/>
      <c r="T919" s="103" t="str">
        <f aca="false">IF(OR($B919="", $P919="", $Q919="", $R919="", $S919=""),"",ROUND(($P919*Lists!$AD$7)+($Q919*Lists!$AD$8)+($R919*Lists!$AD$9)+($S919*Lists!$AD$10),2))</f>
        <v/>
      </c>
      <c r="U919" s="106"/>
      <c r="V919" s="106"/>
      <c r="W919" s="106"/>
      <c r="X919" s="106"/>
      <c r="Y919" s="106"/>
      <c r="Z919" s="103" t="str">
        <f aca="false">IF(OR($B919="", $U919="", $V919="", $W919="", $X919="", $Y919=""),"",ROUND(($U919*Lists!$AD$11)+($V919*Lists!$AD$12)+($W919*Lists!$AD$13)+($X919*Lists!$AD$14)+($Y919*Lists!$AD$15),2))</f>
        <v/>
      </c>
      <c r="AA919" s="103" t="str">
        <f aca="false">IF(OR($B919="", $N919="", $O919="", $T919="", $Z919=""),"",ROUND(($N919*Lists!$AD$16)-($O919*Lists!$AD$17)-($T919*Lists!$AD$18)+($Z919*Lists!$AD$19),2))</f>
        <v/>
      </c>
      <c r="AB919" s="102" t="str">
        <f aca="false">IF(OR($B919="", $N919="", $Z919=""),"",IF($N919&gt;=Lists!$AG$2,IF($Z919&gt;=Lists!$AG$3,"Invest","Migrate"),IF($Z919&gt;=Lists!$AG$3,"Tolerate","Eliminate")))</f>
        <v/>
      </c>
      <c r="AC919" s="102" t="str">
        <f aca="false">IF($B919="","",IF($J919&gt;=4,"Yes",""))</f>
        <v/>
      </c>
      <c r="AD919" s="102" t="str">
        <f aca="false">IF($A919="","",IFERROR(IF(VLOOKUP($A919,'Risk Register'!$B$2:$H$1000,4,FALSE())&gt;=4,"Yes",""),""))</f>
        <v/>
      </c>
      <c r="AE919" s="102" t="str">
        <f aca="false">IF(OR($N919="", $O919=""),"",IF($N919&gt;=Lists!$AG$2,IF($O919&gt;=Lists!$AG$4,"High Value / High Risk","High Value / Low Risk"),IF($O919&gt;=Lists!$AG$4,"Low Value / High Risk","Low Value / Low Risk")))</f>
        <v/>
      </c>
      <c r="AF919" s="101"/>
      <c r="AG919" s="126"/>
      <c r="AH919" s="106" t="str">
        <f aca="false">IF($B919="","",COUNTIFS('Debt Backlog'!$AF$2:$AF$1000,$A919,'Debt Backlog'!$B$2:$B$1000,"&lt;&gt;",'Debt Backlog'!$N$2:$N$1000,"&lt;&gt;Done",'Debt Backlog'!$N$2:$N$1000,"&lt;&gt;Won't Fix",'Debt Backlog'!$N$2:$N$1000,"&lt;&gt;Duplicate"))</f>
        <v/>
      </c>
      <c r="AI919" s="103" t="str">
        <f aca="false">IF($B919="","",ROUND(SUMIFS('Debt Backlog'!$L$2:$L$1000,'Debt Backlog'!$AF$2:$AF$1000,$A919,'Debt Backlog'!$B$2:$B$1000,"&lt;&gt;",'Debt Backlog'!$N$2:$N$1000,"&lt;&gt;Done",'Debt Backlog'!$N$2:$N$1000,"&lt;&gt;Won't Fix",'Debt Backlog'!$N$2:$N$1000,"&lt;&gt;Duplicate"),2))</f>
        <v/>
      </c>
    </row>
    <row r="920" customFormat="false" ht="15.75" hidden="false" customHeight="true" outlineLevel="0" collapsed="false">
      <c r="A920" s="125"/>
      <c r="B920" s="101"/>
      <c r="C920" s="101"/>
      <c r="D920" s="101"/>
      <c r="E920" s="101"/>
      <c r="F920" s="101"/>
      <c r="G920" s="101"/>
      <c r="H920" s="101"/>
      <c r="I920" s="106"/>
      <c r="J920" s="106"/>
      <c r="K920" s="106"/>
      <c r="L920" s="106"/>
      <c r="M920" s="106"/>
      <c r="N920" s="103" t="str">
        <f aca="false">IF(OR($B920="", $I920="", $J920="", $K920="", $L920="", $M920=""),"",ROUND(($I920*Lists!$AD$2)+($J920*Lists!$AD$3)+($K920*Lists!$AD$4)+($L920*Lists!$AD$5)+($M920*Lists!$AD$6),2))</f>
        <v/>
      </c>
      <c r="O920" s="103" t="str">
        <f aca="false">IF($A920="","",IFERROR(VLOOKUP($A920,'Risk Register'!$B$2:$I$1000,8,FALSE()),""))</f>
        <v/>
      </c>
      <c r="P920" s="106"/>
      <c r="Q920" s="106"/>
      <c r="R920" s="106"/>
      <c r="S920" s="106"/>
      <c r="T920" s="103" t="str">
        <f aca="false">IF(OR($B920="", $P920="", $Q920="", $R920="", $S920=""),"",ROUND(($P920*Lists!$AD$7)+($Q920*Lists!$AD$8)+($R920*Lists!$AD$9)+($S920*Lists!$AD$10),2))</f>
        <v/>
      </c>
      <c r="U920" s="106"/>
      <c r="V920" s="106"/>
      <c r="W920" s="106"/>
      <c r="X920" s="106"/>
      <c r="Y920" s="106"/>
      <c r="Z920" s="103" t="str">
        <f aca="false">IF(OR($B920="", $U920="", $V920="", $W920="", $X920="", $Y920=""),"",ROUND(($U920*Lists!$AD$11)+($V920*Lists!$AD$12)+($W920*Lists!$AD$13)+($X920*Lists!$AD$14)+($Y920*Lists!$AD$15),2))</f>
        <v/>
      </c>
      <c r="AA920" s="103" t="str">
        <f aca="false">IF(OR($B920="", $N920="", $O920="", $T920="", $Z920=""),"",ROUND(($N920*Lists!$AD$16)-($O920*Lists!$AD$17)-($T920*Lists!$AD$18)+($Z920*Lists!$AD$19),2))</f>
        <v/>
      </c>
      <c r="AB920" s="102" t="str">
        <f aca="false">IF(OR($B920="", $N920="", $Z920=""),"",IF($N920&gt;=Lists!$AG$2,IF($Z920&gt;=Lists!$AG$3,"Invest","Migrate"),IF($Z920&gt;=Lists!$AG$3,"Tolerate","Eliminate")))</f>
        <v/>
      </c>
      <c r="AC920" s="102" t="str">
        <f aca="false">IF($B920="","",IF($J920&gt;=4,"Yes",""))</f>
        <v/>
      </c>
      <c r="AD920" s="102" t="str">
        <f aca="false">IF($A920="","",IFERROR(IF(VLOOKUP($A920,'Risk Register'!$B$2:$H$1000,4,FALSE())&gt;=4,"Yes",""),""))</f>
        <v/>
      </c>
      <c r="AE920" s="102" t="str">
        <f aca="false">IF(OR($N920="", $O920=""),"",IF($N920&gt;=Lists!$AG$2,IF($O920&gt;=Lists!$AG$4,"High Value / High Risk","High Value / Low Risk"),IF($O920&gt;=Lists!$AG$4,"Low Value / High Risk","Low Value / Low Risk")))</f>
        <v/>
      </c>
      <c r="AF920" s="101"/>
      <c r="AG920" s="126"/>
      <c r="AH920" s="106" t="str">
        <f aca="false">IF($B920="","",COUNTIFS('Debt Backlog'!$AF$2:$AF$1000,$A920,'Debt Backlog'!$B$2:$B$1000,"&lt;&gt;",'Debt Backlog'!$N$2:$N$1000,"&lt;&gt;Done",'Debt Backlog'!$N$2:$N$1000,"&lt;&gt;Won't Fix",'Debt Backlog'!$N$2:$N$1000,"&lt;&gt;Duplicate"))</f>
        <v/>
      </c>
      <c r="AI920" s="103" t="str">
        <f aca="false">IF($B920="","",ROUND(SUMIFS('Debt Backlog'!$L$2:$L$1000,'Debt Backlog'!$AF$2:$AF$1000,$A920,'Debt Backlog'!$B$2:$B$1000,"&lt;&gt;",'Debt Backlog'!$N$2:$N$1000,"&lt;&gt;Done",'Debt Backlog'!$N$2:$N$1000,"&lt;&gt;Won't Fix",'Debt Backlog'!$N$2:$N$1000,"&lt;&gt;Duplicate"),2))</f>
        <v/>
      </c>
    </row>
    <row r="921" customFormat="false" ht="15.75" hidden="false" customHeight="true" outlineLevel="0" collapsed="false">
      <c r="A921" s="125"/>
      <c r="B921" s="101"/>
      <c r="C921" s="101"/>
      <c r="D921" s="101"/>
      <c r="E921" s="101"/>
      <c r="F921" s="101"/>
      <c r="G921" s="101"/>
      <c r="H921" s="101"/>
      <c r="I921" s="106"/>
      <c r="J921" s="106"/>
      <c r="K921" s="106"/>
      <c r="L921" s="106"/>
      <c r="M921" s="106"/>
      <c r="N921" s="103" t="str">
        <f aca="false">IF(OR($B921="", $I921="", $J921="", $K921="", $L921="", $M921=""),"",ROUND(($I921*Lists!$AD$2)+($J921*Lists!$AD$3)+($K921*Lists!$AD$4)+($L921*Lists!$AD$5)+($M921*Lists!$AD$6),2))</f>
        <v/>
      </c>
      <c r="O921" s="103" t="str">
        <f aca="false">IF($A921="","",IFERROR(VLOOKUP($A921,'Risk Register'!$B$2:$I$1000,8,FALSE()),""))</f>
        <v/>
      </c>
      <c r="P921" s="106"/>
      <c r="Q921" s="106"/>
      <c r="R921" s="106"/>
      <c r="S921" s="106"/>
      <c r="T921" s="103" t="str">
        <f aca="false">IF(OR($B921="", $P921="", $Q921="", $R921="", $S921=""),"",ROUND(($P921*Lists!$AD$7)+($Q921*Lists!$AD$8)+($R921*Lists!$AD$9)+($S921*Lists!$AD$10),2))</f>
        <v/>
      </c>
      <c r="U921" s="106"/>
      <c r="V921" s="106"/>
      <c r="W921" s="106"/>
      <c r="X921" s="106"/>
      <c r="Y921" s="106"/>
      <c r="Z921" s="103" t="str">
        <f aca="false">IF(OR($B921="", $U921="", $V921="", $W921="", $X921="", $Y921=""),"",ROUND(($U921*Lists!$AD$11)+($V921*Lists!$AD$12)+($W921*Lists!$AD$13)+($X921*Lists!$AD$14)+($Y921*Lists!$AD$15),2))</f>
        <v/>
      </c>
      <c r="AA921" s="103" t="str">
        <f aca="false">IF(OR($B921="", $N921="", $O921="", $T921="", $Z921=""),"",ROUND(($N921*Lists!$AD$16)-($O921*Lists!$AD$17)-($T921*Lists!$AD$18)+($Z921*Lists!$AD$19),2))</f>
        <v/>
      </c>
      <c r="AB921" s="102" t="str">
        <f aca="false">IF(OR($B921="", $N921="", $Z921=""),"",IF($N921&gt;=Lists!$AG$2,IF($Z921&gt;=Lists!$AG$3,"Invest","Migrate"),IF($Z921&gt;=Lists!$AG$3,"Tolerate","Eliminate")))</f>
        <v/>
      </c>
      <c r="AC921" s="102" t="str">
        <f aca="false">IF($B921="","",IF($J921&gt;=4,"Yes",""))</f>
        <v/>
      </c>
      <c r="AD921" s="102" t="str">
        <f aca="false">IF($A921="","",IFERROR(IF(VLOOKUP($A921,'Risk Register'!$B$2:$H$1000,4,FALSE())&gt;=4,"Yes",""),""))</f>
        <v/>
      </c>
      <c r="AE921" s="102" t="str">
        <f aca="false">IF(OR($N921="", $O921=""),"",IF($N921&gt;=Lists!$AG$2,IF($O921&gt;=Lists!$AG$4,"High Value / High Risk","High Value / Low Risk"),IF($O921&gt;=Lists!$AG$4,"Low Value / High Risk","Low Value / Low Risk")))</f>
        <v/>
      </c>
      <c r="AF921" s="101"/>
      <c r="AG921" s="126"/>
      <c r="AH921" s="106" t="str">
        <f aca="false">IF($B921="","",COUNTIFS('Debt Backlog'!$AF$2:$AF$1000,$A921,'Debt Backlog'!$B$2:$B$1000,"&lt;&gt;",'Debt Backlog'!$N$2:$N$1000,"&lt;&gt;Done",'Debt Backlog'!$N$2:$N$1000,"&lt;&gt;Won't Fix",'Debt Backlog'!$N$2:$N$1000,"&lt;&gt;Duplicate"))</f>
        <v/>
      </c>
      <c r="AI921" s="103" t="str">
        <f aca="false">IF($B921="","",ROUND(SUMIFS('Debt Backlog'!$L$2:$L$1000,'Debt Backlog'!$AF$2:$AF$1000,$A921,'Debt Backlog'!$B$2:$B$1000,"&lt;&gt;",'Debt Backlog'!$N$2:$N$1000,"&lt;&gt;Done",'Debt Backlog'!$N$2:$N$1000,"&lt;&gt;Won't Fix",'Debt Backlog'!$N$2:$N$1000,"&lt;&gt;Duplicate"),2))</f>
        <v/>
      </c>
    </row>
    <row r="922" customFormat="false" ht="15.75" hidden="false" customHeight="true" outlineLevel="0" collapsed="false">
      <c r="A922" s="125"/>
      <c r="B922" s="101"/>
      <c r="C922" s="101"/>
      <c r="D922" s="101"/>
      <c r="E922" s="101"/>
      <c r="F922" s="101"/>
      <c r="G922" s="101"/>
      <c r="H922" s="101"/>
      <c r="I922" s="106"/>
      <c r="J922" s="106"/>
      <c r="K922" s="106"/>
      <c r="L922" s="106"/>
      <c r="M922" s="106"/>
      <c r="N922" s="103" t="str">
        <f aca="false">IF(OR($B922="", $I922="", $J922="", $K922="", $L922="", $M922=""),"",ROUND(($I922*Lists!$AD$2)+($J922*Lists!$AD$3)+($K922*Lists!$AD$4)+($L922*Lists!$AD$5)+($M922*Lists!$AD$6),2))</f>
        <v/>
      </c>
      <c r="O922" s="103" t="str">
        <f aca="false">IF($A922="","",IFERROR(VLOOKUP($A922,'Risk Register'!$B$2:$I$1000,8,FALSE()),""))</f>
        <v/>
      </c>
      <c r="P922" s="106"/>
      <c r="Q922" s="106"/>
      <c r="R922" s="106"/>
      <c r="S922" s="106"/>
      <c r="T922" s="103" t="str">
        <f aca="false">IF(OR($B922="", $P922="", $Q922="", $R922="", $S922=""),"",ROUND(($P922*Lists!$AD$7)+($Q922*Lists!$AD$8)+($R922*Lists!$AD$9)+($S922*Lists!$AD$10),2))</f>
        <v/>
      </c>
      <c r="U922" s="106"/>
      <c r="V922" s="106"/>
      <c r="W922" s="106"/>
      <c r="X922" s="106"/>
      <c r="Y922" s="106"/>
      <c r="Z922" s="103" t="str">
        <f aca="false">IF(OR($B922="", $U922="", $V922="", $W922="", $X922="", $Y922=""),"",ROUND(($U922*Lists!$AD$11)+($V922*Lists!$AD$12)+($W922*Lists!$AD$13)+($X922*Lists!$AD$14)+($Y922*Lists!$AD$15),2))</f>
        <v/>
      </c>
      <c r="AA922" s="103" t="str">
        <f aca="false">IF(OR($B922="", $N922="", $O922="", $T922="", $Z922=""),"",ROUND(($N922*Lists!$AD$16)-($O922*Lists!$AD$17)-($T922*Lists!$AD$18)+($Z922*Lists!$AD$19),2))</f>
        <v/>
      </c>
      <c r="AB922" s="102" t="str">
        <f aca="false">IF(OR($B922="", $N922="", $Z922=""),"",IF($N922&gt;=Lists!$AG$2,IF($Z922&gt;=Lists!$AG$3,"Invest","Migrate"),IF($Z922&gt;=Lists!$AG$3,"Tolerate","Eliminate")))</f>
        <v/>
      </c>
      <c r="AC922" s="102" t="str">
        <f aca="false">IF($B922="","",IF($J922&gt;=4,"Yes",""))</f>
        <v/>
      </c>
      <c r="AD922" s="102" t="str">
        <f aca="false">IF($A922="","",IFERROR(IF(VLOOKUP($A922,'Risk Register'!$B$2:$H$1000,4,FALSE())&gt;=4,"Yes",""),""))</f>
        <v/>
      </c>
      <c r="AE922" s="102" t="str">
        <f aca="false">IF(OR($N922="", $O922=""),"",IF($N922&gt;=Lists!$AG$2,IF($O922&gt;=Lists!$AG$4,"High Value / High Risk","High Value / Low Risk"),IF($O922&gt;=Lists!$AG$4,"Low Value / High Risk","Low Value / Low Risk")))</f>
        <v/>
      </c>
      <c r="AF922" s="101"/>
      <c r="AG922" s="126"/>
      <c r="AH922" s="106" t="str">
        <f aca="false">IF($B922="","",COUNTIFS('Debt Backlog'!$AF$2:$AF$1000,$A922,'Debt Backlog'!$B$2:$B$1000,"&lt;&gt;",'Debt Backlog'!$N$2:$N$1000,"&lt;&gt;Done",'Debt Backlog'!$N$2:$N$1000,"&lt;&gt;Won't Fix",'Debt Backlog'!$N$2:$N$1000,"&lt;&gt;Duplicate"))</f>
        <v/>
      </c>
      <c r="AI922" s="103" t="str">
        <f aca="false">IF($B922="","",ROUND(SUMIFS('Debt Backlog'!$L$2:$L$1000,'Debt Backlog'!$AF$2:$AF$1000,$A922,'Debt Backlog'!$B$2:$B$1000,"&lt;&gt;",'Debt Backlog'!$N$2:$N$1000,"&lt;&gt;Done",'Debt Backlog'!$N$2:$N$1000,"&lt;&gt;Won't Fix",'Debt Backlog'!$N$2:$N$1000,"&lt;&gt;Duplicate"),2))</f>
        <v/>
      </c>
    </row>
    <row r="923" customFormat="false" ht="15.75" hidden="false" customHeight="true" outlineLevel="0" collapsed="false">
      <c r="A923" s="125"/>
      <c r="B923" s="101"/>
      <c r="C923" s="101"/>
      <c r="D923" s="101"/>
      <c r="E923" s="101"/>
      <c r="F923" s="101"/>
      <c r="G923" s="101"/>
      <c r="H923" s="101"/>
      <c r="I923" s="106"/>
      <c r="J923" s="106"/>
      <c r="K923" s="106"/>
      <c r="L923" s="106"/>
      <c r="M923" s="106"/>
      <c r="N923" s="103" t="str">
        <f aca="false">IF(OR($B923="", $I923="", $J923="", $K923="", $L923="", $M923=""),"",ROUND(($I923*Lists!$AD$2)+($J923*Lists!$AD$3)+($K923*Lists!$AD$4)+($L923*Lists!$AD$5)+($M923*Lists!$AD$6),2))</f>
        <v/>
      </c>
      <c r="O923" s="103" t="str">
        <f aca="false">IF($A923="","",IFERROR(VLOOKUP($A923,'Risk Register'!$B$2:$I$1000,8,FALSE()),""))</f>
        <v/>
      </c>
      <c r="P923" s="106"/>
      <c r="Q923" s="106"/>
      <c r="R923" s="106"/>
      <c r="S923" s="106"/>
      <c r="T923" s="103" t="str">
        <f aca="false">IF(OR($B923="", $P923="", $Q923="", $R923="", $S923=""),"",ROUND(($P923*Lists!$AD$7)+($Q923*Lists!$AD$8)+($R923*Lists!$AD$9)+($S923*Lists!$AD$10),2))</f>
        <v/>
      </c>
      <c r="U923" s="106"/>
      <c r="V923" s="106"/>
      <c r="W923" s="106"/>
      <c r="X923" s="106"/>
      <c r="Y923" s="106"/>
      <c r="Z923" s="103" t="str">
        <f aca="false">IF(OR($B923="", $U923="", $V923="", $W923="", $X923="", $Y923=""),"",ROUND(($U923*Lists!$AD$11)+($V923*Lists!$AD$12)+($W923*Lists!$AD$13)+($X923*Lists!$AD$14)+($Y923*Lists!$AD$15),2))</f>
        <v/>
      </c>
      <c r="AA923" s="103" t="str">
        <f aca="false">IF(OR($B923="", $N923="", $O923="", $T923="", $Z923=""),"",ROUND(($N923*Lists!$AD$16)-($O923*Lists!$AD$17)-($T923*Lists!$AD$18)+($Z923*Lists!$AD$19),2))</f>
        <v/>
      </c>
      <c r="AB923" s="102" t="str">
        <f aca="false">IF(OR($B923="", $N923="", $Z923=""),"",IF($N923&gt;=Lists!$AG$2,IF($Z923&gt;=Lists!$AG$3,"Invest","Migrate"),IF($Z923&gt;=Lists!$AG$3,"Tolerate","Eliminate")))</f>
        <v/>
      </c>
      <c r="AC923" s="102" t="str">
        <f aca="false">IF($B923="","",IF($J923&gt;=4,"Yes",""))</f>
        <v/>
      </c>
      <c r="AD923" s="102" t="str">
        <f aca="false">IF($A923="","",IFERROR(IF(VLOOKUP($A923,'Risk Register'!$B$2:$H$1000,4,FALSE())&gt;=4,"Yes",""),""))</f>
        <v/>
      </c>
      <c r="AE923" s="102" t="str">
        <f aca="false">IF(OR($N923="", $O923=""),"",IF($N923&gt;=Lists!$AG$2,IF($O923&gt;=Lists!$AG$4,"High Value / High Risk","High Value / Low Risk"),IF($O923&gt;=Lists!$AG$4,"Low Value / High Risk","Low Value / Low Risk")))</f>
        <v/>
      </c>
      <c r="AF923" s="101"/>
      <c r="AG923" s="126"/>
      <c r="AH923" s="106" t="str">
        <f aca="false">IF($B923="","",COUNTIFS('Debt Backlog'!$AF$2:$AF$1000,$A923,'Debt Backlog'!$B$2:$B$1000,"&lt;&gt;",'Debt Backlog'!$N$2:$N$1000,"&lt;&gt;Done",'Debt Backlog'!$N$2:$N$1000,"&lt;&gt;Won't Fix",'Debt Backlog'!$N$2:$N$1000,"&lt;&gt;Duplicate"))</f>
        <v/>
      </c>
      <c r="AI923" s="103" t="str">
        <f aca="false">IF($B923="","",ROUND(SUMIFS('Debt Backlog'!$L$2:$L$1000,'Debt Backlog'!$AF$2:$AF$1000,$A923,'Debt Backlog'!$B$2:$B$1000,"&lt;&gt;",'Debt Backlog'!$N$2:$N$1000,"&lt;&gt;Done",'Debt Backlog'!$N$2:$N$1000,"&lt;&gt;Won't Fix",'Debt Backlog'!$N$2:$N$1000,"&lt;&gt;Duplicate"),2))</f>
        <v/>
      </c>
    </row>
    <row r="924" customFormat="false" ht="15.75" hidden="false" customHeight="true" outlineLevel="0" collapsed="false">
      <c r="A924" s="125"/>
      <c r="B924" s="101"/>
      <c r="C924" s="101"/>
      <c r="D924" s="101"/>
      <c r="E924" s="101"/>
      <c r="F924" s="101"/>
      <c r="G924" s="101"/>
      <c r="H924" s="101"/>
      <c r="I924" s="106"/>
      <c r="J924" s="106"/>
      <c r="K924" s="106"/>
      <c r="L924" s="106"/>
      <c r="M924" s="106"/>
      <c r="N924" s="103" t="str">
        <f aca="false">IF(OR($B924="", $I924="", $J924="", $K924="", $L924="", $M924=""),"",ROUND(($I924*Lists!$AD$2)+($J924*Lists!$AD$3)+($K924*Lists!$AD$4)+($L924*Lists!$AD$5)+($M924*Lists!$AD$6),2))</f>
        <v/>
      </c>
      <c r="O924" s="103" t="str">
        <f aca="false">IF($A924="","",IFERROR(VLOOKUP($A924,'Risk Register'!$B$2:$I$1000,8,FALSE()),""))</f>
        <v/>
      </c>
      <c r="P924" s="106"/>
      <c r="Q924" s="106"/>
      <c r="R924" s="106"/>
      <c r="S924" s="106"/>
      <c r="T924" s="103" t="str">
        <f aca="false">IF(OR($B924="", $P924="", $Q924="", $R924="", $S924=""),"",ROUND(($P924*Lists!$AD$7)+($Q924*Lists!$AD$8)+($R924*Lists!$AD$9)+($S924*Lists!$AD$10),2))</f>
        <v/>
      </c>
      <c r="U924" s="106"/>
      <c r="V924" s="106"/>
      <c r="W924" s="106"/>
      <c r="X924" s="106"/>
      <c r="Y924" s="106"/>
      <c r="Z924" s="103" t="str">
        <f aca="false">IF(OR($B924="", $U924="", $V924="", $W924="", $X924="", $Y924=""),"",ROUND(($U924*Lists!$AD$11)+($V924*Lists!$AD$12)+($W924*Lists!$AD$13)+($X924*Lists!$AD$14)+($Y924*Lists!$AD$15),2))</f>
        <v/>
      </c>
      <c r="AA924" s="103" t="str">
        <f aca="false">IF(OR($B924="", $N924="", $O924="", $T924="", $Z924=""),"",ROUND(($N924*Lists!$AD$16)-($O924*Lists!$AD$17)-($T924*Lists!$AD$18)+($Z924*Lists!$AD$19),2))</f>
        <v/>
      </c>
      <c r="AB924" s="102" t="str">
        <f aca="false">IF(OR($B924="", $N924="", $Z924=""),"",IF($N924&gt;=Lists!$AG$2,IF($Z924&gt;=Lists!$AG$3,"Invest","Migrate"),IF($Z924&gt;=Lists!$AG$3,"Tolerate","Eliminate")))</f>
        <v/>
      </c>
      <c r="AC924" s="102" t="str">
        <f aca="false">IF($B924="","",IF($J924&gt;=4,"Yes",""))</f>
        <v/>
      </c>
      <c r="AD924" s="102" t="str">
        <f aca="false">IF($A924="","",IFERROR(IF(VLOOKUP($A924,'Risk Register'!$B$2:$H$1000,4,FALSE())&gt;=4,"Yes",""),""))</f>
        <v/>
      </c>
      <c r="AE924" s="102" t="str">
        <f aca="false">IF(OR($N924="", $O924=""),"",IF($N924&gt;=Lists!$AG$2,IF($O924&gt;=Lists!$AG$4,"High Value / High Risk","High Value / Low Risk"),IF($O924&gt;=Lists!$AG$4,"Low Value / High Risk","Low Value / Low Risk")))</f>
        <v/>
      </c>
      <c r="AF924" s="101"/>
      <c r="AG924" s="126"/>
      <c r="AH924" s="106" t="str">
        <f aca="false">IF($B924="","",COUNTIFS('Debt Backlog'!$AF$2:$AF$1000,$A924,'Debt Backlog'!$B$2:$B$1000,"&lt;&gt;",'Debt Backlog'!$N$2:$N$1000,"&lt;&gt;Done",'Debt Backlog'!$N$2:$N$1000,"&lt;&gt;Won't Fix",'Debt Backlog'!$N$2:$N$1000,"&lt;&gt;Duplicate"))</f>
        <v/>
      </c>
      <c r="AI924" s="103" t="str">
        <f aca="false">IF($B924="","",ROUND(SUMIFS('Debt Backlog'!$L$2:$L$1000,'Debt Backlog'!$AF$2:$AF$1000,$A924,'Debt Backlog'!$B$2:$B$1000,"&lt;&gt;",'Debt Backlog'!$N$2:$N$1000,"&lt;&gt;Done",'Debt Backlog'!$N$2:$N$1000,"&lt;&gt;Won't Fix",'Debt Backlog'!$N$2:$N$1000,"&lt;&gt;Duplicate"),2))</f>
        <v/>
      </c>
    </row>
    <row r="925" customFormat="false" ht="15.75" hidden="false" customHeight="true" outlineLevel="0" collapsed="false">
      <c r="A925" s="125"/>
      <c r="B925" s="101"/>
      <c r="C925" s="101"/>
      <c r="D925" s="101"/>
      <c r="E925" s="101"/>
      <c r="F925" s="101"/>
      <c r="G925" s="101"/>
      <c r="H925" s="101"/>
      <c r="I925" s="106"/>
      <c r="J925" s="106"/>
      <c r="K925" s="106"/>
      <c r="L925" s="106"/>
      <c r="M925" s="106"/>
      <c r="N925" s="103" t="str">
        <f aca="false">IF(OR($B925="", $I925="", $J925="", $K925="", $L925="", $M925=""),"",ROUND(($I925*Lists!$AD$2)+($J925*Lists!$AD$3)+($K925*Lists!$AD$4)+($L925*Lists!$AD$5)+($M925*Lists!$AD$6),2))</f>
        <v/>
      </c>
      <c r="O925" s="103" t="str">
        <f aca="false">IF($A925="","",IFERROR(VLOOKUP($A925,'Risk Register'!$B$2:$I$1000,8,FALSE()),""))</f>
        <v/>
      </c>
      <c r="P925" s="106"/>
      <c r="Q925" s="106"/>
      <c r="R925" s="106"/>
      <c r="S925" s="106"/>
      <c r="T925" s="103" t="str">
        <f aca="false">IF(OR($B925="", $P925="", $Q925="", $R925="", $S925=""),"",ROUND(($P925*Lists!$AD$7)+($Q925*Lists!$AD$8)+($R925*Lists!$AD$9)+($S925*Lists!$AD$10),2))</f>
        <v/>
      </c>
      <c r="U925" s="106"/>
      <c r="V925" s="106"/>
      <c r="W925" s="106"/>
      <c r="X925" s="106"/>
      <c r="Y925" s="106"/>
      <c r="Z925" s="103" t="str">
        <f aca="false">IF(OR($B925="", $U925="", $V925="", $W925="", $X925="", $Y925=""),"",ROUND(($U925*Lists!$AD$11)+($V925*Lists!$AD$12)+($W925*Lists!$AD$13)+($X925*Lists!$AD$14)+($Y925*Lists!$AD$15),2))</f>
        <v/>
      </c>
      <c r="AA925" s="103" t="str">
        <f aca="false">IF(OR($B925="", $N925="", $O925="", $T925="", $Z925=""),"",ROUND(($N925*Lists!$AD$16)-($O925*Lists!$AD$17)-($T925*Lists!$AD$18)+($Z925*Lists!$AD$19),2))</f>
        <v/>
      </c>
      <c r="AB925" s="102" t="str">
        <f aca="false">IF(OR($B925="", $N925="", $Z925=""),"",IF($N925&gt;=Lists!$AG$2,IF($Z925&gt;=Lists!$AG$3,"Invest","Migrate"),IF($Z925&gt;=Lists!$AG$3,"Tolerate","Eliminate")))</f>
        <v/>
      </c>
      <c r="AC925" s="102" t="str">
        <f aca="false">IF($B925="","",IF($J925&gt;=4,"Yes",""))</f>
        <v/>
      </c>
      <c r="AD925" s="102" t="str">
        <f aca="false">IF($A925="","",IFERROR(IF(VLOOKUP($A925,'Risk Register'!$B$2:$H$1000,4,FALSE())&gt;=4,"Yes",""),""))</f>
        <v/>
      </c>
      <c r="AE925" s="102" t="str">
        <f aca="false">IF(OR($N925="", $O925=""),"",IF($N925&gt;=Lists!$AG$2,IF($O925&gt;=Lists!$AG$4,"High Value / High Risk","High Value / Low Risk"),IF($O925&gt;=Lists!$AG$4,"Low Value / High Risk","Low Value / Low Risk")))</f>
        <v/>
      </c>
      <c r="AF925" s="101"/>
      <c r="AG925" s="126"/>
      <c r="AH925" s="106" t="str">
        <f aca="false">IF($B925="","",COUNTIFS('Debt Backlog'!$AF$2:$AF$1000,$A925,'Debt Backlog'!$B$2:$B$1000,"&lt;&gt;",'Debt Backlog'!$N$2:$N$1000,"&lt;&gt;Done",'Debt Backlog'!$N$2:$N$1000,"&lt;&gt;Won't Fix",'Debt Backlog'!$N$2:$N$1000,"&lt;&gt;Duplicate"))</f>
        <v/>
      </c>
      <c r="AI925" s="103" t="str">
        <f aca="false">IF($B925="","",ROUND(SUMIFS('Debt Backlog'!$L$2:$L$1000,'Debt Backlog'!$AF$2:$AF$1000,$A925,'Debt Backlog'!$B$2:$B$1000,"&lt;&gt;",'Debt Backlog'!$N$2:$N$1000,"&lt;&gt;Done",'Debt Backlog'!$N$2:$N$1000,"&lt;&gt;Won't Fix",'Debt Backlog'!$N$2:$N$1000,"&lt;&gt;Duplicate"),2))</f>
        <v/>
      </c>
    </row>
    <row r="926" customFormat="false" ht="15.75" hidden="false" customHeight="true" outlineLevel="0" collapsed="false">
      <c r="A926" s="125"/>
      <c r="B926" s="101"/>
      <c r="C926" s="101"/>
      <c r="D926" s="101"/>
      <c r="E926" s="101"/>
      <c r="F926" s="101"/>
      <c r="G926" s="101"/>
      <c r="H926" s="101"/>
      <c r="I926" s="106"/>
      <c r="J926" s="106"/>
      <c r="K926" s="106"/>
      <c r="L926" s="106"/>
      <c r="M926" s="106"/>
      <c r="N926" s="103" t="str">
        <f aca="false">IF(OR($B926="", $I926="", $J926="", $K926="", $L926="", $M926=""),"",ROUND(($I926*Lists!$AD$2)+($J926*Lists!$AD$3)+($K926*Lists!$AD$4)+($L926*Lists!$AD$5)+($M926*Lists!$AD$6),2))</f>
        <v/>
      </c>
      <c r="O926" s="103" t="str">
        <f aca="false">IF($A926="","",IFERROR(VLOOKUP($A926,'Risk Register'!$B$2:$I$1000,8,FALSE()),""))</f>
        <v/>
      </c>
      <c r="P926" s="106"/>
      <c r="Q926" s="106"/>
      <c r="R926" s="106"/>
      <c r="S926" s="106"/>
      <c r="T926" s="103" t="str">
        <f aca="false">IF(OR($B926="", $P926="", $Q926="", $R926="", $S926=""),"",ROUND(($P926*Lists!$AD$7)+($Q926*Lists!$AD$8)+($R926*Lists!$AD$9)+($S926*Lists!$AD$10),2))</f>
        <v/>
      </c>
      <c r="U926" s="106"/>
      <c r="V926" s="106"/>
      <c r="W926" s="106"/>
      <c r="X926" s="106"/>
      <c r="Y926" s="106"/>
      <c r="Z926" s="103" t="str">
        <f aca="false">IF(OR($B926="", $U926="", $V926="", $W926="", $X926="", $Y926=""),"",ROUND(($U926*Lists!$AD$11)+($V926*Lists!$AD$12)+($W926*Lists!$AD$13)+($X926*Lists!$AD$14)+($Y926*Lists!$AD$15),2))</f>
        <v/>
      </c>
      <c r="AA926" s="103" t="str">
        <f aca="false">IF(OR($B926="", $N926="", $O926="", $T926="", $Z926=""),"",ROUND(($N926*Lists!$AD$16)-($O926*Lists!$AD$17)-($T926*Lists!$AD$18)+($Z926*Lists!$AD$19),2))</f>
        <v/>
      </c>
      <c r="AB926" s="102" t="str">
        <f aca="false">IF(OR($B926="", $N926="", $Z926=""),"",IF($N926&gt;=Lists!$AG$2,IF($Z926&gt;=Lists!$AG$3,"Invest","Migrate"),IF($Z926&gt;=Lists!$AG$3,"Tolerate","Eliminate")))</f>
        <v/>
      </c>
      <c r="AC926" s="102" t="str">
        <f aca="false">IF($B926="","",IF($J926&gt;=4,"Yes",""))</f>
        <v/>
      </c>
      <c r="AD926" s="102" t="str">
        <f aca="false">IF($A926="","",IFERROR(IF(VLOOKUP($A926,'Risk Register'!$B$2:$H$1000,4,FALSE())&gt;=4,"Yes",""),""))</f>
        <v/>
      </c>
      <c r="AE926" s="102" t="str">
        <f aca="false">IF(OR($N926="", $O926=""),"",IF($N926&gt;=Lists!$AG$2,IF($O926&gt;=Lists!$AG$4,"High Value / High Risk","High Value / Low Risk"),IF($O926&gt;=Lists!$AG$4,"Low Value / High Risk","Low Value / Low Risk")))</f>
        <v/>
      </c>
      <c r="AF926" s="101"/>
      <c r="AG926" s="126"/>
      <c r="AH926" s="106" t="str">
        <f aca="false">IF($B926="","",COUNTIFS('Debt Backlog'!$AF$2:$AF$1000,$A926,'Debt Backlog'!$B$2:$B$1000,"&lt;&gt;",'Debt Backlog'!$N$2:$N$1000,"&lt;&gt;Done",'Debt Backlog'!$N$2:$N$1000,"&lt;&gt;Won't Fix",'Debt Backlog'!$N$2:$N$1000,"&lt;&gt;Duplicate"))</f>
        <v/>
      </c>
      <c r="AI926" s="103" t="str">
        <f aca="false">IF($B926="","",ROUND(SUMIFS('Debt Backlog'!$L$2:$L$1000,'Debt Backlog'!$AF$2:$AF$1000,$A926,'Debt Backlog'!$B$2:$B$1000,"&lt;&gt;",'Debt Backlog'!$N$2:$N$1000,"&lt;&gt;Done",'Debt Backlog'!$N$2:$N$1000,"&lt;&gt;Won't Fix",'Debt Backlog'!$N$2:$N$1000,"&lt;&gt;Duplicate"),2))</f>
        <v/>
      </c>
    </row>
    <row r="927" customFormat="false" ht="15.75" hidden="false" customHeight="true" outlineLevel="0" collapsed="false">
      <c r="A927" s="125"/>
      <c r="B927" s="101"/>
      <c r="C927" s="101"/>
      <c r="D927" s="101"/>
      <c r="E927" s="101"/>
      <c r="F927" s="101"/>
      <c r="G927" s="101"/>
      <c r="H927" s="101"/>
      <c r="I927" s="106"/>
      <c r="J927" s="106"/>
      <c r="K927" s="106"/>
      <c r="L927" s="106"/>
      <c r="M927" s="106"/>
      <c r="N927" s="103" t="str">
        <f aca="false">IF(OR($B927="", $I927="", $J927="", $K927="", $L927="", $M927=""),"",ROUND(($I927*Lists!$AD$2)+($J927*Lists!$AD$3)+($K927*Lists!$AD$4)+($L927*Lists!$AD$5)+($M927*Lists!$AD$6),2))</f>
        <v/>
      </c>
      <c r="O927" s="103" t="str">
        <f aca="false">IF($A927="","",IFERROR(VLOOKUP($A927,'Risk Register'!$B$2:$I$1000,8,FALSE()),""))</f>
        <v/>
      </c>
      <c r="P927" s="106"/>
      <c r="Q927" s="106"/>
      <c r="R927" s="106"/>
      <c r="S927" s="106"/>
      <c r="T927" s="103" t="str">
        <f aca="false">IF(OR($B927="", $P927="", $Q927="", $R927="", $S927=""),"",ROUND(($P927*Lists!$AD$7)+($Q927*Lists!$AD$8)+($R927*Lists!$AD$9)+($S927*Lists!$AD$10),2))</f>
        <v/>
      </c>
      <c r="U927" s="106"/>
      <c r="V927" s="106"/>
      <c r="W927" s="106"/>
      <c r="X927" s="106"/>
      <c r="Y927" s="106"/>
      <c r="Z927" s="103" t="str">
        <f aca="false">IF(OR($B927="", $U927="", $V927="", $W927="", $X927="", $Y927=""),"",ROUND(($U927*Lists!$AD$11)+($V927*Lists!$AD$12)+($W927*Lists!$AD$13)+($X927*Lists!$AD$14)+($Y927*Lists!$AD$15),2))</f>
        <v/>
      </c>
      <c r="AA927" s="103" t="str">
        <f aca="false">IF(OR($B927="", $N927="", $O927="", $T927="", $Z927=""),"",ROUND(($N927*Lists!$AD$16)-($O927*Lists!$AD$17)-($T927*Lists!$AD$18)+($Z927*Lists!$AD$19),2))</f>
        <v/>
      </c>
      <c r="AB927" s="102" t="str">
        <f aca="false">IF(OR($B927="", $N927="", $Z927=""),"",IF($N927&gt;=Lists!$AG$2,IF($Z927&gt;=Lists!$AG$3,"Invest","Migrate"),IF($Z927&gt;=Lists!$AG$3,"Tolerate","Eliminate")))</f>
        <v/>
      </c>
      <c r="AC927" s="102" t="str">
        <f aca="false">IF($B927="","",IF($J927&gt;=4,"Yes",""))</f>
        <v/>
      </c>
      <c r="AD927" s="102" t="str">
        <f aca="false">IF($A927="","",IFERROR(IF(VLOOKUP($A927,'Risk Register'!$B$2:$H$1000,4,FALSE())&gt;=4,"Yes",""),""))</f>
        <v/>
      </c>
      <c r="AE927" s="102" t="str">
        <f aca="false">IF(OR($N927="", $O927=""),"",IF($N927&gt;=Lists!$AG$2,IF($O927&gt;=Lists!$AG$4,"High Value / High Risk","High Value / Low Risk"),IF($O927&gt;=Lists!$AG$4,"Low Value / High Risk","Low Value / Low Risk")))</f>
        <v/>
      </c>
      <c r="AF927" s="101"/>
      <c r="AG927" s="126"/>
      <c r="AH927" s="106" t="str">
        <f aca="false">IF($B927="","",COUNTIFS('Debt Backlog'!$AF$2:$AF$1000,$A927,'Debt Backlog'!$B$2:$B$1000,"&lt;&gt;",'Debt Backlog'!$N$2:$N$1000,"&lt;&gt;Done",'Debt Backlog'!$N$2:$N$1000,"&lt;&gt;Won't Fix",'Debt Backlog'!$N$2:$N$1000,"&lt;&gt;Duplicate"))</f>
        <v/>
      </c>
      <c r="AI927" s="103" t="str">
        <f aca="false">IF($B927="","",ROUND(SUMIFS('Debt Backlog'!$L$2:$L$1000,'Debt Backlog'!$AF$2:$AF$1000,$A927,'Debt Backlog'!$B$2:$B$1000,"&lt;&gt;",'Debt Backlog'!$N$2:$N$1000,"&lt;&gt;Done",'Debt Backlog'!$N$2:$N$1000,"&lt;&gt;Won't Fix",'Debt Backlog'!$N$2:$N$1000,"&lt;&gt;Duplicate"),2))</f>
        <v/>
      </c>
    </row>
    <row r="928" customFormat="false" ht="15.75" hidden="false" customHeight="true" outlineLevel="0" collapsed="false">
      <c r="A928" s="125"/>
      <c r="B928" s="101"/>
      <c r="C928" s="101"/>
      <c r="D928" s="101"/>
      <c r="E928" s="101"/>
      <c r="F928" s="101"/>
      <c r="G928" s="101"/>
      <c r="H928" s="101"/>
      <c r="I928" s="106"/>
      <c r="J928" s="106"/>
      <c r="K928" s="106"/>
      <c r="L928" s="106"/>
      <c r="M928" s="106"/>
      <c r="N928" s="103" t="str">
        <f aca="false">IF(OR($B928="", $I928="", $J928="", $K928="", $L928="", $M928=""),"",ROUND(($I928*Lists!$AD$2)+($J928*Lists!$AD$3)+($K928*Lists!$AD$4)+($L928*Lists!$AD$5)+($M928*Lists!$AD$6),2))</f>
        <v/>
      </c>
      <c r="O928" s="103" t="str">
        <f aca="false">IF($A928="","",IFERROR(VLOOKUP($A928,'Risk Register'!$B$2:$I$1000,8,FALSE()),""))</f>
        <v/>
      </c>
      <c r="P928" s="106"/>
      <c r="Q928" s="106"/>
      <c r="R928" s="106"/>
      <c r="S928" s="106"/>
      <c r="T928" s="103" t="str">
        <f aca="false">IF(OR($B928="", $P928="", $Q928="", $R928="", $S928=""),"",ROUND(($P928*Lists!$AD$7)+($Q928*Lists!$AD$8)+($R928*Lists!$AD$9)+($S928*Lists!$AD$10),2))</f>
        <v/>
      </c>
      <c r="U928" s="106"/>
      <c r="V928" s="106"/>
      <c r="W928" s="106"/>
      <c r="X928" s="106"/>
      <c r="Y928" s="106"/>
      <c r="Z928" s="103" t="str">
        <f aca="false">IF(OR($B928="", $U928="", $V928="", $W928="", $X928="", $Y928=""),"",ROUND(($U928*Lists!$AD$11)+($V928*Lists!$AD$12)+($W928*Lists!$AD$13)+($X928*Lists!$AD$14)+($Y928*Lists!$AD$15),2))</f>
        <v/>
      </c>
      <c r="AA928" s="103" t="str">
        <f aca="false">IF(OR($B928="", $N928="", $O928="", $T928="", $Z928=""),"",ROUND(($N928*Lists!$AD$16)-($O928*Lists!$AD$17)-($T928*Lists!$AD$18)+($Z928*Lists!$AD$19),2))</f>
        <v/>
      </c>
      <c r="AB928" s="102" t="str">
        <f aca="false">IF(OR($B928="", $N928="", $Z928=""),"",IF($N928&gt;=Lists!$AG$2,IF($Z928&gt;=Lists!$AG$3,"Invest","Migrate"),IF($Z928&gt;=Lists!$AG$3,"Tolerate","Eliminate")))</f>
        <v/>
      </c>
      <c r="AC928" s="102" t="str">
        <f aca="false">IF($B928="","",IF($J928&gt;=4,"Yes",""))</f>
        <v/>
      </c>
      <c r="AD928" s="102" t="str">
        <f aca="false">IF($A928="","",IFERROR(IF(VLOOKUP($A928,'Risk Register'!$B$2:$H$1000,4,FALSE())&gt;=4,"Yes",""),""))</f>
        <v/>
      </c>
      <c r="AE928" s="102" t="str">
        <f aca="false">IF(OR($N928="", $O928=""),"",IF($N928&gt;=Lists!$AG$2,IF($O928&gt;=Lists!$AG$4,"High Value / High Risk","High Value / Low Risk"),IF($O928&gt;=Lists!$AG$4,"Low Value / High Risk","Low Value / Low Risk")))</f>
        <v/>
      </c>
      <c r="AF928" s="101"/>
      <c r="AG928" s="126"/>
      <c r="AH928" s="106" t="str">
        <f aca="false">IF($B928="","",COUNTIFS('Debt Backlog'!$AF$2:$AF$1000,$A928,'Debt Backlog'!$B$2:$B$1000,"&lt;&gt;",'Debt Backlog'!$N$2:$N$1000,"&lt;&gt;Done",'Debt Backlog'!$N$2:$N$1000,"&lt;&gt;Won't Fix",'Debt Backlog'!$N$2:$N$1000,"&lt;&gt;Duplicate"))</f>
        <v/>
      </c>
      <c r="AI928" s="103" t="str">
        <f aca="false">IF($B928="","",ROUND(SUMIFS('Debt Backlog'!$L$2:$L$1000,'Debt Backlog'!$AF$2:$AF$1000,$A928,'Debt Backlog'!$B$2:$B$1000,"&lt;&gt;",'Debt Backlog'!$N$2:$N$1000,"&lt;&gt;Done",'Debt Backlog'!$N$2:$N$1000,"&lt;&gt;Won't Fix",'Debt Backlog'!$N$2:$N$1000,"&lt;&gt;Duplicate"),2))</f>
        <v/>
      </c>
    </row>
    <row r="929" customFormat="false" ht="15.75" hidden="false" customHeight="true" outlineLevel="0" collapsed="false">
      <c r="A929" s="125"/>
      <c r="B929" s="101"/>
      <c r="C929" s="101"/>
      <c r="D929" s="101"/>
      <c r="E929" s="101"/>
      <c r="F929" s="101"/>
      <c r="G929" s="101"/>
      <c r="H929" s="101"/>
      <c r="I929" s="106"/>
      <c r="J929" s="106"/>
      <c r="K929" s="106"/>
      <c r="L929" s="106"/>
      <c r="M929" s="106"/>
      <c r="N929" s="103" t="str">
        <f aca="false">IF(OR($B929="", $I929="", $J929="", $K929="", $L929="", $M929=""),"",ROUND(($I929*Lists!$AD$2)+($J929*Lists!$AD$3)+($K929*Lists!$AD$4)+($L929*Lists!$AD$5)+($M929*Lists!$AD$6),2))</f>
        <v/>
      </c>
      <c r="O929" s="103" t="str">
        <f aca="false">IF($A929="","",IFERROR(VLOOKUP($A929,'Risk Register'!$B$2:$I$1000,8,FALSE()),""))</f>
        <v/>
      </c>
      <c r="P929" s="106"/>
      <c r="Q929" s="106"/>
      <c r="R929" s="106"/>
      <c r="S929" s="106"/>
      <c r="T929" s="103" t="str">
        <f aca="false">IF(OR($B929="", $P929="", $Q929="", $R929="", $S929=""),"",ROUND(($P929*Lists!$AD$7)+($Q929*Lists!$AD$8)+($R929*Lists!$AD$9)+($S929*Lists!$AD$10),2))</f>
        <v/>
      </c>
      <c r="U929" s="106"/>
      <c r="V929" s="106"/>
      <c r="W929" s="106"/>
      <c r="X929" s="106"/>
      <c r="Y929" s="106"/>
      <c r="Z929" s="103" t="str">
        <f aca="false">IF(OR($B929="", $U929="", $V929="", $W929="", $X929="", $Y929=""),"",ROUND(($U929*Lists!$AD$11)+($V929*Lists!$AD$12)+($W929*Lists!$AD$13)+($X929*Lists!$AD$14)+($Y929*Lists!$AD$15),2))</f>
        <v/>
      </c>
      <c r="AA929" s="103" t="str">
        <f aca="false">IF(OR($B929="", $N929="", $O929="", $T929="", $Z929=""),"",ROUND(($N929*Lists!$AD$16)-($O929*Lists!$AD$17)-($T929*Lists!$AD$18)+($Z929*Lists!$AD$19),2))</f>
        <v/>
      </c>
      <c r="AB929" s="102" t="str">
        <f aca="false">IF(OR($B929="", $N929="", $Z929=""),"",IF($N929&gt;=Lists!$AG$2,IF($Z929&gt;=Lists!$AG$3,"Invest","Migrate"),IF($Z929&gt;=Lists!$AG$3,"Tolerate","Eliminate")))</f>
        <v/>
      </c>
      <c r="AC929" s="102" t="str">
        <f aca="false">IF($B929="","",IF($J929&gt;=4,"Yes",""))</f>
        <v/>
      </c>
      <c r="AD929" s="102" t="str">
        <f aca="false">IF($A929="","",IFERROR(IF(VLOOKUP($A929,'Risk Register'!$B$2:$H$1000,4,FALSE())&gt;=4,"Yes",""),""))</f>
        <v/>
      </c>
      <c r="AE929" s="102" t="str">
        <f aca="false">IF(OR($N929="", $O929=""),"",IF($N929&gt;=Lists!$AG$2,IF($O929&gt;=Lists!$AG$4,"High Value / High Risk","High Value / Low Risk"),IF($O929&gt;=Lists!$AG$4,"Low Value / High Risk","Low Value / Low Risk")))</f>
        <v/>
      </c>
      <c r="AF929" s="101"/>
      <c r="AG929" s="126"/>
      <c r="AH929" s="106" t="str">
        <f aca="false">IF($B929="","",COUNTIFS('Debt Backlog'!$AF$2:$AF$1000,$A929,'Debt Backlog'!$B$2:$B$1000,"&lt;&gt;",'Debt Backlog'!$N$2:$N$1000,"&lt;&gt;Done",'Debt Backlog'!$N$2:$N$1000,"&lt;&gt;Won't Fix",'Debt Backlog'!$N$2:$N$1000,"&lt;&gt;Duplicate"))</f>
        <v/>
      </c>
      <c r="AI929" s="103" t="str">
        <f aca="false">IF($B929="","",ROUND(SUMIFS('Debt Backlog'!$L$2:$L$1000,'Debt Backlog'!$AF$2:$AF$1000,$A929,'Debt Backlog'!$B$2:$B$1000,"&lt;&gt;",'Debt Backlog'!$N$2:$N$1000,"&lt;&gt;Done",'Debt Backlog'!$N$2:$N$1000,"&lt;&gt;Won't Fix",'Debt Backlog'!$N$2:$N$1000,"&lt;&gt;Duplicate"),2))</f>
        <v/>
      </c>
    </row>
    <row r="930" customFormat="false" ht="15.75" hidden="false" customHeight="true" outlineLevel="0" collapsed="false">
      <c r="A930" s="125"/>
      <c r="B930" s="101"/>
      <c r="C930" s="101"/>
      <c r="D930" s="101"/>
      <c r="E930" s="101"/>
      <c r="F930" s="101"/>
      <c r="G930" s="101"/>
      <c r="H930" s="101"/>
      <c r="I930" s="106"/>
      <c r="J930" s="106"/>
      <c r="K930" s="106"/>
      <c r="L930" s="106"/>
      <c r="M930" s="106"/>
      <c r="N930" s="103" t="str">
        <f aca="false">IF(OR($B930="", $I930="", $J930="", $K930="", $L930="", $M930=""),"",ROUND(($I930*Lists!$AD$2)+($J930*Lists!$AD$3)+($K930*Lists!$AD$4)+($L930*Lists!$AD$5)+($M930*Lists!$AD$6),2))</f>
        <v/>
      </c>
      <c r="O930" s="103" t="str">
        <f aca="false">IF($A930="","",IFERROR(VLOOKUP($A930,'Risk Register'!$B$2:$I$1000,8,FALSE()),""))</f>
        <v/>
      </c>
      <c r="P930" s="106"/>
      <c r="Q930" s="106"/>
      <c r="R930" s="106"/>
      <c r="S930" s="106"/>
      <c r="T930" s="103" t="str">
        <f aca="false">IF(OR($B930="", $P930="", $Q930="", $R930="", $S930=""),"",ROUND(($P930*Lists!$AD$7)+($Q930*Lists!$AD$8)+($R930*Lists!$AD$9)+($S930*Lists!$AD$10),2))</f>
        <v/>
      </c>
      <c r="U930" s="106"/>
      <c r="V930" s="106"/>
      <c r="W930" s="106"/>
      <c r="X930" s="106"/>
      <c r="Y930" s="106"/>
      <c r="Z930" s="103" t="str">
        <f aca="false">IF(OR($B930="", $U930="", $V930="", $W930="", $X930="", $Y930=""),"",ROUND(($U930*Lists!$AD$11)+($V930*Lists!$AD$12)+($W930*Lists!$AD$13)+($X930*Lists!$AD$14)+($Y930*Lists!$AD$15),2))</f>
        <v/>
      </c>
      <c r="AA930" s="103" t="str">
        <f aca="false">IF(OR($B930="", $N930="", $O930="", $T930="", $Z930=""),"",ROUND(($N930*Lists!$AD$16)-($O930*Lists!$AD$17)-($T930*Lists!$AD$18)+($Z930*Lists!$AD$19),2))</f>
        <v/>
      </c>
      <c r="AB930" s="102" t="str">
        <f aca="false">IF(OR($B930="", $N930="", $Z930=""),"",IF($N930&gt;=Lists!$AG$2,IF($Z930&gt;=Lists!$AG$3,"Invest","Migrate"),IF($Z930&gt;=Lists!$AG$3,"Tolerate","Eliminate")))</f>
        <v/>
      </c>
      <c r="AC930" s="102" t="str">
        <f aca="false">IF($B930="","",IF($J930&gt;=4,"Yes",""))</f>
        <v/>
      </c>
      <c r="AD930" s="102" t="str">
        <f aca="false">IF($A930="","",IFERROR(IF(VLOOKUP($A930,'Risk Register'!$B$2:$H$1000,4,FALSE())&gt;=4,"Yes",""),""))</f>
        <v/>
      </c>
      <c r="AE930" s="102" t="str">
        <f aca="false">IF(OR($N930="", $O930=""),"",IF($N930&gt;=Lists!$AG$2,IF($O930&gt;=Lists!$AG$4,"High Value / High Risk","High Value / Low Risk"),IF($O930&gt;=Lists!$AG$4,"Low Value / High Risk","Low Value / Low Risk")))</f>
        <v/>
      </c>
      <c r="AF930" s="101"/>
      <c r="AG930" s="126"/>
      <c r="AH930" s="106" t="str">
        <f aca="false">IF($B930="","",COUNTIFS('Debt Backlog'!$AF$2:$AF$1000,$A930,'Debt Backlog'!$B$2:$B$1000,"&lt;&gt;",'Debt Backlog'!$N$2:$N$1000,"&lt;&gt;Done",'Debt Backlog'!$N$2:$N$1000,"&lt;&gt;Won't Fix",'Debt Backlog'!$N$2:$N$1000,"&lt;&gt;Duplicate"))</f>
        <v/>
      </c>
      <c r="AI930" s="103" t="str">
        <f aca="false">IF($B930="","",ROUND(SUMIFS('Debt Backlog'!$L$2:$L$1000,'Debt Backlog'!$AF$2:$AF$1000,$A930,'Debt Backlog'!$B$2:$B$1000,"&lt;&gt;",'Debt Backlog'!$N$2:$N$1000,"&lt;&gt;Done",'Debt Backlog'!$N$2:$N$1000,"&lt;&gt;Won't Fix",'Debt Backlog'!$N$2:$N$1000,"&lt;&gt;Duplicate"),2))</f>
        <v/>
      </c>
    </row>
    <row r="931" customFormat="false" ht="15.75" hidden="false" customHeight="true" outlineLevel="0" collapsed="false">
      <c r="A931" s="125"/>
      <c r="B931" s="101"/>
      <c r="C931" s="101"/>
      <c r="D931" s="101"/>
      <c r="E931" s="101"/>
      <c r="F931" s="101"/>
      <c r="G931" s="101"/>
      <c r="H931" s="101"/>
      <c r="I931" s="106"/>
      <c r="J931" s="106"/>
      <c r="K931" s="106"/>
      <c r="L931" s="106"/>
      <c r="M931" s="106"/>
      <c r="N931" s="103" t="str">
        <f aca="false">IF(OR($B931="", $I931="", $J931="", $K931="", $L931="", $M931=""),"",ROUND(($I931*Lists!$AD$2)+($J931*Lists!$AD$3)+($K931*Lists!$AD$4)+($L931*Lists!$AD$5)+($M931*Lists!$AD$6),2))</f>
        <v/>
      </c>
      <c r="O931" s="103" t="str">
        <f aca="false">IF($A931="","",IFERROR(VLOOKUP($A931,'Risk Register'!$B$2:$I$1000,8,FALSE()),""))</f>
        <v/>
      </c>
      <c r="P931" s="106"/>
      <c r="Q931" s="106"/>
      <c r="R931" s="106"/>
      <c r="S931" s="106"/>
      <c r="T931" s="103" t="str">
        <f aca="false">IF(OR($B931="", $P931="", $Q931="", $R931="", $S931=""),"",ROUND(($P931*Lists!$AD$7)+($Q931*Lists!$AD$8)+($R931*Lists!$AD$9)+($S931*Lists!$AD$10),2))</f>
        <v/>
      </c>
      <c r="U931" s="106"/>
      <c r="V931" s="106"/>
      <c r="W931" s="106"/>
      <c r="X931" s="106"/>
      <c r="Y931" s="106"/>
      <c r="Z931" s="103" t="str">
        <f aca="false">IF(OR($B931="", $U931="", $V931="", $W931="", $X931="", $Y931=""),"",ROUND(($U931*Lists!$AD$11)+($V931*Lists!$AD$12)+($W931*Lists!$AD$13)+($X931*Lists!$AD$14)+($Y931*Lists!$AD$15),2))</f>
        <v/>
      </c>
      <c r="AA931" s="103" t="str">
        <f aca="false">IF(OR($B931="", $N931="", $O931="", $T931="", $Z931=""),"",ROUND(($N931*Lists!$AD$16)-($O931*Lists!$AD$17)-($T931*Lists!$AD$18)+($Z931*Lists!$AD$19),2))</f>
        <v/>
      </c>
      <c r="AB931" s="102" t="str">
        <f aca="false">IF(OR($B931="", $N931="", $Z931=""),"",IF($N931&gt;=Lists!$AG$2,IF($Z931&gt;=Lists!$AG$3,"Invest","Migrate"),IF($Z931&gt;=Lists!$AG$3,"Tolerate","Eliminate")))</f>
        <v/>
      </c>
      <c r="AC931" s="102" t="str">
        <f aca="false">IF($B931="","",IF($J931&gt;=4,"Yes",""))</f>
        <v/>
      </c>
      <c r="AD931" s="102" t="str">
        <f aca="false">IF($A931="","",IFERROR(IF(VLOOKUP($A931,'Risk Register'!$B$2:$H$1000,4,FALSE())&gt;=4,"Yes",""),""))</f>
        <v/>
      </c>
      <c r="AE931" s="102" t="str">
        <f aca="false">IF(OR($N931="", $O931=""),"",IF($N931&gt;=Lists!$AG$2,IF($O931&gt;=Lists!$AG$4,"High Value / High Risk","High Value / Low Risk"),IF($O931&gt;=Lists!$AG$4,"Low Value / High Risk","Low Value / Low Risk")))</f>
        <v/>
      </c>
      <c r="AF931" s="101"/>
      <c r="AG931" s="126"/>
      <c r="AH931" s="106" t="str">
        <f aca="false">IF($B931="","",COUNTIFS('Debt Backlog'!$AF$2:$AF$1000,$A931,'Debt Backlog'!$B$2:$B$1000,"&lt;&gt;",'Debt Backlog'!$N$2:$N$1000,"&lt;&gt;Done",'Debt Backlog'!$N$2:$N$1000,"&lt;&gt;Won't Fix",'Debt Backlog'!$N$2:$N$1000,"&lt;&gt;Duplicate"))</f>
        <v/>
      </c>
      <c r="AI931" s="103" t="str">
        <f aca="false">IF($B931="","",ROUND(SUMIFS('Debt Backlog'!$L$2:$L$1000,'Debt Backlog'!$AF$2:$AF$1000,$A931,'Debt Backlog'!$B$2:$B$1000,"&lt;&gt;",'Debt Backlog'!$N$2:$N$1000,"&lt;&gt;Done",'Debt Backlog'!$N$2:$N$1000,"&lt;&gt;Won't Fix",'Debt Backlog'!$N$2:$N$1000,"&lt;&gt;Duplicate"),2))</f>
        <v/>
      </c>
    </row>
    <row r="932" customFormat="false" ht="15.75" hidden="false" customHeight="true" outlineLevel="0" collapsed="false">
      <c r="A932" s="125"/>
      <c r="B932" s="101"/>
      <c r="C932" s="101"/>
      <c r="D932" s="101"/>
      <c r="E932" s="101"/>
      <c r="F932" s="101"/>
      <c r="G932" s="101"/>
      <c r="H932" s="101"/>
      <c r="I932" s="106"/>
      <c r="J932" s="106"/>
      <c r="K932" s="106"/>
      <c r="L932" s="106"/>
      <c r="M932" s="106"/>
      <c r="N932" s="103" t="str">
        <f aca="false">IF(OR($B932="", $I932="", $J932="", $K932="", $L932="", $M932=""),"",ROUND(($I932*Lists!$AD$2)+($J932*Lists!$AD$3)+($K932*Lists!$AD$4)+($L932*Lists!$AD$5)+($M932*Lists!$AD$6),2))</f>
        <v/>
      </c>
      <c r="O932" s="103" t="str">
        <f aca="false">IF($A932="","",IFERROR(VLOOKUP($A932,'Risk Register'!$B$2:$I$1000,8,FALSE()),""))</f>
        <v/>
      </c>
      <c r="P932" s="106"/>
      <c r="Q932" s="106"/>
      <c r="R932" s="106"/>
      <c r="S932" s="106"/>
      <c r="T932" s="103" t="str">
        <f aca="false">IF(OR($B932="", $P932="", $Q932="", $R932="", $S932=""),"",ROUND(($P932*Lists!$AD$7)+($Q932*Lists!$AD$8)+($R932*Lists!$AD$9)+($S932*Lists!$AD$10),2))</f>
        <v/>
      </c>
      <c r="U932" s="106"/>
      <c r="V932" s="106"/>
      <c r="W932" s="106"/>
      <c r="X932" s="106"/>
      <c r="Y932" s="106"/>
      <c r="Z932" s="103" t="str">
        <f aca="false">IF(OR($B932="", $U932="", $V932="", $W932="", $X932="", $Y932=""),"",ROUND(($U932*Lists!$AD$11)+($V932*Lists!$AD$12)+($W932*Lists!$AD$13)+($X932*Lists!$AD$14)+($Y932*Lists!$AD$15),2))</f>
        <v/>
      </c>
      <c r="AA932" s="103" t="str">
        <f aca="false">IF(OR($B932="", $N932="", $O932="", $T932="", $Z932=""),"",ROUND(($N932*Lists!$AD$16)-($O932*Lists!$AD$17)-($T932*Lists!$AD$18)+($Z932*Lists!$AD$19),2))</f>
        <v/>
      </c>
      <c r="AB932" s="102" t="str">
        <f aca="false">IF(OR($B932="", $N932="", $Z932=""),"",IF($N932&gt;=Lists!$AG$2,IF($Z932&gt;=Lists!$AG$3,"Invest","Migrate"),IF($Z932&gt;=Lists!$AG$3,"Tolerate","Eliminate")))</f>
        <v/>
      </c>
      <c r="AC932" s="102" t="str">
        <f aca="false">IF($B932="","",IF($J932&gt;=4,"Yes",""))</f>
        <v/>
      </c>
      <c r="AD932" s="102" t="str">
        <f aca="false">IF($A932="","",IFERROR(IF(VLOOKUP($A932,'Risk Register'!$B$2:$H$1000,4,FALSE())&gt;=4,"Yes",""),""))</f>
        <v/>
      </c>
      <c r="AE932" s="102" t="str">
        <f aca="false">IF(OR($N932="", $O932=""),"",IF($N932&gt;=Lists!$AG$2,IF($O932&gt;=Lists!$AG$4,"High Value / High Risk","High Value / Low Risk"),IF($O932&gt;=Lists!$AG$4,"Low Value / High Risk","Low Value / Low Risk")))</f>
        <v/>
      </c>
      <c r="AF932" s="101"/>
      <c r="AG932" s="126"/>
      <c r="AH932" s="106" t="str">
        <f aca="false">IF($B932="","",COUNTIFS('Debt Backlog'!$AF$2:$AF$1000,$A932,'Debt Backlog'!$B$2:$B$1000,"&lt;&gt;",'Debt Backlog'!$N$2:$N$1000,"&lt;&gt;Done",'Debt Backlog'!$N$2:$N$1000,"&lt;&gt;Won't Fix",'Debt Backlog'!$N$2:$N$1000,"&lt;&gt;Duplicate"))</f>
        <v/>
      </c>
      <c r="AI932" s="103" t="str">
        <f aca="false">IF($B932="","",ROUND(SUMIFS('Debt Backlog'!$L$2:$L$1000,'Debt Backlog'!$AF$2:$AF$1000,$A932,'Debt Backlog'!$B$2:$B$1000,"&lt;&gt;",'Debt Backlog'!$N$2:$N$1000,"&lt;&gt;Done",'Debt Backlog'!$N$2:$N$1000,"&lt;&gt;Won't Fix",'Debt Backlog'!$N$2:$N$1000,"&lt;&gt;Duplicate"),2))</f>
        <v/>
      </c>
    </row>
    <row r="933" customFormat="false" ht="15.75" hidden="false" customHeight="true" outlineLevel="0" collapsed="false">
      <c r="A933" s="125"/>
      <c r="B933" s="101"/>
      <c r="C933" s="101"/>
      <c r="D933" s="101"/>
      <c r="E933" s="101"/>
      <c r="F933" s="101"/>
      <c r="G933" s="101"/>
      <c r="H933" s="101"/>
      <c r="I933" s="106"/>
      <c r="J933" s="106"/>
      <c r="K933" s="106"/>
      <c r="L933" s="106"/>
      <c r="M933" s="106"/>
      <c r="N933" s="103" t="str">
        <f aca="false">IF(OR($B933="", $I933="", $J933="", $K933="", $L933="", $M933=""),"",ROUND(($I933*Lists!$AD$2)+($J933*Lists!$AD$3)+($K933*Lists!$AD$4)+($L933*Lists!$AD$5)+($M933*Lists!$AD$6),2))</f>
        <v/>
      </c>
      <c r="O933" s="103" t="str">
        <f aca="false">IF($A933="","",IFERROR(VLOOKUP($A933,'Risk Register'!$B$2:$I$1000,8,FALSE()),""))</f>
        <v/>
      </c>
      <c r="P933" s="106"/>
      <c r="Q933" s="106"/>
      <c r="R933" s="106"/>
      <c r="S933" s="106"/>
      <c r="T933" s="103" t="str">
        <f aca="false">IF(OR($B933="", $P933="", $Q933="", $R933="", $S933=""),"",ROUND(($P933*Lists!$AD$7)+($Q933*Lists!$AD$8)+($R933*Lists!$AD$9)+($S933*Lists!$AD$10),2))</f>
        <v/>
      </c>
      <c r="U933" s="106"/>
      <c r="V933" s="106"/>
      <c r="W933" s="106"/>
      <c r="X933" s="106"/>
      <c r="Y933" s="106"/>
      <c r="Z933" s="103" t="str">
        <f aca="false">IF(OR($B933="", $U933="", $V933="", $W933="", $X933="", $Y933=""),"",ROUND(($U933*Lists!$AD$11)+($V933*Lists!$AD$12)+($W933*Lists!$AD$13)+($X933*Lists!$AD$14)+($Y933*Lists!$AD$15),2))</f>
        <v/>
      </c>
      <c r="AA933" s="103" t="str">
        <f aca="false">IF(OR($B933="", $N933="", $O933="", $T933="", $Z933=""),"",ROUND(($N933*Lists!$AD$16)-($O933*Lists!$AD$17)-($T933*Lists!$AD$18)+($Z933*Lists!$AD$19),2))</f>
        <v/>
      </c>
      <c r="AB933" s="102" t="str">
        <f aca="false">IF(OR($B933="", $N933="", $Z933=""),"",IF($N933&gt;=Lists!$AG$2,IF($Z933&gt;=Lists!$AG$3,"Invest","Migrate"),IF($Z933&gt;=Lists!$AG$3,"Tolerate","Eliminate")))</f>
        <v/>
      </c>
      <c r="AC933" s="102" t="str">
        <f aca="false">IF($B933="","",IF($J933&gt;=4,"Yes",""))</f>
        <v/>
      </c>
      <c r="AD933" s="102" t="str">
        <f aca="false">IF($A933="","",IFERROR(IF(VLOOKUP($A933,'Risk Register'!$B$2:$H$1000,4,FALSE())&gt;=4,"Yes",""),""))</f>
        <v/>
      </c>
      <c r="AE933" s="102" t="str">
        <f aca="false">IF(OR($N933="", $O933=""),"",IF($N933&gt;=Lists!$AG$2,IF($O933&gt;=Lists!$AG$4,"High Value / High Risk","High Value / Low Risk"),IF($O933&gt;=Lists!$AG$4,"Low Value / High Risk","Low Value / Low Risk")))</f>
        <v/>
      </c>
      <c r="AF933" s="101"/>
      <c r="AG933" s="126"/>
      <c r="AH933" s="106" t="str">
        <f aca="false">IF($B933="","",COUNTIFS('Debt Backlog'!$AF$2:$AF$1000,$A933,'Debt Backlog'!$B$2:$B$1000,"&lt;&gt;",'Debt Backlog'!$N$2:$N$1000,"&lt;&gt;Done",'Debt Backlog'!$N$2:$N$1000,"&lt;&gt;Won't Fix",'Debt Backlog'!$N$2:$N$1000,"&lt;&gt;Duplicate"))</f>
        <v/>
      </c>
      <c r="AI933" s="103" t="str">
        <f aca="false">IF($B933="","",ROUND(SUMIFS('Debt Backlog'!$L$2:$L$1000,'Debt Backlog'!$AF$2:$AF$1000,$A933,'Debt Backlog'!$B$2:$B$1000,"&lt;&gt;",'Debt Backlog'!$N$2:$N$1000,"&lt;&gt;Done",'Debt Backlog'!$N$2:$N$1000,"&lt;&gt;Won't Fix",'Debt Backlog'!$N$2:$N$1000,"&lt;&gt;Duplicate"),2))</f>
        <v/>
      </c>
    </row>
    <row r="934" customFormat="false" ht="15.75" hidden="false" customHeight="true" outlineLevel="0" collapsed="false">
      <c r="A934" s="125"/>
      <c r="B934" s="101"/>
      <c r="C934" s="101"/>
      <c r="D934" s="101"/>
      <c r="E934" s="101"/>
      <c r="F934" s="101"/>
      <c r="G934" s="101"/>
      <c r="H934" s="101"/>
      <c r="I934" s="106"/>
      <c r="J934" s="106"/>
      <c r="K934" s="106"/>
      <c r="L934" s="106"/>
      <c r="M934" s="106"/>
      <c r="N934" s="103" t="str">
        <f aca="false">IF(OR($B934="", $I934="", $J934="", $K934="", $L934="", $M934=""),"",ROUND(($I934*Lists!$AD$2)+($J934*Lists!$AD$3)+($K934*Lists!$AD$4)+($L934*Lists!$AD$5)+($M934*Lists!$AD$6),2))</f>
        <v/>
      </c>
      <c r="O934" s="103" t="str">
        <f aca="false">IF($A934="","",IFERROR(VLOOKUP($A934,'Risk Register'!$B$2:$I$1000,8,FALSE()),""))</f>
        <v/>
      </c>
      <c r="P934" s="106"/>
      <c r="Q934" s="106"/>
      <c r="R934" s="106"/>
      <c r="S934" s="106"/>
      <c r="T934" s="103" t="str">
        <f aca="false">IF(OR($B934="", $P934="", $Q934="", $R934="", $S934=""),"",ROUND(($P934*Lists!$AD$7)+($Q934*Lists!$AD$8)+($R934*Lists!$AD$9)+($S934*Lists!$AD$10),2))</f>
        <v/>
      </c>
      <c r="U934" s="106"/>
      <c r="V934" s="106"/>
      <c r="W934" s="106"/>
      <c r="X934" s="106"/>
      <c r="Y934" s="106"/>
      <c r="Z934" s="103" t="str">
        <f aca="false">IF(OR($B934="", $U934="", $V934="", $W934="", $X934="", $Y934=""),"",ROUND(($U934*Lists!$AD$11)+($V934*Lists!$AD$12)+($W934*Lists!$AD$13)+($X934*Lists!$AD$14)+($Y934*Lists!$AD$15),2))</f>
        <v/>
      </c>
      <c r="AA934" s="103" t="str">
        <f aca="false">IF(OR($B934="", $N934="", $O934="", $T934="", $Z934=""),"",ROUND(($N934*Lists!$AD$16)-($O934*Lists!$AD$17)-($T934*Lists!$AD$18)+($Z934*Lists!$AD$19),2))</f>
        <v/>
      </c>
      <c r="AB934" s="102" t="str">
        <f aca="false">IF(OR($B934="", $N934="", $Z934=""),"",IF($N934&gt;=Lists!$AG$2,IF($Z934&gt;=Lists!$AG$3,"Invest","Migrate"),IF($Z934&gt;=Lists!$AG$3,"Tolerate","Eliminate")))</f>
        <v/>
      </c>
      <c r="AC934" s="102" t="str">
        <f aca="false">IF($B934="","",IF($J934&gt;=4,"Yes",""))</f>
        <v/>
      </c>
      <c r="AD934" s="102" t="str">
        <f aca="false">IF($A934="","",IFERROR(IF(VLOOKUP($A934,'Risk Register'!$B$2:$H$1000,4,FALSE())&gt;=4,"Yes",""),""))</f>
        <v/>
      </c>
      <c r="AE934" s="102" t="str">
        <f aca="false">IF(OR($N934="", $O934=""),"",IF($N934&gt;=Lists!$AG$2,IF($O934&gt;=Lists!$AG$4,"High Value / High Risk","High Value / Low Risk"),IF($O934&gt;=Lists!$AG$4,"Low Value / High Risk","Low Value / Low Risk")))</f>
        <v/>
      </c>
      <c r="AF934" s="101"/>
      <c r="AG934" s="126"/>
      <c r="AH934" s="106" t="str">
        <f aca="false">IF($B934="","",COUNTIFS('Debt Backlog'!$AF$2:$AF$1000,$A934,'Debt Backlog'!$B$2:$B$1000,"&lt;&gt;",'Debt Backlog'!$N$2:$N$1000,"&lt;&gt;Done",'Debt Backlog'!$N$2:$N$1000,"&lt;&gt;Won't Fix",'Debt Backlog'!$N$2:$N$1000,"&lt;&gt;Duplicate"))</f>
        <v/>
      </c>
      <c r="AI934" s="103" t="str">
        <f aca="false">IF($B934="","",ROUND(SUMIFS('Debt Backlog'!$L$2:$L$1000,'Debt Backlog'!$AF$2:$AF$1000,$A934,'Debt Backlog'!$B$2:$B$1000,"&lt;&gt;",'Debt Backlog'!$N$2:$N$1000,"&lt;&gt;Done",'Debt Backlog'!$N$2:$N$1000,"&lt;&gt;Won't Fix",'Debt Backlog'!$N$2:$N$1000,"&lt;&gt;Duplicate"),2))</f>
        <v/>
      </c>
    </row>
    <row r="935" customFormat="false" ht="15.75" hidden="false" customHeight="true" outlineLevel="0" collapsed="false">
      <c r="A935" s="125"/>
      <c r="B935" s="101"/>
      <c r="C935" s="101"/>
      <c r="D935" s="101"/>
      <c r="E935" s="101"/>
      <c r="F935" s="101"/>
      <c r="G935" s="101"/>
      <c r="H935" s="101"/>
      <c r="I935" s="106"/>
      <c r="J935" s="106"/>
      <c r="K935" s="106"/>
      <c r="L935" s="106"/>
      <c r="M935" s="106"/>
      <c r="N935" s="103" t="str">
        <f aca="false">IF(OR($B935="", $I935="", $J935="", $K935="", $L935="", $M935=""),"",ROUND(($I935*Lists!$AD$2)+($J935*Lists!$AD$3)+($K935*Lists!$AD$4)+($L935*Lists!$AD$5)+($M935*Lists!$AD$6),2))</f>
        <v/>
      </c>
      <c r="O935" s="103" t="str">
        <f aca="false">IF($A935="","",IFERROR(VLOOKUP($A935,'Risk Register'!$B$2:$I$1000,8,FALSE()),""))</f>
        <v/>
      </c>
      <c r="P935" s="106"/>
      <c r="Q935" s="106"/>
      <c r="R935" s="106"/>
      <c r="S935" s="106"/>
      <c r="T935" s="103" t="str">
        <f aca="false">IF(OR($B935="", $P935="", $Q935="", $R935="", $S935=""),"",ROUND(($P935*Lists!$AD$7)+($Q935*Lists!$AD$8)+($R935*Lists!$AD$9)+($S935*Lists!$AD$10),2))</f>
        <v/>
      </c>
      <c r="U935" s="106"/>
      <c r="V935" s="106"/>
      <c r="W935" s="106"/>
      <c r="X935" s="106"/>
      <c r="Y935" s="106"/>
      <c r="Z935" s="103" t="str">
        <f aca="false">IF(OR($B935="", $U935="", $V935="", $W935="", $X935="", $Y935=""),"",ROUND(($U935*Lists!$AD$11)+($V935*Lists!$AD$12)+($W935*Lists!$AD$13)+($X935*Lists!$AD$14)+($Y935*Lists!$AD$15),2))</f>
        <v/>
      </c>
      <c r="AA935" s="103" t="str">
        <f aca="false">IF(OR($B935="", $N935="", $O935="", $T935="", $Z935=""),"",ROUND(($N935*Lists!$AD$16)-($O935*Lists!$AD$17)-($T935*Lists!$AD$18)+($Z935*Lists!$AD$19),2))</f>
        <v/>
      </c>
      <c r="AB935" s="102" t="str">
        <f aca="false">IF(OR($B935="", $N935="", $Z935=""),"",IF($N935&gt;=Lists!$AG$2,IF($Z935&gt;=Lists!$AG$3,"Invest","Migrate"),IF($Z935&gt;=Lists!$AG$3,"Tolerate","Eliminate")))</f>
        <v/>
      </c>
      <c r="AC935" s="102" t="str">
        <f aca="false">IF($B935="","",IF($J935&gt;=4,"Yes",""))</f>
        <v/>
      </c>
      <c r="AD935" s="102" t="str">
        <f aca="false">IF($A935="","",IFERROR(IF(VLOOKUP($A935,'Risk Register'!$B$2:$H$1000,4,FALSE())&gt;=4,"Yes",""),""))</f>
        <v/>
      </c>
      <c r="AE935" s="102" t="str">
        <f aca="false">IF(OR($N935="", $O935=""),"",IF($N935&gt;=Lists!$AG$2,IF($O935&gt;=Lists!$AG$4,"High Value / High Risk","High Value / Low Risk"),IF($O935&gt;=Lists!$AG$4,"Low Value / High Risk","Low Value / Low Risk")))</f>
        <v/>
      </c>
      <c r="AF935" s="101"/>
      <c r="AG935" s="126"/>
      <c r="AH935" s="106" t="str">
        <f aca="false">IF($B935="","",COUNTIFS('Debt Backlog'!$AF$2:$AF$1000,$A935,'Debt Backlog'!$B$2:$B$1000,"&lt;&gt;",'Debt Backlog'!$N$2:$N$1000,"&lt;&gt;Done",'Debt Backlog'!$N$2:$N$1000,"&lt;&gt;Won't Fix",'Debt Backlog'!$N$2:$N$1000,"&lt;&gt;Duplicate"))</f>
        <v/>
      </c>
      <c r="AI935" s="103" t="str">
        <f aca="false">IF($B935="","",ROUND(SUMIFS('Debt Backlog'!$L$2:$L$1000,'Debt Backlog'!$AF$2:$AF$1000,$A935,'Debt Backlog'!$B$2:$B$1000,"&lt;&gt;",'Debt Backlog'!$N$2:$N$1000,"&lt;&gt;Done",'Debt Backlog'!$N$2:$N$1000,"&lt;&gt;Won't Fix",'Debt Backlog'!$N$2:$N$1000,"&lt;&gt;Duplicate"),2))</f>
        <v/>
      </c>
    </row>
    <row r="936" customFormat="false" ht="15.75" hidden="false" customHeight="true" outlineLevel="0" collapsed="false">
      <c r="A936" s="125"/>
      <c r="B936" s="101"/>
      <c r="C936" s="101"/>
      <c r="D936" s="101"/>
      <c r="E936" s="101"/>
      <c r="F936" s="101"/>
      <c r="G936" s="101"/>
      <c r="H936" s="101"/>
      <c r="I936" s="106"/>
      <c r="J936" s="106"/>
      <c r="K936" s="106"/>
      <c r="L936" s="106"/>
      <c r="M936" s="106"/>
      <c r="N936" s="103" t="str">
        <f aca="false">IF(OR($B936="", $I936="", $J936="", $K936="", $L936="", $M936=""),"",ROUND(($I936*Lists!$AD$2)+($J936*Lists!$AD$3)+($K936*Lists!$AD$4)+($L936*Lists!$AD$5)+($M936*Lists!$AD$6),2))</f>
        <v/>
      </c>
      <c r="O936" s="103" t="str">
        <f aca="false">IF($A936="","",IFERROR(VLOOKUP($A936,'Risk Register'!$B$2:$I$1000,8,FALSE()),""))</f>
        <v/>
      </c>
      <c r="P936" s="106"/>
      <c r="Q936" s="106"/>
      <c r="R936" s="106"/>
      <c r="S936" s="106"/>
      <c r="T936" s="103" t="str">
        <f aca="false">IF(OR($B936="", $P936="", $Q936="", $R936="", $S936=""),"",ROUND(($P936*Lists!$AD$7)+($Q936*Lists!$AD$8)+($R936*Lists!$AD$9)+($S936*Lists!$AD$10),2))</f>
        <v/>
      </c>
      <c r="U936" s="106"/>
      <c r="V936" s="106"/>
      <c r="W936" s="106"/>
      <c r="X936" s="106"/>
      <c r="Y936" s="106"/>
      <c r="Z936" s="103" t="str">
        <f aca="false">IF(OR($B936="", $U936="", $V936="", $W936="", $X936="", $Y936=""),"",ROUND(($U936*Lists!$AD$11)+($V936*Lists!$AD$12)+($W936*Lists!$AD$13)+($X936*Lists!$AD$14)+($Y936*Lists!$AD$15),2))</f>
        <v/>
      </c>
      <c r="AA936" s="103" t="str">
        <f aca="false">IF(OR($B936="", $N936="", $O936="", $T936="", $Z936=""),"",ROUND(($N936*Lists!$AD$16)-($O936*Lists!$AD$17)-($T936*Lists!$AD$18)+($Z936*Lists!$AD$19),2))</f>
        <v/>
      </c>
      <c r="AB936" s="102" t="str">
        <f aca="false">IF(OR($B936="", $N936="", $Z936=""),"",IF($N936&gt;=Lists!$AG$2,IF($Z936&gt;=Lists!$AG$3,"Invest","Migrate"),IF($Z936&gt;=Lists!$AG$3,"Tolerate","Eliminate")))</f>
        <v/>
      </c>
      <c r="AC936" s="102" t="str">
        <f aca="false">IF($B936="","",IF($J936&gt;=4,"Yes",""))</f>
        <v/>
      </c>
      <c r="AD936" s="102" t="str">
        <f aca="false">IF($A936="","",IFERROR(IF(VLOOKUP($A936,'Risk Register'!$B$2:$H$1000,4,FALSE())&gt;=4,"Yes",""),""))</f>
        <v/>
      </c>
      <c r="AE936" s="102" t="str">
        <f aca="false">IF(OR($N936="", $O936=""),"",IF($N936&gt;=Lists!$AG$2,IF($O936&gt;=Lists!$AG$4,"High Value / High Risk","High Value / Low Risk"),IF($O936&gt;=Lists!$AG$4,"Low Value / High Risk","Low Value / Low Risk")))</f>
        <v/>
      </c>
      <c r="AF936" s="101"/>
      <c r="AG936" s="126"/>
      <c r="AH936" s="106" t="str">
        <f aca="false">IF($B936="","",COUNTIFS('Debt Backlog'!$AF$2:$AF$1000,$A936,'Debt Backlog'!$B$2:$B$1000,"&lt;&gt;",'Debt Backlog'!$N$2:$N$1000,"&lt;&gt;Done",'Debt Backlog'!$N$2:$N$1000,"&lt;&gt;Won't Fix",'Debt Backlog'!$N$2:$N$1000,"&lt;&gt;Duplicate"))</f>
        <v/>
      </c>
      <c r="AI936" s="103" t="str">
        <f aca="false">IF($B936="","",ROUND(SUMIFS('Debt Backlog'!$L$2:$L$1000,'Debt Backlog'!$AF$2:$AF$1000,$A936,'Debt Backlog'!$B$2:$B$1000,"&lt;&gt;",'Debt Backlog'!$N$2:$N$1000,"&lt;&gt;Done",'Debt Backlog'!$N$2:$N$1000,"&lt;&gt;Won't Fix",'Debt Backlog'!$N$2:$N$1000,"&lt;&gt;Duplicate"),2))</f>
        <v/>
      </c>
    </row>
    <row r="937" customFormat="false" ht="15.75" hidden="false" customHeight="true" outlineLevel="0" collapsed="false">
      <c r="A937" s="125"/>
      <c r="B937" s="101"/>
      <c r="C937" s="101"/>
      <c r="D937" s="101"/>
      <c r="E937" s="101"/>
      <c r="F937" s="101"/>
      <c r="G937" s="101"/>
      <c r="H937" s="101"/>
      <c r="I937" s="106"/>
      <c r="J937" s="106"/>
      <c r="K937" s="106"/>
      <c r="L937" s="106"/>
      <c r="M937" s="106"/>
      <c r="N937" s="103" t="str">
        <f aca="false">IF(OR($B937="", $I937="", $J937="", $K937="", $L937="", $M937=""),"",ROUND(($I937*Lists!$AD$2)+($J937*Lists!$AD$3)+($K937*Lists!$AD$4)+($L937*Lists!$AD$5)+($M937*Lists!$AD$6),2))</f>
        <v/>
      </c>
      <c r="O937" s="103" t="str">
        <f aca="false">IF($A937="","",IFERROR(VLOOKUP($A937,'Risk Register'!$B$2:$I$1000,8,FALSE()),""))</f>
        <v/>
      </c>
      <c r="P937" s="106"/>
      <c r="Q937" s="106"/>
      <c r="R937" s="106"/>
      <c r="S937" s="106"/>
      <c r="T937" s="103" t="str">
        <f aca="false">IF(OR($B937="", $P937="", $Q937="", $R937="", $S937=""),"",ROUND(($P937*Lists!$AD$7)+($Q937*Lists!$AD$8)+($R937*Lists!$AD$9)+($S937*Lists!$AD$10),2))</f>
        <v/>
      </c>
      <c r="U937" s="106"/>
      <c r="V937" s="106"/>
      <c r="W937" s="106"/>
      <c r="X937" s="106"/>
      <c r="Y937" s="106"/>
      <c r="Z937" s="103" t="str">
        <f aca="false">IF(OR($B937="", $U937="", $V937="", $W937="", $X937="", $Y937=""),"",ROUND(($U937*Lists!$AD$11)+($V937*Lists!$AD$12)+($W937*Lists!$AD$13)+($X937*Lists!$AD$14)+($Y937*Lists!$AD$15),2))</f>
        <v/>
      </c>
      <c r="AA937" s="103" t="str">
        <f aca="false">IF(OR($B937="", $N937="", $O937="", $T937="", $Z937=""),"",ROUND(($N937*Lists!$AD$16)-($O937*Lists!$AD$17)-($T937*Lists!$AD$18)+($Z937*Lists!$AD$19),2))</f>
        <v/>
      </c>
      <c r="AB937" s="102" t="str">
        <f aca="false">IF(OR($B937="", $N937="", $Z937=""),"",IF($N937&gt;=Lists!$AG$2,IF($Z937&gt;=Lists!$AG$3,"Invest","Migrate"),IF($Z937&gt;=Lists!$AG$3,"Tolerate","Eliminate")))</f>
        <v/>
      </c>
      <c r="AC937" s="102" t="str">
        <f aca="false">IF($B937="","",IF($J937&gt;=4,"Yes",""))</f>
        <v/>
      </c>
      <c r="AD937" s="102" t="str">
        <f aca="false">IF($A937="","",IFERROR(IF(VLOOKUP($A937,'Risk Register'!$B$2:$H$1000,4,FALSE())&gt;=4,"Yes",""),""))</f>
        <v/>
      </c>
      <c r="AE937" s="102" t="str">
        <f aca="false">IF(OR($N937="", $O937=""),"",IF($N937&gt;=Lists!$AG$2,IF($O937&gt;=Lists!$AG$4,"High Value / High Risk","High Value / Low Risk"),IF($O937&gt;=Lists!$AG$4,"Low Value / High Risk","Low Value / Low Risk")))</f>
        <v/>
      </c>
      <c r="AF937" s="101"/>
      <c r="AG937" s="126"/>
      <c r="AH937" s="106" t="str">
        <f aca="false">IF($B937="","",COUNTIFS('Debt Backlog'!$AF$2:$AF$1000,$A937,'Debt Backlog'!$B$2:$B$1000,"&lt;&gt;",'Debt Backlog'!$N$2:$N$1000,"&lt;&gt;Done",'Debt Backlog'!$N$2:$N$1000,"&lt;&gt;Won't Fix",'Debt Backlog'!$N$2:$N$1000,"&lt;&gt;Duplicate"))</f>
        <v/>
      </c>
      <c r="AI937" s="103" t="str">
        <f aca="false">IF($B937="","",ROUND(SUMIFS('Debt Backlog'!$L$2:$L$1000,'Debt Backlog'!$AF$2:$AF$1000,$A937,'Debt Backlog'!$B$2:$B$1000,"&lt;&gt;",'Debt Backlog'!$N$2:$N$1000,"&lt;&gt;Done",'Debt Backlog'!$N$2:$N$1000,"&lt;&gt;Won't Fix",'Debt Backlog'!$N$2:$N$1000,"&lt;&gt;Duplicate"),2))</f>
        <v/>
      </c>
    </row>
    <row r="938" customFormat="false" ht="15.75" hidden="false" customHeight="true" outlineLevel="0" collapsed="false">
      <c r="A938" s="125"/>
      <c r="B938" s="101"/>
      <c r="C938" s="101"/>
      <c r="D938" s="101"/>
      <c r="E938" s="101"/>
      <c r="F938" s="101"/>
      <c r="G938" s="101"/>
      <c r="H938" s="101"/>
      <c r="I938" s="106"/>
      <c r="J938" s="106"/>
      <c r="K938" s="106"/>
      <c r="L938" s="106"/>
      <c r="M938" s="106"/>
      <c r="N938" s="103" t="str">
        <f aca="false">IF(OR($B938="", $I938="", $J938="", $K938="", $L938="", $M938=""),"",ROUND(($I938*Lists!$AD$2)+($J938*Lists!$AD$3)+($K938*Lists!$AD$4)+($L938*Lists!$AD$5)+($M938*Lists!$AD$6),2))</f>
        <v/>
      </c>
      <c r="O938" s="103" t="str">
        <f aca="false">IF($A938="","",IFERROR(VLOOKUP($A938,'Risk Register'!$B$2:$I$1000,8,FALSE()),""))</f>
        <v/>
      </c>
      <c r="P938" s="106"/>
      <c r="Q938" s="106"/>
      <c r="R938" s="106"/>
      <c r="S938" s="106"/>
      <c r="T938" s="103" t="str">
        <f aca="false">IF(OR($B938="", $P938="", $Q938="", $R938="", $S938=""),"",ROUND(($P938*Lists!$AD$7)+($Q938*Lists!$AD$8)+($R938*Lists!$AD$9)+($S938*Lists!$AD$10),2))</f>
        <v/>
      </c>
      <c r="U938" s="106"/>
      <c r="V938" s="106"/>
      <c r="W938" s="106"/>
      <c r="X938" s="106"/>
      <c r="Y938" s="106"/>
      <c r="Z938" s="103" t="str">
        <f aca="false">IF(OR($B938="", $U938="", $V938="", $W938="", $X938="", $Y938=""),"",ROUND(($U938*Lists!$AD$11)+($V938*Lists!$AD$12)+($W938*Lists!$AD$13)+($X938*Lists!$AD$14)+($Y938*Lists!$AD$15),2))</f>
        <v/>
      </c>
      <c r="AA938" s="103" t="str">
        <f aca="false">IF(OR($B938="", $N938="", $O938="", $T938="", $Z938=""),"",ROUND(($N938*Lists!$AD$16)-($O938*Lists!$AD$17)-($T938*Lists!$AD$18)+($Z938*Lists!$AD$19),2))</f>
        <v/>
      </c>
      <c r="AB938" s="102" t="str">
        <f aca="false">IF(OR($B938="", $N938="", $Z938=""),"",IF($N938&gt;=Lists!$AG$2,IF($Z938&gt;=Lists!$AG$3,"Invest","Migrate"),IF($Z938&gt;=Lists!$AG$3,"Tolerate","Eliminate")))</f>
        <v/>
      </c>
      <c r="AC938" s="102" t="str">
        <f aca="false">IF($B938="","",IF($J938&gt;=4,"Yes",""))</f>
        <v/>
      </c>
      <c r="AD938" s="102" t="str">
        <f aca="false">IF($A938="","",IFERROR(IF(VLOOKUP($A938,'Risk Register'!$B$2:$H$1000,4,FALSE())&gt;=4,"Yes",""),""))</f>
        <v/>
      </c>
      <c r="AE938" s="102" t="str">
        <f aca="false">IF(OR($N938="", $O938=""),"",IF($N938&gt;=Lists!$AG$2,IF($O938&gt;=Lists!$AG$4,"High Value / High Risk","High Value / Low Risk"),IF($O938&gt;=Lists!$AG$4,"Low Value / High Risk","Low Value / Low Risk")))</f>
        <v/>
      </c>
      <c r="AF938" s="101"/>
      <c r="AG938" s="126"/>
      <c r="AH938" s="106" t="str">
        <f aca="false">IF($B938="","",COUNTIFS('Debt Backlog'!$AF$2:$AF$1000,$A938,'Debt Backlog'!$B$2:$B$1000,"&lt;&gt;",'Debt Backlog'!$N$2:$N$1000,"&lt;&gt;Done",'Debt Backlog'!$N$2:$N$1000,"&lt;&gt;Won't Fix",'Debt Backlog'!$N$2:$N$1000,"&lt;&gt;Duplicate"))</f>
        <v/>
      </c>
      <c r="AI938" s="103" t="str">
        <f aca="false">IF($B938="","",ROUND(SUMIFS('Debt Backlog'!$L$2:$L$1000,'Debt Backlog'!$AF$2:$AF$1000,$A938,'Debt Backlog'!$B$2:$B$1000,"&lt;&gt;",'Debt Backlog'!$N$2:$N$1000,"&lt;&gt;Done",'Debt Backlog'!$N$2:$N$1000,"&lt;&gt;Won't Fix",'Debt Backlog'!$N$2:$N$1000,"&lt;&gt;Duplicate"),2))</f>
        <v/>
      </c>
    </row>
    <row r="939" customFormat="false" ht="15.75" hidden="false" customHeight="true" outlineLevel="0" collapsed="false">
      <c r="A939" s="125"/>
      <c r="B939" s="101"/>
      <c r="C939" s="101"/>
      <c r="D939" s="101"/>
      <c r="E939" s="101"/>
      <c r="F939" s="101"/>
      <c r="G939" s="101"/>
      <c r="H939" s="101"/>
      <c r="I939" s="106"/>
      <c r="J939" s="106"/>
      <c r="K939" s="106"/>
      <c r="L939" s="106"/>
      <c r="M939" s="106"/>
      <c r="N939" s="103" t="str">
        <f aca="false">IF(OR($B939="", $I939="", $J939="", $K939="", $L939="", $M939=""),"",ROUND(($I939*Lists!$AD$2)+($J939*Lists!$AD$3)+($K939*Lists!$AD$4)+($L939*Lists!$AD$5)+($M939*Lists!$AD$6),2))</f>
        <v/>
      </c>
      <c r="O939" s="103" t="str">
        <f aca="false">IF($A939="","",IFERROR(VLOOKUP($A939,'Risk Register'!$B$2:$I$1000,8,FALSE()),""))</f>
        <v/>
      </c>
      <c r="P939" s="106"/>
      <c r="Q939" s="106"/>
      <c r="R939" s="106"/>
      <c r="S939" s="106"/>
      <c r="T939" s="103" t="str">
        <f aca="false">IF(OR($B939="", $P939="", $Q939="", $R939="", $S939=""),"",ROUND(($P939*Lists!$AD$7)+($Q939*Lists!$AD$8)+($R939*Lists!$AD$9)+($S939*Lists!$AD$10),2))</f>
        <v/>
      </c>
      <c r="U939" s="106"/>
      <c r="V939" s="106"/>
      <c r="W939" s="106"/>
      <c r="X939" s="106"/>
      <c r="Y939" s="106"/>
      <c r="Z939" s="103" t="str">
        <f aca="false">IF(OR($B939="", $U939="", $V939="", $W939="", $X939="", $Y939=""),"",ROUND(($U939*Lists!$AD$11)+($V939*Lists!$AD$12)+($W939*Lists!$AD$13)+($X939*Lists!$AD$14)+($Y939*Lists!$AD$15),2))</f>
        <v/>
      </c>
      <c r="AA939" s="103" t="str">
        <f aca="false">IF(OR($B939="", $N939="", $O939="", $T939="", $Z939=""),"",ROUND(($N939*Lists!$AD$16)-($O939*Lists!$AD$17)-($T939*Lists!$AD$18)+($Z939*Lists!$AD$19),2))</f>
        <v/>
      </c>
      <c r="AB939" s="102" t="str">
        <f aca="false">IF(OR($B939="", $N939="", $Z939=""),"",IF($N939&gt;=Lists!$AG$2,IF($Z939&gt;=Lists!$AG$3,"Invest","Migrate"),IF($Z939&gt;=Lists!$AG$3,"Tolerate","Eliminate")))</f>
        <v/>
      </c>
      <c r="AC939" s="102" t="str">
        <f aca="false">IF($B939="","",IF($J939&gt;=4,"Yes",""))</f>
        <v/>
      </c>
      <c r="AD939" s="102" t="str">
        <f aca="false">IF($A939="","",IFERROR(IF(VLOOKUP($A939,'Risk Register'!$B$2:$H$1000,4,FALSE())&gt;=4,"Yes",""),""))</f>
        <v/>
      </c>
      <c r="AE939" s="102" t="str">
        <f aca="false">IF(OR($N939="", $O939=""),"",IF($N939&gt;=Lists!$AG$2,IF($O939&gt;=Lists!$AG$4,"High Value / High Risk","High Value / Low Risk"),IF($O939&gt;=Lists!$AG$4,"Low Value / High Risk","Low Value / Low Risk")))</f>
        <v/>
      </c>
      <c r="AF939" s="101"/>
      <c r="AG939" s="126"/>
      <c r="AH939" s="106" t="str">
        <f aca="false">IF($B939="","",COUNTIFS('Debt Backlog'!$AF$2:$AF$1000,$A939,'Debt Backlog'!$B$2:$B$1000,"&lt;&gt;",'Debt Backlog'!$N$2:$N$1000,"&lt;&gt;Done",'Debt Backlog'!$N$2:$N$1000,"&lt;&gt;Won't Fix",'Debt Backlog'!$N$2:$N$1000,"&lt;&gt;Duplicate"))</f>
        <v/>
      </c>
      <c r="AI939" s="103" t="str">
        <f aca="false">IF($B939="","",ROUND(SUMIFS('Debt Backlog'!$L$2:$L$1000,'Debt Backlog'!$AF$2:$AF$1000,$A939,'Debt Backlog'!$B$2:$B$1000,"&lt;&gt;",'Debt Backlog'!$N$2:$N$1000,"&lt;&gt;Done",'Debt Backlog'!$N$2:$N$1000,"&lt;&gt;Won't Fix",'Debt Backlog'!$N$2:$N$1000,"&lt;&gt;Duplicate"),2))</f>
        <v/>
      </c>
    </row>
    <row r="940" customFormat="false" ht="15.75" hidden="false" customHeight="true" outlineLevel="0" collapsed="false">
      <c r="A940" s="125"/>
      <c r="B940" s="101"/>
      <c r="C940" s="101"/>
      <c r="D940" s="101"/>
      <c r="E940" s="101"/>
      <c r="F940" s="101"/>
      <c r="G940" s="101"/>
      <c r="H940" s="101"/>
      <c r="I940" s="106"/>
      <c r="J940" s="106"/>
      <c r="K940" s="106"/>
      <c r="L940" s="106"/>
      <c r="M940" s="106"/>
      <c r="N940" s="103" t="str">
        <f aca="false">IF(OR($B940="", $I940="", $J940="", $K940="", $L940="", $M940=""),"",ROUND(($I940*Lists!$AD$2)+($J940*Lists!$AD$3)+($K940*Lists!$AD$4)+($L940*Lists!$AD$5)+($M940*Lists!$AD$6),2))</f>
        <v/>
      </c>
      <c r="O940" s="103" t="str">
        <f aca="false">IF($A940="","",IFERROR(VLOOKUP($A940,'Risk Register'!$B$2:$I$1000,8,FALSE()),""))</f>
        <v/>
      </c>
      <c r="P940" s="106"/>
      <c r="Q940" s="106"/>
      <c r="R940" s="106"/>
      <c r="S940" s="106"/>
      <c r="T940" s="103" t="str">
        <f aca="false">IF(OR($B940="", $P940="", $Q940="", $R940="", $S940=""),"",ROUND(($P940*Lists!$AD$7)+($Q940*Lists!$AD$8)+($R940*Lists!$AD$9)+($S940*Lists!$AD$10),2))</f>
        <v/>
      </c>
      <c r="U940" s="106"/>
      <c r="V940" s="106"/>
      <c r="W940" s="106"/>
      <c r="X940" s="106"/>
      <c r="Y940" s="106"/>
      <c r="Z940" s="103" t="str">
        <f aca="false">IF(OR($B940="", $U940="", $V940="", $W940="", $X940="", $Y940=""),"",ROUND(($U940*Lists!$AD$11)+($V940*Lists!$AD$12)+($W940*Lists!$AD$13)+($X940*Lists!$AD$14)+($Y940*Lists!$AD$15),2))</f>
        <v/>
      </c>
      <c r="AA940" s="103" t="str">
        <f aca="false">IF(OR($B940="", $N940="", $O940="", $T940="", $Z940=""),"",ROUND(($N940*Lists!$AD$16)-($O940*Lists!$AD$17)-($T940*Lists!$AD$18)+($Z940*Lists!$AD$19),2))</f>
        <v/>
      </c>
      <c r="AB940" s="102" t="str">
        <f aca="false">IF(OR($B940="", $N940="", $Z940=""),"",IF($N940&gt;=Lists!$AG$2,IF($Z940&gt;=Lists!$AG$3,"Invest","Migrate"),IF($Z940&gt;=Lists!$AG$3,"Tolerate","Eliminate")))</f>
        <v/>
      </c>
      <c r="AC940" s="102" t="str">
        <f aca="false">IF($B940="","",IF($J940&gt;=4,"Yes",""))</f>
        <v/>
      </c>
      <c r="AD940" s="102" t="str">
        <f aca="false">IF($A940="","",IFERROR(IF(VLOOKUP($A940,'Risk Register'!$B$2:$H$1000,4,FALSE())&gt;=4,"Yes",""),""))</f>
        <v/>
      </c>
      <c r="AE940" s="102" t="str">
        <f aca="false">IF(OR($N940="", $O940=""),"",IF($N940&gt;=Lists!$AG$2,IF($O940&gt;=Lists!$AG$4,"High Value / High Risk","High Value / Low Risk"),IF($O940&gt;=Lists!$AG$4,"Low Value / High Risk","Low Value / Low Risk")))</f>
        <v/>
      </c>
      <c r="AF940" s="101"/>
      <c r="AG940" s="126"/>
      <c r="AH940" s="106" t="str">
        <f aca="false">IF($B940="","",COUNTIFS('Debt Backlog'!$AF$2:$AF$1000,$A940,'Debt Backlog'!$B$2:$B$1000,"&lt;&gt;",'Debt Backlog'!$N$2:$N$1000,"&lt;&gt;Done",'Debt Backlog'!$N$2:$N$1000,"&lt;&gt;Won't Fix",'Debt Backlog'!$N$2:$N$1000,"&lt;&gt;Duplicate"))</f>
        <v/>
      </c>
      <c r="AI940" s="103" t="str">
        <f aca="false">IF($B940="","",ROUND(SUMIFS('Debt Backlog'!$L$2:$L$1000,'Debt Backlog'!$AF$2:$AF$1000,$A940,'Debt Backlog'!$B$2:$B$1000,"&lt;&gt;",'Debt Backlog'!$N$2:$N$1000,"&lt;&gt;Done",'Debt Backlog'!$N$2:$N$1000,"&lt;&gt;Won't Fix",'Debt Backlog'!$N$2:$N$1000,"&lt;&gt;Duplicate"),2))</f>
        <v/>
      </c>
    </row>
    <row r="941" customFormat="false" ht="15.75" hidden="false" customHeight="true" outlineLevel="0" collapsed="false">
      <c r="A941" s="125"/>
      <c r="B941" s="101"/>
      <c r="C941" s="101"/>
      <c r="D941" s="101"/>
      <c r="E941" s="101"/>
      <c r="F941" s="101"/>
      <c r="G941" s="101"/>
      <c r="H941" s="101"/>
      <c r="I941" s="106"/>
      <c r="J941" s="106"/>
      <c r="K941" s="106"/>
      <c r="L941" s="106"/>
      <c r="M941" s="106"/>
      <c r="N941" s="103" t="str">
        <f aca="false">IF(OR($B941="", $I941="", $J941="", $K941="", $L941="", $M941=""),"",ROUND(($I941*Lists!$AD$2)+($J941*Lists!$AD$3)+($K941*Lists!$AD$4)+($L941*Lists!$AD$5)+($M941*Lists!$AD$6),2))</f>
        <v/>
      </c>
      <c r="O941" s="103" t="str">
        <f aca="false">IF($A941="","",IFERROR(VLOOKUP($A941,'Risk Register'!$B$2:$I$1000,8,FALSE()),""))</f>
        <v/>
      </c>
      <c r="P941" s="106"/>
      <c r="Q941" s="106"/>
      <c r="R941" s="106"/>
      <c r="S941" s="106"/>
      <c r="T941" s="103" t="str">
        <f aca="false">IF(OR($B941="", $P941="", $Q941="", $R941="", $S941=""),"",ROUND(($P941*Lists!$AD$7)+($Q941*Lists!$AD$8)+($R941*Lists!$AD$9)+($S941*Lists!$AD$10),2))</f>
        <v/>
      </c>
      <c r="U941" s="106"/>
      <c r="V941" s="106"/>
      <c r="W941" s="106"/>
      <c r="X941" s="106"/>
      <c r="Y941" s="106"/>
      <c r="Z941" s="103" t="str">
        <f aca="false">IF(OR($B941="", $U941="", $V941="", $W941="", $X941="", $Y941=""),"",ROUND(($U941*Lists!$AD$11)+($V941*Lists!$AD$12)+($W941*Lists!$AD$13)+($X941*Lists!$AD$14)+($Y941*Lists!$AD$15),2))</f>
        <v/>
      </c>
      <c r="AA941" s="103" t="str">
        <f aca="false">IF(OR($B941="", $N941="", $O941="", $T941="", $Z941=""),"",ROUND(($N941*Lists!$AD$16)-($O941*Lists!$AD$17)-($T941*Lists!$AD$18)+($Z941*Lists!$AD$19),2))</f>
        <v/>
      </c>
      <c r="AB941" s="102" t="str">
        <f aca="false">IF(OR($B941="", $N941="", $Z941=""),"",IF($N941&gt;=Lists!$AG$2,IF($Z941&gt;=Lists!$AG$3,"Invest","Migrate"),IF($Z941&gt;=Lists!$AG$3,"Tolerate","Eliminate")))</f>
        <v/>
      </c>
      <c r="AC941" s="102" t="str">
        <f aca="false">IF($B941="","",IF($J941&gt;=4,"Yes",""))</f>
        <v/>
      </c>
      <c r="AD941" s="102" t="str">
        <f aca="false">IF($A941="","",IFERROR(IF(VLOOKUP($A941,'Risk Register'!$B$2:$H$1000,4,FALSE())&gt;=4,"Yes",""),""))</f>
        <v/>
      </c>
      <c r="AE941" s="102" t="str">
        <f aca="false">IF(OR($N941="", $O941=""),"",IF($N941&gt;=Lists!$AG$2,IF($O941&gt;=Lists!$AG$4,"High Value / High Risk","High Value / Low Risk"),IF($O941&gt;=Lists!$AG$4,"Low Value / High Risk","Low Value / Low Risk")))</f>
        <v/>
      </c>
      <c r="AF941" s="101"/>
      <c r="AG941" s="126"/>
      <c r="AH941" s="106" t="str">
        <f aca="false">IF($B941="","",COUNTIFS('Debt Backlog'!$AF$2:$AF$1000,$A941,'Debt Backlog'!$B$2:$B$1000,"&lt;&gt;",'Debt Backlog'!$N$2:$N$1000,"&lt;&gt;Done",'Debt Backlog'!$N$2:$N$1000,"&lt;&gt;Won't Fix",'Debt Backlog'!$N$2:$N$1000,"&lt;&gt;Duplicate"))</f>
        <v/>
      </c>
      <c r="AI941" s="103" t="str">
        <f aca="false">IF($B941="","",ROUND(SUMIFS('Debt Backlog'!$L$2:$L$1000,'Debt Backlog'!$AF$2:$AF$1000,$A941,'Debt Backlog'!$B$2:$B$1000,"&lt;&gt;",'Debt Backlog'!$N$2:$N$1000,"&lt;&gt;Done",'Debt Backlog'!$N$2:$N$1000,"&lt;&gt;Won't Fix",'Debt Backlog'!$N$2:$N$1000,"&lt;&gt;Duplicate"),2))</f>
        <v/>
      </c>
    </row>
    <row r="942" customFormat="false" ht="15.75" hidden="false" customHeight="true" outlineLevel="0" collapsed="false">
      <c r="A942" s="125"/>
      <c r="B942" s="101"/>
      <c r="C942" s="101"/>
      <c r="D942" s="101"/>
      <c r="E942" s="101"/>
      <c r="F942" s="101"/>
      <c r="G942" s="101"/>
      <c r="H942" s="101"/>
      <c r="I942" s="106"/>
      <c r="J942" s="106"/>
      <c r="K942" s="106"/>
      <c r="L942" s="106"/>
      <c r="M942" s="106"/>
      <c r="N942" s="103" t="str">
        <f aca="false">IF(OR($B942="", $I942="", $J942="", $K942="", $L942="", $M942=""),"",ROUND(($I942*Lists!$AD$2)+($J942*Lists!$AD$3)+($K942*Lists!$AD$4)+($L942*Lists!$AD$5)+($M942*Lists!$AD$6),2))</f>
        <v/>
      </c>
      <c r="O942" s="103" t="str">
        <f aca="false">IF($A942="","",IFERROR(VLOOKUP($A942,'Risk Register'!$B$2:$I$1000,8,FALSE()),""))</f>
        <v/>
      </c>
      <c r="P942" s="106"/>
      <c r="Q942" s="106"/>
      <c r="R942" s="106"/>
      <c r="S942" s="106"/>
      <c r="T942" s="103" t="str">
        <f aca="false">IF(OR($B942="", $P942="", $Q942="", $R942="", $S942=""),"",ROUND(($P942*Lists!$AD$7)+($Q942*Lists!$AD$8)+($R942*Lists!$AD$9)+($S942*Lists!$AD$10),2))</f>
        <v/>
      </c>
      <c r="U942" s="106"/>
      <c r="V942" s="106"/>
      <c r="W942" s="106"/>
      <c r="X942" s="106"/>
      <c r="Y942" s="106"/>
      <c r="Z942" s="103" t="str">
        <f aca="false">IF(OR($B942="", $U942="", $V942="", $W942="", $X942="", $Y942=""),"",ROUND(($U942*Lists!$AD$11)+($V942*Lists!$AD$12)+($W942*Lists!$AD$13)+($X942*Lists!$AD$14)+($Y942*Lists!$AD$15),2))</f>
        <v/>
      </c>
      <c r="AA942" s="103" t="str">
        <f aca="false">IF(OR($B942="", $N942="", $O942="", $T942="", $Z942=""),"",ROUND(($N942*Lists!$AD$16)-($O942*Lists!$AD$17)-($T942*Lists!$AD$18)+($Z942*Lists!$AD$19),2))</f>
        <v/>
      </c>
      <c r="AB942" s="102" t="str">
        <f aca="false">IF(OR($B942="", $N942="", $Z942=""),"",IF($N942&gt;=Lists!$AG$2,IF($Z942&gt;=Lists!$AG$3,"Invest","Migrate"),IF($Z942&gt;=Lists!$AG$3,"Tolerate","Eliminate")))</f>
        <v/>
      </c>
      <c r="AC942" s="102" t="str">
        <f aca="false">IF($B942="","",IF($J942&gt;=4,"Yes",""))</f>
        <v/>
      </c>
      <c r="AD942" s="102" t="str">
        <f aca="false">IF($A942="","",IFERROR(IF(VLOOKUP($A942,'Risk Register'!$B$2:$H$1000,4,FALSE())&gt;=4,"Yes",""),""))</f>
        <v/>
      </c>
      <c r="AE942" s="102" t="str">
        <f aca="false">IF(OR($N942="", $O942=""),"",IF($N942&gt;=Lists!$AG$2,IF($O942&gt;=Lists!$AG$4,"High Value / High Risk","High Value / Low Risk"),IF($O942&gt;=Lists!$AG$4,"Low Value / High Risk","Low Value / Low Risk")))</f>
        <v/>
      </c>
      <c r="AF942" s="101"/>
      <c r="AG942" s="126"/>
      <c r="AH942" s="106" t="str">
        <f aca="false">IF($B942="","",COUNTIFS('Debt Backlog'!$AF$2:$AF$1000,$A942,'Debt Backlog'!$B$2:$B$1000,"&lt;&gt;",'Debt Backlog'!$N$2:$N$1000,"&lt;&gt;Done",'Debt Backlog'!$N$2:$N$1000,"&lt;&gt;Won't Fix",'Debt Backlog'!$N$2:$N$1000,"&lt;&gt;Duplicate"))</f>
        <v/>
      </c>
      <c r="AI942" s="103" t="str">
        <f aca="false">IF($B942="","",ROUND(SUMIFS('Debt Backlog'!$L$2:$L$1000,'Debt Backlog'!$AF$2:$AF$1000,$A942,'Debt Backlog'!$B$2:$B$1000,"&lt;&gt;",'Debt Backlog'!$N$2:$N$1000,"&lt;&gt;Done",'Debt Backlog'!$N$2:$N$1000,"&lt;&gt;Won't Fix",'Debt Backlog'!$N$2:$N$1000,"&lt;&gt;Duplicate"),2))</f>
        <v/>
      </c>
    </row>
    <row r="943" customFormat="false" ht="15.75" hidden="false" customHeight="true" outlineLevel="0" collapsed="false">
      <c r="A943" s="125"/>
      <c r="B943" s="101"/>
      <c r="C943" s="101"/>
      <c r="D943" s="101"/>
      <c r="E943" s="101"/>
      <c r="F943" s="101"/>
      <c r="G943" s="101"/>
      <c r="H943" s="101"/>
      <c r="I943" s="106"/>
      <c r="J943" s="106"/>
      <c r="K943" s="106"/>
      <c r="L943" s="106"/>
      <c r="M943" s="106"/>
      <c r="N943" s="103" t="str">
        <f aca="false">IF(OR($B943="", $I943="", $J943="", $K943="", $L943="", $M943=""),"",ROUND(($I943*Lists!$AD$2)+($J943*Lists!$AD$3)+($K943*Lists!$AD$4)+($L943*Lists!$AD$5)+($M943*Lists!$AD$6),2))</f>
        <v/>
      </c>
      <c r="O943" s="103" t="str">
        <f aca="false">IF($A943="","",IFERROR(VLOOKUP($A943,'Risk Register'!$B$2:$I$1000,8,FALSE()),""))</f>
        <v/>
      </c>
      <c r="P943" s="106"/>
      <c r="Q943" s="106"/>
      <c r="R943" s="106"/>
      <c r="S943" s="106"/>
      <c r="T943" s="103" t="str">
        <f aca="false">IF(OR($B943="", $P943="", $Q943="", $R943="", $S943=""),"",ROUND(($P943*Lists!$AD$7)+($Q943*Lists!$AD$8)+($R943*Lists!$AD$9)+($S943*Lists!$AD$10),2))</f>
        <v/>
      </c>
      <c r="U943" s="106"/>
      <c r="V943" s="106"/>
      <c r="W943" s="106"/>
      <c r="X943" s="106"/>
      <c r="Y943" s="106"/>
      <c r="Z943" s="103" t="str">
        <f aca="false">IF(OR($B943="", $U943="", $V943="", $W943="", $X943="", $Y943=""),"",ROUND(($U943*Lists!$AD$11)+($V943*Lists!$AD$12)+($W943*Lists!$AD$13)+($X943*Lists!$AD$14)+($Y943*Lists!$AD$15),2))</f>
        <v/>
      </c>
      <c r="AA943" s="103" t="str">
        <f aca="false">IF(OR($B943="", $N943="", $O943="", $T943="", $Z943=""),"",ROUND(($N943*Lists!$AD$16)-($O943*Lists!$AD$17)-($T943*Lists!$AD$18)+($Z943*Lists!$AD$19),2))</f>
        <v/>
      </c>
      <c r="AB943" s="102" t="str">
        <f aca="false">IF(OR($B943="", $N943="", $Z943=""),"",IF($N943&gt;=Lists!$AG$2,IF($Z943&gt;=Lists!$AG$3,"Invest","Migrate"),IF($Z943&gt;=Lists!$AG$3,"Tolerate","Eliminate")))</f>
        <v/>
      </c>
      <c r="AC943" s="102" t="str">
        <f aca="false">IF($B943="","",IF($J943&gt;=4,"Yes",""))</f>
        <v/>
      </c>
      <c r="AD943" s="102" t="str">
        <f aca="false">IF($A943="","",IFERROR(IF(VLOOKUP($A943,'Risk Register'!$B$2:$H$1000,4,FALSE())&gt;=4,"Yes",""),""))</f>
        <v/>
      </c>
      <c r="AE943" s="102" t="str">
        <f aca="false">IF(OR($N943="", $O943=""),"",IF($N943&gt;=Lists!$AG$2,IF($O943&gt;=Lists!$AG$4,"High Value / High Risk","High Value / Low Risk"),IF($O943&gt;=Lists!$AG$4,"Low Value / High Risk","Low Value / Low Risk")))</f>
        <v/>
      </c>
      <c r="AF943" s="101"/>
      <c r="AG943" s="126"/>
      <c r="AH943" s="106" t="str">
        <f aca="false">IF($B943="","",COUNTIFS('Debt Backlog'!$AF$2:$AF$1000,$A943,'Debt Backlog'!$B$2:$B$1000,"&lt;&gt;",'Debt Backlog'!$N$2:$N$1000,"&lt;&gt;Done",'Debt Backlog'!$N$2:$N$1000,"&lt;&gt;Won't Fix",'Debt Backlog'!$N$2:$N$1000,"&lt;&gt;Duplicate"))</f>
        <v/>
      </c>
      <c r="AI943" s="103" t="str">
        <f aca="false">IF($B943="","",ROUND(SUMIFS('Debt Backlog'!$L$2:$L$1000,'Debt Backlog'!$AF$2:$AF$1000,$A943,'Debt Backlog'!$B$2:$B$1000,"&lt;&gt;",'Debt Backlog'!$N$2:$N$1000,"&lt;&gt;Done",'Debt Backlog'!$N$2:$N$1000,"&lt;&gt;Won't Fix",'Debt Backlog'!$N$2:$N$1000,"&lt;&gt;Duplicate"),2))</f>
        <v/>
      </c>
    </row>
    <row r="944" customFormat="false" ht="15.75" hidden="false" customHeight="true" outlineLevel="0" collapsed="false">
      <c r="A944" s="125"/>
      <c r="B944" s="101"/>
      <c r="C944" s="101"/>
      <c r="D944" s="101"/>
      <c r="E944" s="101"/>
      <c r="F944" s="101"/>
      <c r="G944" s="101"/>
      <c r="H944" s="101"/>
      <c r="I944" s="106"/>
      <c r="J944" s="106"/>
      <c r="K944" s="106"/>
      <c r="L944" s="106"/>
      <c r="M944" s="106"/>
      <c r="N944" s="103" t="str">
        <f aca="false">IF(OR($B944="", $I944="", $J944="", $K944="", $L944="", $M944=""),"",ROUND(($I944*Lists!$AD$2)+($J944*Lists!$AD$3)+($K944*Lists!$AD$4)+($L944*Lists!$AD$5)+($M944*Lists!$AD$6),2))</f>
        <v/>
      </c>
      <c r="O944" s="103" t="str">
        <f aca="false">IF($A944="","",IFERROR(VLOOKUP($A944,'Risk Register'!$B$2:$I$1000,8,FALSE()),""))</f>
        <v/>
      </c>
      <c r="P944" s="106"/>
      <c r="Q944" s="106"/>
      <c r="R944" s="106"/>
      <c r="S944" s="106"/>
      <c r="T944" s="103" t="str">
        <f aca="false">IF(OR($B944="", $P944="", $Q944="", $R944="", $S944=""),"",ROUND(($P944*Lists!$AD$7)+($Q944*Lists!$AD$8)+($R944*Lists!$AD$9)+($S944*Lists!$AD$10),2))</f>
        <v/>
      </c>
      <c r="U944" s="106"/>
      <c r="V944" s="106"/>
      <c r="W944" s="106"/>
      <c r="X944" s="106"/>
      <c r="Y944" s="106"/>
      <c r="Z944" s="103" t="str">
        <f aca="false">IF(OR($B944="", $U944="", $V944="", $W944="", $X944="", $Y944=""),"",ROUND(($U944*Lists!$AD$11)+($V944*Lists!$AD$12)+($W944*Lists!$AD$13)+($X944*Lists!$AD$14)+($Y944*Lists!$AD$15),2))</f>
        <v/>
      </c>
      <c r="AA944" s="103" t="str">
        <f aca="false">IF(OR($B944="", $N944="", $O944="", $T944="", $Z944=""),"",ROUND(($N944*Lists!$AD$16)-($O944*Lists!$AD$17)-($T944*Lists!$AD$18)+($Z944*Lists!$AD$19),2))</f>
        <v/>
      </c>
      <c r="AB944" s="102" t="str">
        <f aca="false">IF(OR($B944="", $N944="", $Z944=""),"",IF($N944&gt;=Lists!$AG$2,IF($Z944&gt;=Lists!$AG$3,"Invest","Migrate"),IF($Z944&gt;=Lists!$AG$3,"Tolerate","Eliminate")))</f>
        <v/>
      </c>
      <c r="AC944" s="102" t="str">
        <f aca="false">IF($B944="","",IF($J944&gt;=4,"Yes",""))</f>
        <v/>
      </c>
      <c r="AD944" s="102" t="str">
        <f aca="false">IF($A944="","",IFERROR(IF(VLOOKUP($A944,'Risk Register'!$B$2:$H$1000,4,FALSE())&gt;=4,"Yes",""),""))</f>
        <v/>
      </c>
      <c r="AE944" s="102" t="str">
        <f aca="false">IF(OR($N944="", $O944=""),"",IF($N944&gt;=Lists!$AG$2,IF($O944&gt;=Lists!$AG$4,"High Value / High Risk","High Value / Low Risk"),IF($O944&gt;=Lists!$AG$4,"Low Value / High Risk","Low Value / Low Risk")))</f>
        <v/>
      </c>
      <c r="AF944" s="101"/>
      <c r="AG944" s="126"/>
      <c r="AH944" s="106" t="str">
        <f aca="false">IF($B944="","",COUNTIFS('Debt Backlog'!$AF$2:$AF$1000,$A944,'Debt Backlog'!$B$2:$B$1000,"&lt;&gt;",'Debt Backlog'!$N$2:$N$1000,"&lt;&gt;Done",'Debt Backlog'!$N$2:$N$1000,"&lt;&gt;Won't Fix",'Debt Backlog'!$N$2:$N$1000,"&lt;&gt;Duplicate"))</f>
        <v/>
      </c>
      <c r="AI944" s="103" t="str">
        <f aca="false">IF($B944="","",ROUND(SUMIFS('Debt Backlog'!$L$2:$L$1000,'Debt Backlog'!$AF$2:$AF$1000,$A944,'Debt Backlog'!$B$2:$B$1000,"&lt;&gt;",'Debt Backlog'!$N$2:$N$1000,"&lt;&gt;Done",'Debt Backlog'!$N$2:$N$1000,"&lt;&gt;Won't Fix",'Debt Backlog'!$N$2:$N$1000,"&lt;&gt;Duplicate"),2))</f>
        <v/>
      </c>
    </row>
    <row r="945" customFormat="false" ht="15.75" hidden="false" customHeight="true" outlineLevel="0" collapsed="false">
      <c r="A945" s="125"/>
      <c r="B945" s="101"/>
      <c r="C945" s="101"/>
      <c r="D945" s="101"/>
      <c r="E945" s="101"/>
      <c r="F945" s="101"/>
      <c r="G945" s="101"/>
      <c r="H945" s="101"/>
      <c r="I945" s="106"/>
      <c r="J945" s="106"/>
      <c r="K945" s="106"/>
      <c r="L945" s="106"/>
      <c r="M945" s="106"/>
      <c r="N945" s="103" t="str">
        <f aca="false">IF(OR($B945="", $I945="", $J945="", $K945="", $L945="", $M945=""),"",ROUND(($I945*Lists!$AD$2)+($J945*Lists!$AD$3)+($K945*Lists!$AD$4)+($L945*Lists!$AD$5)+($M945*Lists!$AD$6),2))</f>
        <v/>
      </c>
      <c r="O945" s="103" t="str">
        <f aca="false">IF($A945="","",IFERROR(VLOOKUP($A945,'Risk Register'!$B$2:$I$1000,8,FALSE()),""))</f>
        <v/>
      </c>
      <c r="P945" s="106"/>
      <c r="Q945" s="106"/>
      <c r="R945" s="106"/>
      <c r="S945" s="106"/>
      <c r="T945" s="103" t="str">
        <f aca="false">IF(OR($B945="", $P945="", $Q945="", $R945="", $S945=""),"",ROUND(($P945*Lists!$AD$7)+($Q945*Lists!$AD$8)+($R945*Lists!$AD$9)+($S945*Lists!$AD$10),2))</f>
        <v/>
      </c>
      <c r="U945" s="106"/>
      <c r="V945" s="106"/>
      <c r="W945" s="106"/>
      <c r="X945" s="106"/>
      <c r="Y945" s="106"/>
      <c r="Z945" s="103" t="str">
        <f aca="false">IF(OR($B945="", $U945="", $V945="", $W945="", $X945="", $Y945=""),"",ROUND(($U945*Lists!$AD$11)+($V945*Lists!$AD$12)+($W945*Lists!$AD$13)+($X945*Lists!$AD$14)+($Y945*Lists!$AD$15),2))</f>
        <v/>
      </c>
      <c r="AA945" s="103" t="str">
        <f aca="false">IF(OR($B945="", $N945="", $O945="", $T945="", $Z945=""),"",ROUND(($N945*Lists!$AD$16)-($O945*Lists!$AD$17)-($T945*Lists!$AD$18)+($Z945*Lists!$AD$19),2))</f>
        <v/>
      </c>
      <c r="AB945" s="102" t="str">
        <f aca="false">IF(OR($B945="", $N945="", $Z945=""),"",IF($N945&gt;=Lists!$AG$2,IF($Z945&gt;=Lists!$AG$3,"Invest","Migrate"),IF($Z945&gt;=Lists!$AG$3,"Tolerate","Eliminate")))</f>
        <v/>
      </c>
      <c r="AC945" s="102" t="str">
        <f aca="false">IF($B945="","",IF($J945&gt;=4,"Yes",""))</f>
        <v/>
      </c>
      <c r="AD945" s="102" t="str">
        <f aca="false">IF($A945="","",IFERROR(IF(VLOOKUP($A945,'Risk Register'!$B$2:$H$1000,4,FALSE())&gt;=4,"Yes",""),""))</f>
        <v/>
      </c>
      <c r="AE945" s="102" t="str">
        <f aca="false">IF(OR($N945="", $O945=""),"",IF($N945&gt;=Lists!$AG$2,IF($O945&gt;=Lists!$AG$4,"High Value / High Risk","High Value / Low Risk"),IF($O945&gt;=Lists!$AG$4,"Low Value / High Risk","Low Value / Low Risk")))</f>
        <v/>
      </c>
      <c r="AF945" s="101"/>
      <c r="AG945" s="126"/>
      <c r="AH945" s="106" t="str">
        <f aca="false">IF($B945="","",COUNTIFS('Debt Backlog'!$AF$2:$AF$1000,$A945,'Debt Backlog'!$B$2:$B$1000,"&lt;&gt;",'Debt Backlog'!$N$2:$N$1000,"&lt;&gt;Done",'Debt Backlog'!$N$2:$N$1000,"&lt;&gt;Won't Fix",'Debt Backlog'!$N$2:$N$1000,"&lt;&gt;Duplicate"))</f>
        <v/>
      </c>
      <c r="AI945" s="103" t="str">
        <f aca="false">IF($B945="","",ROUND(SUMIFS('Debt Backlog'!$L$2:$L$1000,'Debt Backlog'!$AF$2:$AF$1000,$A945,'Debt Backlog'!$B$2:$B$1000,"&lt;&gt;",'Debt Backlog'!$N$2:$N$1000,"&lt;&gt;Done",'Debt Backlog'!$N$2:$N$1000,"&lt;&gt;Won't Fix",'Debt Backlog'!$N$2:$N$1000,"&lt;&gt;Duplicate"),2))</f>
        <v/>
      </c>
    </row>
    <row r="946" customFormat="false" ht="15.75" hidden="false" customHeight="true" outlineLevel="0" collapsed="false">
      <c r="A946" s="125"/>
      <c r="B946" s="101"/>
      <c r="C946" s="101"/>
      <c r="D946" s="101"/>
      <c r="E946" s="101"/>
      <c r="F946" s="101"/>
      <c r="G946" s="101"/>
      <c r="H946" s="101"/>
      <c r="I946" s="106"/>
      <c r="J946" s="106"/>
      <c r="K946" s="106"/>
      <c r="L946" s="106"/>
      <c r="M946" s="106"/>
      <c r="N946" s="103" t="str">
        <f aca="false">IF(OR($B946="", $I946="", $J946="", $K946="", $L946="", $M946=""),"",ROUND(($I946*Lists!$AD$2)+($J946*Lists!$AD$3)+($K946*Lists!$AD$4)+($L946*Lists!$AD$5)+($M946*Lists!$AD$6),2))</f>
        <v/>
      </c>
      <c r="O946" s="103" t="str">
        <f aca="false">IF($A946="","",IFERROR(VLOOKUP($A946,'Risk Register'!$B$2:$I$1000,8,FALSE()),""))</f>
        <v/>
      </c>
      <c r="P946" s="106"/>
      <c r="Q946" s="106"/>
      <c r="R946" s="106"/>
      <c r="S946" s="106"/>
      <c r="T946" s="103" t="str">
        <f aca="false">IF(OR($B946="", $P946="", $Q946="", $R946="", $S946=""),"",ROUND(($P946*Lists!$AD$7)+($Q946*Lists!$AD$8)+($R946*Lists!$AD$9)+($S946*Lists!$AD$10),2))</f>
        <v/>
      </c>
      <c r="U946" s="106"/>
      <c r="V946" s="106"/>
      <c r="W946" s="106"/>
      <c r="X946" s="106"/>
      <c r="Y946" s="106"/>
      <c r="Z946" s="103" t="str">
        <f aca="false">IF(OR($B946="", $U946="", $V946="", $W946="", $X946="", $Y946=""),"",ROUND(($U946*Lists!$AD$11)+($V946*Lists!$AD$12)+($W946*Lists!$AD$13)+($X946*Lists!$AD$14)+($Y946*Lists!$AD$15),2))</f>
        <v/>
      </c>
      <c r="AA946" s="103" t="str">
        <f aca="false">IF(OR($B946="", $N946="", $O946="", $T946="", $Z946=""),"",ROUND(($N946*Lists!$AD$16)-($O946*Lists!$AD$17)-($T946*Lists!$AD$18)+($Z946*Lists!$AD$19),2))</f>
        <v/>
      </c>
      <c r="AB946" s="102" t="str">
        <f aca="false">IF(OR($B946="", $N946="", $Z946=""),"",IF($N946&gt;=Lists!$AG$2,IF($Z946&gt;=Lists!$AG$3,"Invest","Migrate"),IF($Z946&gt;=Lists!$AG$3,"Tolerate","Eliminate")))</f>
        <v/>
      </c>
      <c r="AC946" s="102" t="str">
        <f aca="false">IF($B946="","",IF($J946&gt;=4,"Yes",""))</f>
        <v/>
      </c>
      <c r="AD946" s="102" t="str">
        <f aca="false">IF($A946="","",IFERROR(IF(VLOOKUP($A946,'Risk Register'!$B$2:$H$1000,4,FALSE())&gt;=4,"Yes",""),""))</f>
        <v/>
      </c>
      <c r="AE946" s="102" t="str">
        <f aca="false">IF(OR($N946="", $O946=""),"",IF($N946&gt;=Lists!$AG$2,IF($O946&gt;=Lists!$AG$4,"High Value / High Risk","High Value / Low Risk"),IF($O946&gt;=Lists!$AG$4,"Low Value / High Risk","Low Value / Low Risk")))</f>
        <v/>
      </c>
      <c r="AF946" s="101"/>
      <c r="AG946" s="126"/>
      <c r="AH946" s="106" t="str">
        <f aca="false">IF($B946="","",COUNTIFS('Debt Backlog'!$AF$2:$AF$1000,$A946,'Debt Backlog'!$B$2:$B$1000,"&lt;&gt;",'Debt Backlog'!$N$2:$N$1000,"&lt;&gt;Done",'Debt Backlog'!$N$2:$N$1000,"&lt;&gt;Won't Fix",'Debt Backlog'!$N$2:$N$1000,"&lt;&gt;Duplicate"))</f>
        <v/>
      </c>
      <c r="AI946" s="103" t="str">
        <f aca="false">IF($B946="","",ROUND(SUMIFS('Debt Backlog'!$L$2:$L$1000,'Debt Backlog'!$AF$2:$AF$1000,$A946,'Debt Backlog'!$B$2:$B$1000,"&lt;&gt;",'Debt Backlog'!$N$2:$N$1000,"&lt;&gt;Done",'Debt Backlog'!$N$2:$N$1000,"&lt;&gt;Won't Fix",'Debt Backlog'!$N$2:$N$1000,"&lt;&gt;Duplicate"),2))</f>
        <v/>
      </c>
    </row>
    <row r="947" customFormat="false" ht="15.75" hidden="false" customHeight="true" outlineLevel="0" collapsed="false">
      <c r="A947" s="125"/>
      <c r="B947" s="101"/>
      <c r="C947" s="101"/>
      <c r="D947" s="101"/>
      <c r="E947" s="101"/>
      <c r="F947" s="101"/>
      <c r="G947" s="101"/>
      <c r="H947" s="101"/>
      <c r="I947" s="106"/>
      <c r="J947" s="106"/>
      <c r="K947" s="106"/>
      <c r="L947" s="106"/>
      <c r="M947" s="106"/>
      <c r="N947" s="103" t="str">
        <f aca="false">IF(OR($B947="", $I947="", $J947="", $K947="", $L947="", $M947=""),"",ROUND(($I947*Lists!$AD$2)+($J947*Lists!$AD$3)+($K947*Lists!$AD$4)+($L947*Lists!$AD$5)+($M947*Lists!$AD$6),2))</f>
        <v/>
      </c>
      <c r="O947" s="103" t="str">
        <f aca="false">IF($A947="","",IFERROR(VLOOKUP($A947,'Risk Register'!$B$2:$I$1000,8,FALSE()),""))</f>
        <v/>
      </c>
      <c r="P947" s="106"/>
      <c r="Q947" s="106"/>
      <c r="R947" s="106"/>
      <c r="S947" s="106"/>
      <c r="T947" s="103" t="str">
        <f aca="false">IF(OR($B947="", $P947="", $Q947="", $R947="", $S947=""),"",ROUND(($P947*Lists!$AD$7)+($Q947*Lists!$AD$8)+($R947*Lists!$AD$9)+($S947*Lists!$AD$10),2))</f>
        <v/>
      </c>
      <c r="U947" s="106"/>
      <c r="V947" s="106"/>
      <c r="W947" s="106"/>
      <c r="X947" s="106"/>
      <c r="Y947" s="106"/>
      <c r="Z947" s="103" t="str">
        <f aca="false">IF(OR($B947="", $U947="", $V947="", $W947="", $X947="", $Y947=""),"",ROUND(($U947*Lists!$AD$11)+($V947*Lists!$AD$12)+($W947*Lists!$AD$13)+($X947*Lists!$AD$14)+($Y947*Lists!$AD$15),2))</f>
        <v/>
      </c>
      <c r="AA947" s="103" t="str">
        <f aca="false">IF(OR($B947="", $N947="", $O947="", $T947="", $Z947=""),"",ROUND(($N947*Lists!$AD$16)-($O947*Lists!$AD$17)-($T947*Lists!$AD$18)+($Z947*Lists!$AD$19),2))</f>
        <v/>
      </c>
      <c r="AB947" s="102" t="str">
        <f aca="false">IF(OR($B947="", $N947="", $Z947=""),"",IF($N947&gt;=Lists!$AG$2,IF($Z947&gt;=Lists!$AG$3,"Invest","Migrate"),IF($Z947&gt;=Lists!$AG$3,"Tolerate","Eliminate")))</f>
        <v/>
      </c>
      <c r="AC947" s="102" t="str">
        <f aca="false">IF($B947="","",IF($J947&gt;=4,"Yes",""))</f>
        <v/>
      </c>
      <c r="AD947" s="102" t="str">
        <f aca="false">IF($A947="","",IFERROR(IF(VLOOKUP($A947,'Risk Register'!$B$2:$H$1000,4,FALSE())&gt;=4,"Yes",""),""))</f>
        <v/>
      </c>
      <c r="AE947" s="102" t="str">
        <f aca="false">IF(OR($N947="", $O947=""),"",IF($N947&gt;=Lists!$AG$2,IF($O947&gt;=Lists!$AG$4,"High Value / High Risk","High Value / Low Risk"),IF($O947&gt;=Lists!$AG$4,"Low Value / High Risk","Low Value / Low Risk")))</f>
        <v/>
      </c>
      <c r="AF947" s="101"/>
      <c r="AG947" s="126"/>
      <c r="AH947" s="106" t="str">
        <f aca="false">IF($B947="","",COUNTIFS('Debt Backlog'!$AF$2:$AF$1000,$A947,'Debt Backlog'!$B$2:$B$1000,"&lt;&gt;",'Debt Backlog'!$N$2:$N$1000,"&lt;&gt;Done",'Debt Backlog'!$N$2:$N$1000,"&lt;&gt;Won't Fix",'Debt Backlog'!$N$2:$N$1000,"&lt;&gt;Duplicate"))</f>
        <v/>
      </c>
      <c r="AI947" s="103" t="str">
        <f aca="false">IF($B947="","",ROUND(SUMIFS('Debt Backlog'!$L$2:$L$1000,'Debt Backlog'!$AF$2:$AF$1000,$A947,'Debt Backlog'!$B$2:$B$1000,"&lt;&gt;",'Debt Backlog'!$N$2:$N$1000,"&lt;&gt;Done",'Debt Backlog'!$N$2:$N$1000,"&lt;&gt;Won't Fix",'Debt Backlog'!$N$2:$N$1000,"&lt;&gt;Duplicate"),2))</f>
        <v/>
      </c>
    </row>
    <row r="948" customFormat="false" ht="15.75" hidden="false" customHeight="true" outlineLevel="0" collapsed="false">
      <c r="A948" s="125"/>
      <c r="B948" s="101"/>
      <c r="C948" s="101"/>
      <c r="D948" s="101"/>
      <c r="E948" s="101"/>
      <c r="F948" s="101"/>
      <c r="G948" s="101"/>
      <c r="H948" s="101"/>
      <c r="I948" s="106"/>
      <c r="J948" s="106"/>
      <c r="K948" s="106"/>
      <c r="L948" s="106"/>
      <c r="M948" s="106"/>
      <c r="N948" s="103" t="str">
        <f aca="false">IF(OR($B948="", $I948="", $J948="", $K948="", $L948="", $M948=""),"",ROUND(($I948*Lists!$AD$2)+($J948*Lists!$AD$3)+($K948*Lists!$AD$4)+($L948*Lists!$AD$5)+($M948*Lists!$AD$6),2))</f>
        <v/>
      </c>
      <c r="O948" s="103" t="str">
        <f aca="false">IF($A948="","",IFERROR(VLOOKUP($A948,'Risk Register'!$B$2:$I$1000,8,FALSE()),""))</f>
        <v/>
      </c>
      <c r="P948" s="106"/>
      <c r="Q948" s="106"/>
      <c r="R948" s="106"/>
      <c r="S948" s="106"/>
      <c r="T948" s="103" t="str">
        <f aca="false">IF(OR($B948="", $P948="", $Q948="", $R948="", $S948=""),"",ROUND(($P948*Lists!$AD$7)+($Q948*Lists!$AD$8)+($R948*Lists!$AD$9)+($S948*Lists!$AD$10),2))</f>
        <v/>
      </c>
      <c r="U948" s="106"/>
      <c r="V948" s="106"/>
      <c r="W948" s="106"/>
      <c r="X948" s="106"/>
      <c r="Y948" s="106"/>
      <c r="Z948" s="103" t="str">
        <f aca="false">IF(OR($B948="", $U948="", $V948="", $W948="", $X948="", $Y948=""),"",ROUND(($U948*Lists!$AD$11)+($V948*Lists!$AD$12)+($W948*Lists!$AD$13)+($X948*Lists!$AD$14)+($Y948*Lists!$AD$15),2))</f>
        <v/>
      </c>
      <c r="AA948" s="103" t="str">
        <f aca="false">IF(OR($B948="", $N948="", $O948="", $T948="", $Z948=""),"",ROUND(($N948*Lists!$AD$16)-($O948*Lists!$AD$17)-($T948*Lists!$AD$18)+($Z948*Lists!$AD$19),2))</f>
        <v/>
      </c>
      <c r="AB948" s="102" t="str">
        <f aca="false">IF(OR($B948="", $N948="", $Z948=""),"",IF($N948&gt;=Lists!$AG$2,IF($Z948&gt;=Lists!$AG$3,"Invest","Migrate"),IF($Z948&gt;=Lists!$AG$3,"Tolerate","Eliminate")))</f>
        <v/>
      </c>
      <c r="AC948" s="102" t="str">
        <f aca="false">IF($B948="","",IF($J948&gt;=4,"Yes",""))</f>
        <v/>
      </c>
      <c r="AD948" s="102" t="str">
        <f aca="false">IF($A948="","",IFERROR(IF(VLOOKUP($A948,'Risk Register'!$B$2:$H$1000,4,FALSE())&gt;=4,"Yes",""),""))</f>
        <v/>
      </c>
      <c r="AE948" s="102" t="str">
        <f aca="false">IF(OR($N948="", $O948=""),"",IF($N948&gt;=Lists!$AG$2,IF($O948&gt;=Lists!$AG$4,"High Value / High Risk","High Value / Low Risk"),IF($O948&gt;=Lists!$AG$4,"Low Value / High Risk","Low Value / Low Risk")))</f>
        <v/>
      </c>
      <c r="AF948" s="101"/>
      <c r="AG948" s="126"/>
      <c r="AH948" s="106" t="str">
        <f aca="false">IF($B948="","",COUNTIFS('Debt Backlog'!$AF$2:$AF$1000,$A948,'Debt Backlog'!$B$2:$B$1000,"&lt;&gt;",'Debt Backlog'!$N$2:$N$1000,"&lt;&gt;Done",'Debt Backlog'!$N$2:$N$1000,"&lt;&gt;Won't Fix",'Debt Backlog'!$N$2:$N$1000,"&lt;&gt;Duplicate"))</f>
        <v/>
      </c>
      <c r="AI948" s="103" t="str">
        <f aca="false">IF($B948="","",ROUND(SUMIFS('Debt Backlog'!$L$2:$L$1000,'Debt Backlog'!$AF$2:$AF$1000,$A948,'Debt Backlog'!$B$2:$B$1000,"&lt;&gt;",'Debt Backlog'!$N$2:$N$1000,"&lt;&gt;Done",'Debt Backlog'!$N$2:$N$1000,"&lt;&gt;Won't Fix",'Debt Backlog'!$N$2:$N$1000,"&lt;&gt;Duplicate"),2))</f>
        <v/>
      </c>
    </row>
    <row r="949" customFormat="false" ht="15.75" hidden="false" customHeight="true" outlineLevel="0" collapsed="false">
      <c r="A949" s="125"/>
      <c r="B949" s="101"/>
      <c r="C949" s="101"/>
      <c r="D949" s="101"/>
      <c r="E949" s="101"/>
      <c r="F949" s="101"/>
      <c r="G949" s="101"/>
      <c r="H949" s="101"/>
      <c r="I949" s="106"/>
      <c r="J949" s="106"/>
      <c r="K949" s="106"/>
      <c r="L949" s="106"/>
      <c r="M949" s="106"/>
      <c r="N949" s="103" t="str">
        <f aca="false">IF(OR($B949="", $I949="", $J949="", $K949="", $L949="", $M949=""),"",ROUND(($I949*Lists!$AD$2)+($J949*Lists!$AD$3)+($K949*Lists!$AD$4)+($L949*Lists!$AD$5)+($M949*Lists!$AD$6),2))</f>
        <v/>
      </c>
      <c r="O949" s="103" t="str">
        <f aca="false">IF($A949="","",IFERROR(VLOOKUP($A949,'Risk Register'!$B$2:$I$1000,8,FALSE()),""))</f>
        <v/>
      </c>
      <c r="P949" s="106"/>
      <c r="Q949" s="106"/>
      <c r="R949" s="106"/>
      <c r="S949" s="106"/>
      <c r="T949" s="103" t="str">
        <f aca="false">IF(OR($B949="", $P949="", $Q949="", $R949="", $S949=""),"",ROUND(($P949*Lists!$AD$7)+($Q949*Lists!$AD$8)+($R949*Lists!$AD$9)+($S949*Lists!$AD$10),2))</f>
        <v/>
      </c>
      <c r="U949" s="106"/>
      <c r="V949" s="106"/>
      <c r="W949" s="106"/>
      <c r="X949" s="106"/>
      <c r="Y949" s="106"/>
      <c r="Z949" s="103" t="str">
        <f aca="false">IF(OR($B949="", $U949="", $V949="", $W949="", $X949="", $Y949=""),"",ROUND(($U949*Lists!$AD$11)+($V949*Lists!$AD$12)+($W949*Lists!$AD$13)+($X949*Lists!$AD$14)+($Y949*Lists!$AD$15),2))</f>
        <v/>
      </c>
      <c r="AA949" s="103" t="str">
        <f aca="false">IF(OR($B949="", $N949="", $O949="", $T949="", $Z949=""),"",ROUND(($N949*Lists!$AD$16)-($O949*Lists!$AD$17)-($T949*Lists!$AD$18)+($Z949*Lists!$AD$19),2))</f>
        <v/>
      </c>
      <c r="AB949" s="102" t="str">
        <f aca="false">IF(OR($B949="", $N949="", $Z949=""),"",IF($N949&gt;=Lists!$AG$2,IF($Z949&gt;=Lists!$AG$3,"Invest","Migrate"),IF($Z949&gt;=Lists!$AG$3,"Tolerate","Eliminate")))</f>
        <v/>
      </c>
      <c r="AC949" s="102" t="str">
        <f aca="false">IF($B949="","",IF($J949&gt;=4,"Yes",""))</f>
        <v/>
      </c>
      <c r="AD949" s="102" t="str">
        <f aca="false">IF($A949="","",IFERROR(IF(VLOOKUP($A949,'Risk Register'!$B$2:$H$1000,4,FALSE())&gt;=4,"Yes",""),""))</f>
        <v/>
      </c>
      <c r="AE949" s="102" t="str">
        <f aca="false">IF(OR($N949="", $O949=""),"",IF($N949&gt;=Lists!$AG$2,IF($O949&gt;=Lists!$AG$4,"High Value / High Risk","High Value / Low Risk"),IF($O949&gt;=Lists!$AG$4,"Low Value / High Risk","Low Value / Low Risk")))</f>
        <v/>
      </c>
      <c r="AF949" s="101"/>
      <c r="AG949" s="126"/>
      <c r="AH949" s="106" t="str">
        <f aca="false">IF($B949="","",COUNTIFS('Debt Backlog'!$AF$2:$AF$1000,$A949,'Debt Backlog'!$B$2:$B$1000,"&lt;&gt;",'Debt Backlog'!$N$2:$N$1000,"&lt;&gt;Done",'Debt Backlog'!$N$2:$N$1000,"&lt;&gt;Won't Fix",'Debt Backlog'!$N$2:$N$1000,"&lt;&gt;Duplicate"))</f>
        <v/>
      </c>
      <c r="AI949" s="103" t="str">
        <f aca="false">IF($B949="","",ROUND(SUMIFS('Debt Backlog'!$L$2:$L$1000,'Debt Backlog'!$AF$2:$AF$1000,$A949,'Debt Backlog'!$B$2:$B$1000,"&lt;&gt;",'Debt Backlog'!$N$2:$N$1000,"&lt;&gt;Done",'Debt Backlog'!$N$2:$N$1000,"&lt;&gt;Won't Fix",'Debt Backlog'!$N$2:$N$1000,"&lt;&gt;Duplicate"),2))</f>
        <v/>
      </c>
    </row>
    <row r="950" customFormat="false" ht="15.75" hidden="false" customHeight="true" outlineLevel="0" collapsed="false">
      <c r="A950" s="125"/>
      <c r="B950" s="101"/>
      <c r="C950" s="101"/>
      <c r="D950" s="101"/>
      <c r="E950" s="101"/>
      <c r="F950" s="101"/>
      <c r="G950" s="101"/>
      <c r="H950" s="101"/>
      <c r="I950" s="106"/>
      <c r="J950" s="106"/>
      <c r="K950" s="106"/>
      <c r="L950" s="106"/>
      <c r="M950" s="106"/>
      <c r="N950" s="103" t="str">
        <f aca="false">IF(OR($B950="", $I950="", $J950="", $K950="", $L950="", $M950=""),"",ROUND(($I950*Lists!$AD$2)+($J950*Lists!$AD$3)+($K950*Lists!$AD$4)+($L950*Lists!$AD$5)+($M950*Lists!$AD$6),2))</f>
        <v/>
      </c>
      <c r="O950" s="103" t="str">
        <f aca="false">IF($A950="","",IFERROR(VLOOKUP($A950,'Risk Register'!$B$2:$I$1000,8,FALSE()),""))</f>
        <v/>
      </c>
      <c r="P950" s="106"/>
      <c r="Q950" s="106"/>
      <c r="R950" s="106"/>
      <c r="S950" s="106"/>
      <c r="T950" s="103" t="str">
        <f aca="false">IF(OR($B950="", $P950="", $Q950="", $R950="", $S950=""),"",ROUND(($P950*Lists!$AD$7)+($Q950*Lists!$AD$8)+($R950*Lists!$AD$9)+($S950*Lists!$AD$10),2))</f>
        <v/>
      </c>
      <c r="U950" s="106"/>
      <c r="V950" s="106"/>
      <c r="W950" s="106"/>
      <c r="X950" s="106"/>
      <c r="Y950" s="106"/>
      <c r="Z950" s="103" t="str">
        <f aca="false">IF(OR($B950="", $U950="", $V950="", $W950="", $X950="", $Y950=""),"",ROUND(($U950*Lists!$AD$11)+($V950*Lists!$AD$12)+($W950*Lists!$AD$13)+($X950*Lists!$AD$14)+($Y950*Lists!$AD$15),2))</f>
        <v/>
      </c>
      <c r="AA950" s="103" t="str">
        <f aca="false">IF(OR($B950="", $N950="", $O950="", $T950="", $Z950=""),"",ROUND(($N950*Lists!$AD$16)-($O950*Lists!$AD$17)-($T950*Lists!$AD$18)+($Z950*Lists!$AD$19),2))</f>
        <v/>
      </c>
      <c r="AB950" s="102" t="str">
        <f aca="false">IF(OR($B950="", $N950="", $Z950=""),"",IF($N950&gt;=Lists!$AG$2,IF($Z950&gt;=Lists!$AG$3,"Invest","Migrate"),IF($Z950&gt;=Lists!$AG$3,"Tolerate","Eliminate")))</f>
        <v/>
      </c>
      <c r="AC950" s="102" t="str">
        <f aca="false">IF($B950="","",IF($J950&gt;=4,"Yes",""))</f>
        <v/>
      </c>
      <c r="AD950" s="102" t="str">
        <f aca="false">IF($A950="","",IFERROR(IF(VLOOKUP($A950,'Risk Register'!$B$2:$H$1000,4,FALSE())&gt;=4,"Yes",""),""))</f>
        <v/>
      </c>
      <c r="AE950" s="102" t="str">
        <f aca="false">IF(OR($N950="", $O950=""),"",IF($N950&gt;=Lists!$AG$2,IF($O950&gt;=Lists!$AG$4,"High Value / High Risk","High Value / Low Risk"),IF($O950&gt;=Lists!$AG$4,"Low Value / High Risk","Low Value / Low Risk")))</f>
        <v/>
      </c>
      <c r="AF950" s="101"/>
      <c r="AG950" s="126"/>
      <c r="AH950" s="106" t="str">
        <f aca="false">IF($B950="","",COUNTIFS('Debt Backlog'!$AF$2:$AF$1000,$A950,'Debt Backlog'!$B$2:$B$1000,"&lt;&gt;",'Debt Backlog'!$N$2:$N$1000,"&lt;&gt;Done",'Debt Backlog'!$N$2:$N$1000,"&lt;&gt;Won't Fix",'Debt Backlog'!$N$2:$N$1000,"&lt;&gt;Duplicate"))</f>
        <v/>
      </c>
      <c r="AI950" s="103" t="str">
        <f aca="false">IF($B950="","",ROUND(SUMIFS('Debt Backlog'!$L$2:$L$1000,'Debt Backlog'!$AF$2:$AF$1000,$A950,'Debt Backlog'!$B$2:$B$1000,"&lt;&gt;",'Debt Backlog'!$N$2:$N$1000,"&lt;&gt;Done",'Debt Backlog'!$N$2:$N$1000,"&lt;&gt;Won't Fix",'Debt Backlog'!$N$2:$N$1000,"&lt;&gt;Duplicate"),2))</f>
        <v/>
      </c>
    </row>
    <row r="951" customFormat="false" ht="15.75" hidden="false" customHeight="true" outlineLevel="0" collapsed="false">
      <c r="A951" s="125"/>
      <c r="B951" s="101"/>
      <c r="C951" s="101"/>
      <c r="D951" s="101"/>
      <c r="E951" s="101"/>
      <c r="F951" s="101"/>
      <c r="G951" s="101"/>
      <c r="H951" s="101"/>
      <c r="I951" s="106"/>
      <c r="J951" s="106"/>
      <c r="K951" s="106"/>
      <c r="L951" s="106"/>
      <c r="M951" s="106"/>
      <c r="N951" s="103" t="str">
        <f aca="false">IF(OR($B951="", $I951="", $J951="", $K951="", $L951="", $M951=""),"",ROUND(($I951*Lists!$AD$2)+($J951*Lists!$AD$3)+($K951*Lists!$AD$4)+($L951*Lists!$AD$5)+($M951*Lists!$AD$6),2))</f>
        <v/>
      </c>
      <c r="O951" s="103" t="str">
        <f aca="false">IF($A951="","",IFERROR(VLOOKUP($A951,'Risk Register'!$B$2:$I$1000,8,FALSE()),""))</f>
        <v/>
      </c>
      <c r="P951" s="106"/>
      <c r="Q951" s="106"/>
      <c r="R951" s="106"/>
      <c r="S951" s="106"/>
      <c r="T951" s="103" t="str">
        <f aca="false">IF(OR($B951="", $P951="", $Q951="", $R951="", $S951=""),"",ROUND(($P951*Lists!$AD$7)+($Q951*Lists!$AD$8)+($R951*Lists!$AD$9)+($S951*Lists!$AD$10),2))</f>
        <v/>
      </c>
      <c r="U951" s="106"/>
      <c r="V951" s="106"/>
      <c r="W951" s="106"/>
      <c r="X951" s="106"/>
      <c r="Y951" s="106"/>
      <c r="Z951" s="103" t="str">
        <f aca="false">IF(OR($B951="", $U951="", $V951="", $W951="", $X951="", $Y951=""),"",ROUND(($U951*Lists!$AD$11)+($V951*Lists!$AD$12)+($W951*Lists!$AD$13)+($X951*Lists!$AD$14)+($Y951*Lists!$AD$15),2))</f>
        <v/>
      </c>
      <c r="AA951" s="103" t="str">
        <f aca="false">IF(OR($B951="", $N951="", $O951="", $T951="", $Z951=""),"",ROUND(($N951*Lists!$AD$16)-($O951*Lists!$AD$17)-($T951*Lists!$AD$18)+($Z951*Lists!$AD$19),2))</f>
        <v/>
      </c>
      <c r="AB951" s="102" t="str">
        <f aca="false">IF(OR($B951="", $N951="", $Z951=""),"",IF($N951&gt;=Lists!$AG$2,IF($Z951&gt;=Lists!$AG$3,"Invest","Migrate"),IF($Z951&gt;=Lists!$AG$3,"Tolerate","Eliminate")))</f>
        <v/>
      </c>
      <c r="AC951" s="102" t="str">
        <f aca="false">IF($B951="","",IF($J951&gt;=4,"Yes",""))</f>
        <v/>
      </c>
      <c r="AD951" s="102" t="str">
        <f aca="false">IF($A951="","",IFERROR(IF(VLOOKUP($A951,'Risk Register'!$B$2:$H$1000,4,FALSE())&gt;=4,"Yes",""),""))</f>
        <v/>
      </c>
      <c r="AE951" s="102" t="str">
        <f aca="false">IF(OR($N951="", $O951=""),"",IF($N951&gt;=Lists!$AG$2,IF($O951&gt;=Lists!$AG$4,"High Value / High Risk","High Value / Low Risk"),IF($O951&gt;=Lists!$AG$4,"Low Value / High Risk","Low Value / Low Risk")))</f>
        <v/>
      </c>
      <c r="AF951" s="101"/>
      <c r="AG951" s="126"/>
      <c r="AH951" s="106" t="str">
        <f aca="false">IF($B951="","",COUNTIFS('Debt Backlog'!$AF$2:$AF$1000,$A951,'Debt Backlog'!$B$2:$B$1000,"&lt;&gt;",'Debt Backlog'!$N$2:$N$1000,"&lt;&gt;Done",'Debt Backlog'!$N$2:$N$1000,"&lt;&gt;Won't Fix",'Debt Backlog'!$N$2:$N$1000,"&lt;&gt;Duplicate"))</f>
        <v/>
      </c>
      <c r="AI951" s="103" t="str">
        <f aca="false">IF($B951="","",ROUND(SUMIFS('Debt Backlog'!$L$2:$L$1000,'Debt Backlog'!$AF$2:$AF$1000,$A951,'Debt Backlog'!$B$2:$B$1000,"&lt;&gt;",'Debt Backlog'!$N$2:$N$1000,"&lt;&gt;Done",'Debt Backlog'!$N$2:$N$1000,"&lt;&gt;Won't Fix",'Debt Backlog'!$N$2:$N$1000,"&lt;&gt;Duplicate"),2))</f>
        <v/>
      </c>
    </row>
    <row r="952" customFormat="false" ht="15.75" hidden="false" customHeight="true" outlineLevel="0" collapsed="false">
      <c r="A952" s="125"/>
      <c r="B952" s="101"/>
      <c r="C952" s="101"/>
      <c r="D952" s="101"/>
      <c r="E952" s="101"/>
      <c r="F952" s="101"/>
      <c r="G952" s="101"/>
      <c r="H952" s="101"/>
      <c r="I952" s="106"/>
      <c r="J952" s="106"/>
      <c r="K952" s="106"/>
      <c r="L952" s="106"/>
      <c r="M952" s="106"/>
      <c r="N952" s="103" t="str">
        <f aca="false">IF(OR($B952="", $I952="", $J952="", $K952="", $L952="", $M952=""),"",ROUND(($I952*Lists!$AD$2)+($J952*Lists!$AD$3)+($K952*Lists!$AD$4)+($L952*Lists!$AD$5)+($M952*Lists!$AD$6),2))</f>
        <v/>
      </c>
      <c r="O952" s="103" t="str">
        <f aca="false">IF($A952="","",IFERROR(VLOOKUP($A952,'Risk Register'!$B$2:$I$1000,8,FALSE()),""))</f>
        <v/>
      </c>
      <c r="P952" s="106"/>
      <c r="Q952" s="106"/>
      <c r="R952" s="106"/>
      <c r="S952" s="106"/>
      <c r="T952" s="103" t="str">
        <f aca="false">IF(OR($B952="", $P952="", $Q952="", $R952="", $S952=""),"",ROUND(($P952*Lists!$AD$7)+($Q952*Lists!$AD$8)+($R952*Lists!$AD$9)+($S952*Lists!$AD$10),2))</f>
        <v/>
      </c>
      <c r="U952" s="106"/>
      <c r="V952" s="106"/>
      <c r="W952" s="106"/>
      <c r="X952" s="106"/>
      <c r="Y952" s="106"/>
      <c r="Z952" s="103" t="str">
        <f aca="false">IF(OR($B952="", $U952="", $V952="", $W952="", $X952="", $Y952=""),"",ROUND(($U952*Lists!$AD$11)+($V952*Lists!$AD$12)+($W952*Lists!$AD$13)+($X952*Lists!$AD$14)+($Y952*Lists!$AD$15),2))</f>
        <v/>
      </c>
      <c r="AA952" s="103" t="str">
        <f aca="false">IF(OR($B952="", $N952="", $O952="", $T952="", $Z952=""),"",ROUND(($N952*Lists!$AD$16)-($O952*Lists!$AD$17)-($T952*Lists!$AD$18)+($Z952*Lists!$AD$19),2))</f>
        <v/>
      </c>
      <c r="AB952" s="102" t="str">
        <f aca="false">IF(OR($B952="", $N952="", $Z952=""),"",IF($N952&gt;=Lists!$AG$2,IF($Z952&gt;=Lists!$AG$3,"Invest","Migrate"),IF($Z952&gt;=Lists!$AG$3,"Tolerate","Eliminate")))</f>
        <v/>
      </c>
      <c r="AC952" s="102" t="str">
        <f aca="false">IF($B952="","",IF($J952&gt;=4,"Yes",""))</f>
        <v/>
      </c>
      <c r="AD952" s="102" t="str">
        <f aca="false">IF($A952="","",IFERROR(IF(VLOOKUP($A952,'Risk Register'!$B$2:$H$1000,4,FALSE())&gt;=4,"Yes",""),""))</f>
        <v/>
      </c>
      <c r="AE952" s="102" t="str">
        <f aca="false">IF(OR($N952="", $O952=""),"",IF($N952&gt;=Lists!$AG$2,IF($O952&gt;=Lists!$AG$4,"High Value / High Risk","High Value / Low Risk"),IF($O952&gt;=Lists!$AG$4,"Low Value / High Risk","Low Value / Low Risk")))</f>
        <v/>
      </c>
      <c r="AF952" s="101"/>
      <c r="AG952" s="126"/>
      <c r="AH952" s="106" t="str">
        <f aca="false">IF($B952="","",COUNTIFS('Debt Backlog'!$AF$2:$AF$1000,$A952,'Debt Backlog'!$B$2:$B$1000,"&lt;&gt;",'Debt Backlog'!$N$2:$N$1000,"&lt;&gt;Done",'Debt Backlog'!$N$2:$N$1000,"&lt;&gt;Won't Fix",'Debt Backlog'!$N$2:$N$1000,"&lt;&gt;Duplicate"))</f>
        <v/>
      </c>
      <c r="AI952" s="103" t="str">
        <f aca="false">IF($B952="","",ROUND(SUMIFS('Debt Backlog'!$L$2:$L$1000,'Debt Backlog'!$AF$2:$AF$1000,$A952,'Debt Backlog'!$B$2:$B$1000,"&lt;&gt;",'Debt Backlog'!$N$2:$N$1000,"&lt;&gt;Done",'Debt Backlog'!$N$2:$N$1000,"&lt;&gt;Won't Fix",'Debt Backlog'!$N$2:$N$1000,"&lt;&gt;Duplicate"),2))</f>
        <v/>
      </c>
    </row>
    <row r="953" customFormat="false" ht="15.75" hidden="false" customHeight="true" outlineLevel="0" collapsed="false">
      <c r="A953" s="125"/>
      <c r="B953" s="101"/>
      <c r="C953" s="101"/>
      <c r="D953" s="101"/>
      <c r="E953" s="101"/>
      <c r="F953" s="101"/>
      <c r="G953" s="101"/>
      <c r="H953" s="101"/>
      <c r="I953" s="106"/>
      <c r="J953" s="106"/>
      <c r="K953" s="106"/>
      <c r="L953" s="106"/>
      <c r="M953" s="106"/>
      <c r="N953" s="103" t="str">
        <f aca="false">IF(OR($B953="", $I953="", $J953="", $K953="", $L953="", $M953=""),"",ROUND(($I953*Lists!$AD$2)+($J953*Lists!$AD$3)+($K953*Lists!$AD$4)+($L953*Lists!$AD$5)+($M953*Lists!$AD$6),2))</f>
        <v/>
      </c>
      <c r="O953" s="103" t="str">
        <f aca="false">IF($A953="","",IFERROR(VLOOKUP($A953,'Risk Register'!$B$2:$I$1000,8,FALSE()),""))</f>
        <v/>
      </c>
      <c r="P953" s="106"/>
      <c r="Q953" s="106"/>
      <c r="R953" s="106"/>
      <c r="S953" s="106"/>
      <c r="T953" s="103" t="str">
        <f aca="false">IF(OR($B953="", $P953="", $Q953="", $R953="", $S953=""),"",ROUND(($P953*Lists!$AD$7)+($Q953*Lists!$AD$8)+($R953*Lists!$AD$9)+($S953*Lists!$AD$10),2))</f>
        <v/>
      </c>
      <c r="U953" s="106"/>
      <c r="V953" s="106"/>
      <c r="W953" s="106"/>
      <c r="X953" s="106"/>
      <c r="Y953" s="106"/>
      <c r="Z953" s="103" t="str">
        <f aca="false">IF(OR($B953="", $U953="", $V953="", $W953="", $X953="", $Y953=""),"",ROUND(($U953*Lists!$AD$11)+($V953*Lists!$AD$12)+($W953*Lists!$AD$13)+($X953*Lists!$AD$14)+($Y953*Lists!$AD$15),2))</f>
        <v/>
      </c>
      <c r="AA953" s="103" t="str">
        <f aca="false">IF(OR($B953="", $N953="", $O953="", $T953="", $Z953=""),"",ROUND(($N953*Lists!$AD$16)-($O953*Lists!$AD$17)-($T953*Lists!$AD$18)+($Z953*Lists!$AD$19),2))</f>
        <v/>
      </c>
      <c r="AB953" s="102" t="str">
        <f aca="false">IF(OR($B953="", $N953="", $Z953=""),"",IF($N953&gt;=Lists!$AG$2,IF($Z953&gt;=Lists!$AG$3,"Invest","Migrate"),IF($Z953&gt;=Lists!$AG$3,"Tolerate","Eliminate")))</f>
        <v/>
      </c>
      <c r="AC953" s="102" t="str">
        <f aca="false">IF($B953="","",IF($J953&gt;=4,"Yes",""))</f>
        <v/>
      </c>
      <c r="AD953" s="102" t="str">
        <f aca="false">IF($A953="","",IFERROR(IF(VLOOKUP($A953,'Risk Register'!$B$2:$H$1000,4,FALSE())&gt;=4,"Yes",""),""))</f>
        <v/>
      </c>
      <c r="AE953" s="102" t="str">
        <f aca="false">IF(OR($N953="", $O953=""),"",IF($N953&gt;=Lists!$AG$2,IF($O953&gt;=Lists!$AG$4,"High Value / High Risk","High Value / Low Risk"),IF($O953&gt;=Lists!$AG$4,"Low Value / High Risk","Low Value / Low Risk")))</f>
        <v/>
      </c>
      <c r="AF953" s="101"/>
      <c r="AG953" s="126"/>
      <c r="AH953" s="106" t="str">
        <f aca="false">IF($B953="","",COUNTIFS('Debt Backlog'!$AF$2:$AF$1000,$A953,'Debt Backlog'!$B$2:$B$1000,"&lt;&gt;",'Debt Backlog'!$N$2:$N$1000,"&lt;&gt;Done",'Debt Backlog'!$N$2:$N$1000,"&lt;&gt;Won't Fix",'Debt Backlog'!$N$2:$N$1000,"&lt;&gt;Duplicate"))</f>
        <v/>
      </c>
      <c r="AI953" s="103" t="str">
        <f aca="false">IF($B953="","",ROUND(SUMIFS('Debt Backlog'!$L$2:$L$1000,'Debt Backlog'!$AF$2:$AF$1000,$A953,'Debt Backlog'!$B$2:$B$1000,"&lt;&gt;",'Debt Backlog'!$N$2:$N$1000,"&lt;&gt;Done",'Debt Backlog'!$N$2:$N$1000,"&lt;&gt;Won't Fix",'Debt Backlog'!$N$2:$N$1000,"&lt;&gt;Duplicate"),2))</f>
        <v/>
      </c>
    </row>
    <row r="954" customFormat="false" ht="15.75" hidden="false" customHeight="true" outlineLevel="0" collapsed="false">
      <c r="A954" s="125"/>
      <c r="B954" s="101"/>
      <c r="C954" s="101"/>
      <c r="D954" s="101"/>
      <c r="E954" s="101"/>
      <c r="F954" s="101"/>
      <c r="G954" s="101"/>
      <c r="H954" s="101"/>
      <c r="I954" s="106"/>
      <c r="J954" s="106"/>
      <c r="K954" s="106"/>
      <c r="L954" s="106"/>
      <c r="M954" s="106"/>
      <c r="N954" s="103" t="str">
        <f aca="false">IF(OR($B954="", $I954="", $J954="", $K954="", $L954="", $M954=""),"",ROUND(($I954*Lists!$AD$2)+($J954*Lists!$AD$3)+($K954*Lists!$AD$4)+($L954*Lists!$AD$5)+($M954*Lists!$AD$6),2))</f>
        <v/>
      </c>
      <c r="O954" s="103" t="str">
        <f aca="false">IF($A954="","",IFERROR(VLOOKUP($A954,'Risk Register'!$B$2:$I$1000,8,FALSE()),""))</f>
        <v/>
      </c>
      <c r="P954" s="106"/>
      <c r="Q954" s="106"/>
      <c r="R954" s="106"/>
      <c r="S954" s="106"/>
      <c r="T954" s="103" t="str">
        <f aca="false">IF(OR($B954="", $P954="", $Q954="", $R954="", $S954=""),"",ROUND(($P954*Lists!$AD$7)+($Q954*Lists!$AD$8)+($R954*Lists!$AD$9)+($S954*Lists!$AD$10),2))</f>
        <v/>
      </c>
      <c r="U954" s="106"/>
      <c r="V954" s="106"/>
      <c r="W954" s="106"/>
      <c r="X954" s="106"/>
      <c r="Y954" s="106"/>
      <c r="Z954" s="103" t="str">
        <f aca="false">IF(OR($B954="", $U954="", $V954="", $W954="", $X954="", $Y954=""),"",ROUND(($U954*Lists!$AD$11)+($V954*Lists!$AD$12)+($W954*Lists!$AD$13)+($X954*Lists!$AD$14)+($Y954*Lists!$AD$15),2))</f>
        <v/>
      </c>
      <c r="AA954" s="103" t="str">
        <f aca="false">IF(OR($B954="", $N954="", $O954="", $T954="", $Z954=""),"",ROUND(($N954*Lists!$AD$16)-($O954*Lists!$AD$17)-($T954*Lists!$AD$18)+($Z954*Lists!$AD$19),2))</f>
        <v/>
      </c>
      <c r="AB954" s="102" t="str">
        <f aca="false">IF(OR($B954="", $N954="", $Z954=""),"",IF($N954&gt;=Lists!$AG$2,IF($Z954&gt;=Lists!$AG$3,"Invest","Migrate"),IF($Z954&gt;=Lists!$AG$3,"Tolerate","Eliminate")))</f>
        <v/>
      </c>
      <c r="AC954" s="102" t="str">
        <f aca="false">IF($B954="","",IF($J954&gt;=4,"Yes",""))</f>
        <v/>
      </c>
      <c r="AD954" s="102" t="str">
        <f aca="false">IF($A954="","",IFERROR(IF(VLOOKUP($A954,'Risk Register'!$B$2:$H$1000,4,FALSE())&gt;=4,"Yes",""),""))</f>
        <v/>
      </c>
      <c r="AE954" s="102" t="str">
        <f aca="false">IF(OR($N954="", $O954=""),"",IF($N954&gt;=Lists!$AG$2,IF($O954&gt;=Lists!$AG$4,"High Value / High Risk","High Value / Low Risk"),IF($O954&gt;=Lists!$AG$4,"Low Value / High Risk","Low Value / Low Risk")))</f>
        <v/>
      </c>
      <c r="AF954" s="101"/>
      <c r="AG954" s="126"/>
      <c r="AH954" s="106" t="str">
        <f aca="false">IF($B954="","",COUNTIFS('Debt Backlog'!$AF$2:$AF$1000,$A954,'Debt Backlog'!$B$2:$B$1000,"&lt;&gt;",'Debt Backlog'!$N$2:$N$1000,"&lt;&gt;Done",'Debt Backlog'!$N$2:$N$1000,"&lt;&gt;Won't Fix",'Debt Backlog'!$N$2:$N$1000,"&lt;&gt;Duplicate"))</f>
        <v/>
      </c>
      <c r="AI954" s="103" t="str">
        <f aca="false">IF($B954="","",ROUND(SUMIFS('Debt Backlog'!$L$2:$L$1000,'Debt Backlog'!$AF$2:$AF$1000,$A954,'Debt Backlog'!$B$2:$B$1000,"&lt;&gt;",'Debt Backlog'!$N$2:$N$1000,"&lt;&gt;Done",'Debt Backlog'!$N$2:$N$1000,"&lt;&gt;Won't Fix",'Debt Backlog'!$N$2:$N$1000,"&lt;&gt;Duplicate"),2))</f>
        <v/>
      </c>
    </row>
    <row r="955" customFormat="false" ht="15.75" hidden="false" customHeight="true" outlineLevel="0" collapsed="false">
      <c r="A955" s="125"/>
      <c r="B955" s="101"/>
      <c r="C955" s="101"/>
      <c r="D955" s="101"/>
      <c r="E955" s="101"/>
      <c r="F955" s="101"/>
      <c r="G955" s="101"/>
      <c r="H955" s="101"/>
      <c r="I955" s="106"/>
      <c r="J955" s="106"/>
      <c r="K955" s="106"/>
      <c r="L955" s="106"/>
      <c r="M955" s="106"/>
      <c r="N955" s="103" t="str">
        <f aca="false">IF(OR($B955="", $I955="", $J955="", $K955="", $L955="", $M955=""),"",ROUND(($I955*Lists!$AD$2)+($J955*Lists!$AD$3)+($K955*Lists!$AD$4)+($L955*Lists!$AD$5)+($M955*Lists!$AD$6),2))</f>
        <v/>
      </c>
      <c r="O955" s="103" t="str">
        <f aca="false">IF($A955="","",IFERROR(VLOOKUP($A955,'Risk Register'!$B$2:$I$1000,8,FALSE()),""))</f>
        <v/>
      </c>
      <c r="P955" s="106"/>
      <c r="Q955" s="106"/>
      <c r="R955" s="106"/>
      <c r="S955" s="106"/>
      <c r="T955" s="103" t="str">
        <f aca="false">IF(OR($B955="", $P955="", $Q955="", $R955="", $S955=""),"",ROUND(($P955*Lists!$AD$7)+($Q955*Lists!$AD$8)+($R955*Lists!$AD$9)+($S955*Lists!$AD$10),2))</f>
        <v/>
      </c>
      <c r="U955" s="106"/>
      <c r="V955" s="106"/>
      <c r="W955" s="106"/>
      <c r="X955" s="106"/>
      <c r="Y955" s="106"/>
      <c r="Z955" s="103" t="str">
        <f aca="false">IF(OR($B955="", $U955="", $V955="", $W955="", $X955="", $Y955=""),"",ROUND(($U955*Lists!$AD$11)+($V955*Lists!$AD$12)+($W955*Lists!$AD$13)+($X955*Lists!$AD$14)+($Y955*Lists!$AD$15),2))</f>
        <v/>
      </c>
      <c r="AA955" s="103" t="str">
        <f aca="false">IF(OR($B955="", $N955="", $O955="", $T955="", $Z955=""),"",ROUND(($N955*Lists!$AD$16)-($O955*Lists!$AD$17)-($T955*Lists!$AD$18)+($Z955*Lists!$AD$19),2))</f>
        <v/>
      </c>
      <c r="AB955" s="102" t="str">
        <f aca="false">IF(OR($B955="", $N955="", $Z955=""),"",IF($N955&gt;=Lists!$AG$2,IF($Z955&gt;=Lists!$AG$3,"Invest","Migrate"),IF($Z955&gt;=Lists!$AG$3,"Tolerate","Eliminate")))</f>
        <v/>
      </c>
      <c r="AC955" s="102" t="str">
        <f aca="false">IF($B955="","",IF($J955&gt;=4,"Yes",""))</f>
        <v/>
      </c>
      <c r="AD955" s="102" t="str">
        <f aca="false">IF($A955="","",IFERROR(IF(VLOOKUP($A955,'Risk Register'!$B$2:$H$1000,4,FALSE())&gt;=4,"Yes",""),""))</f>
        <v/>
      </c>
      <c r="AE955" s="102" t="str">
        <f aca="false">IF(OR($N955="", $O955=""),"",IF($N955&gt;=Lists!$AG$2,IF($O955&gt;=Lists!$AG$4,"High Value / High Risk","High Value / Low Risk"),IF($O955&gt;=Lists!$AG$4,"Low Value / High Risk","Low Value / Low Risk")))</f>
        <v/>
      </c>
      <c r="AF955" s="101"/>
      <c r="AG955" s="126"/>
      <c r="AH955" s="106" t="str">
        <f aca="false">IF($B955="","",COUNTIFS('Debt Backlog'!$AF$2:$AF$1000,$A955,'Debt Backlog'!$B$2:$B$1000,"&lt;&gt;",'Debt Backlog'!$N$2:$N$1000,"&lt;&gt;Done",'Debt Backlog'!$N$2:$N$1000,"&lt;&gt;Won't Fix",'Debt Backlog'!$N$2:$N$1000,"&lt;&gt;Duplicate"))</f>
        <v/>
      </c>
      <c r="AI955" s="103" t="str">
        <f aca="false">IF($B955="","",ROUND(SUMIFS('Debt Backlog'!$L$2:$L$1000,'Debt Backlog'!$AF$2:$AF$1000,$A955,'Debt Backlog'!$B$2:$B$1000,"&lt;&gt;",'Debt Backlog'!$N$2:$N$1000,"&lt;&gt;Done",'Debt Backlog'!$N$2:$N$1000,"&lt;&gt;Won't Fix",'Debt Backlog'!$N$2:$N$1000,"&lt;&gt;Duplicate"),2))</f>
        <v/>
      </c>
    </row>
    <row r="956" customFormat="false" ht="15.75" hidden="false" customHeight="true" outlineLevel="0" collapsed="false">
      <c r="A956" s="125"/>
      <c r="B956" s="101"/>
      <c r="C956" s="101"/>
      <c r="D956" s="101"/>
      <c r="E956" s="101"/>
      <c r="F956" s="101"/>
      <c r="G956" s="101"/>
      <c r="H956" s="101"/>
      <c r="I956" s="106"/>
      <c r="J956" s="106"/>
      <c r="K956" s="106"/>
      <c r="L956" s="106"/>
      <c r="M956" s="106"/>
      <c r="N956" s="103" t="str">
        <f aca="false">IF(OR($B956="", $I956="", $J956="", $K956="", $L956="", $M956=""),"",ROUND(($I956*Lists!$AD$2)+($J956*Lists!$AD$3)+($K956*Lists!$AD$4)+($L956*Lists!$AD$5)+($M956*Lists!$AD$6),2))</f>
        <v/>
      </c>
      <c r="O956" s="103" t="str">
        <f aca="false">IF($A956="","",IFERROR(VLOOKUP($A956,'Risk Register'!$B$2:$I$1000,8,FALSE()),""))</f>
        <v/>
      </c>
      <c r="P956" s="106"/>
      <c r="Q956" s="106"/>
      <c r="R956" s="106"/>
      <c r="S956" s="106"/>
      <c r="T956" s="103" t="str">
        <f aca="false">IF(OR($B956="", $P956="", $Q956="", $R956="", $S956=""),"",ROUND(($P956*Lists!$AD$7)+($Q956*Lists!$AD$8)+($R956*Lists!$AD$9)+($S956*Lists!$AD$10),2))</f>
        <v/>
      </c>
      <c r="U956" s="106"/>
      <c r="V956" s="106"/>
      <c r="W956" s="106"/>
      <c r="X956" s="106"/>
      <c r="Y956" s="106"/>
      <c r="Z956" s="103" t="str">
        <f aca="false">IF(OR($B956="", $U956="", $V956="", $W956="", $X956="", $Y956=""),"",ROUND(($U956*Lists!$AD$11)+($V956*Lists!$AD$12)+($W956*Lists!$AD$13)+($X956*Lists!$AD$14)+($Y956*Lists!$AD$15),2))</f>
        <v/>
      </c>
      <c r="AA956" s="103" t="str">
        <f aca="false">IF(OR($B956="", $N956="", $O956="", $T956="", $Z956=""),"",ROUND(($N956*Lists!$AD$16)-($O956*Lists!$AD$17)-($T956*Lists!$AD$18)+($Z956*Lists!$AD$19),2))</f>
        <v/>
      </c>
      <c r="AB956" s="102" t="str">
        <f aca="false">IF(OR($B956="", $N956="", $Z956=""),"",IF($N956&gt;=Lists!$AG$2,IF($Z956&gt;=Lists!$AG$3,"Invest","Migrate"),IF($Z956&gt;=Lists!$AG$3,"Tolerate","Eliminate")))</f>
        <v/>
      </c>
      <c r="AC956" s="102" t="str">
        <f aca="false">IF($B956="","",IF($J956&gt;=4,"Yes",""))</f>
        <v/>
      </c>
      <c r="AD956" s="102" t="str">
        <f aca="false">IF($A956="","",IFERROR(IF(VLOOKUP($A956,'Risk Register'!$B$2:$H$1000,4,FALSE())&gt;=4,"Yes",""),""))</f>
        <v/>
      </c>
      <c r="AE956" s="102" t="str">
        <f aca="false">IF(OR($N956="", $O956=""),"",IF($N956&gt;=Lists!$AG$2,IF($O956&gt;=Lists!$AG$4,"High Value / High Risk","High Value / Low Risk"),IF($O956&gt;=Lists!$AG$4,"Low Value / High Risk","Low Value / Low Risk")))</f>
        <v/>
      </c>
      <c r="AF956" s="101"/>
      <c r="AG956" s="126"/>
      <c r="AH956" s="106" t="str">
        <f aca="false">IF($B956="","",COUNTIFS('Debt Backlog'!$AF$2:$AF$1000,$A956,'Debt Backlog'!$B$2:$B$1000,"&lt;&gt;",'Debt Backlog'!$N$2:$N$1000,"&lt;&gt;Done",'Debt Backlog'!$N$2:$N$1000,"&lt;&gt;Won't Fix",'Debt Backlog'!$N$2:$N$1000,"&lt;&gt;Duplicate"))</f>
        <v/>
      </c>
      <c r="AI956" s="103" t="str">
        <f aca="false">IF($B956="","",ROUND(SUMIFS('Debt Backlog'!$L$2:$L$1000,'Debt Backlog'!$AF$2:$AF$1000,$A956,'Debt Backlog'!$B$2:$B$1000,"&lt;&gt;",'Debt Backlog'!$N$2:$N$1000,"&lt;&gt;Done",'Debt Backlog'!$N$2:$N$1000,"&lt;&gt;Won't Fix",'Debt Backlog'!$N$2:$N$1000,"&lt;&gt;Duplicate"),2))</f>
        <v/>
      </c>
    </row>
    <row r="957" customFormat="false" ht="15.75" hidden="false" customHeight="true" outlineLevel="0" collapsed="false">
      <c r="A957" s="125"/>
      <c r="B957" s="101"/>
      <c r="C957" s="101"/>
      <c r="D957" s="101"/>
      <c r="E957" s="101"/>
      <c r="F957" s="101"/>
      <c r="G957" s="101"/>
      <c r="H957" s="101"/>
      <c r="I957" s="106"/>
      <c r="J957" s="106"/>
      <c r="K957" s="106"/>
      <c r="L957" s="106"/>
      <c r="M957" s="106"/>
      <c r="N957" s="103" t="str">
        <f aca="false">IF(OR($B957="", $I957="", $J957="", $K957="", $L957="", $M957=""),"",ROUND(($I957*Lists!$AD$2)+($J957*Lists!$AD$3)+($K957*Lists!$AD$4)+($L957*Lists!$AD$5)+($M957*Lists!$AD$6),2))</f>
        <v/>
      </c>
      <c r="O957" s="103" t="str">
        <f aca="false">IF($A957="","",IFERROR(VLOOKUP($A957,'Risk Register'!$B$2:$I$1000,8,FALSE()),""))</f>
        <v/>
      </c>
      <c r="P957" s="106"/>
      <c r="Q957" s="106"/>
      <c r="R957" s="106"/>
      <c r="S957" s="106"/>
      <c r="T957" s="103" t="str">
        <f aca="false">IF(OR($B957="", $P957="", $Q957="", $R957="", $S957=""),"",ROUND(($P957*Lists!$AD$7)+($Q957*Lists!$AD$8)+($R957*Lists!$AD$9)+($S957*Lists!$AD$10),2))</f>
        <v/>
      </c>
      <c r="U957" s="106"/>
      <c r="V957" s="106"/>
      <c r="W957" s="106"/>
      <c r="X957" s="106"/>
      <c r="Y957" s="106"/>
      <c r="Z957" s="103" t="str">
        <f aca="false">IF(OR($B957="", $U957="", $V957="", $W957="", $X957="", $Y957=""),"",ROUND(($U957*Lists!$AD$11)+($V957*Lists!$AD$12)+($W957*Lists!$AD$13)+($X957*Lists!$AD$14)+($Y957*Lists!$AD$15),2))</f>
        <v/>
      </c>
      <c r="AA957" s="103" t="str">
        <f aca="false">IF(OR($B957="", $N957="", $O957="", $T957="", $Z957=""),"",ROUND(($N957*Lists!$AD$16)-($O957*Lists!$AD$17)-($T957*Lists!$AD$18)+($Z957*Lists!$AD$19),2))</f>
        <v/>
      </c>
      <c r="AB957" s="102" t="str">
        <f aca="false">IF(OR($B957="", $N957="", $Z957=""),"",IF($N957&gt;=Lists!$AG$2,IF($Z957&gt;=Lists!$AG$3,"Invest","Migrate"),IF($Z957&gt;=Lists!$AG$3,"Tolerate","Eliminate")))</f>
        <v/>
      </c>
      <c r="AC957" s="102" t="str">
        <f aca="false">IF($B957="","",IF($J957&gt;=4,"Yes",""))</f>
        <v/>
      </c>
      <c r="AD957" s="102" t="str">
        <f aca="false">IF($A957="","",IFERROR(IF(VLOOKUP($A957,'Risk Register'!$B$2:$H$1000,4,FALSE())&gt;=4,"Yes",""),""))</f>
        <v/>
      </c>
      <c r="AE957" s="102" t="str">
        <f aca="false">IF(OR($N957="", $O957=""),"",IF($N957&gt;=Lists!$AG$2,IF($O957&gt;=Lists!$AG$4,"High Value / High Risk","High Value / Low Risk"),IF($O957&gt;=Lists!$AG$4,"Low Value / High Risk","Low Value / Low Risk")))</f>
        <v/>
      </c>
      <c r="AF957" s="101"/>
      <c r="AG957" s="126"/>
      <c r="AH957" s="106" t="str">
        <f aca="false">IF($B957="","",COUNTIFS('Debt Backlog'!$AF$2:$AF$1000,$A957,'Debt Backlog'!$B$2:$B$1000,"&lt;&gt;",'Debt Backlog'!$N$2:$N$1000,"&lt;&gt;Done",'Debt Backlog'!$N$2:$N$1000,"&lt;&gt;Won't Fix",'Debt Backlog'!$N$2:$N$1000,"&lt;&gt;Duplicate"))</f>
        <v/>
      </c>
      <c r="AI957" s="103" t="str">
        <f aca="false">IF($B957="","",ROUND(SUMIFS('Debt Backlog'!$L$2:$L$1000,'Debt Backlog'!$AF$2:$AF$1000,$A957,'Debt Backlog'!$B$2:$B$1000,"&lt;&gt;",'Debt Backlog'!$N$2:$N$1000,"&lt;&gt;Done",'Debt Backlog'!$N$2:$N$1000,"&lt;&gt;Won't Fix",'Debt Backlog'!$N$2:$N$1000,"&lt;&gt;Duplicate"),2))</f>
        <v/>
      </c>
    </row>
    <row r="958" customFormat="false" ht="15.75" hidden="false" customHeight="true" outlineLevel="0" collapsed="false">
      <c r="A958" s="125"/>
      <c r="B958" s="101"/>
      <c r="C958" s="101"/>
      <c r="D958" s="101"/>
      <c r="E958" s="101"/>
      <c r="F958" s="101"/>
      <c r="G958" s="101"/>
      <c r="H958" s="101"/>
      <c r="I958" s="106"/>
      <c r="J958" s="106"/>
      <c r="K958" s="106"/>
      <c r="L958" s="106"/>
      <c r="M958" s="106"/>
      <c r="N958" s="103" t="str">
        <f aca="false">IF(OR($B958="", $I958="", $J958="", $K958="", $L958="", $M958=""),"",ROUND(($I958*Lists!$AD$2)+($J958*Lists!$AD$3)+($K958*Lists!$AD$4)+($L958*Lists!$AD$5)+($M958*Lists!$AD$6),2))</f>
        <v/>
      </c>
      <c r="O958" s="103" t="str">
        <f aca="false">IF($A958="","",IFERROR(VLOOKUP($A958,'Risk Register'!$B$2:$I$1000,8,FALSE()),""))</f>
        <v/>
      </c>
      <c r="P958" s="106"/>
      <c r="Q958" s="106"/>
      <c r="R958" s="106"/>
      <c r="S958" s="106"/>
      <c r="T958" s="103" t="str">
        <f aca="false">IF(OR($B958="", $P958="", $Q958="", $R958="", $S958=""),"",ROUND(($P958*Lists!$AD$7)+($Q958*Lists!$AD$8)+($R958*Lists!$AD$9)+($S958*Lists!$AD$10),2))</f>
        <v/>
      </c>
      <c r="U958" s="106"/>
      <c r="V958" s="106"/>
      <c r="W958" s="106"/>
      <c r="X958" s="106"/>
      <c r="Y958" s="106"/>
      <c r="Z958" s="103" t="str">
        <f aca="false">IF(OR($B958="", $U958="", $V958="", $W958="", $X958="", $Y958=""),"",ROUND(($U958*Lists!$AD$11)+($V958*Lists!$AD$12)+($W958*Lists!$AD$13)+($X958*Lists!$AD$14)+($Y958*Lists!$AD$15),2))</f>
        <v/>
      </c>
      <c r="AA958" s="103" t="str">
        <f aca="false">IF(OR($B958="", $N958="", $O958="", $T958="", $Z958=""),"",ROUND(($N958*Lists!$AD$16)-($O958*Lists!$AD$17)-($T958*Lists!$AD$18)+($Z958*Lists!$AD$19),2))</f>
        <v/>
      </c>
      <c r="AB958" s="102" t="str">
        <f aca="false">IF(OR($B958="", $N958="", $Z958=""),"",IF($N958&gt;=Lists!$AG$2,IF($Z958&gt;=Lists!$AG$3,"Invest","Migrate"),IF($Z958&gt;=Lists!$AG$3,"Tolerate","Eliminate")))</f>
        <v/>
      </c>
      <c r="AC958" s="102" t="str">
        <f aca="false">IF($B958="","",IF($J958&gt;=4,"Yes",""))</f>
        <v/>
      </c>
      <c r="AD958" s="102" t="str">
        <f aca="false">IF($A958="","",IFERROR(IF(VLOOKUP($A958,'Risk Register'!$B$2:$H$1000,4,FALSE())&gt;=4,"Yes",""),""))</f>
        <v/>
      </c>
      <c r="AE958" s="102" t="str">
        <f aca="false">IF(OR($N958="", $O958=""),"",IF($N958&gt;=Lists!$AG$2,IF($O958&gt;=Lists!$AG$4,"High Value / High Risk","High Value / Low Risk"),IF($O958&gt;=Lists!$AG$4,"Low Value / High Risk","Low Value / Low Risk")))</f>
        <v/>
      </c>
      <c r="AF958" s="101"/>
      <c r="AG958" s="126"/>
      <c r="AH958" s="106" t="str">
        <f aca="false">IF($B958="","",COUNTIFS('Debt Backlog'!$AF$2:$AF$1000,$A958,'Debt Backlog'!$B$2:$B$1000,"&lt;&gt;",'Debt Backlog'!$N$2:$N$1000,"&lt;&gt;Done",'Debt Backlog'!$N$2:$N$1000,"&lt;&gt;Won't Fix",'Debt Backlog'!$N$2:$N$1000,"&lt;&gt;Duplicate"))</f>
        <v/>
      </c>
      <c r="AI958" s="103" t="str">
        <f aca="false">IF($B958="","",ROUND(SUMIFS('Debt Backlog'!$L$2:$L$1000,'Debt Backlog'!$AF$2:$AF$1000,$A958,'Debt Backlog'!$B$2:$B$1000,"&lt;&gt;",'Debt Backlog'!$N$2:$N$1000,"&lt;&gt;Done",'Debt Backlog'!$N$2:$N$1000,"&lt;&gt;Won't Fix",'Debt Backlog'!$N$2:$N$1000,"&lt;&gt;Duplicate"),2))</f>
        <v/>
      </c>
    </row>
    <row r="959" customFormat="false" ht="15.75" hidden="false" customHeight="true" outlineLevel="0" collapsed="false">
      <c r="A959" s="125"/>
      <c r="B959" s="101"/>
      <c r="C959" s="101"/>
      <c r="D959" s="101"/>
      <c r="E959" s="101"/>
      <c r="F959" s="101"/>
      <c r="G959" s="101"/>
      <c r="H959" s="101"/>
      <c r="I959" s="106"/>
      <c r="J959" s="106"/>
      <c r="K959" s="106"/>
      <c r="L959" s="106"/>
      <c r="M959" s="106"/>
      <c r="N959" s="103" t="str">
        <f aca="false">IF(OR($B959="", $I959="", $J959="", $K959="", $L959="", $M959=""),"",ROUND(($I959*Lists!$AD$2)+($J959*Lists!$AD$3)+($K959*Lists!$AD$4)+($L959*Lists!$AD$5)+($M959*Lists!$AD$6),2))</f>
        <v/>
      </c>
      <c r="O959" s="103" t="str">
        <f aca="false">IF($A959="","",IFERROR(VLOOKUP($A959,'Risk Register'!$B$2:$I$1000,8,FALSE()),""))</f>
        <v/>
      </c>
      <c r="P959" s="106"/>
      <c r="Q959" s="106"/>
      <c r="R959" s="106"/>
      <c r="S959" s="106"/>
      <c r="T959" s="103" t="str">
        <f aca="false">IF(OR($B959="", $P959="", $Q959="", $R959="", $S959=""),"",ROUND(($P959*Lists!$AD$7)+($Q959*Lists!$AD$8)+($R959*Lists!$AD$9)+($S959*Lists!$AD$10),2))</f>
        <v/>
      </c>
      <c r="U959" s="106"/>
      <c r="V959" s="106"/>
      <c r="W959" s="106"/>
      <c r="X959" s="106"/>
      <c r="Y959" s="106"/>
      <c r="Z959" s="103" t="str">
        <f aca="false">IF(OR($B959="", $U959="", $V959="", $W959="", $X959="", $Y959=""),"",ROUND(($U959*Lists!$AD$11)+($V959*Lists!$AD$12)+($W959*Lists!$AD$13)+($X959*Lists!$AD$14)+($Y959*Lists!$AD$15),2))</f>
        <v/>
      </c>
      <c r="AA959" s="103" t="str">
        <f aca="false">IF(OR($B959="", $N959="", $O959="", $T959="", $Z959=""),"",ROUND(($N959*Lists!$AD$16)-($O959*Lists!$AD$17)-($T959*Lists!$AD$18)+($Z959*Lists!$AD$19),2))</f>
        <v/>
      </c>
      <c r="AB959" s="102" t="str">
        <f aca="false">IF(OR($B959="", $N959="", $Z959=""),"",IF($N959&gt;=Lists!$AG$2,IF($Z959&gt;=Lists!$AG$3,"Invest","Migrate"),IF($Z959&gt;=Lists!$AG$3,"Tolerate","Eliminate")))</f>
        <v/>
      </c>
      <c r="AC959" s="102" t="str">
        <f aca="false">IF($B959="","",IF($J959&gt;=4,"Yes",""))</f>
        <v/>
      </c>
      <c r="AD959" s="102" t="str">
        <f aca="false">IF($A959="","",IFERROR(IF(VLOOKUP($A959,'Risk Register'!$B$2:$H$1000,4,FALSE())&gt;=4,"Yes",""),""))</f>
        <v/>
      </c>
      <c r="AE959" s="102" t="str">
        <f aca="false">IF(OR($N959="", $O959=""),"",IF($N959&gt;=Lists!$AG$2,IF($O959&gt;=Lists!$AG$4,"High Value / High Risk","High Value / Low Risk"),IF($O959&gt;=Lists!$AG$4,"Low Value / High Risk","Low Value / Low Risk")))</f>
        <v/>
      </c>
      <c r="AF959" s="101"/>
      <c r="AG959" s="126"/>
      <c r="AH959" s="106" t="str">
        <f aca="false">IF($B959="","",COUNTIFS('Debt Backlog'!$AF$2:$AF$1000,$A959,'Debt Backlog'!$B$2:$B$1000,"&lt;&gt;",'Debt Backlog'!$N$2:$N$1000,"&lt;&gt;Done",'Debt Backlog'!$N$2:$N$1000,"&lt;&gt;Won't Fix",'Debt Backlog'!$N$2:$N$1000,"&lt;&gt;Duplicate"))</f>
        <v/>
      </c>
      <c r="AI959" s="103" t="str">
        <f aca="false">IF($B959="","",ROUND(SUMIFS('Debt Backlog'!$L$2:$L$1000,'Debt Backlog'!$AF$2:$AF$1000,$A959,'Debt Backlog'!$B$2:$B$1000,"&lt;&gt;",'Debt Backlog'!$N$2:$N$1000,"&lt;&gt;Done",'Debt Backlog'!$N$2:$N$1000,"&lt;&gt;Won't Fix",'Debt Backlog'!$N$2:$N$1000,"&lt;&gt;Duplicate"),2))</f>
        <v/>
      </c>
    </row>
    <row r="960" customFormat="false" ht="15.75" hidden="false" customHeight="true" outlineLevel="0" collapsed="false">
      <c r="A960" s="125"/>
      <c r="B960" s="101"/>
      <c r="C960" s="101"/>
      <c r="D960" s="101"/>
      <c r="E960" s="101"/>
      <c r="F960" s="101"/>
      <c r="G960" s="101"/>
      <c r="H960" s="101"/>
      <c r="I960" s="106"/>
      <c r="J960" s="106"/>
      <c r="K960" s="106"/>
      <c r="L960" s="106"/>
      <c r="M960" s="106"/>
      <c r="N960" s="103" t="str">
        <f aca="false">IF(OR($B960="", $I960="", $J960="", $K960="", $L960="", $M960=""),"",ROUND(($I960*Lists!$AD$2)+($J960*Lists!$AD$3)+($K960*Lists!$AD$4)+($L960*Lists!$AD$5)+($M960*Lists!$AD$6),2))</f>
        <v/>
      </c>
      <c r="O960" s="103" t="str">
        <f aca="false">IF($A960="","",IFERROR(VLOOKUP($A960,'Risk Register'!$B$2:$I$1000,8,FALSE()),""))</f>
        <v/>
      </c>
      <c r="P960" s="106"/>
      <c r="Q960" s="106"/>
      <c r="R960" s="106"/>
      <c r="S960" s="106"/>
      <c r="T960" s="103" t="str">
        <f aca="false">IF(OR($B960="", $P960="", $Q960="", $R960="", $S960=""),"",ROUND(($P960*Lists!$AD$7)+($Q960*Lists!$AD$8)+($R960*Lists!$AD$9)+($S960*Lists!$AD$10),2))</f>
        <v/>
      </c>
      <c r="U960" s="106"/>
      <c r="V960" s="106"/>
      <c r="W960" s="106"/>
      <c r="X960" s="106"/>
      <c r="Y960" s="106"/>
      <c r="Z960" s="103" t="str">
        <f aca="false">IF(OR($B960="", $U960="", $V960="", $W960="", $X960="", $Y960=""),"",ROUND(($U960*Lists!$AD$11)+($V960*Lists!$AD$12)+($W960*Lists!$AD$13)+($X960*Lists!$AD$14)+($Y960*Lists!$AD$15),2))</f>
        <v/>
      </c>
      <c r="AA960" s="103" t="str">
        <f aca="false">IF(OR($B960="", $N960="", $O960="", $T960="", $Z960=""),"",ROUND(($N960*Lists!$AD$16)-($O960*Lists!$AD$17)-($T960*Lists!$AD$18)+($Z960*Lists!$AD$19),2))</f>
        <v/>
      </c>
      <c r="AB960" s="102" t="str">
        <f aca="false">IF(OR($B960="", $N960="", $Z960=""),"",IF($N960&gt;=Lists!$AG$2,IF($Z960&gt;=Lists!$AG$3,"Invest","Migrate"),IF($Z960&gt;=Lists!$AG$3,"Tolerate","Eliminate")))</f>
        <v/>
      </c>
      <c r="AC960" s="102" t="str">
        <f aca="false">IF($B960="","",IF($J960&gt;=4,"Yes",""))</f>
        <v/>
      </c>
      <c r="AD960" s="102" t="str">
        <f aca="false">IF($A960="","",IFERROR(IF(VLOOKUP($A960,'Risk Register'!$B$2:$H$1000,4,FALSE())&gt;=4,"Yes",""),""))</f>
        <v/>
      </c>
      <c r="AE960" s="102" t="str">
        <f aca="false">IF(OR($N960="", $O960=""),"",IF($N960&gt;=Lists!$AG$2,IF($O960&gt;=Lists!$AG$4,"High Value / High Risk","High Value / Low Risk"),IF($O960&gt;=Lists!$AG$4,"Low Value / High Risk","Low Value / Low Risk")))</f>
        <v/>
      </c>
      <c r="AF960" s="101"/>
      <c r="AG960" s="126"/>
      <c r="AH960" s="106" t="str">
        <f aca="false">IF($B960="","",COUNTIFS('Debt Backlog'!$AF$2:$AF$1000,$A960,'Debt Backlog'!$B$2:$B$1000,"&lt;&gt;",'Debt Backlog'!$N$2:$N$1000,"&lt;&gt;Done",'Debt Backlog'!$N$2:$N$1000,"&lt;&gt;Won't Fix",'Debt Backlog'!$N$2:$N$1000,"&lt;&gt;Duplicate"))</f>
        <v/>
      </c>
      <c r="AI960" s="103" t="str">
        <f aca="false">IF($B960="","",ROUND(SUMIFS('Debt Backlog'!$L$2:$L$1000,'Debt Backlog'!$AF$2:$AF$1000,$A960,'Debt Backlog'!$B$2:$B$1000,"&lt;&gt;",'Debt Backlog'!$N$2:$N$1000,"&lt;&gt;Done",'Debt Backlog'!$N$2:$N$1000,"&lt;&gt;Won't Fix",'Debt Backlog'!$N$2:$N$1000,"&lt;&gt;Duplicate"),2))</f>
        <v/>
      </c>
    </row>
    <row r="961" customFormat="false" ht="15.75" hidden="false" customHeight="true" outlineLevel="0" collapsed="false">
      <c r="A961" s="125"/>
      <c r="B961" s="101"/>
      <c r="C961" s="101"/>
      <c r="D961" s="101"/>
      <c r="E961" s="101"/>
      <c r="F961" s="101"/>
      <c r="G961" s="101"/>
      <c r="H961" s="101"/>
      <c r="I961" s="106"/>
      <c r="J961" s="106"/>
      <c r="K961" s="106"/>
      <c r="L961" s="106"/>
      <c r="M961" s="106"/>
      <c r="N961" s="103" t="str">
        <f aca="false">IF(OR($B961="", $I961="", $J961="", $K961="", $L961="", $M961=""),"",ROUND(($I961*Lists!$AD$2)+($J961*Lists!$AD$3)+($K961*Lists!$AD$4)+($L961*Lists!$AD$5)+($M961*Lists!$AD$6),2))</f>
        <v/>
      </c>
      <c r="O961" s="103" t="str">
        <f aca="false">IF($A961="","",IFERROR(VLOOKUP($A961,'Risk Register'!$B$2:$I$1000,8,FALSE()),""))</f>
        <v/>
      </c>
      <c r="P961" s="106"/>
      <c r="Q961" s="106"/>
      <c r="R961" s="106"/>
      <c r="S961" s="106"/>
      <c r="T961" s="103" t="str">
        <f aca="false">IF(OR($B961="", $P961="", $Q961="", $R961="", $S961=""),"",ROUND(($P961*Lists!$AD$7)+($Q961*Lists!$AD$8)+($R961*Lists!$AD$9)+($S961*Lists!$AD$10),2))</f>
        <v/>
      </c>
      <c r="U961" s="106"/>
      <c r="V961" s="106"/>
      <c r="W961" s="106"/>
      <c r="X961" s="106"/>
      <c r="Y961" s="106"/>
      <c r="Z961" s="103" t="str">
        <f aca="false">IF(OR($B961="", $U961="", $V961="", $W961="", $X961="", $Y961=""),"",ROUND(($U961*Lists!$AD$11)+($V961*Lists!$AD$12)+($W961*Lists!$AD$13)+($X961*Lists!$AD$14)+($Y961*Lists!$AD$15),2))</f>
        <v/>
      </c>
      <c r="AA961" s="103" t="str">
        <f aca="false">IF(OR($B961="", $N961="", $O961="", $T961="", $Z961=""),"",ROUND(($N961*Lists!$AD$16)-($O961*Lists!$AD$17)-($T961*Lists!$AD$18)+($Z961*Lists!$AD$19),2))</f>
        <v/>
      </c>
      <c r="AB961" s="102" t="str">
        <f aca="false">IF(OR($B961="", $N961="", $Z961=""),"",IF($N961&gt;=Lists!$AG$2,IF($Z961&gt;=Lists!$AG$3,"Invest","Migrate"),IF($Z961&gt;=Lists!$AG$3,"Tolerate","Eliminate")))</f>
        <v/>
      </c>
      <c r="AC961" s="102" t="str">
        <f aca="false">IF($B961="","",IF($J961&gt;=4,"Yes",""))</f>
        <v/>
      </c>
      <c r="AD961" s="102" t="str">
        <f aca="false">IF($A961="","",IFERROR(IF(VLOOKUP($A961,'Risk Register'!$B$2:$H$1000,4,FALSE())&gt;=4,"Yes",""),""))</f>
        <v/>
      </c>
      <c r="AE961" s="102" t="str">
        <f aca="false">IF(OR($N961="", $O961=""),"",IF($N961&gt;=Lists!$AG$2,IF($O961&gt;=Lists!$AG$4,"High Value / High Risk","High Value / Low Risk"),IF($O961&gt;=Lists!$AG$4,"Low Value / High Risk","Low Value / Low Risk")))</f>
        <v/>
      </c>
      <c r="AF961" s="101"/>
      <c r="AG961" s="126"/>
      <c r="AH961" s="106" t="str">
        <f aca="false">IF($B961="","",COUNTIFS('Debt Backlog'!$AF$2:$AF$1000,$A961,'Debt Backlog'!$B$2:$B$1000,"&lt;&gt;",'Debt Backlog'!$N$2:$N$1000,"&lt;&gt;Done",'Debt Backlog'!$N$2:$N$1000,"&lt;&gt;Won't Fix",'Debt Backlog'!$N$2:$N$1000,"&lt;&gt;Duplicate"))</f>
        <v/>
      </c>
      <c r="AI961" s="103" t="str">
        <f aca="false">IF($B961="","",ROUND(SUMIFS('Debt Backlog'!$L$2:$L$1000,'Debt Backlog'!$AF$2:$AF$1000,$A961,'Debt Backlog'!$B$2:$B$1000,"&lt;&gt;",'Debt Backlog'!$N$2:$N$1000,"&lt;&gt;Done",'Debt Backlog'!$N$2:$N$1000,"&lt;&gt;Won't Fix",'Debt Backlog'!$N$2:$N$1000,"&lt;&gt;Duplicate"),2))</f>
        <v/>
      </c>
    </row>
    <row r="962" customFormat="false" ht="15.75" hidden="false" customHeight="true" outlineLevel="0" collapsed="false">
      <c r="A962" s="125"/>
      <c r="B962" s="101"/>
      <c r="C962" s="101"/>
      <c r="D962" s="101"/>
      <c r="E962" s="101"/>
      <c r="F962" s="101"/>
      <c r="G962" s="101"/>
      <c r="H962" s="101"/>
      <c r="I962" s="106"/>
      <c r="J962" s="106"/>
      <c r="K962" s="106"/>
      <c r="L962" s="106"/>
      <c r="M962" s="106"/>
      <c r="N962" s="103" t="str">
        <f aca="false">IF(OR($B962="", $I962="", $J962="", $K962="", $L962="", $M962=""),"",ROUND(($I962*Lists!$AD$2)+($J962*Lists!$AD$3)+($K962*Lists!$AD$4)+($L962*Lists!$AD$5)+($M962*Lists!$AD$6),2))</f>
        <v/>
      </c>
      <c r="O962" s="103" t="str">
        <f aca="false">IF($A962="","",IFERROR(VLOOKUP($A962,'Risk Register'!$B$2:$I$1000,8,FALSE()),""))</f>
        <v/>
      </c>
      <c r="P962" s="106"/>
      <c r="Q962" s="106"/>
      <c r="R962" s="106"/>
      <c r="S962" s="106"/>
      <c r="T962" s="103" t="str">
        <f aca="false">IF(OR($B962="", $P962="", $Q962="", $R962="", $S962=""),"",ROUND(($P962*Lists!$AD$7)+($Q962*Lists!$AD$8)+($R962*Lists!$AD$9)+($S962*Lists!$AD$10),2))</f>
        <v/>
      </c>
      <c r="U962" s="106"/>
      <c r="V962" s="106"/>
      <c r="W962" s="106"/>
      <c r="X962" s="106"/>
      <c r="Y962" s="106"/>
      <c r="Z962" s="103" t="str">
        <f aca="false">IF(OR($B962="", $U962="", $V962="", $W962="", $X962="", $Y962=""),"",ROUND(($U962*Lists!$AD$11)+($V962*Lists!$AD$12)+($W962*Lists!$AD$13)+($X962*Lists!$AD$14)+($Y962*Lists!$AD$15),2))</f>
        <v/>
      </c>
      <c r="AA962" s="103" t="str">
        <f aca="false">IF(OR($B962="", $N962="", $O962="", $T962="", $Z962=""),"",ROUND(($N962*Lists!$AD$16)-($O962*Lists!$AD$17)-($T962*Lists!$AD$18)+($Z962*Lists!$AD$19),2))</f>
        <v/>
      </c>
      <c r="AB962" s="102" t="str">
        <f aca="false">IF(OR($B962="", $N962="", $Z962=""),"",IF($N962&gt;=Lists!$AG$2,IF($Z962&gt;=Lists!$AG$3,"Invest","Migrate"),IF($Z962&gt;=Lists!$AG$3,"Tolerate","Eliminate")))</f>
        <v/>
      </c>
      <c r="AC962" s="102" t="str">
        <f aca="false">IF($B962="","",IF($J962&gt;=4,"Yes",""))</f>
        <v/>
      </c>
      <c r="AD962" s="102" t="str">
        <f aca="false">IF($A962="","",IFERROR(IF(VLOOKUP($A962,'Risk Register'!$B$2:$H$1000,4,FALSE())&gt;=4,"Yes",""),""))</f>
        <v/>
      </c>
      <c r="AE962" s="102" t="str">
        <f aca="false">IF(OR($N962="", $O962=""),"",IF($N962&gt;=Lists!$AG$2,IF($O962&gt;=Lists!$AG$4,"High Value / High Risk","High Value / Low Risk"),IF($O962&gt;=Lists!$AG$4,"Low Value / High Risk","Low Value / Low Risk")))</f>
        <v/>
      </c>
      <c r="AF962" s="101"/>
      <c r="AG962" s="126"/>
      <c r="AH962" s="106" t="str">
        <f aca="false">IF($B962="","",COUNTIFS('Debt Backlog'!$AF$2:$AF$1000,$A962,'Debt Backlog'!$B$2:$B$1000,"&lt;&gt;",'Debt Backlog'!$N$2:$N$1000,"&lt;&gt;Done",'Debt Backlog'!$N$2:$N$1000,"&lt;&gt;Won't Fix",'Debt Backlog'!$N$2:$N$1000,"&lt;&gt;Duplicate"))</f>
        <v/>
      </c>
      <c r="AI962" s="103" t="str">
        <f aca="false">IF($B962="","",ROUND(SUMIFS('Debt Backlog'!$L$2:$L$1000,'Debt Backlog'!$AF$2:$AF$1000,$A962,'Debt Backlog'!$B$2:$B$1000,"&lt;&gt;",'Debt Backlog'!$N$2:$N$1000,"&lt;&gt;Done",'Debt Backlog'!$N$2:$N$1000,"&lt;&gt;Won't Fix",'Debt Backlog'!$N$2:$N$1000,"&lt;&gt;Duplicate"),2))</f>
        <v/>
      </c>
    </row>
    <row r="963" customFormat="false" ht="15.75" hidden="false" customHeight="true" outlineLevel="0" collapsed="false">
      <c r="A963" s="125"/>
      <c r="B963" s="101"/>
      <c r="C963" s="101"/>
      <c r="D963" s="101"/>
      <c r="E963" s="101"/>
      <c r="F963" s="101"/>
      <c r="G963" s="101"/>
      <c r="H963" s="101"/>
      <c r="I963" s="106"/>
      <c r="J963" s="106"/>
      <c r="K963" s="106"/>
      <c r="L963" s="106"/>
      <c r="M963" s="106"/>
      <c r="N963" s="103" t="str">
        <f aca="false">IF(OR($B963="", $I963="", $J963="", $K963="", $L963="", $M963=""),"",ROUND(($I963*Lists!$AD$2)+($J963*Lists!$AD$3)+($K963*Lists!$AD$4)+($L963*Lists!$AD$5)+($M963*Lists!$AD$6),2))</f>
        <v/>
      </c>
      <c r="O963" s="103" t="str">
        <f aca="false">IF($A963="","",IFERROR(VLOOKUP($A963,'Risk Register'!$B$2:$I$1000,8,FALSE()),""))</f>
        <v/>
      </c>
      <c r="P963" s="106"/>
      <c r="Q963" s="106"/>
      <c r="R963" s="106"/>
      <c r="S963" s="106"/>
      <c r="T963" s="103" t="str">
        <f aca="false">IF(OR($B963="", $P963="", $Q963="", $R963="", $S963=""),"",ROUND(($P963*Lists!$AD$7)+($Q963*Lists!$AD$8)+($R963*Lists!$AD$9)+($S963*Lists!$AD$10),2))</f>
        <v/>
      </c>
      <c r="U963" s="106"/>
      <c r="V963" s="106"/>
      <c r="W963" s="106"/>
      <c r="X963" s="106"/>
      <c r="Y963" s="106"/>
      <c r="Z963" s="103" t="str">
        <f aca="false">IF(OR($B963="", $U963="", $V963="", $W963="", $X963="", $Y963=""),"",ROUND(($U963*Lists!$AD$11)+($V963*Lists!$AD$12)+($W963*Lists!$AD$13)+($X963*Lists!$AD$14)+($Y963*Lists!$AD$15),2))</f>
        <v/>
      </c>
      <c r="AA963" s="103" t="str">
        <f aca="false">IF(OR($B963="", $N963="", $O963="", $T963="", $Z963=""),"",ROUND(($N963*Lists!$AD$16)-($O963*Lists!$AD$17)-($T963*Lists!$AD$18)+($Z963*Lists!$AD$19),2))</f>
        <v/>
      </c>
      <c r="AB963" s="102" t="str">
        <f aca="false">IF(OR($B963="", $N963="", $Z963=""),"",IF($N963&gt;=Lists!$AG$2,IF($Z963&gt;=Lists!$AG$3,"Invest","Migrate"),IF($Z963&gt;=Lists!$AG$3,"Tolerate","Eliminate")))</f>
        <v/>
      </c>
      <c r="AC963" s="102" t="str">
        <f aca="false">IF($B963="","",IF($J963&gt;=4,"Yes",""))</f>
        <v/>
      </c>
      <c r="AD963" s="102" t="str">
        <f aca="false">IF($A963="","",IFERROR(IF(VLOOKUP($A963,'Risk Register'!$B$2:$H$1000,4,FALSE())&gt;=4,"Yes",""),""))</f>
        <v/>
      </c>
      <c r="AE963" s="102" t="str">
        <f aca="false">IF(OR($N963="", $O963=""),"",IF($N963&gt;=Lists!$AG$2,IF($O963&gt;=Lists!$AG$4,"High Value / High Risk","High Value / Low Risk"),IF($O963&gt;=Lists!$AG$4,"Low Value / High Risk","Low Value / Low Risk")))</f>
        <v/>
      </c>
      <c r="AF963" s="101"/>
      <c r="AG963" s="126"/>
      <c r="AH963" s="106" t="str">
        <f aca="false">IF($B963="","",COUNTIFS('Debt Backlog'!$AF$2:$AF$1000,$A963,'Debt Backlog'!$B$2:$B$1000,"&lt;&gt;",'Debt Backlog'!$N$2:$N$1000,"&lt;&gt;Done",'Debt Backlog'!$N$2:$N$1000,"&lt;&gt;Won't Fix",'Debt Backlog'!$N$2:$N$1000,"&lt;&gt;Duplicate"))</f>
        <v/>
      </c>
      <c r="AI963" s="103" t="str">
        <f aca="false">IF($B963="","",ROUND(SUMIFS('Debt Backlog'!$L$2:$L$1000,'Debt Backlog'!$AF$2:$AF$1000,$A963,'Debt Backlog'!$B$2:$B$1000,"&lt;&gt;",'Debt Backlog'!$N$2:$N$1000,"&lt;&gt;Done",'Debt Backlog'!$N$2:$N$1000,"&lt;&gt;Won't Fix",'Debt Backlog'!$N$2:$N$1000,"&lt;&gt;Duplicate"),2))</f>
        <v/>
      </c>
    </row>
    <row r="964" customFormat="false" ht="15.75" hidden="false" customHeight="true" outlineLevel="0" collapsed="false">
      <c r="A964" s="125"/>
      <c r="B964" s="101"/>
      <c r="C964" s="101"/>
      <c r="D964" s="101"/>
      <c r="E964" s="101"/>
      <c r="F964" s="101"/>
      <c r="G964" s="101"/>
      <c r="H964" s="101"/>
      <c r="I964" s="106"/>
      <c r="J964" s="106"/>
      <c r="K964" s="106"/>
      <c r="L964" s="106"/>
      <c r="M964" s="106"/>
      <c r="N964" s="103" t="str">
        <f aca="false">IF(OR($B964="", $I964="", $J964="", $K964="", $L964="", $M964=""),"",ROUND(($I964*Lists!$AD$2)+($J964*Lists!$AD$3)+($K964*Lists!$AD$4)+($L964*Lists!$AD$5)+($M964*Lists!$AD$6),2))</f>
        <v/>
      </c>
      <c r="O964" s="103" t="str">
        <f aca="false">IF($A964="","",IFERROR(VLOOKUP($A964,'Risk Register'!$B$2:$I$1000,8,FALSE()),""))</f>
        <v/>
      </c>
      <c r="P964" s="106"/>
      <c r="Q964" s="106"/>
      <c r="R964" s="106"/>
      <c r="S964" s="106"/>
      <c r="T964" s="103" t="str">
        <f aca="false">IF(OR($B964="", $P964="", $Q964="", $R964="", $S964=""),"",ROUND(($P964*Lists!$AD$7)+($Q964*Lists!$AD$8)+($R964*Lists!$AD$9)+($S964*Lists!$AD$10),2))</f>
        <v/>
      </c>
      <c r="U964" s="106"/>
      <c r="V964" s="106"/>
      <c r="W964" s="106"/>
      <c r="X964" s="106"/>
      <c r="Y964" s="106"/>
      <c r="Z964" s="103" t="str">
        <f aca="false">IF(OR($B964="", $U964="", $V964="", $W964="", $X964="", $Y964=""),"",ROUND(($U964*Lists!$AD$11)+($V964*Lists!$AD$12)+($W964*Lists!$AD$13)+($X964*Lists!$AD$14)+($Y964*Lists!$AD$15),2))</f>
        <v/>
      </c>
      <c r="AA964" s="103" t="str">
        <f aca="false">IF(OR($B964="", $N964="", $O964="", $T964="", $Z964=""),"",ROUND(($N964*Lists!$AD$16)-($O964*Lists!$AD$17)-($T964*Lists!$AD$18)+($Z964*Lists!$AD$19),2))</f>
        <v/>
      </c>
      <c r="AB964" s="102" t="str">
        <f aca="false">IF(OR($B964="", $N964="", $Z964=""),"",IF($N964&gt;=Lists!$AG$2,IF($Z964&gt;=Lists!$AG$3,"Invest","Migrate"),IF($Z964&gt;=Lists!$AG$3,"Tolerate","Eliminate")))</f>
        <v/>
      </c>
      <c r="AC964" s="102" t="str">
        <f aca="false">IF($B964="","",IF($J964&gt;=4,"Yes",""))</f>
        <v/>
      </c>
      <c r="AD964" s="102" t="str">
        <f aca="false">IF($A964="","",IFERROR(IF(VLOOKUP($A964,'Risk Register'!$B$2:$H$1000,4,FALSE())&gt;=4,"Yes",""),""))</f>
        <v/>
      </c>
      <c r="AE964" s="102" t="str">
        <f aca="false">IF(OR($N964="", $O964=""),"",IF($N964&gt;=Lists!$AG$2,IF($O964&gt;=Lists!$AG$4,"High Value / High Risk","High Value / Low Risk"),IF($O964&gt;=Lists!$AG$4,"Low Value / High Risk","Low Value / Low Risk")))</f>
        <v/>
      </c>
      <c r="AF964" s="101"/>
      <c r="AG964" s="126"/>
      <c r="AH964" s="106" t="str">
        <f aca="false">IF($B964="","",COUNTIFS('Debt Backlog'!$AF$2:$AF$1000,$A964,'Debt Backlog'!$B$2:$B$1000,"&lt;&gt;",'Debt Backlog'!$N$2:$N$1000,"&lt;&gt;Done",'Debt Backlog'!$N$2:$N$1000,"&lt;&gt;Won't Fix",'Debt Backlog'!$N$2:$N$1000,"&lt;&gt;Duplicate"))</f>
        <v/>
      </c>
      <c r="AI964" s="103" t="str">
        <f aca="false">IF($B964="","",ROUND(SUMIFS('Debt Backlog'!$L$2:$L$1000,'Debt Backlog'!$AF$2:$AF$1000,$A964,'Debt Backlog'!$B$2:$B$1000,"&lt;&gt;",'Debt Backlog'!$N$2:$N$1000,"&lt;&gt;Done",'Debt Backlog'!$N$2:$N$1000,"&lt;&gt;Won't Fix",'Debt Backlog'!$N$2:$N$1000,"&lt;&gt;Duplicate"),2))</f>
        <v/>
      </c>
    </row>
    <row r="965" customFormat="false" ht="15.75" hidden="false" customHeight="true" outlineLevel="0" collapsed="false">
      <c r="A965" s="125"/>
      <c r="B965" s="101"/>
      <c r="C965" s="101"/>
      <c r="D965" s="101"/>
      <c r="E965" s="101"/>
      <c r="F965" s="101"/>
      <c r="G965" s="101"/>
      <c r="H965" s="101"/>
      <c r="I965" s="106"/>
      <c r="J965" s="106"/>
      <c r="K965" s="106"/>
      <c r="L965" s="106"/>
      <c r="M965" s="106"/>
      <c r="N965" s="103" t="str">
        <f aca="false">IF(OR($B965="", $I965="", $J965="", $K965="", $L965="", $M965=""),"",ROUND(($I965*Lists!$AD$2)+($J965*Lists!$AD$3)+($K965*Lists!$AD$4)+($L965*Lists!$AD$5)+($M965*Lists!$AD$6),2))</f>
        <v/>
      </c>
      <c r="O965" s="103" t="str">
        <f aca="false">IF($A965="","",IFERROR(VLOOKUP($A965,'Risk Register'!$B$2:$I$1000,8,FALSE()),""))</f>
        <v/>
      </c>
      <c r="P965" s="106"/>
      <c r="Q965" s="106"/>
      <c r="R965" s="106"/>
      <c r="S965" s="106"/>
      <c r="T965" s="103" t="str">
        <f aca="false">IF(OR($B965="", $P965="", $Q965="", $R965="", $S965=""),"",ROUND(($P965*Lists!$AD$7)+($Q965*Lists!$AD$8)+($R965*Lists!$AD$9)+($S965*Lists!$AD$10),2))</f>
        <v/>
      </c>
      <c r="U965" s="106"/>
      <c r="V965" s="106"/>
      <c r="W965" s="106"/>
      <c r="X965" s="106"/>
      <c r="Y965" s="106"/>
      <c r="Z965" s="103" t="str">
        <f aca="false">IF(OR($B965="", $U965="", $V965="", $W965="", $X965="", $Y965=""),"",ROUND(($U965*Lists!$AD$11)+($V965*Lists!$AD$12)+($W965*Lists!$AD$13)+($X965*Lists!$AD$14)+($Y965*Lists!$AD$15),2))</f>
        <v/>
      </c>
      <c r="AA965" s="103" t="str">
        <f aca="false">IF(OR($B965="", $N965="", $O965="", $T965="", $Z965=""),"",ROUND(($N965*Lists!$AD$16)-($O965*Lists!$AD$17)-($T965*Lists!$AD$18)+($Z965*Lists!$AD$19),2))</f>
        <v/>
      </c>
      <c r="AB965" s="102" t="str">
        <f aca="false">IF(OR($B965="", $N965="", $Z965=""),"",IF($N965&gt;=Lists!$AG$2,IF($Z965&gt;=Lists!$AG$3,"Invest","Migrate"),IF($Z965&gt;=Lists!$AG$3,"Tolerate","Eliminate")))</f>
        <v/>
      </c>
      <c r="AC965" s="102" t="str">
        <f aca="false">IF($B965="","",IF($J965&gt;=4,"Yes",""))</f>
        <v/>
      </c>
      <c r="AD965" s="102" t="str">
        <f aca="false">IF($A965="","",IFERROR(IF(VLOOKUP($A965,'Risk Register'!$B$2:$H$1000,4,FALSE())&gt;=4,"Yes",""),""))</f>
        <v/>
      </c>
      <c r="AE965" s="102" t="str">
        <f aca="false">IF(OR($N965="", $O965=""),"",IF($N965&gt;=Lists!$AG$2,IF($O965&gt;=Lists!$AG$4,"High Value / High Risk","High Value / Low Risk"),IF($O965&gt;=Lists!$AG$4,"Low Value / High Risk","Low Value / Low Risk")))</f>
        <v/>
      </c>
      <c r="AF965" s="101"/>
      <c r="AG965" s="126"/>
      <c r="AH965" s="106" t="str">
        <f aca="false">IF($B965="","",COUNTIFS('Debt Backlog'!$AF$2:$AF$1000,$A965,'Debt Backlog'!$B$2:$B$1000,"&lt;&gt;",'Debt Backlog'!$N$2:$N$1000,"&lt;&gt;Done",'Debt Backlog'!$N$2:$N$1000,"&lt;&gt;Won't Fix",'Debt Backlog'!$N$2:$N$1000,"&lt;&gt;Duplicate"))</f>
        <v/>
      </c>
      <c r="AI965" s="103" t="str">
        <f aca="false">IF($B965="","",ROUND(SUMIFS('Debt Backlog'!$L$2:$L$1000,'Debt Backlog'!$AF$2:$AF$1000,$A965,'Debt Backlog'!$B$2:$B$1000,"&lt;&gt;",'Debt Backlog'!$N$2:$N$1000,"&lt;&gt;Done",'Debt Backlog'!$N$2:$N$1000,"&lt;&gt;Won't Fix",'Debt Backlog'!$N$2:$N$1000,"&lt;&gt;Duplicate"),2))</f>
        <v/>
      </c>
    </row>
    <row r="966" customFormat="false" ht="15.75" hidden="false" customHeight="true" outlineLevel="0" collapsed="false">
      <c r="A966" s="125"/>
      <c r="B966" s="101"/>
      <c r="C966" s="101"/>
      <c r="D966" s="101"/>
      <c r="E966" s="101"/>
      <c r="F966" s="101"/>
      <c r="G966" s="101"/>
      <c r="H966" s="101"/>
      <c r="I966" s="106"/>
      <c r="J966" s="106"/>
      <c r="K966" s="106"/>
      <c r="L966" s="106"/>
      <c r="M966" s="106"/>
      <c r="N966" s="103" t="str">
        <f aca="false">IF(OR($B966="", $I966="", $J966="", $K966="", $L966="", $M966=""),"",ROUND(($I966*Lists!$AD$2)+($J966*Lists!$AD$3)+($K966*Lists!$AD$4)+($L966*Lists!$AD$5)+($M966*Lists!$AD$6),2))</f>
        <v/>
      </c>
      <c r="O966" s="103" t="str">
        <f aca="false">IF($A966="","",IFERROR(VLOOKUP($A966,'Risk Register'!$B$2:$I$1000,8,FALSE()),""))</f>
        <v/>
      </c>
      <c r="P966" s="106"/>
      <c r="Q966" s="106"/>
      <c r="R966" s="106"/>
      <c r="S966" s="106"/>
      <c r="T966" s="103" t="str">
        <f aca="false">IF(OR($B966="", $P966="", $Q966="", $R966="", $S966=""),"",ROUND(($P966*Lists!$AD$7)+($Q966*Lists!$AD$8)+($R966*Lists!$AD$9)+($S966*Lists!$AD$10),2))</f>
        <v/>
      </c>
      <c r="U966" s="106"/>
      <c r="V966" s="106"/>
      <c r="W966" s="106"/>
      <c r="X966" s="106"/>
      <c r="Y966" s="106"/>
      <c r="Z966" s="103" t="str">
        <f aca="false">IF(OR($B966="", $U966="", $V966="", $W966="", $X966="", $Y966=""),"",ROUND(($U966*Lists!$AD$11)+($V966*Lists!$AD$12)+($W966*Lists!$AD$13)+($X966*Lists!$AD$14)+($Y966*Lists!$AD$15),2))</f>
        <v/>
      </c>
      <c r="AA966" s="103" t="str">
        <f aca="false">IF(OR($B966="", $N966="", $O966="", $T966="", $Z966=""),"",ROUND(($N966*Lists!$AD$16)-($O966*Lists!$AD$17)-($T966*Lists!$AD$18)+($Z966*Lists!$AD$19),2))</f>
        <v/>
      </c>
      <c r="AB966" s="102" t="str">
        <f aca="false">IF(OR($B966="", $N966="", $Z966=""),"",IF($N966&gt;=Lists!$AG$2,IF($Z966&gt;=Lists!$AG$3,"Invest","Migrate"),IF($Z966&gt;=Lists!$AG$3,"Tolerate","Eliminate")))</f>
        <v/>
      </c>
      <c r="AC966" s="102" t="str">
        <f aca="false">IF($B966="","",IF($J966&gt;=4,"Yes",""))</f>
        <v/>
      </c>
      <c r="AD966" s="102" t="str">
        <f aca="false">IF($A966="","",IFERROR(IF(VLOOKUP($A966,'Risk Register'!$B$2:$H$1000,4,FALSE())&gt;=4,"Yes",""),""))</f>
        <v/>
      </c>
      <c r="AE966" s="102" t="str">
        <f aca="false">IF(OR($N966="", $O966=""),"",IF($N966&gt;=Lists!$AG$2,IF($O966&gt;=Lists!$AG$4,"High Value / High Risk","High Value / Low Risk"),IF($O966&gt;=Lists!$AG$4,"Low Value / High Risk","Low Value / Low Risk")))</f>
        <v/>
      </c>
      <c r="AF966" s="101"/>
      <c r="AG966" s="126"/>
      <c r="AH966" s="106" t="str">
        <f aca="false">IF($B966="","",COUNTIFS('Debt Backlog'!$AF$2:$AF$1000,$A966,'Debt Backlog'!$B$2:$B$1000,"&lt;&gt;",'Debt Backlog'!$N$2:$N$1000,"&lt;&gt;Done",'Debt Backlog'!$N$2:$N$1000,"&lt;&gt;Won't Fix",'Debt Backlog'!$N$2:$N$1000,"&lt;&gt;Duplicate"))</f>
        <v/>
      </c>
      <c r="AI966" s="103" t="str">
        <f aca="false">IF($B966="","",ROUND(SUMIFS('Debt Backlog'!$L$2:$L$1000,'Debt Backlog'!$AF$2:$AF$1000,$A966,'Debt Backlog'!$B$2:$B$1000,"&lt;&gt;",'Debt Backlog'!$N$2:$N$1000,"&lt;&gt;Done",'Debt Backlog'!$N$2:$N$1000,"&lt;&gt;Won't Fix",'Debt Backlog'!$N$2:$N$1000,"&lt;&gt;Duplicate"),2))</f>
        <v/>
      </c>
    </row>
    <row r="967" customFormat="false" ht="15.75" hidden="false" customHeight="true" outlineLevel="0" collapsed="false">
      <c r="A967" s="125"/>
      <c r="B967" s="101"/>
      <c r="C967" s="101"/>
      <c r="D967" s="101"/>
      <c r="E967" s="101"/>
      <c r="F967" s="101"/>
      <c r="G967" s="101"/>
      <c r="H967" s="101"/>
      <c r="I967" s="106"/>
      <c r="J967" s="106"/>
      <c r="K967" s="106"/>
      <c r="L967" s="106"/>
      <c r="M967" s="106"/>
      <c r="N967" s="103" t="str">
        <f aca="false">IF(OR($B967="", $I967="", $J967="", $K967="", $L967="", $M967=""),"",ROUND(($I967*Lists!$AD$2)+($J967*Lists!$AD$3)+($K967*Lists!$AD$4)+($L967*Lists!$AD$5)+($M967*Lists!$AD$6),2))</f>
        <v/>
      </c>
      <c r="O967" s="103" t="str">
        <f aca="false">IF($A967="","",IFERROR(VLOOKUP($A967,'Risk Register'!$B$2:$I$1000,8,FALSE()),""))</f>
        <v/>
      </c>
      <c r="P967" s="106"/>
      <c r="Q967" s="106"/>
      <c r="R967" s="106"/>
      <c r="S967" s="106"/>
      <c r="T967" s="103" t="str">
        <f aca="false">IF(OR($B967="", $P967="", $Q967="", $R967="", $S967=""),"",ROUND(($P967*Lists!$AD$7)+($Q967*Lists!$AD$8)+($R967*Lists!$AD$9)+($S967*Lists!$AD$10),2))</f>
        <v/>
      </c>
      <c r="U967" s="106"/>
      <c r="V967" s="106"/>
      <c r="W967" s="106"/>
      <c r="X967" s="106"/>
      <c r="Y967" s="106"/>
      <c r="Z967" s="103" t="str">
        <f aca="false">IF(OR($B967="", $U967="", $V967="", $W967="", $X967="", $Y967=""),"",ROUND(($U967*Lists!$AD$11)+($V967*Lists!$AD$12)+($W967*Lists!$AD$13)+($X967*Lists!$AD$14)+($Y967*Lists!$AD$15),2))</f>
        <v/>
      </c>
      <c r="AA967" s="103" t="str">
        <f aca="false">IF(OR($B967="", $N967="", $O967="", $T967="", $Z967=""),"",ROUND(($N967*Lists!$AD$16)-($O967*Lists!$AD$17)-($T967*Lists!$AD$18)+($Z967*Lists!$AD$19),2))</f>
        <v/>
      </c>
      <c r="AB967" s="102" t="str">
        <f aca="false">IF(OR($B967="", $N967="", $Z967=""),"",IF($N967&gt;=Lists!$AG$2,IF($Z967&gt;=Lists!$AG$3,"Invest","Migrate"),IF($Z967&gt;=Lists!$AG$3,"Tolerate","Eliminate")))</f>
        <v/>
      </c>
      <c r="AC967" s="102" t="str">
        <f aca="false">IF($B967="","",IF($J967&gt;=4,"Yes",""))</f>
        <v/>
      </c>
      <c r="AD967" s="102" t="str">
        <f aca="false">IF($A967="","",IFERROR(IF(VLOOKUP($A967,'Risk Register'!$B$2:$H$1000,4,FALSE())&gt;=4,"Yes",""),""))</f>
        <v/>
      </c>
      <c r="AE967" s="102" t="str">
        <f aca="false">IF(OR($N967="", $O967=""),"",IF($N967&gt;=Lists!$AG$2,IF($O967&gt;=Lists!$AG$4,"High Value / High Risk","High Value / Low Risk"),IF($O967&gt;=Lists!$AG$4,"Low Value / High Risk","Low Value / Low Risk")))</f>
        <v/>
      </c>
      <c r="AF967" s="101"/>
      <c r="AG967" s="126"/>
      <c r="AH967" s="106" t="str">
        <f aca="false">IF($B967="","",COUNTIFS('Debt Backlog'!$AF$2:$AF$1000,$A967,'Debt Backlog'!$B$2:$B$1000,"&lt;&gt;",'Debt Backlog'!$N$2:$N$1000,"&lt;&gt;Done",'Debt Backlog'!$N$2:$N$1000,"&lt;&gt;Won't Fix",'Debt Backlog'!$N$2:$N$1000,"&lt;&gt;Duplicate"))</f>
        <v/>
      </c>
      <c r="AI967" s="103" t="str">
        <f aca="false">IF($B967="","",ROUND(SUMIFS('Debt Backlog'!$L$2:$L$1000,'Debt Backlog'!$AF$2:$AF$1000,$A967,'Debt Backlog'!$B$2:$B$1000,"&lt;&gt;",'Debt Backlog'!$N$2:$N$1000,"&lt;&gt;Done",'Debt Backlog'!$N$2:$N$1000,"&lt;&gt;Won't Fix",'Debt Backlog'!$N$2:$N$1000,"&lt;&gt;Duplicate"),2))</f>
        <v/>
      </c>
    </row>
    <row r="968" customFormat="false" ht="15.75" hidden="false" customHeight="true" outlineLevel="0" collapsed="false">
      <c r="A968" s="125"/>
      <c r="B968" s="101"/>
      <c r="C968" s="101"/>
      <c r="D968" s="101"/>
      <c r="E968" s="101"/>
      <c r="F968" s="101"/>
      <c r="G968" s="101"/>
      <c r="H968" s="101"/>
      <c r="I968" s="106"/>
      <c r="J968" s="106"/>
      <c r="K968" s="106"/>
      <c r="L968" s="106"/>
      <c r="M968" s="106"/>
      <c r="N968" s="103" t="str">
        <f aca="false">IF(OR($B968="", $I968="", $J968="", $K968="", $L968="", $M968=""),"",ROUND(($I968*Lists!$AD$2)+($J968*Lists!$AD$3)+($K968*Lists!$AD$4)+($L968*Lists!$AD$5)+($M968*Lists!$AD$6),2))</f>
        <v/>
      </c>
      <c r="O968" s="103" t="str">
        <f aca="false">IF($A968="","",IFERROR(VLOOKUP($A968,'Risk Register'!$B$2:$I$1000,8,FALSE()),""))</f>
        <v/>
      </c>
      <c r="P968" s="106"/>
      <c r="Q968" s="106"/>
      <c r="R968" s="106"/>
      <c r="S968" s="106"/>
      <c r="T968" s="103" t="str">
        <f aca="false">IF(OR($B968="", $P968="", $Q968="", $R968="", $S968=""),"",ROUND(($P968*Lists!$AD$7)+($Q968*Lists!$AD$8)+($R968*Lists!$AD$9)+($S968*Lists!$AD$10),2))</f>
        <v/>
      </c>
      <c r="U968" s="106"/>
      <c r="V968" s="106"/>
      <c r="W968" s="106"/>
      <c r="X968" s="106"/>
      <c r="Y968" s="106"/>
      <c r="Z968" s="103" t="str">
        <f aca="false">IF(OR($B968="", $U968="", $V968="", $W968="", $X968="", $Y968=""),"",ROUND(($U968*Lists!$AD$11)+($V968*Lists!$AD$12)+($W968*Lists!$AD$13)+($X968*Lists!$AD$14)+($Y968*Lists!$AD$15),2))</f>
        <v/>
      </c>
      <c r="AA968" s="103" t="str">
        <f aca="false">IF(OR($B968="", $N968="", $O968="", $T968="", $Z968=""),"",ROUND(($N968*Lists!$AD$16)-($O968*Lists!$AD$17)-($T968*Lists!$AD$18)+($Z968*Lists!$AD$19),2))</f>
        <v/>
      </c>
      <c r="AB968" s="102" t="str">
        <f aca="false">IF(OR($B968="", $N968="", $Z968=""),"",IF($N968&gt;=Lists!$AG$2,IF($Z968&gt;=Lists!$AG$3,"Invest","Migrate"),IF($Z968&gt;=Lists!$AG$3,"Tolerate","Eliminate")))</f>
        <v/>
      </c>
      <c r="AC968" s="102" t="str">
        <f aca="false">IF($B968="","",IF($J968&gt;=4,"Yes",""))</f>
        <v/>
      </c>
      <c r="AD968" s="102" t="str">
        <f aca="false">IF($A968="","",IFERROR(IF(VLOOKUP($A968,'Risk Register'!$B$2:$H$1000,4,FALSE())&gt;=4,"Yes",""),""))</f>
        <v/>
      </c>
      <c r="AE968" s="102" t="str">
        <f aca="false">IF(OR($N968="", $O968=""),"",IF($N968&gt;=Lists!$AG$2,IF($O968&gt;=Lists!$AG$4,"High Value / High Risk","High Value / Low Risk"),IF($O968&gt;=Lists!$AG$4,"Low Value / High Risk","Low Value / Low Risk")))</f>
        <v/>
      </c>
      <c r="AF968" s="101"/>
      <c r="AG968" s="126"/>
      <c r="AH968" s="106" t="str">
        <f aca="false">IF($B968="","",COUNTIFS('Debt Backlog'!$AF$2:$AF$1000,$A968,'Debt Backlog'!$B$2:$B$1000,"&lt;&gt;",'Debt Backlog'!$N$2:$N$1000,"&lt;&gt;Done",'Debt Backlog'!$N$2:$N$1000,"&lt;&gt;Won't Fix",'Debt Backlog'!$N$2:$N$1000,"&lt;&gt;Duplicate"))</f>
        <v/>
      </c>
      <c r="AI968" s="103" t="str">
        <f aca="false">IF($B968="","",ROUND(SUMIFS('Debt Backlog'!$L$2:$L$1000,'Debt Backlog'!$AF$2:$AF$1000,$A968,'Debt Backlog'!$B$2:$B$1000,"&lt;&gt;",'Debt Backlog'!$N$2:$N$1000,"&lt;&gt;Done",'Debt Backlog'!$N$2:$N$1000,"&lt;&gt;Won't Fix",'Debt Backlog'!$N$2:$N$1000,"&lt;&gt;Duplicate"),2))</f>
        <v/>
      </c>
    </row>
    <row r="969" customFormat="false" ht="15.75" hidden="false" customHeight="true" outlineLevel="0" collapsed="false">
      <c r="A969" s="125"/>
      <c r="B969" s="101"/>
      <c r="C969" s="101"/>
      <c r="D969" s="101"/>
      <c r="E969" s="101"/>
      <c r="F969" s="101"/>
      <c r="G969" s="101"/>
      <c r="H969" s="101"/>
      <c r="I969" s="106"/>
      <c r="J969" s="106"/>
      <c r="K969" s="106"/>
      <c r="L969" s="106"/>
      <c r="M969" s="106"/>
      <c r="N969" s="103" t="str">
        <f aca="false">IF(OR($B969="", $I969="", $J969="", $K969="", $L969="", $M969=""),"",ROUND(($I969*Lists!$AD$2)+($J969*Lists!$AD$3)+($K969*Lists!$AD$4)+($L969*Lists!$AD$5)+($M969*Lists!$AD$6),2))</f>
        <v/>
      </c>
      <c r="O969" s="103" t="str">
        <f aca="false">IF($A969="","",IFERROR(VLOOKUP($A969,'Risk Register'!$B$2:$I$1000,8,FALSE()),""))</f>
        <v/>
      </c>
      <c r="P969" s="106"/>
      <c r="Q969" s="106"/>
      <c r="R969" s="106"/>
      <c r="S969" s="106"/>
      <c r="T969" s="103" t="str">
        <f aca="false">IF(OR($B969="", $P969="", $Q969="", $R969="", $S969=""),"",ROUND(($P969*Lists!$AD$7)+($Q969*Lists!$AD$8)+($R969*Lists!$AD$9)+($S969*Lists!$AD$10),2))</f>
        <v/>
      </c>
      <c r="U969" s="106"/>
      <c r="V969" s="106"/>
      <c r="W969" s="106"/>
      <c r="X969" s="106"/>
      <c r="Y969" s="106"/>
      <c r="Z969" s="103" t="str">
        <f aca="false">IF(OR($B969="", $U969="", $V969="", $W969="", $X969="", $Y969=""),"",ROUND(($U969*Lists!$AD$11)+($V969*Lists!$AD$12)+($W969*Lists!$AD$13)+($X969*Lists!$AD$14)+($Y969*Lists!$AD$15),2))</f>
        <v/>
      </c>
      <c r="AA969" s="103" t="str">
        <f aca="false">IF(OR($B969="", $N969="", $O969="", $T969="", $Z969=""),"",ROUND(($N969*Lists!$AD$16)-($O969*Lists!$AD$17)-($T969*Lists!$AD$18)+($Z969*Lists!$AD$19),2))</f>
        <v/>
      </c>
      <c r="AB969" s="102" t="str">
        <f aca="false">IF(OR($B969="", $N969="", $Z969=""),"",IF($N969&gt;=Lists!$AG$2,IF($Z969&gt;=Lists!$AG$3,"Invest","Migrate"),IF($Z969&gt;=Lists!$AG$3,"Tolerate","Eliminate")))</f>
        <v/>
      </c>
      <c r="AC969" s="102" t="str">
        <f aca="false">IF($B969="","",IF($J969&gt;=4,"Yes",""))</f>
        <v/>
      </c>
      <c r="AD969" s="102" t="str">
        <f aca="false">IF($A969="","",IFERROR(IF(VLOOKUP($A969,'Risk Register'!$B$2:$H$1000,4,FALSE())&gt;=4,"Yes",""),""))</f>
        <v/>
      </c>
      <c r="AE969" s="102" t="str">
        <f aca="false">IF(OR($N969="", $O969=""),"",IF($N969&gt;=Lists!$AG$2,IF($O969&gt;=Lists!$AG$4,"High Value / High Risk","High Value / Low Risk"),IF($O969&gt;=Lists!$AG$4,"Low Value / High Risk","Low Value / Low Risk")))</f>
        <v/>
      </c>
      <c r="AF969" s="101"/>
      <c r="AG969" s="126"/>
      <c r="AH969" s="106" t="str">
        <f aca="false">IF($B969="","",COUNTIFS('Debt Backlog'!$AF$2:$AF$1000,$A969,'Debt Backlog'!$B$2:$B$1000,"&lt;&gt;",'Debt Backlog'!$N$2:$N$1000,"&lt;&gt;Done",'Debt Backlog'!$N$2:$N$1000,"&lt;&gt;Won't Fix",'Debt Backlog'!$N$2:$N$1000,"&lt;&gt;Duplicate"))</f>
        <v/>
      </c>
      <c r="AI969" s="103" t="str">
        <f aca="false">IF($B969="","",ROUND(SUMIFS('Debt Backlog'!$L$2:$L$1000,'Debt Backlog'!$AF$2:$AF$1000,$A969,'Debt Backlog'!$B$2:$B$1000,"&lt;&gt;",'Debt Backlog'!$N$2:$N$1000,"&lt;&gt;Done",'Debt Backlog'!$N$2:$N$1000,"&lt;&gt;Won't Fix",'Debt Backlog'!$N$2:$N$1000,"&lt;&gt;Duplicate"),2))</f>
        <v/>
      </c>
    </row>
    <row r="970" customFormat="false" ht="15.75" hidden="false" customHeight="true" outlineLevel="0" collapsed="false">
      <c r="A970" s="125"/>
      <c r="B970" s="101"/>
      <c r="C970" s="101"/>
      <c r="D970" s="101"/>
      <c r="E970" s="101"/>
      <c r="F970" s="101"/>
      <c r="G970" s="101"/>
      <c r="H970" s="101"/>
      <c r="I970" s="106"/>
      <c r="J970" s="106"/>
      <c r="K970" s="106"/>
      <c r="L970" s="106"/>
      <c r="M970" s="106"/>
      <c r="N970" s="103" t="str">
        <f aca="false">IF(OR($B970="", $I970="", $J970="", $K970="", $L970="", $M970=""),"",ROUND(($I970*Lists!$AD$2)+($J970*Lists!$AD$3)+($K970*Lists!$AD$4)+($L970*Lists!$AD$5)+($M970*Lists!$AD$6),2))</f>
        <v/>
      </c>
      <c r="O970" s="103" t="str">
        <f aca="false">IF($A970="","",IFERROR(VLOOKUP($A970,'Risk Register'!$B$2:$I$1000,8,FALSE()),""))</f>
        <v/>
      </c>
      <c r="P970" s="106"/>
      <c r="Q970" s="106"/>
      <c r="R970" s="106"/>
      <c r="S970" s="106"/>
      <c r="T970" s="103" t="str">
        <f aca="false">IF(OR($B970="", $P970="", $Q970="", $R970="", $S970=""),"",ROUND(($P970*Lists!$AD$7)+($Q970*Lists!$AD$8)+($R970*Lists!$AD$9)+($S970*Lists!$AD$10),2))</f>
        <v/>
      </c>
      <c r="U970" s="106"/>
      <c r="V970" s="106"/>
      <c r="W970" s="106"/>
      <c r="X970" s="106"/>
      <c r="Y970" s="106"/>
      <c r="Z970" s="103" t="str">
        <f aca="false">IF(OR($B970="", $U970="", $V970="", $W970="", $X970="", $Y970=""),"",ROUND(($U970*Lists!$AD$11)+($V970*Lists!$AD$12)+($W970*Lists!$AD$13)+($X970*Lists!$AD$14)+($Y970*Lists!$AD$15),2))</f>
        <v/>
      </c>
      <c r="AA970" s="103" t="str">
        <f aca="false">IF(OR($B970="", $N970="", $O970="", $T970="", $Z970=""),"",ROUND(($N970*Lists!$AD$16)-($O970*Lists!$AD$17)-($T970*Lists!$AD$18)+($Z970*Lists!$AD$19),2))</f>
        <v/>
      </c>
      <c r="AB970" s="102" t="str">
        <f aca="false">IF(OR($B970="", $N970="", $Z970=""),"",IF($N970&gt;=Lists!$AG$2,IF($Z970&gt;=Lists!$AG$3,"Invest","Migrate"),IF($Z970&gt;=Lists!$AG$3,"Tolerate","Eliminate")))</f>
        <v/>
      </c>
      <c r="AC970" s="102" t="str">
        <f aca="false">IF($B970="","",IF($J970&gt;=4,"Yes",""))</f>
        <v/>
      </c>
      <c r="AD970" s="102" t="str">
        <f aca="false">IF($A970="","",IFERROR(IF(VLOOKUP($A970,'Risk Register'!$B$2:$H$1000,4,FALSE())&gt;=4,"Yes",""),""))</f>
        <v/>
      </c>
      <c r="AE970" s="102" t="str">
        <f aca="false">IF(OR($N970="", $O970=""),"",IF($N970&gt;=Lists!$AG$2,IF($O970&gt;=Lists!$AG$4,"High Value / High Risk","High Value / Low Risk"),IF($O970&gt;=Lists!$AG$4,"Low Value / High Risk","Low Value / Low Risk")))</f>
        <v/>
      </c>
      <c r="AF970" s="101"/>
      <c r="AG970" s="126"/>
      <c r="AH970" s="106" t="str">
        <f aca="false">IF($B970="","",COUNTIFS('Debt Backlog'!$AF$2:$AF$1000,$A970,'Debt Backlog'!$B$2:$B$1000,"&lt;&gt;",'Debt Backlog'!$N$2:$N$1000,"&lt;&gt;Done",'Debt Backlog'!$N$2:$N$1000,"&lt;&gt;Won't Fix",'Debt Backlog'!$N$2:$N$1000,"&lt;&gt;Duplicate"))</f>
        <v/>
      </c>
      <c r="AI970" s="103" t="str">
        <f aca="false">IF($B970="","",ROUND(SUMIFS('Debt Backlog'!$L$2:$L$1000,'Debt Backlog'!$AF$2:$AF$1000,$A970,'Debt Backlog'!$B$2:$B$1000,"&lt;&gt;",'Debt Backlog'!$N$2:$N$1000,"&lt;&gt;Done",'Debt Backlog'!$N$2:$N$1000,"&lt;&gt;Won't Fix",'Debt Backlog'!$N$2:$N$1000,"&lt;&gt;Duplicate"),2))</f>
        <v/>
      </c>
    </row>
    <row r="971" customFormat="false" ht="15.75" hidden="false" customHeight="true" outlineLevel="0" collapsed="false">
      <c r="A971" s="125"/>
      <c r="B971" s="101"/>
      <c r="C971" s="101"/>
      <c r="D971" s="101"/>
      <c r="E971" s="101"/>
      <c r="F971" s="101"/>
      <c r="G971" s="101"/>
      <c r="H971" s="101"/>
      <c r="I971" s="106"/>
      <c r="J971" s="106"/>
      <c r="K971" s="106"/>
      <c r="L971" s="106"/>
      <c r="M971" s="106"/>
      <c r="N971" s="103" t="str">
        <f aca="false">IF(OR($B971="", $I971="", $J971="", $K971="", $L971="", $M971=""),"",ROUND(($I971*Lists!$AD$2)+($J971*Lists!$AD$3)+($K971*Lists!$AD$4)+($L971*Lists!$AD$5)+($M971*Lists!$AD$6),2))</f>
        <v/>
      </c>
      <c r="O971" s="103" t="str">
        <f aca="false">IF($A971="","",IFERROR(VLOOKUP($A971,'Risk Register'!$B$2:$I$1000,8,FALSE()),""))</f>
        <v/>
      </c>
      <c r="P971" s="106"/>
      <c r="Q971" s="106"/>
      <c r="R971" s="106"/>
      <c r="S971" s="106"/>
      <c r="T971" s="103" t="str">
        <f aca="false">IF(OR($B971="", $P971="", $Q971="", $R971="", $S971=""),"",ROUND(($P971*Lists!$AD$7)+($Q971*Lists!$AD$8)+($R971*Lists!$AD$9)+($S971*Lists!$AD$10),2))</f>
        <v/>
      </c>
      <c r="U971" s="106"/>
      <c r="V971" s="106"/>
      <c r="W971" s="106"/>
      <c r="X971" s="106"/>
      <c r="Y971" s="106"/>
      <c r="Z971" s="103" t="str">
        <f aca="false">IF(OR($B971="", $U971="", $V971="", $W971="", $X971="", $Y971=""),"",ROUND(($U971*Lists!$AD$11)+($V971*Lists!$AD$12)+($W971*Lists!$AD$13)+($X971*Lists!$AD$14)+($Y971*Lists!$AD$15),2))</f>
        <v/>
      </c>
      <c r="AA971" s="103" t="str">
        <f aca="false">IF(OR($B971="", $N971="", $O971="", $T971="", $Z971=""),"",ROUND(($N971*Lists!$AD$16)-($O971*Lists!$AD$17)-($T971*Lists!$AD$18)+($Z971*Lists!$AD$19),2))</f>
        <v/>
      </c>
      <c r="AB971" s="102" t="str">
        <f aca="false">IF(OR($B971="", $N971="", $Z971=""),"",IF($N971&gt;=Lists!$AG$2,IF($Z971&gt;=Lists!$AG$3,"Invest","Migrate"),IF($Z971&gt;=Lists!$AG$3,"Tolerate","Eliminate")))</f>
        <v/>
      </c>
      <c r="AC971" s="102" t="str">
        <f aca="false">IF($B971="","",IF($J971&gt;=4,"Yes",""))</f>
        <v/>
      </c>
      <c r="AD971" s="102" t="str">
        <f aca="false">IF($A971="","",IFERROR(IF(VLOOKUP($A971,'Risk Register'!$B$2:$H$1000,4,FALSE())&gt;=4,"Yes",""),""))</f>
        <v/>
      </c>
      <c r="AE971" s="102" t="str">
        <f aca="false">IF(OR($N971="", $O971=""),"",IF($N971&gt;=Lists!$AG$2,IF($O971&gt;=Lists!$AG$4,"High Value / High Risk","High Value / Low Risk"),IF($O971&gt;=Lists!$AG$4,"Low Value / High Risk","Low Value / Low Risk")))</f>
        <v/>
      </c>
      <c r="AF971" s="101"/>
      <c r="AG971" s="126"/>
      <c r="AH971" s="106" t="str">
        <f aca="false">IF($B971="","",COUNTIFS('Debt Backlog'!$AF$2:$AF$1000,$A971,'Debt Backlog'!$B$2:$B$1000,"&lt;&gt;",'Debt Backlog'!$N$2:$N$1000,"&lt;&gt;Done",'Debt Backlog'!$N$2:$N$1000,"&lt;&gt;Won't Fix",'Debt Backlog'!$N$2:$N$1000,"&lt;&gt;Duplicate"))</f>
        <v/>
      </c>
      <c r="AI971" s="103" t="str">
        <f aca="false">IF($B971="","",ROUND(SUMIFS('Debt Backlog'!$L$2:$L$1000,'Debt Backlog'!$AF$2:$AF$1000,$A971,'Debt Backlog'!$B$2:$B$1000,"&lt;&gt;",'Debt Backlog'!$N$2:$N$1000,"&lt;&gt;Done",'Debt Backlog'!$N$2:$N$1000,"&lt;&gt;Won't Fix",'Debt Backlog'!$N$2:$N$1000,"&lt;&gt;Duplicate"),2))</f>
        <v/>
      </c>
    </row>
    <row r="972" customFormat="false" ht="15.75" hidden="false" customHeight="true" outlineLevel="0" collapsed="false">
      <c r="A972" s="125"/>
      <c r="B972" s="101"/>
      <c r="C972" s="101"/>
      <c r="D972" s="101"/>
      <c r="E972" s="101"/>
      <c r="F972" s="101"/>
      <c r="G972" s="101"/>
      <c r="H972" s="101"/>
      <c r="I972" s="106"/>
      <c r="J972" s="106"/>
      <c r="K972" s="106"/>
      <c r="L972" s="106"/>
      <c r="M972" s="106"/>
      <c r="N972" s="103" t="str">
        <f aca="false">IF(OR($B972="", $I972="", $J972="", $K972="", $L972="", $M972=""),"",ROUND(($I972*Lists!$AD$2)+($J972*Lists!$AD$3)+($K972*Lists!$AD$4)+($L972*Lists!$AD$5)+($M972*Lists!$AD$6),2))</f>
        <v/>
      </c>
      <c r="O972" s="103" t="str">
        <f aca="false">IF($A972="","",IFERROR(VLOOKUP($A972,'Risk Register'!$B$2:$I$1000,8,FALSE()),""))</f>
        <v/>
      </c>
      <c r="P972" s="106"/>
      <c r="Q972" s="106"/>
      <c r="R972" s="106"/>
      <c r="S972" s="106"/>
      <c r="T972" s="103" t="str">
        <f aca="false">IF(OR($B972="", $P972="", $Q972="", $R972="", $S972=""),"",ROUND(($P972*Lists!$AD$7)+($Q972*Lists!$AD$8)+($R972*Lists!$AD$9)+($S972*Lists!$AD$10),2))</f>
        <v/>
      </c>
      <c r="U972" s="106"/>
      <c r="V972" s="106"/>
      <c r="W972" s="106"/>
      <c r="X972" s="106"/>
      <c r="Y972" s="106"/>
      <c r="Z972" s="103" t="str">
        <f aca="false">IF(OR($B972="", $U972="", $V972="", $W972="", $X972="", $Y972=""),"",ROUND(($U972*Lists!$AD$11)+($V972*Lists!$AD$12)+($W972*Lists!$AD$13)+($X972*Lists!$AD$14)+($Y972*Lists!$AD$15),2))</f>
        <v/>
      </c>
      <c r="AA972" s="103" t="str">
        <f aca="false">IF(OR($B972="", $N972="", $O972="", $T972="", $Z972=""),"",ROUND(($N972*Lists!$AD$16)-($O972*Lists!$AD$17)-($T972*Lists!$AD$18)+($Z972*Lists!$AD$19),2))</f>
        <v/>
      </c>
      <c r="AB972" s="102" t="str">
        <f aca="false">IF(OR($B972="", $N972="", $Z972=""),"",IF($N972&gt;=Lists!$AG$2,IF($Z972&gt;=Lists!$AG$3,"Invest","Migrate"),IF($Z972&gt;=Lists!$AG$3,"Tolerate","Eliminate")))</f>
        <v/>
      </c>
      <c r="AC972" s="102" t="str">
        <f aca="false">IF($B972="","",IF($J972&gt;=4,"Yes",""))</f>
        <v/>
      </c>
      <c r="AD972" s="102" t="str">
        <f aca="false">IF($A972="","",IFERROR(IF(VLOOKUP($A972,'Risk Register'!$B$2:$H$1000,4,FALSE())&gt;=4,"Yes",""),""))</f>
        <v/>
      </c>
      <c r="AE972" s="102" t="str">
        <f aca="false">IF(OR($N972="", $O972=""),"",IF($N972&gt;=Lists!$AG$2,IF($O972&gt;=Lists!$AG$4,"High Value / High Risk","High Value / Low Risk"),IF($O972&gt;=Lists!$AG$4,"Low Value / High Risk","Low Value / Low Risk")))</f>
        <v/>
      </c>
      <c r="AF972" s="101"/>
      <c r="AG972" s="126"/>
      <c r="AH972" s="106" t="str">
        <f aca="false">IF($B972="","",COUNTIFS('Debt Backlog'!$AF$2:$AF$1000,$A972,'Debt Backlog'!$B$2:$B$1000,"&lt;&gt;",'Debt Backlog'!$N$2:$N$1000,"&lt;&gt;Done",'Debt Backlog'!$N$2:$N$1000,"&lt;&gt;Won't Fix",'Debt Backlog'!$N$2:$N$1000,"&lt;&gt;Duplicate"))</f>
        <v/>
      </c>
      <c r="AI972" s="103" t="str">
        <f aca="false">IF($B972="","",ROUND(SUMIFS('Debt Backlog'!$L$2:$L$1000,'Debt Backlog'!$AF$2:$AF$1000,$A972,'Debt Backlog'!$B$2:$B$1000,"&lt;&gt;",'Debt Backlog'!$N$2:$N$1000,"&lt;&gt;Done",'Debt Backlog'!$N$2:$N$1000,"&lt;&gt;Won't Fix",'Debt Backlog'!$N$2:$N$1000,"&lt;&gt;Duplicate"),2))</f>
        <v/>
      </c>
    </row>
    <row r="973" customFormat="false" ht="15.75" hidden="false" customHeight="true" outlineLevel="0" collapsed="false">
      <c r="A973" s="125"/>
      <c r="B973" s="101"/>
      <c r="C973" s="101"/>
      <c r="D973" s="101"/>
      <c r="E973" s="101"/>
      <c r="F973" s="101"/>
      <c r="G973" s="101"/>
      <c r="H973" s="101"/>
      <c r="I973" s="106"/>
      <c r="J973" s="106"/>
      <c r="K973" s="106"/>
      <c r="L973" s="106"/>
      <c r="M973" s="106"/>
      <c r="N973" s="103" t="str">
        <f aca="false">IF(OR($B973="", $I973="", $J973="", $K973="", $L973="", $M973=""),"",ROUND(($I973*Lists!$AD$2)+($J973*Lists!$AD$3)+($K973*Lists!$AD$4)+($L973*Lists!$AD$5)+($M973*Lists!$AD$6),2))</f>
        <v/>
      </c>
      <c r="O973" s="103" t="str">
        <f aca="false">IF($A973="","",IFERROR(VLOOKUP($A973,'Risk Register'!$B$2:$I$1000,8,FALSE()),""))</f>
        <v/>
      </c>
      <c r="P973" s="106"/>
      <c r="Q973" s="106"/>
      <c r="R973" s="106"/>
      <c r="S973" s="106"/>
      <c r="T973" s="103" t="str">
        <f aca="false">IF(OR($B973="", $P973="", $Q973="", $R973="", $S973=""),"",ROUND(($P973*Lists!$AD$7)+($Q973*Lists!$AD$8)+($R973*Lists!$AD$9)+($S973*Lists!$AD$10),2))</f>
        <v/>
      </c>
      <c r="U973" s="106"/>
      <c r="V973" s="106"/>
      <c r="W973" s="106"/>
      <c r="X973" s="106"/>
      <c r="Y973" s="106"/>
      <c r="Z973" s="103" t="str">
        <f aca="false">IF(OR($B973="", $U973="", $V973="", $W973="", $X973="", $Y973=""),"",ROUND(($U973*Lists!$AD$11)+($V973*Lists!$AD$12)+($W973*Lists!$AD$13)+($X973*Lists!$AD$14)+($Y973*Lists!$AD$15),2))</f>
        <v/>
      </c>
      <c r="AA973" s="103" t="str">
        <f aca="false">IF(OR($B973="", $N973="", $O973="", $T973="", $Z973=""),"",ROUND(($N973*Lists!$AD$16)-($O973*Lists!$AD$17)-($T973*Lists!$AD$18)+($Z973*Lists!$AD$19),2))</f>
        <v/>
      </c>
      <c r="AB973" s="102" t="str">
        <f aca="false">IF(OR($B973="", $N973="", $Z973=""),"",IF($N973&gt;=Lists!$AG$2,IF($Z973&gt;=Lists!$AG$3,"Invest","Migrate"),IF($Z973&gt;=Lists!$AG$3,"Tolerate","Eliminate")))</f>
        <v/>
      </c>
      <c r="AC973" s="102" t="str">
        <f aca="false">IF($B973="","",IF($J973&gt;=4,"Yes",""))</f>
        <v/>
      </c>
      <c r="AD973" s="102" t="str">
        <f aca="false">IF($A973="","",IFERROR(IF(VLOOKUP($A973,'Risk Register'!$B$2:$H$1000,4,FALSE())&gt;=4,"Yes",""),""))</f>
        <v/>
      </c>
      <c r="AE973" s="102" t="str">
        <f aca="false">IF(OR($N973="", $O973=""),"",IF($N973&gt;=Lists!$AG$2,IF($O973&gt;=Lists!$AG$4,"High Value / High Risk","High Value / Low Risk"),IF($O973&gt;=Lists!$AG$4,"Low Value / High Risk","Low Value / Low Risk")))</f>
        <v/>
      </c>
      <c r="AF973" s="101"/>
      <c r="AG973" s="126"/>
      <c r="AH973" s="106" t="str">
        <f aca="false">IF($B973="","",COUNTIFS('Debt Backlog'!$AF$2:$AF$1000,$A973,'Debt Backlog'!$B$2:$B$1000,"&lt;&gt;",'Debt Backlog'!$N$2:$N$1000,"&lt;&gt;Done",'Debt Backlog'!$N$2:$N$1000,"&lt;&gt;Won't Fix",'Debt Backlog'!$N$2:$N$1000,"&lt;&gt;Duplicate"))</f>
        <v/>
      </c>
      <c r="AI973" s="103" t="str">
        <f aca="false">IF($B973="","",ROUND(SUMIFS('Debt Backlog'!$L$2:$L$1000,'Debt Backlog'!$AF$2:$AF$1000,$A973,'Debt Backlog'!$B$2:$B$1000,"&lt;&gt;",'Debt Backlog'!$N$2:$N$1000,"&lt;&gt;Done",'Debt Backlog'!$N$2:$N$1000,"&lt;&gt;Won't Fix",'Debt Backlog'!$N$2:$N$1000,"&lt;&gt;Duplicate"),2))</f>
        <v/>
      </c>
    </row>
    <row r="974" customFormat="false" ht="15.75" hidden="false" customHeight="true" outlineLevel="0" collapsed="false">
      <c r="A974" s="125"/>
      <c r="B974" s="101"/>
      <c r="C974" s="101"/>
      <c r="D974" s="101"/>
      <c r="E974" s="101"/>
      <c r="F974" s="101"/>
      <c r="G974" s="101"/>
      <c r="H974" s="101"/>
      <c r="I974" s="106"/>
      <c r="J974" s="106"/>
      <c r="K974" s="106"/>
      <c r="L974" s="106"/>
      <c r="M974" s="106"/>
      <c r="N974" s="103" t="str">
        <f aca="false">IF(OR($B974="", $I974="", $J974="", $K974="", $L974="", $M974=""),"",ROUND(($I974*Lists!$AD$2)+($J974*Lists!$AD$3)+($K974*Lists!$AD$4)+($L974*Lists!$AD$5)+($M974*Lists!$AD$6),2))</f>
        <v/>
      </c>
      <c r="O974" s="103" t="str">
        <f aca="false">IF($A974="","",IFERROR(VLOOKUP($A974,'Risk Register'!$B$2:$I$1000,8,FALSE()),""))</f>
        <v/>
      </c>
      <c r="P974" s="106"/>
      <c r="Q974" s="106"/>
      <c r="R974" s="106"/>
      <c r="S974" s="106"/>
      <c r="T974" s="103" t="str">
        <f aca="false">IF(OR($B974="", $P974="", $Q974="", $R974="", $S974=""),"",ROUND(($P974*Lists!$AD$7)+($Q974*Lists!$AD$8)+($R974*Lists!$AD$9)+($S974*Lists!$AD$10),2))</f>
        <v/>
      </c>
      <c r="U974" s="106"/>
      <c r="V974" s="106"/>
      <c r="W974" s="106"/>
      <c r="X974" s="106"/>
      <c r="Y974" s="106"/>
      <c r="Z974" s="103" t="str">
        <f aca="false">IF(OR($B974="", $U974="", $V974="", $W974="", $X974="", $Y974=""),"",ROUND(($U974*Lists!$AD$11)+($V974*Lists!$AD$12)+($W974*Lists!$AD$13)+($X974*Lists!$AD$14)+($Y974*Lists!$AD$15),2))</f>
        <v/>
      </c>
      <c r="AA974" s="103" t="str">
        <f aca="false">IF(OR($B974="", $N974="", $O974="", $T974="", $Z974=""),"",ROUND(($N974*Lists!$AD$16)-($O974*Lists!$AD$17)-($T974*Lists!$AD$18)+($Z974*Lists!$AD$19),2))</f>
        <v/>
      </c>
      <c r="AB974" s="102" t="str">
        <f aca="false">IF(OR($B974="", $N974="", $Z974=""),"",IF($N974&gt;=Lists!$AG$2,IF($Z974&gt;=Lists!$AG$3,"Invest","Migrate"),IF($Z974&gt;=Lists!$AG$3,"Tolerate","Eliminate")))</f>
        <v/>
      </c>
      <c r="AC974" s="102" t="str">
        <f aca="false">IF($B974="","",IF($J974&gt;=4,"Yes",""))</f>
        <v/>
      </c>
      <c r="AD974" s="102" t="str">
        <f aca="false">IF($A974="","",IFERROR(IF(VLOOKUP($A974,'Risk Register'!$B$2:$H$1000,4,FALSE())&gt;=4,"Yes",""),""))</f>
        <v/>
      </c>
      <c r="AE974" s="102" t="str">
        <f aca="false">IF(OR($N974="", $O974=""),"",IF($N974&gt;=Lists!$AG$2,IF($O974&gt;=Lists!$AG$4,"High Value / High Risk","High Value / Low Risk"),IF($O974&gt;=Lists!$AG$4,"Low Value / High Risk","Low Value / Low Risk")))</f>
        <v/>
      </c>
      <c r="AF974" s="101"/>
      <c r="AG974" s="126"/>
      <c r="AH974" s="106" t="str">
        <f aca="false">IF($B974="","",COUNTIFS('Debt Backlog'!$AF$2:$AF$1000,$A974,'Debt Backlog'!$B$2:$B$1000,"&lt;&gt;",'Debt Backlog'!$N$2:$N$1000,"&lt;&gt;Done",'Debt Backlog'!$N$2:$N$1000,"&lt;&gt;Won't Fix",'Debt Backlog'!$N$2:$N$1000,"&lt;&gt;Duplicate"))</f>
        <v/>
      </c>
      <c r="AI974" s="103" t="str">
        <f aca="false">IF($B974="","",ROUND(SUMIFS('Debt Backlog'!$L$2:$L$1000,'Debt Backlog'!$AF$2:$AF$1000,$A974,'Debt Backlog'!$B$2:$B$1000,"&lt;&gt;",'Debt Backlog'!$N$2:$N$1000,"&lt;&gt;Done",'Debt Backlog'!$N$2:$N$1000,"&lt;&gt;Won't Fix",'Debt Backlog'!$N$2:$N$1000,"&lt;&gt;Duplicate"),2))</f>
        <v/>
      </c>
    </row>
    <row r="975" customFormat="false" ht="15.75" hidden="false" customHeight="true" outlineLevel="0" collapsed="false">
      <c r="A975" s="125"/>
      <c r="B975" s="101"/>
      <c r="C975" s="101"/>
      <c r="D975" s="101"/>
      <c r="E975" s="101"/>
      <c r="F975" s="101"/>
      <c r="G975" s="101"/>
      <c r="H975" s="101"/>
      <c r="I975" s="106"/>
      <c r="J975" s="106"/>
      <c r="K975" s="106"/>
      <c r="L975" s="106"/>
      <c r="M975" s="106"/>
      <c r="N975" s="103" t="str">
        <f aca="false">IF(OR($B975="", $I975="", $J975="", $K975="", $L975="", $M975=""),"",ROUND(($I975*Lists!$AD$2)+($J975*Lists!$AD$3)+($K975*Lists!$AD$4)+($L975*Lists!$AD$5)+($M975*Lists!$AD$6),2))</f>
        <v/>
      </c>
      <c r="O975" s="103" t="str">
        <f aca="false">IF($A975="","",IFERROR(VLOOKUP($A975,'Risk Register'!$B$2:$I$1000,8,FALSE()),""))</f>
        <v/>
      </c>
      <c r="P975" s="106"/>
      <c r="Q975" s="106"/>
      <c r="R975" s="106"/>
      <c r="S975" s="106"/>
      <c r="T975" s="103" t="str">
        <f aca="false">IF(OR($B975="", $P975="", $Q975="", $R975="", $S975=""),"",ROUND(($P975*Lists!$AD$7)+($Q975*Lists!$AD$8)+($R975*Lists!$AD$9)+($S975*Lists!$AD$10),2))</f>
        <v/>
      </c>
      <c r="U975" s="106"/>
      <c r="V975" s="106"/>
      <c r="W975" s="106"/>
      <c r="X975" s="106"/>
      <c r="Y975" s="106"/>
      <c r="Z975" s="103" t="str">
        <f aca="false">IF(OR($B975="", $U975="", $V975="", $W975="", $X975="", $Y975=""),"",ROUND(($U975*Lists!$AD$11)+($V975*Lists!$AD$12)+($W975*Lists!$AD$13)+($X975*Lists!$AD$14)+($Y975*Lists!$AD$15),2))</f>
        <v/>
      </c>
      <c r="AA975" s="103" t="str">
        <f aca="false">IF(OR($B975="", $N975="", $O975="", $T975="", $Z975=""),"",ROUND(($N975*Lists!$AD$16)-($O975*Lists!$AD$17)-($T975*Lists!$AD$18)+($Z975*Lists!$AD$19),2))</f>
        <v/>
      </c>
      <c r="AB975" s="102" t="str">
        <f aca="false">IF(OR($B975="", $N975="", $Z975=""),"",IF($N975&gt;=Lists!$AG$2,IF($Z975&gt;=Lists!$AG$3,"Invest","Migrate"),IF($Z975&gt;=Lists!$AG$3,"Tolerate","Eliminate")))</f>
        <v/>
      </c>
      <c r="AC975" s="102" t="str">
        <f aca="false">IF($B975="","",IF($J975&gt;=4,"Yes",""))</f>
        <v/>
      </c>
      <c r="AD975" s="102" t="str">
        <f aca="false">IF($A975="","",IFERROR(IF(VLOOKUP($A975,'Risk Register'!$B$2:$H$1000,4,FALSE())&gt;=4,"Yes",""),""))</f>
        <v/>
      </c>
      <c r="AE975" s="102" t="str">
        <f aca="false">IF(OR($N975="", $O975=""),"",IF($N975&gt;=Lists!$AG$2,IF($O975&gt;=Lists!$AG$4,"High Value / High Risk","High Value / Low Risk"),IF($O975&gt;=Lists!$AG$4,"Low Value / High Risk","Low Value / Low Risk")))</f>
        <v/>
      </c>
      <c r="AF975" s="101"/>
      <c r="AG975" s="126"/>
      <c r="AH975" s="106" t="str">
        <f aca="false">IF($B975="","",COUNTIFS('Debt Backlog'!$AF$2:$AF$1000,$A975,'Debt Backlog'!$B$2:$B$1000,"&lt;&gt;",'Debt Backlog'!$N$2:$N$1000,"&lt;&gt;Done",'Debt Backlog'!$N$2:$N$1000,"&lt;&gt;Won't Fix",'Debt Backlog'!$N$2:$N$1000,"&lt;&gt;Duplicate"))</f>
        <v/>
      </c>
      <c r="AI975" s="103" t="str">
        <f aca="false">IF($B975="","",ROUND(SUMIFS('Debt Backlog'!$L$2:$L$1000,'Debt Backlog'!$AF$2:$AF$1000,$A975,'Debt Backlog'!$B$2:$B$1000,"&lt;&gt;",'Debt Backlog'!$N$2:$N$1000,"&lt;&gt;Done",'Debt Backlog'!$N$2:$N$1000,"&lt;&gt;Won't Fix",'Debt Backlog'!$N$2:$N$1000,"&lt;&gt;Duplicate"),2))</f>
        <v/>
      </c>
    </row>
    <row r="976" customFormat="false" ht="15.75" hidden="false" customHeight="true" outlineLevel="0" collapsed="false">
      <c r="A976" s="125"/>
      <c r="B976" s="101"/>
      <c r="C976" s="101"/>
      <c r="D976" s="101"/>
      <c r="E976" s="101"/>
      <c r="F976" s="101"/>
      <c r="G976" s="101"/>
      <c r="H976" s="101"/>
      <c r="I976" s="106"/>
      <c r="J976" s="106"/>
      <c r="K976" s="106"/>
      <c r="L976" s="106"/>
      <c r="M976" s="106"/>
      <c r="N976" s="103" t="str">
        <f aca="false">IF(OR($B976="", $I976="", $J976="", $K976="", $L976="", $M976=""),"",ROUND(($I976*Lists!$AD$2)+($J976*Lists!$AD$3)+($K976*Lists!$AD$4)+($L976*Lists!$AD$5)+($M976*Lists!$AD$6),2))</f>
        <v/>
      </c>
      <c r="O976" s="103" t="str">
        <f aca="false">IF($A976="","",IFERROR(VLOOKUP($A976,'Risk Register'!$B$2:$I$1000,8,FALSE()),""))</f>
        <v/>
      </c>
      <c r="P976" s="106"/>
      <c r="Q976" s="106"/>
      <c r="R976" s="106"/>
      <c r="S976" s="106"/>
      <c r="T976" s="103" t="str">
        <f aca="false">IF(OR($B976="", $P976="", $Q976="", $R976="", $S976=""),"",ROUND(($P976*Lists!$AD$7)+($Q976*Lists!$AD$8)+($R976*Lists!$AD$9)+($S976*Lists!$AD$10),2))</f>
        <v/>
      </c>
      <c r="U976" s="106"/>
      <c r="V976" s="106"/>
      <c r="W976" s="106"/>
      <c r="X976" s="106"/>
      <c r="Y976" s="106"/>
      <c r="Z976" s="103" t="str">
        <f aca="false">IF(OR($B976="", $U976="", $V976="", $W976="", $X976="", $Y976=""),"",ROUND(($U976*Lists!$AD$11)+($V976*Lists!$AD$12)+($W976*Lists!$AD$13)+($X976*Lists!$AD$14)+($Y976*Lists!$AD$15),2))</f>
        <v/>
      </c>
      <c r="AA976" s="103" t="str">
        <f aca="false">IF(OR($B976="", $N976="", $O976="", $T976="", $Z976=""),"",ROUND(($N976*Lists!$AD$16)-($O976*Lists!$AD$17)-($T976*Lists!$AD$18)+($Z976*Lists!$AD$19),2))</f>
        <v/>
      </c>
      <c r="AB976" s="102" t="str">
        <f aca="false">IF(OR($B976="", $N976="", $Z976=""),"",IF($N976&gt;=Lists!$AG$2,IF($Z976&gt;=Lists!$AG$3,"Invest","Migrate"),IF($Z976&gt;=Lists!$AG$3,"Tolerate","Eliminate")))</f>
        <v/>
      </c>
      <c r="AC976" s="102" t="str">
        <f aca="false">IF($B976="","",IF($J976&gt;=4,"Yes",""))</f>
        <v/>
      </c>
      <c r="AD976" s="102" t="str">
        <f aca="false">IF($A976="","",IFERROR(IF(VLOOKUP($A976,'Risk Register'!$B$2:$H$1000,4,FALSE())&gt;=4,"Yes",""),""))</f>
        <v/>
      </c>
      <c r="AE976" s="102" t="str">
        <f aca="false">IF(OR($N976="", $O976=""),"",IF($N976&gt;=Lists!$AG$2,IF($O976&gt;=Lists!$AG$4,"High Value / High Risk","High Value / Low Risk"),IF($O976&gt;=Lists!$AG$4,"Low Value / High Risk","Low Value / Low Risk")))</f>
        <v/>
      </c>
      <c r="AF976" s="101"/>
      <c r="AG976" s="126"/>
      <c r="AH976" s="106" t="str">
        <f aca="false">IF($B976="","",COUNTIFS('Debt Backlog'!$AF$2:$AF$1000,$A976,'Debt Backlog'!$B$2:$B$1000,"&lt;&gt;",'Debt Backlog'!$N$2:$N$1000,"&lt;&gt;Done",'Debt Backlog'!$N$2:$N$1000,"&lt;&gt;Won't Fix",'Debt Backlog'!$N$2:$N$1000,"&lt;&gt;Duplicate"))</f>
        <v/>
      </c>
      <c r="AI976" s="103" t="str">
        <f aca="false">IF($B976="","",ROUND(SUMIFS('Debt Backlog'!$L$2:$L$1000,'Debt Backlog'!$AF$2:$AF$1000,$A976,'Debt Backlog'!$B$2:$B$1000,"&lt;&gt;",'Debt Backlog'!$N$2:$N$1000,"&lt;&gt;Done",'Debt Backlog'!$N$2:$N$1000,"&lt;&gt;Won't Fix",'Debt Backlog'!$N$2:$N$1000,"&lt;&gt;Duplicate"),2))</f>
        <v/>
      </c>
    </row>
    <row r="977" customFormat="false" ht="15.75" hidden="false" customHeight="true" outlineLevel="0" collapsed="false">
      <c r="A977" s="125"/>
      <c r="B977" s="101"/>
      <c r="C977" s="101"/>
      <c r="D977" s="101"/>
      <c r="E977" s="101"/>
      <c r="F977" s="101"/>
      <c r="G977" s="101"/>
      <c r="H977" s="101"/>
      <c r="I977" s="106"/>
      <c r="J977" s="106"/>
      <c r="K977" s="106"/>
      <c r="L977" s="106"/>
      <c r="M977" s="106"/>
      <c r="N977" s="103" t="str">
        <f aca="false">IF(OR($B977="", $I977="", $J977="", $K977="", $L977="", $M977=""),"",ROUND(($I977*Lists!$AD$2)+($J977*Lists!$AD$3)+($K977*Lists!$AD$4)+($L977*Lists!$AD$5)+($M977*Lists!$AD$6),2))</f>
        <v/>
      </c>
      <c r="O977" s="103" t="str">
        <f aca="false">IF($A977="","",IFERROR(VLOOKUP($A977,'Risk Register'!$B$2:$I$1000,8,FALSE()),""))</f>
        <v/>
      </c>
      <c r="P977" s="106"/>
      <c r="Q977" s="106"/>
      <c r="R977" s="106"/>
      <c r="S977" s="106"/>
      <c r="T977" s="103" t="str">
        <f aca="false">IF(OR($B977="", $P977="", $Q977="", $R977="", $S977=""),"",ROUND(($P977*Lists!$AD$7)+($Q977*Lists!$AD$8)+($R977*Lists!$AD$9)+($S977*Lists!$AD$10),2))</f>
        <v/>
      </c>
      <c r="U977" s="106"/>
      <c r="V977" s="106"/>
      <c r="W977" s="106"/>
      <c r="X977" s="106"/>
      <c r="Y977" s="106"/>
      <c r="Z977" s="103" t="str">
        <f aca="false">IF(OR($B977="", $U977="", $V977="", $W977="", $X977="", $Y977=""),"",ROUND(($U977*Lists!$AD$11)+($V977*Lists!$AD$12)+($W977*Lists!$AD$13)+($X977*Lists!$AD$14)+($Y977*Lists!$AD$15),2))</f>
        <v/>
      </c>
      <c r="AA977" s="103" t="str">
        <f aca="false">IF(OR($B977="", $N977="", $O977="", $T977="", $Z977=""),"",ROUND(($N977*Lists!$AD$16)-($O977*Lists!$AD$17)-($T977*Lists!$AD$18)+($Z977*Lists!$AD$19),2))</f>
        <v/>
      </c>
      <c r="AB977" s="102" t="str">
        <f aca="false">IF(OR($B977="", $N977="", $Z977=""),"",IF($N977&gt;=Lists!$AG$2,IF($Z977&gt;=Lists!$AG$3,"Invest","Migrate"),IF($Z977&gt;=Lists!$AG$3,"Tolerate","Eliminate")))</f>
        <v/>
      </c>
      <c r="AC977" s="102" t="str">
        <f aca="false">IF($B977="","",IF($J977&gt;=4,"Yes",""))</f>
        <v/>
      </c>
      <c r="AD977" s="102" t="str">
        <f aca="false">IF($A977="","",IFERROR(IF(VLOOKUP($A977,'Risk Register'!$B$2:$H$1000,4,FALSE())&gt;=4,"Yes",""),""))</f>
        <v/>
      </c>
      <c r="AE977" s="102" t="str">
        <f aca="false">IF(OR($N977="", $O977=""),"",IF($N977&gt;=Lists!$AG$2,IF($O977&gt;=Lists!$AG$4,"High Value / High Risk","High Value / Low Risk"),IF($O977&gt;=Lists!$AG$4,"Low Value / High Risk","Low Value / Low Risk")))</f>
        <v/>
      </c>
      <c r="AF977" s="101"/>
      <c r="AG977" s="126"/>
      <c r="AH977" s="106" t="str">
        <f aca="false">IF($B977="","",COUNTIFS('Debt Backlog'!$AF$2:$AF$1000,$A977,'Debt Backlog'!$B$2:$B$1000,"&lt;&gt;",'Debt Backlog'!$N$2:$N$1000,"&lt;&gt;Done",'Debt Backlog'!$N$2:$N$1000,"&lt;&gt;Won't Fix",'Debt Backlog'!$N$2:$N$1000,"&lt;&gt;Duplicate"))</f>
        <v/>
      </c>
      <c r="AI977" s="103" t="str">
        <f aca="false">IF($B977="","",ROUND(SUMIFS('Debt Backlog'!$L$2:$L$1000,'Debt Backlog'!$AF$2:$AF$1000,$A977,'Debt Backlog'!$B$2:$B$1000,"&lt;&gt;",'Debt Backlog'!$N$2:$N$1000,"&lt;&gt;Done",'Debt Backlog'!$N$2:$N$1000,"&lt;&gt;Won't Fix",'Debt Backlog'!$N$2:$N$1000,"&lt;&gt;Duplicate"),2))</f>
        <v/>
      </c>
    </row>
    <row r="978" customFormat="false" ht="15.75" hidden="false" customHeight="true" outlineLevel="0" collapsed="false">
      <c r="A978" s="125"/>
      <c r="B978" s="101"/>
      <c r="C978" s="101"/>
      <c r="D978" s="101"/>
      <c r="E978" s="101"/>
      <c r="F978" s="101"/>
      <c r="G978" s="101"/>
      <c r="H978" s="101"/>
      <c r="I978" s="106"/>
      <c r="J978" s="106"/>
      <c r="K978" s="106"/>
      <c r="L978" s="106"/>
      <c r="M978" s="106"/>
      <c r="N978" s="103" t="str">
        <f aca="false">IF(OR($B978="", $I978="", $J978="", $K978="", $L978="", $M978=""),"",ROUND(($I978*Lists!$AD$2)+($J978*Lists!$AD$3)+($K978*Lists!$AD$4)+($L978*Lists!$AD$5)+($M978*Lists!$AD$6),2))</f>
        <v/>
      </c>
      <c r="O978" s="103" t="str">
        <f aca="false">IF($A978="","",IFERROR(VLOOKUP($A978,'Risk Register'!$B$2:$I$1000,8,FALSE()),""))</f>
        <v/>
      </c>
      <c r="P978" s="106"/>
      <c r="Q978" s="106"/>
      <c r="R978" s="106"/>
      <c r="S978" s="106"/>
      <c r="T978" s="103" t="str">
        <f aca="false">IF(OR($B978="", $P978="", $Q978="", $R978="", $S978=""),"",ROUND(($P978*Lists!$AD$7)+($Q978*Lists!$AD$8)+($R978*Lists!$AD$9)+($S978*Lists!$AD$10),2))</f>
        <v/>
      </c>
      <c r="U978" s="106"/>
      <c r="V978" s="106"/>
      <c r="W978" s="106"/>
      <c r="X978" s="106"/>
      <c r="Y978" s="106"/>
      <c r="Z978" s="103" t="str">
        <f aca="false">IF(OR($B978="", $U978="", $V978="", $W978="", $X978="", $Y978=""),"",ROUND(($U978*Lists!$AD$11)+($V978*Lists!$AD$12)+($W978*Lists!$AD$13)+($X978*Lists!$AD$14)+($Y978*Lists!$AD$15),2))</f>
        <v/>
      </c>
      <c r="AA978" s="103" t="str">
        <f aca="false">IF(OR($B978="", $N978="", $O978="", $T978="", $Z978=""),"",ROUND(($N978*Lists!$AD$16)-($O978*Lists!$AD$17)-($T978*Lists!$AD$18)+($Z978*Lists!$AD$19),2))</f>
        <v/>
      </c>
      <c r="AB978" s="102" t="str">
        <f aca="false">IF(OR($B978="", $N978="", $Z978=""),"",IF($N978&gt;=Lists!$AG$2,IF($Z978&gt;=Lists!$AG$3,"Invest","Migrate"),IF($Z978&gt;=Lists!$AG$3,"Tolerate","Eliminate")))</f>
        <v/>
      </c>
      <c r="AC978" s="102" t="str">
        <f aca="false">IF($B978="","",IF($J978&gt;=4,"Yes",""))</f>
        <v/>
      </c>
      <c r="AD978" s="102" t="str">
        <f aca="false">IF($A978="","",IFERROR(IF(VLOOKUP($A978,'Risk Register'!$B$2:$H$1000,4,FALSE())&gt;=4,"Yes",""),""))</f>
        <v/>
      </c>
      <c r="AE978" s="102" t="str">
        <f aca="false">IF(OR($N978="", $O978=""),"",IF($N978&gt;=Lists!$AG$2,IF($O978&gt;=Lists!$AG$4,"High Value / High Risk","High Value / Low Risk"),IF($O978&gt;=Lists!$AG$4,"Low Value / High Risk","Low Value / Low Risk")))</f>
        <v/>
      </c>
      <c r="AF978" s="101"/>
      <c r="AG978" s="126"/>
      <c r="AH978" s="106" t="str">
        <f aca="false">IF($B978="","",COUNTIFS('Debt Backlog'!$AF$2:$AF$1000,$A978,'Debt Backlog'!$B$2:$B$1000,"&lt;&gt;",'Debt Backlog'!$N$2:$N$1000,"&lt;&gt;Done",'Debt Backlog'!$N$2:$N$1000,"&lt;&gt;Won't Fix",'Debt Backlog'!$N$2:$N$1000,"&lt;&gt;Duplicate"))</f>
        <v/>
      </c>
      <c r="AI978" s="103" t="str">
        <f aca="false">IF($B978="","",ROUND(SUMIFS('Debt Backlog'!$L$2:$L$1000,'Debt Backlog'!$AF$2:$AF$1000,$A978,'Debt Backlog'!$B$2:$B$1000,"&lt;&gt;",'Debt Backlog'!$N$2:$N$1000,"&lt;&gt;Done",'Debt Backlog'!$N$2:$N$1000,"&lt;&gt;Won't Fix",'Debt Backlog'!$N$2:$N$1000,"&lt;&gt;Duplicate"),2))</f>
        <v/>
      </c>
    </row>
    <row r="979" customFormat="false" ht="15.75" hidden="false" customHeight="true" outlineLevel="0" collapsed="false">
      <c r="A979" s="125"/>
      <c r="B979" s="101"/>
      <c r="C979" s="101"/>
      <c r="D979" s="101"/>
      <c r="E979" s="101"/>
      <c r="F979" s="101"/>
      <c r="G979" s="101"/>
      <c r="H979" s="101"/>
      <c r="I979" s="106"/>
      <c r="J979" s="106"/>
      <c r="K979" s="106"/>
      <c r="L979" s="106"/>
      <c r="M979" s="106"/>
      <c r="N979" s="103" t="str">
        <f aca="false">IF(OR($B979="", $I979="", $J979="", $K979="", $L979="", $M979=""),"",ROUND(($I979*Lists!$AD$2)+($J979*Lists!$AD$3)+($K979*Lists!$AD$4)+($L979*Lists!$AD$5)+($M979*Lists!$AD$6),2))</f>
        <v/>
      </c>
      <c r="O979" s="103" t="str">
        <f aca="false">IF($A979="","",IFERROR(VLOOKUP($A979,'Risk Register'!$B$2:$I$1000,8,FALSE()),""))</f>
        <v/>
      </c>
      <c r="P979" s="106"/>
      <c r="Q979" s="106"/>
      <c r="R979" s="106"/>
      <c r="S979" s="106"/>
      <c r="T979" s="103" t="str">
        <f aca="false">IF(OR($B979="", $P979="", $Q979="", $R979="", $S979=""),"",ROUND(($P979*Lists!$AD$7)+($Q979*Lists!$AD$8)+($R979*Lists!$AD$9)+($S979*Lists!$AD$10),2))</f>
        <v/>
      </c>
      <c r="U979" s="106"/>
      <c r="V979" s="106"/>
      <c r="W979" s="106"/>
      <c r="X979" s="106"/>
      <c r="Y979" s="106"/>
      <c r="Z979" s="103" t="str">
        <f aca="false">IF(OR($B979="", $U979="", $V979="", $W979="", $X979="", $Y979=""),"",ROUND(($U979*Lists!$AD$11)+($V979*Lists!$AD$12)+($W979*Lists!$AD$13)+($X979*Lists!$AD$14)+($Y979*Lists!$AD$15),2))</f>
        <v/>
      </c>
      <c r="AA979" s="103" t="str">
        <f aca="false">IF(OR($B979="", $N979="", $O979="", $T979="", $Z979=""),"",ROUND(($N979*Lists!$AD$16)-($O979*Lists!$AD$17)-($T979*Lists!$AD$18)+($Z979*Lists!$AD$19),2))</f>
        <v/>
      </c>
      <c r="AB979" s="102" t="str">
        <f aca="false">IF(OR($B979="", $N979="", $Z979=""),"",IF($N979&gt;=Lists!$AG$2,IF($Z979&gt;=Lists!$AG$3,"Invest","Migrate"),IF($Z979&gt;=Lists!$AG$3,"Tolerate","Eliminate")))</f>
        <v/>
      </c>
      <c r="AC979" s="102" t="str">
        <f aca="false">IF($B979="","",IF($J979&gt;=4,"Yes",""))</f>
        <v/>
      </c>
      <c r="AD979" s="102" t="str">
        <f aca="false">IF($A979="","",IFERROR(IF(VLOOKUP($A979,'Risk Register'!$B$2:$H$1000,4,FALSE())&gt;=4,"Yes",""),""))</f>
        <v/>
      </c>
      <c r="AE979" s="102" t="str">
        <f aca="false">IF(OR($N979="", $O979=""),"",IF($N979&gt;=Lists!$AG$2,IF($O979&gt;=Lists!$AG$4,"High Value / High Risk","High Value / Low Risk"),IF($O979&gt;=Lists!$AG$4,"Low Value / High Risk","Low Value / Low Risk")))</f>
        <v/>
      </c>
      <c r="AF979" s="101"/>
      <c r="AG979" s="126"/>
      <c r="AH979" s="106" t="str">
        <f aca="false">IF($B979="","",COUNTIFS('Debt Backlog'!$AF$2:$AF$1000,$A979,'Debt Backlog'!$B$2:$B$1000,"&lt;&gt;",'Debt Backlog'!$N$2:$N$1000,"&lt;&gt;Done",'Debt Backlog'!$N$2:$N$1000,"&lt;&gt;Won't Fix",'Debt Backlog'!$N$2:$N$1000,"&lt;&gt;Duplicate"))</f>
        <v/>
      </c>
      <c r="AI979" s="103" t="str">
        <f aca="false">IF($B979="","",ROUND(SUMIFS('Debt Backlog'!$L$2:$L$1000,'Debt Backlog'!$AF$2:$AF$1000,$A979,'Debt Backlog'!$B$2:$B$1000,"&lt;&gt;",'Debt Backlog'!$N$2:$N$1000,"&lt;&gt;Done",'Debt Backlog'!$N$2:$N$1000,"&lt;&gt;Won't Fix",'Debt Backlog'!$N$2:$N$1000,"&lt;&gt;Duplicate"),2))</f>
        <v/>
      </c>
    </row>
    <row r="980" customFormat="false" ht="15.75" hidden="false" customHeight="true" outlineLevel="0" collapsed="false">
      <c r="A980" s="125"/>
      <c r="B980" s="101"/>
      <c r="C980" s="101"/>
      <c r="D980" s="101"/>
      <c r="E980" s="101"/>
      <c r="F980" s="101"/>
      <c r="G980" s="101"/>
      <c r="H980" s="101"/>
      <c r="I980" s="106"/>
      <c r="J980" s="106"/>
      <c r="K980" s="106"/>
      <c r="L980" s="106"/>
      <c r="M980" s="106"/>
      <c r="N980" s="103" t="str">
        <f aca="false">IF(OR($B980="", $I980="", $J980="", $K980="", $L980="", $M980=""),"",ROUND(($I980*Lists!$AD$2)+($J980*Lists!$AD$3)+($K980*Lists!$AD$4)+($L980*Lists!$AD$5)+($M980*Lists!$AD$6),2))</f>
        <v/>
      </c>
      <c r="O980" s="103" t="str">
        <f aca="false">IF($A980="","",IFERROR(VLOOKUP($A980,'Risk Register'!$B$2:$I$1000,8,FALSE()),""))</f>
        <v/>
      </c>
      <c r="P980" s="106"/>
      <c r="Q980" s="106"/>
      <c r="R980" s="106"/>
      <c r="S980" s="106"/>
      <c r="T980" s="103" t="str">
        <f aca="false">IF(OR($B980="", $P980="", $Q980="", $R980="", $S980=""),"",ROUND(($P980*Lists!$AD$7)+($Q980*Lists!$AD$8)+($R980*Lists!$AD$9)+($S980*Lists!$AD$10),2))</f>
        <v/>
      </c>
      <c r="U980" s="106"/>
      <c r="V980" s="106"/>
      <c r="W980" s="106"/>
      <c r="X980" s="106"/>
      <c r="Y980" s="106"/>
      <c r="Z980" s="103" t="str">
        <f aca="false">IF(OR($B980="", $U980="", $V980="", $W980="", $X980="", $Y980=""),"",ROUND(($U980*Lists!$AD$11)+($V980*Lists!$AD$12)+($W980*Lists!$AD$13)+($X980*Lists!$AD$14)+($Y980*Lists!$AD$15),2))</f>
        <v/>
      </c>
      <c r="AA980" s="103" t="str">
        <f aca="false">IF(OR($B980="", $N980="", $O980="", $T980="", $Z980=""),"",ROUND(($N980*Lists!$AD$16)-($O980*Lists!$AD$17)-($T980*Lists!$AD$18)+($Z980*Lists!$AD$19),2))</f>
        <v/>
      </c>
      <c r="AB980" s="102" t="str">
        <f aca="false">IF(OR($B980="", $N980="", $Z980=""),"",IF($N980&gt;=Lists!$AG$2,IF($Z980&gt;=Lists!$AG$3,"Invest","Migrate"),IF($Z980&gt;=Lists!$AG$3,"Tolerate","Eliminate")))</f>
        <v/>
      </c>
      <c r="AC980" s="102" t="str">
        <f aca="false">IF($B980="","",IF($J980&gt;=4,"Yes",""))</f>
        <v/>
      </c>
      <c r="AD980" s="102" t="str">
        <f aca="false">IF($A980="","",IFERROR(IF(VLOOKUP($A980,'Risk Register'!$B$2:$H$1000,4,FALSE())&gt;=4,"Yes",""),""))</f>
        <v/>
      </c>
      <c r="AE980" s="102" t="str">
        <f aca="false">IF(OR($N980="", $O980=""),"",IF($N980&gt;=Lists!$AG$2,IF($O980&gt;=Lists!$AG$4,"High Value / High Risk","High Value / Low Risk"),IF($O980&gt;=Lists!$AG$4,"Low Value / High Risk","Low Value / Low Risk")))</f>
        <v/>
      </c>
      <c r="AF980" s="101"/>
      <c r="AG980" s="126"/>
      <c r="AH980" s="106" t="str">
        <f aca="false">IF($B980="","",COUNTIFS('Debt Backlog'!$AF$2:$AF$1000,$A980,'Debt Backlog'!$B$2:$B$1000,"&lt;&gt;",'Debt Backlog'!$N$2:$N$1000,"&lt;&gt;Done",'Debt Backlog'!$N$2:$N$1000,"&lt;&gt;Won't Fix",'Debt Backlog'!$N$2:$N$1000,"&lt;&gt;Duplicate"))</f>
        <v/>
      </c>
      <c r="AI980" s="103" t="str">
        <f aca="false">IF($B980="","",ROUND(SUMIFS('Debt Backlog'!$L$2:$L$1000,'Debt Backlog'!$AF$2:$AF$1000,$A980,'Debt Backlog'!$B$2:$B$1000,"&lt;&gt;",'Debt Backlog'!$N$2:$N$1000,"&lt;&gt;Done",'Debt Backlog'!$N$2:$N$1000,"&lt;&gt;Won't Fix",'Debt Backlog'!$N$2:$N$1000,"&lt;&gt;Duplicate"),2))</f>
        <v/>
      </c>
    </row>
    <row r="981" customFormat="false" ht="15.75" hidden="false" customHeight="true" outlineLevel="0" collapsed="false">
      <c r="A981" s="125"/>
      <c r="B981" s="101"/>
      <c r="C981" s="101"/>
      <c r="D981" s="101"/>
      <c r="E981" s="101"/>
      <c r="F981" s="101"/>
      <c r="G981" s="101"/>
      <c r="H981" s="101"/>
      <c r="I981" s="106"/>
      <c r="J981" s="106"/>
      <c r="K981" s="106"/>
      <c r="L981" s="106"/>
      <c r="M981" s="106"/>
      <c r="N981" s="103" t="str">
        <f aca="false">IF(OR($B981="", $I981="", $J981="", $K981="", $L981="", $M981=""),"",ROUND(($I981*Lists!$AD$2)+($J981*Lists!$AD$3)+($K981*Lists!$AD$4)+($L981*Lists!$AD$5)+($M981*Lists!$AD$6),2))</f>
        <v/>
      </c>
      <c r="O981" s="103" t="str">
        <f aca="false">IF($A981="","",IFERROR(VLOOKUP($A981,'Risk Register'!$B$2:$I$1000,8,FALSE()),""))</f>
        <v/>
      </c>
      <c r="P981" s="106"/>
      <c r="Q981" s="106"/>
      <c r="R981" s="106"/>
      <c r="S981" s="106"/>
      <c r="T981" s="103" t="str">
        <f aca="false">IF(OR($B981="", $P981="", $Q981="", $R981="", $S981=""),"",ROUND(($P981*Lists!$AD$7)+($Q981*Lists!$AD$8)+($R981*Lists!$AD$9)+($S981*Lists!$AD$10),2))</f>
        <v/>
      </c>
      <c r="U981" s="106"/>
      <c r="V981" s="106"/>
      <c r="W981" s="106"/>
      <c r="X981" s="106"/>
      <c r="Y981" s="106"/>
      <c r="Z981" s="103" t="str">
        <f aca="false">IF(OR($B981="", $U981="", $V981="", $W981="", $X981="", $Y981=""),"",ROUND(($U981*Lists!$AD$11)+($V981*Lists!$AD$12)+($W981*Lists!$AD$13)+($X981*Lists!$AD$14)+($Y981*Lists!$AD$15),2))</f>
        <v/>
      </c>
      <c r="AA981" s="103" t="str">
        <f aca="false">IF(OR($B981="", $N981="", $O981="", $T981="", $Z981=""),"",ROUND(($N981*Lists!$AD$16)-($O981*Lists!$AD$17)-($T981*Lists!$AD$18)+($Z981*Lists!$AD$19),2))</f>
        <v/>
      </c>
      <c r="AB981" s="102" t="str">
        <f aca="false">IF(OR($B981="", $N981="", $Z981=""),"",IF($N981&gt;=Lists!$AG$2,IF($Z981&gt;=Lists!$AG$3,"Invest","Migrate"),IF($Z981&gt;=Lists!$AG$3,"Tolerate","Eliminate")))</f>
        <v/>
      </c>
      <c r="AC981" s="102" t="str">
        <f aca="false">IF($B981="","",IF($J981&gt;=4,"Yes",""))</f>
        <v/>
      </c>
      <c r="AD981" s="102" t="str">
        <f aca="false">IF($A981="","",IFERROR(IF(VLOOKUP($A981,'Risk Register'!$B$2:$H$1000,4,FALSE())&gt;=4,"Yes",""),""))</f>
        <v/>
      </c>
      <c r="AE981" s="102" t="str">
        <f aca="false">IF(OR($N981="", $O981=""),"",IF($N981&gt;=Lists!$AG$2,IF($O981&gt;=Lists!$AG$4,"High Value / High Risk","High Value / Low Risk"),IF($O981&gt;=Lists!$AG$4,"Low Value / High Risk","Low Value / Low Risk")))</f>
        <v/>
      </c>
      <c r="AF981" s="101"/>
      <c r="AG981" s="126"/>
      <c r="AH981" s="106" t="str">
        <f aca="false">IF($B981="","",COUNTIFS('Debt Backlog'!$AF$2:$AF$1000,$A981,'Debt Backlog'!$B$2:$B$1000,"&lt;&gt;",'Debt Backlog'!$N$2:$N$1000,"&lt;&gt;Done",'Debt Backlog'!$N$2:$N$1000,"&lt;&gt;Won't Fix",'Debt Backlog'!$N$2:$N$1000,"&lt;&gt;Duplicate"))</f>
        <v/>
      </c>
      <c r="AI981" s="103" t="str">
        <f aca="false">IF($B981="","",ROUND(SUMIFS('Debt Backlog'!$L$2:$L$1000,'Debt Backlog'!$AF$2:$AF$1000,$A981,'Debt Backlog'!$B$2:$B$1000,"&lt;&gt;",'Debt Backlog'!$N$2:$N$1000,"&lt;&gt;Done",'Debt Backlog'!$N$2:$N$1000,"&lt;&gt;Won't Fix",'Debt Backlog'!$N$2:$N$1000,"&lt;&gt;Duplicate"),2))</f>
        <v/>
      </c>
    </row>
    <row r="982" customFormat="false" ht="15.75" hidden="false" customHeight="true" outlineLevel="0" collapsed="false">
      <c r="A982" s="125"/>
      <c r="B982" s="101"/>
      <c r="C982" s="101"/>
      <c r="D982" s="101"/>
      <c r="E982" s="101"/>
      <c r="F982" s="101"/>
      <c r="G982" s="101"/>
      <c r="H982" s="101"/>
      <c r="I982" s="106"/>
      <c r="J982" s="106"/>
      <c r="K982" s="106"/>
      <c r="L982" s="106"/>
      <c r="M982" s="106"/>
      <c r="N982" s="103" t="str">
        <f aca="false">IF(OR($B982="", $I982="", $J982="", $K982="", $L982="", $M982=""),"",ROUND(($I982*Lists!$AD$2)+($J982*Lists!$AD$3)+($K982*Lists!$AD$4)+($L982*Lists!$AD$5)+($M982*Lists!$AD$6),2))</f>
        <v/>
      </c>
      <c r="O982" s="103" t="str">
        <f aca="false">IF($A982="","",IFERROR(VLOOKUP($A982,'Risk Register'!$B$2:$I$1000,8,FALSE()),""))</f>
        <v/>
      </c>
      <c r="P982" s="106"/>
      <c r="Q982" s="106"/>
      <c r="R982" s="106"/>
      <c r="S982" s="106"/>
      <c r="T982" s="103" t="str">
        <f aca="false">IF(OR($B982="", $P982="", $Q982="", $R982="", $S982=""),"",ROUND(($P982*Lists!$AD$7)+($Q982*Lists!$AD$8)+($R982*Lists!$AD$9)+($S982*Lists!$AD$10),2))</f>
        <v/>
      </c>
      <c r="U982" s="106"/>
      <c r="V982" s="106"/>
      <c r="W982" s="106"/>
      <c r="X982" s="106"/>
      <c r="Y982" s="106"/>
      <c r="Z982" s="103" t="str">
        <f aca="false">IF(OR($B982="", $U982="", $V982="", $W982="", $X982="", $Y982=""),"",ROUND(($U982*Lists!$AD$11)+($V982*Lists!$AD$12)+($W982*Lists!$AD$13)+($X982*Lists!$AD$14)+($Y982*Lists!$AD$15),2))</f>
        <v/>
      </c>
      <c r="AA982" s="103" t="str">
        <f aca="false">IF(OR($B982="", $N982="", $O982="", $T982="", $Z982=""),"",ROUND(($N982*Lists!$AD$16)-($O982*Lists!$AD$17)-($T982*Lists!$AD$18)+($Z982*Lists!$AD$19),2))</f>
        <v/>
      </c>
      <c r="AB982" s="102" t="str">
        <f aca="false">IF(OR($B982="", $N982="", $Z982=""),"",IF($N982&gt;=Lists!$AG$2,IF($Z982&gt;=Lists!$AG$3,"Invest","Migrate"),IF($Z982&gt;=Lists!$AG$3,"Tolerate","Eliminate")))</f>
        <v/>
      </c>
      <c r="AC982" s="102" t="str">
        <f aca="false">IF($B982="","",IF($J982&gt;=4,"Yes",""))</f>
        <v/>
      </c>
      <c r="AD982" s="102" t="str">
        <f aca="false">IF($A982="","",IFERROR(IF(VLOOKUP($A982,'Risk Register'!$B$2:$H$1000,4,FALSE())&gt;=4,"Yes",""),""))</f>
        <v/>
      </c>
      <c r="AE982" s="102" t="str">
        <f aca="false">IF(OR($N982="", $O982=""),"",IF($N982&gt;=Lists!$AG$2,IF($O982&gt;=Lists!$AG$4,"High Value / High Risk","High Value / Low Risk"),IF($O982&gt;=Lists!$AG$4,"Low Value / High Risk","Low Value / Low Risk")))</f>
        <v/>
      </c>
      <c r="AF982" s="101"/>
      <c r="AG982" s="126"/>
      <c r="AH982" s="106" t="str">
        <f aca="false">IF($B982="","",COUNTIFS('Debt Backlog'!$AF$2:$AF$1000,$A982,'Debt Backlog'!$B$2:$B$1000,"&lt;&gt;",'Debt Backlog'!$N$2:$N$1000,"&lt;&gt;Done",'Debt Backlog'!$N$2:$N$1000,"&lt;&gt;Won't Fix",'Debt Backlog'!$N$2:$N$1000,"&lt;&gt;Duplicate"))</f>
        <v/>
      </c>
      <c r="AI982" s="103" t="str">
        <f aca="false">IF($B982="","",ROUND(SUMIFS('Debt Backlog'!$L$2:$L$1000,'Debt Backlog'!$AF$2:$AF$1000,$A982,'Debt Backlog'!$B$2:$B$1000,"&lt;&gt;",'Debt Backlog'!$N$2:$N$1000,"&lt;&gt;Done",'Debt Backlog'!$N$2:$N$1000,"&lt;&gt;Won't Fix",'Debt Backlog'!$N$2:$N$1000,"&lt;&gt;Duplicate"),2))</f>
        <v/>
      </c>
    </row>
    <row r="983" customFormat="false" ht="15.75" hidden="false" customHeight="true" outlineLevel="0" collapsed="false">
      <c r="A983" s="125"/>
      <c r="B983" s="101"/>
      <c r="C983" s="101"/>
      <c r="D983" s="101"/>
      <c r="E983" s="101"/>
      <c r="F983" s="101"/>
      <c r="G983" s="101"/>
      <c r="H983" s="101"/>
      <c r="I983" s="106"/>
      <c r="J983" s="106"/>
      <c r="K983" s="106"/>
      <c r="L983" s="106"/>
      <c r="M983" s="106"/>
      <c r="N983" s="103" t="str">
        <f aca="false">IF(OR($B983="", $I983="", $J983="", $K983="", $L983="", $M983=""),"",ROUND(($I983*Lists!$AD$2)+($J983*Lists!$AD$3)+($K983*Lists!$AD$4)+($L983*Lists!$AD$5)+($M983*Lists!$AD$6),2))</f>
        <v/>
      </c>
      <c r="O983" s="103" t="str">
        <f aca="false">IF($A983="","",IFERROR(VLOOKUP($A983,'Risk Register'!$B$2:$I$1000,8,FALSE()),""))</f>
        <v/>
      </c>
      <c r="P983" s="106"/>
      <c r="Q983" s="106"/>
      <c r="R983" s="106"/>
      <c r="S983" s="106"/>
      <c r="T983" s="103" t="str">
        <f aca="false">IF(OR($B983="", $P983="", $Q983="", $R983="", $S983=""),"",ROUND(($P983*Lists!$AD$7)+($Q983*Lists!$AD$8)+($R983*Lists!$AD$9)+($S983*Lists!$AD$10),2))</f>
        <v/>
      </c>
      <c r="U983" s="106"/>
      <c r="V983" s="106"/>
      <c r="W983" s="106"/>
      <c r="X983" s="106"/>
      <c r="Y983" s="106"/>
      <c r="Z983" s="103" t="str">
        <f aca="false">IF(OR($B983="", $U983="", $V983="", $W983="", $X983="", $Y983=""),"",ROUND(($U983*Lists!$AD$11)+($V983*Lists!$AD$12)+($W983*Lists!$AD$13)+($X983*Lists!$AD$14)+($Y983*Lists!$AD$15),2))</f>
        <v/>
      </c>
      <c r="AA983" s="103" t="str">
        <f aca="false">IF(OR($B983="", $N983="", $O983="", $T983="", $Z983=""),"",ROUND(($N983*Lists!$AD$16)-($O983*Lists!$AD$17)-($T983*Lists!$AD$18)+($Z983*Lists!$AD$19),2))</f>
        <v/>
      </c>
      <c r="AB983" s="102" t="str">
        <f aca="false">IF(OR($B983="", $N983="", $Z983=""),"",IF($N983&gt;=Lists!$AG$2,IF($Z983&gt;=Lists!$AG$3,"Invest","Migrate"),IF($Z983&gt;=Lists!$AG$3,"Tolerate","Eliminate")))</f>
        <v/>
      </c>
      <c r="AC983" s="102" t="str">
        <f aca="false">IF($B983="","",IF($J983&gt;=4,"Yes",""))</f>
        <v/>
      </c>
      <c r="AD983" s="102" t="str">
        <f aca="false">IF($A983="","",IFERROR(IF(VLOOKUP($A983,'Risk Register'!$B$2:$H$1000,4,FALSE())&gt;=4,"Yes",""),""))</f>
        <v/>
      </c>
      <c r="AE983" s="102" t="str">
        <f aca="false">IF(OR($N983="", $O983=""),"",IF($N983&gt;=Lists!$AG$2,IF($O983&gt;=Lists!$AG$4,"High Value / High Risk","High Value / Low Risk"),IF($O983&gt;=Lists!$AG$4,"Low Value / High Risk","Low Value / Low Risk")))</f>
        <v/>
      </c>
      <c r="AF983" s="101"/>
      <c r="AG983" s="126"/>
      <c r="AH983" s="106" t="str">
        <f aca="false">IF($B983="","",COUNTIFS('Debt Backlog'!$AF$2:$AF$1000,$A983,'Debt Backlog'!$B$2:$B$1000,"&lt;&gt;",'Debt Backlog'!$N$2:$N$1000,"&lt;&gt;Done",'Debt Backlog'!$N$2:$N$1000,"&lt;&gt;Won't Fix",'Debt Backlog'!$N$2:$N$1000,"&lt;&gt;Duplicate"))</f>
        <v/>
      </c>
      <c r="AI983" s="103" t="str">
        <f aca="false">IF($B983="","",ROUND(SUMIFS('Debt Backlog'!$L$2:$L$1000,'Debt Backlog'!$AF$2:$AF$1000,$A983,'Debt Backlog'!$B$2:$B$1000,"&lt;&gt;",'Debt Backlog'!$N$2:$N$1000,"&lt;&gt;Done",'Debt Backlog'!$N$2:$N$1000,"&lt;&gt;Won't Fix",'Debt Backlog'!$N$2:$N$1000,"&lt;&gt;Duplicate"),2))</f>
        <v/>
      </c>
    </row>
    <row r="984" customFormat="false" ht="15.75" hidden="false" customHeight="true" outlineLevel="0" collapsed="false">
      <c r="A984" s="125"/>
      <c r="B984" s="101"/>
      <c r="C984" s="101"/>
      <c r="D984" s="101"/>
      <c r="E984" s="101"/>
      <c r="F984" s="101"/>
      <c r="G984" s="101"/>
      <c r="H984" s="101"/>
      <c r="I984" s="106"/>
      <c r="J984" s="106"/>
      <c r="K984" s="106"/>
      <c r="L984" s="106"/>
      <c r="M984" s="106"/>
      <c r="N984" s="103" t="str">
        <f aca="false">IF(OR($B984="", $I984="", $J984="", $K984="", $L984="", $M984=""),"",ROUND(($I984*Lists!$AD$2)+($J984*Lists!$AD$3)+($K984*Lists!$AD$4)+($L984*Lists!$AD$5)+($M984*Lists!$AD$6),2))</f>
        <v/>
      </c>
      <c r="O984" s="103" t="str">
        <f aca="false">IF($A984="","",IFERROR(VLOOKUP($A984,'Risk Register'!$B$2:$I$1000,8,FALSE()),""))</f>
        <v/>
      </c>
      <c r="P984" s="106"/>
      <c r="Q984" s="106"/>
      <c r="R984" s="106"/>
      <c r="S984" s="106"/>
      <c r="T984" s="103" t="str">
        <f aca="false">IF(OR($B984="", $P984="", $Q984="", $R984="", $S984=""),"",ROUND(($P984*Lists!$AD$7)+($Q984*Lists!$AD$8)+($R984*Lists!$AD$9)+($S984*Lists!$AD$10),2))</f>
        <v/>
      </c>
      <c r="U984" s="106"/>
      <c r="V984" s="106"/>
      <c r="W984" s="106"/>
      <c r="X984" s="106"/>
      <c r="Y984" s="106"/>
      <c r="Z984" s="103" t="str">
        <f aca="false">IF(OR($B984="", $U984="", $V984="", $W984="", $X984="", $Y984=""),"",ROUND(($U984*Lists!$AD$11)+($V984*Lists!$AD$12)+($W984*Lists!$AD$13)+($X984*Lists!$AD$14)+($Y984*Lists!$AD$15),2))</f>
        <v/>
      </c>
      <c r="AA984" s="103" t="str">
        <f aca="false">IF(OR($B984="", $N984="", $O984="", $T984="", $Z984=""),"",ROUND(($N984*Lists!$AD$16)-($O984*Lists!$AD$17)-($T984*Lists!$AD$18)+($Z984*Lists!$AD$19),2))</f>
        <v/>
      </c>
      <c r="AB984" s="102" t="str">
        <f aca="false">IF(OR($B984="", $N984="", $Z984=""),"",IF($N984&gt;=Lists!$AG$2,IF($Z984&gt;=Lists!$AG$3,"Invest","Migrate"),IF($Z984&gt;=Lists!$AG$3,"Tolerate","Eliminate")))</f>
        <v/>
      </c>
      <c r="AC984" s="102" t="str">
        <f aca="false">IF($B984="","",IF($J984&gt;=4,"Yes",""))</f>
        <v/>
      </c>
      <c r="AD984" s="102" t="str">
        <f aca="false">IF($A984="","",IFERROR(IF(VLOOKUP($A984,'Risk Register'!$B$2:$H$1000,4,FALSE())&gt;=4,"Yes",""),""))</f>
        <v/>
      </c>
      <c r="AE984" s="102" t="str">
        <f aca="false">IF(OR($N984="", $O984=""),"",IF($N984&gt;=Lists!$AG$2,IF($O984&gt;=Lists!$AG$4,"High Value / High Risk","High Value / Low Risk"),IF($O984&gt;=Lists!$AG$4,"Low Value / High Risk","Low Value / Low Risk")))</f>
        <v/>
      </c>
      <c r="AF984" s="101"/>
      <c r="AG984" s="126"/>
      <c r="AH984" s="106" t="str">
        <f aca="false">IF($B984="","",COUNTIFS('Debt Backlog'!$AF$2:$AF$1000,$A984,'Debt Backlog'!$B$2:$B$1000,"&lt;&gt;",'Debt Backlog'!$N$2:$N$1000,"&lt;&gt;Done",'Debt Backlog'!$N$2:$N$1000,"&lt;&gt;Won't Fix",'Debt Backlog'!$N$2:$N$1000,"&lt;&gt;Duplicate"))</f>
        <v/>
      </c>
      <c r="AI984" s="103" t="str">
        <f aca="false">IF($B984="","",ROUND(SUMIFS('Debt Backlog'!$L$2:$L$1000,'Debt Backlog'!$AF$2:$AF$1000,$A984,'Debt Backlog'!$B$2:$B$1000,"&lt;&gt;",'Debt Backlog'!$N$2:$N$1000,"&lt;&gt;Done",'Debt Backlog'!$N$2:$N$1000,"&lt;&gt;Won't Fix",'Debt Backlog'!$N$2:$N$1000,"&lt;&gt;Duplicate"),2))</f>
        <v/>
      </c>
    </row>
    <row r="985" customFormat="false" ht="15.75" hidden="false" customHeight="true" outlineLevel="0" collapsed="false">
      <c r="A985" s="125"/>
      <c r="B985" s="101"/>
      <c r="C985" s="101"/>
      <c r="D985" s="101"/>
      <c r="E985" s="101"/>
      <c r="F985" s="101"/>
      <c r="G985" s="101"/>
      <c r="H985" s="101"/>
      <c r="I985" s="106"/>
      <c r="J985" s="106"/>
      <c r="K985" s="106"/>
      <c r="L985" s="106"/>
      <c r="M985" s="106"/>
      <c r="N985" s="103" t="str">
        <f aca="false">IF(OR($B985="", $I985="", $J985="", $K985="", $L985="", $M985=""),"",ROUND(($I985*Lists!$AD$2)+($J985*Lists!$AD$3)+($K985*Lists!$AD$4)+($L985*Lists!$AD$5)+($M985*Lists!$AD$6),2))</f>
        <v/>
      </c>
      <c r="O985" s="103" t="str">
        <f aca="false">IF($A985="","",IFERROR(VLOOKUP($A985,'Risk Register'!$B$2:$I$1000,8,FALSE()),""))</f>
        <v/>
      </c>
      <c r="P985" s="106"/>
      <c r="Q985" s="106"/>
      <c r="R985" s="106"/>
      <c r="S985" s="106"/>
      <c r="T985" s="103" t="str">
        <f aca="false">IF(OR($B985="", $P985="", $Q985="", $R985="", $S985=""),"",ROUND(($P985*Lists!$AD$7)+($Q985*Lists!$AD$8)+($R985*Lists!$AD$9)+($S985*Lists!$AD$10),2))</f>
        <v/>
      </c>
      <c r="U985" s="106"/>
      <c r="V985" s="106"/>
      <c r="W985" s="106"/>
      <c r="X985" s="106"/>
      <c r="Y985" s="106"/>
      <c r="Z985" s="103" t="str">
        <f aca="false">IF(OR($B985="", $U985="", $V985="", $W985="", $X985="", $Y985=""),"",ROUND(($U985*Lists!$AD$11)+($V985*Lists!$AD$12)+($W985*Lists!$AD$13)+($X985*Lists!$AD$14)+($Y985*Lists!$AD$15),2))</f>
        <v/>
      </c>
      <c r="AA985" s="103" t="str">
        <f aca="false">IF(OR($B985="", $N985="", $O985="", $T985="", $Z985=""),"",ROUND(($N985*Lists!$AD$16)-($O985*Lists!$AD$17)-($T985*Lists!$AD$18)+($Z985*Lists!$AD$19),2))</f>
        <v/>
      </c>
      <c r="AB985" s="102" t="str">
        <f aca="false">IF(OR($B985="", $N985="", $Z985=""),"",IF($N985&gt;=Lists!$AG$2,IF($Z985&gt;=Lists!$AG$3,"Invest","Migrate"),IF($Z985&gt;=Lists!$AG$3,"Tolerate","Eliminate")))</f>
        <v/>
      </c>
      <c r="AC985" s="102" t="str">
        <f aca="false">IF($B985="","",IF($J985&gt;=4,"Yes",""))</f>
        <v/>
      </c>
      <c r="AD985" s="102" t="str">
        <f aca="false">IF($A985="","",IFERROR(IF(VLOOKUP($A985,'Risk Register'!$B$2:$H$1000,4,FALSE())&gt;=4,"Yes",""),""))</f>
        <v/>
      </c>
      <c r="AE985" s="102" t="str">
        <f aca="false">IF(OR($N985="", $O985=""),"",IF($N985&gt;=Lists!$AG$2,IF($O985&gt;=Lists!$AG$4,"High Value / High Risk","High Value / Low Risk"),IF($O985&gt;=Lists!$AG$4,"Low Value / High Risk","Low Value / Low Risk")))</f>
        <v/>
      </c>
      <c r="AF985" s="101"/>
      <c r="AG985" s="126"/>
      <c r="AH985" s="106" t="str">
        <f aca="false">IF($B985="","",COUNTIFS('Debt Backlog'!$AF$2:$AF$1000,$A985,'Debt Backlog'!$B$2:$B$1000,"&lt;&gt;",'Debt Backlog'!$N$2:$N$1000,"&lt;&gt;Done",'Debt Backlog'!$N$2:$N$1000,"&lt;&gt;Won't Fix",'Debt Backlog'!$N$2:$N$1000,"&lt;&gt;Duplicate"))</f>
        <v/>
      </c>
      <c r="AI985" s="103" t="str">
        <f aca="false">IF($B985="","",ROUND(SUMIFS('Debt Backlog'!$L$2:$L$1000,'Debt Backlog'!$AF$2:$AF$1000,$A985,'Debt Backlog'!$B$2:$B$1000,"&lt;&gt;",'Debt Backlog'!$N$2:$N$1000,"&lt;&gt;Done",'Debt Backlog'!$N$2:$N$1000,"&lt;&gt;Won't Fix",'Debt Backlog'!$N$2:$N$1000,"&lt;&gt;Duplicate"),2))</f>
        <v/>
      </c>
    </row>
    <row r="986" customFormat="false" ht="15.75" hidden="false" customHeight="true" outlineLevel="0" collapsed="false">
      <c r="A986" s="125"/>
      <c r="B986" s="101"/>
      <c r="C986" s="101"/>
      <c r="D986" s="101"/>
      <c r="E986" s="101"/>
      <c r="F986" s="101"/>
      <c r="G986" s="101"/>
      <c r="H986" s="101"/>
      <c r="I986" s="106"/>
      <c r="J986" s="106"/>
      <c r="K986" s="106"/>
      <c r="L986" s="106"/>
      <c r="M986" s="106"/>
      <c r="N986" s="103" t="str">
        <f aca="false">IF(OR($B986="", $I986="", $J986="", $K986="", $L986="", $M986=""),"",ROUND(($I986*Lists!$AD$2)+($J986*Lists!$AD$3)+($K986*Lists!$AD$4)+($L986*Lists!$AD$5)+($M986*Lists!$AD$6),2))</f>
        <v/>
      </c>
      <c r="O986" s="103" t="str">
        <f aca="false">IF($A986="","",IFERROR(VLOOKUP($A986,'Risk Register'!$B$2:$I$1000,8,FALSE()),""))</f>
        <v/>
      </c>
      <c r="P986" s="106"/>
      <c r="Q986" s="106"/>
      <c r="R986" s="106"/>
      <c r="S986" s="106"/>
      <c r="T986" s="103" t="str">
        <f aca="false">IF(OR($B986="", $P986="", $Q986="", $R986="", $S986=""),"",ROUND(($P986*Lists!$AD$7)+($Q986*Lists!$AD$8)+($R986*Lists!$AD$9)+($S986*Lists!$AD$10),2))</f>
        <v/>
      </c>
      <c r="U986" s="106"/>
      <c r="V986" s="106"/>
      <c r="W986" s="106"/>
      <c r="X986" s="106"/>
      <c r="Y986" s="106"/>
      <c r="Z986" s="103" t="str">
        <f aca="false">IF(OR($B986="", $U986="", $V986="", $W986="", $X986="", $Y986=""),"",ROUND(($U986*Lists!$AD$11)+($V986*Lists!$AD$12)+($W986*Lists!$AD$13)+($X986*Lists!$AD$14)+($Y986*Lists!$AD$15),2))</f>
        <v/>
      </c>
      <c r="AA986" s="103" t="str">
        <f aca="false">IF(OR($B986="", $N986="", $O986="", $T986="", $Z986=""),"",ROUND(($N986*Lists!$AD$16)-($O986*Lists!$AD$17)-($T986*Lists!$AD$18)+($Z986*Lists!$AD$19),2))</f>
        <v/>
      </c>
      <c r="AB986" s="102" t="str">
        <f aca="false">IF(OR($B986="", $N986="", $Z986=""),"",IF($N986&gt;=Lists!$AG$2,IF($Z986&gt;=Lists!$AG$3,"Invest","Migrate"),IF($Z986&gt;=Lists!$AG$3,"Tolerate","Eliminate")))</f>
        <v/>
      </c>
      <c r="AC986" s="102" t="str">
        <f aca="false">IF($B986="","",IF($J986&gt;=4,"Yes",""))</f>
        <v/>
      </c>
      <c r="AD986" s="102" t="str">
        <f aca="false">IF($A986="","",IFERROR(IF(VLOOKUP($A986,'Risk Register'!$B$2:$H$1000,4,FALSE())&gt;=4,"Yes",""),""))</f>
        <v/>
      </c>
      <c r="AE986" s="102" t="str">
        <f aca="false">IF(OR($N986="", $O986=""),"",IF($N986&gt;=Lists!$AG$2,IF($O986&gt;=Lists!$AG$4,"High Value / High Risk","High Value / Low Risk"),IF($O986&gt;=Lists!$AG$4,"Low Value / High Risk","Low Value / Low Risk")))</f>
        <v/>
      </c>
      <c r="AF986" s="101"/>
      <c r="AG986" s="126"/>
      <c r="AH986" s="106" t="str">
        <f aca="false">IF($B986="","",COUNTIFS('Debt Backlog'!$AF$2:$AF$1000,$A986,'Debt Backlog'!$B$2:$B$1000,"&lt;&gt;",'Debt Backlog'!$N$2:$N$1000,"&lt;&gt;Done",'Debt Backlog'!$N$2:$N$1000,"&lt;&gt;Won't Fix",'Debt Backlog'!$N$2:$N$1000,"&lt;&gt;Duplicate"))</f>
        <v/>
      </c>
      <c r="AI986" s="103" t="str">
        <f aca="false">IF($B986="","",ROUND(SUMIFS('Debt Backlog'!$L$2:$L$1000,'Debt Backlog'!$AF$2:$AF$1000,$A986,'Debt Backlog'!$B$2:$B$1000,"&lt;&gt;",'Debt Backlog'!$N$2:$N$1000,"&lt;&gt;Done",'Debt Backlog'!$N$2:$N$1000,"&lt;&gt;Won't Fix",'Debt Backlog'!$N$2:$N$1000,"&lt;&gt;Duplicate"),2))</f>
        <v/>
      </c>
    </row>
    <row r="987" customFormat="false" ht="15.75" hidden="false" customHeight="true" outlineLevel="0" collapsed="false">
      <c r="A987" s="125"/>
      <c r="B987" s="101"/>
      <c r="C987" s="101"/>
      <c r="D987" s="101"/>
      <c r="E987" s="101"/>
      <c r="F987" s="101"/>
      <c r="G987" s="101"/>
      <c r="H987" s="101"/>
      <c r="I987" s="106"/>
      <c r="J987" s="106"/>
      <c r="K987" s="106"/>
      <c r="L987" s="106"/>
      <c r="M987" s="106"/>
      <c r="N987" s="103" t="str">
        <f aca="false">IF(OR($B987="", $I987="", $J987="", $K987="", $L987="", $M987=""),"",ROUND(($I987*Lists!$AD$2)+($J987*Lists!$AD$3)+($K987*Lists!$AD$4)+($L987*Lists!$AD$5)+($M987*Lists!$AD$6),2))</f>
        <v/>
      </c>
      <c r="O987" s="103" t="str">
        <f aca="false">IF($A987="","",IFERROR(VLOOKUP($A987,'Risk Register'!$B$2:$I$1000,8,FALSE()),""))</f>
        <v/>
      </c>
      <c r="P987" s="106"/>
      <c r="Q987" s="106"/>
      <c r="R987" s="106"/>
      <c r="S987" s="106"/>
      <c r="T987" s="103" t="str">
        <f aca="false">IF(OR($B987="", $P987="", $Q987="", $R987="", $S987=""),"",ROUND(($P987*Lists!$AD$7)+($Q987*Lists!$AD$8)+($R987*Lists!$AD$9)+($S987*Lists!$AD$10),2))</f>
        <v/>
      </c>
      <c r="U987" s="106"/>
      <c r="V987" s="106"/>
      <c r="W987" s="106"/>
      <c r="X987" s="106"/>
      <c r="Y987" s="106"/>
      <c r="Z987" s="103" t="str">
        <f aca="false">IF(OR($B987="", $U987="", $V987="", $W987="", $X987="", $Y987=""),"",ROUND(($U987*Lists!$AD$11)+($V987*Lists!$AD$12)+($W987*Lists!$AD$13)+($X987*Lists!$AD$14)+($Y987*Lists!$AD$15),2))</f>
        <v/>
      </c>
      <c r="AA987" s="103" t="str">
        <f aca="false">IF(OR($B987="", $N987="", $O987="", $T987="", $Z987=""),"",ROUND(($N987*Lists!$AD$16)-($O987*Lists!$AD$17)-($T987*Lists!$AD$18)+($Z987*Lists!$AD$19),2))</f>
        <v/>
      </c>
      <c r="AB987" s="102" t="str">
        <f aca="false">IF(OR($B987="", $N987="", $Z987=""),"",IF($N987&gt;=Lists!$AG$2,IF($Z987&gt;=Lists!$AG$3,"Invest","Migrate"),IF($Z987&gt;=Lists!$AG$3,"Tolerate","Eliminate")))</f>
        <v/>
      </c>
      <c r="AC987" s="102" t="str">
        <f aca="false">IF($B987="","",IF($J987&gt;=4,"Yes",""))</f>
        <v/>
      </c>
      <c r="AD987" s="102" t="str">
        <f aca="false">IF($A987="","",IFERROR(IF(VLOOKUP($A987,'Risk Register'!$B$2:$H$1000,4,FALSE())&gt;=4,"Yes",""),""))</f>
        <v/>
      </c>
      <c r="AE987" s="102" t="str">
        <f aca="false">IF(OR($N987="", $O987=""),"",IF($N987&gt;=Lists!$AG$2,IF($O987&gt;=Lists!$AG$4,"High Value / High Risk","High Value / Low Risk"),IF($O987&gt;=Lists!$AG$4,"Low Value / High Risk","Low Value / Low Risk")))</f>
        <v/>
      </c>
      <c r="AF987" s="101"/>
      <c r="AG987" s="126"/>
      <c r="AH987" s="106" t="str">
        <f aca="false">IF($B987="","",COUNTIFS('Debt Backlog'!$AF$2:$AF$1000,$A987,'Debt Backlog'!$B$2:$B$1000,"&lt;&gt;",'Debt Backlog'!$N$2:$N$1000,"&lt;&gt;Done",'Debt Backlog'!$N$2:$N$1000,"&lt;&gt;Won't Fix",'Debt Backlog'!$N$2:$N$1000,"&lt;&gt;Duplicate"))</f>
        <v/>
      </c>
      <c r="AI987" s="103" t="str">
        <f aca="false">IF($B987="","",ROUND(SUMIFS('Debt Backlog'!$L$2:$L$1000,'Debt Backlog'!$AF$2:$AF$1000,$A987,'Debt Backlog'!$B$2:$B$1000,"&lt;&gt;",'Debt Backlog'!$N$2:$N$1000,"&lt;&gt;Done",'Debt Backlog'!$N$2:$N$1000,"&lt;&gt;Won't Fix",'Debt Backlog'!$N$2:$N$1000,"&lt;&gt;Duplicate"),2))</f>
        <v/>
      </c>
    </row>
    <row r="988" customFormat="false" ht="15.75" hidden="false" customHeight="true" outlineLevel="0" collapsed="false">
      <c r="A988" s="125"/>
      <c r="B988" s="101"/>
      <c r="C988" s="101"/>
      <c r="D988" s="101"/>
      <c r="E988" s="101"/>
      <c r="F988" s="101"/>
      <c r="G988" s="101"/>
      <c r="H988" s="101"/>
      <c r="I988" s="106"/>
      <c r="J988" s="106"/>
      <c r="K988" s="106"/>
      <c r="L988" s="106"/>
      <c r="M988" s="106"/>
      <c r="N988" s="103" t="str">
        <f aca="false">IF(OR($B988="", $I988="", $J988="", $K988="", $L988="", $M988=""),"",ROUND(($I988*Lists!$AD$2)+($J988*Lists!$AD$3)+($K988*Lists!$AD$4)+($L988*Lists!$AD$5)+($M988*Lists!$AD$6),2))</f>
        <v/>
      </c>
      <c r="O988" s="103" t="str">
        <f aca="false">IF($A988="","",IFERROR(VLOOKUP($A988,'Risk Register'!$B$2:$I$1000,8,FALSE()),""))</f>
        <v/>
      </c>
      <c r="P988" s="106"/>
      <c r="Q988" s="106"/>
      <c r="R988" s="106"/>
      <c r="S988" s="106"/>
      <c r="T988" s="103" t="str">
        <f aca="false">IF(OR($B988="", $P988="", $Q988="", $R988="", $S988=""),"",ROUND(($P988*Lists!$AD$7)+($Q988*Lists!$AD$8)+($R988*Lists!$AD$9)+($S988*Lists!$AD$10),2))</f>
        <v/>
      </c>
      <c r="U988" s="106"/>
      <c r="V988" s="106"/>
      <c r="W988" s="106"/>
      <c r="X988" s="106"/>
      <c r="Y988" s="106"/>
      <c r="Z988" s="103" t="str">
        <f aca="false">IF(OR($B988="", $U988="", $V988="", $W988="", $X988="", $Y988=""),"",ROUND(($U988*Lists!$AD$11)+($V988*Lists!$AD$12)+($W988*Lists!$AD$13)+($X988*Lists!$AD$14)+($Y988*Lists!$AD$15),2))</f>
        <v/>
      </c>
      <c r="AA988" s="103" t="str">
        <f aca="false">IF(OR($B988="", $N988="", $O988="", $T988="", $Z988=""),"",ROUND(($N988*Lists!$AD$16)-($O988*Lists!$AD$17)-($T988*Lists!$AD$18)+($Z988*Lists!$AD$19),2))</f>
        <v/>
      </c>
      <c r="AB988" s="102" t="str">
        <f aca="false">IF(OR($B988="", $N988="", $Z988=""),"",IF($N988&gt;=Lists!$AG$2,IF($Z988&gt;=Lists!$AG$3,"Invest","Migrate"),IF($Z988&gt;=Lists!$AG$3,"Tolerate","Eliminate")))</f>
        <v/>
      </c>
      <c r="AC988" s="102" t="str">
        <f aca="false">IF($B988="","",IF($J988&gt;=4,"Yes",""))</f>
        <v/>
      </c>
      <c r="AD988" s="102" t="str">
        <f aca="false">IF($A988="","",IFERROR(IF(VLOOKUP($A988,'Risk Register'!$B$2:$H$1000,4,FALSE())&gt;=4,"Yes",""),""))</f>
        <v/>
      </c>
      <c r="AE988" s="102" t="str">
        <f aca="false">IF(OR($N988="", $O988=""),"",IF($N988&gt;=Lists!$AG$2,IF($O988&gt;=Lists!$AG$4,"High Value / High Risk","High Value / Low Risk"),IF($O988&gt;=Lists!$AG$4,"Low Value / High Risk","Low Value / Low Risk")))</f>
        <v/>
      </c>
      <c r="AF988" s="101"/>
      <c r="AG988" s="126"/>
      <c r="AH988" s="106" t="str">
        <f aca="false">IF($B988="","",COUNTIFS('Debt Backlog'!$AF$2:$AF$1000,$A988,'Debt Backlog'!$B$2:$B$1000,"&lt;&gt;",'Debt Backlog'!$N$2:$N$1000,"&lt;&gt;Done",'Debt Backlog'!$N$2:$N$1000,"&lt;&gt;Won't Fix",'Debt Backlog'!$N$2:$N$1000,"&lt;&gt;Duplicate"))</f>
        <v/>
      </c>
      <c r="AI988" s="103" t="str">
        <f aca="false">IF($B988="","",ROUND(SUMIFS('Debt Backlog'!$L$2:$L$1000,'Debt Backlog'!$AF$2:$AF$1000,$A988,'Debt Backlog'!$B$2:$B$1000,"&lt;&gt;",'Debt Backlog'!$N$2:$N$1000,"&lt;&gt;Done",'Debt Backlog'!$N$2:$N$1000,"&lt;&gt;Won't Fix",'Debt Backlog'!$N$2:$N$1000,"&lt;&gt;Duplicate"),2))</f>
        <v/>
      </c>
    </row>
    <row r="989" customFormat="false" ht="15.75" hidden="false" customHeight="true" outlineLevel="0" collapsed="false">
      <c r="A989" s="125"/>
      <c r="B989" s="101"/>
      <c r="C989" s="101"/>
      <c r="D989" s="101"/>
      <c r="E989" s="101"/>
      <c r="F989" s="101"/>
      <c r="G989" s="101"/>
      <c r="H989" s="101"/>
      <c r="I989" s="106"/>
      <c r="J989" s="106"/>
      <c r="K989" s="106"/>
      <c r="L989" s="106"/>
      <c r="M989" s="106"/>
      <c r="N989" s="103" t="str">
        <f aca="false">IF(OR($B989="", $I989="", $J989="", $K989="", $L989="", $M989=""),"",ROUND(($I989*Lists!$AD$2)+($J989*Lists!$AD$3)+($K989*Lists!$AD$4)+($L989*Lists!$AD$5)+($M989*Lists!$AD$6),2))</f>
        <v/>
      </c>
      <c r="O989" s="103" t="str">
        <f aca="false">IF($A989="","",IFERROR(VLOOKUP($A989,'Risk Register'!$B$2:$I$1000,8,FALSE()),""))</f>
        <v/>
      </c>
      <c r="P989" s="106"/>
      <c r="Q989" s="106"/>
      <c r="R989" s="106"/>
      <c r="S989" s="106"/>
      <c r="T989" s="103" t="str">
        <f aca="false">IF(OR($B989="", $P989="", $Q989="", $R989="", $S989=""),"",ROUND(($P989*Lists!$AD$7)+($Q989*Lists!$AD$8)+($R989*Lists!$AD$9)+($S989*Lists!$AD$10),2))</f>
        <v/>
      </c>
      <c r="U989" s="106"/>
      <c r="V989" s="106"/>
      <c r="W989" s="106"/>
      <c r="X989" s="106"/>
      <c r="Y989" s="106"/>
      <c r="Z989" s="103" t="str">
        <f aca="false">IF(OR($B989="", $U989="", $V989="", $W989="", $X989="", $Y989=""),"",ROUND(($U989*Lists!$AD$11)+($V989*Lists!$AD$12)+($W989*Lists!$AD$13)+($X989*Lists!$AD$14)+($Y989*Lists!$AD$15),2))</f>
        <v/>
      </c>
      <c r="AA989" s="103" t="str">
        <f aca="false">IF(OR($B989="", $N989="", $O989="", $T989="", $Z989=""),"",ROUND(($N989*Lists!$AD$16)-($O989*Lists!$AD$17)-($T989*Lists!$AD$18)+($Z989*Lists!$AD$19),2))</f>
        <v/>
      </c>
      <c r="AB989" s="102" t="str">
        <f aca="false">IF(OR($B989="", $N989="", $Z989=""),"",IF($N989&gt;=Lists!$AG$2,IF($Z989&gt;=Lists!$AG$3,"Invest","Migrate"),IF($Z989&gt;=Lists!$AG$3,"Tolerate","Eliminate")))</f>
        <v/>
      </c>
      <c r="AC989" s="102" t="str">
        <f aca="false">IF($B989="","",IF($J989&gt;=4,"Yes",""))</f>
        <v/>
      </c>
      <c r="AD989" s="102" t="str">
        <f aca="false">IF($A989="","",IFERROR(IF(VLOOKUP($A989,'Risk Register'!$B$2:$H$1000,4,FALSE())&gt;=4,"Yes",""),""))</f>
        <v/>
      </c>
      <c r="AE989" s="102" t="str">
        <f aca="false">IF(OR($N989="", $O989=""),"",IF($N989&gt;=Lists!$AG$2,IF($O989&gt;=Lists!$AG$4,"High Value / High Risk","High Value / Low Risk"),IF($O989&gt;=Lists!$AG$4,"Low Value / High Risk","Low Value / Low Risk")))</f>
        <v/>
      </c>
      <c r="AF989" s="101"/>
      <c r="AG989" s="126"/>
      <c r="AH989" s="106" t="str">
        <f aca="false">IF($B989="","",COUNTIFS('Debt Backlog'!$AF$2:$AF$1000,$A989,'Debt Backlog'!$B$2:$B$1000,"&lt;&gt;",'Debt Backlog'!$N$2:$N$1000,"&lt;&gt;Done",'Debt Backlog'!$N$2:$N$1000,"&lt;&gt;Won't Fix",'Debt Backlog'!$N$2:$N$1000,"&lt;&gt;Duplicate"))</f>
        <v/>
      </c>
      <c r="AI989" s="103" t="str">
        <f aca="false">IF($B989="","",ROUND(SUMIFS('Debt Backlog'!$L$2:$L$1000,'Debt Backlog'!$AF$2:$AF$1000,$A989,'Debt Backlog'!$B$2:$B$1000,"&lt;&gt;",'Debt Backlog'!$N$2:$N$1000,"&lt;&gt;Done",'Debt Backlog'!$N$2:$N$1000,"&lt;&gt;Won't Fix",'Debt Backlog'!$N$2:$N$1000,"&lt;&gt;Duplicate"),2))</f>
        <v/>
      </c>
    </row>
    <row r="990" customFormat="false" ht="15.75" hidden="false" customHeight="true" outlineLevel="0" collapsed="false">
      <c r="A990" s="125"/>
      <c r="B990" s="101"/>
      <c r="C990" s="101"/>
      <c r="D990" s="101"/>
      <c r="E990" s="101"/>
      <c r="F990" s="101"/>
      <c r="G990" s="101"/>
      <c r="H990" s="101"/>
      <c r="I990" s="106"/>
      <c r="J990" s="106"/>
      <c r="K990" s="106"/>
      <c r="L990" s="106"/>
      <c r="M990" s="106"/>
      <c r="N990" s="103" t="str">
        <f aca="false">IF(OR($B990="", $I990="", $J990="", $K990="", $L990="", $M990=""),"",ROUND(($I990*Lists!$AD$2)+($J990*Lists!$AD$3)+($K990*Lists!$AD$4)+($L990*Lists!$AD$5)+($M990*Lists!$AD$6),2))</f>
        <v/>
      </c>
      <c r="O990" s="103" t="str">
        <f aca="false">IF($A990="","",IFERROR(VLOOKUP($A990,'Risk Register'!$B$2:$I$1000,8,FALSE()),""))</f>
        <v/>
      </c>
      <c r="P990" s="106"/>
      <c r="Q990" s="106"/>
      <c r="R990" s="106"/>
      <c r="S990" s="106"/>
      <c r="T990" s="103" t="str">
        <f aca="false">IF(OR($B990="", $P990="", $Q990="", $R990="", $S990=""),"",ROUND(($P990*Lists!$AD$7)+($Q990*Lists!$AD$8)+($R990*Lists!$AD$9)+($S990*Lists!$AD$10),2))</f>
        <v/>
      </c>
      <c r="U990" s="106"/>
      <c r="V990" s="106"/>
      <c r="W990" s="106"/>
      <c r="X990" s="106"/>
      <c r="Y990" s="106"/>
      <c r="Z990" s="103" t="str">
        <f aca="false">IF(OR($B990="", $U990="", $V990="", $W990="", $X990="", $Y990=""),"",ROUND(($U990*Lists!$AD$11)+($V990*Lists!$AD$12)+($W990*Lists!$AD$13)+($X990*Lists!$AD$14)+($Y990*Lists!$AD$15),2))</f>
        <v/>
      </c>
      <c r="AA990" s="103" t="str">
        <f aca="false">IF(OR($B990="", $N990="", $O990="", $T990="", $Z990=""),"",ROUND(($N990*Lists!$AD$16)-($O990*Lists!$AD$17)-($T990*Lists!$AD$18)+($Z990*Lists!$AD$19),2))</f>
        <v/>
      </c>
      <c r="AB990" s="102" t="str">
        <f aca="false">IF(OR($B990="", $N990="", $Z990=""),"",IF($N990&gt;=Lists!$AG$2,IF($Z990&gt;=Lists!$AG$3,"Invest","Migrate"),IF($Z990&gt;=Lists!$AG$3,"Tolerate","Eliminate")))</f>
        <v/>
      </c>
      <c r="AC990" s="102" t="str">
        <f aca="false">IF($B990="","",IF($J990&gt;=4,"Yes",""))</f>
        <v/>
      </c>
      <c r="AD990" s="102" t="str">
        <f aca="false">IF($A990="","",IFERROR(IF(VLOOKUP($A990,'Risk Register'!$B$2:$H$1000,4,FALSE())&gt;=4,"Yes",""),""))</f>
        <v/>
      </c>
      <c r="AE990" s="102" t="str">
        <f aca="false">IF(OR($N990="", $O990=""),"",IF($N990&gt;=Lists!$AG$2,IF($O990&gt;=Lists!$AG$4,"High Value / High Risk","High Value / Low Risk"),IF($O990&gt;=Lists!$AG$4,"Low Value / High Risk","Low Value / Low Risk")))</f>
        <v/>
      </c>
      <c r="AF990" s="101"/>
      <c r="AG990" s="126"/>
      <c r="AH990" s="106" t="str">
        <f aca="false">IF($B990="","",COUNTIFS('Debt Backlog'!$AF$2:$AF$1000,$A990,'Debt Backlog'!$B$2:$B$1000,"&lt;&gt;",'Debt Backlog'!$N$2:$N$1000,"&lt;&gt;Done",'Debt Backlog'!$N$2:$N$1000,"&lt;&gt;Won't Fix",'Debt Backlog'!$N$2:$N$1000,"&lt;&gt;Duplicate"))</f>
        <v/>
      </c>
      <c r="AI990" s="103" t="str">
        <f aca="false">IF($B990="","",ROUND(SUMIFS('Debt Backlog'!$L$2:$L$1000,'Debt Backlog'!$AF$2:$AF$1000,$A990,'Debt Backlog'!$B$2:$B$1000,"&lt;&gt;",'Debt Backlog'!$N$2:$N$1000,"&lt;&gt;Done",'Debt Backlog'!$N$2:$N$1000,"&lt;&gt;Won't Fix",'Debt Backlog'!$N$2:$N$1000,"&lt;&gt;Duplicate"),2))</f>
        <v/>
      </c>
    </row>
    <row r="991" customFormat="false" ht="15.75" hidden="false" customHeight="true" outlineLevel="0" collapsed="false">
      <c r="A991" s="125"/>
      <c r="B991" s="101"/>
      <c r="C991" s="101"/>
      <c r="D991" s="101"/>
      <c r="E991" s="101"/>
      <c r="F991" s="101"/>
      <c r="G991" s="101"/>
      <c r="H991" s="101"/>
      <c r="I991" s="106"/>
      <c r="J991" s="106"/>
      <c r="K991" s="106"/>
      <c r="L991" s="106"/>
      <c r="M991" s="106"/>
      <c r="N991" s="103" t="str">
        <f aca="false">IF(OR($B991="", $I991="", $J991="", $K991="", $L991="", $M991=""),"",ROUND(($I991*Lists!$AD$2)+($J991*Lists!$AD$3)+($K991*Lists!$AD$4)+($L991*Lists!$AD$5)+($M991*Lists!$AD$6),2))</f>
        <v/>
      </c>
      <c r="O991" s="103" t="str">
        <f aca="false">IF($A991="","",IFERROR(VLOOKUP($A991,'Risk Register'!$B$2:$I$1000,8,FALSE()),""))</f>
        <v/>
      </c>
      <c r="P991" s="106"/>
      <c r="Q991" s="106"/>
      <c r="R991" s="106"/>
      <c r="S991" s="106"/>
      <c r="T991" s="103" t="str">
        <f aca="false">IF(OR($B991="", $P991="", $Q991="", $R991="", $S991=""),"",ROUND(($P991*Lists!$AD$7)+($Q991*Lists!$AD$8)+($R991*Lists!$AD$9)+($S991*Lists!$AD$10),2))</f>
        <v/>
      </c>
      <c r="U991" s="106"/>
      <c r="V991" s="106"/>
      <c r="W991" s="106"/>
      <c r="X991" s="106"/>
      <c r="Y991" s="106"/>
      <c r="Z991" s="103" t="str">
        <f aca="false">IF(OR($B991="", $U991="", $V991="", $W991="", $X991="", $Y991=""),"",ROUND(($U991*Lists!$AD$11)+($V991*Lists!$AD$12)+($W991*Lists!$AD$13)+($X991*Lists!$AD$14)+($Y991*Lists!$AD$15),2))</f>
        <v/>
      </c>
      <c r="AA991" s="103" t="str">
        <f aca="false">IF(OR($B991="", $N991="", $O991="", $T991="", $Z991=""),"",ROUND(($N991*Lists!$AD$16)-($O991*Lists!$AD$17)-($T991*Lists!$AD$18)+($Z991*Lists!$AD$19),2))</f>
        <v/>
      </c>
      <c r="AB991" s="102" t="str">
        <f aca="false">IF(OR($B991="", $N991="", $Z991=""),"",IF($N991&gt;=Lists!$AG$2,IF($Z991&gt;=Lists!$AG$3,"Invest","Migrate"),IF($Z991&gt;=Lists!$AG$3,"Tolerate","Eliminate")))</f>
        <v/>
      </c>
      <c r="AC991" s="102" t="str">
        <f aca="false">IF($B991="","",IF($J991&gt;=4,"Yes",""))</f>
        <v/>
      </c>
      <c r="AD991" s="102" t="str">
        <f aca="false">IF($A991="","",IFERROR(IF(VLOOKUP($A991,'Risk Register'!$B$2:$H$1000,4,FALSE())&gt;=4,"Yes",""),""))</f>
        <v/>
      </c>
      <c r="AE991" s="102" t="str">
        <f aca="false">IF(OR($N991="", $O991=""),"",IF($N991&gt;=Lists!$AG$2,IF($O991&gt;=Lists!$AG$4,"High Value / High Risk","High Value / Low Risk"),IF($O991&gt;=Lists!$AG$4,"Low Value / High Risk","Low Value / Low Risk")))</f>
        <v/>
      </c>
      <c r="AF991" s="101"/>
      <c r="AG991" s="126"/>
      <c r="AH991" s="106" t="str">
        <f aca="false">IF($B991="","",COUNTIFS('Debt Backlog'!$AF$2:$AF$1000,$A991,'Debt Backlog'!$B$2:$B$1000,"&lt;&gt;",'Debt Backlog'!$N$2:$N$1000,"&lt;&gt;Done",'Debt Backlog'!$N$2:$N$1000,"&lt;&gt;Won't Fix",'Debt Backlog'!$N$2:$N$1000,"&lt;&gt;Duplicate"))</f>
        <v/>
      </c>
      <c r="AI991" s="103" t="str">
        <f aca="false">IF($B991="","",ROUND(SUMIFS('Debt Backlog'!$L$2:$L$1000,'Debt Backlog'!$AF$2:$AF$1000,$A991,'Debt Backlog'!$B$2:$B$1000,"&lt;&gt;",'Debt Backlog'!$N$2:$N$1000,"&lt;&gt;Done",'Debt Backlog'!$N$2:$N$1000,"&lt;&gt;Won't Fix",'Debt Backlog'!$N$2:$N$1000,"&lt;&gt;Duplicate"),2))</f>
        <v/>
      </c>
    </row>
    <row r="992" customFormat="false" ht="15.75" hidden="false" customHeight="true" outlineLevel="0" collapsed="false">
      <c r="A992" s="125"/>
      <c r="B992" s="101"/>
      <c r="C992" s="101"/>
      <c r="D992" s="101"/>
      <c r="E992" s="101"/>
      <c r="F992" s="101"/>
      <c r="G992" s="101"/>
      <c r="H992" s="101"/>
      <c r="I992" s="106"/>
      <c r="J992" s="106"/>
      <c r="K992" s="106"/>
      <c r="L992" s="106"/>
      <c r="M992" s="106"/>
      <c r="N992" s="103" t="str">
        <f aca="false">IF(OR($B992="", $I992="", $J992="", $K992="", $L992="", $M992=""),"",ROUND(($I992*Lists!$AD$2)+($J992*Lists!$AD$3)+($K992*Lists!$AD$4)+($L992*Lists!$AD$5)+($M992*Lists!$AD$6),2))</f>
        <v/>
      </c>
      <c r="O992" s="103" t="str">
        <f aca="false">IF($A992="","",IFERROR(VLOOKUP($A992,'Risk Register'!$B$2:$I$1000,8,FALSE()),""))</f>
        <v/>
      </c>
      <c r="P992" s="106"/>
      <c r="Q992" s="106"/>
      <c r="R992" s="106"/>
      <c r="S992" s="106"/>
      <c r="T992" s="103" t="str">
        <f aca="false">IF(OR($B992="", $P992="", $Q992="", $R992="", $S992=""),"",ROUND(($P992*Lists!$AD$7)+($Q992*Lists!$AD$8)+($R992*Lists!$AD$9)+($S992*Lists!$AD$10),2))</f>
        <v/>
      </c>
      <c r="U992" s="106"/>
      <c r="V992" s="106"/>
      <c r="W992" s="106"/>
      <c r="X992" s="106"/>
      <c r="Y992" s="106"/>
      <c r="Z992" s="103" t="str">
        <f aca="false">IF(OR($B992="", $U992="", $V992="", $W992="", $X992="", $Y992=""),"",ROUND(($U992*Lists!$AD$11)+($V992*Lists!$AD$12)+($W992*Lists!$AD$13)+($X992*Lists!$AD$14)+($Y992*Lists!$AD$15),2))</f>
        <v/>
      </c>
      <c r="AA992" s="103" t="str">
        <f aca="false">IF(OR($B992="", $N992="", $O992="", $T992="", $Z992=""),"",ROUND(($N992*Lists!$AD$16)-($O992*Lists!$AD$17)-($T992*Lists!$AD$18)+($Z992*Lists!$AD$19),2))</f>
        <v/>
      </c>
      <c r="AB992" s="102" t="str">
        <f aca="false">IF(OR($B992="", $N992="", $Z992=""),"",IF($N992&gt;=Lists!$AG$2,IF($Z992&gt;=Lists!$AG$3,"Invest","Migrate"),IF($Z992&gt;=Lists!$AG$3,"Tolerate","Eliminate")))</f>
        <v/>
      </c>
      <c r="AC992" s="102" t="str">
        <f aca="false">IF($B992="","",IF($J992&gt;=4,"Yes",""))</f>
        <v/>
      </c>
      <c r="AD992" s="102" t="str">
        <f aca="false">IF($A992="","",IFERROR(IF(VLOOKUP($A992,'Risk Register'!$B$2:$H$1000,4,FALSE())&gt;=4,"Yes",""),""))</f>
        <v/>
      </c>
      <c r="AE992" s="102" t="str">
        <f aca="false">IF(OR($N992="", $O992=""),"",IF($N992&gt;=Lists!$AG$2,IF($O992&gt;=Lists!$AG$4,"High Value / High Risk","High Value / Low Risk"),IF($O992&gt;=Lists!$AG$4,"Low Value / High Risk","Low Value / Low Risk")))</f>
        <v/>
      </c>
      <c r="AF992" s="101"/>
      <c r="AG992" s="126"/>
      <c r="AH992" s="106" t="str">
        <f aca="false">IF($B992="","",COUNTIFS('Debt Backlog'!$AF$2:$AF$1000,$A992,'Debt Backlog'!$B$2:$B$1000,"&lt;&gt;",'Debt Backlog'!$N$2:$N$1000,"&lt;&gt;Done",'Debt Backlog'!$N$2:$N$1000,"&lt;&gt;Won't Fix",'Debt Backlog'!$N$2:$N$1000,"&lt;&gt;Duplicate"))</f>
        <v/>
      </c>
      <c r="AI992" s="103" t="str">
        <f aca="false">IF($B992="","",ROUND(SUMIFS('Debt Backlog'!$L$2:$L$1000,'Debt Backlog'!$AF$2:$AF$1000,$A992,'Debt Backlog'!$B$2:$B$1000,"&lt;&gt;",'Debt Backlog'!$N$2:$N$1000,"&lt;&gt;Done",'Debt Backlog'!$N$2:$N$1000,"&lt;&gt;Won't Fix",'Debt Backlog'!$N$2:$N$1000,"&lt;&gt;Duplicate"),2))</f>
        <v/>
      </c>
    </row>
    <row r="993" customFormat="false" ht="15.75" hidden="false" customHeight="true" outlineLevel="0" collapsed="false">
      <c r="A993" s="125"/>
      <c r="B993" s="101"/>
      <c r="C993" s="101"/>
      <c r="D993" s="101"/>
      <c r="E993" s="101"/>
      <c r="F993" s="101"/>
      <c r="G993" s="101"/>
      <c r="H993" s="101"/>
      <c r="I993" s="106"/>
      <c r="J993" s="106"/>
      <c r="K993" s="106"/>
      <c r="L993" s="106"/>
      <c r="M993" s="106"/>
      <c r="N993" s="103" t="str">
        <f aca="false">IF(OR($B993="", $I993="", $J993="", $K993="", $L993="", $M993=""),"",ROUND(($I993*Lists!$AD$2)+($J993*Lists!$AD$3)+($K993*Lists!$AD$4)+($L993*Lists!$AD$5)+($M993*Lists!$AD$6),2))</f>
        <v/>
      </c>
      <c r="O993" s="103" t="str">
        <f aca="false">IF($A993="","",IFERROR(VLOOKUP($A993,'Risk Register'!$B$2:$I$1000,8,FALSE()),""))</f>
        <v/>
      </c>
      <c r="P993" s="106"/>
      <c r="Q993" s="106"/>
      <c r="R993" s="106"/>
      <c r="S993" s="106"/>
      <c r="T993" s="103" t="str">
        <f aca="false">IF(OR($B993="", $P993="", $Q993="", $R993="", $S993=""),"",ROUND(($P993*Lists!$AD$7)+($Q993*Lists!$AD$8)+($R993*Lists!$AD$9)+($S993*Lists!$AD$10),2))</f>
        <v/>
      </c>
      <c r="U993" s="106"/>
      <c r="V993" s="106"/>
      <c r="W993" s="106"/>
      <c r="X993" s="106"/>
      <c r="Y993" s="106"/>
      <c r="Z993" s="103" t="str">
        <f aca="false">IF(OR($B993="", $U993="", $V993="", $W993="", $X993="", $Y993=""),"",ROUND(($U993*Lists!$AD$11)+($V993*Lists!$AD$12)+($W993*Lists!$AD$13)+($X993*Lists!$AD$14)+($Y993*Lists!$AD$15),2))</f>
        <v/>
      </c>
      <c r="AA993" s="103" t="str">
        <f aca="false">IF(OR($B993="", $N993="", $O993="", $T993="", $Z993=""),"",ROUND(($N993*Lists!$AD$16)-($O993*Lists!$AD$17)-($T993*Lists!$AD$18)+($Z993*Lists!$AD$19),2))</f>
        <v/>
      </c>
      <c r="AB993" s="102" t="str">
        <f aca="false">IF(OR($B993="", $N993="", $Z993=""),"",IF($N993&gt;=Lists!$AG$2,IF($Z993&gt;=Lists!$AG$3,"Invest","Migrate"),IF($Z993&gt;=Lists!$AG$3,"Tolerate","Eliminate")))</f>
        <v/>
      </c>
      <c r="AC993" s="102" t="str">
        <f aca="false">IF($B993="","",IF($J993&gt;=4,"Yes",""))</f>
        <v/>
      </c>
      <c r="AD993" s="102" t="str">
        <f aca="false">IF($A993="","",IFERROR(IF(VLOOKUP($A993,'Risk Register'!$B$2:$H$1000,4,FALSE())&gt;=4,"Yes",""),""))</f>
        <v/>
      </c>
      <c r="AE993" s="102" t="str">
        <f aca="false">IF(OR($N993="", $O993=""),"",IF($N993&gt;=Lists!$AG$2,IF($O993&gt;=Lists!$AG$4,"High Value / High Risk","High Value / Low Risk"),IF($O993&gt;=Lists!$AG$4,"Low Value / High Risk","Low Value / Low Risk")))</f>
        <v/>
      </c>
      <c r="AF993" s="101"/>
      <c r="AG993" s="126"/>
      <c r="AH993" s="106" t="str">
        <f aca="false">IF($B993="","",COUNTIFS('Debt Backlog'!$AF$2:$AF$1000,$A993,'Debt Backlog'!$B$2:$B$1000,"&lt;&gt;",'Debt Backlog'!$N$2:$N$1000,"&lt;&gt;Done",'Debt Backlog'!$N$2:$N$1000,"&lt;&gt;Won't Fix",'Debt Backlog'!$N$2:$N$1000,"&lt;&gt;Duplicate"))</f>
        <v/>
      </c>
      <c r="AI993" s="103" t="str">
        <f aca="false">IF($B993="","",ROUND(SUMIFS('Debt Backlog'!$L$2:$L$1000,'Debt Backlog'!$AF$2:$AF$1000,$A993,'Debt Backlog'!$B$2:$B$1000,"&lt;&gt;",'Debt Backlog'!$N$2:$N$1000,"&lt;&gt;Done",'Debt Backlog'!$N$2:$N$1000,"&lt;&gt;Won't Fix",'Debt Backlog'!$N$2:$N$1000,"&lt;&gt;Duplicate"),2))</f>
        <v/>
      </c>
    </row>
    <row r="994" customFormat="false" ht="15.75" hidden="false" customHeight="true" outlineLevel="0" collapsed="false">
      <c r="A994" s="125"/>
      <c r="B994" s="101"/>
      <c r="C994" s="101"/>
      <c r="D994" s="101"/>
      <c r="E994" s="101"/>
      <c r="F994" s="101"/>
      <c r="G994" s="101"/>
      <c r="H994" s="101"/>
      <c r="I994" s="106"/>
      <c r="J994" s="106"/>
      <c r="K994" s="106"/>
      <c r="L994" s="106"/>
      <c r="M994" s="106"/>
      <c r="N994" s="103" t="str">
        <f aca="false">IF(OR($B994="", $I994="", $J994="", $K994="", $L994="", $M994=""),"",ROUND(($I994*Lists!$AD$2)+($J994*Lists!$AD$3)+($K994*Lists!$AD$4)+($L994*Lists!$AD$5)+($M994*Lists!$AD$6),2))</f>
        <v/>
      </c>
      <c r="O994" s="103" t="str">
        <f aca="false">IF($A994="","",IFERROR(VLOOKUP($A994,'Risk Register'!$B$2:$I$1000,8,FALSE()),""))</f>
        <v/>
      </c>
      <c r="P994" s="106"/>
      <c r="Q994" s="106"/>
      <c r="R994" s="106"/>
      <c r="S994" s="106"/>
      <c r="T994" s="103" t="str">
        <f aca="false">IF(OR($B994="", $P994="", $Q994="", $R994="", $S994=""),"",ROUND(($P994*Lists!$AD$7)+($Q994*Lists!$AD$8)+($R994*Lists!$AD$9)+($S994*Lists!$AD$10),2))</f>
        <v/>
      </c>
      <c r="U994" s="106"/>
      <c r="V994" s="106"/>
      <c r="W994" s="106"/>
      <c r="X994" s="106"/>
      <c r="Y994" s="106"/>
      <c r="Z994" s="103" t="str">
        <f aca="false">IF(OR($B994="", $U994="", $V994="", $W994="", $X994="", $Y994=""),"",ROUND(($U994*Lists!$AD$11)+($V994*Lists!$AD$12)+($W994*Lists!$AD$13)+($X994*Lists!$AD$14)+($Y994*Lists!$AD$15),2))</f>
        <v/>
      </c>
      <c r="AA994" s="103" t="str">
        <f aca="false">IF(OR($B994="", $N994="", $O994="", $T994="", $Z994=""),"",ROUND(($N994*Lists!$AD$16)-($O994*Lists!$AD$17)-($T994*Lists!$AD$18)+($Z994*Lists!$AD$19),2))</f>
        <v/>
      </c>
      <c r="AB994" s="102" t="str">
        <f aca="false">IF(OR($B994="", $N994="", $Z994=""),"",IF($N994&gt;=Lists!$AG$2,IF($Z994&gt;=Lists!$AG$3,"Invest","Migrate"),IF($Z994&gt;=Lists!$AG$3,"Tolerate","Eliminate")))</f>
        <v/>
      </c>
      <c r="AC994" s="102" t="str">
        <f aca="false">IF($B994="","",IF($J994&gt;=4,"Yes",""))</f>
        <v/>
      </c>
      <c r="AD994" s="102" t="str">
        <f aca="false">IF($A994="","",IFERROR(IF(VLOOKUP($A994,'Risk Register'!$B$2:$H$1000,4,FALSE())&gt;=4,"Yes",""),""))</f>
        <v/>
      </c>
      <c r="AE994" s="102" t="str">
        <f aca="false">IF(OR($N994="", $O994=""),"",IF($N994&gt;=Lists!$AG$2,IF($O994&gt;=Lists!$AG$4,"High Value / High Risk","High Value / Low Risk"),IF($O994&gt;=Lists!$AG$4,"Low Value / High Risk","Low Value / Low Risk")))</f>
        <v/>
      </c>
      <c r="AF994" s="101"/>
      <c r="AG994" s="126"/>
      <c r="AH994" s="106" t="str">
        <f aca="false">IF($B994="","",COUNTIFS('Debt Backlog'!$AF$2:$AF$1000,$A994,'Debt Backlog'!$B$2:$B$1000,"&lt;&gt;",'Debt Backlog'!$N$2:$N$1000,"&lt;&gt;Done",'Debt Backlog'!$N$2:$N$1000,"&lt;&gt;Won't Fix",'Debt Backlog'!$N$2:$N$1000,"&lt;&gt;Duplicate"))</f>
        <v/>
      </c>
      <c r="AI994" s="103" t="str">
        <f aca="false">IF($B994="","",ROUND(SUMIFS('Debt Backlog'!$L$2:$L$1000,'Debt Backlog'!$AF$2:$AF$1000,$A994,'Debt Backlog'!$B$2:$B$1000,"&lt;&gt;",'Debt Backlog'!$N$2:$N$1000,"&lt;&gt;Done",'Debt Backlog'!$N$2:$N$1000,"&lt;&gt;Won't Fix",'Debt Backlog'!$N$2:$N$1000,"&lt;&gt;Duplicate"),2))</f>
        <v/>
      </c>
    </row>
    <row r="995" customFormat="false" ht="15.75" hidden="false" customHeight="true" outlineLevel="0" collapsed="false">
      <c r="A995" s="125"/>
      <c r="B995" s="101"/>
      <c r="C995" s="101"/>
      <c r="D995" s="101"/>
      <c r="E995" s="101"/>
      <c r="F995" s="101"/>
      <c r="G995" s="101"/>
      <c r="H995" s="101"/>
      <c r="I995" s="106"/>
      <c r="J995" s="106"/>
      <c r="K995" s="106"/>
      <c r="L995" s="106"/>
      <c r="M995" s="106"/>
      <c r="N995" s="103" t="str">
        <f aca="false">IF(OR($B995="", $I995="", $J995="", $K995="", $L995="", $M995=""),"",ROUND(($I995*Lists!$AD$2)+($J995*Lists!$AD$3)+($K995*Lists!$AD$4)+($L995*Lists!$AD$5)+($M995*Lists!$AD$6),2))</f>
        <v/>
      </c>
      <c r="O995" s="103" t="str">
        <f aca="false">IF($A995="","",IFERROR(VLOOKUP($A995,'Risk Register'!$B$2:$I$1000,8,FALSE()),""))</f>
        <v/>
      </c>
      <c r="P995" s="106"/>
      <c r="Q995" s="106"/>
      <c r="R995" s="106"/>
      <c r="S995" s="106"/>
      <c r="T995" s="103" t="str">
        <f aca="false">IF(OR($B995="", $P995="", $Q995="", $R995="", $S995=""),"",ROUND(($P995*Lists!$AD$7)+($Q995*Lists!$AD$8)+($R995*Lists!$AD$9)+($S995*Lists!$AD$10),2))</f>
        <v/>
      </c>
      <c r="U995" s="106"/>
      <c r="V995" s="106"/>
      <c r="W995" s="106"/>
      <c r="X995" s="106"/>
      <c r="Y995" s="106"/>
      <c r="Z995" s="103" t="str">
        <f aca="false">IF(OR($B995="", $U995="", $V995="", $W995="", $X995="", $Y995=""),"",ROUND(($U995*Lists!$AD$11)+($V995*Lists!$AD$12)+($W995*Lists!$AD$13)+($X995*Lists!$AD$14)+($Y995*Lists!$AD$15),2))</f>
        <v/>
      </c>
      <c r="AA995" s="103" t="str">
        <f aca="false">IF(OR($B995="", $N995="", $O995="", $T995="", $Z995=""),"",ROUND(($N995*Lists!$AD$16)-($O995*Lists!$AD$17)-($T995*Lists!$AD$18)+($Z995*Lists!$AD$19),2))</f>
        <v/>
      </c>
      <c r="AB995" s="102" t="str">
        <f aca="false">IF(OR($B995="", $N995="", $Z995=""),"",IF($N995&gt;=Lists!$AG$2,IF($Z995&gt;=Lists!$AG$3,"Invest","Migrate"),IF($Z995&gt;=Lists!$AG$3,"Tolerate","Eliminate")))</f>
        <v/>
      </c>
      <c r="AC995" s="102" t="str">
        <f aca="false">IF($B995="","",IF($J995&gt;=4,"Yes",""))</f>
        <v/>
      </c>
      <c r="AD995" s="102" t="str">
        <f aca="false">IF($A995="","",IFERROR(IF(VLOOKUP($A995,'Risk Register'!$B$2:$H$1000,4,FALSE())&gt;=4,"Yes",""),""))</f>
        <v/>
      </c>
      <c r="AE995" s="102" t="str">
        <f aca="false">IF(OR($N995="", $O995=""),"",IF($N995&gt;=Lists!$AG$2,IF($O995&gt;=Lists!$AG$4,"High Value / High Risk","High Value / Low Risk"),IF($O995&gt;=Lists!$AG$4,"Low Value / High Risk","Low Value / Low Risk")))</f>
        <v/>
      </c>
      <c r="AF995" s="101"/>
      <c r="AG995" s="126"/>
      <c r="AH995" s="106" t="str">
        <f aca="false">IF($B995="","",COUNTIFS('Debt Backlog'!$AF$2:$AF$1000,$A995,'Debt Backlog'!$B$2:$B$1000,"&lt;&gt;",'Debt Backlog'!$N$2:$N$1000,"&lt;&gt;Done",'Debt Backlog'!$N$2:$N$1000,"&lt;&gt;Won't Fix",'Debt Backlog'!$N$2:$N$1000,"&lt;&gt;Duplicate"))</f>
        <v/>
      </c>
      <c r="AI995" s="103" t="str">
        <f aca="false">IF($B995="","",ROUND(SUMIFS('Debt Backlog'!$L$2:$L$1000,'Debt Backlog'!$AF$2:$AF$1000,$A995,'Debt Backlog'!$B$2:$B$1000,"&lt;&gt;",'Debt Backlog'!$N$2:$N$1000,"&lt;&gt;Done",'Debt Backlog'!$N$2:$N$1000,"&lt;&gt;Won't Fix",'Debt Backlog'!$N$2:$N$1000,"&lt;&gt;Duplicate"),2))</f>
        <v/>
      </c>
    </row>
    <row r="996" customFormat="false" ht="15.75" hidden="false" customHeight="true" outlineLevel="0" collapsed="false">
      <c r="A996" s="125"/>
      <c r="B996" s="101"/>
      <c r="C996" s="101"/>
      <c r="D996" s="101"/>
      <c r="E996" s="101"/>
      <c r="F996" s="101"/>
      <c r="G996" s="101"/>
      <c r="H996" s="101"/>
      <c r="I996" s="106"/>
      <c r="J996" s="106"/>
      <c r="K996" s="106"/>
      <c r="L996" s="106"/>
      <c r="M996" s="106"/>
      <c r="N996" s="103" t="str">
        <f aca="false">IF(OR($B996="", $I996="", $J996="", $K996="", $L996="", $M996=""),"",ROUND(($I996*Lists!$AD$2)+($J996*Lists!$AD$3)+($K996*Lists!$AD$4)+($L996*Lists!$AD$5)+($M996*Lists!$AD$6),2))</f>
        <v/>
      </c>
      <c r="O996" s="103" t="str">
        <f aca="false">IF($A996="","",IFERROR(VLOOKUP($A996,'Risk Register'!$B$2:$I$1000,8,FALSE()),""))</f>
        <v/>
      </c>
      <c r="P996" s="106"/>
      <c r="Q996" s="106"/>
      <c r="R996" s="106"/>
      <c r="S996" s="106"/>
      <c r="T996" s="103" t="str">
        <f aca="false">IF(OR($B996="", $P996="", $Q996="", $R996="", $S996=""),"",ROUND(($P996*Lists!$AD$7)+($Q996*Lists!$AD$8)+($R996*Lists!$AD$9)+($S996*Lists!$AD$10),2))</f>
        <v/>
      </c>
      <c r="U996" s="106"/>
      <c r="V996" s="106"/>
      <c r="W996" s="106"/>
      <c r="X996" s="106"/>
      <c r="Y996" s="106"/>
      <c r="Z996" s="103" t="str">
        <f aca="false">IF(OR($B996="", $U996="", $V996="", $W996="", $X996="", $Y996=""),"",ROUND(($U996*Lists!$AD$11)+($V996*Lists!$AD$12)+($W996*Lists!$AD$13)+($X996*Lists!$AD$14)+($Y996*Lists!$AD$15),2))</f>
        <v/>
      </c>
      <c r="AA996" s="103" t="str">
        <f aca="false">IF(OR($B996="", $N996="", $O996="", $T996="", $Z996=""),"",ROUND(($N996*Lists!$AD$16)-($O996*Lists!$AD$17)-($T996*Lists!$AD$18)+($Z996*Lists!$AD$19),2))</f>
        <v/>
      </c>
      <c r="AB996" s="102" t="str">
        <f aca="false">IF(OR($B996="", $N996="", $Z996=""),"",IF($N996&gt;=Lists!$AG$2,IF($Z996&gt;=Lists!$AG$3,"Invest","Migrate"),IF($Z996&gt;=Lists!$AG$3,"Tolerate","Eliminate")))</f>
        <v/>
      </c>
      <c r="AC996" s="102" t="str">
        <f aca="false">IF($B996="","",IF($J996&gt;=4,"Yes",""))</f>
        <v/>
      </c>
      <c r="AD996" s="102" t="str">
        <f aca="false">IF($A996="","",IFERROR(IF(VLOOKUP($A996,'Risk Register'!$B$2:$H$1000,4,FALSE())&gt;=4,"Yes",""),""))</f>
        <v/>
      </c>
      <c r="AE996" s="102" t="str">
        <f aca="false">IF(OR($N996="", $O996=""),"",IF($N996&gt;=Lists!$AG$2,IF($O996&gt;=Lists!$AG$4,"High Value / High Risk","High Value / Low Risk"),IF($O996&gt;=Lists!$AG$4,"Low Value / High Risk","Low Value / Low Risk")))</f>
        <v/>
      </c>
      <c r="AF996" s="101"/>
      <c r="AG996" s="126"/>
      <c r="AH996" s="106" t="str">
        <f aca="false">IF($B996="","",COUNTIFS('Debt Backlog'!$AF$2:$AF$1000,$A996,'Debt Backlog'!$B$2:$B$1000,"&lt;&gt;",'Debt Backlog'!$N$2:$N$1000,"&lt;&gt;Done",'Debt Backlog'!$N$2:$N$1000,"&lt;&gt;Won't Fix",'Debt Backlog'!$N$2:$N$1000,"&lt;&gt;Duplicate"))</f>
        <v/>
      </c>
      <c r="AI996" s="103" t="str">
        <f aca="false">IF($B996="","",ROUND(SUMIFS('Debt Backlog'!$L$2:$L$1000,'Debt Backlog'!$AF$2:$AF$1000,$A996,'Debt Backlog'!$B$2:$B$1000,"&lt;&gt;",'Debt Backlog'!$N$2:$N$1000,"&lt;&gt;Done",'Debt Backlog'!$N$2:$N$1000,"&lt;&gt;Won't Fix",'Debt Backlog'!$N$2:$N$1000,"&lt;&gt;Duplicate"),2))</f>
        <v/>
      </c>
    </row>
    <row r="997" customFormat="false" ht="15.75" hidden="false" customHeight="true" outlineLevel="0" collapsed="false">
      <c r="A997" s="125"/>
      <c r="B997" s="101"/>
      <c r="C997" s="101"/>
      <c r="D997" s="101"/>
      <c r="E997" s="101"/>
      <c r="F997" s="101"/>
      <c r="G997" s="101"/>
      <c r="H997" s="101"/>
      <c r="I997" s="106"/>
      <c r="J997" s="106"/>
      <c r="K997" s="106"/>
      <c r="L997" s="106"/>
      <c r="M997" s="106"/>
      <c r="N997" s="103" t="str">
        <f aca="false">IF(OR($B997="", $I997="", $J997="", $K997="", $L997="", $M997=""),"",ROUND(($I997*Lists!$AD$2)+($J997*Lists!$AD$3)+($K997*Lists!$AD$4)+($L997*Lists!$AD$5)+($M997*Lists!$AD$6),2))</f>
        <v/>
      </c>
      <c r="O997" s="103" t="str">
        <f aca="false">IF($A997="","",IFERROR(VLOOKUP($A997,'Risk Register'!$B$2:$I$1000,8,FALSE()),""))</f>
        <v/>
      </c>
      <c r="P997" s="106"/>
      <c r="Q997" s="106"/>
      <c r="R997" s="106"/>
      <c r="S997" s="106"/>
      <c r="T997" s="103" t="str">
        <f aca="false">IF(OR($B997="", $P997="", $Q997="", $R997="", $S997=""),"",ROUND(($P997*Lists!$AD$7)+($Q997*Lists!$AD$8)+($R997*Lists!$AD$9)+($S997*Lists!$AD$10),2))</f>
        <v/>
      </c>
      <c r="U997" s="106"/>
      <c r="V997" s="106"/>
      <c r="W997" s="106"/>
      <c r="X997" s="106"/>
      <c r="Y997" s="106"/>
      <c r="Z997" s="103" t="str">
        <f aca="false">IF(OR($B997="", $U997="", $V997="", $W997="", $X997="", $Y997=""),"",ROUND(($U997*Lists!$AD$11)+($V997*Lists!$AD$12)+($W997*Lists!$AD$13)+($X997*Lists!$AD$14)+($Y997*Lists!$AD$15),2))</f>
        <v/>
      </c>
      <c r="AA997" s="103" t="str">
        <f aca="false">IF(OR($B997="", $N997="", $O997="", $T997="", $Z997=""),"",ROUND(($N997*Lists!$AD$16)-($O997*Lists!$AD$17)-($T997*Lists!$AD$18)+($Z997*Lists!$AD$19),2))</f>
        <v/>
      </c>
      <c r="AB997" s="102" t="str">
        <f aca="false">IF(OR($B997="", $N997="", $Z997=""),"",IF($N997&gt;=Lists!$AG$2,IF($Z997&gt;=Lists!$AG$3,"Invest","Migrate"),IF($Z997&gt;=Lists!$AG$3,"Tolerate","Eliminate")))</f>
        <v/>
      </c>
      <c r="AC997" s="102" t="str">
        <f aca="false">IF($B997="","",IF($J997&gt;=4,"Yes",""))</f>
        <v/>
      </c>
      <c r="AD997" s="102" t="str">
        <f aca="false">IF($A997="","",IFERROR(IF(VLOOKUP($A997,'Risk Register'!$B$2:$H$1000,4,FALSE())&gt;=4,"Yes",""),""))</f>
        <v/>
      </c>
      <c r="AE997" s="102" t="str">
        <f aca="false">IF(OR($N997="", $O997=""),"",IF($N997&gt;=Lists!$AG$2,IF($O997&gt;=Lists!$AG$4,"High Value / High Risk","High Value / Low Risk"),IF($O997&gt;=Lists!$AG$4,"Low Value / High Risk","Low Value / Low Risk")))</f>
        <v/>
      </c>
      <c r="AF997" s="101"/>
      <c r="AG997" s="126"/>
      <c r="AH997" s="106" t="str">
        <f aca="false">IF($B997="","",COUNTIFS('Debt Backlog'!$AF$2:$AF$1000,$A997,'Debt Backlog'!$B$2:$B$1000,"&lt;&gt;",'Debt Backlog'!$N$2:$N$1000,"&lt;&gt;Done",'Debt Backlog'!$N$2:$N$1000,"&lt;&gt;Won't Fix",'Debt Backlog'!$N$2:$N$1000,"&lt;&gt;Duplicate"))</f>
        <v/>
      </c>
      <c r="AI997" s="103" t="str">
        <f aca="false">IF($B997="","",ROUND(SUMIFS('Debt Backlog'!$L$2:$L$1000,'Debt Backlog'!$AF$2:$AF$1000,$A997,'Debt Backlog'!$B$2:$B$1000,"&lt;&gt;",'Debt Backlog'!$N$2:$N$1000,"&lt;&gt;Done",'Debt Backlog'!$N$2:$N$1000,"&lt;&gt;Won't Fix",'Debt Backlog'!$N$2:$N$1000,"&lt;&gt;Duplicate"),2))</f>
        <v/>
      </c>
    </row>
    <row r="998" customFormat="false" ht="15.75" hidden="false" customHeight="true" outlineLevel="0" collapsed="false">
      <c r="A998" s="125"/>
      <c r="B998" s="101"/>
      <c r="C998" s="101"/>
      <c r="D998" s="101"/>
      <c r="E998" s="101"/>
      <c r="F998" s="101"/>
      <c r="G998" s="101"/>
      <c r="H998" s="101"/>
      <c r="I998" s="106"/>
      <c r="J998" s="106"/>
      <c r="K998" s="106"/>
      <c r="L998" s="106"/>
      <c r="M998" s="106"/>
      <c r="N998" s="103" t="str">
        <f aca="false">IF(OR($B998="", $I998="", $J998="", $K998="", $L998="", $M998=""),"",ROUND(($I998*Lists!$AD$2)+($J998*Lists!$AD$3)+($K998*Lists!$AD$4)+($L998*Lists!$AD$5)+($M998*Lists!$AD$6),2))</f>
        <v/>
      </c>
      <c r="O998" s="103" t="str">
        <f aca="false">IF($A998="","",IFERROR(VLOOKUP($A998,'Risk Register'!$B$2:$I$1000,8,FALSE()),""))</f>
        <v/>
      </c>
      <c r="P998" s="106"/>
      <c r="Q998" s="106"/>
      <c r="R998" s="106"/>
      <c r="S998" s="106"/>
      <c r="T998" s="103" t="str">
        <f aca="false">IF(OR($B998="", $P998="", $Q998="", $R998="", $S998=""),"",ROUND(($P998*Lists!$AD$7)+($Q998*Lists!$AD$8)+($R998*Lists!$AD$9)+($S998*Lists!$AD$10),2))</f>
        <v/>
      </c>
      <c r="U998" s="106"/>
      <c r="V998" s="106"/>
      <c r="W998" s="106"/>
      <c r="X998" s="106"/>
      <c r="Y998" s="106"/>
      <c r="Z998" s="103" t="str">
        <f aca="false">IF(OR($B998="", $U998="", $V998="", $W998="", $X998="", $Y998=""),"",ROUND(($U998*Lists!$AD$11)+($V998*Lists!$AD$12)+($W998*Lists!$AD$13)+($X998*Lists!$AD$14)+($Y998*Lists!$AD$15),2))</f>
        <v/>
      </c>
      <c r="AA998" s="103" t="str">
        <f aca="false">IF(OR($B998="", $N998="", $O998="", $T998="", $Z998=""),"",ROUND(($N998*Lists!$AD$16)-($O998*Lists!$AD$17)-($T998*Lists!$AD$18)+($Z998*Lists!$AD$19),2))</f>
        <v/>
      </c>
      <c r="AB998" s="102" t="str">
        <f aca="false">IF(OR($B998="", $N998="", $Z998=""),"",IF($N998&gt;=Lists!$AG$2,IF($Z998&gt;=Lists!$AG$3,"Invest","Migrate"),IF($Z998&gt;=Lists!$AG$3,"Tolerate","Eliminate")))</f>
        <v/>
      </c>
      <c r="AC998" s="102" t="str">
        <f aca="false">IF($B998="","",IF($J998&gt;=4,"Yes",""))</f>
        <v/>
      </c>
      <c r="AD998" s="102" t="str">
        <f aca="false">IF($A998="","",IFERROR(IF(VLOOKUP($A998,'Risk Register'!$B$2:$H$1000,4,FALSE())&gt;=4,"Yes",""),""))</f>
        <v/>
      </c>
      <c r="AE998" s="102" t="str">
        <f aca="false">IF(OR($N998="", $O998=""),"",IF($N998&gt;=Lists!$AG$2,IF($O998&gt;=Lists!$AG$4,"High Value / High Risk","High Value / Low Risk"),IF($O998&gt;=Lists!$AG$4,"Low Value / High Risk","Low Value / Low Risk")))</f>
        <v/>
      </c>
      <c r="AF998" s="101"/>
      <c r="AG998" s="126"/>
      <c r="AH998" s="106" t="str">
        <f aca="false">IF($B998="","",COUNTIFS('Debt Backlog'!$AF$2:$AF$1000,$A998,'Debt Backlog'!$B$2:$B$1000,"&lt;&gt;",'Debt Backlog'!$N$2:$N$1000,"&lt;&gt;Done",'Debt Backlog'!$N$2:$N$1000,"&lt;&gt;Won't Fix",'Debt Backlog'!$N$2:$N$1000,"&lt;&gt;Duplicate"))</f>
        <v/>
      </c>
      <c r="AI998" s="103" t="str">
        <f aca="false">IF($B998="","",ROUND(SUMIFS('Debt Backlog'!$L$2:$L$1000,'Debt Backlog'!$AF$2:$AF$1000,$A998,'Debt Backlog'!$B$2:$B$1000,"&lt;&gt;",'Debt Backlog'!$N$2:$N$1000,"&lt;&gt;Done",'Debt Backlog'!$N$2:$N$1000,"&lt;&gt;Won't Fix",'Debt Backlog'!$N$2:$N$1000,"&lt;&gt;Duplicate"),2))</f>
        <v/>
      </c>
    </row>
    <row r="999" customFormat="false" ht="15.75" hidden="false" customHeight="true" outlineLevel="0" collapsed="false">
      <c r="A999" s="125"/>
      <c r="B999" s="101"/>
      <c r="C999" s="101"/>
      <c r="D999" s="101"/>
      <c r="E999" s="101"/>
      <c r="F999" s="101"/>
      <c r="G999" s="101"/>
      <c r="H999" s="101"/>
      <c r="I999" s="106"/>
      <c r="J999" s="106"/>
      <c r="K999" s="106"/>
      <c r="L999" s="106"/>
      <c r="M999" s="106"/>
      <c r="N999" s="103" t="str">
        <f aca="false">IF(OR($B999="", $I999="", $J999="", $K999="", $L999="", $M999=""),"",ROUND(($I999*Lists!$AD$2)+($J999*Lists!$AD$3)+($K999*Lists!$AD$4)+($L999*Lists!$AD$5)+($M999*Lists!$AD$6),2))</f>
        <v/>
      </c>
      <c r="O999" s="103" t="str">
        <f aca="false">IF($A999="","",IFERROR(VLOOKUP($A999,'Risk Register'!$B$2:$I$1000,8,FALSE()),""))</f>
        <v/>
      </c>
      <c r="P999" s="106"/>
      <c r="Q999" s="106"/>
      <c r="R999" s="106"/>
      <c r="S999" s="106"/>
      <c r="T999" s="103" t="str">
        <f aca="false">IF(OR($B999="", $P999="", $Q999="", $R999="", $S999=""),"",ROUND(($P999*Lists!$AD$7)+($Q999*Lists!$AD$8)+($R999*Lists!$AD$9)+($S999*Lists!$AD$10),2))</f>
        <v/>
      </c>
      <c r="U999" s="106"/>
      <c r="V999" s="106"/>
      <c r="W999" s="106"/>
      <c r="X999" s="106"/>
      <c r="Y999" s="106"/>
      <c r="Z999" s="103" t="str">
        <f aca="false">IF(OR($B999="", $U999="", $V999="", $W999="", $X999="", $Y999=""),"",ROUND(($U999*Lists!$AD$11)+($V999*Lists!$AD$12)+($W999*Lists!$AD$13)+($X999*Lists!$AD$14)+($Y999*Lists!$AD$15),2))</f>
        <v/>
      </c>
      <c r="AA999" s="103" t="str">
        <f aca="false">IF(OR($B999="", $N999="", $O999="", $T999="", $Z999=""),"",ROUND(($N999*Lists!$AD$16)-($O999*Lists!$AD$17)-($T999*Lists!$AD$18)+($Z999*Lists!$AD$19),2))</f>
        <v/>
      </c>
      <c r="AB999" s="102" t="str">
        <f aca="false">IF(OR($B999="", $N999="", $Z999=""),"",IF($N999&gt;=Lists!$AG$2,IF($Z999&gt;=Lists!$AG$3,"Invest","Migrate"),IF($Z999&gt;=Lists!$AG$3,"Tolerate","Eliminate")))</f>
        <v/>
      </c>
      <c r="AC999" s="102" t="str">
        <f aca="false">IF($B999="","",IF($J999&gt;=4,"Yes",""))</f>
        <v/>
      </c>
      <c r="AD999" s="102" t="str">
        <f aca="false">IF($A999="","",IFERROR(IF(VLOOKUP($A999,'Risk Register'!$B$2:$H$1000,4,FALSE())&gt;=4,"Yes",""),""))</f>
        <v/>
      </c>
      <c r="AE999" s="102" t="str">
        <f aca="false">IF(OR($N999="", $O999=""),"",IF($N999&gt;=Lists!$AG$2,IF($O999&gt;=Lists!$AG$4,"High Value / High Risk","High Value / Low Risk"),IF($O999&gt;=Lists!$AG$4,"Low Value / High Risk","Low Value / Low Risk")))</f>
        <v/>
      </c>
      <c r="AF999" s="101"/>
      <c r="AG999" s="126"/>
      <c r="AH999" s="106" t="str">
        <f aca="false">IF($B999="","",COUNTIFS('Debt Backlog'!$AF$2:$AF$1000,$A999,'Debt Backlog'!$B$2:$B$1000,"&lt;&gt;",'Debt Backlog'!$N$2:$N$1000,"&lt;&gt;Done",'Debt Backlog'!$N$2:$N$1000,"&lt;&gt;Won't Fix",'Debt Backlog'!$N$2:$N$1000,"&lt;&gt;Duplicate"))</f>
        <v/>
      </c>
      <c r="AI999" s="103" t="str">
        <f aca="false">IF($B999="","",ROUND(SUMIFS('Debt Backlog'!$L$2:$L$1000,'Debt Backlog'!$AF$2:$AF$1000,$A999,'Debt Backlog'!$B$2:$B$1000,"&lt;&gt;",'Debt Backlog'!$N$2:$N$1000,"&lt;&gt;Done",'Debt Backlog'!$N$2:$N$1000,"&lt;&gt;Won't Fix",'Debt Backlog'!$N$2:$N$1000,"&lt;&gt;Duplicate"),2))</f>
        <v/>
      </c>
    </row>
    <row r="1000" customFormat="false" ht="15.75" hidden="false" customHeight="true" outlineLevel="0" collapsed="false">
      <c r="A1000" s="125"/>
      <c r="B1000" s="101"/>
      <c r="C1000" s="101"/>
      <c r="D1000" s="101"/>
      <c r="E1000" s="101"/>
      <c r="F1000" s="101"/>
      <c r="G1000" s="101"/>
      <c r="H1000" s="101"/>
      <c r="I1000" s="106"/>
      <c r="J1000" s="106"/>
      <c r="K1000" s="106"/>
      <c r="L1000" s="106"/>
      <c r="M1000" s="106"/>
      <c r="N1000" s="103" t="str">
        <f aca="false">IF(OR($B1000="", $I1000="", $J1000="", $K1000="", $L1000="", $M1000=""),"",ROUND(($I1000*Lists!$AD$2)+($J1000*Lists!$AD$3)+($K1000*Lists!$AD$4)+($L1000*Lists!$AD$5)+($M1000*Lists!$AD$6),2))</f>
        <v/>
      </c>
      <c r="O1000" s="103" t="str">
        <f aca="false">IF($A1000="","",IFERROR(VLOOKUP($A1000,'Risk Register'!$B$2:$I$1000,8,FALSE()),""))</f>
        <v/>
      </c>
      <c r="P1000" s="106"/>
      <c r="Q1000" s="106"/>
      <c r="R1000" s="106"/>
      <c r="S1000" s="106"/>
      <c r="T1000" s="103" t="str">
        <f aca="false">IF(OR($B1000="", $P1000="", $Q1000="", $R1000="", $S1000=""),"",ROUND(($P1000*Lists!$AD$7)+($Q1000*Lists!$AD$8)+($R1000*Lists!$AD$9)+($S1000*Lists!$AD$10),2))</f>
        <v/>
      </c>
      <c r="U1000" s="106"/>
      <c r="V1000" s="106"/>
      <c r="W1000" s="106"/>
      <c r="X1000" s="106"/>
      <c r="Y1000" s="106"/>
      <c r="Z1000" s="103" t="str">
        <f aca="false">IF(OR($B1000="", $U1000="", $V1000="", $W1000="", $X1000="", $Y1000=""),"",ROUND(($U1000*Lists!$AD$11)+($V1000*Lists!$AD$12)+($W1000*Lists!$AD$13)+($X1000*Lists!$AD$14)+($Y1000*Lists!$AD$15),2))</f>
        <v/>
      </c>
      <c r="AA1000" s="103" t="str">
        <f aca="false">IF(OR($B1000="", $N1000="", $O1000="", $T1000="", $Z1000=""),"",ROUND(($N1000*Lists!$AD$16)-($O1000*Lists!$AD$17)-($T1000*Lists!$AD$18)+($Z1000*Lists!$AD$19),2))</f>
        <v/>
      </c>
      <c r="AB1000" s="102" t="str">
        <f aca="false">IF(OR($B1000="", $N1000="", $Z1000=""),"",IF($N1000&gt;=Lists!$AG$2,IF($Z1000&gt;=Lists!$AG$3,"Invest","Migrate"),IF($Z1000&gt;=Lists!$AG$3,"Tolerate","Eliminate")))</f>
        <v/>
      </c>
      <c r="AC1000" s="102" t="str">
        <f aca="false">IF($B1000="","",IF($J1000&gt;=4,"Yes",""))</f>
        <v/>
      </c>
      <c r="AD1000" s="102" t="str">
        <f aca="false">IF($A1000="","",IFERROR(IF(VLOOKUP($A1000,'Risk Register'!$B$2:$H$1000,4,FALSE())&gt;=4,"Yes",""),""))</f>
        <v/>
      </c>
      <c r="AE1000" s="102" t="str">
        <f aca="false">IF(OR($N1000="", $O1000=""),"",IF($N1000&gt;=Lists!$AG$2,IF($O1000&gt;=Lists!$AG$4,"High Value / High Risk","High Value / Low Risk"),IF($O1000&gt;=Lists!$AG$4,"Low Value / High Risk","Low Value / Low Risk")))</f>
        <v/>
      </c>
      <c r="AF1000" s="101"/>
      <c r="AG1000" s="126"/>
      <c r="AH1000" s="106" t="str">
        <f aca="false">IF($B1000="","",COUNTIFS('Debt Backlog'!$AF$2:$AF$1000,$A1000,'Debt Backlog'!$B$2:$B$1000,"&lt;&gt;",'Debt Backlog'!$N$2:$N$1000,"&lt;&gt;Done",'Debt Backlog'!$N$2:$N$1000,"&lt;&gt;Won't Fix",'Debt Backlog'!$N$2:$N$1000,"&lt;&gt;Duplicate"))</f>
        <v/>
      </c>
      <c r="AI1000" s="103" t="str">
        <f aca="false">IF($B1000="","",ROUND(SUMIFS('Debt Backlog'!$L$2:$L$1000,'Debt Backlog'!$AF$2:$AF$1000,$A1000,'Debt Backlog'!$B$2:$B$1000,"&lt;&gt;",'Debt Backlog'!$N$2:$N$1000,"&lt;&gt;Done",'Debt Backlog'!$N$2:$N$1000,"&lt;&gt;Won't Fix",'Debt Backlog'!$N$2:$N$1000,"&lt;&gt;Duplicate"),2))</f>
        <v/>
      </c>
    </row>
  </sheetData>
  <conditionalFormatting sqref="N2:N1000">
    <cfRule type="colorScale" priority="2">
      <colorScale>
        <cfvo type="min" val="0"/>
        <cfvo type="percentile" val="50"/>
        <cfvo type="max" val="0"/>
        <color rgb="FFF8696B"/>
        <color rgb="FFFFEB84"/>
        <color rgb="FF63BE7B"/>
      </colorScale>
    </cfRule>
    <cfRule type="colorScale" priority="3">
      <colorScale>
        <cfvo type="num" val="1"/>
        <cfvo type="num" val="3"/>
        <cfvo type="num" val="5"/>
        <color rgb="FFFCA5A5"/>
        <color rgb="FFFDE68A"/>
        <color rgb="FF86EFAC"/>
      </colorScale>
    </cfRule>
  </conditionalFormatting>
  <conditionalFormatting sqref="O2:O1000">
    <cfRule type="colorScale" priority="4">
      <colorScale>
        <cfvo type="min" val="0"/>
        <cfvo type="percentile" val="50"/>
        <cfvo type="max" val="0"/>
        <color rgb="FF63BE7B"/>
        <color rgb="FFFFEB84"/>
        <color rgb="FFF8696B"/>
      </colorScale>
    </cfRule>
    <cfRule type="colorScale" priority="5">
      <colorScale>
        <cfvo type="num" val="1"/>
        <cfvo type="num" val="3"/>
        <cfvo type="num" val="5"/>
        <color rgb="FF86EFAC"/>
        <color rgb="FFFDE68A"/>
        <color rgb="FFFCA5A5"/>
      </colorScale>
    </cfRule>
  </conditionalFormatting>
  <conditionalFormatting sqref="T2:T1000">
    <cfRule type="colorScale" priority="6">
      <colorScale>
        <cfvo type="min" val="0"/>
        <cfvo type="percentile" val="50"/>
        <cfvo type="max" val="0"/>
        <color rgb="FF63BE7B"/>
        <color rgb="FFFFEB84"/>
        <color rgb="FFF8696B"/>
      </colorScale>
    </cfRule>
    <cfRule type="colorScale" priority="7">
      <colorScale>
        <cfvo type="num" val="1"/>
        <cfvo type="num" val="3"/>
        <cfvo type="num" val="5"/>
        <color rgb="FF86EFAC"/>
        <color rgb="FFFDE68A"/>
        <color rgb="FFFCA5A5"/>
      </colorScale>
    </cfRule>
  </conditionalFormatting>
  <conditionalFormatting sqref="Z2:Z1000">
    <cfRule type="colorScale" priority="8">
      <colorScale>
        <cfvo type="min" val="0"/>
        <cfvo type="percentile" val="50"/>
        <cfvo type="max" val="0"/>
        <color rgb="FFF8696B"/>
        <color rgb="FFFFEB84"/>
        <color rgb="FF63BE7B"/>
      </colorScale>
    </cfRule>
    <cfRule type="colorScale" priority="9">
      <colorScale>
        <cfvo type="num" val="1"/>
        <cfvo type="num" val="3"/>
        <cfvo type="num" val="5"/>
        <color rgb="FFFCA5A5"/>
        <color rgb="FFFDE68A"/>
        <color rgb="FF86EFAC"/>
      </colorScale>
    </cfRule>
  </conditionalFormatting>
  <conditionalFormatting sqref="AA2:AA1000">
    <cfRule type="colorScale" priority="10">
      <colorScale>
        <cfvo type="min" val="0"/>
        <cfvo type="percentile" val="50"/>
        <cfvo type="max" val="0"/>
        <color rgb="FFF8696B"/>
        <color rgb="FFFFEB84"/>
        <color rgb="FF63BE7B"/>
      </colorScale>
    </cfRule>
    <cfRule type="colorScale" priority="11">
      <colorScale>
        <cfvo type="num" val="-1"/>
        <cfvo type="num" val="1.5"/>
        <cfvo type="num" val="3"/>
        <color rgb="FFFCA5A5"/>
        <color rgb="FFFDE68A"/>
        <color rgb="FF86EFAC"/>
      </colorScale>
    </cfRule>
  </conditionalFormatting>
  <conditionalFormatting sqref="AB2:AB1000">
    <cfRule type="expression" priority="12" aboveAverage="0" equalAverage="0" bottom="0" percent="0" rank="0" text="" dxfId="19">
      <formula>$AB2="INVEST"</formula>
    </cfRule>
    <cfRule type="expression" priority="13" aboveAverage="0" equalAverage="0" bottom="0" percent="0" rank="0" text="" dxfId="18">
      <formula>$AB2="TOLERATE"</formula>
    </cfRule>
    <cfRule type="expression" priority="14" aboveAverage="0" equalAverage="0" bottom="0" percent="0" rank="0" text="" dxfId="17">
      <formula>$AB2="MIGRATE / MODERNIZE"</formula>
    </cfRule>
    <cfRule type="expression" priority="15" aboveAverage="0" equalAverage="0" bottom="0" percent="0" rank="0" text="" dxfId="15">
      <formula>$AB2="RETIRE"</formula>
    </cfRule>
    <cfRule type="expression" priority="16" aboveAverage="0" equalAverage="0" bottom="0" percent="0" rank="0" text="" dxfId="62">
      <formula>EXACT($AB2,"Invest")</formula>
    </cfRule>
    <cfRule type="expression" priority="17" aboveAverage="0" equalAverage="0" bottom="0" percent="0" rank="0" text="" dxfId="63">
      <formula>EXACT($AB2,"Migrate")</formula>
    </cfRule>
    <cfRule type="expression" priority="18" aboveAverage="0" equalAverage="0" bottom="0" percent="0" rank="0" text="" dxfId="64">
      <formula>EXACT($AB2,"Tolerate")</formula>
    </cfRule>
    <cfRule type="expression" priority="19" aboveAverage="0" equalAverage="0" bottom="0" percent="0" rank="0" text="" dxfId="65">
      <formula>EXACT($AB2,"Eliminate")</formula>
    </cfRule>
  </conditionalFormatting>
  <conditionalFormatting sqref="A2:A1000">
    <cfRule type="expression" priority="20" aboveAverage="0" equalAverage="0" bottom="0" percent="0" rank="0" text="" dxfId="27">
      <formula>AND($B2&lt;&gt;"",OR($A2="",COUNTIF($A$2:$A$1000,$A2)&gt;1,LEFT($A2,4)&lt;&gt;"APM-",LEN($A2)&lt;&gt;8,NOT(ISNUMBER(--RIGHT($A2,4)))))</formula>
    </cfRule>
  </conditionalFormatting>
  <dataValidations count="2">
    <dataValidation allowBlank="true" errorStyle="stop" operator="between" showDropDown="false" showErrorMessage="false" showInputMessage="false" sqref="I2:M1000 P2:S1000 U2:Y1000" type="list">
      <formula1>"1,2,3,4,5"</formula1>
      <formula2>0</formula2>
    </dataValidation>
    <dataValidation allowBlank="true" error="IDs are APM- plus 4 digits and must be unique. Use the Next ID on Dashboard." errorStyle="stop" errorTitle="ID" operator="between" prompt="Fixed once assigned. Never renumber or reuse." promptTitle="ID" showDropDown="false" showErrorMessage="true" showInputMessage="true" sqref="A2:A1000" type="custom">
      <formula1>AND(LEFT(A2,4)="APM-",LEN(A2)=8,ISNUMBER(--RIGHT(A2,4)),COUNTIF($A$2:$A$1000,A2)=1)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6"/>
  <sheetViews>
    <sheetView showFormulas="false" showGridLines="false" showRowColHeaders="true" showZeros="true" rightToLeft="false" tabSelected="true" showOutlineSymbols="true" defaultGridColor="true" view="normal" topLeftCell="Q1" colorId="64" zoomScale="100" zoomScaleNormal="100" zoomScalePageLayoutView="100" workbookViewId="0">
      <selection pane="topLeft" activeCell="AC18" activeCellId="0" sqref="AC18"/>
    </sheetView>
  </sheetViews>
  <sheetFormatPr defaultColWidth="8.83203125" defaultRowHeight="15" zeroHeight="false" outlineLevelRow="0" outlineLevelCol="0"/>
  <cols>
    <col collapsed="false" customWidth="true" hidden="false" outlineLevel="0" max="1" min="1" style="1" width="22"/>
    <col collapsed="false" customWidth="true" hidden="false" outlineLevel="0" max="2" min="2" style="1" width="3"/>
    <col collapsed="false" customWidth="true" hidden="false" outlineLevel="0" max="3" min="3" style="1" width="22"/>
    <col collapsed="false" customWidth="true" hidden="false" outlineLevel="0" max="4" min="4" style="1" width="3"/>
    <col collapsed="false" customWidth="true" hidden="false" outlineLevel="0" max="6" min="5" style="1" width="12"/>
    <col collapsed="false" customWidth="true" hidden="false" outlineLevel="0" max="7" min="7" style="1" width="3"/>
    <col collapsed="false" customWidth="true" hidden="false" outlineLevel="0" max="9" min="8" style="1" width="12"/>
    <col collapsed="false" customWidth="true" hidden="false" outlineLevel="0" max="10" min="10" style="1" width="3"/>
    <col collapsed="false" customWidth="true" hidden="false" outlineLevel="0" max="12" min="11" style="1" width="14"/>
    <col collapsed="false" customWidth="true" hidden="false" outlineLevel="0" max="13" min="13" style="1" width="3"/>
    <col collapsed="false" customWidth="true" hidden="false" outlineLevel="0" max="15" min="14" style="1" width="10"/>
    <col collapsed="false" customWidth="true" hidden="false" outlineLevel="0" max="16" min="16" style="1" width="3"/>
    <col collapsed="false" customWidth="true" hidden="false" outlineLevel="0" max="17" min="17" style="1" width="12"/>
    <col collapsed="false" customWidth="true" hidden="false" outlineLevel="0" max="18" min="18" style="1" width="3"/>
    <col collapsed="false" customWidth="true" hidden="false" outlineLevel="0" max="19" min="19" style="1" width="14"/>
    <col collapsed="false" customWidth="true" hidden="false" outlineLevel="0" max="20" min="20" style="1" width="3"/>
    <col collapsed="false" customWidth="true" hidden="false" outlineLevel="0" max="21" min="21" style="1" width="14"/>
    <col collapsed="false" customWidth="true" hidden="false" outlineLevel="0" max="22" min="22" style="1" width="3"/>
    <col collapsed="false" customWidth="true" hidden="false" outlineLevel="0" max="23" min="23" style="1" width="18"/>
    <col collapsed="false" customWidth="true" hidden="false" outlineLevel="0" max="24" min="24" style="1" width="3"/>
    <col collapsed="false" customWidth="true" hidden="false" outlineLevel="0" max="25" min="25" style="1" width="10"/>
    <col collapsed="false" customWidth="true" hidden="false" outlineLevel="0" max="26" min="26" style="1" width="3"/>
    <col collapsed="false" customWidth="true" hidden="false" outlineLevel="0" max="27" min="27" style="1" width="18"/>
    <col collapsed="false" customWidth="true" hidden="false" outlineLevel="0" max="28" min="28" style="1" width="3"/>
    <col collapsed="false" customWidth="true" hidden="false" outlineLevel="0" max="29" min="29" style="1" width="34"/>
    <col collapsed="false" customWidth="true" hidden="false" outlineLevel="0" max="30" min="30" style="1" width="10"/>
    <col collapsed="false" customWidth="true" hidden="false" outlineLevel="0" max="32" min="32" style="1" width="30"/>
    <col collapsed="false" customWidth="true" hidden="false" outlineLevel="0" max="33" min="33" style="1" width="12"/>
    <col collapsed="false" customWidth="true" hidden="false" outlineLevel="0" max="35" min="35" style="1" width="18"/>
    <col collapsed="false" customWidth="true" hidden="false" outlineLevel="0" max="36" min="36" style="1" width="12"/>
    <col collapsed="false" customWidth="true" hidden="false" outlineLevel="0" max="39" min="38" style="1" width="14"/>
    <col collapsed="false" customWidth="true" hidden="false" outlineLevel="0" max="41" min="41" style="1" width="22"/>
    <col collapsed="false" customWidth="true" hidden="false" outlineLevel="0" max="42" min="42" style="1" width="10"/>
    <col collapsed="false" customWidth="true" hidden="false" outlineLevel="0" max="43" min="43" style="1" width="8"/>
  </cols>
  <sheetData>
    <row r="1" customFormat="false" ht="27.75" hidden="false" customHeight="true" outlineLevel="0" collapsed="false">
      <c r="A1" s="33" t="s">
        <v>237</v>
      </c>
      <c r="C1" s="33" t="s">
        <v>238</v>
      </c>
      <c r="E1" s="33" t="s">
        <v>30</v>
      </c>
      <c r="F1" s="33" t="s">
        <v>433</v>
      </c>
      <c r="H1" s="33" t="s">
        <v>239</v>
      </c>
      <c r="I1" s="33" t="s">
        <v>434</v>
      </c>
      <c r="K1" s="33" t="s">
        <v>240</v>
      </c>
      <c r="L1" s="33" t="s">
        <v>435</v>
      </c>
      <c r="N1" s="33" t="s">
        <v>241</v>
      </c>
      <c r="O1" s="33" t="s">
        <v>436</v>
      </c>
      <c r="Q1" s="33" t="s">
        <v>243</v>
      </c>
      <c r="S1" s="33" t="s">
        <v>28</v>
      </c>
      <c r="U1" s="33" t="s">
        <v>245</v>
      </c>
      <c r="W1" s="33" t="s">
        <v>194</v>
      </c>
      <c r="Y1" s="33" t="s">
        <v>437</v>
      </c>
      <c r="AA1" s="33" t="s">
        <v>393</v>
      </c>
      <c r="AC1" s="127" t="s">
        <v>438</v>
      </c>
      <c r="AD1" s="127" t="s">
        <v>439</v>
      </c>
      <c r="AF1" s="33" t="s">
        <v>440</v>
      </c>
      <c r="AG1" s="33" t="s">
        <v>441</v>
      </c>
      <c r="AI1" s="33" t="s">
        <v>194</v>
      </c>
      <c r="AJ1" s="33" t="s">
        <v>442</v>
      </c>
      <c r="AL1" s="33" t="s">
        <v>443</v>
      </c>
      <c r="AM1" s="33" t="s">
        <v>444</v>
      </c>
      <c r="AO1" s="33" t="s">
        <v>445</v>
      </c>
      <c r="AP1" s="33" t="s">
        <v>446</v>
      </c>
      <c r="AQ1" s="33" t="s">
        <v>447</v>
      </c>
    </row>
    <row r="2" customFormat="false" ht="15" hidden="false" customHeight="true" outlineLevel="0" collapsed="false">
      <c r="A2" s="128" t="s">
        <v>296</v>
      </c>
      <c r="C2" s="128" t="s">
        <v>310</v>
      </c>
      <c r="E2" s="128" t="s">
        <v>32</v>
      </c>
      <c r="F2" s="110" t="n">
        <v>4</v>
      </c>
      <c r="H2" s="128" t="s">
        <v>34</v>
      </c>
      <c r="I2" s="110" t="n">
        <v>3</v>
      </c>
      <c r="K2" s="128" t="s">
        <v>34</v>
      </c>
      <c r="L2" s="110" t="n">
        <v>1</v>
      </c>
      <c r="N2" s="128" t="s">
        <v>342</v>
      </c>
      <c r="O2" s="110" t="n">
        <v>1</v>
      </c>
      <c r="Q2" s="128" t="s">
        <v>448</v>
      </c>
      <c r="S2" s="128" t="s">
        <v>31</v>
      </c>
      <c r="U2" s="128" t="s">
        <v>271</v>
      </c>
      <c r="W2" s="128" t="s">
        <v>344</v>
      </c>
      <c r="Y2" s="129" t="n">
        <v>1</v>
      </c>
      <c r="AA2" s="128" t="s">
        <v>67</v>
      </c>
      <c r="AC2" s="130" t="s">
        <v>449</v>
      </c>
      <c r="AD2" s="131" t="n">
        <v>0.2</v>
      </c>
      <c r="AF2" s="128" t="s">
        <v>58</v>
      </c>
      <c r="AG2" s="132" t="n">
        <v>3</v>
      </c>
      <c r="AI2" s="128" t="s">
        <v>344</v>
      </c>
      <c r="AJ2" s="110"/>
      <c r="AL2" s="128" t="s">
        <v>448</v>
      </c>
      <c r="AM2" s="110" t="n">
        <v>3.5</v>
      </c>
      <c r="AO2" s="128" t="s">
        <v>450</v>
      </c>
      <c r="AP2" s="92" t="n">
        <f aca="false">SUM(AD2:AD6)</f>
        <v>1</v>
      </c>
      <c r="AQ2" s="128" t="str">
        <f aca="false">IF(ABS(AP2-1)&lt;0.0001,"Yes","No")</f>
        <v>Yes</v>
      </c>
    </row>
    <row r="3" customFormat="false" ht="15" hidden="false" customHeight="true" outlineLevel="0" collapsed="false">
      <c r="A3" s="133" t="s">
        <v>451</v>
      </c>
      <c r="C3" s="133" t="s">
        <v>452</v>
      </c>
      <c r="E3" s="133" t="s">
        <v>34</v>
      </c>
      <c r="F3" s="110" t="n">
        <v>3</v>
      </c>
      <c r="H3" s="133" t="s">
        <v>36</v>
      </c>
      <c r="I3" s="110" t="n">
        <v>2</v>
      </c>
      <c r="K3" s="133" t="s">
        <v>36</v>
      </c>
      <c r="L3" s="110" t="n">
        <v>0.8</v>
      </c>
      <c r="N3" s="133" t="s">
        <v>298</v>
      </c>
      <c r="O3" s="110" t="n">
        <v>2</v>
      </c>
      <c r="Q3" s="133" t="s">
        <v>453</v>
      </c>
      <c r="S3" s="133" t="s">
        <v>33</v>
      </c>
      <c r="U3" s="133" t="s">
        <v>300</v>
      </c>
      <c r="W3" s="133" t="s">
        <v>287</v>
      </c>
      <c r="Y3" s="134" t="n">
        <v>2</v>
      </c>
      <c r="AA3" s="133" t="s">
        <v>68</v>
      </c>
      <c r="AC3" s="130" t="s">
        <v>454</v>
      </c>
      <c r="AD3" s="131" t="n">
        <v>0.2</v>
      </c>
      <c r="AF3" s="128" t="s">
        <v>455</v>
      </c>
      <c r="AG3" s="132" t="n">
        <v>3</v>
      </c>
      <c r="AI3" s="128" t="s">
        <v>287</v>
      </c>
      <c r="AJ3" s="110" t="n">
        <v>14</v>
      </c>
      <c r="AL3" s="128" t="s">
        <v>453</v>
      </c>
      <c r="AM3" s="110" t="n">
        <v>2.5</v>
      </c>
      <c r="AO3" s="128" t="s">
        <v>456</v>
      </c>
      <c r="AP3" s="92" t="n">
        <f aca="false">SUM(AD7:AD10)</f>
        <v>1</v>
      </c>
      <c r="AQ3" s="128" t="str">
        <f aca="false">IF(ABS(AP3-1)&lt;0.0001,"Yes","No")</f>
        <v>Yes</v>
      </c>
    </row>
    <row r="4" customFormat="false" ht="15" hidden="false" customHeight="true" outlineLevel="0" collapsed="false">
      <c r="A4" s="128" t="s">
        <v>282</v>
      </c>
      <c r="C4" s="128" t="s">
        <v>268</v>
      </c>
      <c r="E4" s="128" t="s">
        <v>36</v>
      </c>
      <c r="F4" s="110" t="n">
        <v>2</v>
      </c>
      <c r="H4" s="128" t="s">
        <v>38</v>
      </c>
      <c r="I4" s="110" t="n">
        <v>1</v>
      </c>
      <c r="K4" s="128" t="s">
        <v>38</v>
      </c>
      <c r="L4" s="110" t="n">
        <v>0.6</v>
      </c>
      <c r="N4" s="128" t="s">
        <v>284</v>
      </c>
      <c r="O4" s="110" t="n">
        <v>3</v>
      </c>
      <c r="Q4" s="128" t="s">
        <v>457</v>
      </c>
      <c r="S4" s="128" t="s">
        <v>35</v>
      </c>
      <c r="U4" s="128" t="s">
        <v>322</v>
      </c>
      <c r="W4" s="128" t="s">
        <v>301</v>
      </c>
      <c r="Y4" s="129" t="n">
        <v>3</v>
      </c>
      <c r="AA4" s="128" t="s">
        <v>69</v>
      </c>
      <c r="AC4" s="130" t="s">
        <v>458</v>
      </c>
      <c r="AD4" s="131" t="n">
        <v>0.2</v>
      </c>
      <c r="AF4" s="128" t="s">
        <v>459</v>
      </c>
      <c r="AG4" s="132" t="n">
        <v>3.5</v>
      </c>
      <c r="AI4" s="128" t="s">
        <v>301</v>
      </c>
      <c r="AJ4" s="110" t="n">
        <v>28</v>
      </c>
      <c r="AL4" s="128" t="s">
        <v>457</v>
      </c>
      <c r="AM4" s="110" t="n">
        <v>1.5</v>
      </c>
      <c r="AO4" s="128" t="s">
        <v>460</v>
      </c>
      <c r="AP4" s="92" t="n">
        <f aca="false">SUM(AD11:AD15)</f>
        <v>1</v>
      </c>
      <c r="AQ4" s="128" t="str">
        <f aca="false">IF(ABS(AP4-1)&lt;0.0001,"Yes","No")</f>
        <v>Yes</v>
      </c>
    </row>
    <row r="5" customFormat="false" ht="15" hidden="false" customHeight="true" outlineLevel="0" collapsed="false">
      <c r="A5" s="133" t="s">
        <v>268</v>
      </c>
      <c r="C5" s="133" t="s">
        <v>283</v>
      </c>
      <c r="E5" s="133" t="s">
        <v>38</v>
      </c>
      <c r="F5" s="110" t="n">
        <v>1</v>
      </c>
      <c r="N5" s="133" t="s">
        <v>269</v>
      </c>
      <c r="O5" s="110" t="n">
        <v>5</v>
      </c>
      <c r="Q5" s="133" t="s">
        <v>461</v>
      </c>
      <c r="S5" s="133" t="s">
        <v>37</v>
      </c>
      <c r="U5" s="133" t="s">
        <v>462</v>
      </c>
      <c r="W5" s="133" t="s">
        <v>272</v>
      </c>
      <c r="Y5" s="134" t="n">
        <v>4</v>
      </c>
      <c r="AA5" s="133" t="s">
        <v>70</v>
      </c>
      <c r="AC5" s="130" t="s">
        <v>463</v>
      </c>
      <c r="AD5" s="131" t="n">
        <v>0.2</v>
      </c>
      <c r="AF5" s="128" t="s">
        <v>464</v>
      </c>
      <c r="AG5" s="132" t="n">
        <v>2.5</v>
      </c>
      <c r="AI5" s="128" t="s">
        <v>272</v>
      </c>
      <c r="AJ5" s="110" t="n">
        <v>90</v>
      </c>
      <c r="AL5" s="128" t="s">
        <v>461</v>
      </c>
      <c r="AM5" s="110"/>
      <c r="AO5" s="128" t="s">
        <v>465</v>
      </c>
      <c r="AP5" s="92" t="n">
        <f aca="false">SUM(AD20:AD24)</f>
        <v>1</v>
      </c>
      <c r="AQ5" s="128" t="str">
        <f aca="false">IF(ABS(AP5-1)&lt;0.0001,"Yes","No")</f>
        <v>Yes</v>
      </c>
    </row>
    <row r="6" customFormat="false" ht="15" hidden="false" customHeight="true" outlineLevel="0" collapsed="false">
      <c r="A6" s="128" t="s">
        <v>330</v>
      </c>
      <c r="C6" s="128" t="s">
        <v>297</v>
      </c>
      <c r="N6" s="128" t="s">
        <v>466</v>
      </c>
      <c r="O6" s="110" t="n">
        <v>8</v>
      </c>
      <c r="S6" s="128" t="s">
        <v>39</v>
      </c>
      <c r="U6" s="128" t="s">
        <v>286</v>
      </c>
      <c r="W6" s="128" t="s">
        <v>312</v>
      </c>
      <c r="Y6" s="129" t="n">
        <v>5</v>
      </c>
      <c r="AC6" s="130" t="s">
        <v>467</v>
      </c>
      <c r="AD6" s="131" t="n">
        <v>0.2</v>
      </c>
      <c r="AF6" s="128" t="s">
        <v>468</v>
      </c>
      <c r="AG6" s="132" t="n">
        <v>3.5</v>
      </c>
      <c r="AI6" s="128" t="s">
        <v>312</v>
      </c>
      <c r="AJ6" s="110" t="n">
        <v>180</v>
      </c>
    </row>
    <row r="7" customFormat="false" ht="15" hidden="false" customHeight="true" outlineLevel="0" collapsed="false">
      <c r="A7" s="133" t="s">
        <v>309</v>
      </c>
      <c r="C7" s="133" t="s">
        <v>320</v>
      </c>
      <c r="S7" s="133" t="s">
        <v>40</v>
      </c>
      <c r="U7" s="133" t="s">
        <v>332</v>
      </c>
      <c r="W7" s="133" t="s">
        <v>469</v>
      </c>
      <c r="AC7" s="130" t="s">
        <v>470</v>
      </c>
      <c r="AD7" s="131" t="n">
        <v>0.25</v>
      </c>
      <c r="AI7" s="128" t="s">
        <v>469</v>
      </c>
      <c r="AJ7" s="110"/>
    </row>
    <row r="8" customFormat="false" ht="15" hidden="false" customHeight="true" outlineLevel="0" collapsed="false">
      <c r="A8" s="128" t="s">
        <v>341</v>
      </c>
      <c r="C8" s="128" t="s">
        <v>471</v>
      </c>
      <c r="S8" s="128" t="s">
        <v>41</v>
      </c>
      <c r="U8" s="128" t="s">
        <v>268</v>
      </c>
      <c r="AC8" s="130" t="s">
        <v>472</v>
      </c>
      <c r="AD8" s="131" t="n">
        <v>0.25</v>
      </c>
    </row>
    <row r="9" customFormat="false" ht="15" hidden="false" customHeight="true" outlineLevel="0" collapsed="false">
      <c r="A9" s="133" t="s">
        <v>319</v>
      </c>
      <c r="C9" s="133" t="s">
        <v>456</v>
      </c>
      <c r="S9" s="133" t="s">
        <v>42</v>
      </c>
      <c r="U9" s="133" t="s">
        <v>311</v>
      </c>
      <c r="AC9" s="130" t="s">
        <v>473</v>
      </c>
      <c r="AD9" s="131" t="n">
        <v>0.25</v>
      </c>
    </row>
    <row r="10" customFormat="false" ht="15" hidden="false" customHeight="true" outlineLevel="0" collapsed="false">
      <c r="A10" s="128" t="s">
        <v>283</v>
      </c>
      <c r="C10" s="128" t="s">
        <v>474</v>
      </c>
      <c r="U10" s="128" t="s">
        <v>475</v>
      </c>
      <c r="AC10" s="130" t="s">
        <v>476</v>
      </c>
      <c r="AD10" s="131" t="n">
        <v>0.25</v>
      </c>
    </row>
    <row r="11" customFormat="false" ht="15" hidden="false" customHeight="true" outlineLevel="0" collapsed="false">
      <c r="A11" s="133" t="s">
        <v>477</v>
      </c>
      <c r="C11" s="133" t="s">
        <v>475</v>
      </c>
      <c r="AC11" s="130" t="s">
        <v>478</v>
      </c>
      <c r="AD11" s="131" t="n">
        <v>0.2</v>
      </c>
    </row>
    <row r="12" customFormat="false" ht="15" hidden="false" customHeight="true" outlineLevel="0" collapsed="false">
      <c r="A12" s="128" t="s">
        <v>479</v>
      </c>
      <c r="AC12" s="130" t="s">
        <v>480</v>
      </c>
      <c r="AD12" s="131" t="n">
        <v>0.2</v>
      </c>
    </row>
    <row r="13" customFormat="false" ht="15" hidden="false" customHeight="true" outlineLevel="0" collapsed="false">
      <c r="A13" s="133" t="s">
        <v>475</v>
      </c>
      <c r="AC13" s="130" t="s">
        <v>481</v>
      </c>
      <c r="AD13" s="131" t="n">
        <v>0.2</v>
      </c>
    </row>
    <row r="14" customFormat="false" ht="15" hidden="false" customHeight="true" outlineLevel="0" collapsed="false">
      <c r="AC14" s="130" t="s">
        <v>482</v>
      </c>
      <c r="AD14" s="131" t="n">
        <v>0.2</v>
      </c>
    </row>
    <row r="15" customFormat="false" ht="15" hidden="false" customHeight="true" outlineLevel="0" collapsed="false">
      <c r="AC15" s="130" t="s">
        <v>483</v>
      </c>
      <c r="AD15" s="131" t="n">
        <v>0.2</v>
      </c>
    </row>
    <row r="16" customFormat="false" ht="15" hidden="false" customHeight="true" outlineLevel="0" collapsed="false">
      <c r="AC16" s="130" t="s">
        <v>484</v>
      </c>
      <c r="AD16" s="131" t="n">
        <v>0.25</v>
      </c>
    </row>
    <row r="17" customFormat="false" ht="15" hidden="false" customHeight="true" outlineLevel="0" collapsed="false">
      <c r="AC17" s="130" t="s">
        <v>485</v>
      </c>
      <c r="AD17" s="131" t="n">
        <v>0.25</v>
      </c>
    </row>
    <row r="18" customFormat="false" ht="15" hidden="false" customHeight="true" outlineLevel="0" collapsed="false">
      <c r="AC18" s="130" t="s">
        <v>486</v>
      </c>
      <c r="AD18" s="131" t="n">
        <v>0.25</v>
      </c>
    </row>
    <row r="19" customFormat="false" ht="15" hidden="false" customHeight="true" outlineLevel="0" collapsed="false">
      <c r="AC19" s="130" t="s">
        <v>487</v>
      </c>
      <c r="AD19" s="131" t="n">
        <v>0.25</v>
      </c>
    </row>
    <row r="20" customFormat="false" ht="15" hidden="false" customHeight="true" outlineLevel="0" collapsed="false">
      <c r="AC20" s="130" t="s">
        <v>488</v>
      </c>
      <c r="AD20" s="131" t="n">
        <v>0.2</v>
      </c>
    </row>
    <row r="21" customFormat="false" ht="15" hidden="false" customHeight="true" outlineLevel="0" collapsed="false">
      <c r="AC21" s="130" t="s">
        <v>489</v>
      </c>
      <c r="AD21" s="131" t="n">
        <v>0.2</v>
      </c>
    </row>
    <row r="22" customFormat="false" ht="15" hidden="false" customHeight="true" outlineLevel="0" collapsed="false">
      <c r="AC22" s="130" t="s">
        <v>490</v>
      </c>
      <c r="AD22" s="131" t="n">
        <v>0.2</v>
      </c>
    </row>
    <row r="23" customFormat="false" ht="15" hidden="false" customHeight="true" outlineLevel="0" collapsed="false">
      <c r="AC23" s="130" t="s">
        <v>491</v>
      </c>
      <c r="AD23" s="131" t="n">
        <v>0.2</v>
      </c>
    </row>
    <row r="24" customFormat="false" ht="15" hidden="false" customHeight="true" outlineLevel="0" collapsed="false">
      <c r="AC24" s="130" t="s">
        <v>492</v>
      </c>
      <c r="AD24" s="131" t="n">
        <v>0.2</v>
      </c>
    </row>
    <row r="26" customFormat="false" ht="15" hidden="false" customHeight="true" outlineLevel="0" collapsed="false">
      <c r="AC26" s="135" t="s">
        <v>493</v>
      </c>
    </row>
  </sheetData>
  <conditionalFormatting sqref="AQ2:AQ5">
    <cfRule type="expression" priority="2" aboveAverage="0" equalAverage="0" bottom="0" percent="0" rank="0" text="" dxfId="27">
      <formula>$AQ2="No"</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2026-01-23T22:23:33Z</dcterms:created>
  <dc:creator>KF</dc:creator>
  <dc:description/>
  <dc:language>en-US</dc:language>
  <cp:lastModifiedBy/>
  <dcterms:modified xsi:type="dcterms:W3CDTF">2026-10-25T21:09:54Z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